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5600" windowHeight="7995" firstSheet="30" activeTab="35"/>
  </bookViews>
  <sheets>
    <sheet name="Roster 9A" sheetId="1" r:id="rId1"/>
    <sheet name="9A Sem 1" sheetId="5" r:id="rId2"/>
    <sheet name="9A Sem 2" sheetId="6" r:id="rId3"/>
    <sheet name="9A Sem avr" sheetId="4" r:id="rId4"/>
    <sheet name="Roster 9B" sheetId="7" r:id="rId5"/>
    <sheet name="9B Sem 1" sheetId="8" r:id="rId6"/>
    <sheet name="9B Sem avr" sheetId="10" r:id="rId7"/>
    <sheet name="9B Sem 2" sheetId="9" r:id="rId8"/>
    <sheet name="Roster 10A" sheetId="11" r:id="rId9"/>
    <sheet name="10A Sem 1" sheetId="12" r:id="rId10"/>
    <sheet name="10A Sem 2" sheetId="13" r:id="rId11"/>
    <sheet name="10A Sem avr" sheetId="14" r:id="rId12"/>
    <sheet name="Roster 10B" sheetId="15" r:id="rId13"/>
    <sheet name="10B Sem 1" sheetId="16" r:id="rId14"/>
    <sheet name="10B Sem 2" sheetId="17" r:id="rId15"/>
    <sheet name="10B Sem avr" sheetId="18" r:id="rId16"/>
    <sheet name="Roster 11A (NS)" sheetId="25" r:id="rId17"/>
    <sheet name="11A (N S) Sem1 " sheetId="20" r:id="rId18"/>
    <sheet name="11A (N S) Sem2" sheetId="48" r:id="rId19"/>
    <sheet name="11A (N S) Avr" sheetId="49" r:id="rId20"/>
    <sheet name="Roster 11B (SS)" sheetId="87" r:id="rId21"/>
    <sheet name="11B (S S) Sem1" sheetId="88" r:id="rId22"/>
    <sheet name="11B (S S) Sem2" sheetId="89" r:id="rId23"/>
    <sheet name="11B (N S) Avr" sheetId="90" r:id="rId24"/>
    <sheet name="Roster 12A " sheetId="74" r:id="rId25"/>
    <sheet name="12A (NS) Sem 1" sheetId="75" r:id="rId26"/>
    <sheet name="12A (NS)Sem 2" sheetId="76" r:id="rId27"/>
    <sheet name="12A Sem avr (NS)" sheetId="77" r:id="rId28"/>
    <sheet name="Roster 12B" sheetId="78" r:id="rId29"/>
    <sheet name="12B Sem 1" sheetId="79" r:id="rId30"/>
    <sheet name="12B (NS)Sem 2" sheetId="80" r:id="rId31"/>
    <sheet name="12B Sem avr (NS) " sheetId="81" r:id="rId32"/>
    <sheet name="Roster 12C" sheetId="82" r:id="rId33"/>
    <sheet name="12C (SS)Sem 1" sheetId="83" r:id="rId34"/>
    <sheet name="12C (SS)Sem 2" sheetId="84" r:id="rId35"/>
    <sheet name="12C Sem avr (SS)" sheetId="85" r:id="rId36"/>
  </sheets>
  <definedNames>
    <definedName name="_xlnm.Print_Area" localSheetId="25">'12A (NS) Sem 1'!$A$1:$Q$36</definedName>
    <definedName name="_xlnm.Print_Area" localSheetId="29">'12B Sem 1'!$A$1:$Q$37</definedName>
    <definedName name="_xlnm.Print_Area" localSheetId="33">'12C (SS)Sem 1'!$A$1:$O$38</definedName>
    <definedName name="_xlnm.Print_Area" localSheetId="24">'Roster 12A '!$A$1:$R$92</definedName>
    <definedName name="_xlnm.Print_Area" localSheetId="28">'Roster 12B'!$A$1:$R$95</definedName>
    <definedName name="_xlnm.Print_Area" localSheetId="32">'Roster 12C'!$A$1:$P$101</definedName>
  </definedNames>
  <calcPr calcId="144525"/>
</workbook>
</file>

<file path=xl/calcChain.xml><?xml version="1.0" encoding="utf-8"?>
<calcChain xmlns="http://schemas.openxmlformats.org/spreadsheetml/2006/main">
  <c r="H5" i="85" l="1"/>
  <c r="H6" i="85"/>
  <c r="H7" i="85"/>
  <c r="H8" i="85"/>
  <c r="H9" i="85"/>
  <c r="H10" i="85"/>
  <c r="H11" i="85"/>
  <c r="H12" i="85"/>
  <c r="H13" i="85"/>
  <c r="H14" i="85"/>
  <c r="H15" i="85"/>
  <c r="H16" i="85"/>
  <c r="H17" i="85"/>
  <c r="H18" i="85"/>
  <c r="H19" i="85"/>
  <c r="H20" i="85"/>
  <c r="H21" i="85"/>
  <c r="H22" i="85"/>
  <c r="H23" i="85"/>
  <c r="H24" i="85"/>
  <c r="H25" i="85"/>
  <c r="H26" i="85"/>
  <c r="H27" i="85"/>
  <c r="H28" i="85"/>
  <c r="H29" i="85"/>
  <c r="H30" i="85"/>
  <c r="H31" i="85"/>
  <c r="H32" i="85"/>
  <c r="H33" i="85"/>
  <c r="H34" i="85"/>
  <c r="H4" i="85"/>
  <c r="M5" i="84" l="1"/>
  <c r="M6" i="84"/>
  <c r="M7" i="84"/>
  <c r="M8" i="84"/>
  <c r="M9" i="84"/>
  <c r="M10" i="84"/>
  <c r="M11" i="84"/>
  <c r="M12" i="84"/>
  <c r="M13" i="84"/>
  <c r="M14" i="84"/>
  <c r="M15" i="84"/>
  <c r="M16" i="84"/>
  <c r="M17" i="84"/>
  <c r="M18" i="84"/>
  <c r="M19" i="84"/>
  <c r="M20" i="84"/>
  <c r="M21" i="84"/>
  <c r="M22" i="84"/>
  <c r="M23" i="84"/>
  <c r="M24" i="84"/>
  <c r="M25" i="84"/>
  <c r="M26" i="84"/>
  <c r="M27" i="84"/>
  <c r="M28" i="84"/>
  <c r="M29" i="84"/>
  <c r="M30" i="84"/>
  <c r="M31" i="84"/>
  <c r="M32" i="84"/>
  <c r="M33" i="84"/>
  <c r="M34" i="84"/>
  <c r="M4" i="84"/>
  <c r="L5" i="84"/>
  <c r="L6" i="84"/>
  <c r="L7" i="84"/>
  <c r="L8" i="84"/>
  <c r="L9" i="84"/>
  <c r="L10" i="84"/>
  <c r="L11" i="84"/>
  <c r="L12" i="84"/>
  <c r="L13" i="84"/>
  <c r="L14" i="84"/>
  <c r="L15" i="84"/>
  <c r="L16" i="84"/>
  <c r="L17" i="84"/>
  <c r="L18" i="84"/>
  <c r="L19" i="84"/>
  <c r="L20" i="84"/>
  <c r="L21" i="84"/>
  <c r="L22" i="84"/>
  <c r="L23" i="84"/>
  <c r="L24" i="84"/>
  <c r="L25" i="84"/>
  <c r="L26" i="84"/>
  <c r="L27" i="84"/>
  <c r="L28" i="84"/>
  <c r="L29" i="84"/>
  <c r="L30" i="84"/>
  <c r="L31" i="84"/>
  <c r="L32" i="84"/>
  <c r="L33" i="84"/>
  <c r="L34" i="84"/>
  <c r="L4" i="84"/>
  <c r="K5" i="84"/>
  <c r="K6" i="84"/>
  <c r="K7" i="84"/>
  <c r="K8" i="84"/>
  <c r="K9" i="84"/>
  <c r="K10" i="84"/>
  <c r="K11" i="84"/>
  <c r="K12" i="84"/>
  <c r="K13" i="84"/>
  <c r="K14" i="84"/>
  <c r="K15" i="84"/>
  <c r="K16" i="84"/>
  <c r="K17" i="84"/>
  <c r="K18" i="84"/>
  <c r="K19" i="84"/>
  <c r="K20" i="84"/>
  <c r="K21" i="84"/>
  <c r="K22" i="84"/>
  <c r="K23" i="84"/>
  <c r="K24" i="84"/>
  <c r="K25" i="84"/>
  <c r="K26" i="84"/>
  <c r="K27" i="84"/>
  <c r="K28" i="84"/>
  <c r="K29" i="84"/>
  <c r="K30" i="84"/>
  <c r="K31" i="84"/>
  <c r="K32" i="84"/>
  <c r="K33" i="84"/>
  <c r="K34" i="84"/>
  <c r="K4" i="84"/>
  <c r="N5" i="80" l="1"/>
  <c r="N6" i="80"/>
  <c r="N7" i="80"/>
  <c r="N8" i="80"/>
  <c r="N9" i="80"/>
  <c r="N10" i="80"/>
  <c r="N11" i="80"/>
  <c r="N12" i="80"/>
  <c r="N13" i="80"/>
  <c r="N14" i="80"/>
  <c r="N15" i="80"/>
  <c r="N16" i="80"/>
  <c r="N17" i="80"/>
  <c r="N18" i="80"/>
  <c r="N19" i="80"/>
  <c r="N20" i="80"/>
  <c r="N21" i="80"/>
  <c r="N22" i="80"/>
  <c r="N23" i="80"/>
  <c r="N24" i="80"/>
  <c r="N25" i="80"/>
  <c r="N26" i="80"/>
  <c r="N27" i="80"/>
  <c r="N28" i="80"/>
  <c r="N29" i="80"/>
  <c r="N30" i="80"/>
  <c r="N31" i="80"/>
  <c r="N32" i="80"/>
  <c r="N4" i="80"/>
  <c r="M5" i="80"/>
  <c r="M6" i="80"/>
  <c r="M7" i="80"/>
  <c r="M8" i="80"/>
  <c r="M9" i="80"/>
  <c r="M10" i="80"/>
  <c r="M11" i="80"/>
  <c r="M12" i="80"/>
  <c r="M13" i="80"/>
  <c r="M14" i="80"/>
  <c r="M15" i="80"/>
  <c r="M16" i="80"/>
  <c r="M17" i="80"/>
  <c r="M18" i="80"/>
  <c r="M19" i="80"/>
  <c r="M20" i="80"/>
  <c r="M21" i="80"/>
  <c r="M22" i="80"/>
  <c r="M23" i="80"/>
  <c r="M24" i="80"/>
  <c r="M25" i="80"/>
  <c r="M26" i="80"/>
  <c r="M27" i="80"/>
  <c r="M28" i="80"/>
  <c r="M29" i="80"/>
  <c r="M30" i="80"/>
  <c r="M31" i="80"/>
  <c r="M32" i="80"/>
  <c r="M4" i="80"/>
  <c r="L5" i="80"/>
  <c r="L6" i="80"/>
  <c r="L7" i="80"/>
  <c r="L8" i="80"/>
  <c r="L9" i="80"/>
  <c r="L10" i="80"/>
  <c r="L11" i="80"/>
  <c r="L12" i="80"/>
  <c r="L13" i="80"/>
  <c r="L14" i="80"/>
  <c r="L15" i="80"/>
  <c r="L16" i="80"/>
  <c r="L17" i="80"/>
  <c r="L18" i="80"/>
  <c r="L19" i="80"/>
  <c r="L20" i="80"/>
  <c r="L21" i="80"/>
  <c r="L22" i="80"/>
  <c r="L23" i="80"/>
  <c r="L24" i="80"/>
  <c r="L25" i="80"/>
  <c r="L26" i="80"/>
  <c r="L27" i="80"/>
  <c r="L28" i="80"/>
  <c r="L29" i="80"/>
  <c r="L30" i="80"/>
  <c r="L31" i="80"/>
  <c r="L32" i="80"/>
  <c r="L4" i="80"/>
  <c r="H5" i="77"/>
  <c r="H6" i="77"/>
  <c r="H7" i="77"/>
  <c r="H8" i="77"/>
  <c r="H9" i="77"/>
  <c r="H10" i="77"/>
  <c r="H11" i="77"/>
  <c r="H12" i="77"/>
  <c r="H13" i="77"/>
  <c r="H14" i="77"/>
  <c r="H15" i="77"/>
  <c r="H16" i="77"/>
  <c r="H17" i="77"/>
  <c r="H18" i="77"/>
  <c r="H19" i="77"/>
  <c r="H20" i="77"/>
  <c r="H21" i="77"/>
  <c r="H22" i="77"/>
  <c r="H23" i="77"/>
  <c r="H24" i="77"/>
  <c r="H25" i="77"/>
  <c r="H26" i="77"/>
  <c r="H27" i="77"/>
  <c r="H28" i="77"/>
  <c r="H29" i="77"/>
  <c r="H30" i="77"/>
  <c r="H31" i="77"/>
  <c r="H32" i="77"/>
  <c r="H4" i="77"/>
  <c r="N5" i="76"/>
  <c r="N6" i="76"/>
  <c r="N7" i="76"/>
  <c r="N8" i="76"/>
  <c r="N9" i="76"/>
  <c r="N10" i="76"/>
  <c r="N11" i="76"/>
  <c r="N12" i="76"/>
  <c r="N13" i="76"/>
  <c r="N14" i="76"/>
  <c r="N15" i="76"/>
  <c r="N16" i="76"/>
  <c r="N17" i="76"/>
  <c r="N18" i="76"/>
  <c r="N19" i="76"/>
  <c r="N20" i="76"/>
  <c r="N21" i="76"/>
  <c r="N22" i="76"/>
  <c r="N23" i="76"/>
  <c r="N24" i="76"/>
  <c r="N25" i="76"/>
  <c r="N26" i="76"/>
  <c r="N27" i="76"/>
  <c r="N28" i="76"/>
  <c r="N29" i="76"/>
  <c r="N30" i="76"/>
  <c r="N31" i="76"/>
  <c r="N32" i="76"/>
  <c r="N4" i="76"/>
  <c r="M5" i="76"/>
  <c r="M6" i="76"/>
  <c r="M7" i="76"/>
  <c r="M8" i="76"/>
  <c r="M9" i="76"/>
  <c r="M10" i="76"/>
  <c r="M11" i="76"/>
  <c r="M12" i="76"/>
  <c r="M13" i="76"/>
  <c r="M14" i="76"/>
  <c r="M15" i="76"/>
  <c r="M16" i="76"/>
  <c r="M17" i="76"/>
  <c r="M18" i="76"/>
  <c r="M19" i="76"/>
  <c r="M20" i="76"/>
  <c r="M21" i="76"/>
  <c r="M22" i="76"/>
  <c r="M23" i="76"/>
  <c r="M24" i="76"/>
  <c r="M25" i="76"/>
  <c r="M26" i="76"/>
  <c r="M27" i="76"/>
  <c r="M28" i="76"/>
  <c r="M29" i="76"/>
  <c r="M30" i="76"/>
  <c r="M31" i="76"/>
  <c r="M32" i="76"/>
  <c r="M4" i="76"/>
  <c r="L5" i="76"/>
  <c r="L6" i="76"/>
  <c r="L7" i="76"/>
  <c r="L8" i="76"/>
  <c r="L9" i="76"/>
  <c r="L10" i="76"/>
  <c r="L11" i="76"/>
  <c r="L12" i="76"/>
  <c r="L13" i="76"/>
  <c r="L14" i="76"/>
  <c r="L15" i="76"/>
  <c r="L16" i="76"/>
  <c r="L17" i="76"/>
  <c r="L18" i="76"/>
  <c r="L19" i="76"/>
  <c r="L20" i="76"/>
  <c r="L21" i="76"/>
  <c r="L22" i="76"/>
  <c r="L23" i="76"/>
  <c r="L24" i="76"/>
  <c r="L25" i="76"/>
  <c r="L26" i="76"/>
  <c r="L27" i="76"/>
  <c r="L28" i="76"/>
  <c r="L29" i="76"/>
  <c r="L30" i="76"/>
  <c r="L31" i="76"/>
  <c r="L32" i="76"/>
  <c r="L4" i="76"/>
  <c r="S5" i="17" l="1"/>
  <c r="S6" i="17"/>
  <c r="S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40" i="17"/>
  <c r="S41" i="17"/>
  <c r="S42" i="17"/>
  <c r="S43" i="17"/>
  <c r="S44" i="17"/>
  <c r="S45" i="17"/>
  <c r="S46" i="17"/>
  <c r="S47" i="17"/>
  <c r="S48" i="17"/>
  <c r="S49" i="17"/>
  <c r="S50" i="17"/>
  <c r="S51" i="17"/>
  <c r="S52" i="17"/>
  <c r="S53" i="17"/>
  <c r="S54" i="17"/>
  <c r="S55" i="17"/>
  <c r="S56" i="17"/>
  <c r="S57" i="17"/>
  <c r="S58" i="17"/>
  <c r="S59" i="17"/>
  <c r="S4" i="17"/>
  <c r="R5" i="17"/>
  <c r="R6" i="17"/>
  <c r="R7" i="17"/>
  <c r="R8" i="17"/>
  <c r="R9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35" i="17"/>
  <c r="R36" i="17"/>
  <c r="R37" i="17"/>
  <c r="R38" i="17"/>
  <c r="R39" i="17"/>
  <c r="R40" i="17"/>
  <c r="R41" i="17"/>
  <c r="R42" i="17"/>
  <c r="R43" i="17"/>
  <c r="R44" i="17"/>
  <c r="R45" i="17"/>
  <c r="R46" i="17"/>
  <c r="R47" i="17"/>
  <c r="R48" i="17"/>
  <c r="R49" i="17"/>
  <c r="R50" i="17"/>
  <c r="R51" i="17"/>
  <c r="R52" i="17"/>
  <c r="R53" i="17"/>
  <c r="R54" i="17"/>
  <c r="R55" i="17"/>
  <c r="R56" i="17"/>
  <c r="R57" i="17"/>
  <c r="R58" i="17"/>
  <c r="R59" i="17"/>
  <c r="R4" i="17"/>
  <c r="S5" i="9"/>
  <c r="T5" i="9" s="1"/>
  <c r="S6" i="9"/>
  <c r="T6" i="9" s="1"/>
  <c r="S7" i="9"/>
  <c r="T7" i="9" s="1"/>
  <c r="S8" i="9"/>
  <c r="T8" i="9" s="1"/>
  <c r="S9" i="9"/>
  <c r="T9" i="9" s="1"/>
  <c r="S10" i="9"/>
  <c r="T10" i="9" s="1"/>
  <c r="S11" i="9"/>
  <c r="T11" i="9" s="1"/>
  <c r="S12" i="9"/>
  <c r="T12" i="9" s="1"/>
  <c r="S13" i="9"/>
  <c r="T13" i="9" s="1"/>
  <c r="S14" i="9"/>
  <c r="T14" i="9" s="1"/>
  <c r="S15" i="9"/>
  <c r="T15" i="9" s="1"/>
  <c r="S16" i="9"/>
  <c r="T16" i="9" s="1"/>
  <c r="S17" i="9"/>
  <c r="T17" i="9" s="1"/>
  <c r="S18" i="9"/>
  <c r="T18" i="9" s="1"/>
  <c r="S19" i="9"/>
  <c r="T19" i="9" s="1"/>
  <c r="S20" i="9"/>
  <c r="T20" i="9" s="1"/>
  <c r="S21" i="9"/>
  <c r="T21" i="9" s="1"/>
  <c r="S22" i="9"/>
  <c r="T22" i="9" s="1"/>
  <c r="S23" i="9"/>
  <c r="T23" i="9" s="1"/>
  <c r="S24" i="9"/>
  <c r="T24" i="9" s="1"/>
  <c r="S25" i="9"/>
  <c r="T25" i="9" s="1"/>
  <c r="S26" i="9"/>
  <c r="T26" i="9" s="1"/>
  <c r="S27" i="9"/>
  <c r="T27" i="9" s="1"/>
  <c r="S28" i="9"/>
  <c r="T28" i="9" s="1"/>
  <c r="S29" i="9"/>
  <c r="T29" i="9" s="1"/>
  <c r="S30" i="9"/>
  <c r="T30" i="9" s="1"/>
  <c r="S31" i="9"/>
  <c r="T31" i="9" s="1"/>
  <c r="S32" i="9"/>
  <c r="T32" i="9" s="1"/>
  <c r="S33" i="9"/>
  <c r="T33" i="9" s="1"/>
  <c r="S34" i="9"/>
  <c r="T34" i="9" s="1"/>
  <c r="S35" i="9"/>
  <c r="T35" i="9" s="1"/>
  <c r="S36" i="9"/>
  <c r="T36" i="9" s="1"/>
  <c r="S37" i="9"/>
  <c r="T37" i="9" s="1"/>
  <c r="S38" i="9"/>
  <c r="T38" i="9" s="1"/>
  <c r="S39" i="9"/>
  <c r="T39" i="9" s="1"/>
  <c r="S40" i="9"/>
  <c r="T40" i="9" s="1"/>
  <c r="S41" i="9"/>
  <c r="T41" i="9" s="1"/>
  <c r="S42" i="9"/>
  <c r="T42" i="9" s="1"/>
  <c r="S43" i="9"/>
  <c r="T43" i="9" s="1"/>
  <c r="S44" i="9"/>
  <c r="T44" i="9" s="1"/>
  <c r="S45" i="9"/>
  <c r="T45" i="9" s="1"/>
  <c r="S46" i="9"/>
  <c r="T46" i="9" s="1"/>
  <c r="S47" i="9"/>
  <c r="T47" i="9" s="1"/>
  <c r="S48" i="9"/>
  <c r="T48" i="9" s="1"/>
  <c r="S49" i="9"/>
  <c r="T49" i="9" s="1"/>
  <c r="S50" i="9"/>
  <c r="T50" i="9" s="1"/>
  <c r="S51" i="9"/>
  <c r="T51" i="9" s="1"/>
  <c r="S52" i="9"/>
  <c r="T52" i="9" s="1"/>
  <c r="S53" i="9"/>
  <c r="T53" i="9" s="1"/>
  <c r="S54" i="9"/>
  <c r="T54" i="9" s="1"/>
  <c r="S55" i="9"/>
  <c r="T55" i="9" s="1"/>
  <c r="S56" i="9"/>
  <c r="T56" i="9" s="1"/>
  <c r="S57" i="9"/>
  <c r="T57" i="9" s="1"/>
  <c r="S58" i="9"/>
  <c r="T58" i="9" s="1"/>
  <c r="S59" i="9"/>
  <c r="T59" i="9" s="1"/>
  <c r="S4" i="9"/>
  <c r="T4" i="9" s="1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4" i="9"/>
  <c r="S5" i="6"/>
  <c r="S6" i="6"/>
  <c r="S7" i="6"/>
  <c r="S8" i="6"/>
  <c r="S9" i="6"/>
  <c r="S10" i="6"/>
  <c r="S11" i="6"/>
  <c r="T11" i="6" s="1"/>
  <c r="S12" i="6"/>
  <c r="S13" i="6"/>
  <c r="S14" i="6"/>
  <c r="S15" i="6"/>
  <c r="S16" i="6"/>
  <c r="S17" i="6"/>
  <c r="S18" i="6"/>
  <c r="S19" i="6"/>
  <c r="T19" i="6" s="1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T34" i="6" s="1"/>
  <c r="S35" i="6"/>
  <c r="S36" i="6"/>
  <c r="S37" i="6"/>
  <c r="S38" i="6"/>
  <c r="S39" i="6"/>
  <c r="S40" i="6"/>
  <c r="S41" i="6"/>
  <c r="S42" i="6"/>
  <c r="T42" i="6" s="1"/>
  <c r="S43" i="6"/>
  <c r="S44" i="6"/>
  <c r="S45" i="6"/>
  <c r="S46" i="6"/>
  <c r="T26" i="6" s="1"/>
  <c r="S47" i="6"/>
  <c r="S48" i="6"/>
  <c r="S49" i="6"/>
  <c r="S50" i="6"/>
  <c r="S51" i="6"/>
  <c r="S52" i="6"/>
  <c r="T52" i="6" s="1"/>
  <c r="S53" i="6"/>
  <c r="S54" i="6"/>
  <c r="S55" i="6"/>
  <c r="S56" i="6"/>
  <c r="S57" i="6"/>
  <c r="S58" i="6"/>
  <c r="S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4" i="6"/>
  <c r="S5" i="13"/>
  <c r="T8" i="13" s="1"/>
  <c r="S6" i="13"/>
  <c r="T6" i="13" s="1"/>
  <c r="S7" i="13"/>
  <c r="T7" i="13" s="1"/>
  <c r="S8" i="13"/>
  <c r="S9" i="13"/>
  <c r="T9" i="13" s="1"/>
  <c r="S10" i="13"/>
  <c r="T10" i="13" s="1"/>
  <c r="S11" i="13"/>
  <c r="T11" i="13" s="1"/>
  <c r="S12" i="13"/>
  <c r="T12" i="13" s="1"/>
  <c r="S13" i="13"/>
  <c r="T13" i="13" s="1"/>
  <c r="S14" i="13"/>
  <c r="T14" i="13" s="1"/>
  <c r="S15" i="13"/>
  <c r="T15" i="13" s="1"/>
  <c r="S16" i="13"/>
  <c r="S17" i="13"/>
  <c r="T17" i="13" s="1"/>
  <c r="S18" i="13"/>
  <c r="T18" i="13" s="1"/>
  <c r="S19" i="13"/>
  <c r="T19" i="13" s="1"/>
  <c r="S20" i="13"/>
  <c r="T20" i="13" s="1"/>
  <c r="S21" i="13"/>
  <c r="T21" i="13" s="1"/>
  <c r="S22" i="13"/>
  <c r="T22" i="13" s="1"/>
  <c r="S23" i="13"/>
  <c r="T23" i="13" s="1"/>
  <c r="S24" i="13"/>
  <c r="S25" i="13"/>
  <c r="T25" i="13" s="1"/>
  <c r="S26" i="13"/>
  <c r="T26" i="13" s="1"/>
  <c r="S27" i="13"/>
  <c r="T27" i="13" s="1"/>
  <c r="S28" i="13"/>
  <c r="T28" i="13" s="1"/>
  <c r="S29" i="13"/>
  <c r="T29" i="13" s="1"/>
  <c r="S30" i="13"/>
  <c r="T30" i="13" s="1"/>
  <c r="S31" i="13"/>
  <c r="T31" i="13" s="1"/>
  <c r="S32" i="13"/>
  <c r="S33" i="13"/>
  <c r="T33" i="13" s="1"/>
  <c r="S34" i="13"/>
  <c r="T34" i="13" s="1"/>
  <c r="S35" i="13"/>
  <c r="T35" i="13" s="1"/>
  <c r="S36" i="13"/>
  <c r="T36" i="13" s="1"/>
  <c r="S37" i="13"/>
  <c r="T37" i="13" s="1"/>
  <c r="S38" i="13"/>
  <c r="T38" i="13" s="1"/>
  <c r="S39" i="13"/>
  <c r="T39" i="13" s="1"/>
  <c r="S40" i="13"/>
  <c r="S41" i="13"/>
  <c r="T41" i="13" s="1"/>
  <c r="S42" i="13"/>
  <c r="T42" i="13" s="1"/>
  <c r="S43" i="13"/>
  <c r="T43" i="13" s="1"/>
  <c r="S44" i="13"/>
  <c r="T44" i="13" s="1"/>
  <c r="S45" i="13"/>
  <c r="T45" i="13" s="1"/>
  <c r="S46" i="13"/>
  <c r="T46" i="13" s="1"/>
  <c r="S47" i="13"/>
  <c r="T47" i="13" s="1"/>
  <c r="S48" i="13"/>
  <c r="S49" i="13"/>
  <c r="T49" i="13" s="1"/>
  <c r="S50" i="13"/>
  <c r="T50" i="13" s="1"/>
  <c r="S51" i="13"/>
  <c r="T51" i="13" s="1"/>
  <c r="S52" i="13"/>
  <c r="T52" i="13" s="1"/>
  <c r="S53" i="13"/>
  <c r="T53" i="13" s="1"/>
  <c r="S54" i="13"/>
  <c r="T54" i="13" s="1"/>
  <c r="S4" i="13"/>
  <c r="T4" i="13" s="1"/>
  <c r="R5" i="13"/>
  <c r="R6" i="13"/>
  <c r="R7" i="13"/>
  <c r="R8" i="13"/>
  <c r="R9" i="13"/>
  <c r="R10" i="13"/>
  <c r="R11" i="13"/>
  <c r="R12" i="13"/>
  <c r="R13" i="13"/>
  <c r="R14" i="13"/>
  <c r="R15" i="13"/>
  <c r="R16" i="13"/>
  <c r="R17" i="13"/>
  <c r="R18" i="13"/>
  <c r="R19" i="13"/>
  <c r="R20" i="13"/>
  <c r="R21" i="13"/>
  <c r="R22" i="13"/>
  <c r="R23" i="13"/>
  <c r="R24" i="13"/>
  <c r="R25" i="13"/>
  <c r="R26" i="13"/>
  <c r="R27" i="13"/>
  <c r="R28" i="13"/>
  <c r="R29" i="13"/>
  <c r="R30" i="13"/>
  <c r="R31" i="13"/>
  <c r="R32" i="13"/>
  <c r="R33" i="13"/>
  <c r="R34" i="13"/>
  <c r="R35" i="13"/>
  <c r="R36" i="13"/>
  <c r="R37" i="13"/>
  <c r="R38" i="13"/>
  <c r="R39" i="13"/>
  <c r="R40" i="13"/>
  <c r="R41" i="13"/>
  <c r="R42" i="13"/>
  <c r="R43" i="13"/>
  <c r="R44" i="13"/>
  <c r="R45" i="13"/>
  <c r="R46" i="13"/>
  <c r="R47" i="13"/>
  <c r="R48" i="13"/>
  <c r="R49" i="13"/>
  <c r="R50" i="13"/>
  <c r="R51" i="13"/>
  <c r="R52" i="13"/>
  <c r="R53" i="13"/>
  <c r="R54" i="13"/>
  <c r="R4" i="13"/>
  <c r="L5" i="89"/>
  <c r="M5" i="89" s="1"/>
  <c r="L6" i="89"/>
  <c r="M6" i="89" s="1"/>
  <c r="L7" i="89"/>
  <c r="M7" i="89" s="1"/>
  <c r="L8" i="89"/>
  <c r="M8" i="89" s="1"/>
  <c r="L9" i="89"/>
  <c r="L10" i="89"/>
  <c r="M10" i="89" s="1"/>
  <c r="L11" i="89"/>
  <c r="M11" i="89" s="1"/>
  <c r="L12" i="89"/>
  <c r="M9" i="89" s="1"/>
  <c r="L13" i="89"/>
  <c r="M13" i="89" s="1"/>
  <c r="L14" i="89"/>
  <c r="M14" i="89" s="1"/>
  <c r="L15" i="89"/>
  <c r="M15" i="89" s="1"/>
  <c r="L16" i="89"/>
  <c r="M16" i="89" s="1"/>
  <c r="L17" i="89"/>
  <c r="L18" i="89"/>
  <c r="M18" i="89" s="1"/>
  <c r="L19" i="89"/>
  <c r="M19" i="89" s="1"/>
  <c r="L20" i="89"/>
  <c r="M20" i="89" s="1"/>
  <c r="L21" i="89"/>
  <c r="M21" i="89" s="1"/>
  <c r="L22" i="89"/>
  <c r="M22" i="89" s="1"/>
  <c r="L23" i="89"/>
  <c r="M23" i="89" s="1"/>
  <c r="L24" i="89"/>
  <c r="M24" i="89" s="1"/>
  <c r="L25" i="89"/>
  <c r="L26" i="89"/>
  <c r="M26" i="89" s="1"/>
  <c r="L27" i="89"/>
  <c r="M27" i="89" s="1"/>
  <c r="L28" i="89"/>
  <c r="M28" i="89" s="1"/>
  <c r="L29" i="89"/>
  <c r="M29" i="89" s="1"/>
  <c r="L30" i="89"/>
  <c r="M30" i="89" s="1"/>
  <c r="L31" i="89"/>
  <c r="M31" i="89" s="1"/>
  <c r="L32" i="89"/>
  <c r="M32" i="89" s="1"/>
  <c r="L33" i="89"/>
  <c r="L34" i="89"/>
  <c r="M34" i="89" s="1"/>
  <c r="L35" i="89"/>
  <c r="M35" i="89" s="1"/>
  <c r="L36" i="89"/>
  <c r="M36" i="89" s="1"/>
  <c r="L37" i="89"/>
  <c r="M37" i="89" s="1"/>
  <c r="L38" i="89"/>
  <c r="M38" i="89" s="1"/>
  <c r="L39" i="89"/>
  <c r="M39" i="89" s="1"/>
  <c r="L40" i="89"/>
  <c r="M40" i="89" s="1"/>
  <c r="L41" i="89"/>
  <c r="L42" i="89"/>
  <c r="M42" i="89" s="1"/>
  <c r="L43" i="89"/>
  <c r="M43" i="89" s="1"/>
  <c r="L44" i="89"/>
  <c r="M44" i="89" s="1"/>
  <c r="L45" i="89"/>
  <c r="M45" i="89" s="1"/>
  <c r="L46" i="89"/>
  <c r="M46" i="89" s="1"/>
  <c r="L47" i="89"/>
  <c r="M47" i="89" s="1"/>
  <c r="L48" i="89"/>
  <c r="M48" i="89" s="1"/>
  <c r="L49" i="89"/>
  <c r="L50" i="89"/>
  <c r="M50" i="89" s="1"/>
  <c r="L51" i="89"/>
  <c r="M51" i="89" s="1"/>
  <c r="L52" i="89"/>
  <c r="M52" i="89" s="1"/>
  <c r="L53" i="89"/>
  <c r="M53" i="89" s="1"/>
  <c r="L54" i="89"/>
  <c r="M54" i="89" s="1"/>
  <c r="L55" i="89"/>
  <c r="M55" i="89" s="1"/>
  <c r="L56" i="89"/>
  <c r="M56" i="89" s="1"/>
  <c r="L4" i="89"/>
  <c r="K5" i="89"/>
  <c r="K6" i="89"/>
  <c r="K7" i="89"/>
  <c r="K8" i="89"/>
  <c r="K9" i="89"/>
  <c r="K10" i="89"/>
  <c r="K11" i="89"/>
  <c r="K12" i="89"/>
  <c r="K13" i="89"/>
  <c r="K14" i="89"/>
  <c r="K15" i="89"/>
  <c r="K16" i="89"/>
  <c r="K17" i="89"/>
  <c r="K18" i="89"/>
  <c r="K19" i="89"/>
  <c r="K20" i="89"/>
  <c r="K21" i="89"/>
  <c r="K22" i="89"/>
  <c r="K23" i="89"/>
  <c r="K24" i="89"/>
  <c r="K25" i="89"/>
  <c r="K26" i="89"/>
  <c r="K27" i="89"/>
  <c r="K28" i="89"/>
  <c r="K29" i="89"/>
  <c r="K30" i="89"/>
  <c r="K31" i="89"/>
  <c r="K32" i="89"/>
  <c r="K33" i="89"/>
  <c r="K34" i="89"/>
  <c r="K35" i="89"/>
  <c r="K36" i="89"/>
  <c r="K37" i="89"/>
  <c r="K38" i="89"/>
  <c r="K39" i="89"/>
  <c r="K40" i="89"/>
  <c r="K41" i="89"/>
  <c r="K42" i="89"/>
  <c r="K43" i="89"/>
  <c r="K44" i="89"/>
  <c r="K45" i="89"/>
  <c r="K46" i="89"/>
  <c r="K47" i="89"/>
  <c r="K48" i="89"/>
  <c r="K49" i="89"/>
  <c r="K50" i="89"/>
  <c r="K51" i="89"/>
  <c r="K52" i="89"/>
  <c r="K53" i="89"/>
  <c r="K54" i="89"/>
  <c r="K55" i="89"/>
  <c r="K56" i="89"/>
  <c r="K4" i="89"/>
  <c r="M5" i="48"/>
  <c r="N5" i="48" s="1"/>
  <c r="M6" i="48"/>
  <c r="N6" i="48" s="1"/>
  <c r="M7" i="48"/>
  <c r="N7" i="48" s="1"/>
  <c r="M8" i="48"/>
  <c r="N8" i="48" s="1"/>
  <c r="M9" i="48"/>
  <c r="N18" i="48" s="1"/>
  <c r="M10" i="48"/>
  <c r="M11" i="48"/>
  <c r="N11" i="48" s="1"/>
  <c r="M12" i="48"/>
  <c r="N12" i="48" s="1"/>
  <c r="M13" i="48"/>
  <c r="N13" i="48" s="1"/>
  <c r="M14" i="48"/>
  <c r="N14" i="48" s="1"/>
  <c r="M15" i="48"/>
  <c r="N15" i="48" s="1"/>
  <c r="M16" i="48"/>
  <c r="N16" i="48" s="1"/>
  <c r="M17" i="48"/>
  <c r="N17" i="48" s="1"/>
  <c r="M18" i="48"/>
  <c r="M19" i="48"/>
  <c r="N19" i="48" s="1"/>
  <c r="M20" i="48"/>
  <c r="N20" i="48" s="1"/>
  <c r="M21" i="48"/>
  <c r="N21" i="48" s="1"/>
  <c r="M22" i="48"/>
  <c r="N22" i="48" s="1"/>
  <c r="M23" i="48"/>
  <c r="N23" i="48" s="1"/>
  <c r="M24" i="48"/>
  <c r="N24" i="48" s="1"/>
  <c r="M25" i="48"/>
  <c r="N25" i="48" s="1"/>
  <c r="M26" i="48"/>
  <c r="M27" i="48"/>
  <c r="N27" i="48" s="1"/>
  <c r="M28" i="48"/>
  <c r="N28" i="48" s="1"/>
  <c r="M29" i="48"/>
  <c r="N29" i="48" s="1"/>
  <c r="M30" i="48"/>
  <c r="N30" i="48" s="1"/>
  <c r="M31" i="48"/>
  <c r="N31" i="48" s="1"/>
  <c r="M32" i="48"/>
  <c r="N32" i="48" s="1"/>
  <c r="M33" i="48"/>
  <c r="N33" i="48" s="1"/>
  <c r="M34" i="48"/>
  <c r="M35" i="48"/>
  <c r="N35" i="48" s="1"/>
  <c r="M36" i="48"/>
  <c r="N36" i="48" s="1"/>
  <c r="M37" i="48"/>
  <c r="N37" i="48" s="1"/>
  <c r="M38" i="48"/>
  <c r="N38" i="48" s="1"/>
  <c r="M39" i="48"/>
  <c r="N39" i="48" s="1"/>
  <c r="M40" i="48"/>
  <c r="N40" i="48" s="1"/>
  <c r="M41" i="48"/>
  <c r="N41" i="48" s="1"/>
  <c r="M42" i="48"/>
  <c r="M43" i="48"/>
  <c r="N43" i="48" s="1"/>
  <c r="M44" i="48"/>
  <c r="N44" i="48" s="1"/>
  <c r="M45" i="48"/>
  <c r="N45" i="48" s="1"/>
  <c r="M46" i="48"/>
  <c r="N46" i="48" s="1"/>
  <c r="M47" i="48"/>
  <c r="N47" i="48" s="1"/>
  <c r="M48" i="48"/>
  <c r="N48" i="48" s="1"/>
  <c r="M49" i="48"/>
  <c r="N49" i="48" s="1"/>
  <c r="M50" i="48"/>
  <c r="M51" i="48"/>
  <c r="N51" i="48" s="1"/>
  <c r="M52" i="48"/>
  <c r="N52" i="48" s="1"/>
  <c r="M4" i="48"/>
  <c r="N4" i="48" s="1"/>
  <c r="L5" i="48"/>
  <c r="L6" i="48"/>
  <c r="L7" i="48"/>
  <c r="L8" i="48"/>
  <c r="L9" i="48"/>
  <c r="L10" i="48"/>
  <c r="L11" i="48"/>
  <c r="L12" i="48"/>
  <c r="L13" i="48"/>
  <c r="L14" i="48"/>
  <c r="L15" i="48"/>
  <c r="L16" i="48"/>
  <c r="L17" i="48"/>
  <c r="L18" i="48"/>
  <c r="L19" i="48"/>
  <c r="L20" i="48"/>
  <c r="L21" i="48"/>
  <c r="L22" i="48"/>
  <c r="L23" i="48"/>
  <c r="L24" i="48"/>
  <c r="L25" i="48"/>
  <c r="L26" i="48"/>
  <c r="L27" i="48"/>
  <c r="L28" i="48"/>
  <c r="L29" i="48"/>
  <c r="L30" i="48"/>
  <c r="L31" i="48"/>
  <c r="L32" i="48"/>
  <c r="L33" i="48"/>
  <c r="L34" i="48"/>
  <c r="L35" i="48"/>
  <c r="L36" i="48"/>
  <c r="L37" i="48"/>
  <c r="L38" i="48"/>
  <c r="L39" i="48"/>
  <c r="L40" i="48"/>
  <c r="L41" i="48"/>
  <c r="L42" i="48"/>
  <c r="L43" i="48"/>
  <c r="L44" i="48"/>
  <c r="L45" i="48"/>
  <c r="L46" i="48"/>
  <c r="L47" i="48"/>
  <c r="L48" i="48"/>
  <c r="L49" i="48"/>
  <c r="L50" i="48"/>
  <c r="L51" i="48"/>
  <c r="L52" i="48"/>
  <c r="L4" i="48"/>
  <c r="K22" i="83"/>
  <c r="L22" i="83"/>
  <c r="L5" i="83"/>
  <c r="L6" i="83"/>
  <c r="L7" i="83"/>
  <c r="L8" i="83"/>
  <c r="L9" i="83"/>
  <c r="L10" i="83"/>
  <c r="L11" i="83"/>
  <c r="L12" i="83"/>
  <c r="L13" i="83"/>
  <c r="L14" i="83"/>
  <c r="L15" i="83"/>
  <c r="L16" i="83"/>
  <c r="L17" i="83"/>
  <c r="L18" i="83"/>
  <c r="L19" i="83"/>
  <c r="L20" i="83"/>
  <c r="L21" i="83"/>
  <c r="L23" i="83"/>
  <c r="L24" i="83"/>
  <c r="L25" i="83"/>
  <c r="L26" i="83"/>
  <c r="L27" i="83"/>
  <c r="L28" i="83"/>
  <c r="L29" i="83"/>
  <c r="M22" i="83" s="1"/>
  <c r="L30" i="83"/>
  <c r="L31" i="83"/>
  <c r="L32" i="83"/>
  <c r="L33" i="83"/>
  <c r="L34" i="83"/>
  <c r="L4" i="83"/>
  <c r="K5" i="83"/>
  <c r="K6" i="83"/>
  <c r="K7" i="83"/>
  <c r="K8" i="83"/>
  <c r="K9" i="83"/>
  <c r="K10" i="83"/>
  <c r="K11" i="83"/>
  <c r="K12" i="83"/>
  <c r="K13" i="83"/>
  <c r="K14" i="83"/>
  <c r="K15" i="83"/>
  <c r="K16" i="83"/>
  <c r="K17" i="83"/>
  <c r="K18" i="83"/>
  <c r="K19" i="83"/>
  <c r="K20" i="83"/>
  <c r="K21" i="83"/>
  <c r="K23" i="83"/>
  <c r="K24" i="83"/>
  <c r="K25" i="83"/>
  <c r="K26" i="83"/>
  <c r="K27" i="83"/>
  <c r="K28" i="83"/>
  <c r="K29" i="83"/>
  <c r="K30" i="83"/>
  <c r="K31" i="83"/>
  <c r="K32" i="83"/>
  <c r="K33" i="83"/>
  <c r="K34" i="83"/>
  <c r="K4" i="83"/>
  <c r="N50" i="48" l="1"/>
  <c r="N34" i="48"/>
  <c r="N10" i="48"/>
  <c r="M4" i="89"/>
  <c r="M41" i="89"/>
  <c r="M33" i="89"/>
  <c r="M17" i="89"/>
  <c r="T48" i="13"/>
  <c r="T32" i="13"/>
  <c r="N9" i="48"/>
  <c r="T24" i="13"/>
  <c r="T16" i="13"/>
  <c r="T5" i="13"/>
  <c r="M6" i="83"/>
  <c r="T40" i="13"/>
  <c r="M12" i="89"/>
  <c r="N42" i="48"/>
  <c r="N26" i="48"/>
  <c r="M49" i="89"/>
  <c r="M25" i="89"/>
  <c r="T11" i="17"/>
  <c r="T50" i="17"/>
  <c r="T4" i="17"/>
  <c r="T52" i="17"/>
  <c r="T44" i="17"/>
  <c r="T36" i="17"/>
  <c r="T28" i="17"/>
  <c r="T20" i="17"/>
  <c r="T12" i="17"/>
  <c r="T45" i="17"/>
  <c r="T37" i="17"/>
  <c r="T29" i="17"/>
  <c r="T21" i="17"/>
  <c r="T13" i="17"/>
  <c r="T5" i="17"/>
  <c r="T53" i="17"/>
  <c r="T54" i="17"/>
  <c r="T46" i="17"/>
  <c r="T38" i="17"/>
  <c r="T30" i="17"/>
  <c r="T22" i="17"/>
  <c r="T14" i="17"/>
  <c r="T6" i="17"/>
  <c r="T55" i="17"/>
  <c r="T39" i="17"/>
  <c r="T31" i="17"/>
  <c r="T23" i="17"/>
  <c r="T15" i="17"/>
  <c r="T7" i="17"/>
  <c r="T47" i="17"/>
  <c r="T56" i="17"/>
  <c r="T48" i="17"/>
  <c r="T40" i="17"/>
  <c r="T32" i="17"/>
  <c r="T24" i="17"/>
  <c r="T16" i="17"/>
  <c r="T8" i="17"/>
  <c r="T57" i="17"/>
  <c r="T49" i="17"/>
  <c r="T41" i="17"/>
  <c r="T33" i="17"/>
  <c r="T25" i="17"/>
  <c r="T17" i="17"/>
  <c r="T9" i="17"/>
  <c r="T42" i="17"/>
  <c r="T34" i="17"/>
  <c r="T26" i="17"/>
  <c r="T18" i="17"/>
  <c r="T10" i="17"/>
  <c r="T58" i="17"/>
  <c r="T59" i="17"/>
  <c r="T51" i="17"/>
  <c r="T43" i="17"/>
  <c r="T35" i="17"/>
  <c r="T27" i="17"/>
  <c r="T19" i="17"/>
  <c r="T44" i="6"/>
  <c r="T9" i="6"/>
  <c r="T50" i="6"/>
  <c r="T27" i="6"/>
  <c r="T20" i="6"/>
  <c r="T51" i="6"/>
  <c r="T28" i="6"/>
  <c r="T10" i="6"/>
  <c r="T58" i="6"/>
  <c r="T35" i="6"/>
  <c r="T12" i="6"/>
  <c r="T4" i="6"/>
  <c r="T36" i="6"/>
  <c r="T18" i="6"/>
  <c r="T43" i="6"/>
  <c r="T53" i="6"/>
  <c r="T45" i="6"/>
  <c r="T37" i="6"/>
  <c r="T29" i="6"/>
  <c r="T21" i="6"/>
  <c r="T13" i="6"/>
  <c r="T5" i="6"/>
  <c r="T54" i="6"/>
  <c r="T46" i="6"/>
  <c r="T38" i="6"/>
  <c r="T30" i="6"/>
  <c r="T22" i="6"/>
  <c r="T14" i="6"/>
  <c r="T6" i="6"/>
  <c r="T47" i="6"/>
  <c r="T39" i="6"/>
  <c r="T31" i="6"/>
  <c r="T23" i="6"/>
  <c r="T15" i="6"/>
  <c r="T7" i="6"/>
  <c r="T55" i="6"/>
  <c r="T56" i="6"/>
  <c r="T48" i="6"/>
  <c r="T40" i="6"/>
  <c r="T32" i="6"/>
  <c r="T24" i="6"/>
  <c r="T16" i="6"/>
  <c r="T8" i="6"/>
  <c r="T57" i="6"/>
  <c r="T49" i="6"/>
  <c r="T41" i="6"/>
  <c r="T33" i="6"/>
  <c r="T25" i="6"/>
  <c r="T17" i="6"/>
  <c r="M4" i="83"/>
  <c r="M33" i="83"/>
  <c r="M31" i="83"/>
  <c r="M29" i="83"/>
  <c r="M27" i="83"/>
  <c r="M25" i="83"/>
  <c r="M23" i="83"/>
  <c r="M21" i="83"/>
  <c r="M19" i="83"/>
  <c r="M17" i="83"/>
  <c r="M15" i="83"/>
  <c r="M13" i="83"/>
  <c r="M11" i="83"/>
  <c r="M9" i="83"/>
  <c r="M7" i="83"/>
  <c r="M5" i="83"/>
  <c r="M34" i="83"/>
  <c r="M32" i="83"/>
  <c r="M30" i="83"/>
  <c r="M28" i="83"/>
  <c r="M26" i="83"/>
  <c r="M24" i="83"/>
  <c r="M20" i="83"/>
  <c r="M18" i="83"/>
  <c r="M16" i="83"/>
  <c r="M14" i="83"/>
  <c r="M12" i="83"/>
  <c r="M10" i="83"/>
  <c r="M8" i="83"/>
  <c r="M5" i="79"/>
  <c r="N5" i="79" s="1"/>
  <c r="M6" i="79"/>
  <c r="M7" i="79"/>
  <c r="M8" i="79"/>
  <c r="M9" i="79"/>
  <c r="M10" i="79"/>
  <c r="N10" i="79" s="1"/>
  <c r="M11" i="79"/>
  <c r="N11" i="79" s="1"/>
  <c r="M12" i="79"/>
  <c r="N12" i="79" s="1"/>
  <c r="M13" i="79"/>
  <c r="N13" i="79" s="1"/>
  <c r="M14" i="79"/>
  <c r="M15" i="79"/>
  <c r="M16" i="79"/>
  <c r="M17" i="79"/>
  <c r="M18" i="79"/>
  <c r="N18" i="79" s="1"/>
  <c r="M19" i="79"/>
  <c r="N19" i="79" s="1"/>
  <c r="M20" i="79"/>
  <c r="N20" i="79" s="1"/>
  <c r="M21" i="79"/>
  <c r="N21" i="79" s="1"/>
  <c r="M22" i="79"/>
  <c r="M23" i="79"/>
  <c r="M24" i="79"/>
  <c r="M25" i="79"/>
  <c r="M26" i="79"/>
  <c r="N26" i="79" s="1"/>
  <c r="M27" i="79"/>
  <c r="N27" i="79" s="1"/>
  <c r="M28" i="79"/>
  <c r="N28" i="79" s="1"/>
  <c r="M29" i="79"/>
  <c r="N29" i="79" s="1"/>
  <c r="M30" i="79"/>
  <c r="M31" i="79"/>
  <c r="M32" i="79"/>
  <c r="M4" i="79"/>
  <c r="N6" i="79" s="1"/>
  <c r="L5" i="79"/>
  <c r="L6" i="79"/>
  <c r="L7" i="79"/>
  <c r="L8" i="79"/>
  <c r="L9" i="79"/>
  <c r="L10" i="79"/>
  <c r="L11" i="79"/>
  <c r="L12" i="79"/>
  <c r="L13" i="79"/>
  <c r="L14" i="79"/>
  <c r="L15" i="79"/>
  <c r="L16" i="79"/>
  <c r="L17" i="79"/>
  <c r="L18" i="79"/>
  <c r="L19" i="79"/>
  <c r="L20" i="79"/>
  <c r="L21" i="79"/>
  <c r="L22" i="79"/>
  <c r="L23" i="79"/>
  <c r="L24" i="79"/>
  <c r="L25" i="79"/>
  <c r="L26" i="79"/>
  <c r="L27" i="79"/>
  <c r="L28" i="79"/>
  <c r="L29" i="79"/>
  <c r="L30" i="79"/>
  <c r="L31" i="79"/>
  <c r="L32" i="79"/>
  <c r="L4" i="79"/>
  <c r="M5" i="75"/>
  <c r="M6" i="75"/>
  <c r="M7" i="75"/>
  <c r="M8" i="75"/>
  <c r="M9" i="75"/>
  <c r="M10" i="75"/>
  <c r="M11" i="75"/>
  <c r="M12" i="75"/>
  <c r="M13" i="75"/>
  <c r="M14" i="75"/>
  <c r="M15" i="75"/>
  <c r="M16" i="75"/>
  <c r="M17" i="75"/>
  <c r="M18" i="75"/>
  <c r="M19" i="75"/>
  <c r="M20" i="75"/>
  <c r="M21" i="75"/>
  <c r="M22" i="75"/>
  <c r="M23" i="75"/>
  <c r="M24" i="75"/>
  <c r="M25" i="75"/>
  <c r="M26" i="75"/>
  <c r="M27" i="75"/>
  <c r="M28" i="75"/>
  <c r="M29" i="75"/>
  <c r="M30" i="75"/>
  <c r="M31" i="75"/>
  <c r="M32" i="75"/>
  <c r="M4" i="75"/>
  <c r="L5" i="75"/>
  <c r="L6" i="75"/>
  <c r="L7" i="75"/>
  <c r="L8" i="75"/>
  <c r="L9" i="75"/>
  <c r="L10" i="75"/>
  <c r="L11" i="75"/>
  <c r="L12" i="75"/>
  <c r="L13" i="75"/>
  <c r="L14" i="75"/>
  <c r="L15" i="75"/>
  <c r="L16" i="75"/>
  <c r="L17" i="75"/>
  <c r="L18" i="75"/>
  <c r="L19" i="75"/>
  <c r="L20" i="75"/>
  <c r="L21" i="75"/>
  <c r="L22" i="75"/>
  <c r="L23" i="75"/>
  <c r="L24" i="75"/>
  <c r="L25" i="75"/>
  <c r="L26" i="75"/>
  <c r="L27" i="75"/>
  <c r="L28" i="75"/>
  <c r="L29" i="75"/>
  <c r="L30" i="75"/>
  <c r="L31" i="75"/>
  <c r="L32" i="75"/>
  <c r="L4" i="75"/>
  <c r="L5" i="88"/>
  <c r="L6" i="88"/>
  <c r="L7" i="88"/>
  <c r="L8" i="88"/>
  <c r="L9" i="88"/>
  <c r="L10" i="88"/>
  <c r="L11" i="88"/>
  <c r="L12" i="88"/>
  <c r="L13" i="88"/>
  <c r="L14" i="88"/>
  <c r="L15" i="88"/>
  <c r="L16" i="88"/>
  <c r="L17" i="88"/>
  <c r="L18" i="88"/>
  <c r="L19" i="88"/>
  <c r="L20" i="88"/>
  <c r="L21" i="88"/>
  <c r="L22" i="88"/>
  <c r="L23" i="88"/>
  <c r="L24" i="88"/>
  <c r="L25" i="88"/>
  <c r="L26" i="88"/>
  <c r="L27" i="88"/>
  <c r="L28" i="88"/>
  <c r="L29" i="88"/>
  <c r="L30" i="88"/>
  <c r="L31" i="88"/>
  <c r="L32" i="88"/>
  <c r="L33" i="88"/>
  <c r="L34" i="88"/>
  <c r="L35" i="88"/>
  <c r="L36" i="88"/>
  <c r="L37" i="88"/>
  <c r="L38" i="88"/>
  <c r="L39" i="88"/>
  <c r="L40" i="88"/>
  <c r="L41" i="88"/>
  <c r="L42" i="88"/>
  <c r="L43" i="88"/>
  <c r="L44" i="88"/>
  <c r="L45" i="88"/>
  <c r="L46" i="88"/>
  <c r="L47" i="88"/>
  <c r="L48" i="88"/>
  <c r="L49" i="88"/>
  <c r="L50" i="88"/>
  <c r="L51" i="88"/>
  <c r="L52" i="88"/>
  <c r="L53" i="88"/>
  <c r="L54" i="88"/>
  <c r="L55" i="88"/>
  <c r="L56" i="88"/>
  <c r="L4" i="88"/>
  <c r="K5" i="88"/>
  <c r="K6" i="88"/>
  <c r="K7" i="88"/>
  <c r="K8" i="88"/>
  <c r="K9" i="88"/>
  <c r="K10" i="88"/>
  <c r="K11" i="88"/>
  <c r="K12" i="88"/>
  <c r="K13" i="88"/>
  <c r="K14" i="88"/>
  <c r="K15" i="88"/>
  <c r="K16" i="88"/>
  <c r="K17" i="88"/>
  <c r="K18" i="88"/>
  <c r="K19" i="88"/>
  <c r="K20" i="88"/>
  <c r="K21" i="88"/>
  <c r="K22" i="88"/>
  <c r="K23" i="88"/>
  <c r="K24" i="88"/>
  <c r="K25" i="88"/>
  <c r="K26" i="88"/>
  <c r="K27" i="88"/>
  <c r="K28" i="88"/>
  <c r="K29" i="88"/>
  <c r="K30" i="88"/>
  <c r="K31" i="88"/>
  <c r="K32" i="88"/>
  <c r="K33" i="88"/>
  <c r="K34" i="88"/>
  <c r="K35" i="88"/>
  <c r="K36" i="88"/>
  <c r="K37" i="88"/>
  <c r="K38" i="88"/>
  <c r="K39" i="88"/>
  <c r="K40" i="88"/>
  <c r="K41" i="88"/>
  <c r="K42" i="88"/>
  <c r="K43" i="88"/>
  <c r="K44" i="88"/>
  <c r="K45" i="88"/>
  <c r="K46" i="88"/>
  <c r="K47" i="88"/>
  <c r="K48" i="88"/>
  <c r="K49" i="88"/>
  <c r="K50" i="88"/>
  <c r="K51" i="88"/>
  <c r="K52" i="88"/>
  <c r="K53" i="88"/>
  <c r="K54" i="88"/>
  <c r="K55" i="88"/>
  <c r="K56" i="88"/>
  <c r="K4" i="88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40" i="20"/>
  <c r="M41" i="20"/>
  <c r="M42" i="20"/>
  <c r="M43" i="20"/>
  <c r="M44" i="20"/>
  <c r="M45" i="20"/>
  <c r="M46" i="20"/>
  <c r="M47" i="20"/>
  <c r="M48" i="20"/>
  <c r="M49" i="20"/>
  <c r="M50" i="20"/>
  <c r="M51" i="20"/>
  <c r="M52" i="20"/>
  <c r="M4" i="20"/>
  <c r="L5" i="20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38" i="20"/>
  <c r="L39" i="20"/>
  <c r="L40" i="20"/>
  <c r="L41" i="20"/>
  <c r="L42" i="20"/>
  <c r="L43" i="20"/>
  <c r="L44" i="20"/>
  <c r="L45" i="20"/>
  <c r="L46" i="20"/>
  <c r="L47" i="20"/>
  <c r="L48" i="20"/>
  <c r="L49" i="20"/>
  <c r="L50" i="20"/>
  <c r="L51" i="20"/>
  <c r="L52" i="20"/>
  <c r="L4" i="20"/>
  <c r="S5" i="16"/>
  <c r="S6" i="16"/>
  <c r="S7" i="16"/>
  <c r="S8" i="16"/>
  <c r="S9" i="16"/>
  <c r="S10" i="16"/>
  <c r="S11" i="16"/>
  <c r="S12" i="16"/>
  <c r="S13" i="16"/>
  <c r="S14" i="16"/>
  <c r="S15" i="16"/>
  <c r="S16" i="16"/>
  <c r="S17" i="16"/>
  <c r="S18" i="16"/>
  <c r="S19" i="16"/>
  <c r="S20" i="16"/>
  <c r="S21" i="16"/>
  <c r="S22" i="16"/>
  <c r="S23" i="16"/>
  <c r="S24" i="16"/>
  <c r="S25" i="16"/>
  <c r="S26" i="16"/>
  <c r="S27" i="16"/>
  <c r="S28" i="16"/>
  <c r="S29" i="16"/>
  <c r="S30" i="16"/>
  <c r="S31" i="16"/>
  <c r="S33" i="16"/>
  <c r="S34" i="16"/>
  <c r="S35" i="16"/>
  <c r="S36" i="16"/>
  <c r="S37" i="16"/>
  <c r="S38" i="16"/>
  <c r="S39" i="16"/>
  <c r="S40" i="16"/>
  <c r="S41" i="16"/>
  <c r="S42" i="16"/>
  <c r="S43" i="16"/>
  <c r="S44" i="16"/>
  <c r="S45" i="16"/>
  <c r="S46" i="16"/>
  <c r="S47" i="16"/>
  <c r="S48" i="16"/>
  <c r="S49" i="16"/>
  <c r="S50" i="16"/>
  <c r="S51" i="16"/>
  <c r="S52" i="16"/>
  <c r="S53" i="16"/>
  <c r="S54" i="16"/>
  <c r="S55" i="16"/>
  <c r="S56" i="16"/>
  <c r="S57" i="16"/>
  <c r="S58" i="16"/>
  <c r="S59" i="16"/>
  <c r="S4" i="16"/>
  <c r="R5" i="16"/>
  <c r="R6" i="16"/>
  <c r="R7" i="16"/>
  <c r="R8" i="16"/>
  <c r="R9" i="16"/>
  <c r="R10" i="16"/>
  <c r="R11" i="16"/>
  <c r="R12" i="16"/>
  <c r="R13" i="16"/>
  <c r="R14" i="16"/>
  <c r="R15" i="16"/>
  <c r="R16" i="16"/>
  <c r="R17" i="16"/>
  <c r="R18" i="16"/>
  <c r="R19" i="16"/>
  <c r="R20" i="16"/>
  <c r="R21" i="16"/>
  <c r="R22" i="16"/>
  <c r="R23" i="16"/>
  <c r="R24" i="16"/>
  <c r="R25" i="16"/>
  <c r="R26" i="16"/>
  <c r="R27" i="16"/>
  <c r="R28" i="16"/>
  <c r="R29" i="16"/>
  <c r="R30" i="16"/>
  <c r="R31" i="16"/>
  <c r="R32" i="16"/>
  <c r="R33" i="16"/>
  <c r="R34" i="16"/>
  <c r="R35" i="16"/>
  <c r="R36" i="16"/>
  <c r="R37" i="16"/>
  <c r="R38" i="16"/>
  <c r="R39" i="16"/>
  <c r="R40" i="16"/>
  <c r="R41" i="16"/>
  <c r="R42" i="16"/>
  <c r="R43" i="16"/>
  <c r="R44" i="16"/>
  <c r="R45" i="16"/>
  <c r="R46" i="16"/>
  <c r="R47" i="16"/>
  <c r="R48" i="16"/>
  <c r="R49" i="16"/>
  <c r="R50" i="16"/>
  <c r="R51" i="16"/>
  <c r="R52" i="16"/>
  <c r="R53" i="16"/>
  <c r="R54" i="16"/>
  <c r="R55" i="16"/>
  <c r="R56" i="16"/>
  <c r="R57" i="16"/>
  <c r="R58" i="16"/>
  <c r="R59" i="16"/>
  <c r="R4" i="16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4" i="12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9" i="8"/>
  <c r="S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4" i="8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4" i="5"/>
  <c r="N170" i="82"/>
  <c r="N167" i="82"/>
  <c r="N164" i="82"/>
  <c r="N161" i="82"/>
  <c r="N158" i="82"/>
  <c r="N155" i="82"/>
  <c r="N152" i="82"/>
  <c r="N149" i="82"/>
  <c r="N146" i="82"/>
  <c r="N143" i="82"/>
  <c r="N140" i="82"/>
  <c r="N137" i="82"/>
  <c r="N134" i="82"/>
  <c r="N131" i="82"/>
  <c r="N128" i="82"/>
  <c r="N125" i="82"/>
  <c r="N122" i="82"/>
  <c r="N119" i="82"/>
  <c r="N116" i="82"/>
  <c r="N113" i="82"/>
  <c r="N110" i="82"/>
  <c r="N107" i="82"/>
  <c r="N104" i="82"/>
  <c r="N101" i="82"/>
  <c r="N98" i="82"/>
  <c r="N95" i="82"/>
  <c r="N92" i="82"/>
  <c r="N89" i="82"/>
  <c r="N86" i="82"/>
  <c r="N83" i="82"/>
  <c r="N80" i="82"/>
  <c r="N77" i="82"/>
  <c r="N74" i="82"/>
  <c r="N71" i="82"/>
  <c r="N68" i="82"/>
  <c r="N65" i="82"/>
  <c r="N62" i="82"/>
  <c r="N59" i="82"/>
  <c r="N56" i="82"/>
  <c r="N53" i="82"/>
  <c r="N50" i="82"/>
  <c r="N47" i="82"/>
  <c r="N44" i="82"/>
  <c r="N41" i="82"/>
  <c r="N38" i="82"/>
  <c r="N35" i="82"/>
  <c r="N32" i="82"/>
  <c r="N29" i="82"/>
  <c r="N26" i="82"/>
  <c r="N23" i="82"/>
  <c r="N20" i="82"/>
  <c r="N17" i="82"/>
  <c r="N14" i="82"/>
  <c r="N11" i="82"/>
  <c r="N8" i="82"/>
  <c r="F4" i="85"/>
  <c r="F5" i="85"/>
  <c r="F6" i="85"/>
  <c r="F7" i="85"/>
  <c r="F8" i="85"/>
  <c r="F9" i="85"/>
  <c r="F10" i="85"/>
  <c r="F11" i="85"/>
  <c r="F12" i="85"/>
  <c r="F13" i="85"/>
  <c r="F14" i="85"/>
  <c r="F15" i="85"/>
  <c r="F16" i="85"/>
  <c r="F17" i="85"/>
  <c r="F18" i="85"/>
  <c r="F19" i="85"/>
  <c r="F20" i="85"/>
  <c r="F21" i="85"/>
  <c r="F22" i="85"/>
  <c r="F23" i="85"/>
  <c r="F24" i="85"/>
  <c r="F25" i="85"/>
  <c r="F26" i="85"/>
  <c r="F27" i="85"/>
  <c r="F28" i="85"/>
  <c r="F29" i="85"/>
  <c r="F30" i="85"/>
  <c r="F31" i="85"/>
  <c r="F32" i="85"/>
  <c r="F33" i="85"/>
  <c r="F34" i="85"/>
  <c r="F35" i="85"/>
  <c r="G35" i="85" s="1"/>
  <c r="F36" i="85"/>
  <c r="F37" i="85"/>
  <c r="F38" i="85"/>
  <c r="F39" i="85"/>
  <c r="G39" i="85" s="1"/>
  <c r="F40" i="85"/>
  <c r="F41" i="85"/>
  <c r="F42" i="85"/>
  <c r="F43" i="85"/>
  <c r="G43" i="85" s="1"/>
  <c r="F44" i="85"/>
  <c r="F45" i="85"/>
  <c r="F46" i="85"/>
  <c r="F47" i="85"/>
  <c r="G47" i="85" s="1"/>
  <c r="F48" i="85"/>
  <c r="F49" i="85"/>
  <c r="G49" i="85" s="1"/>
  <c r="F50" i="85"/>
  <c r="F51" i="85"/>
  <c r="G51" i="85" s="1"/>
  <c r="F52" i="85"/>
  <c r="F53" i="85"/>
  <c r="F54" i="85"/>
  <c r="F55" i="85"/>
  <c r="G55" i="85" s="1"/>
  <c r="F56" i="85"/>
  <c r="F57" i="85"/>
  <c r="F58" i="85"/>
  <c r="G40" i="85"/>
  <c r="G48" i="85"/>
  <c r="G56" i="85"/>
  <c r="E4" i="85"/>
  <c r="E5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G36" i="85" s="1"/>
  <c r="E37" i="85"/>
  <c r="G37" i="85" s="1"/>
  <c r="E38" i="85"/>
  <c r="E39" i="85"/>
  <c r="E40" i="85"/>
  <c r="E41" i="85"/>
  <c r="G41" i="85" s="1"/>
  <c r="E42" i="85"/>
  <c r="E43" i="85"/>
  <c r="E44" i="85"/>
  <c r="G44" i="85" s="1"/>
  <c r="E45" i="85"/>
  <c r="G45" i="85" s="1"/>
  <c r="E46" i="85"/>
  <c r="E47" i="85"/>
  <c r="E48" i="85"/>
  <c r="E49" i="85"/>
  <c r="E50" i="85"/>
  <c r="E51" i="85"/>
  <c r="E52" i="85"/>
  <c r="G52" i="85" s="1"/>
  <c r="E53" i="85"/>
  <c r="G53" i="85" s="1"/>
  <c r="E54" i="85"/>
  <c r="E55" i="85"/>
  <c r="E56" i="85"/>
  <c r="E57" i="85"/>
  <c r="G57" i="85" s="1"/>
  <c r="E58" i="85"/>
  <c r="O170" i="78"/>
  <c r="O167" i="78"/>
  <c r="O164" i="78"/>
  <c r="O161" i="78"/>
  <c r="O158" i="78"/>
  <c r="O155" i="78"/>
  <c r="O152" i="78"/>
  <c r="O149" i="78"/>
  <c r="O146" i="78"/>
  <c r="O143" i="78"/>
  <c r="O140" i="78"/>
  <c r="O137" i="78"/>
  <c r="O134" i="78"/>
  <c r="O131" i="78"/>
  <c r="O128" i="78"/>
  <c r="O125" i="78"/>
  <c r="O122" i="78"/>
  <c r="O119" i="78"/>
  <c r="O116" i="78"/>
  <c r="O113" i="78"/>
  <c r="O110" i="78"/>
  <c r="O107" i="78"/>
  <c r="O104" i="78"/>
  <c r="O101" i="78"/>
  <c r="O98" i="78"/>
  <c r="O95" i="78"/>
  <c r="O92" i="74"/>
  <c r="O89" i="74"/>
  <c r="O86" i="74"/>
  <c r="O83" i="74"/>
  <c r="O80" i="74"/>
  <c r="O77" i="74"/>
  <c r="O74" i="74"/>
  <c r="O71" i="74"/>
  <c r="O68" i="74"/>
  <c r="O65" i="74"/>
  <c r="O62" i="74"/>
  <c r="O59" i="74"/>
  <c r="O56" i="74"/>
  <c r="O53" i="74"/>
  <c r="O50" i="74"/>
  <c r="O47" i="74"/>
  <c r="O44" i="74"/>
  <c r="O41" i="74"/>
  <c r="O38" i="74"/>
  <c r="O35" i="74"/>
  <c r="O32" i="74"/>
  <c r="O29" i="74"/>
  <c r="O26" i="74"/>
  <c r="O23" i="74"/>
  <c r="O20" i="74"/>
  <c r="O17" i="74"/>
  <c r="O14" i="74"/>
  <c r="O11" i="74"/>
  <c r="O8" i="74"/>
  <c r="N168" i="87"/>
  <c r="N165" i="87"/>
  <c r="G28" i="85" l="1"/>
  <c r="G20" i="85"/>
  <c r="G12" i="85"/>
  <c r="G4" i="85"/>
  <c r="G32" i="85"/>
  <c r="G24" i="85"/>
  <c r="G16" i="85"/>
  <c r="G8" i="85"/>
  <c r="M6" i="88"/>
  <c r="G58" i="85"/>
  <c r="G50" i="85"/>
  <c r="G42" i="85"/>
  <c r="N4" i="79"/>
  <c r="N25" i="79"/>
  <c r="N17" i="79"/>
  <c r="N9" i="79"/>
  <c r="T6" i="16"/>
  <c r="N32" i="79"/>
  <c r="N24" i="79"/>
  <c r="N16" i="79"/>
  <c r="N8" i="79"/>
  <c r="G29" i="85"/>
  <c r="G21" i="85"/>
  <c r="G13" i="85"/>
  <c r="G5" i="85"/>
  <c r="N31" i="79"/>
  <c r="N23" i="79"/>
  <c r="N15" i="79"/>
  <c r="N7" i="79"/>
  <c r="N30" i="79"/>
  <c r="N22" i="79"/>
  <c r="N14" i="79"/>
  <c r="G54" i="85"/>
  <c r="G46" i="85"/>
  <c r="G38" i="85"/>
  <c r="G33" i="85"/>
  <c r="G25" i="85"/>
  <c r="G17" i="85"/>
  <c r="G9" i="85"/>
  <c r="T6" i="8"/>
  <c r="T59" i="8"/>
  <c r="T57" i="8"/>
  <c r="T55" i="8"/>
  <c r="T53" i="8"/>
  <c r="T51" i="8"/>
  <c r="T49" i="8"/>
  <c r="T47" i="8"/>
  <c r="T45" i="8"/>
  <c r="T43" i="8"/>
  <c r="T41" i="8"/>
  <c r="T39" i="8"/>
  <c r="T37" i="8"/>
  <c r="T35" i="8"/>
  <c r="T33" i="8"/>
  <c r="T31" i="8"/>
  <c r="T29" i="8"/>
  <c r="T27" i="8"/>
  <c r="T25" i="8"/>
  <c r="T23" i="8"/>
  <c r="T21" i="8"/>
  <c r="T19" i="8"/>
  <c r="T17" i="8"/>
  <c r="T15" i="8"/>
  <c r="T13" i="8"/>
  <c r="T11" i="8"/>
  <c r="T9" i="8"/>
  <c r="T7" i="8"/>
  <c r="T5" i="8"/>
  <c r="T4" i="8"/>
  <c r="T58" i="8"/>
  <c r="T56" i="8"/>
  <c r="T54" i="8"/>
  <c r="T52" i="8"/>
  <c r="T50" i="8"/>
  <c r="T48" i="8"/>
  <c r="T46" i="8"/>
  <c r="T44" i="8"/>
  <c r="T42" i="8"/>
  <c r="T40" i="8"/>
  <c r="T38" i="8"/>
  <c r="T36" i="8"/>
  <c r="T34" i="8"/>
  <c r="T32" i="8"/>
  <c r="T30" i="8"/>
  <c r="T28" i="8"/>
  <c r="T26" i="8"/>
  <c r="T24" i="8"/>
  <c r="T22" i="8"/>
  <c r="T20" i="8"/>
  <c r="T18" i="8"/>
  <c r="T16" i="8"/>
  <c r="T14" i="8"/>
  <c r="T12" i="8"/>
  <c r="T10" i="8"/>
  <c r="T8" i="8"/>
  <c r="T5" i="5"/>
  <c r="M37" i="88"/>
  <c r="M13" i="88"/>
  <c r="M5" i="88"/>
  <c r="M21" i="88"/>
  <c r="M9" i="88"/>
  <c r="M53" i="88"/>
  <c r="M7" i="88"/>
  <c r="M45" i="88"/>
  <c r="M29" i="88"/>
  <c r="M4" i="88"/>
  <c r="M49" i="88"/>
  <c r="M41" i="88"/>
  <c r="M33" i="88"/>
  <c r="M25" i="88"/>
  <c r="M17" i="88"/>
  <c r="M55" i="88"/>
  <c r="M51" i="88"/>
  <c r="M47" i="88"/>
  <c r="M43" i="88"/>
  <c r="M39" i="88"/>
  <c r="M35" i="88"/>
  <c r="M31" i="88"/>
  <c r="M27" i="88"/>
  <c r="M23" i="88"/>
  <c r="M19" i="88"/>
  <c r="M15" i="88"/>
  <c r="M11" i="88"/>
  <c r="M56" i="88"/>
  <c r="M54" i="88"/>
  <c r="M52" i="88"/>
  <c r="M50" i="88"/>
  <c r="M48" i="88"/>
  <c r="M46" i="88"/>
  <c r="M44" i="88"/>
  <c r="M42" i="88"/>
  <c r="M40" i="88"/>
  <c r="M38" i="88"/>
  <c r="M36" i="88"/>
  <c r="M34" i="88"/>
  <c r="M32" i="88"/>
  <c r="M30" i="88"/>
  <c r="M28" i="88"/>
  <c r="M26" i="88"/>
  <c r="M24" i="88"/>
  <c r="M22" i="88"/>
  <c r="M20" i="88"/>
  <c r="M18" i="88"/>
  <c r="M16" i="88"/>
  <c r="M14" i="88"/>
  <c r="M12" i="88"/>
  <c r="M10" i="88"/>
  <c r="M8" i="88"/>
  <c r="N5" i="20"/>
  <c r="N52" i="20"/>
  <c r="N50" i="20"/>
  <c r="N48" i="20"/>
  <c r="N46" i="20"/>
  <c r="N44" i="20"/>
  <c r="N42" i="20"/>
  <c r="N40" i="20"/>
  <c r="N38" i="20"/>
  <c r="N36" i="20"/>
  <c r="N34" i="20"/>
  <c r="N32" i="20"/>
  <c r="N30" i="20"/>
  <c r="N28" i="20"/>
  <c r="N26" i="20"/>
  <c r="N24" i="20"/>
  <c r="N22" i="20"/>
  <c r="N20" i="20"/>
  <c r="N18" i="20"/>
  <c r="N16" i="20"/>
  <c r="N14" i="20"/>
  <c r="N12" i="20"/>
  <c r="N10" i="20"/>
  <c r="N8" i="20"/>
  <c r="N6" i="20"/>
  <c r="N4" i="20"/>
  <c r="N51" i="20"/>
  <c r="N49" i="20"/>
  <c r="N47" i="20"/>
  <c r="N45" i="20"/>
  <c r="N43" i="20"/>
  <c r="N41" i="20"/>
  <c r="N39" i="20"/>
  <c r="N37" i="20"/>
  <c r="N35" i="20"/>
  <c r="N33" i="20"/>
  <c r="N31" i="20"/>
  <c r="N29" i="20"/>
  <c r="N27" i="20"/>
  <c r="N25" i="20"/>
  <c r="N23" i="20"/>
  <c r="N21" i="20"/>
  <c r="N19" i="20"/>
  <c r="N17" i="20"/>
  <c r="N15" i="20"/>
  <c r="N13" i="20"/>
  <c r="N11" i="20"/>
  <c r="N9" i="20"/>
  <c r="N7" i="20"/>
  <c r="G34" i="85"/>
  <c r="G30" i="85"/>
  <c r="G26" i="85"/>
  <c r="G22" i="85"/>
  <c r="G18" i="85"/>
  <c r="G14" i="85"/>
  <c r="G10" i="85"/>
  <c r="G6" i="85"/>
  <c r="G31" i="85"/>
  <c r="G27" i="85"/>
  <c r="G23" i="85"/>
  <c r="G19" i="85"/>
  <c r="G15" i="85"/>
  <c r="G11" i="85"/>
  <c r="G7" i="85"/>
  <c r="N5" i="75"/>
  <c r="N32" i="75"/>
  <c r="N30" i="75"/>
  <c r="N28" i="75"/>
  <c r="N26" i="75"/>
  <c r="N24" i="75"/>
  <c r="N22" i="75"/>
  <c r="N20" i="75"/>
  <c r="N18" i="75"/>
  <c r="N16" i="75"/>
  <c r="N14" i="75"/>
  <c r="N12" i="75"/>
  <c r="N10" i="75"/>
  <c r="N8" i="75"/>
  <c r="N6" i="75"/>
  <c r="N4" i="75"/>
  <c r="N31" i="75"/>
  <c r="N29" i="75"/>
  <c r="N27" i="75"/>
  <c r="N25" i="75"/>
  <c r="N23" i="75"/>
  <c r="N21" i="75"/>
  <c r="N19" i="75"/>
  <c r="N17" i="75"/>
  <c r="N15" i="75"/>
  <c r="N13" i="75"/>
  <c r="N11" i="75"/>
  <c r="N9" i="75"/>
  <c r="N7" i="75"/>
  <c r="T5" i="12"/>
  <c r="T54" i="12"/>
  <c r="T52" i="12"/>
  <c r="T50" i="12"/>
  <c r="T48" i="12"/>
  <c r="T46" i="12"/>
  <c r="T44" i="12"/>
  <c r="T42" i="12"/>
  <c r="T40" i="12"/>
  <c r="T38" i="12"/>
  <c r="T36" i="12"/>
  <c r="T34" i="12"/>
  <c r="T32" i="12"/>
  <c r="T30" i="12"/>
  <c r="T28" i="12"/>
  <c r="T26" i="12"/>
  <c r="T24" i="12"/>
  <c r="T22" i="12"/>
  <c r="T20" i="12"/>
  <c r="T18" i="12"/>
  <c r="T16" i="12"/>
  <c r="T14" i="12"/>
  <c r="T12" i="12"/>
  <c r="T10" i="12"/>
  <c r="T8" i="12"/>
  <c r="T6" i="12"/>
  <c r="T4" i="12"/>
  <c r="T53" i="12"/>
  <c r="T51" i="12"/>
  <c r="T49" i="12"/>
  <c r="T47" i="12"/>
  <c r="T45" i="12"/>
  <c r="T43" i="12"/>
  <c r="T41" i="12"/>
  <c r="T39" i="12"/>
  <c r="T37" i="12"/>
  <c r="T35" i="12"/>
  <c r="T33" i="12"/>
  <c r="T31" i="12"/>
  <c r="T29" i="12"/>
  <c r="T27" i="12"/>
  <c r="T25" i="12"/>
  <c r="T23" i="12"/>
  <c r="T21" i="12"/>
  <c r="T19" i="12"/>
  <c r="T17" i="12"/>
  <c r="T15" i="12"/>
  <c r="T13" i="12"/>
  <c r="T11" i="12"/>
  <c r="T9" i="12"/>
  <c r="T7" i="12"/>
  <c r="T59" i="16"/>
  <c r="T57" i="16"/>
  <c r="T55" i="16"/>
  <c r="T53" i="16"/>
  <c r="T51" i="16"/>
  <c r="T49" i="16"/>
  <c r="T47" i="16"/>
  <c r="T45" i="16"/>
  <c r="T43" i="16"/>
  <c r="T41" i="16"/>
  <c r="T39" i="16"/>
  <c r="T37" i="16"/>
  <c r="T35" i="16"/>
  <c r="T33" i="16"/>
  <c r="T31" i="16"/>
  <c r="T29" i="16"/>
  <c r="T27" i="16"/>
  <c r="T25" i="16"/>
  <c r="T23" i="16"/>
  <c r="T21" i="16"/>
  <c r="T19" i="16"/>
  <c r="T17" i="16"/>
  <c r="T15" i="16"/>
  <c r="T13" i="16"/>
  <c r="T11" i="16"/>
  <c r="T9" i="16"/>
  <c r="T7" i="16"/>
  <c r="T5" i="16"/>
  <c r="T4" i="16"/>
  <c r="T58" i="16"/>
  <c r="T56" i="16"/>
  <c r="T54" i="16"/>
  <c r="T52" i="16"/>
  <c r="T50" i="16"/>
  <c r="T48" i="16"/>
  <c r="T46" i="16"/>
  <c r="T44" i="16"/>
  <c r="T42" i="16"/>
  <c r="T40" i="16"/>
  <c r="T38" i="16"/>
  <c r="T36" i="16"/>
  <c r="T34" i="16"/>
  <c r="T32" i="16"/>
  <c r="T30" i="16"/>
  <c r="T28" i="16"/>
  <c r="T26" i="16"/>
  <c r="T24" i="16"/>
  <c r="T22" i="16"/>
  <c r="T20" i="16"/>
  <c r="T18" i="16"/>
  <c r="T16" i="16"/>
  <c r="T14" i="16"/>
  <c r="T12" i="16"/>
  <c r="T10" i="16"/>
  <c r="T8" i="16"/>
  <c r="T58" i="5"/>
  <c r="T56" i="5"/>
  <c r="T54" i="5"/>
  <c r="T52" i="5"/>
  <c r="T50" i="5"/>
  <c r="T48" i="5"/>
  <c r="T46" i="5"/>
  <c r="T44" i="5"/>
  <c r="T42" i="5"/>
  <c r="T40" i="5"/>
  <c r="T38" i="5"/>
  <c r="T36" i="5"/>
  <c r="T34" i="5"/>
  <c r="T32" i="5"/>
  <c r="T30" i="5"/>
  <c r="T28" i="5"/>
  <c r="T26" i="5"/>
  <c r="T24" i="5"/>
  <c r="T22" i="5"/>
  <c r="T20" i="5"/>
  <c r="T18" i="5"/>
  <c r="T16" i="5"/>
  <c r="T14" i="5"/>
  <c r="T12" i="5"/>
  <c r="T10" i="5"/>
  <c r="T8" i="5"/>
  <c r="T6" i="5"/>
  <c r="T4" i="5"/>
  <c r="T57" i="5"/>
  <c r="T55" i="5"/>
  <c r="T53" i="5"/>
  <c r="T51" i="5"/>
  <c r="T49" i="5"/>
  <c r="T47" i="5"/>
  <c r="T45" i="5"/>
  <c r="T43" i="5"/>
  <c r="T41" i="5"/>
  <c r="T39" i="5"/>
  <c r="T37" i="5"/>
  <c r="T35" i="5"/>
  <c r="T33" i="5"/>
  <c r="T31" i="5"/>
  <c r="T29" i="5"/>
  <c r="T27" i="5"/>
  <c r="T25" i="5"/>
  <c r="T23" i="5"/>
  <c r="T21" i="5"/>
  <c r="T19" i="5"/>
  <c r="T17" i="5"/>
  <c r="T15" i="5"/>
  <c r="T13" i="5"/>
  <c r="T11" i="5"/>
  <c r="T9" i="5"/>
  <c r="T7" i="5"/>
  <c r="O168" i="25"/>
  <c r="O165" i="25"/>
  <c r="O162" i="25"/>
  <c r="O159" i="25"/>
  <c r="O156" i="25"/>
  <c r="O153" i="25"/>
  <c r="G53" i="49"/>
  <c r="G54" i="49"/>
  <c r="G58" i="49"/>
  <c r="F4" i="49"/>
  <c r="F5" i="49"/>
  <c r="F6" i="49"/>
  <c r="F7" i="49"/>
  <c r="F8" i="49"/>
  <c r="F9" i="49"/>
  <c r="F10" i="49"/>
  <c r="F11" i="49"/>
  <c r="F12" i="49"/>
  <c r="F13" i="49"/>
  <c r="F14" i="49"/>
  <c r="F15" i="49"/>
  <c r="F16" i="49"/>
  <c r="F17" i="49"/>
  <c r="F18" i="49"/>
  <c r="F19" i="49"/>
  <c r="F20" i="49"/>
  <c r="F21" i="49"/>
  <c r="F22" i="49"/>
  <c r="F23" i="49"/>
  <c r="F24" i="49"/>
  <c r="F25" i="49"/>
  <c r="F26" i="49"/>
  <c r="F27" i="49"/>
  <c r="F28" i="49"/>
  <c r="F29" i="49"/>
  <c r="F30" i="49"/>
  <c r="F31" i="49"/>
  <c r="F32" i="49"/>
  <c r="F33" i="49"/>
  <c r="F34" i="49"/>
  <c r="F35" i="49"/>
  <c r="F36" i="49"/>
  <c r="F37" i="49"/>
  <c r="F38" i="49"/>
  <c r="F39" i="49"/>
  <c r="F40" i="49"/>
  <c r="F41" i="49"/>
  <c r="F42" i="49"/>
  <c r="F43" i="49"/>
  <c r="F44" i="49"/>
  <c r="F45" i="49"/>
  <c r="F46" i="49"/>
  <c r="F47" i="49"/>
  <c r="F48" i="49"/>
  <c r="F49" i="49"/>
  <c r="F50" i="49"/>
  <c r="F51" i="49"/>
  <c r="F52" i="49"/>
  <c r="F53" i="49"/>
  <c r="F54" i="49"/>
  <c r="F55" i="49"/>
  <c r="F56" i="49"/>
  <c r="F57" i="49"/>
  <c r="F58" i="49"/>
  <c r="E4" i="49"/>
  <c r="E5" i="49"/>
  <c r="G5" i="49" s="1"/>
  <c r="E6" i="49"/>
  <c r="E7" i="49"/>
  <c r="E8" i="49"/>
  <c r="G8" i="49" s="1"/>
  <c r="E9" i="49"/>
  <c r="G9" i="49" s="1"/>
  <c r="E10" i="49"/>
  <c r="E11" i="49"/>
  <c r="E12" i="49"/>
  <c r="G12" i="49" s="1"/>
  <c r="E13" i="49"/>
  <c r="G13" i="49" s="1"/>
  <c r="E14" i="49"/>
  <c r="E15" i="49"/>
  <c r="E16" i="49"/>
  <c r="G16" i="49" s="1"/>
  <c r="E17" i="49"/>
  <c r="G17" i="49" s="1"/>
  <c r="E18" i="49"/>
  <c r="E19" i="49"/>
  <c r="E20" i="49"/>
  <c r="E21" i="49"/>
  <c r="G21" i="49" s="1"/>
  <c r="E22" i="49"/>
  <c r="E23" i="49"/>
  <c r="E24" i="49"/>
  <c r="G24" i="49" s="1"/>
  <c r="E25" i="49"/>
  <c r="G25" i="49" s="1"/>
  <c r="E26" i="49"/>
  <c r="E27" i="49"/>
  <c r="E28" i="49"/>
  <c r="G28" i="49" s="1"/>
  <c r="E29" i="49"/>
  <c r="G29" i="49" s="1"/>
  <c r="E30" i="49"/>
  <c r="E31" i="49"/>
  <c r="E32" i="49"/>
  <c r="G32" i="49" s="1"/>
  <c r="E33" i="49"/>
  <c r="G33" i="49" s="1"/>
  <c r="E34" i="49"/>
  <c r="E35" i="49"/>
  <c r="E36" i="49"/>
  <c r="G36" i="49" s="1"/>
  <c r="E37" i="49"/>
  <c r="G37" i="49" s="1"/>
  <c r="E38" i="49"/>
  <c r="E39" i="49"/>
  <c r="E40" i="49"/>
  <c r="G40" i="49" s="1"/>
  <c r="E41" i="49"/>
  <c r="G41" i="49" s="1"/>
  <c r="E42" i="49"/>
  <c r="E43" i="49"/>
  <c r="E44" i="49"/>
  <c r="G44" i="49" s="1"/>
  <c r="E45" i="49"/>
  <c r="G45" i="49" s="1"/>
  <c r="E46" i="49"/>
  <c r="E47" i="49"/>
  <c r="E48" i="49"/>
  <c r="G48" i="49" s="1"/>
  <c r="E49" i="49"/>
  <c r="G49" i="49" s="1"/>
  <c r="E50" i="49"/>
  <c r="E51" i="49"/>
  <c r="E52" i="49"/>
  <c r="G52" i="49" s="1"/>
  <c r="E53" i="49"/>
  <c r="E54" i="49"/>
  <c r="E55" i="49"/>
  <c r="G55" i="49" s="1"/>
  <c r="E56" i="49"/>
  <c r="G56" i="49" s="1"/>
  <c r="E57" i="49"/>
  <c r="G57" i="49" s="1"/>
  <c r="E58" i="49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E4" i="18"/>
  <c r="E5" i="18"/>
  <c r="G5" i="18" s="1"/>
  <c r="E6" i="18"/>
  <c r="G6" i="18" s="1"/>
  <c r="E7" i="18"/>
  <c r="G7" i="18" s="1"/>
  <c r="E8" i="18"/>
  <c r="G8" i="18" s="1"/>
  <c r="E9" i="18"/>
  <c r="G9" i="18" s="1"/>
  <c r="E10" i="18"/>
  <c r="G10" i="18" s="1"/>
  <c r="E11" i="18"/>
  <c r="G11" i="18" s="1"/>
  <c r="E12" i="18"/>
  <c r="G12" i="18" s="1"/>
  <c r="E13" i="18"/>
  <c r="G13" i="18" s="1"/>
  <c r="E14" i="18"/>
  <c r="G14" i="18" s="1"/>
  <c r="E15" i="18"/>
  <c r="G15" i="18" s="1"/>
  <c r="E16" i="18"/>
  <c r="E17" i="18"/>
  <c r="G17" i="18" s="1"/>
  <c r="E18" i="18"/>
  <c r="G18" i="18" s="1"/>
  <c r="E19" i="18"/>
  <c r="G19" i="18" s="1"/>
  <c r="E20" i="18"/>
  <c r="G20" i="18" s="1"/>
  <c r="E21" i="18"/>
  <c r="G21" i="18" s="1"/>
  <c r="E22" i="18"/>
  <c r="G22" i="18" s="1"/>
  <c r="E23" i="18"/>
  <c r="G23" i="18" s="1"/>
  <c r="E24" i="18"/>
  <c r="G24" i="18" s="1"/>
  <c r="E25" i="18"/>
  <c r="G25" i="18" s="1"/>
  <c r="E26" i="18"/>
  <c r="G26" i="18" s="1"/>
  <c r="E27" i="18"/>
  <c r="G27" i="18" s="1"/>
  <c r="E28" i="18"/>
  <c r="G28" i="18" s="1"/>
  <c r="E29" i="18"/>
  <c r="G29" i="18" s="1"/>
  <c r="E30" i="18"/>
  <c r="G30" i="18" s="1"/>
  <c r="E31" i="18"/>
  <c r="G31" i="18" s="1"/>
  <c r="E32" i="18"/>
  <c r="G32" i="18" s="1"/>
  <c r="E33" i="18"/>
  <c r="G33" i="18" s="1"/>
  <c r="E34" i="18"/>
  <c r="G34" i="18" s="1"/>
  <c r="E35" i="18"/>
  <c r="G35" i="18" s="1"/>
  <c r="E36" i="18"/>
  <c r="G36" i="18" s="1"/>
  <c r="E37" i="18"/>
  <c r="G37" i="18" s="1"/>
  <c r="E38" i="18"/>
  <c r="G38" i="18" s="1"/>
  <c r="E39" i="18"/>
  <c r="G39" i="18" s="1"/>
  <c r="E40" i="18"/>
  <c r="G40" i="18" s="1"/>
  <c r="E41" i="18"/>
  <c r="G41" i="18" s="1"/>
  <c r="E42" i="18"/>
  <c r="G42" i="18" s="1"/>
  <c r="E43" i="18"/>
  <c r="G43" i="18" s="1"/>
  <c r="E44" i="18"/>
  <c r="G44" i="18" s="1"/>
  <c r="E45" i="18"/>
  <c r="G45" i="18" s="1"/>
  <c r="E46" i="18"/>
  <c r="G46" i="18" s="1"/>
  <c r="E47" i="18"/>
  <c r="G47" i="18" s="1"/>
  <c r="E48" i="18"/>
  <c r="G48" i="18" s="1"/>
  <c r="E49" i="18"/>
  <c r="G49" i="18" s="1"/>
  <c r="E50" i="18"/>
  <c r="G50" i="18" s="1"/>
  <c r="E51" i="18"/>
  <c r="G51" i="18" s="1"/>
  <c r="E52" i="18"/>
  <c r="G52" i="18" s="1"/>
  <c r="E53" i="18"/>
  <c r="G53" i="18" s="1"/>
  <c r="E54" i="18"/>
  <c r="G54" i="18" s="1"/>
  <c r="E55" i="18"/>
  <c r="G55" i="18" s="1"/>
  <c r="E56" i="18"/>
  <c r="G56" i="18" s="1"/>
  <c r="E57" i="18"/>
  <c r="G57" i="18" s="1"/>
  <c r="E58" i="18"/>
  <c r="G58" i="18" s="1"/>
  <c r="E59" i="18"/>
  <c r="G59" i="18" s="1"/>
  <c r="U170" i="11"/>
  <c r="U167" i="11"/>
  <c r="U164" i="11"/>
  <c r="U161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U173" i="7"/>
  <c r="U170" i="7"/>
  <c r="G51" i="49" l="1"/>
  <c r="G35" i="49"/>
  <c r="G27" i="49"/>
  <c r="G11" i="49"/>
  <c r="G16" i="18"/>
  <c r="G43" i="49"/>
  <c r="G19" i="49"/>
  <c r="G20" i="49"/>
  <c r="G46" i="49"/>
  <c r="G38" i="49"/>
  <c r="G30" i="49"/>
  <c r="G22" i="49"/>
  <c r="G14" i="49"/>
  <c r="G6" i="49"/>
  <c r="G47" i="49"/>
  <c r="G39" i="49"/>
  <c r="G31" i="49"/>
  <c r="G23" i="49"/>
  <c r="G15" i="49"/>
  <c r="G7" i="49"/>
  <c r="G50" i="49"/>
  <c r="G42" i="49"/>
  <c r="G34" i="49"/>
  <c r="G26" i="49"/>
  <c r="G18" i="49"/>
  <c r="I18" i="49" s="1"/>
  <c r="O48" i="25" s="1"/>
  <c r="G10" i="49"/>
  <c r="G4" i="49"/>
  <c r="I45" i="49" s="1"/>
  <c r="O129" i="25" s="1"/>
  <c r="J167" i="82"/>
  <c r="J155" i="82"/>
  <c r="H152" i="82"/>
  <c r="J143" i="82"/>
  <c r="J131" i="82"/>
  <c r="H128" i="82"/>
  <c r="J119" i="82"/>
  <c r="J107" i="82"/>
  <c r="H104" i="82"/>
  <c r="F169" i="82"/>
  <c r="G169" i="82"/>
  <c r="H169" i="82"/>
  <c r="I169" i="82"/>
  <c r="J169" i="82"/>
  <c r="K169" i="82"/>
  <c r="L169" i="82"/>
  <c r="M169" i="82"/>
  <c r="N169" i="82"/>
  <c r="O169" i="82"/>
  <c r="P169" i="82"/>
  <c r="F166" i="82"/>
  <c r="G166" i="82"/>
  <c r="H166" i="82"/>
  <c r="I166" i="82"/>
  <c r="J166" i="82"/>
  <c r="K166" i="82"/>
  <c r="L166" i="82"/>
  <c r="M166" i="82"/>
  <c r="N166" i="82"/>
  <c r="O166" i="82"/>
  <c r="P166" i="82"/>
  <c r="F163" i="82"/>
  <c r="G163" i="82"/>
  <c r="H163" i="82"/>
  <c r="I163" i="82"/>
  <c r="J163" i="82"/>
  <c r="K163" i="82"/>
  <c r="L163" i="82"/>
  <c r="M163" i="82"/>
  <c r="N163" i="82"/>
  <c r="O163" i="82"/>
  <c r="P163" i="82"/>
  <c r="F160" i="82"/>
  <c r="G160" i="82"/>
  <c r="H160" i="82"/>
  <c r="I160" i="82"/>
  <c r="J160" i="82"/>
  <c r="K160" i="82"/>
  <c r="L160" i="82"/>
  <c r="M160" i="82"/>
  <c r="N160" i="82"/>
  <c r="O160" i="82"/>
  <c r="P160" i="82"/>
  <c r="F157" i="82"/>
  <c r="G157" i="82"/>
  <c r="H157" i="82"/>
  <c r="I157" i="82"/>
  <c r="J157" i="82"/>
  <c r="K157" i="82"/>
  <c r="L157" i="82"/>
  <c r="M157" i="82"/>
  <c r="N157" i="82"/>
  <c r="O157" i="82"/>
  <c r="P157" i="82"/>
  <c r="F154" i="82"/>
  <c r="G154" i="82"/>
  <c r="H154" i="82"/>
  <c r="I154" i="82"/>
  <c r="J154" i="82"/>
  <c r="K154" i="82"/>
  <c r="L154" i="82"/>
  <c r="M154" i="82"/>
  <c r="N154" i="82"/>
  <c r="O154" i="82"/>
  <c r="P154" i="82"/>
  <c r="F151" i="82"/>
  <c r="G151" i="82"/>
  <c r="H151" i="82"/>
  <c r="I151" i="82"/>
  <c r="J151" i="82"/>
  <c r="K151" i="82"/>
  <c r="L151" i="82"/>
  <c r="M151" i="82"/>
  <c r="N151" i="82"/>
  <c r="O151" i="82"/>
  <c r="P151" i="82"/>
  <c r="F148" i="82"/>
  <c r="G148" i="82"/>
  <c r="H148" i="82"/>
  <c r="I148" i="82"/>
  <c r="J148" i="82"/>
  <c r="K148" i="82"/>
  <c r="L148" i="82"/>
  <c r="M148" i="82"/>
  <c r="N148" i="82"/>
  <c r="O148" i="82"/>
  <c r="P148" i="82"/>
  <c r="F145" i="82"/>
  <c r="G145" i="82"/>
  <c r="H145" i="82"/>
  <c r="I145" i="82"/>
  <c r="J145" i="82"/>
  <c r="K145" i="82"/>
  <c r="L145" i="82"/>
  <c r="M145" i="82"/>
  <c r="N145" i="82"/>
  <c r="O145" i="82"/>
  <c r="P145" i="82"/>
  <c r="F142" i="82"/>
  <c r="G142" i="82"/>
  <c r="H142" i="82"/>
  <c r="I142" i="82"/>
  <c r="J142" i="82"/>
  <c r="K142" i="82"/>
  <c r="L142" i="82"/>
  <c r="M142" i="82"/>
  <c r="N142" i="82"/>
  <c r="O142" i="82"/>
  <c r="P142" i="82"/>
  <c r="F139" i="82"/>
  <c r="G139" i="82"/>
  <c r="H139" i="82"/>
  <c r="I139" i="82"/>
  <c r="J139" i="82"/>
  <c r="K139" i="82"/>
  <c r="L139" i="82"/>
  <c r="M139" i="82"/>
  <c r="N139" i="82"/>
  <c r="O139" i="82"/>
  <c r="P139" i="82"/>
  <c r="F136" i="82"/>
  <c r="G136" i="82"/>
  <c r="H136" i="82"/>
  <c r="I136" i="82"/>
  <c r="J136" i="82"/>
  <c r="K136" i="82"/>
  <c r="L136" i="82"/>
  <c r="M136" i="82"/>
  <c r="N136" i="82"/>
  <c r="O136" i="82"/>
  <c r="P136" i="82"/>
  <c r="F133" i="82"/>
  <c r="G133" i="82"/>
  <c r="H133" i="82"/>
  <c r="I133" i="82"/>
  <c r="J133" i="82"/>
  <c r="K133" i="82"/>
  <c r="L133" i="82"/>
  <c r="M133" i="82"/>
  <c r="N133" i="82"/>
  <c r="O133" i="82"/>
  <c r="P133" i="82"/>
  <c r="F130" i="82"/>
  <c r="G130" i="82"/>
  <c r="H130" i="82"/>
  <c r="I130" i="82"/>
  <c r="J130" i="82"/>
  <c r="K130" i="82"/>
  <c r="L130" i="82"/>
  <c r="M130" i="82"/>
  <c r="N130" i="82"/>
  <c r="O130" i="82"/>
  <c r="P130" i="82"/>
  <c r="F127" i="82"/>
  <c r="G127" i="82"/>
  <c r="H127" i="82"/>
  <c r="I127" i="82"/>
  <c r="J127" i="82"/>
  <c r="K127" i="82"/>
  <c r="L127" i="82"/>
  <c r="M127" i="82"/>
  <c r="N127" i="82"/>
  <c r="O127" i="82"/>
  <c r="P127" i="82"/>
  <c r="F124" i="82"/>
  <c r="G124" i="82"/>
  <c r="H124" i="82"/>
  <c r="I124" i="82"/>
  <c r="J124" i="82"/>
  <c r="K124" i="82"/>
  <c r="L124" i="82"/>
  <c r="M124" i="82"/>
  <c r="N124" i="82"/>
  <c r="O124" i="82"/>
  <c r="P124" i="82"/>
  <c r="F121" i="82"/>
  <c r="G121" i="82"/>
  <c r="H121" i="82"/>
  <c r="I121" i="82"/>
  <c r="J121" i="82"/>
  <c r="K121" i="82"/>
  <c r="L121" i="82"/>
  <c r="M121" i="82"/>
  <c r="N121" i="82"/>
  <c r="O121" i="82"/>
  <c r="P121" i="82"/>
  <c r="F118" i="82"/>
  <c r="G118" i="82"/>
  <c r="H118" i="82"/>
  <c r="I118" i="82"/>
  <c r="J118" i="82"/>
  <c r="K118" i="82"/>
  <c r="L118" i="82"/>
  <c r="M118" i="82"/>
  <c r="N118" i="82"/>
  <c r="O118" i="82"/>
  <c r="P118" i="82"/>
  <c r="F115" i="82"/>
  <c r="G115" i="82"/>
  <c r="H115" i="82"/>
  <c r="I115" i="82"/>
  <c r="J115" i="82"/>
  <c r="K115" i="82"/>
  <c r="L115" i="82"/>
  <c r="M115" i="82"/>
  <c r="N115" i="82"/>
  <c r="O115" i="82"/>
  <c r="P115" i="82"/>
  <c r="F112" i="82"/>
  <c r="G112" i="82"/>
  <c r="H112" i="82"/>
  <c r="I112" i="82"/>
  <c r="J112" i="82"/>
  <c r="K112" i="82"/>
  <c r="L112" i="82"/>
  <c r="M112" i="82"/>
  <c r="N112" i="82"/>
  <c r="O112" i="82"/>
  <c r="P112" i="82"/>
  <c r="F109" i="82"/>
  <c r="G109" i="82"/>
  <c r="H109" i="82"/>
  <c r="I109" i="82"/>
  <c r="J109" i="82"/>
  <c r="K109" i="82"/>
  <c r="L109" i="82"/>
  <c r="M109" i="82"/>
  <c r="N109" i="82"/>
  <c r="O109" i="82"/>
  <c r="P109" i="82"/>
  <c r="F106" i="82"/>
  <c r="G106" i="82"/>
  <c r="H106" i="82"/>
  <c r="I106" i="82"/>
  <c r="J106" i="82"/>
  <c r="K106" i="82"/>
  <c r="L106" i="82"/>
  <c r="M106" i="82"/>
  <c r="N106" i="82"/>
  <c r="O106" i="82"/>
  <c r="P106" i="82"/>
  <c r="F103" i="82"/>
  <c r="G103" i="82"/>
  <c r="H103" i="82"/>
  <c r="I103" i="82"/>
  <c r="J103" i="82"/>
  <c r="K103" i="82"/>
  <c r="L103" i="82"/>
  <c r="M103" i="82"/>
  <c r="N103" i="82"/>
  <c r="O103" i="82"/>
  <c r="P103" i="82"/>
  <c r="F100" i="82"/>
  <c r="G100" i="82"/>
  <c r="H100" i="82"/>
  <c r="I100" i="82"/>
  <c r="J100" i="82"/>
  <c r="K100" i="82"/>
  <c r="L100" i="82"/>
  <c r="M100" i="82"/>
  <c r="N100" i="82"/>
  <c r="O100" i="82"/>
  <c r="P100" i="82"/>
  <c r="F97" i="82"/>
  <c r="G97" i="82"/>
  <c r="H97" i="82"/>
  <c r="I97" i="82"/>
  <c r="J97" i="82"/>
  <c r="K97" i="82"/>
  <c r="L97" i="82"/>
  <c r="M97" i="82"/>
  <c r="N97" i="82"/>
  <c r="O97" i="82"/>
  <c r="P97" i="82"/>
  <c r="F94" i="82"/>
  <c r="G94" i="82"/>
  <c r="H94" i="82"/>
  <c r="I94" i="82"/>
  <c r="J94" i="82"/>
  <c r="K94" i="82"/>
  <c r="L94" i="82"/>
  <c r="M94" i="82"/>
  <c r="N94" i="82"/>
  <c r="O94" i="82"/>
  <c r="P94" i="82"/>
  <c r="F91" i="82"/>
  <c r="G91" i="82"/>
  <c r="H91" i="82"/>
  <c r="I91" i="82"/>
  <c r="J91" i="82"/>
  <c r="K91" i="82"/>
  <c r="L91" i="82"/>
  <c r="M91" i="82"/>
  <c r="N91" i="82"/>
  <c r="O91" i="82"/>
  <c r="P91" i="82"/>
  <c r="F88" i="82"/>
  <c r="G88" i="82"/>
  <c r="H88" i="82"/>
  <c r="I88" i="82"/>
  <c r="J88" i="82"/>
  <c r="K88" i="82"/>
  <c r="L88" i="82"/>
  <c r="M88" i="82"/>
  <c r="N88" i="82"/>
  <c r="O88" i="82"/>
  <c r="P88" i="82"/>
  <c r="F85" i="82"/>
  <c r="G85" i="82"/>
  <c r="H85" i="82"/>
  <c r="I85" i="82"/>
  <c r="J85" i="82"/>
  <c r="K85" i="82"/>
  <c r="L85" i="82"/>
  <c r="M85" i="82"/>
  <c r="N85" i="82"/>
  <c r="O85" i="82"/>
  <c r="P85" i="82"/>
  <c r="F82" i="82"/>
  <c r="G82" i="82"/>
  <c r="H82" i="82"/>
  <c r="I82" i="82"/>
  <c r="J82" i="82"/>
  <c r="K82" i="82"/>
  <c r="L82" i="82"/>
  <c r="M82" i="82"/>
  <c r="N82" i="82"/>
  <c r="O82" i="82"/>
  <c r="P82" i="82"/>
  <c r="F79" i="82"/>
  <c r="G79" i="82"/>
  <c r="H79" i="82"/>
  <c r="I79" i="82"/>
  <c r="J79" i="82"/>
  <c r="K79" i="82"/>
  <c r="L79" i="82"/>
  <c r="M79" i="82"/>
  <c r="N79" i="82"/>
  <c r="O79" i="82"/>
  <c r="P79" i="82"/>
  <c r="F76" i="82"/>
  <c r="G76" i="82"/>
  <c r="H76" i="82"/>
  <c r="I76" i="82"/>
  <c r="J76" i="82"/>
  <c r="K76" i="82"/>
  <c r="L76" i="82"/>
  <c r="M76" i="82"/>
  <c r="N76" i="82"/>
  <c r="O76" i="82"/>
  <c r="P76" i="82"/>
  <c r="F73" i="82"/>
  <c r="G73" i="82"/>
  <c r="H73" i="82"/>
  <c r="I73" i="82"/>
  <c r="J73" i="82"/>
  <c r="K73" i="82"/>
  <c r="L73" i="82"/>
  <c r="M73" i="82"/>
  <c r="N73" i="82"/>
  <c r="O73" i="82"/>
  <c r="P73" i="82"/>
  <c r="F70" i="82"/>
  <c r="G70" i="82"/>
  <c r="H70" i="82"/>
  <c r="I70" i="82"/>
  <c r="J70" i="82"/>
  <c r="K70" i="82"/>
  <c r="L70" i="82"/>
  <c r="M70" i="82"/>
  <c r="N70" i="82"/>
  <c r="O70" i="82"/>
  <c r="P70" i="82"/>
  <c r="F67" i="82"/>
  <c r="G67" i="82"/>
  <c r="H67" i="82"/>
  <c r="I67" i="82"/>
  <c r="J67" i="82"/>
  <c r="K67" i="82"/>
  <c r="L67" i="82"/>
  <c r="M67" i="82"/>
  <c r="N67" i="82"/>
  <c r="O67" i="82"/>
  <c r="P67" i="82"/>
  <c r="F64" i="82"/>
  <c r="G64" i="82"/>
  <c r="H64" i="82"/>
  <c r="I64" i="82"/>
  <c r="J64" i="82"/>
  <c r="K64" i="82"/>
  <c r="L64" i="82"/>
  <c r="M64" i="82"/>
  <c r="N64" i="82"/>
  <c r="O64" i="82"/>
  <c r="P64" i="82"/>
  <c r="F61" i="82"/>
  <c r="G61" i="82"/>
  <c r="H61" i="82"/>
  <c r="I61" i="82"/>
  <c r="J61" i="82"/>
  <c r="K61" i="82"/>
  <c r="L61" i="82"/>
  <c r="M61" i="82"/>
  <c r="N61" i="82"/>
  <c r="O61" i="82"/>
  <c r="P61" i="82"/>
  <c r="F58" i="82"/>
  <c r="G58" i="82"/>
  <c r="H58" i="82"/>
  <c r="I58" i="82"/>
  <c r="J58" i="82"/>
  <c r="K58" i="82"/>
  <c r="L58" i="82"/>
  <c r="M58" i="82"/>
  <c r="N58" i="82"/>
  <c r="O58" i="82"/>
  <c r="P58" i="82"/>
  <c r="F55" i="82"/>
  <c r="G55" i="82"/>
  <c r="H55" i="82"/>
  <c r="I55" i="82"/>
  <c r="J55" i="82"/>
  <c r="K55" i="82"/>
  <c r="L55" i="82"/>
  <c r="M55" i="82"/>
  <c r="N55" i="82"/>
  <c r="O55" i="82"/>
  <c r="P55" i="82"/>
  <c r="F52" i="82"/>
  <c r="G52" i="82"/>
  <c r="H52" i="82"/>
  <c r="I52" i="82"/>
  <c r="J52" i="82"/>
  <c r="K52" i="82"/>
  <c r="L52" i="82"/>
  <c r="M52" i="82"/>
  <c r="N52" i="82"/>
  <c r="O52" i="82"/>
  <c r="P52" i="82"/>
  <c r="F49" i="82"/>
  <c r="G49" i="82"/>
  <c r="H49" i="82"/>
  <c r="I49" i="82"/>
  <c r="J49" i="82"/>
  <c r="K49" i="82"/>
  <c r="L49" i="82"/>
  <c r="M49" i="82"/>
  <c r="N49" i="82"/>
  <c r="O49" i="82"/>
  <c r="P49" i="82"/>
  <c r="F46" i="82"/>
  <c r="G46" i="82"/>
  <c r="H46" i="82"/>
  <c r="I46" i="82"/>
  <c r="J46" i="82"/>
  <c r="K46" i="82"/>
  <c r="L46" i="82"/>
  <c r="M46" i="82"/>
  <c r="N46" i="82"/>
  <c r="O46" i="82"/>
  <c r="P46" i="82"/>
  <c r="F43" i="82"/>
  <c r="G43" i="82"/>
  <c r="H43" i="82"/>
  <c r="I43" i="82"/>
  <c r="J43" i="82"/>
  <c r="K43" i="82"/>
  <c r="L43" i="82"/>
  <c r="M43" i="82"/>
  <c r="N43" i="82"/>
  <c r="O43" i="82"/>
  <c r="P43" i="82"/>
  <c r="F40" i="82"/>
  <c r="G40" i="82"/>
  <c r="H40" i="82"/>
  <c r="I40" i="82"/>
  <c r="J40" i="82"/>
  <c r="K40" i="82"/>
  <c r="L40" i="82"/>
  <c r="M40" i="82"/>
  <c r="N40" i="82"/>
  <c r="O40" i="82"/>
  <c r="P40" i="82"/>
  <c r="F37" i="82"/>
  <c r="G37" i="82"/>
  <c r="H37" i="82"/>
  <c r="I37" i="82"/>
  <c r="J37" i="82"/>
  <c r="K37" i="82"/>
  <c r="L37" i="82"/>
  <c r="M37" i="82"/>
  <c r="N37" i="82"/>
  <c r="O37" i="82"/>
  <c r="P37" i="82"/>
  <c r="F34" i="82"/>
  <c r="G34" i="82"/>
  <c r="H34" i="82"/>
  <c r="I34" i="82"/>
  <c r="J34" i="82"/>
  <c r="K34" i="82"/>
  <c r="L34" i="82"/>
  <c r="M34" i="82"/>
  <c r="N34" i="82"/>
  <c r="O34" i="82"/>
  <c r="P34" i="82"/>
  <c r="F31" i="82"/>
  <c r="G31" i="82"/>
  <c r="H31" i="82"/>
  <c r="I31" i="82"/>
  <c r="J31" i="82"/>
  <c r="K31" i="82"/>
  <c r="L31" i="82"/>
  <c r="M31" i="82"/>
  <c r="N31" i="82"/>
  <c r="O31" i="82"/>
  <c r="P31" i="82"/>
  <c r="F28" i="82"/>
  <c r="G28" i="82"/>
  <c r="H28" i="82"/>
  <c r="I28" i="82"/>
  <c r="J28" i="82"/>
  <c r="K28" i="82"/>
  <c r="L28" i="82"/>
  <c r="M28" i="82"/>
  <c r="N28" i="82"/>
  <c r="O28" i="82"/>
  <c r="P28" i="82"/>
  <c r="F25" i="82"/>
  <c r="G25" i="82"/>
  <c r="H25" i="82"/>
  <c r="I25" i="82"/>
  <c r="J25" i="82"/>
  <c r="K25" i="82"/>
  <c r="L25" i="82"/>
  <c r="M25" i="82"/>
  <c r="N25" i="82"/>
  <c r="O25" i="82"/>
  <c r="P25" i="82"/>
  <c r="F22" i="82"/>
  <c r="G22" i="82"/>
  <c r="H22" i="82"/>
  <c r="I22" i="82"/>
  <c r="J22" i="82"/>
  <c r="K22" i="82"/>
  <c r="L22" i="82"/>
  <c r="M22" i="82"/>
  <c r="N22" i="82"/>
  <c r="O22" i="82"/>
  <c r="P22" i="82"/>
  <c r="F19" i="82"/>
  <c r="G19" i="82"/>
  <c r="H19" i="82"/>
  <c r="I19" i="82"/>
  <c r="J19" i="82"/>
  <c r="K19" i="82"/>
  <c r="L19" i="82"/>
  <c r="M19" i="82"/>
  <c r="N19" i="82"/>
  <c r="O19" i="82"/>
  <c r="P19" i="82"/>
  <c r="F16" i="82"/>
  <c r="G16" i="82"/>
  <c r="H16" i="82"/>
  <c r="I16" i="82"/>
  <c r="J16" i="82"/>
  <c r="K16" i="82"/>
  <c r="L16" i="82"/>
  <c r="M16" i="82"/>
  <c r="N16" i="82"/>
  <c r="O16" i="82"/>
  <c r="P16" i="82"/>
  <c r="F13" i="82"/>
  <c r="G13" i="82"/>
  <c r="H13" i="82"/>
  <c r="I13" i="82"/>
  <c r="J13" i="82"/>
  <c r="K13" i="82"/>
  <c r="L13" i="82"/>
  <c r="M13" i="82"/>
  <c r="N13" i="82"/>
  <c r="O13" i="82"/>
  <c r="P13" i="82"/>
  <c r="F10" i="82"/>
  <c r="G10" i="82"/>
  <c r="H10" i="82"/>
  <c r="I10" i="82"/>
  <c r="J10" i="82"/>
  <c r="K10" i="82"/>
  <c r="L10" i="82"/>
  <c r="M10" i="82"/>
  <c r="N10" i="82"/>
  <c r="O10" i="82"/>
  <c r="P10" i="82"/>
  <c r="F7" i="82"/>
  <c r="G7" i="82"/>
  <c r="H7" i="82"/>
  <c r="I7" i="82"/>
  <c r="J7" i="82"/>
  <c r="K7" i="82"/>
  <c r="L7" i="82"/>
  <c r="M7" i="82"/>
  <c r="N7" i="82"/>
  <c r="O7" i="82"/>
  <c r="P7" i="82"/>
  <c r="F168" i="82"/>
  <c r="F170" i="82" s="1"/>
  <c r="G168" i="82"/>
  <c r="G170" i="82" s="1"/>
  <c r="H168" i="82"/>
  <c r="H170" i="82" s="1"/>
  <c r="I168" i="82"/>
  <c r="I170" i="82" s="1"/>
  <c r="J168" i="82"/>
  <c r="J170" i="82" s="1"/>
  <c r="K168" i="82"/>
  <c r="K170" i="82" s="1"/>
  <c r="L168" i="82"/>
  <c r="L170" i="82" s="1"/>
  <c r="M168" i="82"/>
  <c r="M170" i="82" s="1"/>
  <c r="N168" i="82"/>
  <c r="O168" i="82"/>
  <c r="O170" i="82" s="1"/>
  <c r="P168" i="82"/>
  <c r="P170" i="82" s="1"/>
  <c r="F165" i="82"/>
  <c r="F167" i="82" s="1"/>
  <c r="G165" i="82"/>
  <c r="G167" i="82" s="1"/>
  <c r="H165" i="82"/>
  <c r="H167" i="82" s="1"/>
  <c r="I165" i="82"/>
  <c r="I167" i="82" s="1"/>
  <c r="J165" i="82"/>
  <c r="K165" i="82"/>
  <c r="K167" i="82" s="1"/>
  <c r="L165" i="82"/>
  <c r="L167" i="82" s="1"/>
  <c r="M165" i="82"/>
  <c r="M167" i="82" s="1"/>
  <c r="N165" i="82"/>
  <c r="O165" i="82"/>
  <c r="O167" i="82" s="1"/>
  <c r="P165" i="82"/>
  <c r="P167" i="82" s="1"/>
  <c r="F162" i="82"/>
  <c r="F164" i="82" s="1"/>
  <c r="G162" i="82"/>
  <c r="G164" i="82" s="1"/>
  <c r="H162" i="82"/>
  <c r="H164" i="82" s="1"/>
  <c r="I162" i="82"/>
  <c r="I164" i="82" s="1"/>
  <c r="J162" i="82"/>
  <c r="J164" i="82" s="1"/>
  <c r="K162" i="82"/>
  <c r="K164" i="82" s="1"/>
  <c r="L162" i="82"/>
  <c r="L164" i="82" s="1"/>
  <c r="M162" i="82"/>
  <c r="M164" i="82" s="1"/>
  <c r="N162" i="82"/>
  <c r="O162" i="82"/>
  <c r="O164" i="82" s="1"/>
  <c r="P162" i="82"/>
  <c r="P164" i="82" s="1"/>
  <c r="F159" i="82"/>
  <c r="F161" i="82" s="1"/>
  <c r="G159" i="82"/>
  <c r="G161" i="82" s="1"/>
  <c r="H159" i="82"/>
  <c r="H161" i="82" s="1"/>
  <c r="I159" i="82"/>
  <c r="I161" i="82" s="1"/>
  <c r="J159" i="82"/>
  <c r="J161" i="82" s="1"/>
  <c r="K159" i="82"/>
  <c r="K161" i="82" s="1"/>
  <c r="L159" i="82"/>
  <c r="L161" i="82" s="1"/>
  <c r="M159" i="82"/>
  <c r="M161" i="82" s="1"/>
  <c r="N159" i="82"/>
  <c r="O159" i="82"/>
  <c r="O161" i="82" s="1"/>
  <c r="P159" i="82"/>
  <c r="P161" i="82" s="1"/>
  <c r="F156" i="82"/>
  <c r="F158" i="82" s="1"/>
  <c r="G156" i="82"/>
  <c r="G158" i="82" s="1"/>
  <c r="H156" i="82"/>
  <c r="H158" i="82" s="1"/>
  <c r="I156" i="82"/>
  <c r="I158" i="82" s="1"/>
  <c r="J156" i="82"/>
  <c r="J158" i="82" s="1"/>
  <c r="K156" i="82"/>
  <c r="K158" i="82" s="1"/>
  <c r="L156" i="82"/>
  <c r="L158" i="82" s="1"/>
  <c r="M156" i="82"/>
  <c r="M158" i="82" s="1"/>
  <c r="N156" i="82"/>
  <c r="O156" i="82"/>
  <c r="O158" i="82" s="1"/>
  <c r="P156" i="82"/>
  <c r="P158" i="82" s="1"/>
  <c r="F153" i="82"/>
  <c r="F155" i="82" s="1"/>
  <c r="G153" i="82"/>
  <c r="G155" i="82" s="1"/>
  <c r="H153" i="82"/>
  <c r="H155" i="82" s="1"/>
  <c r="I153" i="82"/>
  <c r="I155" i="82" s="1"/>
  <c r="J153" i="82"/>
  <c r="K153" i="82"/>
  <c r="K155" i="82" s="1"/>
  <c r="L153" i="82"/>
  <c r="L155" i="82" s="1"/>
  <c r="M153" i="82"/>
  <c r="M155" i="82" s="1"/>
  <c r="N153" i="82"/>
  <c r="O153" i="82"/>
  <c r="O155" i="82" s="1"/>
  <c r="P153" i="82"/>
  <c r="P155" i="82" s="1"/>
  <c r="F150" i="82"/>
  <c r="F152" i="82" s="1"/>
  <c r="G150" i="82"/>
  <c r="G152" i="82" s="1"/>
  <c r="H150" i="82"/>
  <c r="I150" i="82"/>
  <c r="I152" i="82" s="1"/>
  <c r="J150" i="82"/>
  <c r="J152" i="82" s="1"/>
  <c r="K150" i="82"/>
  <c r="K152" i="82" s="1"/>
  <c r="L150" i="82"/>
  <c r="L152" i="82" s="1"/>
  <c r="M150" i="82"/>
  <c r="M152" i="82" s="1"/>
  <c r="N150" i="82"/>
  <c r="O150" i="82"/>
  <c r="O152" i="82" s="1"/>
  <c r="P150" i="82"/>
  <c r="P152" i="82" s="1"/>
  <c r="F147" i="82"/>
  <c r="F149" i="82" s="1"/>
  <c r="G147" i="82"/>
  <c r="G149" i="82" s="1"/>
  <c r="H147" i="82"/>
  <c r="H149" i="82" s="1"/>
  <c r="I147" i="82"/>
  <c r="I149" i="82" s="1"/>
  <c r="J147" i="82"/>
  <c r="J149" i="82" s="1"/>
  <c r="K147" i="82"/>
  <c r="K149" i="82" s="1"/>
  <c r="L147" i="82"/>
  <c r="L149" i="82" s="1"/>
  <c r="M147" i="82"/>
  <c r="M149" i="82" s="1"/>
  <c r="N147" i="82"/>
  <c r="O147" i="82"/>
  <c r="O149" i="82" s="1"/>
  <c r="P147" i="82"/>
  <c r="P149" i="82" s="1"/>
  <c r="F144" i="82"/>
  <c r="F146" i="82" s="1"/>
  <c r="G144" i="82"/>
  <c r="G146" i="82" s="1"/>
  <c r="H144" i="82"/>
  <c r="H146" i="82" s="1"/>
  <c r="I144" i="82"/>
  <c r="I146" i="82" s="1"/>
  <c r="J144" i="82"/>
  <c r="J146" i="82" s="1"/>
  <c r="K144" i="82"/>
  <c r="K146" i="82" s="1"/>
  <c r="L144" i="82"/>
  <c r="L146" i="82" s="1"/>
  <c r="M144" i="82"/>
  <c r="M146" i="82" s="1"/>
  <c r="N144" i="82"/>
  <c r="O144" i="82"/>
  <c r="O146" i="82" s="1"/>
  <c r="P144" i="82"/>
  <c r="P146" i="82" s="1"/>
  <c r="F141" i="82"/>
  <c r="F143" i="82" s="1"/>
  <c r="G141" i="82"/>
  <c r="G143" i="82" s="1"/>
  <c r="H141" i="82"/>
  <c r="H143" i="82" s="1"/>
  <c r="I141" i="82"/>
  <c r="I143" i="82" s="1"/>
  <c r="J141" i="82"/>
  <c r="K141" i="82"/>
  <c r="K143" i="82" s="1"/>
  <c r="L141" i="82"/>
  <c r="L143" i="82" s="1"/>
  <c r="M141" i="82"/>
  <c r="M143" i="82" s="1"/>
  <c r="N141" i="82"/>
  <c r="O141" i="82"/>
  <c r="O143" i="82" s="1"/>
  <c r="P141" i="82"/>
  <c r="P143" i="82" s="1"/>
  <c r="F138" i="82"/>
  <c r="F140" i="82" s="1"/>
  <c r="G138" i="82"/>
  <c r="G140" i="82" s="1"/>
  <c r="H138" i="82"/>
  <c r="H140" i="82" s="1"/>
  <c r="I138" i="82"/>
  <c r="I140" i="82" s="1"/>
  <c r="J138" i="82"/>
  <c r="J140" i="82" s="1"/>
  <c r="K138" i="82"/>
  <c r="K140" i="82" s="1"/>
  <c r="L138" i="82"/>
  <c r="L140" i="82" s="1"/>
  <c r="M138" i="82"/>
  <c r="M140" i="82" s="1"/>
  <c r="N138" i="82"/>
  <c r="O138" i="82"/>
  <c r="O140" i="82" s="1"/>
  <c r="P138" i="82"/>
  <c r="P140" i="82" s="1"/>
  <c r="F135" i="82"/>
  <c r="F137" i="82" s="1"/>
  <c r="G135" i="82"/>
  <c r="G137" i="82" s="1"/>
  <c r="H135" i="82"/>
  <c r="H137" i="82" s="1"/>
  <c r="I135" i="82"/>
  <c r="I137" i="82" s="1"/>
  <c r="J135" i="82"/>
  <c r="J137" i="82" s="1"/>
  <c r="K135" i="82"/>
  <c r="K137" i="82" s="1"/>
  <c r="L135" i="82"/>
  <c r="L137" i="82" s="1"/>
  <c r="M135" i="82"/>
  <c r="M137" i="82" s="1"/>
  <c r="N135" i="82"/>
  <c r="O135" i="82"/>
  <c r="O137" i="82" s="1"/>
  <c r="P135" i="82"/>
  <c r="P137" i="82" s="1"/>
  <c r="F132" i="82"/>
  <c r="F134" i="82" s="1"/>
  <c r="G132" i="82"/>
  <c r="G134" i="82" s="1"/>
  <c r="H132" i="82"/>
  <c r="H134" i="82" s="1"/>
  <c r="I132" i="82"/>
  <c r="I134" i="82" s="1"/>
  <c r="J132" i="82"/>
  <c r="J134" i="82" s="1"/>
  <c r="K132" i="82"/>
  <c r="K134" i="82" s="1"/>
  <c r="L132" i="82"/>
  <c r="L134" i="82" s="1"/>
  <c r="M132" i="82"/>
  <c r="M134" i="82" s="1"/>
  <c r="N132" i="82"/>
  <c r="O132" i="82"/>
  <c r="O134" i="82" s="1"/>
  <c r="P132" i="82"/>
  <c r="P134" i="82" s="1"/>
  <c r="F129" i="82"/>
  <c r="F131" i="82" s="1"/>
  <c r="G129" i="82"/>
  <c r="G131" i="82" s="1"/>
  <c r="H129" i="82"/>
  <c r="H131" i="82" s="1"/>
  <c r="I129" i="82"/>
  <c r="I131" i="82" s="1"/>
  <c r="J129" i="82"/>
  <c r="K129" i="82"/>
  <c r="K131" i="82" s="1"/>
  <c r="L129" i="82"/>
  <c r="L131" i="82" s="1"/>
  <c r="M129" i="82"/>
  <c r="M131" i="82" s="1"/>
  <c r="N129" i="82"/>
  <c r="O129" i="82"/>
  <c r="O131" i="82" s="1"/>
  <c r="P129" i="82"/>
  <c r="P131" i="82" s="1"/>
  <c r="F126" i="82"/>
  <c r="F128" i="82" s="1"/>
  <c r="G126" i="82"/>
  <c r="G128" i="82" s="1"/>
  <c r="H126" i="82"/>
  <c r="I126" i="82"/>
  <c r="I128" i="82" s="1"/>
  <c r="J126" i="82"/>
  <c r="J128" i="82" s="1"/>
  <c r="K126" i="82"/>
  <c r="K128" i="82" s="1"/>
  <c r="L126" i="82"/>
  <c r="L128" i="82" s="1"/>
  <c r="M126" i="82"/>
  <c r="M128" i="82" s="1"/>
  <c r="N126" i="82"/>
  <c r="O126" i="82"/>
  <c r="O128" i="82" s="1"/>
  <c r="P126" i="82"/>
  <c r="P128" i="82" s="1"/>
  <c r="F123" i="82"/>
  <c r="F125" i="82" s="1"/>
  <c r="G123" i="82"/>
  <c r="G125" i="82" s="1"/>
  <c r="H123" i="82"/>
  <c r="H125" i="82" s="1"/>
  <c r="I123" i="82"/>
  <c r="I125" i="82" s="1"/>
  <c r="J123" i="82"/>
  <c r="J125" i="82" s="1"/>
  <c r="K123" i="82"/>
  <c r="K125" i="82" s="1"/>
  <c r="L123" i="82"/>
  <c r="L125" i="82" s="1"/>
  <c r="M123" i="82"/>
  <c r="M125" i="82" s="1"/>
  <c r="N123" i="82"/>
  <c r="O123" i="82"/>
  <c r="O125" i="82" s="1"/>
  <c r="P123" i="82"/>
  <c r="P125" i="82" s="1"/>
  <c r="F120" i="82"/>
  <c r="F122" i="82" s="1"/>
  <c r="G120" i="82"/>
  <c r="G122" i="82" s="1"/>
  <c r="H120" i="82"/>
  <c r="H122" i="82" s="1"/>
  <c r="I120" i="82"/>
  <c r="I122" i="82" s="1"/>
  <c r="J120" i="82"/>
  <c r="J122" i="82" s="1"/>
  <c r="K120" i="82"/>
  <c r="K122" i="82" s="1"/>
  <c r="L120" i="82"/>
  <c r="L122" i="82" s="1"/>
  <c r="M120" i="82"/>
  <c r="M122" i="82" s="1"/>
  <c r="N120" i="82"/>
  <c r="O120" i="82"/>
  <c r="O122" i="82" s="1"/>
  <c r="P120" i="82"/>
  <c r="P122" i="82" s="1"/>
  <c r="F117" i="82"/>
  <c r="F119" i="82" s="1"/>
  <c r="G117" i="82"/>
  <c r="G119" i="82" s="1"/>
  <c r="H117" i="82"/>
  <c r="H119" i="82" s="1"/>
  <c r="I117" i="82"/>
  <c r="I119" i="82" s="1"/>
  <c r="J117" i="82"/>
  <c r="K117" i="82"/>
  <c r="K119" i="82" s="1"/>
  <c r="L117" i="82"/>
  <c r="L119" i="82" s="1"/>
  <c r="M117" i="82"/>
  <c r="M119" i="82" s="1"/>
  <c r="N117" i="82"/>
  <c r="O117" i="82"/>
  <c r="O119" i="82" s="1"/>
  <c r="P117" i="82"/>
  <c r="P119" i="82" s="1"/>
  <c r="F114" i="82"/>
  <c r="F116" i="82" s="1"/>
  <c r="G114" i="82"/>
  <c r="G116" i="82" s="1"/>
  <c r="H114" i="82"/>
  <c r="H116" i="82" s="1"/>
  <c r="I114" i="82"/>
  <c r="I116" i="82" s="1"/>
  <c r="J114" i="82"/>
  <c r="J116" i="82" s="1"/>
  <c r="K114" i="82"/>
  <c r="K116" i="82" s="1"/>
  <c r="L114" i="82"/>
  <c r="L116" i="82" s="1"/>
  <c r="M114" i="82"/>
  <c r="M116" i="82" s="1"/>
  <c r="N114" i="82"/>
  <c r="O114" i="82"/>
  <c r="O116" i="82" s="1"/>
  <c r="P114" i="82"/>
  <c r="P116" i="82" s="1"/>
  <c r="F111" i="82"/>
  <c r="F113" i="82" s="1"/>
  <c r="G111" i="82"/>
  <c r="G113" i="82" s="1"/>
  <c r="H111" i="82"/>
  <c r="H113" i="82" s="1"/>
  <c r="I111" i="82"/>
  <c r="I113" i="82" s="1"/>
  <c r="J111" i="82"/>
  <c r="J113" i="82" s="1"/>
  <c r="K111" i="82"/>
  <c r="K113" i="82" s="1"/>
  <c r="L111" i="82"/>
  <c r="L113" i="82" s="1"/>
  <c r="M111" i="82"/>
  <c r="M113" i="82" s="1"/>
  <c r="N111" i="82"/>
  <c r="O111" i="82"/>
  <c r="O113" i="82" s="1"/>
  <c r="P111" i="82"/>
  <c r="P113" i="82" s="1"/>
  <c r="F108" i="82"/>
  <c r="F110" i="82" s="1"/>
  <c r="G108" i="82"/>
  <c r="G110" i="82" s="1"/>
  <c r="H108" i="82"/>
  <c r="H110" i="82" s="1"/>
  <c r="I108" i="82"/>
  <c r="I110" i="82" s="1"/>
  <c r="J108" i="82"/>
  <c r="J110" i="82" s="1"/>
  <c r="K108" i="82"/>
  <c r="K110" i="82" s="1"/>
  <c r="L108" i="82"/>
  <c r="L110" i="82" s="1"/>
  <c r="M108" i="82"/>
  <c r="M110" i="82" s="1"/>
  <c r="N108" i="82"/>
  <c r="O108" i="82"/>
  <c r="O110" i="82" s="1"/>
  <c r="P108" i="82"/>
  <c r="P110" i="82" s="1"/>
  <c r="F105" i="82"/>
  <c r="F107" i="82" s="1"/>
  <c r="G105" i="82"/>
  <c r="G107" i="82" s="1"/>
  <c r="H105" i="82"/>
  <c r="H107" i="82" s="1"/>
  <c r="I105" i="82"/>
  <c r="I107" i="82" s="1"/>
  <c r="J105" i="82"/>
  <c r="K105" i="82"/>
  <c r="K107" i="82" s="1"/>
  <c r="L105" i="82"/>
  <c r="L107" i="82" s="1"/>
  <c r="M105" i="82"/>
  <c r="M107" i="82" s="1"/>
  <c r="N105" i="82"/>
  <c r="O105" i="82"/>
  <c r="O107" i="82" s="1"/>
  <c r="P105" i="82"/>
  <c r="P107" i="82" s="1"/>
  <c r="F102" i="82"/>
  <c r="F104" i="82" s="1"/>
  <c r="G102" i="82"/>
  <c r="G104" i="82" s="1"/>
  <c r="H102" i="82"/>
  <c r="I102" i="82"/>
  <c r="I104" i="82" s="1"/>
  <c r="J102" i="82"/>
  <c r="J104" i="82" s="1"/>
  <c r="K102" i="82"/>
  <c r="K104" i="82" s="1"/>
  <c r="L102" i="82"/>
  <c r="L104" i="82" s="1"/>
  <c r="M102" i="82"/>
  <c r="M104" i="82" s="1"/>
  <c r="N102" i="82"/>
  <c r="O102" i="82"/>
  <c r="O104" i="82" s="1"/>
  <c r="P102" i="82"/>
  <c r="P104" i="82" s="1"/>
  <c r="F99" i="82"/>
  <c r="F101" i="82" s="1"/>
  <c r="G99" i="82"/>
  <c r="G101" i="82" s="1"/>
  <c r="H99" i="82"/>
  <c r="H101" i="82" s="1"/>
  <c r="I99" i="82"/>
  <c r="I101" i="82" s="1"/>
  <c r="J99" i="82"/>
  <c r="J101" i="82" s="1"/>
  <c r="K99" i="82"/>
  <c r="K101" i="82" s="1"/>
  <c r="L99" i="82"/>
  <c r="L101" i="82" s="1"/>
  <c r="M99" i="82"/>
  <c r="M101" i="82" s="1"/>
  <c r="N99" i="82"/>
  <c r="O99" i="82"/>
  <c r="O101" i="82" s="1"/>
  <c r="P99" i="82"/>
  <c r="P101" i="82" s="1"/>
  <c r="F96" i="82"/>
  <c r="F98" i="82" s="1"/>
  <c r="G96" i="82"/>
  <c r="G98" i="82" s="1"/>
  <c r="H96" i="82"/>
  <c r="I96" i="82"/>
  <c r="I98" i="82" s="1"/>
  <c r="J96" i="82"/>
  <c r="J98" i="82" s="1"/>
  <c r="K96" i="82"/>
  <c r="L96" i="82"/>
  <c r="L98" i="82" s="1"/>
  <c r="M96" i="82"/>
  <c r="M98" i="82" s="1"/>
  <c r="N96" i="82"/>
  <c r="O96" i="82"/>
  <c r="O98" i="82" s="1"/>
  <c r="P96" i="82"/>
  <c r="P98" i="82" s="1"/>
  <c r="F93" i="82"/>
  <c r="F95" i="82" s="1"/>
  <c r="G93" i="82"/>
  <c r="H93" i="82"/>
  <c r="I93" i="82"/>
  <c r="I95" i="82" s="1"/>
  <c r="J93" i="82"/>
  <c r="J95" i="82" s="1"/>
  <c r="K93" i="82"/>
  <c r="K95" i="82" s="1"/>
  <c r="L93" i="82"/>
  <c r="M93" i="82"/>
  <c r="N93" i="82"/>
  <c r="O93" i="82"/>
  <c r="O95" i="82" s="1"/>
  <c r="P93" i="82"/>
  <c r="P95" i="82" s="1"/>
  <c r="F90" i="82"/>
  <c r="F92" i="82" s="1"/>
  <c r="G90" i="82"/>
  <c r="G92" i="82" s="1"/>
  <c r="H90" i="82"/>
  <c r="H92" i="82" s="1"/>
  <c r="I90" i="82"/>
  <c r="I92" i="82" s="1"/>
  <c r="J90" i="82"/>
  <c r="K90" i="82"/>
  <c r="L90" i="82"/>
  <c r="L92" i="82" s="1"/>
  <c r="M90" i="82"/>
  <c r="M92" i="82" s="1"/>
  <c r="N90" i="82"/>
  <c r="O90" i="82"/>
  <c r="O92" i="82" s="1"/>
  <c r="P90" i="82"/>
  <c r="P92" i="82" s="1"/>
  <c r="F87" i="82"/>
  <c r="G87" i="82"/>
  <c r="G89" i="82" s="1"/>
  <c r="H87" i="82"/>
  <c r="I87" i="82"/>
  <c r="I89" i="82" s="1"/>
  <c r="J87" i="82"/>
  <c r="J89" i="82" s="1"/>
  <c r="K87" i="82"/>
  <c r="K89" i="82" s="1"/>
  <c r="L87" i="82"/>
  <c r="L89" i="82" s="1"/>
  <c r="M87" i="82"/>
  <c r="M89" i="82" s="1"/>
  <c r="N87" i="82"/>
  <c r="O87" i="82"/>
  <c r="O89" i="82" s="1"/>
  <c r="P87" i="82"/>
  <c r="P89" i="82" s="1"/>
  <c r="F84" i="82"/>
  <c r="F86" i="82" s="1"/>
  <c r="G84" i="82"/>
  <c r="H84" i="82"/>
  <c r="H86" i="82" s="1"/>
  <c r="I84" i="82"/>
  <c r="J84" i="82"/>
  <c r="J86" i="82" s="1"/>
  <c r="K84" i="82"/>
  <c r="K86" i="82" s="1"/>
  <c r="L84" i="82"/>
  <c r="L86" i="82" s="1"/>
  <c r="M84" i="82"/>
  <c r="N84" i="82"/>
  <c r="O84" i="82"/>
  <c r="O86" i="82" s="1"/>
  <c r="P84" i="82"/>
  <c r="P86" i="82" s="1"/>
  <c r="F81" i="82"/>
  <c r="F83" i="82" s="1"/>
  <c r="G81" i="82"/>
  <c r="G83" i="82" s="1"/>
  <c r="H81" i="82"/>
  <c r="H83" i="82" s="1"/>
  <c r="I81" i="82"/>
  <c r="J81" i="82"/>
  <c r="K81" i="82"/>
  <c r="K83" i="82" s="1"/>
  <c r="L81" i="82"/>
  <c r="L83" i="82" s="1"/>
  <c r="M81" i="82"/>
  <c r="N81" i="82"/>
  <c r="O81" i="82"/>
  <c r="O83" i="82" s="1"/>
  <c r="P81" i="82"/>
  <c r="P83" i="82" s="1"/>
  <c r="F78" i="82"/>
  <c r="F80" i="82" s="1"/>
  <c r="G78" i="82"/>
  <c r="H78" i="82"/>
  <c r="H80" i="82" s="1"/>
  <c r="I78" i="82"/>
  <c r="I80" i="82" s="1"/>
  <c r="J78" i="82"/>
  <c r="J80" i="82" s="1"/>
  <c r="K78" i="82"/>
  <c r="K80" i="82" s="1"/>
  <c r="L78" i="82"/>
  <c r="L80" i="82" s="1"/>
  <c r="M78" i="82"/>
  <c r="N78" i="82"/>
  <c r="O78" i="82"/>
  <c r="O80" i="82" s="1"/>
  <c r="P78" i="82"/>
  <c r="P80" i="82" s="1"/>
  <c r="F75" i="82"/>
  <c r="F77" i="82" s="1"/>
  <c r="G75" i="82"/>
  <c r="G77" i="82" s="1"/>
  <c r="H75" i="82"/>
  <c r="H77" i="82" s="1"/>
  <c r="I75" i="82"/>
  <c r="I77" i="82" s="1"/>
  <c r="J75" i="82"/>
  <c r="J77" i="82" s="1"/>
  <c r="K75" i="82"/>
  <c r="K77" i="82" s="1"/>
  <c r="L75" i="82"/>
  <c r="L77" i="82" s="1"/>
  <c r="M75" i="82"/>
  <c r="M77" i="82" s="1"/>
  <c r="N75" i="82"/>
  <c r="O75" i="82"/>
  <c r="O77" i="82" s="1"/>
  <c r="P75" i="82"/>
  <c r="P77" i="82" s="1"/>
  <c r="F72" i="82"/>
  <c r="G72" i="82"/>
  <c r="H72" i="82"/>
  <c r="H74" i="82" s="1"/>
  <c r="I72" i="82"/>
  <c r="J72" i="82"/>
  <c r="J74" i="82" s="1"/>
  <c r="K72" i="82"/>
  <c r="K74" i="82" s="1"/>
  <c r="L72" i="82"/>
  <c r="L74" i="82" s="1"/>
  <c r="M72" i="82"/>
  <c r="M74" i="82" s="1"/>
  <c r="N72" i="82"/>
  <c r="O72" i="82"/>
  <c r="O74" i="82" s="1"/>
  <c r="P72" i="82"/>
  <c r="P74" i="82" s="1"/>
  <c r="F69" i="82"/>
  <c r="G69" i="82"/>
  <c r="G71" i="82" s="1"/>
  <c r="H69" i="82"/>
  <c r="H71" i="82" s="1"/>
  <c r="I69" i="82"/>
  <c r="I71" i="82" s="1"/>
  <c r="J69" i="82"/>
  <c r="J71" i="82" s="1"/>
  <c r="K69" i="82"/>
  <c r="L69" i="82"/>
  <c r="L71" i="82" s="1"/>
  <c r="M69" i="82"/>
  <c r="N69" i="82"/>
  <c r="O69" i="82"/>
  <c r="O71" i="82" s="1"/>
  <c r="P69" i="82"/>
  <c r="P71" i="82" s="1"/>
  <c r="F66" i="82"/>
  <c r="F68" i="82" s="1"/>
  <c r="G66" i="82"/>
  <c r="G68" i="82" s="1"/>
  <c r="H66" i="82"/>
  <c r="H68" i="82" s="1"/>
  <c r="I66" i="82"/>
  <c r="I68" i="82" s="1"/>
  <c r="J66" i="82"/>
  <c r="J68" i="82" s="1"/>
  <c r="K66" i="82"/>
  <c r="L66" i="82"/>
  <c r="L68" i="82" s="1"/>
  <c r="M66" i="82"/>
  <c r="M68" i="82" s="1"/>
  <c r="N66" i="82"/>
  <c r="O66" i="82"/>
  <c r="O68" i="82" s="1"/>
  <c r="P66" i="82"/>
  <c r="P68" i="82" s="1"/>
  <c r="F63" i="82"/>
  <c r="G63" i="82"/>
  <c r="G65" i="82" s="1"/>
  <c r="H63" i="82"/>
  <c r="I63" i="82"/>
  <c r="J63" i="82"/>
  <c r="J65" i="82" s="1"/>
  <c r="K63" i="82"/>
  <c r="K65" i="82" s="1"/>
  <c r="L63" i="82"/>
  <c r="L65" i="82" s="1"/>
  <c r="M63" i="82"/>
  <c r="M65" i="82" s="1"/>
  <c r="N63" i="82"/>
  <c r="O63" i="82"/>
  <c r="O65" i="82" s="1"/>
  <c r="P63" i="82"/>
  <c r="P65" i="82" s="1"/>
  <c r="F60" i="82"/>
  <c r="F62" i="82" s="1"/>
  <c r="G60" i="82"/>
  <c r="G62" i="82" s="1"/>
  <c r="H60" i="82"/>
  <c r="H62" i="82" s="1"/>
  <c r="I60" i="82"/>
  <c r="I62" i="82" s="1"/>
  <c r="J60" i="82"/>
  <c r="J62" i="82" s="1"/>
  <c r="K60" i="82"/>
  <c r="K62" i="82" s="1"/>
  <c r="L60" i="82"/>
  <c r="L62" i="82" s="1"/>
  <c r="M60" i="82"/>
  <c r="N60" i="82"/>
  <c r="O60" i="82"/>
  <c r="O62" i="82" s="1"/>
  <c r="P60" i="82"/>
  <c r="P62" i="82" s="1"/>
  <c r="F57" i="82"/>
  <c r="F59" i="82" s="1"/>
  <c r="G57" i="82"/>
  <c r="H57" i="82"/>
  <c r="H59" i="82" s="1"/>
  <c r="I57" i="82"/>
  <c r="I59" i="82" s="1"/>
  <c r="J57" i="82"/>
  <c r="J59" i="82" s="1"/>
  <c r="K57" i="82"/>
  <c r="L57" i="82"/>
  <c r="L59" i="82" s="1"/>
  <c r="M57" i="82"/>
  <c r="N57" i="82"/>
  <c r="O57" i="82"/>
  <c r="O59" i="82" s="1"/>
  <c r="P57" i="82"/>
  <c r="P59" i="82" s="1"/>
  <c r="F54" i="82"/>
  <c r="G54" i="82"/>
  <c r="H54" i="82"/>
  <c r="I54" i="82"/>
  <c r="I56" i="82" s="1"/>
  <c r="J54" i="82"/>
  <c r="J56" i="82" s="1"/>
  <c r="K54" i="82"/>
  <c r="K56" i="82" s="1"/>
  <c r="L54" i="82"/>
  <c r="L56" i="82" s="1"/>
  <c r="M54" i="82"/>
  <c r="N54" i="82"/>
  <c r="O54" i="82"/>
  <c r="O56" i="82" s="1"/>
  <c r="P54" i="82"/>
  <c r="P56" i="82" s="1"/>
  <c r="F51" i="82"/>
  <c r="F53" i="82" s="1"/>
  <c r="G51" i="82"/>
  <c r="G53" i="82" s="1"/>
  <c r="H51" i="82"/>
  <c r="H53" i="82" s="1"/>
  <c r="I51" i="82"/>
  <c r="J51" i="82"/>
  <c r="K51" i="82"/>
  <c r="L51" i="82"/>
  <c r="L53" i="82" s="1"/>
  <c r="M51" i="82"/>
  <c r="M53" i="82" s="1"/>
  <c r="N51" i="82"/>
  <c r="O51" i="82"/>
  <c r="O53" i="82" s="1"/>
  <c r="P51" i="82"/>
  <c r="P53" i="82" s="1"/>
  <c r="F48" i="82"/>
  <c r="F50" i="82" s="1"/>
  <c r="G48" i="82"/>
  <c r="G50" i="82" s="1"/>
  <c r="H48" i="82"/>
  <c r="H50" i="82" s="1"/>
  <c r="I48" i="82"/>
  <c r="J48" i="82"/>
  <c r="J50" i="82" s="1"/>
  <c r="K48" i="82"/>
  <c r="K50" i="82" s="1"/>
  <c r="L48" i="82"/>
  <c r="L50" i="82" s="1"/>
  <c r="M48" i="82"/>
  <c r="M50" i="82" s="1"/>
  <c r="N48" i="82"/>
  <c r="O48" i="82"/>
  <c r="O50" i="82" s="1"/>
  <c r="P48" i="82"/>
  <c r="P50" i="82" s="1"/>
  <c r="F45" i="82"/>
  <c r="G45" i="82"/>
  <c r="G47" i="82" s="1"/>
  <c r="H45" i="82"/>
  <c r="H47" i="82" s="1"/>
  <c r="I45" i="82"/>
  <c r="I47" i="82" s="1"/>
  <c r="J45" i="82"/>
  <c r="J47" i="82" s="1"/>
  <c r="K45" i="82"/>
  <c r="K47" i="82" s="1"/>
  <c r="L45" i="82"/>
  <c r="L47" i="82" s="1"/>
  <c r="M45" i="82"/>
  <c r="N45" i="82"/>
  <c r="O45" i="82"/>
  <c r="O47" i="82" s="1"/>
  <c r="P45" i="82"/>
  <c r="P47" i="82" s="1"/>
  <c r="F42" i="82"/>
  <c r="F44" i="82" s="1"/>
  <c r="G42" i="82"/>
  <c r="G44" i="82" s="1"/>
  <c r="H42" i="82"/>
  <c r="I42" i="82"/>
  <c r="I44" i="82" s="1"/>
  <c r="J42" i="82"/>
  <c r="J44" i="82" s="1"/>
  <c r="K42" i="82"/>
  <c r="K44" i="82" s="1"/>
  <c r="L42" i="82"/>
  <c r="L44" i="82" s="1"/>
  <c r="M42" i="82"/>
  <c r="M44" i="82" s="1"/>
  <c r="N42" i="82"/>
  <c r="O42" i="82"/>
  <c r="O44" i="82" s="1"/>
  <c r="P42" i="82"/>
  <c r="P44" i="82" s="1"/>
  <c r="F39" i="82"/>
  <c r="G39" i="82"/>
  <c r="H39" i="82"/>
  <c r="H41" i="82" s="1"/>
  <c r="I39" i="82"/>
  <c r="I41" i="82" s="1"/>
  <c r="J39" i="82"/>
  <c r="K39" i="82"/>
  <c r="K41" i="82" s="1"/>
  <c r="L39" i="82"/>
  <c r="L41" i="82" s="1"/>
  <c r="M39" i="82"/>
  <c r="M41" i="82" s="1"/>
  <c r="N39" i="82"/>
  <c r="O39" i="82"/>
  <c r="O41" i="82" s="1"/>
  <c r="P39" i="82"/>
  <c r="P41" i="82" s="1"/>
  <c r="F36" i="82"/>
  <c r="F38" i="82" s="1"/>
  <c r="G36" i="82"/>
  <c r="G38" i="82" s="1"/>
  <c r="H36" i="82"/>
  <c r="H38" i="82" s="1"/>
  <c r="I36" i="82"/>
  <c r="I38" i="82" s="1"/>
  <c r="J36" i="82"/>
  <c r="J38" i="82" s="1"/>
  <c r="K36" i="82"/>
  <c r="L36" i="82"/>
  <c r="L38" i="82" s="1"/>
  <c r="M36" i="82"/>
  <c r="N36" i="82"/>
  <c r="O36" i="82"/>
  <c r="O38" i="82" s="1"/>
  <c r="P36" i="82"/>
  <c r="P38" i="82" s="1"/>
  <c r="F33" i="82"/>
  <c r="F35" i="82" s="1"/>
  <c r="G33" i="82"/>
  <c r="G35" i="82" s="1"/>
  <c r="H33" i="82"/>
  <c r="I33" i="82"/>
  <c r="I35" i="82" s="1"/>
  <c r="J33" i="82"/>
  <c r="K33" i="82"/>
  <c r="L33" i="82"/>
  <c r="L35" i="82" s="1"/>
  <c r="M33" i="82"/>
  <c r="N33" i="82"/>
  <c r="O33" i="82"/>
  <c r="O35" i="82" s="1"/>
  <c r="P33" i="82"/>
  <c r="P35" i="82" s="1"/>
  <c r="F30" i="82"/>
  <c r="G30" i="82"/>
  <c r="H30" i="82"/>
  <c r="H32" i="82" s="1"/>
  <c r="I30" i="82"/>
  <c r="I32" i="82" s="1"/>
  <c r="J30" i="82"/>
  <c r="J32" i="82" s="1"/>
  <c r="K30" i="82"/>
  <c r="K32" i="82" s="1"/>
  <c r="L30" i="82"/>
  <c r="L32" i="82" s="1"/>
  <c r="M30" i="82"/>
  <c r="N30" i="82"/>
  <c r="O30" i="82"/>
  <c r="O32" i="82" s="1"/>
  <c r="P30" i="82"/>
  <c r="P32" i="82" s="1"/>
  <c r="F27" i="82"/>
  <c r="F29" i="82" s="1"/>
  <c r="G27" i="82"/>
  <c r="G29" i="82" s="1"/>
  <c r="H27" i="82"/>
  <c r="H29" i="82" s="1"/>
  <c r="I27" i="82"/>
  <c r="I29" i="82" s="1"/>
  <c r="J27" i="82"/>
  <c r="J29" i="82" s="1"/>
  <c r="K27" i="82"/>
  <c r="L27" i="82"/>
  <c r="L29" i="82" s="1"/>
  <c r="M27" i="82"/>
  <c r="M29" i="82" s="1"/>
  <c r="N27" i="82"/>
  <c r="O27" i="82"/>
  <c r="O29" i="82" s="1"/>
  <c r="P27" i="82"/>
  <c r="P29" i="82" s="1"/>
  <c r="F24" i="82"/>
  <c r="F26" i="82" s="1"/>
  <c r="G24" i="82"/>
  <c r="G26" i="82" s="1"/>
  <c r="H24" i="82"/>
  <c r="H26" i="82" s="1"/>
  <c r="I24" i="82"/>
  <c r="J24" i="82"/>
  <c r="J26" i="82" s="1"/>
  <c r="K24" i="82"/>
  <c r="L24" i="82"/>
  <c r="L26" i="82" s="1"/>
  <c r="M24" i="82"/>
  <c r="M26" i="82" s="1"/>
  <c r="N24" i="82"/>
  <c r="O24" i="82"/>
  <c r="O26" i="82" s="1"/>
  <c r="P24" i="82"/>
  <c r="P26" i="82" s="1"/>
  <c r="F21" i="82"/>
  <c r="G21" i="82"/>
  <c r="H21" i="82"/>
  <c r="H23" i="82" s="1"/>
  <c r="I21" i="82"/>
  <c r="I23" i="82" s="1"/>
  <c r="J21" i="82"/>
  <c r="J23" i="82" s="1"/>
  <c r="K21" i="82"/>
  <c r="K23" i="82" s="1"/>
  <c r="L21" i="82"/>
  <c r="L23" i="82" s="1"/>
  <c r="M21" i="82"/>
  <c r="N21" i="82"/>
  <c r="O21" i="82"/>
  <c r="O23" i="82" s="1"/>
  <c r="P21" i="82"/>
  <c r="P23" i="82" s="1"/>
  <c r="F18" i="82"/>
  <c r="F20" i="82" s="1"/>
  <c r="G18" i="82"/>
  <c r="G20" i="82" s="1"/>
  <c r="H18" i="82"/>
  <c r="H20" i="82" s="1"/>
  <c r="I18" i="82"/>
  <c r="J18" i="82"/>
  <c r="J20" i="82" s="1"/>
  <c r="K18" i="82"/>
  <c r="L18" i="82"/>
  <c r="L20" i="82" s="1"/>
  <c r="M18" i="82"/>
  <c r="M20" i="82" s="1"/>
  <c r="N18" i="82"/>
  <c r="O18" i="82"/>
  <c r="O20" i="82" s="1"/>
  <c r="P18" i="82"/>
  <c r="P20" i="82" s="1"/>
  <c r="F15" i="82"/>
  <c r="G15" i="82"/>
  <c r="H15" i="82"/>
  <c r="I15" i="82"/>
  <c r="I17" i="82" s="1"/>
  <c r="J15" i="82"/>
  <c r="J17" i="82" s="1"/>
  <c r="K15" i="82"/>
  <c r="K17" i="82" s="1"/>
  <c r="L15" i="82"/>
  <c r="L17" i="82" s="1"/>
  <c r="M15" i="82"/>
  <c r="M17" i="82" s="1"/>
  <c r="N15" i="82"/>
  <c r="O15" i="82"/>
  <c r="O17" i="82" s="1"/>
  <c r="P15" i="82"/>
  <c r="P17" i="82" s="1"/>
  <c r="F12" i="82"/>
  <c r="F14" i="82" s="1"/>
  <c r="G12" i="82"/>
  <c r="G14" i="82" s="1"/>
  <c r="H12" i="82"/>
  <c r="H14" i="82" s="1"/>
  <c r="I12" i="82"/>
  <c r="I14" i="82" s="1"/>
  <c r="J12" i="82"/>
  <c r="J14" i="82" s="1"/>
  <c r="K12" i="82"/>
  <c r="K14" i="82" s="1"/>
  <c r="L12" i="82"/>
  <c r="L14" i="82" s="1"/>
  <c r="M12" i="82"/>
  <c r="N12" i="82"/>
  <c r="O12" i="82"/>
  <c r="O14" i="82" s="1"/>
  <c r="P12" i="82"/>
  <c r="P14" i="82" s="1"/>
  <c r="F9" i="82"/>
  <c r="F11" i="82" s="1"/>
  <c r="G9" i="82"/>
  <c r="H9" i="82"/>
  <c r="I9" i="82"/>
  <c r="I11" i="82" s="1"/>
  <c r="J9" i="82"/>
  <c r="K9" i="82"/>
  <c r="L9" i="82"/>
  <c r="L11" i="82" s="1"/>
  <c r="M9" i="82"/>
  <c r="N9" i="82"/>
  <c r="O9" i="82"/>
  <c r="O11" i="82" s="1"/>
  <c r="P9" i="82"/>
  <c r="P11" i="82" s="1"/>
  <c r="F6" i="82"/>
  <c r="F8" i="82" s="1"/>
  <c r="G6" i="82"/>
  <c r="H6" i="82"/>
  <c r="I6" i="82"/>
  <c r="I8" i="82" s="1"/>
  <c r="J6" i="82"/>
  <c r="J8" i="82" s="1"/>
  <c r="K6" i="82"/>
  <c r="K8" i="82" s="1"/>
  <c r="L6" i="82"/>
  <c r="L8" i="82" s="1"/>
  <c r="M6" i="82"/>
  <c r="N6" i="82"/>
  <c r="O6" i="82"/>
  <c r="O8" i="82" s="1"/>
  <c r="P6" i="82"/>
  <c r="P8" i="82" s="1"/>
  <c r="J170" i="78"/>
  <c r="I167" i="78"/>
  <c r="H164" i="78"/>
  <c r="H158" i="78"/>
  <c r="G155" i="78"/>
  <c r="H152" i="78"/>
  <c r="G149" i="78"/>
  <c r="F149" i="78"/>
  <c r="G143" i="78"/>
  <c r="F143" i="78"/>
  <c r="F137" i="78"/>
  <c r="P131" i="78"/>
  <c r="P125" i="78"/>
  <c r="N122" i="78"/>
  <c r="P119" i="78"/>
  <c r="N116" i="78"/>
  <c r="N110" i="78"/>
  <c r="L104" i="78"/>
  <c r="L98" i="78"/>
  <c r="F95" i="78"/>
  <c r="P86" i="78"/>
  <c r="P62" i="78"/>
  <c r="Q47" i="78"/>
  <c r="P38" i="78"/>
  <c r="P14" i="78"/>
  <c r="F169" i="78"/>
  <c r="G169" i="78"/>
  <c r="H169" i="78"/>
  <c r="I169" i="78"/>
  <c r="J169" i="78"/>
  <c r="K169" i="78"/>
  <c r="L169" i="78"/>
  <c r="M169" i="78"/>
  <c r="N169" i="78"/>
  <c r="O169" i="78"/>
  <c r="P169" i="78"/>
  <c r="Q169" i="78"/>
  <c r="F166" i="78"/>
  <c r="G166" i="78"/>
  <c r="H166" i="78"/>
  <c r="I166" i="78"/>
  <c r="J166" i="78"/>
  <c r="K166" i="78"/>
  <c r="L166" i="78"/>
  <c r="M166" i="78"/>
  <c r="N166" i="78"/>
  <c r="O166" i="78"/>
  <c r="P166" i="78"/>
  <c r="Q166" i="78"/>
  <c r="F163" i="78"/>
  <c r="G163" i="78"/>
  <c r="H163" i="78"/>
  <c r="I163" i="78"/>
  <c r="J163" i="78"/>
  <c r="K163" i="78"/>
  <c r="L163" i="78"/>
  <c r="M163" i="78"/>
  <c r="N163" i="78"/>
  <c r="O163" i="78"/>
  <c r="P163" i="78"/>
  <c r="Q163" i="78"/>
  <c r="F160" i="78"/>
  <c r="G160" i="78"/>
  <c r="H160" i="78"/>
  <c r="I160" i="78"/>
  <c r="I161" i="78" s="1"/>
  <c r="J160" i="78"/>
  <c r="K160" i="78"/>
  <c r="L160" i="78"/>
  <c r="M160" i="78"/>
  <c r="N160" i="78"/>
  <c r="O160" i="78"/>
  <c r="P160" i="78"/>
  <c r="Q160" i="78"/>
  <c r="F157" i="78"/>
  <c r="G157" i="78"/>
  <c r="H157" i="78"/>
  <c r="I157" i="78"/>
  <c r="J157" i="78"/>
  <c r="K157" i="78"/>
  <c r="L157" i="78"/>
  <c r="M157" i="78"/>
  <c r="N157" i="78"/>
  <c r="O157" i="78"/>
  <c r="P157" i="78"/>
  <c r="Q157" i="78"/>
  <c r="F154" i="78"/>
  <c r="G154" i="78"/>
  <c r="H154" i="78"/>
  <c r="I154" i="78"/>
  <c r="J154" i="78"/>
  <c r="K154" i="78"/>
  <c r="L154" i="78"/>
  <c r="M154" i="78"/>
  <c r="N154" i="78"/>
  <c r="O154" i="78"/>
  <c r="P154" i="78"/>
  <c r="Q154" i="78"/>
  <c r="F151" i="78"/>
  <c r="G151" i="78"/>
  <c r="H151" i="78"/>
  <c r="I151" i="78"/>
  <c r="J151" i="78"/>
  <c r="K151" i="78"/>
  <c r="L151" i="78"/>
  <c r="M151" i="78"/>
  <c r="N151" i="78"/>
  <c r="O151" i="78"/>
  <c r="P151" i="78"/>
  <c r="Q151" i="78"/>
  <c r="F148" i="78"/>
  <c r="G148" i="78"/>
  <c r="H148" i="78"/>
  <c r="I148" i="78"/>
  <c r="J148" i="78"/>
  <c r="K148" i="78"/>
  <c r="L148" i="78"/>
  <c r="M148" i="78"/>
  <c r="N148" i="78"/>
  <c r="O148" i="78"/>
  <c r="P148" i="78"/>
  <c r="Q148" i="78"/>
  <c r="F145" i="78"/>
  <c r="G145" i="78"/>
  <c r="H145" i="78"/>
  <c r="I145" i="78"/>
  <c r="J145" i="78"/>
  <c r="K145" i="78"/>
  <c r="L145" i="78"/>
  <c r="M145" i="78"/>
  <c r="N145" i="78"/>
  <c r="O145" i="78"/>
  <c r="P145" i="78"/>
  <c r="Q145" i="78"/>
  <c r="F142" i="78"/>
  <c r="G142" i="78"/>
  <c r="H142" i="78"/>
  <c r="I142" i="78"/>
  <c r="J142" i="78"/>
  <c r="K142" i="78"/>
  <c r="L142" i="78"/>
  <c r="M142" i="78"/>
  <c r="N142" i="78"/>
  <c r="O142" i="78"/>
  <c r="P142" i="78"/>
  <c r="Q142" i="78"/>
  <c r="F139" i="78"/>
  <c r="G139" i="78"/>
  <c r="H139" i="78"/>
  <c r="I139" i="78"/>
  <c r="J139" i="78"/>
  <c r="K139" i="78"/>
  <c r="L139" i="78"/>
  <c r="M139" i="78"/>
  <c r="N139" i="78"/>
  <c r="O139" i="78"/>
  <c r="P139" i="78"/>
  <c r="Q139" i="78"/>
  <c r="F136" i="78"/>
  <c r="G136" i="78"/>
  <c r="H136" i="78"/>
  <c r="I136" i="78"/>
  <c r="J136" i="78"/>
  <c r="K136" i="78"/>
  <c r="L136" i="78"/>
  <c r="M136" i="78"/>
  <c r="N136" i="78"/>
  <c r="O136" i="78"/>
  <c r="P136" i="78"/>
  <c r="Q136" i="78"/>
  <c r="F133" i="78"/>
  <c r="G133" i="78"/>
  <c r="H133" i="78"/>
  <c r="I133" i="78"/>
  <c r="J133" i="78"/>
  <c r="K133" i="78"/>
  <c r="L133" i="78"/>
  <c r="M133" i="78"/>
  <c r="N133" i="78"/>
  <c r="O133" i="78"/>
  <c r="P133" i="78"/>
  <c r="Q133" i="78"/>
  <c r="F130" i="78"/>
  <c r="G130" i="78"/>
  <c r="H130" i="78"/>
  <c r="I130" i="78"/>
  <c r="J130" i="78"/>
  <c r="K130" i="78"/>
  <c r="L130" i="78"/>
  <c r="M130" i="78"/>
  <c r="N130" i="78"/>
  <c r="O130" i="78"/>
  <c r="P130" i="78"/>
  <c r="Q130" i="78"/>
  <c r="F127" i="78"/>
  <c r="G127" i="78"/>
  <c r="H127" i="78"/>
  <c r="I127" i="78"/>
  <c r="J127" i="78"/>
  <c r="K127" i="78"/>
  <c r="L127" i="78"/>
  <c r="M127" i="78"/>
  <c r="N127" i="78"/>
  <c r="O127" i="78"/>
  <c r="P127" i="78"/>
  <c r="Q127" i="78"/>
  <c r="F124" i="78"/>
  <c r="G124" i="78"/>
  <c r="H124" i="78"/>
  <c r="I124" i="78"/>
  <c r="J124" i="78"/>
  <c r="K124" i="78"/>
  <c r="L124" i="78"/>
  <c r="M124" i="78"/>
  <c r="N124" i="78"/>
  <c r="O124" i="78"/>
  <c r="P124" i="78"/>
  <c r="Q124" i="78"/>
  <c r="F121" i="78"/>
  <c r="G121" i="78"/>
  <c r="H121" i="78"/>
  <c r="I121" i="78"/>
  <c r="J121" i="78"/>
  <c r="K121" i="78"/>
  <c r="L121" i="78"/>
  <c r="M121" i="78"/>
  <c r="N121" i="78"/>
  <c r="O121" i="78"/>
  <c r="P121" i="78"/>
  <c r="Q121" i="78"/>
  <c r="F118" i="78"/>
  <c r="G118" i="78"/>
  <c r="H118" i="78"/>
  <c r="I118" i="78"/>
  <c r="J118" i="78"/>
  <c r="K118" i="78"/>
  <c r="L118" i="78"/>
  <c r="M118" i="78"/>
  <c r="N118" i="78"/>
  <c r="O118" i="78"/>
  <c r="P118" i="78"/>
  <c r="Q118" i="78"/>
  <c r="F115" i="78"/>
  <c r="G115" i="78"/>
  <c r="H115" i="78"/>
  <c r="I115" i="78"/>
  <c r="J115" i="78"/>
  <c r="K115" i="78"/>
  <c r="L115" i="78"/>
  <c r="M115" i="78"/>
  <c r="N115" i="78"/>
  <c r="O115" i="78"/>
  <c r="P115" i="78"/>
  <c r="Q115" i="78"/>
  <c r="F112" i="78"/>
  <c r="G112" i="78"/>
  <c r="H112" i="78"/>
  <c r="I112" i="78"/>
  <c r="J112" i="78"/>
  <c r="K112" i="78"/>
  <c r="L112" i="78"/>
  <c r="M112" i="78"/>
  <c r="N112" i="78"/>
  <c r="O112" i="78"/>
  <c r="P112" i="78"/>
  <c r="Q112" i="78"/>
  <c r="F109" i="78"/>
  <c r="G109" i="78"/>
  <c r="H109" i="78"/>
  <c r="I109" i="78"/>
  <c r="J109" i="78"/>
  <c r="K109" i="78"/>
  <c r="L109" i="78"/>
  <c r="M109" i="78"/>
  <c r="N109" i="78"/>
  <c r="O109" i="78"/>
  <c r="P109" i="78"/>
  <c r="Q109" i="78"/>
  <c r="F106" i="78"/>
  <c r="G106" i="78"/>
  <c r="H106" i="78"/>
  <c r="I106" i="78"/>
  <c r="J106" i="78"/>
  <c r="K106" i="78"/>
  <c r="L106" i="78"/>
  <c r="M106" i="78"/>
  <c r="N106" i="78"/>
  <c r="O106" i="78"/>
  <c r="P106" i="78"/>
  <c r="Q106" i="78"/>
  <c r="F103" i="78"/>
  <c r="G103" i="78"/>
  <c r="H103" i="78"/>
  <c r="I103" i="78"/>
  <c r="J103" i="78"/>
  <c r="K103" i="78"/>
  <c r="L103" i="78"/>
  <c r="M103" i="78"/>
  <c r="N103" i="78"/>
  <c r="O103" i="78"/>
  <c r="P103" i="78"/>
  <c r="Q103" i="78"/>
  <c r="F100" i="78"/>
  <c r="G100" i="78"/>
  <c r="H100" i="78"/>
  <c r="I100" i="78"/>
  <c r="J100" i="78"/>
  <c r="K100" i="78"/>
  <c r="L100" i="78"/>
  <c r="M100" i="78"/>
  <c r="N100" i="78"/>
  <c r="O100" i="78"/>
  <c r="P100" i="78"/>
  <c r="Q100" i="78"/>
  <c r="F97" i="78"/>
  <c r="G97" i="78"/>
  <c r="H97" i="78"/>
  <c r="I97" i="78"/>
  <c r="J97" i="78"/>
  <c r="K97" i="78"/>
  <c r="L97" i="78"/>
  <c r="M97" i="78"/>
  <c r="N97" i="78"/>
  <c r="O97" i="78"/>
  <c r="P97" i="78"/>
  <c r="Q97" i="78"/>
  <c r="F94" i="78"/>
  <c r="G94" i="78"/>
  <c r="H94" i="78"/>
  <c r="I94" i="78"/>
  <c r="I95" i="78" s="1"/>
  <c r="J94" i="78"/>
  <c r="K94" i="78"/>
  <c r="L94" i="78"/>
  <c r="M94" i="78"/>
  <c r="N94" i="78"/>
  <c r="O94" i="78"/>
  <c r="P94" i="78"/>
  <c r="Q94" i="78"/>
  <c r="F91" i="78"/>
  <c r="G91" i="78"/>
  <c r="H91" i="78"/>
  <c r="I91" i="78"/>
  <c r="J91" i="78"/>
  <c r="K91" i="78"/>
  <c r="L91" i="78"/>
  <c r="M91" i="78"/>
  <c r="N91" i="78"/>
  <c r="O91" i="78"/>
  <c r="P91" i="78"/>
  <c r="Q91" i="78"/>
  <c r="F88" i="78"/>
  <c r="G88" i="78"/>
  <c r="H88" i="78"/>
  <c r="I88" i="78"/>
  <c r="J88" i="78"/>
  <c r="K88" i="78"/>
  <c r="L88" i="78"/>
  <c r="M88" i="78"/>
  <c r="N88" i="78"/>
  <c r="O88" i="78"/>
  <c r="P88" i="78"/>
  <c r="Q88" i="78"/>
  <c r="F85" i="78"/>
  <c r="G85" i="78"/>
  <c r="H85" i="78"/>
  <c r="I85" i="78"/>
  <c r="J85" i="78"/>
  <c r="K85" i="78"/>
  <c r="L85" i="78"/>
  <c r="M85" i="78"/>
  <c r="N85" i="78"/>
  <c r="O85" i="78"/>
  <c r="P85" i="78"/>
  <c r="Q85" i="78"/>
  <c r="F82" i="78"/>
  <c r="G82" i="78"/>
  <c r="H82" i="78"/>
  <c r="I82" i="78"/>
  <c r="J82" i="78"/>
  <c r="K82" i="78"/>
  <c r="L82" i="78"/>
  <c r="M82" i="78"/>
  <c r="N82" i="78"/>
  <c r="O82" i="78"/>
  <c r="P82" i="78"/>
  <c r="Q82" i="78"/>
  <c r="F79" i="78"/>
  <c r="G79" i="78"/>
  <c r="H79" i="78"/>
  <c r="I79" i="78"/>
  <c r="J79" i="78"/>
  <c r="K79" i="78"/>
  <c r="L79" i="78"/>
  <c r="M79" i="78"/>
  <c r="N79" i="78"/>
  <c r="O79" i="78"/>
  <c r="P79" i="78"/>
  <c r="Q79" i="78"/>
  <c r="F76" i="78"/>
  <c r="G76" i="78"/>
  <c r="G77" i="78" s="1"/>
  <c r="H76" i="78"/>
  <c r="I76" i="78"/>
  <c r="J76" i="78"/>
  <c r="K76" i="78"/>
  <c r="L76" i="78"/>
  <c r="M76" i="78"/>
  <c r="N76" i="78"/>
  <c r="O76" i="78"/>
  <c r="P76" i="78"/>
  <c r="Q76" i="78"/>
  <c r="F73" i="78"/>
  <c r="G73" i="78"/>
  <c r="H73" i="78"/>
  <c r="I73" i="78"/>
  <c r="J73" i="78"/>
  <c r="K73" i="78"/>
  <c r="L73" i="78"/>
  <c r="M73" i="78"/>
  <c r="N73" i="78"/>
  <c r="O73" i="78"/>
  <c r="P73" i="78"/>
  <c r="Q73" i="78"/>
  <c r="F70" i="78"/>
  <c r="G70" i="78"/>
  <c r="H70" i="78"/>
  <c r="I70" i="78"/>
  <c r="J70" i="78"/>
  <c r="K70" i="78"/>
  <c r="L70" i="78"/>
  <c r="M70" i="78"/>
  <c r="N70" i="78"/>
  <c r="O70" i="78"/>
  <c r="P70" i="78"/>
  <c r="Q70" i="78"/>
  <c r="Q71" i="78" s="1"/>
  <c r="F67" i="78"/>
  <c r="G67" i="78"/>
  <c r="H67" i="78"/>
  <c r="I67" i="78"/>
  <c r="J67" i="78"/>
  <c r="K67" i="78"/>
  <c r="L67" i="78"/>
  <c r="M67" i="78"/>
  <c r="N67" i="78"/>
  <c r="O67" i="78"/>
  <c r="P67" i="78"/>
  <c r="Q67" i="78"/>
  <c r="F64" i="78"/>
  <c r="G64" i="78"/>
  <c r="H64" i="78"/>
  <c r="I64" i="78"/>
  <c r="J64" i="78"/>
  <c r="K64" i="78"/>
  <c r="L64" i="78"/>
  <c r="M64" i="78"/>
  <c r="N64" i="78"/>
  <c r="O64" i="78"/>
  <c r="P64" i="78"/>
  <c r="Q64" i="78"/>
  <c r="F61" i="78"/>
  <c r="G61" i="78"/>
  <c r="H61" i="78"/>
  <c r="I61" i="78"/>
  <c r="J61" i="78"/>
  <c r="K61" i="78"/>
  <c r="L61" i="78"/>
  <c r="M61" i="78"/>
  <c r="N61" i="78"/>
  <c r="O61" i="78"/>
  <c r="P61" i="78"/>
  <c r="Q61" i="78"/>
  <c r="F58" i="78"/>
  <c r="G58" i="78"/>
  <c r="H58" i="78"/>
  <c r="I58" i="78"/>
  <c r="J58" i="78"/>
  <c r="K58" i="78"/>
  <c r="L58" i="78"/>
  <c r="M58" i="78"/>
  <c r="N58" i="78"/>
  <c r="O58" i="78"/>
  <c r="P58" i="78"/>
  <c r="Q58" i="78"/>
  <c r="F55" i="78"/>
  <c r="G55" i="78"/>
  <c r="H55" i="78"/>
  <c r="I55" i="78"/>
  <c r="J55" i="78"/>
  <c r="K55" i="78"/>
  <c r="L55" i="78"/>
  <c r="M55" i="78"/>
  <c r="N55" i="78"/>
  <c r="O55" i="78"/>
  <c r="P55" i="78"/>
  <c r="Q55" i="78"/>
  <c r="F52" i="78"/>
  <c r="G52" i="78"/>
  <c r="G53" i="78" s="1"/>
  <c r="H52" i="78"/>
  <c r="I52" i="78"/>
  <c r="J52" i="78"/>
  <c r="K52" i="78"/>
  <c r="L52" i="78"/>
  <c r="M52" i="78"/>
  <c r="N52" i="78"/>
  <c r="O52" i="78"/>
  <c r="P52" i="78"/>
  <c r="Q52" i="78"/>
  <c r="F49" i="78"/>
  <c r="G49" i="78"/>
  <c r="H49" i="78"/>
  <c r="I49" i="78"/>
  <c r="J49" i="78"/>
  <c r="K49" i="78"/>
  <c r="L49" i="78"/>
  <c r="M49" i="78"/>
  <c r="N49" i="78"/>
  <c r="O49" i="78"/>
  <c r="P49" i="78"/>
  <c r="Q49" i="78"/>
  <c r="F46" i="78"/>
  <c r="G46" i="78"/>
  <c r="H46" i="78"/>
  <c r="I46" i="78"/>
  <c r="J46" i="78"/>
  <c r="K46" i="78"/>
  <c r="L46" i="78"/>
  <c r="M46" i="78"/>
  <c r="N46" i="78"/>
  <c r="O46" i="78"/>
  <c r="P46" i="78"/>
  <c r="Q46" i="78"/>
  <c r="F43" i="78"/>
  <c r="G43" i="78"/>
  <c r="H43" i="78"/>
  <c r="I43" i="78"/>
  <c r="J43" i="78"/>
  <c r="K43" i="78"/>
  <c r="L43" i="78"/>
  <c r="M43" i="78"/>
  <c r="N43" i="78"/>
  <c r="O43" i="78"/>
  <c r="P43" i="78"/>
  <c r="Q43" i="78"/>
  <c r="F40" i="78"/>
  <c r="G40" i="78"/>
  <c r="H40" i="78"/>
  <c r="I40" i="78"/>
  <c r="J40" i="78"/>
  <c r="K40" i="78"/>
  <c r="L40" i="78"/>
  <c r="M40" i="78"/>
  <c r="N40" i="78"/>
  <c r="O40" i="78"/>
  <c r="P40" i="78"/>
  <c r="Q40" i="78"/>
  <c r="F37" i="78"/>
  <c r="G37" i="78"/>
  <c r="H37" i="78"/>
  <c r="I37" i="78"/>
  <c r="J37" i="78"/>
  <c r="K37" i="78"/>
  <c r="L37" i="78"/>
  <c r="M37" i="78"/>
  <c r="N37" i="78"/>
  <c r="O37" i="78"/>
  <c r="P37" i="78"/>
  <c r="Q37" i="78"/>
  <c r="F34" i="78"/>
  <c r="G34" i="78"/>
  <c r="H34" i="78"/>
  <c r="I34" i="78"/>
  <c r="J34" i="78"/>
  <c r="K34" i="78"/>
  <c r="L34" i="78"/>
  <c r="M34" i="78"/>
  <c r="N34" i="78"/>
  <c r="O34" i="78"/>
  <c r="P34" i="78"/>
  <c r="Q34" i="78"/>
  <c r="F31" i="78"/>
  <c r="G31" i="78"/>
  <c r="H31" i="78"/>
  <c r="I31" i="78"/>
  <c r="J31" i="78"/>
  <c r="K31" i="78"/>
  <c r="L31" i="78"/>
  <c r="M31" i="78"/>
  <c r="N31" i="78"/>
  <c r="O31" i="78"/>
  <c r="P31" i="78"/>
  <c r="Q31" i="78"/>
  <c r="F28" i="78"/>
  <c r="G28" i="78"/>
  <c r="G29" i="78" s="1"/>
  <c r="H28" i="78"/>
  <c r="I28" i="78"/>
  <c r="J28" i="78"/>
  <c r="K28" i="78"/>
  <c r="L28" i="78"/>
  <c r="M28" i="78"/>
  <c r="N28" i="78"/>
  <c r="O28" i="78"/>
  <c r="P28" i="78"/>
  <c r="Q28" i="78"/>
  <c r="F25" i="78"/>
  <c r="G25" i="78"/>
  <c r="H25" i="78"/>
  <c r="I25" i="78"/>
  <c r="J25" i="78"/>
  <c r="K25" i="78"/>
  <c r="L25" i="78"/>
  <c r="M25" i="78"/>
  <c r="N25" i="78"/>
  <c r="O25" i="78"/>
  <c r="P25" i="78"/>
  <c r="Q25" i="78"/>
  <c r="F22" i="78"/>
  <c r="G22" i="78"/>
  <c r="H22" i="78"/>
  <c r="I22" i="78"/>
  <c r="J22" i="78"/>
  <c r="K22" i="78"/>
  <c r="L22" i="78"/>
  <c r="M22" i="78"/>
  <c r="N22" i="78"/>
  <c r="O22" i="78"/>
  <c r="P22" i="78"/>
  <c r="Q22" i="78"/>
  <c r="Q23" i="78" s="1"/>
  <c r="F19" i="78"/>
  <c r="G19" i="78"/>
  <c r="H19" i="78"/>
  <c r="I19" i="78"/>
  <c r="J19" i="78"/>
  <c r="K19" i="78"/>
  <c r="L19" i="78"/>
  <c r="M19" i="78"/>
  <c r="N19" i="78"/>
  <c r="O19" i="78"/>
  <c r="P19" i="78"/>
  <c r="Q19" i="78"/>
  <c r="F16" i="78"/>
  <c r="G16" i="78"/>
  <c r="H16" i="78"/>
  <c r="I16" i="78"/>
  <c r="J16" i="78"/>
  <c r="K16" i="78"/>
  <c r="L16" i="78"/>
  <c r="M16" i="78"/>
  <c r="N16" i="78"/>
  <c r="O16" i="78"/>
  <c r="P16" i="78"/>
  <c r="Q16" i="78"/>
  <c r="F13" i="78"/>
  <c r="G13" i="78"/>
  <c r="H13" i="78"/>
  <c r="I13" i="78"/>
  <c r="J13" i="78"/>
  <c r="K13" i="78"/>
  <c r="L13" i="78"/>
  <c r="M13" i="78"/>
  <c r="N13" i="78"/>
  <c r="O13" i="78"/>
  <c r="P13" i="78"/>
  <c r="Q13" i="78"/>
  <c r="F10" i="78"/>
  <c r="G10" i="78"/>
  <c r="H10" i="78"/>
  <c r="I10" i="78"/>
  <c r="J10" i="78"/>
  <c r="K10" i="78"/>
  <c r="L10" i="78"/>
  <c r="M10" i="78"/>
  <c r="N10" i="78"/>
  <c r="O10" i="78"/>
  <c r="P10" i="78"/>
  <c r="Q10" i="78"/>
  <c r="F7" i="78"/>
  <c r="F8" i="78" s="1"/>
  <c r="G7" i="78"/>
  <c r="H7" i="78"/>
  <c r="I7" i="78"/>
  <c r="J7" i="78"/>
  <c r="K7" i="78"/>
  <c r="L7" i="78"/>
  <c r="M7" i="78"/>
  <c r="N7" i="78"/>
  <c r="O7" i="78"/>
  <c r="P7" i="78"/>
  <c r="Q7" i="78"/>
  <c r="F168" i="78"/>
  <c r="F170" i="78" s="1"/>
  <c r="G168" i="78"/>
  <c r="G170" i="78" s="1"/>
  <c r="H168" i="78"/>
  <c r="H170" i="78" s="1"/>
  <c r="I168" i="78"/>
  <c r="I170" i="78" s="1"/>
  <c r="J168" i="78"/>
  <c r="K168" i="78"/>
  <c r="K170" i="78" s="1"/>
  <c r="L168" i="78"/>
  <c r="L170" i="78" s="1"/>
  <c r="M168" i="78"/>
  <c r="M170" i="78" s="1"/>
  <c r="N168" i="78"/>
  <c r="N170" i="78" s="1"/>
  <c r="O168" i="78"/>
  <c r="P168" i="78"/>
  <c r="P170" i="78" s="1"/>
  <c r="Q168" i="78"/>
  <c r="Q170" i="78" s="1"/>
  <c r="F165" i="78"/>
  <c r="F167" i="78" s="1"/>
  <c r="G165" i="78"/>
  <c r="G167" i="78" s="1"/>
  <c r="H165" i="78"/>
  <c r="H167" i="78" s="1"/>
  <c r="I165" i="78"/>
  <c r="J165" i="78"/>
  <c r="J167" i="78" s="1"/>
  <c r="K165" i="78"/>
  <c r="K167" i="78" s="1"/>
  <c r="L165" i="78"/>
  <c r="L167" i="78" s="1"/>
  <c r="M165" i="78"/>
  <c r="M167" i="78" s="1"/>
  <c r="N165" i="78"/>
  <c r="N167" i="78" s="1"/>
  <c r="O165" i="78"/>
  <c r="P165" i="78"/>
  <c r="P167" i="78" s="1"/>
  <c r="Q165" i="78"/>
  <c r="Q167" i="78" s="1"/>
  <c r="F162" i="78"/>
  <c r="F164" i="78" s="1"/>
  <c r="G162" i="78"/>
  <c r="G164" i="78" s="1"/>
  <c r="H162" i="78"/>
  <c r="I162" i="78"/>
  <c r="I164" i="78" s="1"/>
  <c r="J162" i="78"/>
  <c r="J164" i="78" s="1"/>
  <c r="K162" i="78"/>
  <c r="K164" i="78" s="1"/>
  <c r="L162" i="78"/>
  <c r="L164" i="78" s="1"/>
  <c r="M162" i="78"/>
  <c r="M164" i="78" s="1"/>
  <c r="N162" i="78"/>
  <c r="N164" i="78" s="1"/>
  <c r="O162" i="78"/>
  <c r="P162" i="78"/>
  <c r="P164" i="78" s="1"/>
  <c r="Q162" i="78"/>
  <c r="Q164" i="78" s="1"/>
  <c r="F159" i="78"/>
  <c r="F161" i="78" s="1"/>
  <c r="G159" i="78"/>
  <c r="G161" i="78" s="1"/>
  <c r="H159" i="78"/>
  <c r="H161" i="78" s="1"/>
  <c r="I159" i="78"/>
  <c r="J159" i="78"/>
  <c r="J161" i="78" s="1"/>
  <c r="K159" i="78"/>
  <c r="K161" i="78" s="1"/>
  <c r="L159" i="78"/>
  <c r="L161" i="78" s="1"/>
  <c r="M159" i="78"/>
  <c r="M161" i="78" s="1"/>
  <c r="N159" i="78"/>
  <c r="N161" i="78" s="1"/>
  <c r="O159" i="78"/>
  <c r="P159" i="78"/>
  <c r="P161" i="78" s="1"/>
  <c r="Q159" i="78"/>
  <c r="F156" i="78"/>
  <c r="F158" i="78" s="1"/>
  <c r="G156" i="78"/>
  <c r="G158" i="78" s="1"/>
  <c r="H156" i="78"/>
  <c r="I156" i="78"/>
  <c r="I158" i="78" s="1"/>
  <c r="J156" i="78"/>
  <c r="J158" i="78" s="1"/>
  <c r="K156" i="78"/>
  <c r="K158" i="78" s="1"/>
  <c r="L156" i="78"/>
  <c r="L158" i="78" s="1"/>
  <c r="M156" i="78"/>
  <c r="N156" i="78"/>
  <c r="N158" i="78" s="1"/>
  <c r="O156" i="78"/>
  <c r="P156" i="78"/>
  <c r="P158" i="78" s="1"/>
  <c r="Q156" i="78"/>
  <c r="Q158" i="78" s="1"/>
  <c r="F153" i="78"/>
  <c r="F155" i="78" s="1"/>
  <c r="G153" i="78"/>
  <c r="H153" i="78"/>
  <c r="H155" i="78" s="1"/>
  <c r="I153" i="78"/>
  <c r="J153" i="78"/>
  <c r="J155" i="78" s="1"/>
  <c r="K153" i="78"/>
  <c r="K155" i="78" s="1"/>
  <c r="L153" i="78"/>
  <c r="L155" i="78" s="1"/>
  <c r="M153" i="78"/>
  <c r="M155" i="78" s="1"/>
  <c r="N153" i="78"/>
  <c r="N155" i="78" s="1"/>
  <c r="O153" i="78"/>
  <c r="P153" i="78"/>
  <c r="P155" i="78" s="1"/>
  <c r="Q153" i="78"/>
  <c r="Q155" i="78" s="1"/>
  <c r="F150" i="78"/>
  <c r="F152" i="78" s="1"/>
  <c r="G150" i="78"/>
  <c r="G152" i="78" s="1"/>
  <c r="H150" i="78"/>
  <c r="I150" i="78"/>
  <c r="I152" i="78" s="1"/>
  <c r="J150" i="78"/>
  <c r="J152" i="78" s="1"/>
  <c r="K150" i="78"/>
  <c r="K152" i="78" s="1"/>
  <c r="L150" i="78"/>
  <c r="L152" i="78" s="1"/>
  <c r="M150" i="78"/>
  <c r="M152" i="78" s="1"/>
  <c r="N150" i="78"/>
  <c r="N152" i="78" s="1"/>
  <c r="O150" i="78"/>
  <c r="P150" i="78"/>
  <c r="P152" i="78" s="1"/>
  <c r="Q150" i="78"/>
  <c r="Q152" i="78" s="1"/>
  <c r="F147" i="78"/>
  <c r="G147" i="78"/>
  <c r="H147" i="78"/>
  <c r="H149" i="78" s="1"/>
  <c r="I147" i="78"/>
  <c r="I149" i="78" s="1"/>
  <c r="J147" i="78"/>
  <c r="J149" i="78" s="1"/>
  <c r="K147" i="78"/>
  <c r="K149" i="78" s="1"/>
  <c r="L147" i="78"/>
  <c r="L149" i="78" s="1"/>
  <c r="M147" i="78"/>
  <c r="M149" i="78" s="1"/>
  <c r="N147" i="78"/>
  <c r="N149" i="78" s="1"/>
  <c r="O147" i="78"/>
  <c r="P147" i="78"/>
  <c r="P149" i="78" s="1"/>
  <c r="Q147" i="78"/>
  <c r="Q149" i="78" s="1"/>
  <c r="F144" i="78"/>
  <c r="F146" i="78" s="1"/>
  <c r="G144" i="78"/>
  <c r="G146" i="78" s="1"/>
  <c r="H144" i="78"/>
  <c r="H146" i="78" s="1"/>
  <c r="I144" i="78"/>
  <c r="I146" i="78" s="1"/>
  <c r="J144" i="78"/>
  <c r="J146" i="78" s="1"/>
  <c r="K144" i="78"/>
  <c r="K146" i="78" s="1"/>
  <c r="L144" i="78"/>
  <c r="L146" i="78" s="1"/>
  <c r="M144" i="78"/>
  <c r="M146" i="78" s="1"/>
  <c r="N144" i="78"/>
  <c r="N146" i="78" s="1"/>
  <c r="O144" i="78"/>
  <c r="P144" i="78"/>
  <c r="P146" i="78" s="1"/>
  <c r="Q144" i="78"/>
  <c r="Q146" i="78" s="1"/>
  <c r="F141" i="78"/>
  <c r="G141" i="78"/>
  <c r="H141" i="78"/>
  <c r="H143" i="78" s="1"/>
  <c r="I141" i="78"/>
  <c r="I143" i="78" s="1"/>
  <c r="J141" i="78"/>
  <c r="J143" i="78" s="1"/>
  <c r="K141" i="78"/>
  <c r="K143" i="78" s="1"/>
  <c r="L141" i="78"/>
  <c r="L143" i="78" s="1"/>
  <c r="M141" i="78"/>
  <c r="M143" i="78" s="1"/>
  <c r="N141" i="78"/>
  <c r="N143" i="78" s="1"/>
  <c r="O141" i="78"/>
  <c r="P141" i="78"/>
  <c r="P143" i="78" s="1"/>
  <c r="Q141" i="78"/>
  <c r="Q143" i="78" s="1"/>
  <c r="F138" i="78"/>
  <c r="F140" i="78" s="1"/>
  <c r="G138" i="78"/>
  <c r="G140" i="78" s="1"/>
  <c r="H138" i="78"/>
  <c r="H140" i="78" s="1"/>
  <c r="I138" i="78"/>
  <c r="I140" i="78" s="1"/>
  <c r="J138" i="78"/>
  <c r="J140" i="78" s="1"/>
  <c r="K138" i="78"/>
  <c r="K140" i="78" s="1"/>
  <c r="L138" i="78"/>
  <c r="L140" i="78" s="1"/>
  <c r="M138" i="78"/>
  <c r="M140" i="78" s="1"/>
  <c r="N138" i="78"/>
  <c r="N140" i="78" s="1"/>
  <c r="O138" i="78"/>
  <c r="P138" i="78"/>
  <c r="P140" i="78" s="1"/>
  <c r="Q138" i="78"/>
  <c r="Q140" i="78" s="1"/>
  <c r="F135" i="78"/>
  <c r="G135" i="78"/>
  <c r="G137" i="78" s="1"/>
  <c r="H135" i="78"/>
  <c r="H137" i="78" s="1"/>
  <c r="I135" i="78"/>
  <c r="I137" i="78" s="1"/>
  <c r="J135" i="78"/>
  <c r="J137" i="78" s="1"/>
  <c r="K135" i="78"/>
  <c r="K137" i="78" s="1"/>
  <c r="L135" i="78"/>
  <c r="L137" i="78" s="1"/>
  <c r="M135" i="78"/>
  <c r="M137" i="78" s="1"/>
  <c r="N135" i="78"/>
  <c r="N137" i="78" s="1"/>
  <c r="O135" i="78"/>
  <c r="P135" i="78"/>
  <c r="P137" i="78" s="1"/>
  <c r="Q135" i="78"/>
  <c r="F132" i="78"/>
  <c r="F134" i="78" s="1"/>
  <c r="G132" i="78"/>
  <c r="G134" i="78" s="1"/>
  <c r="H132" i="78"/>
  <c r="H134" i="78" s="1"/>
  <c r="I132" i="78"/>
  <c r="I134" i="78" s="1"/>
  <c r="J132" i="78"/>
  <c r="J134" i="78" s="1"/>
  <c r="K132" i="78"/>
  <c r="K134" i="78" s="1"/>
  <c r="L132" i="78"/>
  <c r="L134" i="78" s="1"/>
  <c r="M132" i="78"/>
  <c r="N132" i="78"/>
  <c r="N134" i="78" s="1"/>
  <c r="O132" i="78"/>
  <c r="P132" i="78"/>
  <c r="P134" i="78" s="1"/>
  <c r="Q132" i="78"/>
  <c r="Q134" i="78" s="1"/>
  <c r="F129" i="78"/>
  <c r="F131" i="78" s="1"/>
  <c r="G129" i="78"/>
  <c r="G131" i="78" s="1"/>
  <c r="H129" i="78"/>
  <c r="H131" i="78" s="1"/>
  <c r="I129" i="78"/>
  <c r="J129" i="78"/>
  <c r="J131" i="78" s="1"/>
  <c r="K129" i="78"/>
  <c r="K131" i="78" s="1"/>
  <c r="L129" i="78"/>
  <c r="L131" i="78" s="1"/>
  <c r="M129" i="78"/>
  <c r="M131" i="78" s="1"/>
  <c r="N129" i="78"/>
  <c r="N131" i="78" s="1"/>
  <c r="O129" i="78"/>
  <c r="P129" i="78"/>
  <c r="Q129" i="78"/>
  <c r="Q131" i="78" s="1"/>
  <c r="F126" i="78"/>
  <c r="F128" i="78" s="1"/>
  <c r="G126" i="78"/>
  <c r="G128" i="78" s="1"/>
  <c r="H126" i="78"/>
  <c r="H128" i="78" s="1"/>
  <c r="I126" i="78"/>
  <c r="I128" i="78" s="1"/>
  <c r="J126" i="78"/>
  <c r="J128" i="78" s="1"/>
  <c r="K126" i="78"/>
  <c r="K128" i="78" s="1"/>
  <c r="L126" i="78"/>
  <c r="L128" i="78" s="1"/>
  <c r="M126" i="78"/>
  <c r="M128" i="78" s="1"/>
  <c r="N126" i="78"/>
  <c r="N128" i="78" s="1"/>
  <c r="O126" i="78"/>
  <c r="P126" i="78"/>
  <c r="P128" i="78" s="1"/>
  <c r="Q126" i="78"/>
  <c r="Q128" i="78" s="1"/>
  <c r="F123" i="78"/>
  <c r="F125" i="78" s="1"/>
  <c r="G123" i="78"/>
  <c r="G125" i="78" s="1"/>
  <c r="H123" i="78"/>
  <c r="H125" i="78" s="1"/>
  <c r="I123" i="78"/>
  <c r="I125" i="78" s="1"/>
  <c r="J123" i="78"/>
  <c r="J125" i="78" s="1"/>
  <c r="K123" i="78"/>
  <c r="K125" i="78" s="1"/>
  <c r="L123" i="78"/>
  <c r="L125" i="78" s="1"/>
  <c r="M123" i="78"/>
  <c r="M125" i="78" s="1"/>
  <c r="N123" i="78"/>
  <c r="N125" i="78" s="1"/>
  <c r="O123" i="78"/>
  <c r="P123" i="78"/>
  <c r="Q123" i="78"/>
  <c r="Q125" i="78" s="1"/>
  <c r="F120" i="78"/>
  <c r="F122" i="78" s="1"/>
  <c r="G120" i="78"/>
  <c r="G122" i="78" s="1"/>
  <c r="H120" i="78"/>
  <c r="H122" i="78" s="1"/>
  <c r="I120" i="78"/>
  <c r="I122" i="78" s="1"/>
  <c r="J120" i="78"/>
  <c r="J122" i="78" s="1"/>
  <c r="K120" i="78"/>
  <c r="K122" i="78" s="1"/>
  <c r="L120" i="78"/>
  <c r="L122" i="78" s="1"/>
  <c r="M120" i="78"/>
  <c r="M122" i="78" s="1"/>
  <c r="N120" i="78"/>
  <c r="O120" i="78"/>
  <c r="P120" i="78"/>
  <c r="P122" i="78" s="1"/>
  <c r="Q120" i="78"/>
  <c r="Q122" i="78" s="1"/>
  <c r="F117" i="78"/>
  <c r="F119" i="78" s="1"/>
  <c r="G117" i="78"/>
  <c r="G119" i="78" s="1"/>
  <c r="H117" i="78"/>
  <c r="H119" i="78" s="1"/>
  <c r="I117" i="78"/>
  <c r="I119" i="78" s="1"/>
  <c r="J117" i="78"/>
  <c r="J119" i="78" s="1"/>
  <c r="K117" i="78"/>
  <c r="K119" i="78" s="1"/>
  <c r="L117" i="78"/>
  <c r="L119" i="78" s="1"/>
  <c r="M117" i="78"/>
  <c r="M119" i="78" s="1"/>
  <c r="N117" i="78"/>
  <c r="N119" i="78" s="1"/>
  <c r="O117" i="78"/>
  <c r="P117" i="78"/>
  <c r="Q117" i="78"/>
  <c r="Q119" i="78" s="1"/>
  <c r="F114" i="78"/>
  <c r="F116" i="78" s="1"/>
  <c r="G114" i="78"/>
  <c r="G116" i="78" s="1"/>
  <c r="H114" i="78"/>
  <c r="H116" i="78" s="1"/>
  <c r="I114" i="78"/>
  <c r="I116" i="78" s="1"/>
  <c r="J114" i="78"/>
  <c r="J116" i="78" s="1"/>
  <c r="K114" i="78"/>
  <c r="K116" i="78" s="1"/>
  <c r="L114" i="78"/>
  <c r="L116" i="78" s="1"/>
  <c r="M114" i="78"/>
  <c r="M116" i="78" s="1"/>
  <c r="N114" i="78"/>
  <c r="O114" i="78"/>
  <c r="P114" i="78"/>
  <c r="P116" i="78" s="1"/>
  <c r="Q114" i="78"/>
  <c r="Q116" i="78" s="1"/>
  <c r="F111" i="78"/>
  <c r="F113" i="78" s="1"/>
  <c r="G111" i="78"/>
  <c r="G113" i="78" s="1"/>
  <c r="H111" i="78"/>
  <c r="H113" i="78" s="1"/>
  <c r="I111" i="78"/>
  <c r="I113" i="78" s="1"/>
  <c r="J111" i="78"/>
  <c r="J113" i="78" s="1"/>
  <c r="K111" i="78"/>
  <c r="K113" i="78" s="1"/>
  <c r="L111" i="78"/>
  <c r="L113" i="78" s="1"/>
  <c r="M111" i="78"/>
  <c r="M113" i="78" s="1"/>
  <c r="N111" i="78"/>
  <c r="N113" i="78" s="1"/>
  <c r="O111" i="78"/>
  <c r="P111" i="78"/>
  <c r="P113" i="78" s="1"/>
  <c r="Q111" i="78"/>
  <c r="F108" i="78"/>
  <c r="F110" i="78" s="1"/>
  <c r="G108" i="78"/>
  <c r="G110" i="78" s="1"/>
  <c r="H108" i="78"/>
  <c r="H110" i="78" s="1"/>
  <c r="I108" i="78"/>
  <c r="I110" i="78" s="1"/>
  <c r="J108" i="78"/>
  <c r="J110" i="78" s="1"/>
  <c r="K108" i="78"/>
  <c r="K110" i="78" s="1"/>
  <c r="L108" i="78"/>
  <c r="L110" i="78" s="1"/>
  <c r="M108" i="78"/>
  <c r="N108" i="78"/>
  <c r="O108" i="78"/>
  <c r="P108" i="78"/>
  <c r="P110" i="78" s="1"/>
  <c r="Q108" i="78"/>
  <c r="Q110" i="78" s="1"/>
  <c r="F105" i="78"/>
  <c r="F107" i="78" s="1"/>
  <c r="G105" i="78"/>
  <c r="G107" i="78" s="1"/>
  <c r="H105" i="78"/>
  <c r="H107" i="78" s="1"/>
  <c r="I105" i="78"/>
  <c r="J105" i="78"/>
  <c r="J107" i="78" s="1"/>
  <c r="K105" i="78"/>
  <c r="K107" i="78" s="1"/>
  <c r="L105" i="78"/>
  <c r="L107" i="78" s="1"/>
  <c r="M105" i="78"/>
  <c r="M107" i="78" s="1"/>
  <c r="N105" i="78"/>
  <c r="N107" i="78" s="1"/>
  <c r="O105" i="78"/>
  <c r="P105" i="78"/>
  <c r="P107" i="78" s="1"/>
  <c r="Q105" i="78"/>
  <c r="Q107" i="78" s="1"/>
  <c r="F102" i="78"/>
  <c r="F104" i="78" s="1"/>
  <c r="G102" i="78"/>
  <c r="G104" i="78" s="1"/>
  <c r="H102" i="78"/>
  <c r="H104" i="78" s="1"/>
  <c r="I102" i="78"/>
  <c r="I104" i="78" s="1"/>
  <c r="J102" i="78"/>
  <c r="J104" i="78" s="1"/>
  <c r="K102" i="78"/>
  <c r="K104" i="78" s="1"/>
  <c r="L102" i="78"/>
  <c r="M102" i="78"/>
  <c r="M104" i="78" s="1"/>
  <c r="N102" i="78"/>
  <c r="N104" i="78" s="1"/>
  <c r="O102" i="78"/>
  <c r="P102" i="78"/>
  <c r="P104" i="78" s="1"/>
  <c r="Q102" i="78"/>
  <c r="Q104" i="78" s="1"/>
  <c r="F99" i="78"/>
  <c r="F101" i="78" s="1"/>
  <c r="G99" i="78"/>
  <c r="G101" i="78" s="1"/>
  <c r="H99" i="78"/>
  <c r="H101" i="78" s="1"/>
  <c r="I99" i="78"/>
  <c r="I101" i="78" s="1"/>
  <c r="J99" i="78"/>
  <c r="J101" i="78" s="1"/>
  <c r="K99" i="78"/>
  <c r="K101" i="78" s="1"/>
  <c r="L99" i="78"/>
  <c r="L101" i="78" s="1"/>
  <c r="M99" i="78"/>
  <c r="M101" i="78" s="1"/>
  <c r="N99" i="78"/>
  <c r="N101" i="78" s="1"/>
  <c r="O99" i="78"/>
  <c r="P99" i="78"/>
  <c r="P101" i="78" s="1"/>
  <c r="Q99" i="78"/>
  <c r="Q101" i="78" s="1"/>
  <c r="F96" i="78"/>
  <c r="F98" i="78" s="1"/>
  <c r="G96" i="78"/>
  <c r="G98" i="78" s="1"/>
  <c r="H96" i="78"/>
  <c r="H98" i="78" s="1"/>
  <c r="I96" i="78"/>
  <c r="I98" i="78" s="1"/>
  <c r="J96" i="78"/>
  <c r="J98" i="78" s="1"/>
  <c r="K96" i="78"/>
  <c r="K98" i="78" s="1"/>
  <c r="L96" i="78"/>
  <c r="M96" i="78"/>
  <c r="M98" i="78" s="1"/>
  <c r="N96" i="78"/>
  <c r="N98" i="78" s="1"/>
  <c r="O96" i="78"/>
  <c r="P96" i="78"/>
  <c r="P98" i="78" s="1"/>
  <c r="Q96" i="78"/>
  <c r="Q98" i="78" s="1"/>
  <c r="F93" i="78"/>
  <c r="G93" i="78"/>
  <c r="G95" i="78" s="1"/>
  <c r="H93" i="78"/>
  <c r="H95" i="78" s="1"/>
  <c r="I93" i="78"/>
  <c r="J93" i="78"/>
  <c r="J95" i="78" s="1"/>
  <c r="K93" i="78"/>
  <c r="K95" i="78" s="1"/>
  <c r="L93" i="78"/>
  <c r="L95" i="78" s="1"/>
  <c r="M93" i="78"/>
  <c r="M95" i="78" s="1"/>
  <c r="N93" i="78"/>
  <c r="N95" i="78" s="1"/>
  <c r="O93" i="78"/>
  <c r="P93" i="78"/>
  <c r="P95" i="78" s="1"/>
  <c r="Q93" i="78"/>
  <c r="Q95" i="78" s="1"/>
  <c r="F90" i="78"/>
  <c r="F92" i="78" s="1"/>
  <c r="G90" i="78"/>
  <c r="G92" i="78" s="1"/>
  <c r="H90" i="78"/>
  <c r="I90" i="78"/>
  <c r="I92" i="78" s="1"/>
  <c r="J90" i="78"/>
  <c r="K90" i="78"/>
  <c r="K92" i="78" s="1"/>
  <c r="L90" i="78"/>
  <c r="L92" i="78" s="1"/>
  <c r="M90" i="78"/>
  <c r="N90" i="78"/>
  <c r="O90" i="78"/>
  <c r="P90" i="78"/>
  <c r="P92" i="78" s="1"/>
  <c r="Q90" i="78"/>
  <c r="Q92" i="78" s="1"/>
  <c r="F87" i="78"/>
  <c r="G87" i="78"/>
  <c r="G89" i="78" s="1"/>
  <c r="H87" i="78"/>
  <c r="I87" i="78"/>
  <c r="J87" i="78"/>
  <c r="J89" i="78" s="1"/>
  <c r="K87" i="78"/>
  <c r="K89" i="78" s="1"/>
  <c r="L87" i="78"/>
  <c r="L89" i="78" s="1"/>
  <c r="M87" i="78"/>
  <c r="N87" i="78"/>
  <c r="N89" i="78" s="1"/>
  <c r="O87" i="78"/>
  <c r="P87" i="78"/>
  <c r="P89" i="78" s="1"/>
  <c r="Q87" i="78"/>
  <c r="Q89" i="78" s="1"/>
  <c r="F84" i="78"/>
  <c r="F86" i="78" s="1"/>
  <c r="G84" i="78"/>
  <c r="G86" i="78" s="1"/>
  <c r="H84" i="78"/>
  <c r="H86" i="78" s="1"/>
  <c r="I84" i="78"/>
  <c r="I86" i="78" s="1"/>
  <c r="J84" i="78"/>
  <c r="J86" i="78" s="1"/>
  <c r="K84" i="78"/>
  <c r="K86" i="78" s="1"/>
  <c r="L84" i="78"/>
  <c r="M84" i="78"/>
  <c r="N84" i="78"/>
  <c r="O84" i="78"/>
  <c r="P84" i="78"/>
  <c r="Q84" i="78"/>
  <c r="Q86" i="78" s="1"/>
  <c r="F81" i="78"/>
  <c r="G81" i="78"/>
  <c r="G83" i="78" s="1"/>
  <c r="H81" i="78"/>
  <c r="I81" i="78"/>
  <c r="J81" i="78"/>
  <c r="J83" i="78" s="1"/>
  <c r="K81" i="78"/>
  <c r="K83" i="78" s="1"/>
  <c r="L81" i="78"/>
  <c r="L83" i="78" s="1"/>
  <c r="M81" i="78"/>
  <c r="M83" i="78" s="1"/>
  <c r="N81" i="78"/>
  <c r="N83" i="78" s="1"/>
  <c r="O81" i="78"/>
  <c r="P81" i="78"/>
  <c r="P83" i="78" s="1"/>
  <c r="Q81" i="78"/>
  <c r="Q83" i="78" s="1"/>
  <c r="F78" i="78"/>
  <c r="F80" i="78" s="1"/>
  <c r="G78" i="78"/>
  <c r="G80" i="78" s="1"/>
  <c r="H78" i="78"/>
  <c r="H80" i="78" s="1"/>
  <c r="I78" i="78"/>
  <c r="I80" i="78" s="1"/>
  <c r="J78" i="78"/>
  <c r="J80" i="78" s="1"/>
  <c r="K78" i="78"/>
  <c r="K80" i="78" s="1"/>
  <c r="L78" i="78"/>
  <c r="M78" i="78"/>
  <c r="N78" i="78"/>
  <c r="O78" i="78"/>
  <c r="P78" i="78"/>
  <c r="P80" i="78" s="1"/>
  <c r="Q78" i="78"/>
  <c r="Q80" i="78" s="1"/>
  <c r="F75" i="78"/>
  <c r="G75" i="78"/>
  <c r="H75" i="78"/>
  <c r="H77" i="78" s="1"/>
  <c r="I75" i="78"/>
  <c r="J75" i="78"/>
  <c r="K75" i="78"/>
  <c r="K77" i="78" s="1"/>
  <c r="L75" i="78"/>
  <c r="L77" i="78" s="1"/>
  <c r="M75" i="78"/>
  <c r="M77" i="78" s="1"/>
  <c r="N75" i="78"/>
  <c r="N77" i="78" s="1"/>
  <c r="O75" i="78"/>
  <c r="P75" i="78"/>
  <c r="P77" i="78" s="1"/>
  <c r="Q75" i="78"/>
  <c r="Q77" i="78" s="1"/>
  <c r="F72" i="78"/>
  <c r="F74" i="78" s="1"/>
  <c r="G72" i="78"/>
  <c r="G74" i="78" s="1"/>
  <c r="H72" i="78"/>
  <c r="H74" i="78" s="1"/>
  <c r="I72" i="78"/>
  <c r="I74" i="78" s="1"/>
  <c r="J72" i="78"/>
  <c r="J74" i="78" s="1"/>
  <c r="K72" i="78"/>
  <c r="K74" i="78" s="1"/>
  <c r="L72" i="78"/>
  <c r="L74" i="78" s="1"/>
  <c r="M72" i="78"/>
  <c r="N72" i="78"/>
  <c r="O72" i="78"/>
  <c r="P72" i="78"/>
  <c r="P74" i="78" s="1"/>
  <c r="Q72" i="78"/>
  <c r="Q74" i="78" s="1"/>
  <c r="F69" i="78"/>
  <c r="G69" i="78"/>
  <c r="G71" i="78" s="1"/>
  <c r="H69" i="78"/>
  <c r="I69" i="78"/>
  <c r="J69" i="78"/>
  <c r="K69" i="78"/>
  <c r="L69" i="78"/>
  <c r="L71" i="78" s="1"/>
  <c r="M69" i="78"/>
  <c r="M71" i="78" s="1"/>
  <c r="N69" i="78"/>
  <c r="N71" i="78" s="1"/>
  <c r="O69" i="78"/>
  <c r="P69" i="78"/>
  <c r="P71" i="78" s="1"/>
  <c r="Q69" i="78"/>
  <c r="F66" i="78"/>
  <c r="F68" i="78" s="1"/>
  <c r="G66" i="78"/>
  <c r="G68" i="78" s="1"/>
  <c r="H66" i="78"/>
  <c r="H68" i="78" s="1"/>
  <c r="I66" i="78"/>
  <c r="I68" i="78" s="1"/>
  <c r="J66" i="78"/>
  <c r="J68" i="78" s="1"/>
  <c r="K66" i="78"/>
  <c r="K68" i="78" s="1"/>
  <c r="L66" i="78"/>
  <c r="L68" i="78" s="1"/>
  <c r="M66" i="78"/>
  <c r="N66" i="78"/>
  <c r="O66" i="78"/>
  <c r="P66" i="78"/>
  <c r="P68" i="78" s="1"/>
  <c r="Q66" i="78"/>
  <c r="Q68" i="78" s="1"/>
  <c r="F63" i="78"/>
  <c r="G63" i="78"/>
  <c r="H63" i="78"/>
  <c r="H65" i="78" s="1"/>
  <c r="I63" i="78"/>
  <c r="J63" i="78"/>
  <c r="K63" i="78"/>
  <c r="L63" i="78"/>
  <c r="L65" i="78" s="1"/>
  <c r="M63" i="78"/>
  <c r="M65" i="78" s="1"/>
  <c r="N63" i="78"/>
  <c r="N65" i="78" s="1"/>
  <c r="O63" i="78"/>
  <c r="P63" i="78"/>
  <c r="P65" i="78" s="1"/>
  <c r="Q63" i="78"/>
  <c r="Q65" i="78" s="1"/>
  <c r="F60" i="78"/>
  <c r="F62" i="78" s="1"/>
  <c r="G60" i="78"/>
  <c r="G62" i="78" s="1"/>
  <c r="H60" i="78"/>
  <c r="H62" i="78" s="1"/>
  <c r="I60" i="78"/>
  <c r="I62" i="78" s="1"/>
  <c r="J60" i="78"/>
  <c r="J62" i="78" s="1"/>
  <c r="K60" i="78"/>
  <c r="K62" i="78" s="1"/>
  <c r="L60" i="78"/>
  <c r="L62" i="78" s="1"/>
  <c r="M60" i="78"/>
  <c r="N60" i="78"/>
  <c r="O60" i="78"/>
  <c r="P60" i="78"/>
  <c r="Q60" i="78"/>
  <c r="Q62" i="78" s="1"/>
  <c r="F57" i="78"/>
  <c r="G57" i="78"/>
  <c r="G59" i="78" s="1"/>
  <c r="H57" i="78"/>
  <c r="I57" i="78"/>
  <c r="J57" i="78"/>
  <c r="K57" i="78"/>
  <c r="K59" i="78" s="1"/>
  <c r="L57" i="78"/>
  <c r="L59" i="78" s="1"/>
  <c r="M57" i="78"/>
  <c r="M59" i="78" s="1"/>
  <c r="N57" i="78"/>
  <c r="N59" i="78" s="1"/>
  <c r="O57" i="78"/>
  <c r="P57" i="78"/>
  <c r="P59" i="78" s="1"/>
  <c r="Q57" i="78"/>
  <c r="Q59" i="78" s="1"/>
  <c r="F54" i="78"/>
  <c r="F56" i="78" s="1"/>
  <c r="G54" i="78"/>
  <c r="G56" i="78" s="1"/>
  <c r="H54" i="78"/>
  <c r="H56" i="78" s="1"/>
  <c r="I54" i="78"/>
  <c r="I56" i="78" s="1"/>
  <c r="J54" i="78"/>
  <c r="J56" i="78" s="1"/>
  <c r="K54" i="78"/>
  <c r="K56" i="78" s="1"/>
  <c r="L54" i="78"/>
  <c r="L56" i="78" s="1"/>
  <c r="M54" i="78"/>
  <c r="N54" i="78"/>
  <c r="O54" i="78"/>
  <c r="P54" i="78"/>
  <c r="P56" i="78" s="1"/>
  <c r="Q54" i="78"/>
  <c r="Q56" i="78" s="1"/>
  <c r="F51" i="78"/>
  <c r="G51" i="78"/>
  <c r="H51" i="78"/>
  <c r="H53" i="78" s="1"/>
  <c r="I51" i="78"/>
  <c r="J51" i="78"/>
  <c r="K51" i="78"/>
  <c r="K53" i="78" s="1"/>
  <c r="L51" i="78"/>
  <c r="L53" i="78" s="1"/>
  <c r="M51" i="78"/>
  <c r="M53" i="78" s="1"/>
  <c r="N51" i="78"/>
  <c r="N53" i="78" s="1"/>
  <c r="O51" i="78"/>
  <c r="P51" i="78"/>
  <c r="P53" i="78" s="1"/>
  <c r="Q51" i="78"/>
  <c r="Q53" i="78" s="1"/>
  <c r="F48" i="78"/>
  <c r="F50" i="78" s="1"/>
  <c r="G48" i="78"/>
  <c r="G50" i="78" s="1"/>
  <c r="H48" i="78"/>
  <c r="H50" i="78" s="1"/>
  <c r="I48" i="78"/>
  <c r="I50" i="78" s="1"/>
  <c r="J48" i="78"/>
  <c r="J50" i="78" s="1"/>
  <c r="K48" i="78"/>
  <c r="K50" i="78" s="1"/>
  <c r="L48" i="78"/>
  <c r="M48" i="78"/>
  <c r="N48" i="78"/>
  <c r="O48" i="78"/>
  <c r="P48" i="78"/>
  <c r="P50" i="78" s="1"/>
  <c r="Q48" i="78"/>
  <c r="Q50" i="78" s="1"/>
  <c r="F45" i="78"/>
  <c r="G45" i="78"/>
  <c r="H45" i="78"/>
  <c r="H47" i="78" s="1"/>
  <c r="I45" i="78"/>
  <c r="J45" i="78"/>
  <c r="J47" i="78" s="1"/>
  <c r="K45" i="78"/>
  <c r="K47" i="78" s="1"/>
  <c r="L45" i="78"/>
  <c r="L47" i="78" s="1"/>
  <c r="M45" i="78"/>
  <c r="M47" i="78" s="1"/>
  <c r="N45" i="78"/>
  <c r="N47" i="78" s="1"/>
  <c r="O45" i="78"/>
  <c r="P45" i="78"/>
  <c r="P47" i="78" s="1"/>
  <c r="Q45" i="78"/>
  <c r="F42" i="78"/>
  <c r="F44" i="78" s="1"/>
  <c r="G42" i="78"/>
  <c r="G44" i="78" s="1"/>
  <c r="H42" i="78"/>
  <c r="H44" i="78" s="1"/>
  <c r="I42" i="78"/>
  <c r="I44" i="78" s="1"/>
  <c r="J42" i="78"/>
  <c r="J44" i="78" s="1"/>
  <c r="K42" i="78"/>
  <c r="K44" i="78" s="1"/>
  <c r="L42" i="78"/>
  <c r="L44" i="78" s="1"/>
  <c r="M42" i="78"/>
  <c r="N42" i="78"/>
  <c r="O42" i="78"/>
  <c r="P42" i="78"/>
  <c r="P44" i="78" s="1"/>
  <c r="Q42" i="78"/>
  <c r="Q44" i="78" s="1"/>
  <c r="F39" i="78"/>
  <c r="G39" i="78"/>
  <c r="G41" i="78" s="1"/>
  <c r="H39" i="78"/>
  <c r="H41" i="78" s="1"/>
  <c r="I39" i="78"/>
  <c r="J39" i="78"/>
  <c r="J41" i="78" s="1"/>
  <c r="K39" i="78"/>
  <c r="K41" i="78" s="1"/>
  <c r="L39" i="78"/>
  <c r="L41" i="78" s="1"/>
  <c r="M39" i="78"/>
  <c r="M41" i="78" s="1"/>
  <c r="N39" i="78"/>
  <c r="N41" i="78" s="1"/>
  <c r="O39" i="78"/>
  <c r="P39" i="78"/>
  <c r="P41" i="78" s="1"/>
  <c r="Q39" i="78"/>
  <c r="Q41" i="78" s="1"/>
  <c r="F36" i="78"/>
  <c r="F38" i="78" s="1"/>
  <c r="G36" i="78"/>
  <c r="G38" i="78" s="1"/>
  <c r="H36" i="78"/>
  <c r="H38" i="78" s="1"/>
  <c r="I36" i="78"/>
  <c r="I38" i="78" s="1"/>
  <c r="J36" i="78"/>
  <c r="J38" i="78" s="1"/>
  <c r="K36" i="78"/>
  <c r="K38" i="78" s="1"/>
  <c r="L36" i="78"/>
  <c r="M36" i="78"/>
  <c r="N36" i="78"/>
  <c r="O36" i="78"/>
  <c r="P36" i="78"/>
  <c r="Q36" i="78"/>
  <c r="Q38" i="78" s="1"/>
  <c r="F33" i="78"/>
  <c r="G33" i="78"/>
  <c r="H33" i="78"/>
  <c r="I33" i="78"/>
  <c r="J33" i="78"/>
  <c r="K33" i="78"/>
  <c r="K35" i="78" s="1"/>
  <c r="L33" i="78"/>
  <c r="L35" i="78" s="1"/>
  <c r="M33" i="78"/>
  <c r="M35" i="78" s="1"/>
  <c r="N33" i="78"/>
  <c r="N35" i="78" s="1"/>
  <c r="O33" i="78"/>
  <c r="P33" i="78"/>
  <c r="P35" i="78" s="1"/>
  <c r="Q33" i="78"/>
  <c r="Q35" i="78" s="1"/>
  <c r="F30" i="78"/>
  <c r="F32" i="78" s="1"/>
  <c r="G30" i="78"/>
  <c r="G32" i="78" s="1"/>
  <c r="H30" i="78"/>
  <c r="H32" i="78" s="1"/>
  <c r="I30" i="78"/>
  <c r="I32" i="78" s="1"/>
  <c r="J30" i="78"/>
  <c r="J32" i="78" s="1"/>
  <c r="K30" i="78"/>
  <c r="L30" i="78"/>
  <c r="L32" i="78" s="1"/>
  <c r="M30" i="78"/>
  <c r="N30" i="78"/>
  <c r="O30" i="78"/>
  <c r="P30" i="78"/>
  <c r="P32" i="78" s="1"/>
  <c r="Q30" i="78"/>
  <c r="Q32" i="78" s="1"/>
  <c r="F27" i="78"/>
  <c r="G27" i="78"/>
  <c r="H27" i="78"/>
  <c r="H29" i="78" s="1"/>
  <c r="I27" i="78"/>
  <c r="J27" i="78"/>
  <c r="K27" i="78"/>
  <c r="K29" i="78" s="1"/>
  <c r="L27" i="78"/>
  <c r="L29" i="78" s="1"/>
  <c r="M27" i="78"/>
  <c r="M29" i="78" s="1"/>
  <c r="N27" i="78"/>
  <c r="N29" i="78" s="1"/>
  <c r="O27" i="78"/>
  <c r="P27" i="78"/>
  <c r="P29" i="78" s="1"/>
  <c r="Q27" i="78"/>
  <c r="Q29" i="78" s="1"/>
  <c r="F24" i="78"/>
  <c r="F26" i="78" s="1"/>
  <c r="G24" i="78"/>
  <c r="G26" i="78" s="1"/>
  <c r="H24" i="78"/>
  <c r="H26" i="78" s="1"/>
  <c r="I24" i="78"/>
  <c r="I26" i="78" s="1"/>
  <c r="J24" i="78"/>
  <c r="J26" i="78" s="1"/>
  <c r="K24" i="78"/>
  <c r="K26" i="78" s="1"/>
  <c r="L24" i="78"/>
  <c r="M24" i="78"/>
  <c r="N24" i="78"/>
  <c r="O24" i="78"/>
  <c r="P24" i="78"/>
  <c r="P26" i="78" s="1"/>
  <c r="Q24" i="78"/>
  <c r="Q26" i="78" s="1"/>
  <c r="F21" i="78"/>
  <c r="G21" i="78"/>
  <c r="H21" i="78"/>
  <c r="H23" i="78" s="1"/>
  <c r="I21" i="78"/>
  <c r="J21" i="78"/>
  <c r="K21" i="78"/>
  <c r="K23" i="78" s="1"/>
  <c r="L21" i="78"/>
  <c r="L23" i="78" s="1"/>
  <c r="M21" i="78"/>
  <c r="M23" i="78" s="1"/>
  <c r="N21" i="78"/>
  <c r="N23" i="78" s="1"/>
  <c r="O21" i="78"/>
  <c r="P21" i="78"/>
  <c r="P23" i="78" s="1"/>
  <c r="Q21" i="78"/>
  <c r="F18" i="78"/>
  <c r="F20" i="78" s="1"/>
  <c r="G18" i="78"/>
  <c r="G20" i="78" s="1"/>
  <c r="H18" i="78"/>
  <c r="H20" i="78" s="1"/>
  <c r="I18" i="78"/>
  <c r="I20" i="78" s="1"/>
  <c r="J18" i="78"/>
  <c r="J20" i="78" s="1"/>
  <c r="K18" i="78"/>
  <c r="K20" i="78" s="1"/>
  <c r="L18" i="78"/>
  <c r="M18" i="78"/>
  <c r="N18" i="78"/>
  <c r="O18" i="78"/>
  <c r="P18" i="78"/>
  <c r="P20" i="78" s="1"/>
  <c r="Q18" i="78"/>
  <c r="Q20" i="78" s="1"/>
  <c r="F15" i="78"/>
  <c r="F17" i="78" s="1"/>
  <c r="G15" i="78"/>
  <c r="G17" i="78" s="1"/>
  <c r="H15" i="78"/>
  <c r="I15" i="78"/>
  <c r="J15" i="78"/>
  <c r="K15" i="78"/>
  <c r="K17" i="78" s="1"/>
  <c r="L15" i="78"/>
  <c r="L17" i="78" s="1"/>
  <c r="M15" i="78"/>
  <c r="M17" i="78" s="1"/>
  <c r="N15" i="78"/>
  <c r="N17" i="78" s="1"/>
  <c r="O15" i="78"/>
  <c r="P15" i="78"/>
  <c r="P17" i="78" s="1"/>
  <c r="Q15" i="78"/>
  <c r="Q17" i="78" s="1"/>
  <c r="F12" i="78"/>
  <c r="F14" i="78" s="1"/>
  <c r="G12" i="78"/>
  <c r="G14" i="78" s="1"/>
  <c r="H12" i="78"/>
  <c r="H14" i="78" s="1"/>
  <c r="I12" i="78"/>
  <c r="I14" i="78" s="1"/>
  <c r="J12" i="78"/>
  <c r="J14" i="78" s="1"/>
  <c r="K12" i="78"/>
  <c r="L12" i="78"/>
  <c r="L14" i="78" s="1"/>
  <c r="M12" i="78"/>
  <c r="N12" i="78"/>
  <c r="O12" i="78"/>
  <c r="P12" i="78"/>
  <c r="Q12" i="78"/>
  <c r="Q14" i="78" s="1"/>
  <c r="F9" i="78"/>
  <c r="G9" i="78"/>
  <c r="H9" i="78"/>
  <c r="I9" i="78"/>
  <c r="J9" i="78"/>
  <c r="J11" i="78" s="1"/>
  <c r="K9" i="78"/>
  <c r="K11" i="78" s="1"/>
  <c r="L9" i="78"/>
  <c r="L11" i="78" s="1"/>
  <c r="M9" i="78"/>
  <c r="M11" i="78" s="1"/>
  <c r="N9" i="78"/>
  <c r="N11" i="78" s="1"/>
  <c r="O9" i="78"/>
  <c r="P9" i="78"/>
  <c r="P11" i="78" s="1"/>
  <c r="Q9" i="78"/>
  <c r="Q11" i="78" s="1"/>
  <c r="F6" i="78"/>
  <c r="G6" i="78"/>
  <c r="G8" i="78" s="1"/>
  <c r="H6" i="78"/>
  <c r="H8" i="78" s="1"/>
  <c r="I6" i="78"/>
  <c r="I8" i="78" s="1"/>
  <c r="J6" i="78"/>
  <c r="J8" i="78" s="1"/>
  <c r="K6" i="78"/>
  <c r="K8" i="78" s="1"/>
  <c r="L6" i="78"/>
  <c r="M6" i="78"/>
  <c r="N6" i="78"/>
  <c r="O6" i="78"/>
  <c r="P6" i="78"/>
  <c r="P8" i="78" s="1"/>
  <c r="Q6" i="78"/>
  <c r="Q8" i="78" s="1"/>
  <c r="F91" i="74"/>
  <c r="G91" i="74"/>
  <c r="H91" i="74"/>
  <c r="I91" i="74"/>
  <c r="J91" i="74"/>
  <c r="K91" i="74"/>
  <c r="L91" i="74"/>
  <c r="M91" i="74"/>
  <c r="N91" i="74"/>
  <c r="O91" i="74"/>
  <c r="P91" i="74"/>
  <c r="Q91" i="74"/>
  <c r="F88" i="74"/>
  <c r="G88" i="74"/>
  <c r="H88" i="74"/>
  <c r="I88" i="74"/>
  <c r="J88" i="74"/>
  <c r="K88" i="74"/>
  <c r="L88" i="74"/>
  <c r="M88" i="74"/>
  <c r="N88" i="74"/>
  <c r="O88" i="74"/>
  <c r="P88" i="74"/>
  <c r="Q88" i="74"/>
  <c r="F85" i="74"/>
  <c r="G85" i="74"/>
  <c r="H85" i="74"/>
  <c r="I85" i="74"/>
  <c r="J85" i="74"/>
  <c r="K85" i="74"/>
  <c r="L85" i="74"/>
  <c r="M85" i="74"/>
  <c r="N85" i="74"/>
  <c r="O85" i="74"/>
  <c r="P85" i="74"/>
  <c r="Q85" i="74"/>
  <c r="F82" i="74"/>
  <c r="G82" i="74"/>
  <c r="H82" i="74"/>
  <c r="I82" i="74"/>
  <c r="J82" i="74"/>
  <c r="K82" i="74"/>
  <c r="L82" i="74"/>
  <c r="M82" i="74"/>
  <c r="N82" i="74"/>
  <c r="O82" i="74"/>
  <c r="P82" i="74"/>
  <c r="Q82" i="74"/>
  <c r="F79" i="74"/>
  <c r="G79" i="74"/>
  <c r="H79" i="74"/>
  <c r="I79" i="74"/>
  <c r="J79" i="74"/>
  <c r="K79" i="74"/>
  <c r="L79" i="74"/>
  <c r="M79" i="74"/>
  <c r="N79" i="74"/>
  <c r="O79" i="74"/>
  <c r="P79" i="74"/>
  <c r="Q79" i="74"/>
  <c r="F76" i="74"/>
  <c r="G76" i="74"/>
  <c r="H76" i="74"/>
  <c r="I76" i="74"/>
  <c r="J76" i="74"/>
  <c r="K76" i="74"/>
  <c r="L76" i="74"/>
  <c r="M76" i="74"/>
  <c r="N76" i="74"/>
  <c r="O76" i="74"/>
  <c r="P76" i="74"/>
  <c r="Q76" i="74"/>
  <c r="F73" i="74"/>
  <c r="G73" i="74"/>
  <c r="H73" i="74"/>
  <c r="I73" i="74"/>
  <c r="J73" i="74"/>
  <c r="K73" i="74"/>
  <c r="L73" i="74"/>
  <c r="M73" i="74"/>
  <c r="N73" i="74"/>
  <c r="O73" i="74"/>
  <c r="P73" i="74"/>
  <c r="Q73" i="74"/>
  <c r="F70" i="74"/>
  <c r="G70" i="74"/>
  <c r="H70" i="74"/>
  <c r="I70" i="74"/>
  <c r="J70" i="74"/>
  <c r="K70" i="74"/>
  <c r="L70" i="74"/>
  <c r="M70" i="74"/>
  <c r="N70" i="74"/>
  <c r="O70" i="74"/>
  <c r="P70" i="74"/>
  <c r="Q70" i="74"/>
  <c r="F67" i="74"/>
  <c r="G67" i="74"/>
  <c r="H67" i="74"/>
  <c r="I67" i="74"/>
  <c r="J67" i="74"/>
  <c r="K67" i="74"/>
  <c r="L67" i="74"/>
  <c r="M67" i="74"/>
  <c r="N67" i="74"/>
  <c r="O67" i="74"/>
  <c r="P67" i="74"/>
  <c r="Q67" i="74"/>
  <c r="F64" i="74"/>
  <c r="G64" i="74"/>
  <c r="H64" i="74"/>
  <c r="I64" i="74"/>
  <c r="J64" i="74"/>
  <c r="K64" i="74"/>
  <c r="L64" i="74"/>
  <c r="M64" i="74"/>
  <c r="N64" i="74"/>
  <c r="O64" i="74"/>
  <c r="P64" i="74"/>
  <c r="Q64" i="74"/>
  <c r="F61" i="74"/>
  <c r="G61" i="74"/>
  <c r="H61" i="74"/>
  <c r="I61" i="74"/>
  <c r="J61" i="74"/>
  <c r="K61" i="74"/>
  <c r="L61" i="74"/>
  <c r="M61" i="74"/>
  <c r="N61" i="74"/>
  <c r="O61" i="74"/>
  <c r="P61" i="74"/>
  <c r="Q61" i="74"/>
  <c r="F58" i="74"/>
  <c r="G58" i="74"/>
  <c r="H58" i="74"/>
  <c r="I58" i="74"/>
  <c r="J58" i="74"/>
  <c r="K58" i="74"/>
  <c r="L58" i="74"/>
  <c r="M58" i="74"/>
  <c r="N58" i="74"/>
  <c r="O58" i="74"/>
  <c r="P58" i="74"/>
  <c r="Q58" i="74"/>
  <c r="F55" i="74"/>
  <c r="G55" i="74"/>
  <c r="H55" i="74"/>
  <c r="I55" i="74"/>
  <c r="J55" i="74"/>
  <c r="K55" i="74"/>
  <c r="L55" i="74"/>
  <c r="M55" i="74"/>
  <c r="N55" i="74"/>
  <c r="O55" i="74"/>
  <c r="P55" i="74"/>
  <c r="Q55" i="74"/>
  <c r="F52" i="74"/>
  <c r="G52" i="74"/>
  <c r="H52" i="74"/>
  <c r="I52" i="74"/>
  <c r="J52" i="74"/>
  <c r="K52" i="74"/>
  <c r="L52" i="74"/>
  <c r="M52" i="74"/>
  <c r="N52" i="74"/>
  <c r="O52" i="74"/>
  <c r="P52" i="74"/>
  <c r="Q52" i="74"/>
  <c r="F49" i="74"/>
  <c r="G49" i="74"/>
  <c r="H49" i="74"/>
  <c r="I49" i="74"/>
  <c r="J49" i="74"/>
  <c r="K49" i="74"/>
  <c r="L49" i="74"/>
  <c r="M49" i="74"/>
  <c r="N49" i="74"/>
  <c r="O49" i="74"/>
  <c r="P49" i="74"/>
  <c r="Q49" i="74"/>
  <c r="F46" i="74"/>
  <c r="G46" i="74"/>
  <c r="H46" i="74"/>
  <c r="I46" i="74"/>
  <c r="J46" i="74"/>
  <c r="K46" i="74"/>
  <c r="L46" i="74"/>
  <c r="M46" i="74"/>
  <c r="N46" i="74"/>
  <c r="O46" i="74"/>
  <c r="P46" i="74"/>
  <c r="Q46" i="74"/>
  <c r="F43" i="74"/>
  <c r="G43" i="74"/>
  <c r="H43" i="74"/>
  <c r="I43" i="74"/>
  <c r="J43" i="74"/>
  <c r="K43" i="74"/>
  <c r="L43" i="74"/>
  <c r="M43" i="74"/>
  <c r="N43" i="74"/>
  <c r="O43" i="74"/>
  <c r="P43" i="74"/>
  <c r="Q43" i="74"/>
  <c r="F40" i="74"/>
  <c r="G40" i="74"/>
  <c r="H40" i="74"/>
  <c r="I40" i="74"/>
  <c r="J40" i="74"/>
  <c r="K40" i="74"/>
  <c r="L40" i="74"/>
  <c r="M40" i="74"/>
  <c r="N40" i="74"/>
  <c r="O40" i="74"/>
  <c r="P40" i="74"/>
  <c r="Q40" i="74"/>
  <c r="F37" i="74"/>
  <c r="G37" i="74"/>
  <c r="H37" i="74"/>
  <c r="I37" i="74"/>
  <c r="J37" i="74"/>
  <c r="K37" i="74"/>
  <c r="L37" i="74"/>
  <c r="M37" i="74"/>
  <c r="N37" i="74"/>
  <c r="O37" i="74"/>
  <c r="P37" i="74"/>
  <c r="Q37" i="74"/>
  <c r="F34" i="74"/>
  <c r="G34" i="74"/>
  <c r="H34" i="74"/>
  <c r="I34" i="74"/>
  <c r="J34" i="74"/>
  <c r="K34" i="74"/>
  <c r="L34" i="74"/>
  <c r="M34" i="74"/>
  <c r="N34" i="74"/>
  <c r="O34" i="74"/>
  <c r="P34" i="74"/>
  <c r="Q34" i="74"/>
  <c r="F31" i="74"/>
  <c r="G31" i="74"/>
  <c r="H31" i="74"/>
  <c r="I31" i="74"/>
  <c r="J31" i="74"/>
  <c r="K31" i="74"/>
  <c r="L31" i="74"/>
  <c r="M31" i="74"/>
  <c r="N31" i="74"/>
  <c r="O31" i="74"/>
  <c r="P31" i="74"/>
  <c r="Q31" i="74"/>
  <c r="F28" i="74"/>
  <c r="G28" i="74"/>
  <c r="H28" i="74"/>
  <c r="I28" i="74"/>
  <c r="J28" i="74"/>
  <c r="K28" i="74"/>
  <c r="L28" i="74"/>
  <c r="M28" i="74"/>
  <c r="N28" i="74"/>
  <c r="O28" i="74"/>
  <c r="P28" i="74"/>
  <c r="Q28" i="74"/>
  <c r="F25" i="74"/>
  <c r="G25" i="74"/>
  <c r="H25" i="74"/>
  <c r="I25" i="74"/>
  <c r="J25" i="74"/>
  <c r="K25" i="74"/>
  <c r="L25" i="74"/>
  <c r="M25" i="74"/>
  <c r="N25" i="74"/>
  <c r="O25" i="74"/>
  <c r="P25" i="74"/>
  <c r="Q25" i="74"/>
  <c r="F22" i="74"/>
  <c r="G22" i="74"/>
  <c r="H22" i="74"/>
  <c r="I22" i="74"/>
  <c r="J22" i="74"/>
  <c r="K22" i="74"/>
  <c r="L22" i="74"/>
  <c r="M22" i="74"/>
  <c r="N22" i="74"/>
  <c r="O22" i="74"/>
  <c r="P22" i="74"/>
  <c r="Q22" i="74"/>
  <c r="F19" i="74"/>
  <c r="G19" i="74"/>
  <c r="H19" i="74"/>
  <c r="I19" i="74"/>
  <c r="J19" i="74"/>
  <c r="K19" i="74"/>
  <c r="L19" i="74"/>
  <c r="M19" i="74"/>
  <c r="N19" i="74"/>
  <c r="O19" i="74"/>
  <c r="P19" i="74"/>
  <c r="Q19" i="74"/>
  <c r="F16" i="74"/>
  <c r="G16" i="74"/>
  <c r="H16" i="74"/>
  <c r="I16" i="74"/>
  <c r="J16" i="74"/>
  <c r="K16" i="74"/>
  <c r="L16" i="74"/>
  <c r="M16" i="74"/>
  <c r="N16" i="74"/>
  <c r="O16" i="74"/>
  <c r="P16" i="74"/>
  <c r="Q16" i="74"/>
  <c r="F13" i="74"/>
  <c r="G13" i="74"/>
  <c r="H13" i="74"/>
  <c r="I13" i="74"/>
  <c r="J13" i="74"/>
  <c r="K13" i="74"/>
  <c r="L13" i="74"/>
  <c r="M13" i="74"/>
  <c r="N13" i="74"/>
  <c r="O13" i="74"/>
  <c r="P13" i="74"/>
  <c r="Q13" i="74"/>
  <c r="F10" i="74"/>
  <c r="G10" i="74"/>
  <c r="H10" i="74"/>
  <c r="I10" i="74"/>
  <c r="J10" i="74"/>
  <c r="K10" i="74"/>
  <c r="L10" i="74"/>
  <c r="M10" i="74"/>
  <c r="N10" i="74"/>
  <c r="O10" i="74"/>
  <c r="P10" i="74"/>
  <c r="Q10" i="74"/>
  <c r="F7" i="74"/>
  <c r="G7" i="74"/>
  <c r="H7" i="74"/>
  <c r="I7" i="74"/>
  <c r="J7" i="74"/>
  <c r="K7" i="74"/>
  <c r="L7" i="74"/>
  <c r="M7" i="74"/>
  <c r="N7" i="74"/>
  <c r="O7" i="74"/>
  <c r="P7" i="74"/>
  <c r="Q7" i="74"/>
  <c r="F90" i="74"/>
  <c r="G90" i="74"/>
  <c r="G92" i="74" s="1"/>
  <c r="H90" i="74"/>
  <c r="H92" i="74" s="1"/>
  <c r="I90" i="74"/>
  <c r="J90" i="74"/>
  <c r="J92" i="74" s="1"/>
  <c r="K90" i="74"/>
  <c r="L90" i="74"/>
  <c r="M90" i="74"/>
  <c r="M92" i="74" s="1"/>
  <c r="N90" i="74"/>
  <c r="O90" i="74"/>
  <c r="P90" i="74"/>
  <c r="P92" i="74" s="1"/>
  <c r="Q90" i="74"/>
  <c r="F87" i="74"/>
  <c r="F89" i="74" s="1"/>
  <c r="G87" i="74"/>
  <c r="H87" i="74"/>
  <c r="H89" i="74" s="1"/>
  <c r="I87" i="74"/>
  <c r="I89" i="74" s="1"/>
  <c r="J87" i="74"/>
  <c r="K87" i="74"/>
  <c r="K89" i="74" s="1"/>
  <c r="L87" i="74"/>
  <c r="L89" i="74" s="1"/>
  <c r="M87" i="74"/>
  <c r="N87" i="74"/>
  <c r="N89" i="74" s="1"/>
  <c r="O87" i="74"/>
  <c r="P87" i="74"/>
  <c r="P89" i="74" s="1"/>
  <c r="Q87" i="74"/>
  <c r="Q89" i="74" s="1"/>
  <c r="F81" i="74"/>
  <c r="F83" i="74" s="1"/>
  <c r="G81" i="74"/>
  <c r="G83" i="74" s="1"/>
  <c r="H81" i="74"/>
  <c r="H83" i="74" s="1"/>
  <c r="I81" i="74"/>
  <c r="I83" i="74" s="1"/>
  <c r="J81" i="74"/>
  <c r="J83" i="74" s="1"/>
  <c r="K81" i="74"/>
  <c r="K83" i="74" s="1"/>
  <c r="L81" i="74"/>
  <c r="L83" i="74" s="1"/>
  <c r="M81" i="74"/>
  <c r="M83" i="74" s="1"/>
  <c r="N81" i="74"/>
  <c r="N83" i="74" s="1"/>
  <c r="O81" i="74"/>
  <c r="P81" i="74"/>
  <c r="P83" i="74" s="1"/>
  <c r="Q81" i="74"/>
  <c r="Q83" i="74" s="1"/>
  <c r="F78" i="74"/>
  <c r="F80" i="74" s="1"/>
  <c r="G78" i="74"/>
  <c r="G80" i="74" s="1"/>
  <c r="H78" i="74"/>
  <c r="H80" i="74" s="1"/>
  <c r="I78" i="74"/>
  <c r="I80" i="74" s="1"/>
  <c r="J78" i="74"/>
  <c r="J80" i="74" s="1"/>
  <c r="K78" i="74"/>
  <c r="K80" i="74" s="1"/>
  <c r="L78" i="74"/>
  <c r="L80" i="74" s="1"/>
  <c r="M78" i="74"/>
  <c r="M80" i="74" s="1"/>
  <c r="N78" i="74"/>
  <c r="N80" i="74" s="1"/>
  <c r="O78" i="74"/>
  <c r="P78" i="74"/>
  <c r="P80" i="74" s="1"/>
  <c r="Q78" i="74"/>
  <c r="Q80" i="74" s="1"/>
  <c r="F75" i="74"/>
  <c r="F77" i="74" s="1"/>
  <c r="G75" i="74"/>
  <c r="G77" i="74" s="1"/>
  <c r="H75" i="74"/>
  <c r="H77" i="74" s="1"/>
  <c r="I75" i="74"/>
  <c r="I77" i="74" s="1"/>
  <c r="J75" i="74"/>
  <c r="J77" i="74" s="1"/>
  <c r="K75" i="74"/>
  <c r="K77" i="74" s="1"/>
  <c r="L75" i="74"/>
  <c r="L77" i="74" s="1"/>
  <c r="M75" i="74"/>
  <c r="M77" i="74" s="1"/>
  <c r="N75" i="74"/>
  <c r="N77" i="74" s="1"/>
  <c r="O75" i="74"/>
  <c r="P75" i="74"/>
  <c r="P77" i="74" s="1"/>
  <c r="Q75" i="74"/>
  <c r="Q77" i="74" s="1"/>
  <c r="F72" i="74"/>
  <c r="F74" i="74" s="1"/>
  <c r="G72" i="74"/>
  <c r="G74" i="74" s="1"/>
  <c r="H72" i="74"/>
  <c r="H74" i="74" s="1"/>
  <c r="I72" i="74"/>
  <c r="I74" i="74" s="1"/>
  <c r="J72" i="74"/>
  <c r="J74" i="74" s="1"/>
  <c r="K72" i="74"/>
  <c r="K74" i="74" s="1"/>
  <c r="L72" i="74"/>
  <c r="L74" i="74" s="1"/>
  <c r="M72" i="74"/>
  <c r="M74" i="74" s="1"/>
  <c r="N72" i="74"/>
  <c r="N74" i="74" s="1"/>
  <c r="O72" i="74"/>
  <c r="P72" i="74"/>
  <c r="P74" i="74" s="1"/>
  <c r="Q72" i="74"/>
  <c r="Q74" i="74" s="1"/>
  <c r="F69" i="74"/>
  <c r="F71" i="74" s="1"/>
  <c r="G69" i="74"/>
  <c r="G71" i="74" s="1"/>
  <c r="H69" i="74"/>
  <c r="H71" i="74" s="1"/>
  <c r="I69" i="74"/>
  <c r="I71" i="74" s="1"/>
  <c r="J69" i="74"/>
  <c r="J71" i="74" s="1"/>
  <c r="K69" i="74"/>
  <c r="K71" i="74" s="1"/>
  <c r="L69" i="74"/>
  <c r="L71" i="74" s="1"/>
  <c r="M69" i="74"/>
  <c r="M71" i="74" s="1"/>
  <c r="N69" i="74"/>
  <c r="N71" i="74" s="1"/>
  <c r="O69" i="74"/>
  <c r="P69" i="74"/>
  <c r="P71" i="74" s="1"/>
  <c r="Q69" i="74"/>
  <c r="Q71" i="74" s="1"/>
  <c r="F66" i="74"/>
  <c r="F68" i="74" s="1"/>
  <c r="G66" i="74"/>
  <c r="G68" i="74" s="1"/>
  <c r="H66" i="74"/>
  <c r="H68" i="74" s="1"/>
  <c r="I66" i="74"/>
  <c r="I68" i="74" s="1"/>
  <c r="J66" i="74"/>
  <c r="K66" i="74"/>
  <c r="K68" i="74" s="1"/>
  <c r="L66" i="74"/>
  <c r="L68" i="74" s="1"/>
  <c r="M66" i="74"/>
  <c r="M68" i="74" s="1"/>
  <c r="N66" i="74"/>
  <c r="N68" i="74" s="1"/>
  <c r="O66" i="74"/>
  <c r="P66" i="74"/>
  <c r="P68" i="74" s="1"/>
  <c r="Q66" i="74"/>
  <c r="Q68" i="74" s="1"/>
  <c r="F63" i="74"/>
  <c r="F65" i="74" s="1"/>
  <c r="G63" i="74"/>
  <c r="G65" i="74" s="1"/>
  <c r="H63" i="74"/>
  <c r="H65" i="74" s="1"/>
  <c r="I63" i="74"/>
  <c r="I65" i="74" s="1"/>
  <c r="J63" i="74"/>
  <c r="J65" i="74" s="1"/>
  <c r="K63" i="74"/>
  <c r="K65" i="74" s="1"/>
  <c r="L63" i="74"/>
  <c r="L65" i="74" s="1"/>
  <c r="M63" i="74"/>
  <c r="M65" i="74" s="1"/>
  <c r="N63" i="74"/>
  <c r="N65" i="74" s="1"/>
  <c r="O63" i="74"/>
  <c r="P63" i="74"/>
  <c r="P65" i="74" s="1"/>
  <c r="Q63" i="74"/>
  <c r="Q65" i="74" s="1"/>
  <c r="F60" i="74"/>
  <c r="F62" i="74" s="1"/>
  <c r="G60" i="74"/>
  <c r="G62" i="74" s="1"/>
  <c r="H60" i="74"/>
  <c r="H62" i="74" s="1"/>
  <c r="I60" i="74"/>
  <c r="I62" i="74" s="1"/>
  <c r="J60" i="74"/>
  <c r="J62" i="74" s="1"/>
  <c r="K60" i="74"/>
  <c r="K62" i="74" s="1"/>
  <c r="L60" i="74"/>
  <c r="L62" i="74" s="1"/>
  <c r="M60" i="74"/>
  <c r="M62" i="74" s="1"/>
  <c r="N60" i="74"/>
  <c r="N62" i="74" s="1"/>
  <c r="O60" i="74"/>
  <c r="P60" i="74"/>
  <c r="P62" i="74" s="1"/>
  <c r="Q60" i="74"/>
  <c r="Q62" i="74" s="1"/>
  <c r="F57" i="74"/>
  <c r="F59" i="74" s="1"/>
  <c r="G57" i="74"/>
  <c r="G59" i="74" s="1"/>
  <c r="H57" i="74"/>
  <c r="H59" i="74" s="1"/>
  <c r="I57" i="74"/>
  <c r="I59" i="74" s="1"/>
  <c r="J57" i="74"/>
  <c r="J59" i="74" s="1"/>
  <c r="K57" i="74"/>
  <c r="K59" i="74" s="1"/>
  <c r="L57" i="74"/>
  <c r="L59" i="74" s="1"/>
  <c r="M57" i="74"/>
  <c r="M59" i="74" s="1"/>
  <c r="N57" i="74"/>
  <c r="N59" i="74" s="1"/>
  <c r="O57" i="74"/>
  <c r="P57" i="74"/>
  <c r="P59" i="74" s="1"/>
  <c r="Q57" i="74"/>
  <c r="Q59" i="74" s="1"/>
  <c r="F54" i="74"/>
  <c r="F56" i="74" s="1"/>
  <c r="G54" i="74"/>
  <c r="G56" i="74" s="1"/>
  <c r="H54" i="74"/>
  <c r="H56" i="74" s="1"/>
  <c r="I54" i="74"/>
  <c r="I56" i="74" s="1"/>
  <c r="J54" i="74"/>
  <c r="J56" i="74" s="1"/>
  <c r="K54" i="74"/>
  <c r="K56" i="74" s="1"/>
  <c r="L54" i="74"/>
  <c r="L56" i="74" s="1"/>
  <c r="M54" i="74"/>
  <c r="M56" i="74" s="1"/>
  <c r="N54" i="74"/>
  <c r="N56" i="74" s="1"/>
  <c r="O54" i="74"/>
  <c r="P54" i="74"/>
  <c r="P56" i="74" s="1"/>
  <c r="Q54" i="74"/>
  <c r="Q56" i="74" s="1"/>
  <c r="F51" i="74"/>
  <c r="F53" i="74" s="1"/>
  <c r="G51" i="74"/>
  <c r="G53" i="74" s="1"/>
  <c r="H51" i="74"/>
  <c r="H53" i="74" s="1"/>
  <c r="I51" i="74"/>
  <c r="I53" i="74" s="1"/>
  <c r="J51" i="74"/>
  <c r="J53" i="74" s="1"/>
  <c r="K51" i="74"/>
  <c r="K53" i="74" s="1"/>
  <c r="L51" i="74"/>
  <c r="L53" i="74" s="1"/>
  <c r="M51" i="74"/>
  <c r="M53" i="74" s="1"/>
  <c r="N51" i="74"/>
  <c r="N53" i="74" s="1"/>
  <c r="O51" i="74"/>
  <c r="P51" i="74"/>
  <c r="P53" i="74" s="1"/>
  <c r="Q51" i="74"/>
  <c r="Q53" i="74" s="1"/>
  <c r="F48" i="74"/>
  <c r="F50" i="74" s="1"/>
  <c r="G48" i="74"/>
  <c r="G50" i="74" s="1"/>
  <c r="H48" i="74"/>
  <c r="H50" i="74" s="1"/>
  <c r="I48" i="74"/>
  <c r="I50" i="74" s="1"/>
  <c r="J48" i="74"/>
  <c r="J50" i="74" s="1"/>
  <c r="K48" i="74"/>
  <c r="K50" i="74" s="1"/>
  <c r="L48" i="74"/>
  <c r="L50" i="74" s="1"/>
  <c r="M48" i="74"/>
  <c r="M50" i="74" s="1"/>
  <c r="N48" i="74"/>
  <c r="N50" i="74" s="1"/>
  <c r="O48" i="74"/>
  <c r="P48" i="74"/>
  <c r="P50" i="74" s="1"/>
  <c r="Q48" i="74"/>
  <c r="Q50" i="74" s="1"/>
  <c r="F45" i="74"/>
  <c r="F47" i="74" s="1"/>
  <c r="G45" i="74"/>
  <c r="G47" i="74" s="1"/>
  <c r="H45" i="74"/>
  <c r="H47" i="74" s="1"/>
  <c r="I45" i="74"/>
  <c r="I47" i="74" s="1"/>
  <c r="J45" i="74"/>
  <c r="J47" i="74" s="1"/>
  <c r="K45" i="74"/>
  <c r="K47" i="74" s="1"/>
  <c r="L45" i="74"/>
  <c r="L47" i="74" s="1"/>
  <c r="M45" i="74"/>
  <c r="M47" i="74" s="1"/>
  <c r="N45" i="74"/>
  <c r="N47" i="74" s="1"/>
  <c r="O45" i="74"/>
  <c r="P45" i="74"/>
  <c r="P47" i="74" s="1"/>
  <c r="Q45" i="74"/>
  <c r="Q47" i="74" s="1"/>
  <c r="F42" i="74"/>
  <c r="F44" i="74" s="1"/>
  <c r="G42" i="74"/>
  <c r="G44" i="74" s="1"/>
  <c r="H42" i="74"/>
  <c r="H44" i="74" s="1"/>
  <c r="I42" i="74"/>
  <c r="I44" i="74" s="1"/>
  <c r="J42" i="74"/>
  <c r="J44" i="74" s="1"/>
  <c r="K42" i="74"/>
  <c r="K44" i="74" s="1"/>
  <c r="L42" i="74"/>
  <c r="L44" i="74" s="1"/>
  <c r="M42" i="74"/>
  <c r="M44" i="74" s="1"/>
  <c r="N42" i="74"/>
  <c r="N44" i="74" s="1"/>
  <c r="O42" i="74"/>
  <c r="P42" i="74"/>
  <c r="P44" i="74" s="1"/>
  <c r="Q42" i="74"/>
  <c r="Q44" i="74" s="1"/>
  <c r="F39" i="74"/>
  <c r="F41" i="74" s="1"/>
  <c r="G39" i="74"/>
  <c r="G41" i="74" s="1"/>
  <c r="H39" i="74"/>
  <c r="H41" i="74" s="1"/>
  <c r="I39" i="74"/>
  <c r="I41" i="74" s="1"/>
  <c r="J39" i="74"/>
  <c r="J41" i="74" s="1"/>
  <c r="K39" i="74"/>
  <c r="K41" i="74" s="1"/>
  <c r="L39" i="74"/>
  <c r="L41" i="74" s="1"/>
  <c r="M39" i="74"/>
  <c r="M41" i="74" s="1"/>
  <c r="N39" i="74"/>
  <c r="N41" i="74" s="1"/>
  <c r="O39" i="74"/>
  <c r="P39" i="74"/>
  <c r="P41" i="74" s="1"/>
  <c r="Q39" i="74"/>
  <c r="Q41" i="74" s="1"/>
  <c r="F36" i="74"/>
  <c r="F38" i="74" s="1"/>
  <c r="G36" i="74"/>
  <c r="G38" i="74" s="1"/>
  <c r="H36" i="74"/>
  <c r="H38" i="74" s="1"/>
  <c r="I36" i="74"/>
  <c r="I38" i="74" s="1"/>
  <c r="J36" i="74"/>
  <c r="J38" i="74" s="1"/>
  <c r="K36" i="74"/>
  <c r="K38" i="74" s="1"/>
  <c r="L36" i="74"/>
  <c r="L38" i="74" s="1"/>
  <c r="M36" i="74"/>
  <c r="M38" i="74" s="1"/>
  <c r="N36" i="74"/>
  <c r="N38" i="74" s="1"/>
  <c r="O36" i="74"/>
  <c r="P36" i="74"/>
  <c r="P38" i="74" s="1"/>
  <c r="Q36" i="74"/>
  <c r="Q38" i="74" s="1"/>
  <c r="F33" i="74"/>
  <c r="F35" i="74" s="1"/>
  <c r="G33" i="74"/>
  <c r="G35" i="74" s="1"/>
  <c r="H33" i="74"/>
  <c r="H35" i="74" s="1"/>
  <c r="I33" i="74"/>
  <c r="I35" i="74" s="1"/>
  <c r="J33" i="74"/>
  <c r="J35" i="74" s="1"/>
  <c r="K33" i="74"/>
  <c r="K35" i="74" s="1"/>
  <c r="L33" i="74"/>
  <c r="L35" i="74" s="1"/>
  <c r="M33" i="74"/>
  <c r="M35" i="74" s="1"/>
  <c r="N33" i="74"/>
  <c r="N35" i="74" s="1"/>
  <c r="O33" i="74"/>
  <c r="P33" i="74"/>
  <c r="P35" i="74" s="1"/>
  <c r="Q33" i="74"/>
  <c r="Q35" i="74" s="1"/>
  <c r="F30" i="74"/>
  <c r="F32" i="74" s="1"/>
  <c r="G30" i="74"/>
  <c r="G32" i="74" s="1"/>
  <c r="H30" i="74"/>
  <c r="H32" i="74" s="1"/>
  <c r="I30" i="74"/>
  <c r="I32" i="74" s="1"/>
  <c r="J30" i="74"/>
  <c r="J32" i="74" s="1"/>
  <c r="K30" i="74"/>
  <c r="K32" i="74" s="1"/>
  <c r="L30" i="74"/>
  <c r="L32" i="74" s="1"/>
  <c r="M30" i="74"/>
  <c r="M32" i="74" s="1"/>
  <c r="N30" i="74"/>
  <c r="N32" i="74" s="1"/>
  <c r="O30" i="74"/>
  <c r="P30" i="74"/>
  <c r="P32" i="74" s="1"/>
  <c r="Q30" i="74"/>
  <c r="Q32" i="74" s="1"/>
  <c r="F27" i="74"/>
  <c r="F29" i="74" s="1"/>
  <c r="G27" i="74"/>
  <c r="G29" i="74" s="1"/>
  <c r="H27" i="74"/>
  <c r="H29" i="74" s="1"/>
  <c r="I27" i="74"/>
  <c r="I29" i="74" s="1"/>
  <c r="J27" i="74"/>
  <c r="J29" i="74" s="1"/>
  <c r="K27" i="74"/>
  <c r="K29" i="74" s="1"/>
  <c r="L27" i="74"/>
  <c r="L29" i="74" s="1"/>
  <c r="M27" i="74"/>
  <c r="M29" i="74" s="1"/>
  <c r="N27" i="74"/>
  <c r="N29" i="74" s="1"/>
  <c r="O27" i="74"/>
  <c r="P27" i="74"/>
  <c r="P29" i="74" s="1"/>
  <c r="Q27" i="74"/>
  <c r="Q29" i="74" s="1"/>
  <c r="F24" i="74"/>
  <c r="F26" i="74" s="1"/>
  <c r="G24" i="74"/>
  <c r="G26" i="74" s="1"/>
  <c r="H24" i="74"/>
  <c r="H26" i="74" s="1"/>
  <c r="I24" i="74"/>
  <c r="I26" i="74" s="1"/>
  <c r="J24" i="74"/>
  <c r="J26" i="74" s="1"/>
  <c r="K24" i="74"/>
  <c r="K26" i="74" s="1"/>
  <c r="L24" i="74"/>
  <c r="L26" i="74" s="1"/>
  <c r="M24" i="74"/>
  <c r="M26" i="74" s="1"/>
  <c r="N24" i="74"/>
  <c r="N26" i="74" s="1"/>
  <c r="O24" i="74"/>
  <c r="P24" i="74"/>
  <c r="P26" i="74" s="1"/>
  <c r="Q24" i="74"/>
  <c r="Q26" i="74" s="1"/>
  <c r="F21" i="74"/>
  <c r="F23" i="74" s="1"/>
  <c r="G21" i="74"/>
  <c r="G23" i="74" s="1"/>
  <c r="H21" i="74"/>
  <c r="H23" i="74" s="1"/>
  <c r="I21" i="74"/>
  <c r="I23" i="74" s="1"/>
  <c r="J21" i="74"/>
  <c r="J23" i="74" s="1"/>
  <c r="K21" i="74"/>
  <c r="K23" i="74" s="1"/>
  <c r="L21" i="74"/>
  <c r="L23" i="74" s="1"/>
  <c r="M21" i="74"/>
  <c r="M23" i="74" s="1"/>
  <c r="N21" i="74"/>
  <c r="N23" i="74" s="1"/>
  <c r="O21" i="74"/>
  <c r="P21" i="74"/>
  <c r="P23" i="74" s="1"/>
  <c r="Q21" i="74"/>
  <c r="Q23" i="74" s="1"/>
  <c r="F18" i="74"/>
  <c r="F20" i="74" s="1"/>
  <c r="G18" i="74"/>
  <c r="G20" i="74" s="1"/>
  <c r="H18" i="74"/>
  <c r="H20" i="74" s="1"/>
  <c r="I18" i="74"/>
  <c r="I20" i="74" s="1"/>
  <c r="J18" i="74"/>
  <c r="J20" i="74" s="1"/>
  <c r="K18" i="74"/>
  <c r="K20" i="74" s="1"/>
  <c r="L18" i="74"/>
  <c r="L20" i="74" s="1"/>
  <c r="M18" i="74"/>
  <c r="M20" i="74" s="1"/>
  <c r="N18" i="74"/>
  <c r="N20" i="74" s="1"/>
  <c r="O18" i="74"/>
  <c r="P18" i="74"/>
  <c r="P20" i="74" s="1"/>
  <c r="Q18" i="74"/>
  <c r="Q20" i="74" s="1"/>
  <c r="F15" i="74"/>
  <c r="F17" i="74" s="1"/>
  <c r="G15" i="74"/>
  <c r="G17" i="74" s="1"/>
  <c r="H15" i="74"/>
  <c r="H17" i="74" s="1"/>
  <c r="I15" i="74"/>
  <c r="I17" i="74" s="1"/>
  <c r="J15" i="74"/>
  <c r="J17" i="74" s="1"/>
  <c r="K15" i="74"/>
  <c r="K17" i="74" s="1"/>
  <c r="L15" i="74"/>
  <c r="L17" i="74" s="1"/>
  <c r="M15" i="74"/>
  <c r="M17" i="74" s="1"/>
  <c r="N15" i="74"/>
  <c r="N17" i="74" s="1"/>
  <c r="O15" i="74"/>
  <c r="P15" i="74"/>
  <c r="P17" i="74" s="1"/>
  <c r="Q15" i="74"/>
  <c r="Q17" i="74" s="1"/>
  <c r="F12" i="74"/>
  <c r="F14" i="74" s="1"/>
  <c r="G12" i="74"/>
  <c r="G14" i="74" s="1"/>
  <c r="H12" i="74"/>
  <c r="H14" i="74" s="1"/>
  <c r="I12" i="74"/>
  <c r="I14" i="74" s="1"/>
  <c r="J12" i="74"/>
  <c r="J14" i="74" s="1"/>
  <c r="K12" i="74"/>
  <c r="K14" i="74" s="1"/>
  <c r="L12" i="74"/>
  <c r="L14" i="74" s="1"/>
  <c r="M12" i="74"/>
  <c r="M14" i="74" s="1"/>
  <c r="N12" i="74"/>
  <c r="N14" i="74" s="1"/>
  <c r="O12" i="74"/>
  <c r="P12" i="74"/>
  <c r="P14" i="74" s="1"/>
  <c r="Q12" i="74"/>
  <c r="Q14" i="74" s="1"/>
  <c r="F9" i="74"/>
  <c r="F11" i="74" s="1"/>
  <c r="G9" i="74"/>
  <c r="G11" i="74" s="1"/>
  <c r="H9" i="74"/>
  <c r="I9" i="74"/>
  <c r="I11" i="74" s="1"/>
  <c r="J9" i="74"/>
  <c r="J11" i="74" s="1"/>
  <c r="K9" i="74"/>
  <c r="L9" i="74"/>
  <c r="L11" i="74" s="1"/>
  <c r="M9" i="74"/>
  <c r="M11" i="74" s="1"/>
  <c r="N9" i="74"/>
  <c r="N11" i="74" s="1"/>
  <c r="O9" i="74"/>
  <c r="P9" i="74"/>
  <c r="P11" i="74" s="1"/>
  <c r="Q9" i="74"/>
  <c r="Q11" i="74" s="1"/>
  <c r="F6" i="74"/>
  <c r="F8" i="74" s="1"/>
  <c r="G6" i="74"/>
  <c r="G8" i="74" s="1"/>
  <c r="H6" i="74"/>
  <c r="H8" i="74" s="1"/>
  <c r="I6" i="74"/>
  <c r="I8" i="74" s="1"/>
  <c r="J6" i="74"/>
  <c r="J8" i="74" s="1"/>
  <c r="K6" i="74"/>
  <c r="L6" i="74"/>
  <c r="L8" i="74" s="1"/>
  <c r="M6" i="74"/>
  <c r="M8" i="74" s="1"/>
  <c r="N6" i="74"/>
  <c r="N8" i="74" s="1"/>
  <c r="O6" i="74"/>
  <c r="P6" i="74"/>
  <c r="P8" i="74" s="1"/>
  <c r="Q6" i="74"/>
  <c r="Q8" i="74" s="1"/>
  <c r="O168" i="87"/>
  <c r="I165" i="87"/>
  <c r="L165" i="87"/>
  <c r="O162" i="87"/>
  <c r="P147" i="87"/>
  <c r="O138" i="87"/>
  <c r="P135" i="87"/>
  <c r="P123" i="87"/>
  <c r="O114" i="87"/>
  <c r="O99" i="87"/>
  <c r="O87" i="87"/>
  <c r="P81" i="87"/>
  <c r="O75" i="87"/>
  <c r="O63" i="87"/>
  <c r="P57" i="87"/>
  <c r="O51" i="87"/>
  <c r="O39" i="87"/>
  <c r="P33" i="87"/>
  <c r="O27" i="87"/>
  <c r="O15" i="87"/>
  <c r="F167" i="87"/>
  <c r="G167" i="87"/>
  <c r="H167" i="87"/>
  <c r="I167" i="87"/>
  <c r="J167" i="87"/>
  <c r="K167" i="87"/>
  <c r="K168" i="87" s="1"/>
  <c r="L167" i="87"/>
  <c r="M167" i="87"/>
  <c r="N167" i="87"/>
  <c r="O167" i="87"/>
  <c r="P167" i="87"/>
  <c r="F164" i="87"/>
  <c r="G164" i="87"/>
  <c r="H164" i="87"/>
  <c r="I164" i="87"/>
  <c r="J164" i="87"/>
  <c r="K164" i="87"/>
  <c r="L164" i="87"/>
  <c r="M164" i="87"/>
  <c r="N164" i="87"/>
  <c r="O164" i="87"/>
  <c r="P164" i="87"/>
  <c r="F161" i="87"/>
  <c r="G161" i="87"/>
  <c r="H161" i="87"/>
  <c r="I161" i="87"/>
  <c r="J161" i="87"/>
  <c r="K161" i="87"/>
  <c r="L161" i="87"/>
  <c r="M161" i="87"/>
  <c r="N161" i="87"/>
  <c r="O161" i="87"/>
  <c r="P161" i="87"/>
  <c r="F158" i="87"/>
  <c r="G158" i="87"/>
  <c r="H158" i="87"/>
  <c r="I158" i="87"/>
  <c r="J158" i="87"/>
  <c r="K158" i="87"/>
  <c r="L158" i="87"/>
  <c r="M158" i="87"/>
  <c r="N158" i="87"/>
  <c r="O158" i="87"/>
  <c r="P158" i="87"/>
  <c r="F155" i="87"/>
  <c r="G155" i="87"/>
  <c r="H155" i="87"/>
  <c r="I155" i="87"/>
  <c r="J155" i="87"/>
  <c r="K155" i="87"/>
  <c r="L155" i="87"/>
  <c r="M155" i="87"/>
  <c r="N155" i="87"/>
  <c r="O155" i="87"/>
  <c r="P155" i="87"/>
  <c r="F152" i="87"/>
  <c r="G152" i="87"/>
  <c r="H152" i="87"/>
  <c r="I152" i="87"/>
  <c r="J152" i="87"/>
  <c r="K152" i="87"/>
  <c r="L152" i="87"/>
  <c r="M152" i="87"/>
  <c r="N152" i="87"/>
  <c r="O152" i="87"/>
  <c r="P152" i="87"/>
  <c r="F149" i="87"/>
  <c r="G149" i="87"/>
  <c r="H149" i="87"/>
  <c r="I149" i="87"/>
  <c r="J149" i="87"/>
  <c r="K149" i="87"/>
  <c r="L149" i="87"/>
  <c r="M149" i="87"/>
  <c r="N149" i="87"/>
  <c r="O149" i="87"/>
  <c r="P149" i="87"/>
  <c r="F146" i="87"/>
  <c r="G146" i="87"/>
  <c r="H146" i="87"/>
  <c r="I146" i="87"/>
  <c r="J146" i="87"/>
  <c r="K146" i="87"/>
  <c r="L146" i="87"/>
  <c r="M146" i="87"/>
  <c r="N146" i="87"/>
  <c r="O146" i="87"/>
  <c r="P146" i="87"/>
  <c r="F143" i="87"/>
  <c r="G143" i="87"/>
  <c r="H143" i="87"/>
  <c r="I143" i="87"/>
  <c r="J143" i="87"/>
  <c r="K143" i="87"/>
  <c r="L143" i="87"/>
  <c r="M143" i="87"/>
  <c r="N143" i="87"/>
  <c r="O143" i="87"/>
  <c r="P143" i="87"/>
  <c r="F140" i="87"/>
  <c r="G140" i="87"/>
  <c r="H140" i="87"/>
  <c r="I140" i="87"/>
  <c r="J140" i="87"/>
  <c r="K140" i="87"/>
  <c r="L140" i="87"/>
  <c r="M140" i="87"/>
  <c r="N140" i="87"/>
  <c r="O140" i="87"/>
  <c r="P140" i="87"/>
  <c r="F137" i="87"/>
  <c r="G137" i="87"/>
  <c r="H137" i="87"/>
  <c r="I137" i="87"/>
  <c r="J137" i="87"/>
  <c r="K137" i="87"/>
  <c r="L137" i="87"/>
  <c r="M137" i="87"/>
  <c r="N137" i="87"/>
  <c r="O137" i="87"/>
  <c r="P137" i="87"/>
  <c r="F134" i="87"/>
  <c r="G134" i="87"/>
  <c r="H134" i="87"/>
  <c r="I134" i="87"/>
  <c r="J134" i="87"/>
  <c r="K134" i="87"/>
  <c r="L134" i="87"/>
  <c r="M134" i="87"/>
  <c r="N134" i="87"/>
  <c r="O134" i="87"/>
  <c r="P134" i="87"/>
  <c r="F131" i="87"/>
  <c r="G131" i="87"/>
  <c r="H131" i="87"/>
  <c r="I131" i="87"/>
  <c r="J131" i="87"/>
  <c r="K131" i="87"/>
  <c r="L131" i="87"/>
  <c r="M131" i="87"/>
  <c r="N131" i="87"/>
  <c r="O131" i="87"/>
  <c r="P131" i="87"/>
  <c r="F128" i="87"/>
  <c r="G128" i="87"/>
  <c r="H128" i="87"/>
  <c r="I128" i="87"/>
  <c r="J128" i="87"/>
  <c r="K128" i="87"/>
  <c r="L128" i="87"/>
  <c r="M128" i="87"/>
  <c r="N128" i="87"/>
  <c r="O128" i="87"/>
  <c r="P128" i="87"/>
  <c r="F125" i="87"/>
  <c r="G125" i="87"/>
  <c r="H125" i="87"/>
  <c r="I125" i="87"/>
  <c r="J125" i="87"/>
  <c r="K125" i="87"/>
  <c r="L125" i="87"/>
  <c r="M125" i="87"/>
  <c r="N125" i="87"/>
  <c r="O125" i="87"/>
  <c r="P125" i="87"/>
  <c r="F122" i="87"/>
  <c r="G122" i="87"/>
  <c r="H122" i="87"/>
  <c r="I122" i="87"/>
  <c r="J122" i="87"/>
  <c r="K122" i="87"/>
  <c r="L122" i="87"/>
  <c r="M122" i="87"/>
  <c r="N122" i="87"/>
  <c r="O122" i="87"/>
  <c r="P122" i="87"/>
  <c r="F119" i="87"/>
  <c r="G119" i="87"/>
  <c r="H119" i="87"/>
  <c r="I119" i="87"/>
  <c r="J119" i="87"/>
  <c r="K119" i="87"/>
  <c r="L119" i="87"/>
  <c r="M119" i="87"/>
  <c r="N119" i="87"/>
  <c r="O119" i="87"/>
  <c r="P119" i="87"/>
  <c r="F116" i="87"/>
  <c r="G116" i="87"/>
  <c r="H116" i="87"/>
  <c r="I116" i="87"/>
  <c r="J116" i="87"/>
  <c r="K116" i="87"/>
  <c r="L116" i="87"/>
  <c r="M116" i="87"/>
  <c r="N116" i="87"/>
  <c r="O116" i="87"/>
  <c r="P116" i="87"/>
  <c r="F113" i="87"/>
  <c r="G113" i="87"/>
  <c r="H113" i="87"/>
  <c r="I113" i="87"/>
  <c r="J113" i="87"/>
  <c r="K113" i="87"/>
  <c r="L113" i="87"/>
  <c r="M113" i="87"/>
  <c r="N113" i="87"/>
  <c r="O113" i="87"/>
  <c r="P113" i="87"/>
  <c r="F110" i="87"/>
  <c r="G110" i="87"/>
  <c r="H110" i="87"/>
  <c r="I110" i="87"/>
  <c r="J110" i="87"/>
  <c r="K110" i="87"/>
  <c r="L110" i="87"/>
  <c r="M110" i="87"/>
  <c r="N110" i="87"/>
  <c r="O110" i="87"/>
  <c r="P110" i="87"/>
  <c r="F107" i="87"/>
  <c r="G107" i="87"/>
  <c r="H107" i="87"/>
  <c r="I107" i="87"/>
  <c r="J107" i="87"/>
  <c r="K107" i="87"/>
  <c r="L107" i="87"/>
  <c r="M107" i="87"/>
  <c r="N107" i="87"/>
  <c r="O107" i="87"/>
  <c r="P107" i="87"/>
  <c r="F104" i="87"/>
  <c r="G104" i="87"/>
  <c r="H104" i="87"/>
  <c r="I104" i="87"/>
  <c r="J104" i="87"/>
  <c r="K104" i="87"/>
  <c r="L104" i="87"/>
  <c r="M104" i="87"/>
  <c r="N104" i="87"/>
  <c r="O104" i="87"/>
  <c r="P104" i="87"/>
  <c r="F101" i="87"/>
  <c r="G101" i="87"/>
  <c r="H101" i="87"/>
  <c r="I101" i="87"/>
  <c r="J101" i="87"/>
  <c r="K101" i="87"/>
  <c r="L101" i="87"/>
  <c r="M101" i="87"/>
  <c r="N101" i="87"/>
  <c r="O101" i="87"/>
  <c r="P101" i="87"/>
  <c r="F98" i="87"/>
  <c r="G98" i="87"/>
  <c r="H98" i="87"/>
  <c r="I98" i="87"/>
  <c r="J98" i="87"/>
  <c r="K98" i="87"/>
  <c r="L98" i="87"/>
  <c r="M98" i="87"/>
  <c r="N98" i="87"/>
  <c r="O98" i="87"/>
  <c r="P98" i="87"/>
  <c r="F95" i="87"/>
  <c r="G95" i="87"/>
  <c r="H95" i="87"/>
  <c r="I95" i="87"/>
  <c r="J95" i="87"/>
  <c r="K95" i="87"/>
  <c r="L95" i="87"/>
  <c r="M95" i="87"/>
  <c r="N95" i="87"/>
  <c r="O95" i="87"/>
  <c r="P95" i="87"/>
  <c r="F92" i="87"/>
  <c r="G92" i="87"/>
  <c r="H92" i="87"/>
  <c r="I92" i="87"/>
  <c r="J92" i="87"/>
  <c r="K92" i="87"/>
  <c r="L92" i="87"/>
  <c r="M92" i="87"/>
  <c r="N92" i="87"/>
  <c r="O92" i="87"/>
  <c r="P92" i="87"/>
  <c r="F89" i="87"/>
  <c r="G89" i="87"/>
  <c r="H89" i="87"/>
  <c r="I89" i="87"/>
  <c r="J89" i="87"/>
  <c r="K89" i="87"/>
  <c r="L89" i="87"/>
  <c r="M89" i="87"/>
  <c r="N89" i="87"/>
  <c r="O89" i="87"/>
  <c r="P89" i="87"/>
  <c r="F86" i="87"/>
  <c r="G86" i="87"/>
  <c r="H86" i="87"/>
  <c r="I86" i="87"/>
  <c r="J86" i="87"/>
  <c r="K86" i="87"/>
  <c r="L86" i="87"/>
  <c r="M86" i="87"/>
  <c r="N86" i="87"/>
  <c r="O86" i="87"/>
  <c r="P86" i="87"/>
  <c r="F83" i="87"/>
  <c r="G83" i="87"/>
  <c r="H83" i="87"/>
  <c r="I83" i="87"/>
  <c r="J83" i="87"/>
  <c r="K83" i="87"/>
  <c r="L83" i="87"/>
  <c r="M83" i="87"/>
  <c r="N83" i="87"/>
  <c r="O83" i="87"/>
  <c r="P83" i="87"/>
  <c r="F80" i="87"/>
  <c r="G80" i="87"/>
  <c r="H80" i="87"/>
  <c r="I80" i="87"/>
  <c r="J80" i="87"/>
  <c r="K80" i="87"/>
  <c r="L80" i="87"/>
  <c r="M80" i="87"/>
  <c r="N80" i="87"/>
  <c r="O80" i="87"/>
  <c r="P80" i="87"/>
  <c r="F77" i="87"/>
  <c r="G77" i="87"/>
  <c r="H77" i="87"/>
  <c r="I77" i="87"/>
  <c r="J77" i="87"/>
  <c r="K77" i="87"/>
  <c r="L77" i="87"/>
  <c r="M77" i="87"/>
  <c r="N77" i="87"/>
  <c r="O77" i="87"/>
  <c r="P77" i="87"/>
  <c r="F74" i="87"/>
  <c r="G74" i="87"/>
  <c r="H74" i="87"/>
  <c r="I74" i="87"/>
  <c r="J74" i="87"/>
  <c r="K74" i="87"/>
  <c r="L74" i="87"/>
  <c r="M74" i="87"/>
  <c r="N74" i="87"/>
  <c r="O74" i="87"/>
  <c r="P74" i="87"/>
  <c r="F71" i="87"/>
  <c r="G71" i="87"/>
  <c r="H71" i="87"/>
  <c r="I71" i="87"/>
  <c r="J71" i="87"/>
  <c r="K71" i="87"/>
  <c r="L71" i="87"/>
  <c r="M71" i="87"/>
  <c r="N71" i="87"/>
  <c r="O71" i="87"/>
  <c r="P71" i="87"/>
  <c r="F68" i="87"/>
  <c r="G68" i="87"/>
  <c r="H68" i="87"/>
  <c r="I68" i="87"/>
  <c r="J68" i="87"/>
  <c r="K68" i="87"/>
  <c r="L68" i="87"/>
  <c r="M68" i="87"/>
  <c r="N68" i="87"/>
  <c r="O68" i="87"/>
  <c r="P68" i="87"/>
  <c r="F65" i="87"/>
  <c r="G65" i="87"/>
  <c r="H65" i="87"/>
  <c r="I65" i="87"/>
  <c r="J65" i="87"/>
  <c r="K65" i="87"/>
  <c r="L65" i="87"/>
  <c r="M65" i="87"/>
  <c r="N65" i="87"/>
  <c r="O65" i="87"/>
  <c r="P65" i="87"/>
  <c r="F62" i="87"/>
  <c r="G62" i="87"/>
  <c r="H62" i="87"/>
  <c r="I62" i="87"/>
  <c r="J62" i="87"/>
  <c r="K62" i="87"/>
  <c r="L62" i="87"/>
  <c r="M62" i="87"/>
  <c r="N62" i="87"/>
  <c r="O62" i="87"/>
  <c r="P62" i="87"/>
  <c r="F59" i="87"/>
  <c r="G59" i="87"/>
  <c r="H59" i="87"/>
  <c r="I59" i="87"/>
  <c r="J59" i="87"/>
  <c r="K59" i="87"/>
  <c r="L59" i="87"/>
  <c r="M59" i="87"/>
  <c r="N59" i="87"/>
  <c r="O59" i="87"/>
  <c r="P59" i="87"/>
  <c r="F56" i="87"/>
  <c r="G56" i="87"/>
  <c r="H56" i="87"/>
  <c r="I56" i="87"/>
  <c r="J56" i="87"/>
  <c r="K56" i="87"/>
  <c r="L56" i="87"/>
  <c r="M56" i="87"/>
  <c r="N56" i="87"/>
  <c r="O56" i="87"/>
  <c r="P56" i="87"/>
  <c r="F53" i="87"/>
  <c r="G53" i="87"/>
  <c r="H53" i="87"/>
  <c r="I53" i="87"/>
  <c r="J53" i="87"/>
  <c r="K53" i="87"/>
  <c r="L53" i="87"/>
  <c r="M53" i="87"/>
  <c r="N53" i="87"/>
  <c r="O53" i="87"/>
  <c r="P53" i="87"/>
  <c r="F50" i="87"/>
  <c r="G50" i="87"/>
  <c r="H50" i="87"/>
  <c r="I50" i="87"/>
  <c r="J50" i="87"/>
  <c r="K50" i="87"/>
  <c r="L50" i="87"/>
  <c r="M50" i="87"/>
  <c r="N50" i="87"/>
  <c r="O50" i="87"/>
  <c r="P50" i="87"/>
  <c r="F47" i="87"/>
  <c r="G47" i="87"/>
  <c r="H47" i="87"/>
  <c r="I47" i="87"/>
  <c r="J47" i="87"/>
  <c r="K47" i="87"/>
  <c r="L47" i="87"/>
  <c r="M47" i="87"/>
  <c r="N47" i="87"/>
  <c r="O47" i="87"/>
  <c r="P47" i="87"/>
  <c r="F44" i="87"/>
  <c r="G44" i="87"/>
  <c r="H44" i="87"/>
  <c r="I44" i="87"/>
  <c r="J44" i="87"/>
  <c r="K44" i="87"/>
  <c r="L44" i="87"/>
  <c r="M44" i="87"/>
  <c r="N44" i="87"/>
  <c r="O44" i="87"/>
  <c r="P44" i="87"/>
  <c r="F41" i="87"/>
  <c r="G41" i="87"/>
  <c r="H41" i="87"/>
  <c r="I41" i="87"/>
  <c r="J41" i="87"/>
  <c r="K41" i="87"/>
  <c r="L41" i="87"/>
  <c r="M41" i="87"/>
  <c r="N41" i="87"/>
  <c r="O41" i="87"/>
  <c r="P41" i="87"/>
  <c r="F38" i="87"/>
  <c r="G38" i="87"/>
  <c r="H38" i="87"/>
  <c r="I38" i="87"/>
  <c r="J38" i="87"/>
  <c r="K38" i="87"/>
  <c r="L38" i="87"/>
  <c r="M38" i="87"/>
  <c r="N38" i="87"/>
  <c r="O38" i="87"/>
  <c r="P38" i="87"/>
  <c r="F35" i="87"/>
  <c r="G35" i="87"/>
  <c r="H35" i="87"/>
  <c r="I35" i="87"/>
  <c r="J35" i="87"/>
  <c r="K35" i="87"/>
  <c r="L35" i="87"/>
  <c r="M35" i="87"/>
  <c r="N35" i="87"/>
  <c r="O35" i="87"/>
  <c r="P35" i="87"/>
  <c r="F32" i="87"/>
  <c r="G32" i="87"/>
  <c r="H32" i="87"/>
  <c r="I32" i="87"/>
  <c r="J32" i="87"/>
  <c r="K32" i="87"/>
  <c r="L32" i="87"/>
  <c r="M32" i="87"/>
  <c r="N32" i="87"/>
  <c r="O32" i="87"/>
  <c r="P32" i="87"/>
  <c r="F29" i="87"/>
  <c r="G29" i="87"/>
  <c r="H29" i="87"/>
  <c r="I29" i="87"/>
  <c r="J29" i="87"/>
  <c r="K29" i="87"/>
  <c r="L29" i="87"/>
  <c r="M29" i="87"/>
  <c r="N29" i="87"/>
  <c r="O29" i="87"/>
  <c r="P29" i="87"/>
  <c r="F26" i="87"/>
  <c r="G26" i="87"/>
  <c r="H26" i="87"/>
  <c r="I26" i="87"/>
  <c r="J26" i="87"/>
  <c r="K26" i="87"/>
  <c r="L26" i="87"/>
  <c r="M26" i="87"/>
  <c r="N26" i="87"/>
  <c r="O26" i="87"/>
  <c r="P26" i="87"/>
  <c r="F23" i="87"/>
  <c r="G23" i="87"/>
  <c r="H23" i="87"/>
  <c r="I23" i="87"/>
  <c r="J23" i="87"/>
  <c r="K23" i="87"/>
  <c r="L23" i="87"/>
  <c r="M23" i="87"/>
  <c r="N23" i="87"/>
  <c r="O23" i="87"/>
  <c r="P23" i="87"/>
  <c r="F20" i="87"/>
  <c r="G20" i="87"/>
  <c r="H20" i="87"/>
  <c r="I20" i="87"/>
  <c r="J20" i="87"/>
  <c r="K20" i="87"/>
  <c r="L20" i="87"/>
  <c r="M20" i="87"/>
  <c r="N20" i="87"/>
  <c r="O20" i="87"/>
  <c r="P20" i="87"/>
  <c r="F17" i="87"/>
  <c r="G17" i="87"/>
  <c r="H17" i="87"/>
  <c r="I17" i="87"/>
  <c r="J17" i="87"/>
  <c r="K17" i="87"/>
  <c r="L17" i="87"/>
  <c r="M17" i="87"/>
  <c r="N17" i="87"/>
  <c r="O17" i="87"/>
  <c r="P17" i="87"/>
  <c r="F14" i="87"/>
  <c r="G14" i="87"/>
  <c r="H14" i="87"/>
  <c r="I14" i="87"/>
  <c r="J14" i="87"/>
  <c r="K14" i="87"/>
  <c r="L14" i="87"/>
  <c r="M14" i="87"/>
  <c r="N14" i="87"/>
  <c r="O14" i="87"/>
  <c r="P14" i="87"/>
  <c r="F11" i="87"/>
  <c r="G11" i="87"/>
  <c r="H11" i="87"/>
  <c r="I11" i="87"/>
  <c r="J11" i="87"/>
  <c r="K11" i="87"/>
  <c r="L11" i="87"/>
  <c r="M11" i="87"/>
  <c r="N11" i="87"/>
  <c r="O11" i="87"/>
  <c r="P11" i="87"/>
  <c r="F8" i="87"/>
  <c r="G8" i="87"/>
  <c r="H8" i="87"/>
  <c r="I8" i="87"/>
  <c r="J8" i="87"/>
  <c r="K8" i="87"/>
  <c r="L8" i="87"/>
  <c r="M8" i="87"/>
  <c r="N8" i="87"/>
  <c r="O8" i="87"/>
  <c r="P8" i="87"/>
  <c r="F5" i="87"/>
  <c r="G5" i="87"/>
  <c r="H5" i="87"/>
  <c r="I5" i="87"/>
  <c r="J5" i="87"/>
  <c r="K5" i="87"/>
  <c r="L5" i="87"/>
  <c r="M5" i="87"/>
  <c r="N5" i="87"/>
  <c r="O5" i="87"/>
  <c r="P5" i="87"/>
  <c r="F166" i="87"/>
  <c r="F168" i="87" s="1"/>
  <c r="G166" i="87"/>
  <c r="G168" i="87" s="1"/>
  <c r="H166" i="87"/>
  <c r="H168" i="87" s="1"/>
  <c r="I166" i="87"/>
  <c r="I168" i="87" s="1"/>
  <c r="J166" i="87"/>
  <c r="J168" i="87" s="1"/>
  <c r="K166" i="87"/>
  <c r="L166" i="87"/>
  <c r="L168" i="87" s="1"/>
  <c r="M166" i="87"/>
  <c r="M168" i="87" s="1"/>
  <c r="N166" i="87"/>
  <c r="O166" i="87"/>
  <c r="P166" i="87"/>
  <c r="P168" i="87" s="1"/>
  <c r="F163" i="87"/>
  <c r="F165" i="87" s="1"/>
  <c r="G163" i="87"/>
  <c r="G165" i="87" s="1"/>
  <c r="H163" i="87"/>
  <c r="H165" i="87" s="1"/>
  <c r="I163" i="87"/>
  <c r="J163" i="87"/>
  <c r="J165" i="87" s="1"/>
  <c r="K163" i="87"/>
  <c r="K165" i="87" s="1"/>
  <c r="L163" i="87"/>
  <c r="M163" i="87"/>
  <c r="M165" i="87" s="1"/>
  <c r="N163" i="87"/>
  <c r="O163" i="87"/>
  <c r="O165" i="87" s="1"/>
  <c r="P163" i="87"/>
  <c r="P165" i="87" s="1"/>
  <c r="F160" i="87"/>
  <c r="F162" i="87" s="1"/>
  <c r="G160" i="87"/>
  <c r="G162" i="87" s="1"/>
  <c r="H160" i="87"/>
  <c r="H162" i="87" s="1"/>
  <c r="I160" i="87"/>
  <c r="J160" i="87"/>
  <c r="K160" i="87"/>
  <c r="L160" i="87"/>
  <c r="L162" i="87" s="1"/>
  <c r="M160" i="87"/>
  <c r="N160" i="87"/>
  <c r="O160" i="87"/>
  <c r="P160" i="87"/>
  <c r="P162" i="87" s="1"/>
  <c r="F157" i="87"/>
  <c r="G157" i="87"/>
  <c r="G159" i="87" s="1"/>
  <c r="H157" i="87"/>
  <c r="I157" i="87"/>
  <c r="I159" i="87" s="1"/>
  <c r="J157" i="87"/>
  <c r="K157" i="87"/>
  <c r="L157" i="87"/>
  <c r="L159" i="87" s="1"/>
  <c r="M157" i="87"/>
  <c r="M159" i="87" s="1"/>
  <c r="N157" i="87"/>
  <c r="O157" i="87"/>
  <c r="O159" i="87" s="1"/>
  <c r="P157" i="87"/>
  <c r="P159" i="87" s="1"/>
  <c r="F154" i="87"/>
  <c r="F156" i="87" s="1"/>
  <c r="G154" i="87"/>
  <c r="H154" i="87"/>
  <c r="H156" i="87" s="1"/>
  <c r="I154" i="87"/>
  <c r="I156" i="87" s="1"/>
  <c r="J154" i="87"/>
  <c r="J156" i="87" s="1"/>
  <c r="K154" i="87"/>
  <c r="L154" i="87"/>
  <c r="L156" i="87" s="1"/>
  <c r="M154" i="87"/>
  <c r="M156" i="87" s="1"/>
  <c r="N154" i="87"/>
  <c r="O154" i="87"/>
  <c r="O156" i="87" s="1"/>
  <c r="P154" i="87"/>
  <c r="P156" i="87" s="1"/>
  <c r="F151" i="87"/>
  <c r="F153" i="87" s="1"/>
  <c r="G151" i="87"/>
  <c r="G153" i="87" s="1"/>
  <c r="H151" i="87"/>
  <c r="I151" i="87"/>
  <c r="J151" i="87"/>
  <c r="J153" i="87" s="1"/>
  <c r="K151" i="87"/>
  <c r="K153" i="87" s="1"/>
  <c r="L151" i="87"/>
  <c r="M151" i="87"/>
  <c r="M153" i="87" s="1"/>
  <c r="N151" i="87"/>
  <c r="O151" i="87"/>
  <c r="O153" i="87" s="1"/>
  <c r="P151" i="87"/>
  <c r="P153" i="87" s="1"/>
  <c r="F148" i="87"/>
  <c r="G148" i="87"/>
  <c r="G150" i="87" s="1"/>
  <c r="H148" i="87"/>
  <c r="H150" i="87" s="1"/>
  <c r="I148" i="87"/>
  <c r="J148" i="87"/>
  <c r="J150" i="87" s="1"/>
  <c r="K148" i="87"/>
  <c r="K150" i="87" s="1"/>
  <c r="L148" i="87"/>
  <c r="L150" i="87" s="1"/>
  <c r="M148" i="87"/>
  <c r="M150" i="87" s="1"/>
  <c r="N148" i="87"/>
  <c r="O148" i="87"/>
  <c r="O150" i="87" s="1"/>
  <c r="P148" i="87"/>
  <c r="P150" i="87" s="1"/>
  <c r="F145" i="87"/>
  <c r="G145" i="87"/>
  <c r="H145" i="87"/>
  <c r="H147" i="87" s="1"/>
  <c r="I145" i="87"/>
  <c r="J145" i="87"/>
  <c r="K145" i="87"/>
  <c r="K147" i="87" s="1"/>
  <c r="L145" i="87"/>
  <c r="L147" i="87" s="1"/>
  <c r="M145" i="87"/>
  <c r="M147" i="87" s="1"/>
  <c r="N145" i="87"/>
  <c r="O145" i="87"/>
  <c r="O147" i="87" s="1"/>
  <c r="P145" i="87"/>
  <c r="F142" i="87"/>
  <c r="F144" i="87" s="1"/>
  <c r="G142" i="87"/>
  <c r="H142" i="87"/>
  <c r="I142" i="87"/>
  <c r="J142" i="87"/>
  <c r="J144" i="87" s="1"/>
  <c r="K142" i="87"/>
  <c r="L142" i="87"/>
  <c r="L144" i="87" s="1"/>
  <c r="M142" i="87"/>
  <c r="M144" i="87" s="1"/>
  <c r="N142" i="87"/>
  <c r="O142" i="87"/>
  <c r="O144" i="87" s="1"/>
  <c r="P142" i="87"/>
  <c r="P144" i="87" s="1"/>
  <c r="F139" i="87"/>
  <c r="F141" i="87" s="1"/>
  <c r="G139" i="87"/>
  <c r="G141" i="87" s="1"/>
  <c r="H139" i="87"/>
  <c r="I139" i="87"/>
  <c r="I141" i="87" s="1"/>
  <c r="J139" i="87"/>
  <c r="J141" i="87" s="1"/>
  <c r="K139" i="87"/>
  <c r="K141" i="87" s="1"/>
  <c r="L139" i="87"/>
  <c r="L141" i="87" s="1"/>
  <c r="M139" i="87"/>
  <c r="M141" i="87" s="1"/>
  <c r="N139" i="87"/>
  <c r="O139" i="87"/>
  <c r="O141" i="87" s="1"/>
  <c r="P139" i="87"/>
  <c r="P141" i="87" s="1"/>
  <c r="F136" i="87"/>
  <c r="F138" i="87" s="1"/>
  <c r="G136" i="87"/>
  <c r="G138" i="87" s="1"/>
  <c r="H136" i="87"/>
  <c r="I136" i="87"/>
  <c r="J136" i="87"/>
  <c r="K136" i="87"/>
  <c r="K138" i="87" s="1"/>
  <c r="L136" i="87"/>
  <c r="L138" i="87" s="1"/>
  <c r="M136" i="87"/>
  <c r="N136" i="87"/>
  <c r="O136" i="87"/>
  <c r="P136" i="87"/>
  <c r="P138" i="87" s="1"/>
  <c r="F133" i="87"/>
  <c r="G133" i="87"/>
  <c r="H133" i="87"/>
  <c r="I133" i="87"/>
  <c r="I135" i="87" s="1"/>
  <c r="J133" i="87"/>
  <c r="K133" i="87"/>
  <c r="K135" i="87" s="1"/>
  <c r="L133" i="87"/>
  <c r="L135" i="87" s="1"/>
  <c r="M133" i="87"/>
  <c r="M135" i="87" s="1"/>
  <c r="N133" i="87"/>
  <c r="O133" i="87"/>
  <c r="O135" i="87" s="1"/>
  <c r="P133" i="87"/>
  <c r="F130" i="87"/>
  <c r="F132" i="87" s="1"/>
  <c r="G130" i="87"/>
  <c r="H130" i="87"/>
  <c r="H132" i="87" s="1"/>
  <c r="I130" i="87"/>
  <c r="J130" i="87"/>
  <c r="J132" i="87" s="1"/>
  <c r="K130" i="87"/>
  <c r="L130" i="87"/>
  <c r="L132" i="87" s="1"/>
  <c r="M130" i="87"/>
  <c r="M132" i="87" s="1"/>
  <c r="N130" i="87"/>
  <c r="O130" i="87"/>
  <c r="O132" i="87" s="1"/>
  <c r="P130" i="87"/>
  <c r="P132" i="87" s="1"/>
  <c r="F127" i="87"/>
  <c r="F129" i="87" s="1"/>
  <c r="G127" i="87"/>
  <c r="H127" i="87"/>
  <c r="I127" i="87"/>
  <c r="I129" i="87" s="1"/>
  <c r="J127" i="87"/>
  <c r="J129" i="87" s="1"/>
  <c r="K127" i="87"/>
  <c r="K129" i="87" s="1"/>
  <c r="L127" i="87"/>
  <c r="M127" i="87"/>
  <c r="M129" i="87" s="1"/>
  <c r="N127" i="87"/>
  <c r="O127" i="87"/>
  <c r="O129" i="87" s="1"/>
  <c r="P127" i="87"/>
  <c r="P129" i="87" s="1"/>
  <c r="F124" i="87"/>
  <c r="F126" i="87" s="1"/>
  <c r="G124" i="87"/>
  <c r="G126" i="87" s="1"/>
  <c r="H124" i="87"/>
  <c r="H126" i="87" s="1"/>
  <c r="I124" i="87"/>
  <c r="J124" i="87"/>
  <c r="J126" i="87" s="1"/>
  <c r="K124" i="87"/>
  <c r="L124" i="87"/>
  <c r="L126" i="87" s="1"/>
  <c r="M124" i="87"/>
  <c r="M126" i="87" s="1"/>
  <c r="N124" i="87"/>
  <c r="O124" i="87"/>
  <c r="O126" i="87" s="1"/>
  <c r="P124" i="87"/>
  <c r="P126" i="87" s="1"/>
  <c r="F121" i="87"/>
  <c r="G121" i="87"/>
  <c r="G123" i="87" s="1"/>
  <c r="H121" i="87"/>
  <c r="H123" i="87" s="1"/>
  <c r="I121" i="87"/>
  <c r="I123" i="87" s="1"/>
  <c r="J121" i="87"/>
  <c r="K121" i="87"/>
  <c r="L121" i="87"/>
  <c r="L123" i="87" s="1"/>
  <c r="M121" i="87"/>
  <c r="M123" i="87" s="1"/>
  <c r="N121" i="87"/>
  <c r="O121" i="87"/>
  <c r="O123" i="87" s="1"/>
  <c r="P121" i="87"/>
  <c r="F118" i="87"/>
  <c r="G118" i="87"/>
  <c r="H118" i="87"/>
  <c r="I118" i="87"/>
  <c r="J118" i="87"/>
  <c r="J120" i="87" s="1"/>
  <c r="K118" i="87"/>
  <c r="L118" i="87"/>
  <c r="L120" i="87" s="1"/>
  <c r="M118" i="87"/>
  <c r="M120" i="87" s="1"/>
  <c r="N118" i="87"/>
  <c r="O118" i="87"/>
  <c r="O120" i="87" s="1"/>
  <c r="P118" i="87"/>
  <c r="P120" i="87" s="1"/>
  <c r="F115" i="87"/>
  <c r="G115" i="87"/>
  <c r="G117" i="87" s="1"/>
  <c r="H115" i="87"/>
  <c r="I115" i="87"/>
  <c r="I117" i="87" s="1"/>
  <c r="J115" i="87"/>
  <c r="J117" i="87" s="1"/>
  <c r="K115" i="87"/>
  <c r="K117" i="87" s="1"/>
  <c r="L115" i="87"/>
  <c r="L117" i="87" s="1"/>
  <c r="M115" i="87"/>
  <c r="M117" i="87" s="1"/>
  <c r="N115" i="87"/>
  <c r="O115" i="87"/>
  <c r="O117" i="87" s="1"/>
  <c r="P115" i="87"/>
  <c r="P117" i="87" s="1"/>
  <c r="F112" i="87"/>
  <c r="F114" i="87" s="1"/>
  <c r="G112" i="87"/>
  <c r="G114" i="87" s="1"/>
  <c r="H112" i="87"/>
  <c r="H114" i="87" s="1"/>
  <c r="I112" i="87"/>
  <c r="J112" i="87"/>
  <c r="J114" i="87" s="1"/>
  <c r="K112" i="87"/>
  <c r="K114" i="87" s="1"/>
  <c r="L112" i="87"/>
  <c r="L114" i="87" s="1"/>
  <c r="M112" i="87"/>
  <c r="N112" i="87"/>
  <c r="O112" i="87"/>
  <c r="P112" i="87"/>
  <c r="P114" i="87" s="1"/>
  <c r="F109" i="87"/>
  <c r="G109" i="87"/>
  <c r="H109" i="87"/>
  <c r="H111" i="87" s="1"/>
  <c r="I109" i="87"/>
  <c r="I111" i="87" s="1"/>
  <c r="J109" i="87"/>
  <c r="K109" i="87"/>
  <c r="K111" i="87" s="1"/>
  <c r="L109" i="87"/>
  <c r="L111" i="87" s="1"/>
  <c r="M109" i="87"/>
  <c r="M111" i="87" s="1"/>
  <c r="N109" i="87"/>
  <c r="O109" i="87"/>
  <c r="O111" i="87" s="1"/>
  <c r="P109" i="87"/>
  <c r="P111" i="87" s="1"/>
  <c r="F106" i="87"/>
  <c r="F108" i="87" s="1"/>
  <c r="G106" i="87"/>
  <c r="H106" i="87"/>
  <c r="I106" i="87"/>
  <c r="I108" i="87" s="1"/>
  <c r="J106" i="87"/>
  <c r="J108" i="87" s="1"/>
  <c r="K106" i="87"/>
  <c r="L106" i="87"/>
  <c r="L108" i="87" s="1"/>
  <c r="M106" i="87"/>
  <c r="M108" i="87" s="1"/>
  <c r="N106" i="87"/>
  <c r="O106" i="87"/>
  <c r="O108" i="87" s="1"/>
  <c r="P106" i="87"/>
  <c r="P108" i="87" s="1"/>
  <c r="F103" i="87"/>
  <c r="F105" i="87" s="1"/>
  <c r="G103" i="87"/>
  <c r="G105" i="87" s="1"/>
  <c r="H103" i="87"/>
  <c r="I103" i="87"/>
  <c r="I105" i="87" s="1"/>
  <c r="J103" i="87"/>
  <c r="J105" i="87" s="1"/>
  <c r="K103" i="87"/>
  <c r="K105" i="87" s="1"/>
  <c r="L103" i="87"/>
  <c r="M103" i="87"/>
  <c r="M105" i="87" s="1"/>
  <c r="N103" i="87"/>
  <c r="O103" i="87"/>
  <c r="O105" i="87" s="1"/>
  <c r="P103" i="87"/>
  <c r="P105" i="87" s="1"/>
  <c r="F100" i="87"/>
  <c r="G100" i="87"/>
  <c r="G102" i="87" s="1"/>
  <c r="H100" i="87"/>
  <c r="H102" i="87" s="1"/>
  <c r="I100" i="87"/>
  <c r="J100" i="87"/>
  <c r="J102" i="87" s="1"/>
  <c r="K100" i="87"/>
  <c r="K102" i="87" s="1"/>
  <c r="L100" i="87"/>
  <c r="L102" i="87" s="1"/>
  <c r="M100" i="87"/>
  <c r="M102" i="87" s="1"/>
  <c r="N100" i="87"/>
  <c r="O100" i="87"/>
  <c r="O102" i="87" s="1"/>
  <c r="P100" i="87"/>
  <c r="P102" i="87" s="1"/>
  <c r="F97" i="87"/>
  <c r="G97" i="87"/>
  <c r="G99" i="87" s="1"/>
  <c r="H97" i="87"/>
  <c r="I97" i="87"/>
  <c r="J97" i="87"/>
  <c r="K97" i="87"/>
  <c r="L97" i="87"/>
  <c r="L99" i="87" s="1"/>
  <c r="M97" i="87"/>
  <c r="M99" i="87" s="1"/>
  <c r="N97" i="87"/>
  <c r="O97" i="87"/>
  <c r="P97" i="87"/>
  <c r="P99" i="87" s="1"/>
  <c r="F94" i="87"/>
  <c r="G94" i="87"/>
  <c r="H94" i="87"/>
  <c r="H96" i="87" s="1"/>
  <c r="I94" i="87"/>
  <c r="I96" i="87" s="1"/>
  <c r="J94" i="87"/>
  <c r="J96" i="87" s="1"/>
  <c r="K94" i="87"/>
  <c r="L94" i="87"/>
  <c r="L96" i="87" s="1"/>
  <c r="M94" i="87"/>
  <c r="M96" i="87" s="1"/>
  <c r="N94" i="87"/>
  <c r="O94" i="87"/>
  <c r="O96" i="87" s="1"/>
  <c r="P94" i="87"/>
  <c r="P96" i="87" s="1"/>
  <c r="F91" i="87"/>
  <c r="F93" i="87" s="1"/>
  <c r="G91" i="87"/>
  <c r="G93" i="87" s="1"/>
  <c r="H91" i="87"/>
  <c r="I91" i="87"/>
  <c r="I93" i="87" s="1"/>
  <c r="J91" i="87"/>
  <c r="K91" i="87"/>
  <c r="K93" i="87" s="1"/>
  <c r="L91" i="87"/>
  <c r="L93" i="87" s="1"/>
  <c r="M91" i="87"/>
  <c r="M93" i="87" s="1"/>
  <c r="N91" i="87"/>
  <c r="O91" i="87"/>
  <c r="O93" i="87" s="1"/>
  <c r="P91" i="87"/>
  <c r="P93" i="87" s="1"/>
  <c r="F88" i="87"/>
  <c r="G88" i="87"/>
  <c r="G90" i="87" s="1"/>
  <c r="H88" i="87"/>
  <c r="H90" i="87" s="1"/>
  <c r="I88" i="87"/>
  <c r="I90" i="87" s="1"/>
  <c r="J88" i="87"/>
  <c r="J90" i="87" s="1"/>
  <c r="K88" i="87"/>
  <c r="K90" i="87" s="1"/>
  <c r="L88" i="87"/>
  <c r="L90" i="87" s="1"/>
  <c r="M88" i="87"/>
  <c r="N88" i="87"/>
  <c r="O88" i="87"/>
  <c r="O90" i="87" s="1"/>
  <c r="P88" i="87"/>
  <c r="P90" i="87" s="1"/>
  <c r="F85" i="87"/>
  <c r="F87" i="87" s="1"/>
  <c r="G85" i="87"/>
  <c r="G87" i="87" s="1"/>
  <c r="H85" i="87"/>
  <c r="I85" i="87"/>
  <c r="I87" i="87" s="1"/>
  <c r="J85" i="87"/>
  <c r="K85" i="87"/>
  <c r="K87" i="87" s="1"/>
  <c r="L85" i="87"/>
  <c r="L87" i="87" s="1"/>
  <c r="M85" i="87"/>
  <c r="M87" i="87" s="1"/>
  <c r="N85" i="87"/>
  <c r="O85" i="87"/>
  <c r="P85" i="87"/>
  <c r="P87" i="87" s="1"/>
  <c r="F82" i="87"/>
  <c r="F84" i="87" s="1"/>
  <c r="G82" i="87"/>
  <c r="H82" i="87"/>
  <c r="H84" i="87" s="1"/>
  <c r="I82" i="87"/>
  <c r="I84" i="87" s="1"/>
  <c r="J82" i="87"/>
  <c r="J84" i="87" s="1"/>
  <c r="K82" i="87"/>
  <c r="L82" i="87"/>
  <c r="L84" i="87" s="1"/>
  <c r="M82" i="87"/>
  <c r="M84" i="87" s="1"/>
  <c r="N82" i="87"/>
  <c r="O82" i="87"/>
  <c r="P82" i="87"/>
  <c r="P84" i="87" s="1"/>
  <c r="F79" i="87"/>
  <c r="G79" i="87"/>
  <c r="H79" i="87"/>
  <c r="I79" i="87"/>
  <c r="I81" i="87" s="1"/>
  <c r="J79" i="87"/>
  <c r="J81" i="87" s="1"/>
  <c r="K79" i="87"/>
  <c r="K81" i="87" s="1"/>
  <c r="L79" i="87"/>
  <c r="M79" i="87"/>
  <c r="M81" i="87" s="1"/>
  <c r="N79" i="87"/>
  <c r="O79" i="87"/>
  <c r="O81" i="87" s="1"/>
  <c r="P79" i="87"/>
  <c r="F76" i="87"/>
  <c r="F78" i="87" s="1"/>
  <c r="G76" i="87"/>
  <c r="H76" i="87"/>
  <c r="I76" i="87"/>
  <c r="J76" i="87"/>
  <c r="J78" i="87" s="1"/>
  <c r="K76" i="87"/>
  <c r="L76" i="87"/>
  <c r="L78" i="87" s="1"/>
  <c r="M76" i="87"/>
  <c r="M78" i="87" s="1"/>
  <c r="N76" i="87"/>
  <c r="O76" i="87"/>
  <c r="O78" i="87" s="1"/>
  <c r="P76" i="87"/>
  <c r="P78" i="87" s="1"/>
  <c r="F73" i="87"/>
  <c r="G73" i="87"/>
  <c r="G75" i="87" s="1"/>
  <c r="H73" i="87"/>
  <c r="H75" i="87" s="1"/>
  <c r="I73" i="87"/>
  <c r="J73" i="87"/>
  <c r="K73" i="87"/>
  <c r="L73" i="87"/>
  <c r="L75" i="87" s="1"/>
  <c r="M73" i="87"/>
  <c r="M75" i="87" s="1"/>
  <c r="N73" i="87"/>
  <c r="O73" i="87"/>
  <c r="P73" i="87"/>
  <c r="P75" i="87" s="1"/>
  <c r="F70" i="87"/>
  <c r="G70" i="87"/>
  <c r="H70" i="87"/>
  <c r="I70" i="87"/>
  <c r="I72" i="87" s="1"/>
  <c r="J70" i="87"/>
  <c r="J72" i="87" s="1"/>
  <c r="K70" i="87"/>
  <c r="L70" i="87"/>
  <c r="L72" i="87" s="1"/>
  <c r="M70" i="87"/>
  <c r="M72" i="87" s="1"/>
  <c r="N70" i="87"/>
  <c r="O70" i="87"/>
  <c r="O72" i="87" s="1"/>
  <c r="P70" i="87"/>
  <c r="P72" i="87" s="1"/>
  <c r="F67" i="87"/>
  <c r="F69" i="87" s="1"/>
  <c r="G67" i="87"/>
  <c r="G69" i="87" s="1"/>
  <c r="H67" i="87"/>
  <c r="I67" i="87"/>
  <c r="I69" i="87" s="1"/>
  <c r="J67" i="87"/>
  <c r="J69" i="87" s="1"/>
  <c r="K67" i="87"/>
  <c r="K69" i="87" s="1"/>
  <c r="L67" i="87"/>
  <c r="L69" i="87" s="1"/>
  <c r="M67" i="87"/>
  <c r="M69" i="87" s="1"/>
  <c r="N67" i="87"/>
  <c r="O67" i="87"/>
  <c r="O69" i="87" s="1"/>
  <c r="P67" i="87"/>
  <c r="F64" i="87"/>
  <c r="F66" i="87" s="1"/>
  <c r="G64" i="87"/>
  <c r="G66" i="87" s="1"/>
  <c r="H64" i="87"/>
  <c r="H66" i="87" s="1"/>
  <c r="I64" i="87"/>
  <c r="I66" i="87" s="1"/>
  <c r="J64" i="87"/>
  <c r="J66" i="87" s="1"/>
  <c r="K64" i="87"/>
  <c r="L64" i="87"/>
  <c r="L66" i="87" s="1"/>
  <c r="M64" i="87"/>
  <c r="N64" i="87"/>
  <c r="O64" i="87"/>
  <c r="O66" i="87" s="1"/>
  <c r="P64" i="87"/>
  <c r="P66" i="87" s="1"/>
  <c r="F61" i="87"/>
  <c r="G61" i="87"/>
  <c r="H61" i="87"/>
  <c r="H63" i="87" s="1"/>
  <c r="I61" i="87"/>
  <c r="I63" i="87" s="1"/>
  <c r="J61" i="87"/>
  <c r="K61" i="87"/>
  <c r="K63" i="87" s="1"/>
  <c r="L61" i="87"/>
  <c r="L63" i="87" s="1"/>
  <c r="M61" i="87"/>
  <c r="M63" i="87" s="1"/>
  <c r="N61" i="87"/>
  <c r="O61" i="87"/>
  <c r="P61" i="87"/>
  <c r="P63" i="87" s="1"/>
  <c r="F58" i="87"/>
  <c r="F60" i="87" s="1"/>
  <c r="G58" i="87"/>
  <c r="H58" i="87"/>
  <c r="H60" i="87" s="1"/>
  <c r="I58" i="87"/>
  <c r="J58" i="87"/>
  <c r="J60" i="87" s="1"/>
  <c r="K58" i="87"/>
  <c r="L58" i="87"/>
  <c r="L60" i="87" s="1"/>
  <c r="M58" i="87"/>
  <c r="M60" i="87" s="1"/>
  <c r="N58" i="87"/>
  <c r="O58" i="87"/>
  <c r="P58" i="87"/>
  <c r="P60" i="87" s="1"/>
  <c r="F55" i="87"/>
  <c r="G55" i="87"/>
  <c r="H55" i="87"/>
  <c r="I55" i="87"/>
  <c r="I57" i="87" s="1"/>
  <c r="J55" i="87"/>
  <c r="J57" i="87" s="1"/>
  <c r="K55" i="87"/>
  <c r="K57" i="87" s="1"/>
  <c r="L55" i="87"/>
  <c r="M55" i="87"/>
  <c r="M57" i="87" s="1"/>
  <c r="N55" i="87"/>
  <c r="O55" i="87"/>
  <c r="O57" i="87" s="1"/>
  <c r="P55" i="87"/>
  <c r="F52" i="87"/>
  <c r="G52" i="87"/>
  <c r="H52" i="87"/>
  <c r="H54" i="87" s="1"/>
  <c r="I52" i="87"/>
  <c r="J52" i="87"/>
  <c r="J54" i="87" s="1"/>
  <c r="K52" i="87"/>
  <c r="K54" i="87" s="1"/>
  <c r="L52" i="87"/>
  <c r="L54" i="87" s="1"/>
  <c r="M52" i="87"/>
  <c r="M54" i="87" s="1"/>
  <c r="N52" i="87"/>
  <c r="O52" i="87"/>
  <c r="O54" i="87" s="1"/>
  <c r="P52" i="87"/>
  <c r="P54" i="87" s="1"/>
  <c r="F49" i="87"/>
  <c r="G49" i="87"/>
  <c r="G51" i="87" s="1"/>
  <c r="H49" i="87"/>
  <c r="I49" i="87"/>
  <c r="J49" i="87"/>
  <c r="K49" i="87"/>
  <c r="K51" i="87" s="1"/>
  <c r="L49" i="87"/>
  <c r="L51" i="87" s="1"/>
  <c r="M49" i="87"/>
  <c r="M51" i="87" s="1"/>
  <c r="N49" i="87"/>
  <c r="O49" i="87"/>
  <c r="P49" i="87"/>
  <c r="P51" i="87" s="1"/>
  <c r="F46" i="87"/>
  <c r="G46" i="87"/>
  <c r="H46" i="87"/>
  <c r="H48" i="87" s="1"/>
  <c r="I46" i="87"/>
  <c r="I48" i="87" s="1"/>
  <c r="J46" i="87"/>
  <c r="J48" i="87" s="1"/>
  <c r="K46" i="87"/>
  <c r="L46" i="87"/>
  <c r="L48" i="87" s="1"/>
  <c r="M46" i="87"/>
  <c r="M48" i="87" s="1"/>
  <c r="N46" i="87"/>
  <c r="O46" i="87"/>
  <c r="O48" i="87" s="1"/>
  <c r="P46" i="87"/>
  <c r="P48" i="87" s="1"/>
  <c r="F43" i="87"/>
  <c r="F45" i="87" s="1"/>
  <c r="G43" i="87"/>
  <c r="G45" i="87" s="1"/>
  <c r="H43" i="87"/>
  <c r="I43" i="87"/>
  <c r="J43" i="87"/>
  <c r="J45" i="87" s="1"/>
  <c r="K43" i="87"/>
  <c r="K45" i="87" s="1"/>
  <c r="L43" i="87"/>
  <c r="L45" i="87" s="1"/>
  <c r="M43" i="87"/>
  <c r="M45" i="87" s="1"/>
  <c r="N43" i="87"/>
  <c r="O43" i="87"/>
  <c r="O45" i="87" s="1"/>
  <c r="P43" i="87"/>
  <c r="F40" i="87"/>
  <c r="F42" i="87" s="1"/>
  <c r="G40" i="87"/>
  <c r="G42" i="87" s="1"/>
  <c r="H40" i="87"/>
  <c r="H42" i="87" s="1"/>
  <c r="I40" i="87"/>
  <c r="J40" i="87"/>
  <c r="K40" i="87"/>
  <c r="K42" i="87" s="1"/>
  <c r="L40" i="87"/>
  <c r="L42" i="87" s="1"/>
  <c r="M40" i="87"/>
  <c r="N40" i="87"/>
  <c r="O40" i="87"/>
  <c r="O42" i="87" s="1"/>
  <c r="P40" i="87"/>
  <c r="P42" i="87" s="1"/>
  <c r="F37" i="87"/>
  <c r="F39" i="87" s="1"/>
  <c r="G37" i="87"/>
  <c r="G39" i="87" s="1"/>
  <c r="H37" i="87"/>
  <c r="H39" i="87" s="1"/>
  <c r="I37" i="87"/>
  <c r="I39" i="87" s="1"/>
  <c r="J37" i="87"/>
  <c r="K37" i="87"/>
  <c r="K39" i="87" s="1"/>
  <c r="L37" i="87"/>
  <c r="L39" i="87" s="1"/>
  <c r="M37" i="87"/>
  <c r="M39" i="87" s="1"/>
  <c r="N37" i="87"/>
  <c r="O37" i="87"/>
  <c r="P37" i="87"/>
  <c r="P39" i="87" s="1"/>
  <c r="F34" i="87"/>
  <c r="F36" i="87" s="1"/>
  <c r="G34" i="87"/>
  <c r="H34" i="87"/>
  <c r="H36" i="87" s="1"/>
  <c r="I34" i="87"/>
  <c r="I36" i="87" s="1"/>
  <c r="J34" i="87"/>
  <c r="K34" i="87"/>
  <c r="K36" i="87" s="1"/>
  <c r="L34" i="87"/>
  <c r="L36" i="87" s="1"/>
  <c r="M34" i="87"/>
  <c r="M36" i="87" s="1"/>
  <c r="N34" i="87"/>
  <c r="O34" i="87"/>
  <c r="P34" i="87"/>
  <c r="P36" i="87" s="1"/>
  <c r="F31" i="87"/>
  <c r="F33" i="87" s="1"/>
  <c r="G31" i="87"/>
  <c r="G33" i="87" s="1"/>
  <c r="H31" i="87"/>
  <c r="I31" i="87"/>
  <c r="I33" i="87" s="1"/>
  <c r="J31" i="87"/>
  <c r="J33" i="87" s="1"/>
  <c r="K31" i="87"/>
  <c r="K33" i="87" s="1"/>
  <c r="L31" i="87"/>
  <c r="M31" i="87"/>
  <c r="M33" i="87" s="1"/>
  <c r="N31" i="87"/>
  <c r="O31" i="87"/>
  <c r="O33" i="87" s="1"/>
  <c r="P31" i="87"/>
  <c r="F28" i="87"/>
  <c r="F30" i="87" s="1"/>
  <c r="G28" i="87"/>
  <c r="G30" i="87" s="1"/>
  <c r="H28" i="87"/>
  <c r="H30" i="87" s="1"/>
  <c r="I28" i="87"/>
  <c r="J28" i="87"/>
  <c r="J30" i="87" s="1"/>
  <c r="K28" i="87"/>
  <c r="K30" i="87" s="1"/>
  <c r="L28" i="87"/>
  <c r="L30" i="87" s="1"/>
  <c r="M28" i="87"/>
  <c r="M30" i="87" s="1"/>
  <c r="N28" i="87"/>
  <c r="O28" i="87"/>
  <c r="O30" i="87" s="1"/>
  <c r="P28" i="87"/>
  <c r="P30" i="87" s="1"/>
  <c r="F25" i="87"/>
  <c r="G25" i="87"/>
  <c r="G27" i="87" s="1"/>
  <c r="H25" i="87"/>
  <c r="H27" i="87" s="1"/>
  <c r="I25" i="87"/>
  <c r="J25" i="87"/>
  <c r="K25" i="87"/>
  <c r="L25" i="87"/>
  <c r="L27" i="87" s="1"/>
  <c r="M25" i="87"/>
  <c r="M27" i="87" s="1"/>
  <c r="N25" i="87"/>
  <c r="O25" i="87"/>
  <c r="P25" i="87"/>
  <c r="P27" i="87" s="1"/>
  <c r="F22" i="87"/>
  <c r="G22" i="87"/>
  <c r="H22" i="87"/>
  <c r="I22" i="87"/>
  <c r="J22" i="87"/>
  <c r="J24" i="87" s="1"/>
  <c r="K22" i="87"/>
  <c r="L22" i="87"/>
  <c r="L24" i="87" s="1"/>
  <c r="M22" i="87"/>
  <c r="M24" i="87" s="1"/>
  <c r="N22" i="87"/>
  <c r="O22" i="87"/>
  <c r="O24" i="87" s="1"/>
  <c r="P22" i="87"/>
  <c r="P24" i="87" s="1"/>
  <c r="F19" i="87"/>
  <c r="F21" i="87" s="1"/>
  <c r="G19" i="87"/>
  <c r="G21" i="87" s="1"/>
  <c r="H19" i="87"/>
  <c r="I19" i="87"/>
  <c r="I21" i="87" s="1"/>
  <c r="J19" i="87"/>
  <c r="J21" i="87" s="1"/>
  <c r="K19" i="87"/>
  <c r="K21" i="87" s="1"/>
  <c r="L19" i="87"/>
  <c r="L21" i="87" s="1"/>
  <c r="M19" i="87"/>
  <c r="M21" i="87" s="1"/>
  <c r="N19" i="87"/>
  <c r="O19" i="87"/>
  <c r="O21" i="87" s="1"/>
  <c r="P19" i="87"/>
  <c r="F16" i="87"/>
  <c r="G16" i="87"/>
  <c r="G18" i="87" s="1"/>
  <c r="H16" i="87"/>
  <c r="H18" i="87" s="1"/>
  <c r="I16" i="87"/>
  <c r="J16" i="87"/>
  <c r="K16" i="87"/>
  <c r="K18" i="87" s="1"/>
  <c r="L16" i="87"/>
  <c r="L18" i="87" s="1"/>
  <c r="M16" i="87"/>
  <c r="N16" i="87"/>
  <c r="O16" i="87"/>
  <c r="O18" i="87" s="1"/>
  <c r="P16" i="87"/>
  <c r="P18" i="87" s="1"/>
  <c r="F13" i="87"/>
  <c r="F15" i="87" s="1"/>
  <c r="G13" i="87"/>
  <c r="H13" i="87"/>
  <c r="H15" i="87" s="1"/>
  <c r="I13" i="87"/>
  <c r="I15" i="87" s="1"/>
  <c r="J13" i="87"/>
  <c r="K13" i="87"/>
  <c r="K15" i="87" s="1"/>
  <c r="L13" i="87"/>
  <c r="L15" i="87" s="1"/>
  <c r="M13" i="87"/>
  <c r="M15" i="87" s="1"/>
  <c r="N13" i="87"/>
  <c r="O13" i="87"/>
  <c r="P13" i="87"/>
  <c r="P15" i="87" s="1"/>
  <c r="F10" i="87"/>
  <c r="F12" i="87" s="1"/>
  <c r="G10" i="87"/>
  <c r="H10" i="87"/>
  <c r="H12" i="87" s="1"/>
  <c r="I10" i="87"/>
  <c r="I12" i="87" s="1"/>
  <c r="J10" i="87"/>
  <c r="J12" i="87" s="1"/>
  <c r="K10" i="87"/>
  <c r="L10" i="87"/>
  <c r="L12" i="87" s="1"/>
  <c r="M10" i="87"/>
  <c r="M12" i="87" s="1"/>
  <c r="N10" i="87"/>
  <c r="O10" i="87"/>
  <c r="P10" i="87"/>
  <c r="P12" i="87" s="1"/>
  <c r="F7" i="87"/>
  <c r="G7" i="87"/>
  <c r="G9" i="87" s="1"/>
  <c r="H7" i="87"/>
  <c r="I7" i="87"/>
  <c r="J7" i="87"/>
  <c r="J9" i="87" s="1"/>
  <c r="K7" i="87"/>
  <c r="K9" i="87" s="1"/>
  <c r="L7" i="87"/>
  <c r="M7" i="87"/>
  <c r="M9" i="87" s="1"/>
  <c r="N7" i="87"/>
  <c r="O7" i="87"/>
  <c r="O9" i="87" s="1"/>
  <c r="P7" i="87"/>
  <c r="P9" i="87" s="1"/>
  <c r="F4" i="87"/>
  <c r="F6" i="87" s="1"/>
  <c r="G4" i="87"/>
  <c r="G6" i="87" s="1"/>
  <c r="H4" i="87"/>
  <c r="H6" i="87" s="1"/>
  <c r="I4" i="87"/>
  <c r="J4" i="87"/>
  <c r="J6" i="87" s="1"/>
  <c r="K4" i="87"/>
  <c r="L4" i="87"/>
  <c r="L6" i="87" s="1"/>
  <c r="M4" i="87"/>
  <c r="M6" i="87" s="1"/>
  <c r="N4" i="87"/>
  <c r="O4" i="87"/>
  <c r="O6" i="87" s="1"/>
  <c r="P4" i="87"/>
  <c r="P6" i="87" s="1"/>
  <c r="M168" i="25"/>
  <c r="N165" i="25"/>
  <c r="I162" i="25"/>
  <c r="Q162" i="25"/>
  <c r="I159" i="25"/>
  <c r="P159" i="25"/>
  <c r="J156" i="25"/>
  <c r="N156" i="25"/>
  <c r="I153" i="25"/>
  <c r="P153" i="25"/>
  <c r="Q150" i="25"/>
  <c r="Q141" i="25"/>
  <c r="Q132" i="25"/>
  <c r="Q126" i="25"/>
  <c r="Q117" i="25"/>
  <c r="Q111" i="25"/>
  <c r="Q105" i="25"/>
  <c r="Q99" i="25"/>
  <c r="Q93" i="25"/>
  <c r="Q87" i="25"/>
  <c r="Q81" i="25"/>
  <c r="Q75" i="25"/>
  <c r="Q69" i="25"/>
  <c r="Q63" i="25"/>
  <c r="Q57" i="25"/>
  <c r="Q51" i="25"/>
  <c r="Q45" i="25"/>
  <c r="Q39" i="25"/>
  <c r="Q33" i="25"/>
  <c r="Q27" i="25"/>
  <c r="Q21" i="25"/>
  <c r="Q15" i="25"/>
  <c r="Q9" i="25"/>
  <c r="F167" i="25"/>
  <c r="G167" i="25"/>
  <c r="H167" i="25"/>
  <c r="I167" i="25"/>
  <c r="J167" i="25"/>
  <c r="K167" i="25"/>
  <c r="L167" i="25"/>
  <c r="M167" i="25"/>
  <c r="N167" i="25"/>
  <c r="O167" i="25"/>
  <c r="P167" i="25"/>
  <c r="Q167" i="25"/>
  <c r="F164" i="25"/>
  <c r="G164" i="25"/>
  <c r="G165" i="25" s="1"/>
  <c r="H164" i="25"/>
  <c r="I164" i="25"/>
  <c r="J164" i="25"/>
  <c r="K164" i="25"/>
  <c r="L164" i="25"/>
  <c r="M164" i="25"/>
  <c r="N164" i="25"/>
  <c r="O164" i="25"/>
  <c r="P164" i="25"/>
  <c r="Q164" i="25"/>
  <c r="F161" i="25"/>
  <c r="G161" i="25"/>
  <c r="H161" i="25"/>
  <c r="I161" i="25"/>
  <c r="J161" i="25"/>
  <c r="K161" i="25"/>
  <c r="L161" i="25"/>
  <c r="M161" i="25"/>
  <c r="N161" i="25"/>
  <c r="O161" i="25"/>
  <c r="P161" i="25"/>
  <c r="Q161" i="25"/>
  <c r="F158" i="25"/>
  <c r="G158" i="25"/>
  <c r="H158" i="25"/>
  <c r="I158" i="25"/>
  <c r="J158" i="25"/>
  <c r="K158" i="25"/>
  <c r="L158" i="25"/>
  <c r="M158" i="25"/>
  <c r="N158" i="25"/>
  <c r="O158" i="25"/>
  <c r="P158" i="25"/>
  <c r="Q158" i="25"/>
  <c r="F155" i="25"/>
  <c r="G155" i="25"/>
  <c r="H155" i="25"/>
  <c r="I155" i="25"/>
  <c r="J155" i="25"/>
  <c r="K155" i="25"/>
  <c r="L155" i="25"/>
  <c r="M155" i="25"/>
  <c r="N155" i="25"/>
  <c r="O155" i="25"/>
  <c r="P155" i="25"/>
  <c r="Q155" i="25"/>
  <c r="F152" i="25"/>
  <c r="G152" i="25"/>
  <c r="H152" i="25"/>
  <c r="I152" i="25"/>
  <c r="J152" i="25"/>
  <c r="K152" i="25"/>
  <c r="L152" i="25"/>
  <c r="M152" i="25"/>
  <c r="N152" i="25"/>
  <c r="O152" i="25"/>
  <c r="P152" i="25"/>
  <c r="Q152" i="25"/>
  <c r="F149" i="25"/>
  <c r="G149" i="25"/>
  <c r="H149" i="25"/>
  <c r="I149" i="25"/>
  <c r="J149" i="25"/>
  <c r="K149" i="25"/>
  <c r="L149" i="25"/>
  <c r="M149" i="25"/>
  <c r="N149" i="25"/>
  <c r="O149" i="25"/>
  <c r="P149" i="25"/>
  <c r="Q149" i="25"/>
  <c r="F146" i="25"/>
  <c r="G146" i="25"/>
  <c r="H146" i="25"/>
  <c r="I146" i="25"/>
  <c r="J146" i="25"/>
  <c r="K146" i="25"/>
  <c r="L146" i="25"/>
  <c r="M146" i="25"/>
  <c r="N146" i="25"/>
  <c r="O146" i="25"/>
  <c r="P146" i="25"/>
  <c r="Q146" i="25"/>
  <c r="F143" i="25"/>
  <c r="G143" i="25"/>
  <c r="H143" i="25"/>
  <c r="I143" i="25"/>
  <c r="J143" i="25"/>
  <c r="K143" i="25"/>
  <c r="L143" i="25"/>
  <c r="M143" i="25"/>
  <c r="N143" i="25"/>
  <c r="O143" i="25"/>
  <c r="P143" i="25"/>
  <c r="Q143" i="25"/>
  <c r="F140" i="25"/>
  <c r="G140" i="25"/>
  <c r="H140" i="25"/>
  <c r="I140" i="25"/>
  <c r="J140" i="25"/>
  <c r="K140" i="25"/>
  <c r="L140" i="25"/>
  <c r="M140" i="25"/>
  <c r="N140" i="25"/>
  <c r="O140" i="25"/>
  <c r="P140" i="25"/>
  <c r="Q140" i="25"/>
  <c r="F137" i="25"/>
  <c r="G137" i="25"/>
  <c r="H137" i="25"/>
  <c r="I137" i="25"/>
  <c r="J137" i="25"/>
  <c r="K137" i="25"/>
  <c r="L137" i="25"/>
  <c r="M137" i="25"/>
  <c r="N137" i="25"/>
  <c r="O137" i="25"/>
  <c r="P137" i="25"/>
  <c r="Q137" i="25"/>
  <c r="F134" i="25"/>
  <c r="G134" i="25"/>
  <c r="H134" i="25"/>
  <c r="I134" i="25"/>
  <c r="J134" i="25"/>
  <c r="K134" i="25"/>
  <c r="L134" i="25"/>
  <c r="M134" i="25"/>
  <c r="N134" i="25"/>
  <c r="O134" i="25"/>
  <c r="P134" i="25"/>
  <c r="Q134" i="25"/>
  <c r="F131" i="25"/>
  <c r="G131" i="25"/>
  <c r="H131" i="25"/>
  <c r="I131" i="25"/>
  <c r="J131" i="25"/>
  <c r="K131" i="25"/>
  <c r="L131" i="25"/>
  <c r="M131" i="25"/>
  <c r="N131" i="25"/>
  <c r="O131" i="25"/>
  <c r="P131" i="25"/>
  <c r="Q131" i="25"/>
  <c r="F128" i="25"/>
  <c r="G128" i="25"/>
  <c r="H128" i="25"/>
  <c r="I128" i="25"/>
  <c r="J128" i="25"/>
  <c r="K128" i="25"/>
  <c r="L128" i="25"/>
  <c r="M128" i="25"/>
  <c r="N128" i="25"/>
  <c r="O128" i="25"/>
  <c r="P128" i="25"/>
  <c r="Q128" i="25"/>
  <c r="F125" i="25"/>
  <c r="G125" i="25"/>
  <c r="H125" i="25"/>
  <c r="I125" i="25"/>
  <c r="J125" i="25"/>
  <c r="K125" i="25"/>
  <c r="L125" i="25"/>
  <c r="M125" i="25"/>
  <c r="N125" i="25"/>
  <c r="O125" i="25"/>
  <c r="P125" i="25"/>
  <c r="Q125" i="25"/>
  <c r="F122" i="25"/>
  <c r="G122" i="25"/>
  <c r="H122" i="25"/>
  <c r="I122" i="25"/>
  <c r="J122" i="25"/>
  <c r="K122" i="25"/>
  <c r="L122" i="25"/>
  <c r="M122" i="25"/>
  <c r="N122" i="25"/>
  <c r="O122" i="25"/>
  <c r="P122" i="25"/>
  <c r="Q122" i="25"/>
  <c r="F119" i="25"/>
  <c r="G119" i="25"/>
  <c r="H119" i="25"/>
  <c r="I119" i="25"/>
  <c r="J119" i="25"/>
  <c r="K119" i="25"/>
  <c r="L119" i="25"/>
  <c r="M119" i="25"/>
  <c r="N119" i="25"/>
  <c r="O119" i="25"/>
  <c r="P119" i="25"/>
  <c r="Q119" i="25"/>
  <c r="F116" i="25"/>
  <c r="G116" i="25"/>
  <c r="H116" i="25"/>
  <c r="I116" i="25"/>
  <c r="J116" i="25"/>
  <c r="K116" i="25"/>
  <c r="L116" i="25"/>
  <c r="M116" i="25"/>
  <c r="N116" i="25"/>
  <c r="O116" i="25"/>
  <c r="P116" i="25"/>
  <c r="Q116" i="25"/>
  <c r="F113" i="25"/>
  <c r="G113" i="25"/>
  <c r="H113" i="25"/>
  <c r="I113" i="25"/>
  <c r="J113" i="25"/>
  <c r="K113" i="25"/>
  <c r="L113" i="25"/>
  <c r="M113" i="25"/>
  <c r="N113" i="25"/>
  <c r="O113" i="25"/>
  <c r="P113" i="25"/>
  <c r="Q113" i="25"/>
  <c r="F110" i="25"/>
  <c r="G110" i="25"/>
  <c r="H110" i="25"/>
  <c r="I110" i="25"/>
  <c r="J110" i="25"/>
  <c r="K110" i="25"/>
  <c r="L110" i="25"/>
  <c r="M110" i="25"/>
  <c r="N110" i="25"/>
  <c r="O110" i="25"/>
  <c r="P110" i="25"/>
  <c r="Q110" i="25"/>
  <c r="F107" i="25"/>
  <c r="G107" i="25"/>
  <c r="H107" i="25"/>
  <c r="I107" i="25"/>
  <c r="J107" i="25"/>
  <c r="K107" i="25"/>
  <c r="L107" i="25"/>
  <c r="M107" i="25"/>
  <c r="N107" i="25"/>
  <c r="O107" i="25"/>
  <c r="P107" i="25"/>
  <c r="Q107" i="25"/>
  <c r="F104" i="25"/>
  <c r="G104" i="25"/>
  <c r="H104" i="25"/>
  <c r="I104" i="25"/>
  <c r="J104" i="25"/>
  <c r="K104" i="25"/>
  <c r="L104" i="25"/>
  <c r="M104" i="25"/>
  <c r="N104" i="25"/>
  <c r="O104" i="25"/>
  <c r="P104" i="25"/>
  <c r="Q104" i="25"/>
  <c r="F101" i="25"/>
  <c r="G101" i="25"/>
  <c r="H101" i="25"/>
  <c r="I101" i="25"/>
  <c r="J101" i="25"/>
  <c r="K101" i="25"/>
  <c r="L101" i="25"/>
  <c r="M101" i="25"/>
  <c r="N101" i="25"/>
  <c r="O101" i="25"/>
  <c r="P101" i="25"/>
  <c r="Q101" i="25"/>
  <c r="F98" i="25"/>
  <c r="G98" i="25"/>
  <c r="H98" i="25"/>
  <c r="I98" i="25"/>
  <c r="J98" i="25"/>
  <c r="K98" i="25"/>
  <c r="L98" i="25"/>
  <c r="M98" i="25"/>
  <c r="N98" i="25"/>
  <c r="O98" i="25"/>
  <c r="P98" i="25"/>
  <c r="Q98" i="25"/>
  <c r="F95" i="25"/>
  <c r="G95" i="25"/>
  <c r="H95" i="25"/>
  <c r="I95" i="25"/>
  <c r="J95" i="25"/>
  <c r="K95" i="25"/>
  <c r="L95" i="25"/>
  <c r="M95" i="25"/>
  <c r="N95" i="25"/>
  <c r="O95" i="25"/>
  <c r="P95" i="25"/>
  <c r="Q95" i="25"/>
  <c r="F92" i="25"/>
  <c r="G92" i="25"/>
  <c r="H92" i="25"/>
  <c r="I92" i="25"/>
  <c r="J92" i="25"/>
  <c r="K92" i="25"/>
  <c r="L92" i="25"/>
  <c r="M92" i="25"/>
  <c r="N92" i="25"/>
  <c r="O92" i="25"/>
  <c r="P92" i="25"/>
  <c r="Q92" i="25"/>
  <c r="F89" i="25"/>
  <c r="G89" i="25"/>
  <c r="H89" i="25"/>
  <c r="I89" i="25"/>
  <c r="J89" i="25"/>
  <c r="K89" i="25"/>
  <c r="L89" i="25"/>
  <c r="M89" i="25"/>
  <c r="N89" i="25"/>
  <c r="O89" i="25"/>
  <c r="P89" i="25"/>
  <c r="Q89" i="25"/>
  <c r="F86" i="25"/>
  <c r="G86" i="25"/>
  <c r="G87" i="25" s="1"/>
  <c r="H86" i="25"/>
  <c r="I86" i="25"/>
  <c r="J86" i="25"/>
  <c r="K86" i="25"/>
  <c r="L86" i="25"/>
  <c r="M86" i="25"/>
  <c r="N86" i="25"/>
  <c r="O86" i="25"/>
  <c r="P86" i="25"/>
  <c r="Q86" i="25"/>
  <c r="F83" i="25"/>
  <c r="G83" i="25"/>
  <c r="H83" i="25"/>
  <c r="I83" i="25"/>
  <c r="J83" i="25"/>
  <c r="K83" i="25"/>
  <c r="L83" i="25"/>
  <c r="M83" i="25"/>
  <c r="N83" i="25"/>
  <c r="O83" i="25"/>
  <c r="P83" i="25"/>
  <c r="Q83" i="25"/>
  <c r="F80" i="25"/>
  <c r="G80" i="25"/>
  <c r="H80" i="25"/>
  <c r="I80" i="25"/>
  <c r="J80" i="25"/>
  <c r="K80" i="25"/>
  <c r="L80" i="25"/>
  <c r="M80" i="25"/>
  <c r="N80" i="25"/>
  <c r="O80" i="25"/>
  <c r="P80" i="25"/>
  <c r="Q80" i="25"/>
  <c r="F77" i="25"/>
  <c r="G77" i="25"/>
  <c r="H77" i="25"/>
  <c r="I77" i="25"/>
  <c r="J77" i="25"/>
  <c r="K77" i="25"/>
  <c r="L77" i="25"/>
  <c r="M77" i="25"/>
  <c r="N77" i="25"/>
  <c r="O77" i="25"/>
  <c r="P77" i="25"/>
  <c r="Q77" i="25"/>
  <c r="F74" i="25"/>
  <c r="G74" i="25"/>
  <c r="H74" i="25"/>
  <c r="I74" i="25"/>
  <c r="J74" i="25"/>
  <c r="K74" i="25"/>
  <c r="L74" i="25"/>
  <c r="M74" i="25"/>
  <c r="N74" i="25"/>
  <c r="O74" i="25"/>
  <c r="P74" i="25"/>
  <c r="Q74" i="25"/>
  <c r="F71" i="25"/>
  <c r="G71" i="25"/>
  <c r="H71" i="25"/>
  <c r="I71" i="25"/>
  <c r="J71" i="25"/>
  <c r="K71" i="25"/>
  <c r="L71" i="25"/>
  <c r="M71" i="25"/>
  <c r="N71" i="25"/>
  <c r="O71" i="25"/>
  <c r="P71" i="25"/>
  <c r="Q71" i="25"/>
  <c r="F68" i="25"/>
  <c r="G68" i="25"/>
  <c r="H68" i="25"/>
  <c r="I68" i="25"/>
  <c r="J68" i="25"/>
  <c r="K68" i="25"/>
  <c r="L68" i="25"/>
  <c r="M68" i="25"/>
  <c r="N68" i="25"/>
  <c r="O68" i="25"/>
  <c r="P68" i="25"/>
  <c r="Q68" i="25"/>
  <c r="F65" i="25"/>
  <c r="G65" i="25"/>
  <c r="H65" i="25"/>
  <c r="I65" i="25"/>
  <c r="J65" i="25"/>
  <c r="K65" i="25"/>
  <c r="L65" i="25"/>
  <c r="M65" i="25"/>
  <c r="N65" i="25"/>
  <c r="O65" i="25"/>
  <c r="P65" i="25"/>
  <c r="Q65" i="25"/>
  <c r="F62" i="25"/>
  <c r="G62" i="25"/>
  <c r="H62" i="25"/>
  <c r="I62" i="25"/>
  <c r="J62" i="25"/>
  <c r="K62" i="25"/>
  <c r="L62" i="25"/>
  <c r="M62" i="25"/>
  <c r="N62" i="25"/>
  <c r="O62" i="25"/>
  <c r="P62" i="25"/>
  <c r="Q62" i="25"/>
  <c r="F59" i="25"/>
  <c r="G59" i="25"/>
  <c r="H59" i="25"/>
  <c r="I59" i="25"/>
  <c r="J59" i="25"/>
  <c r="K59" i="25"/>
  <c r="L59" i="25"/>
  <c r="M59" i="25"/>
  <c r="N59" i="25"/>
  <c r="O59" i="25"/>
  <c r="P59" i="25"/>
  <c r="Q59" i="25"/>
  <c r="F56" i="25"/>
  <c r="G56" i="25"/>
  <c r="H56" i="25"/>
  <c r="I56" i="25"/>
  <c r="J56" i="25"/>
  <c r="K56" i="25"/>
  <c r="L56" i="25"/>
  <c r="M56" i="25"/>
  <c r="N56" i="25"/>
  <c r="O56" i="25"/>
  <c r="P56" i="25"/>
  <c r="Q56" i="25"/>
  <c r="F53" i="25"/>
  <c r="G53" i="25"/>
  <c r="H53" i="25"/>
  <c r="I53" i="25"/>
  <c r="J53" i="25"/>
  <c r="K53" i="25"/>
  <c r="L53" i="25"/>
  <c r="M53" i="25"/>
  <c r="N53" i="25"/>
  <c r="O53" i="25"/>
  <c r="P53" i="25"/>
  <c r="Q53" i="25"/>
  <c r="F50" i="25"/>
  <c r="G50" i="25"/>
  <c r="H50" i="25"/>
  <c r="I50" i="25"/>
  <c r="J50" i="25"/>
  <c r="K50" i="25"/>
  <c r="L50" i="25"/>
  <c r="M50" i="25"/>
  <c r="N50" i="25"/>
  <c r="O50" i="25"/>
  <c r="P50" i="25"/>
  <c r="Q50" i="25"/>
  <c r="F47" i="25"/>
  <c r="G47" i="25"/>
  <c r="H47" i="25"/>
  <c r="I47" i="25"/>
  <c r="J47" i="25"/>
  <c r="K47" i="25"/>
  <c r="L47" i="25"/>
  <c r="M47" i="25"/>
  <c r="N47" i="25"/>
  <c r="O47" i="25"/>
  <c r="P47" i="25"/>
  <c r="Q47" i="25"/>
  <c r="F44" i="25"/>
  <c r="G44" i="25"/>
  <c r="H44" i="25"/>
  <c r="I44" i="25"/>
  <c r="J44" i="25"/>
  <c r="K44" i="25"/>
  <c r="L44" i="25"/>
  <c r="M44" i="25"/>
  <c r="N44" i="25"/>
  <c r="O44" i="25"/>
  <c r="P44" i="25"/>
  <c r="Q44" i="25"/>
  <c r="F41" i="25"/>
  <c r="G41" i="25"/>
  <c r="H41" i="25"/>
  <c r="I41" i="25"/>
  <c r="J41" i="25"/>
  <c r="K41" i="25"/>
  <c r="K42" i="25" s="1"/>
  <c r="L41" i="25"/>
  <c r="M41" i="25"/>
  <c r="N41" i="25"/>
  <c r="O41" i="25"/>
  <c r="P41" i="25"/>
  <c r="Q41" i="25"/>
  <c r="F38" i="25"/>
  <c r="G38" i="25"/>
  <c r="H38" i="25"/>
  <c r="I38" i="25"/>
  <c r="J38" i="25"/>
  <c r="K38" i="25"/>
  <c r="L38" i="25"/>
  <c r="M38" i="25"/>
  <c r="N38" i="25"/>
  <c r="O38" i="25"/>
  <c r="P38" i="25"/>
  <c r="Q38" i="25"/>
  <c r="F35" i="25"/>
  <c r="G35" i="25"/>
  <c r="H35" i="25"/>
  <c r="I35" i="25"/>
  <c r="J35" i="25"/>
  <c r="K35" i="25"/>
  <c r="L35" i="25"/>
  <c r="M35" i="25"/>
  <c r="N35" i="25"/>
  <c r="O35" i="25"/>
  <c r="P35" i="25"/>
  <c r="Q35" i="25"/>
  <c r="F32" i="25"/>
  <c r="G32" i="25"/>
  <c r="H32" i="25"/>
  <c r="I32" i="25"/>
  <c r="J32" i="25"/>
  <c r="K32" i="25"/>
  <c r="L32" i="25"/>
  <c r="M32" i="25"/>
  <c r="N32" i="25"/>
  <c r="O32" i="25"/>
  <c r="P32" i="25"/>
  <c r="Q32" i="25"/>
  <c r="F29" i="25"/>
  <c r="G29" i="25"/>
  <c r="H29" i="25"/>
  <c r="I29" i="25"/>
  <c r="J29" i="25"/>
  <c r="K29" i="25"/>
  <c r="L29" i="25"/>
  <c r="M29" i="25"/>
  <c r="N29" i="25"/>
  <c r="O29" i="25"/>
  <c r="P29" i="25"/>
  <c r="Q29" i="25"/>
  <c r="F26" i="25"/>
  <c r="G26" i="25"/>
  <c r="H26" i="25"/>
  <c r="I26" i="25"/>
  <c r="J26" i="25"/>
  <c r="K26" i="25"/>
  <c r="L26" i="25"/>
  <c r="M26" i="25"/>
  <c r="N26" i="25"/>
  <c r="O26" i="25"/>
  <c r="P26" i="25"/>
  <c r="Q26" i="25"/>
  <c r="F23" i="25"/>
  <c r="G23" i="25"/>
  <c r="H23" i="25"/>
  <c r="I23" i="25"/>
  <c r="J23" i="25"/>
  <c r="K23" i="25"/>
  <c r="L23" i="25"/>
  <c r="M23" i="25"/>
  <c r="N23" i="25"/>
  <c r="O23" i="25"/>
  <c r="P23" i="25"/>
  <c r="Q23" i="25"/>
  <c r="F20" i="25"/>
  <c r="G20" i="25"/>
  <c r="H20" i="25"/>
  <c r="I20" i="25"/>
  <c r="J20" i="25"/>
  <c r="K20" i="25"/>
  <c r="L20" i="25"/>
  <c r="M20" i="25"/>
  <c r="N20" i="25"/>
  <c r="O20" i="25"/>
  <c r="P20" i="25"/>
  <c r="Q20" i="25"/>
  <c r="F17" i="25"/>
  <c r="G17" i="25"/>
  <c r="H17" i="25"/>
  <c r="I17" i="25"/>
  <c r="J17" i="25"/>
  <c r="K17" i="25"/>
  <c r="L17" i="25"/>
  <c r="M17" i="25"/>
  <c r="N17" i="25"/>
  <c r="O17" i="25"/>
  <c r="P17" i="25"/>
  <c r="Q17" i="25"/>
  <c r="F14" i="25"/>
  <c r="G14" i="25"/>
  <c r="H14" i="25"/>
  <c r="I14" i="25"/>
  <c r="J14" i="25"/>
  <c r="K14" i="25"/>
  <c r="L14" i="25"/>
  <c r="M14" i="25"/>
  <c r="N14" i="25"/>
  <c r="O14" i="25"/>
  <c r="P14" i="25"/>
  <c r="Q14" i="25"/>
  <c r="F11" i="25"/>
  <c r="G11" i="25"/>
  <c r="H11" i="25"/>
  <c r="I11" i="25"/>
  <c r="J11" i="25"/>
  <c r="K11" i="25"/>
  <c r="L11" i="25"/>
  <c r="M11" i="25"/>
  <c r="N11" i="25"/>
  <c r="O11" i="25"/>
  <c r="P11" i="25"/>
  <c r="Q11" i="25"/>
  <c r="F8" i="25"/>
  <c r="G8" i="25"/>
  <c r="H8" i="25"/>
  <c r="I8" i="25"/>
  <c r="J8" i="25"/>
  <c r="K8" i="25"/>
  <c r="L8" i="25"/>
  <c r="M8" i="25"/>
  <c r="N8" i="25"/>
  <c r="O8" i="25"/>
  <c r="P8" i="25"/>
  <c r="Q8" i="25"/>
  <c r="F5" i="25"/>
  <c r="G5" i="25"/>
  <c r="H5" i="25"/>
  <c r="I5" i="25"/>
  <c r="J5" i="25"/>
  <c r="K5" i="25"/>
  <c r="L5" i="25"/>
  <c r="M5" i="25"/>
  <c r="N5" i="25"/>
  <c r="O5" i="25"/>
  <c r="P5" i="25"/>
  <c r="Q5" i="25"/>
  <c r="F166" i="25"/>
  <c r="F168" i="25" s="1"/>
  <c r="G166" i="25"/>
  <c r="G168" i="25" s="1"/>
  <c r="H166" i="25"/>
  <c r="H168" i="25" s="1"/>
  <c r="I166" i="25"/>
  <c r="I168" i="25" s="1"/>
  <c r="J166" i="25"/>
  <c r="J168" i="25" s="1"/>
  <c r="K166" i="25"/>
  <c r="L166" i="25"/>
  <c r="L168" i="25" s="1"/>
  <c r="M166" i="25"/>
  <c r="N166" i="25"/>
  <c r="N168" i="25" s="1"/>
  <c r="O166" i="25"/>
  <c r="P166" i="25"/>
  <c r="P168" i="25" s="1"/>
  <c r="Q166" i="25"/>
  <c r="Q168" i="25" s="1"/>
  <c r="F163" i="25"/>
  <c r="G163" i="25"/>
  <c r="H163" i="25"/>
  <c r="H165" i="25" s="1"/>
  <c r="I163" i="25"/>
  <c r="I165" i="25" s="1"/>
  <c r="J163" i="25"/>
  <c r="J165" i="25" s="1"/>
  <c r="K163" i="25"/>
  <c r="K165" i="25" s="1"/>
  <c r="L163" i="25"/>
  <c r="L165" i="25" s="1"/>
  <c r="M163" i="25"/>
  <c r="M165" i="25" s="1"/>
  <c r="N163" i="25"/>
  <c r="O163" i="25"/>
  <c r="P163" i="25"/>
  <c r="P165" i="25" s="1"/>
  <c r="Q163" i="25"/>
  <c r="Q165" i="25" s="1"/>
  <c r="F160" i="25"/>
  <c r="F162" i="25" s="1"/>
  <c r="G160" i="25"/>
  <c r="G162" i="25" s="1"/>
  <c r="H160" i="25"/>
  <c r="H162" i="25" s="1"/>
  <c r="I160" i="25"/>
  <c r="J160" i="25"/>
  <c r="K160" i="25"/>
  <c r="K162" i="25" s="1"/>
  <c r="L160" i="25"/>
  <c r="L162" i="25" s="1"/>
  <c r="M160" i="25"/>
  <c r="M162" i="25" s="1"/>
  <c r="N160" i="25"/>
  <c r="N162" i="25" s="1"/>
  <c r="O160" i="25"/>
  <c r="P160" i="25"/>
  <c r="P162" i="25" s="1"/>
  <c r="Q160" i="25"/>
  <c r="F157" i="25"/>
  <c r="F159" i="25" s="1"/>
  <c r="G157" i="25"/>
  <c r="G159" i="25" s="1"/>
  <c r="H157" i="25"/>
  <c r="H159" i="25" s="1"/>
  <c r="I157" i="25"/>
  <c r="J157" i="25"/>
  <c r="J159" i="25" s="1"/>
  <c r="K157" i="25"/>
  <c r="K159" i="25" s="1"/>
  <c r="L157" i="25"/>
  <c r="L159" i="25" s="1"/>
  <c r="M157" i="25"/>
  <c r="M159" i="25" s="1"/>
  <c r="N157" i="25"/>
  <c r="N159" i="25" s="1"/>
  <c r="O157" i="25"/>
  <c r="P157" i="25"/>
  <c r="Q157" i="25"/>
  <c r="Q159" i="25" s="1"/>
  <c r="F154" i="25"/>
  <c r="F156" i="25" s="1"/>
  <c r="G154" i="25"/>
  <c r="G156" i="25" s="1"/>
  <c r="H154" i="25"/>
  <c r="H156" i="25" s="1"/>
  <c r="I154" i="25"/>
  <c r="I156" i="25" s="1"/>
  <c r="J154" i="25"/>
  <c r="K154" i="25"/>
  <c r="K156" i="25" s="1"/>
  <c r="L154" i="25"/>
  <c r="L156" i="25" s="1"/>
  <c r="M154" i="25"/>
  <c r="M156" i="25" s="1"/>
  <c r="N154" i="25"/>
  <c r="O154" i="25"/>
  <c r="P154" i="25"/>
  <c r="P156" i="25" s="1"/>
  <c r="Q154" i="25"/>
  <c r="Q156" i="25" s="1"/>
  <c r="F151" i="25"/>
  <c r="F153" i="25" s="1"/>
  <c r="G151" i="25"/>
  <c r="G153" i="25" s="1"/>
  <c r="H151" i="25"/>
  <c r="H153" i="25" s="1"/>
  <c r="I151" i="25"/>
  <c r="J151" i="25"/>
  <c r="J153" i="25" s="1"/>
  <c r="K151" i="25"/>
  <c r="K153" i="25" s="1"/>
  <c r="L151" i="25"/>
  <c r="L153" i="25" s="1"/>
  <c r="M151" i="25"/>
  <c r="M153" i="25" s="1"/>
  <c r="N151" i="25"/>
  <c r="N153" i="25" s="1"/>
  <c r="O151" i="25"/>
  <c r="P151" i="25"/>
  <c r="Q151" i="25"/>
  <c r="Q153" i="25" s="1"/>
  <c r="F148" i="25"/>
  <c r="G148" i="25"/>
  <c r="G150" i="25" s="1"/>
  <c r="H148" i="25"/>
  <c r="H150" i="25" s="1"/>
  <c r="I148" i="25"/>
  <c r="I150" i="25" s="1"/>
  <c r="J148" i="25"/>
  <c r="K148" i="25"/>
  <c r="L148" i="25"/>
  <c r="L150" i="25" s="1"/>
  <c r="M148" i="25"/>
  <c r="M150" i="25" s="1"/>
  <c r="N148" i="25"/>
  <c r="N150" i="25" s="1"/>
  <c r="O148" i="25"/>
  <c r="P148" i="25"/>
  <c r="P150" i="25" s="1"/>
  <c r="Q148" i="25"/>
  <c r="F145" i="25"/>
  <c r="G145" i="25"/>
  <c r="H145" i="25"/>
  <c r="I145" i="25"/>
  <c r="I147" i="25" s="1"/>
  <c r="J145" i="25"/>
  <c r="J147" i="25" s="1"/>
  <c r="K145" i="25"/>
  <c r="L145" i="25"/>
  <c r="M145" i="25"/>
  <c r="N145" i="25"/>
  <c r="O145" i="25"/>
  <c r="P145" i="25"/>
  <c r="P147" i="25" s="1"/>
  <c r="Q145" i="25"/>
  <c r="Q147" i="25" s="1"/>
  <c r="F142" i="25"/>
  <c r="F144" i="25" s="1"/>
  <c r="G142" i="25"/>
  <c r="G144" i="25" s="1"/>
  <c r="H142" i="25"/>
  <c r="H144" i="25" s="1"/>
  <c r="I142" i="25"/>
  <c r="I144" i="25" s="1"/>
  <c r="J142" i="25"/>
  <c r="K142" i="25"/>
  <c r="L142" i="25"/>
  <c r="L144" i="25" s="1"/>
  <c r="M142" i="25"/>
  <c r="M144" i="25" s="1"/>
  <c r="N142" i="25"/>
  <c r="N144" i="25" s="1"/>
  <c r="O142" i="25"/>
  <c r="P142" i="25"/>
  <c r="P144" i="25" s="1"/>
  <c r="Q142" i="25"/>
  <c r="Q144" i="25" s="1"/>
  <c r="F139" i="25"/>
  <c r="G139" i="25"/>
  <c r="H139" i="25"/>
  <c r="I139" i="25"/>
  <c r="I141" i="25" s="1"/>
  <c r="J139" i="25"/>
  <c r="K139" i="25"/>
  <c r="L139" i="25"/>
  <c r="L141" i="25" s="1"/>
  <c r="M139" i="25"/>
  <c r="N139" i="25"/>
  <c r="O139" i="25"/>
  <c r="P139" i="25"/>
  <c r="P141" i="25" s="1"/>
  <c r="Q139" i="25"/>
  <c r="F136" i="25"/>
  <c r="F138" i="25" s="1"/>
  <c r="G136" i="25"/>
  <c r="G138" i="25" s="1"/>
  <c r="H136" i="25"/>
  <c r="H138" i="25" s="1"/>
  <c r="I136" i="25"/>
  <c r="I138" i="25" s="1"/>
  <c r="J136" i="25"/>
  <c r="K136" i="25"/>
  <c r="L136" i="25"/>
  <c r="L138" i="25" s="1"/>
  <c r="M136" i="25"/>
  <c r="M138" i="25" s="1"/>
  <c r="N136" i="25"/>
  <c r="N138" i="25" s="1"/>
  <c r="O136" i="25"/>
  <c r="P136" i="25"/>
  <c r="P138" i="25" s="1"/>
  <c r="Q136" i="25"/>
  <c r="Q138" i="25" s="1"/>
  <c r="F133" i="25"/>
  <c r="G133" i="25"/>
  <c r="H133" i="25"/>
  <c r="I133" i="25"/>
  <c r="J133" i="25"/>
  <c r="K133" i="25"/>
  <c r="L133" i="25"/>
  <c r="L135" i="25" s="1"/>
  <c r="M133" i="25"/>
  <c r="N133" i="25"/>
  <c r="O133" i="25"/>
  <c r="P133" i="25"/>
  <c r="P135" i="25" s="1"/>
  <c r="Q133" i="25"/>
  <c r="Q135" i="25" s="1"/>
  <c r="F130" i="25"/>
  <c r="F132" i="25" s="1"/>
  <c r="G130" i="25"/>
  <c r="G132" i="25" s="1"/>
  <c r="H130" i="25"/>
  <c r="H132" i="25" s="1"/>
  <c r="I130" i="25"/>
  <c r="I132" i="25" s="1"/>
  <c r="J130" i="25"/>
  <c r="K130" i="25"/>
  <c r="L130" i="25"/>
  <c r="L132" i="25" s="1"/>
  <c r="M130" i="25"/>
  <c r="M132" i="25" s="1"/>
  <c r="N130" i="25"/>
  <c r="N132" i="25" s="1"/>
  <c r="O130" i="25"/>
  <c r="P130" i="25"/>
  <c r="P132" i="25" s="1"/>
  <c r="Q130" i="25"/>
  <c r="F127" i="25"/>
  <c r="G127" i="25"/>
  <c r="H127" i="25"/>
  <c r="I127" i="25"/>
  <c r="I129" i="25" s="1"/>
  <c r="J127" i="25"/>
  <c r="K127" i="25"/>
  <c r="L127" i="25"/>
  <c r="M127" i="25"/>
  <c r="N127" i="25"/>
  <c r="O127" i="25"/>
  <c r="P127" i="25"/>
  <c r="P129" i="25" s="1"/>
  <c r="Q127" i="25"/>
  <c r="Q129" i="25" s="1"/>
  <c r="F124" i="25"/>
  <c r="F126" i="25" s="1"/>
  <c r="G124" i="25"/>
  <c r="G126" i="25" s="1"/>
  <c r="H124" i="25"/>
  <c r="H126" i="25" s="1"/>
  <c r="I124" i="25"/>
  <c r="I126" i="25" s="1"/>
  <c r="J124" i="25"/>
  <c r="K124" i="25"/>
  <c r="L124" i="25"/>
  <c r="L126" i="25" s="1"/>
  <c r="M124" i="25"/>
  <c r="M126" i="25" s="1"/>
  <c r="N124" i="25"/>
  <c r="N126" i="25" s="1"/>
  <c r="O124" i="25"/>
  <c r="P124" i="25"/>
  <c r="P126" i="25" s="1"/>
  <c r="Q124" i="25"/>
  <c r="F121" i="25"/>
  <c r="G121" i="25"/>
  <c r="H121" i="25"/>
  <c r="H123" i="25" s="1"/>
  <c r="I121" i="25"/>
  <c r="J121" i="25"/>
  <c r="K121" i="25"/>
  <c r="L121" i="25"/>
  <c r="L123" i="25" s="1"/>
  <c r="M121" i="25"/>
  <c r="N121" i="25"/>
  <c r="O121" i="25"/>
  <c r="P121" i="25"/>
  <c r="P123" i="25" s="1"/>
  <c r="Q121" i="25"/>
  <c r="Q123" i="25" s="1"/>
  <c r="F118" i="25"/>
  <c r="F120" i="25" s="1"/>
  <c r="G118" i="25"/>
  <c r="G120" i="25" s="1"/>
  <c r="H118" i="25"/>
  <c r="H120" i="25" s="1"/>
  <c r="I118" i="25"/>
  <c r="I120" i="25" s="1"/>
  <c r="J118" i="25"/>
  <c r="K118" i="25"/>
  <c r="L118" i="25"/>
  <c r="M118" i="25"/>
  <c r="M120" i="25" s="1"/>
  <c r="N118" i="25"/>
  <c r="N120" i="25" s="1"/>
  <c r="O118" i="25"/>
  <c r="P118" i="25"/>
  <c r="P120" i="25" s="1"/>
  <c r="Q118" i="25"/>
  <c r="Q120" i="25" s="1"/>
  <c r="F115" i="25"/>
  <c r="G115" i="25"/>
  <c r="H115" i="25"/>
  <c r="H117" i="25" s="1"/>
  <c r="I115" i="25"/>
  <c r="I117" i="25" s="1"/>
  <c r="J115" i="25"/>
  <c r="K115" i="25"/>
  <c r="L115" i="25"/>
  <c r="L117" i="25" s="1"/>
  <c r="M115" i="25"/>
  <c r="N115" i="25"/>
  <c r="O115" i="25"/>
  <c r="P115" i="25"/>
  <c r="P117" i="25" s="1"/>
  <c r="Q115" i="25"/>
  <c r="F112" i="25"/>
  <c r="F114" i="25" s="1"/>
  <c r="G112" i="25"/>
  <c r="H112" i="25"/>
  <c r="H114" i="25" s="1"/>
  <c r="I112" i="25"/>
  <c r="I114" i="25" s="1"/>
  <c r="J112" i="25"/>
  <c r="K112" i="25"/>
  <c r="L112" i="25"/>
  <c r="L114" i="25" s="1"/>
  <c r="M112" i="25"/>
  <c r="M114" i="25" s="1"/>
  <c r="N112" i="25"/>
  <c r="N114" i="25" s="1"/>
  <c r="O112" i="25"/>
  <c r="P112" i="25"/>
  <c r="P114" i="25" s="1"/>
  <c r="Q112" i="25"/>
  <c r="Q114" i="25" s="1"/>
  <c r="F109" i="25"/>
  <c r="G109" i="25"/>
  <c r="H109" i="25"/>
  <c r="H111" i="25" s="1"/>
  <c r="I109" i="25"/>
  <c r="I111" i="25" s="1"/>
  <c r="J109" i="25"/>
  <c r="J111" i="25" s="1"/>
  <c r="K109" i="25"/>
  <c r="K111" i="25" s="1"/>
  <c r="L109" i="25"/>
  <c r="M109" i="25"/>
  <c r="N109" i="25"/>
  <c r="O109" i="25"/>
  <c r="P109" i="25"/>
  <c r="P111" i="25" s="1"/>
  <c r="Q109" i="25"/>
  <c r="F106" i="25"/>
  <c r="F108" i="25" s="1"/>
  <c r="G106" i="25"/>
  <c r="G108" i="25" s="1"/>
  <c r="H106" i="25"/>
  <c r="H108" i="25" s="1"/>
  <c r="I106" i="25"/>
  <c r="I108" i="25" s="1"/>
  <c r="J106" i="25"/>
  <c r="K106" i="25"/>
  <c r="L106" i="25"/>
  <c r="L108" i="25" s="1"/>
  <c r="M106" i="25"/>
  <c r="M108" i="25" s="1"/>
  <c r="N106" i="25"/>
  <c r="N108" i="25" s="1"/>
  <c r="O106" i="25"/>
  <c r="P106" i="25"/>
  <c r="P108" i="25" s="1"/>
  <c r="Q106" i="25"/>
  <c r="Q108" i="25" s="1"/>
  <c r="F103" i="25"/>
  <c r="G103" i="25"/>
  <c r="H103" i="25"/>
  <c r="I103" i="25"/>
  <c r="J103" i="25"/>
  <c r="J105" i="25" s="1"/>
  <c r="K103" i="25"/>
  <c r="L103" i="25"/>
  <c r="M103" i="25"/>
  <c r="N103" i="25"/>
  <c r="O103" i="25"/>
  <c r="P103" i="25"/>
  <c r="P105" i="25" s="1"/>
  <c r="Q103" i="25"/>
  <c r="F100" i="25"/>
  <c r="F102" i="25" s="1"/>
  <c r="G100" i="25"/>
  <c r="G102" i="25" s="1"/>
  <c r="H100" i="25"/>
  <c r="H102" i="25" s="1"/>
  <c r="I100" i="25"/>
  <c r="J100" i="25"/>
  <c r="K100" i="25"/>
  <c r="L100" i="25"/>
  <c r="L102" i="25" s="1"/>
  <c r="M100" i="25"/>
  <c r="M102" i="25" s="1"/>
  <c r="N100" i="25"/>
  <c r="N102" i="25" s="1"/>
  <c r="O100" i="25"/>
  <c r="P100" i="25"/>
  <c r="P102" i="25" s="1"/>
  <c r="Q100" i="25"/>
  <c r="Q102" i="25" s="1"/>
  <c r="F97" i="25"/>
  <c r="G97" i="25"/>
  <c r="H97" i="25"/>
  <c r="I97" i="25"/>
  <c r="I99" i="25" s="1"/>
  <c r="J97" i="25"/>
  <c r="J99" i="25" s="1"/>
  <c r="K97" i="25"/>
  <c r="K99" i="25" s="1"/>
  <c r="L97" i="25"/>
  <c r="M97" i="25"/>
  <c r="N97" i="25"/>
  <c r="N99" i="25" s="1"/>
  <c r="O97" i="25"/>
  <c r="P97" i="25"/>
  <c r="P99" i="25" s="1"/>
  <c r="Q97" i="25"/>
  <c r="F94" i="25"/>
  <c r="F96" i="25" s="1"/>
  <c r="G94" i="25"/>
  <c r="G96" i="25" s="1"/>
  <c r="H94" i="25"/>
  <c r="H96" i="25" s="1"/>
  <c r="I94" i="25"/>
  <c r="J94" i="25"/>
  <c r="J96" i="25" s="1"/>
  <c r="K94" i="25"/>
  <c r="L94" i="25"/>
  <c r="L96" i="25" s="1"/>
  <c r="M94" i="25"/>
  <c r="M96" i="25" s="1"/>
  <c r="N94" i="25"/>
  <c r="N96" i="25" s="1"/>
  <c r="O94" i="25"/>
  <c r="P94" i="25"/>
  <c r="P96" i="25" s="1"/>
  <c r="Q94" i="25"/>
  <c r="Q96" i="25" s="1"/>
  <c r="F91" i="25"/>
  <c r="G91" i="25"/>
  <c r="H91" i="25"/>
  <c r="I91" i="25"/>
  <c r="I93" i="25" s="1"/>
  <c r="J91" i="25"/>
  <c r="K91" i="25"/>
  <c r="L91" i="25"/>
  <c r="L93" i="25" s="1"/>
  <c r="M91" i="25"/>
  <c r="N91" i="25"/>
  <c r="N93" i="25" s="1"/>
  <c r="O91" i="25"/>
  <c r="P91" i="25"/>
  <c r="P93" i="25" s="1"/>
  <c r="Q91" i="25"/>
  <c r="F88" i="25"/>
  <c r="F90" i="25" s="1"/>
  <c r="G88" i="25"/>
  <c r="G90" i="25" s="1"/>
  <c r="H88" i="25"/>
  <c r="H90" i="25" s="1"/>
  <c r="I88" i="25"/>
  <c r="I90" i="25" s="1"/>
  <c r="J88" i="25"/>
  <c r="J90" i="25" s="1"/>
  <c r="K88" i="25"/>
  <c r="L88" i="25"/>
  <c r="L90" i="25" s="1"/>
  <c r="M88" i="25"/>
  <c r="M90" i="25" s="1"/>
  <c r="N88" i="25"/>
  <c r="N90" i="25" s="1"/>
  <c r="O88" i="25"/>
  <c r="P88" i="25"/>
  <c r="P90" i="25" s="1"/>
  <c r="Q88" i="25"/>
  <c r="Q90" i="25" s="1"/>
  <c r="F85" i="25"/>
  <c r="G85" i="25"/>
  <c r="H85" i="25"/>
  <c r="I85" i="25"/>
  <c r="J85" i="25"/>
  <c r="K85" i="25"/>
  <c r="L85" i="25"/>
  <c r="M85" i="25"/>
  <c r="N85" i="25"/>
  <c r="N87" i="25" s="1"/>
  <c r="O85" i="25"/>
  <c r="P85" i="25"/>
  <c r="P87" i="25" s="1"/>
  <c r="Q85" i="25"/>
  <c r="F82" i="25"/>
  <c r="F84" i="25" s="1"/>
  <c r="G82" i="25"/>
  <c r="G84" i="25" s="1"/>
  <c r="H82" i="25"/>
  <c r="H84" i="25" s="1"/>
  <c r="I82" i="25"/>
  <c r="I84" i="25" s="1"/>
  <c r="J82" i="25"/>
  <c r="J84" i="25" s="1"/>
  <c r="K82" i="25"/>
  <c r="L82" i="25"/>
  <c r="L84" i="25" s="1"/>
  <c r="M82" i="25"/>
  <c r="M84" i="25" s="1"/>
  <c r="N82" i="25"/>
  <c r="N84" i="25" s="1"/>
  <c r="O82" i="25"/>
  <c r="P82" i="25"/>
  <c r="P84" i="25" s="1"/>
  <c r="Q82" i="25"/>
  <c r="Q84" i="25" s="1"/>
  <c r="F79" i="25"/>
  <c r="G79" i="25"/>
  <c r="H79" i="25"/>
  <c r="I79" i="25"/>
  <c r="I81" i="25" s="1"/>
  <c r="J79" i="25"/>
  <c r="K79" i="25"/>
  <c r="L79" i="25"/>
  <c r="M79" i="25"/>
  <c r="N79" i="25"/>
  <c r="N81" i="25" s="1"/>
  <c r="O79" i="25"/>
  <c r="P79" i="25"/>
  <c r="P81" i="25" s="1"/>
  <c r="Q79" i="25"/>
  <c r="F76" i="25"/>
  <c r="F78" i="25" s="1"/>
  <c r="G76" i="25"/>
  <c r="G78" i="25" s="1"/>
  <c r="H76" i="25"/>
  <c r="H78" i="25" s="1"/>
  <c r="I76" i="25"/>
  <c r="I78" i="25" s="1"/>
  <c r="J76" i="25"/>
  <c r="J78" i="25" s="1"/>
  <c r="K76" i="25"/>
  <c r="L76" i="25"/>
  <c r="L78" i="25" s="1"/>
  <c r="M76" i="25"/>
  <c r="M78" i="25" s="1"/>
  <c r="N76" i="25"/>
  <c r="N78" i="25" s="1"/>
  <c r="O76" i="25"/>
  <c r="P76" i="25"/>
  <c r="P78" i="25" s="1"/>
  <c r="Q76" i="25"/>
  <c r="Q78" i="25" s="1"/>
  <c r="F73" i="25"/>
  <c r="G73" i="25"/>
  <c r="H73" i="25"/>
  <c r="I73" i="25"/>
  <c r="I75" i="25" s="1"/>
  <c r="J73" i="25"/>
  <c r="K73" i="25"/>
  <c r="L73" i="25"/>
  <c r="M73" i="25"/>
  <c r="N73" i="25"/>
  <c r="N75" i="25" s="1"/>
  <c r="O73" i="25"/>
  <c r="P73" i="25"/>
  <c r="P75" i="25" s="1"/>
  <c r="Q73" i="25"/>
  <c r="F70" i="25"/>
  <c r="F72" i="25" s="1"/>
  <c r="G70" i="25"/>
  <c r="G72" i="25" s="1"/>
  <c r="H70" i="25"/>
  <c r="H72" i="25" s="1"/>
  <c r="I70" i="25"/>
  <c r="I72" i="25" s="1"/>
  <c r="J70" i="25"/>
  <c r="K70" i="25"/>
  <c r="L70" i="25"/>
  <c r="L72" i="25" s="1"/>
  <c r="M70" i="25"/>
  <c r="M72" i="25" s="1"/>
  <c r="N70" i="25"/>
  <c r="N72" i="25" s="1"/>
  <c r="O70" i="25"/>
  <c r="P70" i="25"/>
  <c r="P72" i="25" s="1"/>
  <c r="Q70" i="25"/>
  <c r="Q72" i="25" s="1"/>
  <c r="F67" i="25"/>
  <c r="F69" i="25" s="1"/>
  <c r="G67" i="25"/>
  <c r="H67" i="25"/>
  <c r="I67" i="25"/>
  <c r="I69" i="25" s="1"/>
  <c r="J67" i="25"/>
  <c r="K67" i="25"/>
  <c r="L67" i="25"/>
  <c r="M67" i="25"/>
  <c r="N67" i="25"/>
  <c r="N69" i="25" s="1"/>
  <c r="O67" i="25"/>
  <c r="P67" i="25"/>
  <c r="P69" i="25" s="1"/>
  <c r="Q67" i="25"/>
  <c r="F64" i="25"/>
  <c r="F66" i="25" s="1"/>
  <c r="G64" i="25"/>
  <c r="G66" i="25" s="1"/>
  <c r="H64" i="25"/>
  <c r="H66" i="25" s="1"/>
  <c r="I64" i="25"/>
  <c r="J64" i="25"/>
  <c r="K64" i="25"/>
  <c r="L64" i="25"/>
  <c r="L66" i="25" s="1"/>
  <c r="M64" i="25"/>
  <c r="M66" i="25" s="1"/>
  <c r="N64" i="25"/>
  <c r="N66" i="25" s="1"/>
  <c r="O64" i="25"/>
  <c r="P64" i="25"/>
  <c r="P66" i="25" s="1"/>
  <c r="Q64" i="25"/>
  <c r="Q66" i="25" s="1"/>
  <c r="F61" i="25"/>
  <c r="G61" i="25"/>
  <c r="H61" i="25"/>
  <c r="I61" i="25"/>
  <c r="I63" i="25" s="1"/>
  <c r="J61" i="25"/>
  <c r="J63" i="25" s="1"/>
  <c r="K61" i="25"/>
  <c r="K63" i="25" s="1"/>
  <c r="L61" i="25"/>
  <c r="M61" i="25"/>
  <c r="N61" i="25"/>
  <c r="N63" i="25" s="1"/>
  <c r="O61" i="25"/>
  <c r="P61" i="25"/>
  <c r="P63" i="25" s="1"/>
  <c r="Q61" i="25"/>
  <c r="F58" i="25"/>
  <c r="F60" i="25" s="1"/>
  <c r="G58" i="25"/>
  <c r="G60" i="25" s="1"/>
  <c r="H58" i="25"/>
  <c r="H60" i="25" s="1"/>
  <c r="I58" i="25"/>
  <c r="I60" i="25" s="1"/>
  <c r="J58" i="25"/>
  <c r="K58" i="25"/>
  <c r="L58" i="25"/>
  <c r="L60" i="25" s="1"/>
  <c r="M58" i="25"/>
  <c r="M60" i="25" s="1"/>
  <c r="N58" i="25"/>
  <c r="N60" i="25" s="1"/>
  <c r="O58" i="25"/>
  <c r="P58" i="25"/>
  <c r="P60" i="25" s="1"/>
  <c r="Q58" i="25"/>
  <c r="Q60" i="25" s="1"/>
  <c r="F55" i="25"/>
  <c r="F57" i="25" s="1"/>
  <c r="G55" i="25"/>
  <c r="H55" i="25"/>
  <c r="H57" i="25" s="1"/>
  <c r="I55" i="25"/>
  <c r="J55" i="25"/>
  <c r="J57" i="25" s="1"/>
  <c r="K55" i="25"/>
  <c r="L55" i="25"/>
  <c r="M55" i="25"/>
  <c r="N55" i="25"/>
  <c r="N57" i="25" s="1"/>
  <c r="O55" i="25"/>
  <c r="P55" i="25"/>
  <c r="P57" i="25" s="1"/>
  <c r="Q55" i="25"/>
  <c r="F52" i="25"/>
  <c r="F54" i="25" s="1"/>
  <c r="G52" i="25"/>
  <c r="G54" i="25" s="1"/>
  <c r="H52" i="25"/>
  <c r="H54" i="25" s="1"/>
  <c r="I52" i="25"/>
  <c r="I54" i="25" s="1"/>
  <c r="J52" i="25"/>
  <c r="J54" i="25" s="1"/>
  <c r="K52" i="25"/>
  <c r="L52" i="25"/>
  <c r="L54" i="25" s="1"/>
  <c r="M52" i="25"/>
  <c r="N52" i="25"/>
  <c r="N54" i="25" s="1"/>
  <c r="O52" i="25"/>
  <c r="P52" i="25"/>
  <c r="P54" i="25" s="1"/>
  <c r="Q52" i="25"/>
  <c r="Q54" i="25" s="1"/>
  <c r="F49" i="25"/>
  <c r="F51" i="25" s="1"/>
  <c r="G49" i="25"/>
  <c r="H49" i="25"/>
  <c r="I49" i="25"/>
  <c r="J49" i="25"/>
  <c r="J51" i="25" s="1"/>
  <c r="K49" i="25"/>
  <c r="L49" i="25"/>
  <c r="M49" i="25"/>
  <c r="N49" i="25"/>
  <c r="N51" i="25" s="1"/>
  <c r="O49" i="25"/>
  <c r="P49" i="25"/>
  <c r="P51" i="25" s="1"/>
  <c r="Q49" i="25"/>
  <c r="F46" i="25"/>
  <c r="F48" i="25" s="1"/>
  <c r="G46" i="25"/>
  <c r="G48" i="25" s="1"/>
  <c r="H46" i="25"/>
  <c r="H48" i="25" s="1"/>
  <c r="I46" i="25"/>
  <c r="I48" i="25" s="1"/>
  <c r="J46" i="25"/>
  <c r="J48" i="25" s="1"/>
  <c r="K46" i="25"/>
  <c r="L46" i="25"/>
  <c r="L48" i="25" s="1"/>
  <c r="M46" i="25"/>
  <c r="M48" i="25" s="1"/>
  <c r="N46" i="25"/>
  <c r="N48" i="25" s="1"/>
  <c r="O46" i="25"/>
  <c r="P46" i="25"/>
  <c r="P48" i="25" s="1"/>
  <c r="Q46" i="25"/>
  <c r="Q48" i="25" s="1"/>
  <c r="F43" i="25"/>
  <c r="F45" i="25" s="1"/>
  <c r="G43" i="25"/>
  <c r="H43" i="25"/>
  <c r="I43" i="25"/>
  <c r="I45" i="25" s="1"/>
  <c r="J43" i="25"/>
  <c r="J45" i="25" s="1"/>
  <c r="K43" i="25"/>
  <c r="K45" i="25" s="1"/>
  <c r="L43" i="25"/>
  <c r="L45" i="25" s="1"/>
  <c r="M43" i="25"/>
  <c r="N43" i="25"/>
  <c r="N45" i="25" s="1"/>
  <c r="O43" i="25"/>
  <c r="P43" i="25"/>
  <c r="P45" i="25" s="1"/>
  <c r="Q43" i="25"/>
  <c r="F40" i="25"/>
  <c r="G40" i="25"/>
  <c r="G42" i="25" s="1"/>
  <c r="H40" i="25"/>
  <c r="H42" i="25" s="1"/>
  <c r="I40" i="25"/>
  <c r="J40" i="25"/>
  <c r="J42" i="25" s="1"/>
  <c r="K40" i="25"/>
  <c r="L40" i="25"/>
  <c r="M40" i="25"/>
  <c r="M42" i="25" s="1"/>
  <c r="N40" i="25"/>
  <c r="N42" i="25" s="1"/>
  <c r="O40" i="25"/>
  <c r="P40" i="25"/>
  <c r="P42" i="25" s="1"/>
  <c r="Q40" i="25"/>
  <c r="Q42" i="25" s="1"/>
  <c r="F37" i="25"/>
  <c r="F39" i="25" s="1"/>
  <c r="G37" i="25"/>
  <c r="H37" i="25"/>
  <c r="I37" i="25"/>
  <c r="J37" i="25"/>
  <c r="K37" i="25"/>
  <c r="L37" i="25"/>
  <c r="L39" i="25" s="1"/>
  <c r="M37" i="25"/>
  <c r="N37" i="25"/>
  <c r="N39" i="25" s="1"/>
  <c r="O37" i="25"/>
  <c r="P37" i="25"/>
  <c r="P39" i="25" s="1"/>
  <c r="Q37" i="25"/>
  <c r="F34" i="25"/>
  <c r="G34" i="25"/>
  <c r="G36" i="25" s="1"/>
  <c r="H34" i="25"/>
  <c r="H36" i="25" s="1"/>
  <c r="I34" i="25"/>
  <c r="I36" i="25" s="1"/>
  <c r="J34" i="25"/>
  <c r="K34" i="25"/>
  <c r="L34" i="25"/>
  <c r="L36" i="25" s="1"/>
  <c r="M34" i="25"/>
  <c r="M36" i="25" s="1"/>
  <c r="N34" i="25"/>
  <c r="N36" i="25" s="1"/>
  <c r="O34" i="25"/>
  <c r="P34" i="25"/>
  <c r="P36" i="25" s="1"/>
  <c r="Q34" i="25"/>
  <c r="Q36" i="25" s="1"/>
  <c r="F31" i="25"/>
  <c r="F33" i="25" s="1"/>
  <c r="G31" i="25"/>
  <c r="H31" i="25"/>
  <c r="H33" i="25" s="1"/>
  <c r="I31" i="25"/>
  <c r="J31" i="25"/>
  <c r="J33" i="25" s="1"/>
  <c r="K31" i="25"/>
  <c r="L31" i="25"/>
  <c r="L33" i="25" s="1"/>
  <c r="M31" i="25"/>
  <c r="N31" i="25"/>
  <c r="N33" i="25" s="1"/>
  <c r="O31" i="25"/>
  <c r="P31" i="25"/>
  <c r="P33" i="25" s="1"/>
  <c r="Q31" i="25"/>
  <c r="F28" i="25"/>
  <c r="F30" i="25" s="1"/>
  <c r="G28" i="25"/>
  <c r="G30" i="25" s="1"/>
  <c r="H28" i="25"/>
  <c r="H30" i="25" s="1"/>
  <c r="I28" i="25"/>
  <c r="I30" i="25" s="1"/>
  <c r="J28" i="25"/>
  <c r="J30" i="25" s="1"/>
  <c r="K28" i="25"/>
  <c r="L28" i="25"/>
  <c r="L30" i="25" s="1"/>
  <c r="M28" i="25"/>
  <c r="M30" i="25" s="1"/>
  <c r="N28" i="25"/>
  <c r="N30" i="25" s="1"/>
  <c r="O28" i="25"/>
  <c r="P28" i="25"/>
  <c r="P30" i="25" s="1"/>
  <c r="Q28" i="25"/>
  <c r="Q30" i="25" s="1"/>
  <c r="F25" i="25"/>
  <c r="F27" i="25" s="1"/>
  <c r="G25" i="25"/>
  <c r="H25" i="25"/>
  <c r="H27" i="25" s="1"/>
  <c r="I25" i="25"/>
  <c r="J25" i="25"/>
  <c r="K25" i="25"/>
  <c r="K27" i="25" s="1"/>
  <c r="L25" i="25"/>
  <c r="M25" i="25"/>
  <c r="N25" i="25"/>
  <c r="N27" i="25" s="1"/>
  <c r="O25" i="25"/>
  <c r="P25" i="25"/>
  <c r="P27" i="25" s="1"/>
  <c r="Q25" i="25"/>
  <c r="F22" i="25"/>
  <c r="G22" i="25"/>
  <c r="G24" i="25" s="1"/>
  <c r="H22" i="25"/>
  <c r="H24" i="25" s="1"/>
  <c r="I22" i="25"/>
  <c r="J22" i="25"/>
  <c r="J24" i="25" s="1"/>
  <c r="K22" i="25"/>
  <c r="L22" i="25"/>
  <c r="L24" i="25" s="1"/>
  <c r="M22" i="25"/>
  <c r="M24" i="25" s="1"/>
  <c r="N22" i="25"/>
  <c r="N24" i="25" s="1"/>
  <c r="O22" i="25"/>
  <c r="P22" i="25"/>
  <c r="P24" i="25" s="1"/>
  <c r="Q22" i="25"/>
  <c r="Q24" i="25" s="1"/>
  <c r="F19" i="25"/>
  <c r="F21" i="25" s="1"/>
  <c r="G19" i="25"/>
  <c r="H19" i="25"/>
  <c r="I19" i="25"/>
  <c r="J19" i="25"/>
  <c r="J21" i="25" s="1"/>
  <c r="K19" i="25"/>
  <c r="L19" i="25"/>
  <c r="M19" i="25"/>
  <c r="N19" i="25"/>
  <c r="N21" i="25" s="1"/>
  <c r="O19" i="25"/>
  <c r="P19" i="25"/>
  <c r="P21" i="25" s="1"/>
  <c r="Q19" i="25"/>
  <c r="F16" i="25"/>
  <c r="G16" i="25"/>
  <c r="H16" i="25"/>
  <c r="H18" i="25" s="1"/>
  <c r="I16" i="25"/>
  <c r="I18" i="25" s="1"/>
  <c r="J16" i="25"/>
  <c r="J18" i="25" s="1"/>
  <c r="K16" i="25"/>
  <c r="L16" i="25"/>
  <c r="M16" i="25"/>
  <c r="M18" i="25" s="1"/>
  <c r="N16" i="25"/>
  <c r="N18" i="25" s="1"/>
  <c r="O16" i="25"/>
  <c r="P16" i="25"/>
  <c r="P18" i="25" s="1"/>
  <c r="Q16" i="25"/>
  <c r="Q18" i="25" s="1"/>
  <c r="F13" i="25"/>
  <c r="F15" i="25" s="1"/>
  <c r="G13" i="25"/>
  <c r="H13" i="25"/>
  <c r="I13" i="25"/>
  <c r="I15" i="25" s="1"/>
  <c r="J13" i="25"/>
  <c r="J15" i="25" s="1"/>
  <c r="K13" i="25"/>
  <c r="L13" i="25"/>
  <c r="L15" i="25" s="1"/>
  <c r="M13" i="25"/>
  <c r="N13" i="25"/>
  <c r="N15" i="25" s="1"/>
  <c r="O13" i="25"/>
  <c r="P13" i="25"/>
  <c r="P15" i="25" s="1"/>
  <c r="Q13" i="25"/>
  <c r="F10" i="25"/>
  <c r="G10" i="25"/>
  <c r="H10" i="25"/>
  <c r="H12" i="25" s="1"/>
  <c r="I10" i="25"/>
  <c r="I12" i="25" s="1"/>
  <c r="J10" i="25"/>
  <c r="J12" i="25" s="1"/>
  <c r="K10" i="25"/>
  <c r="L10" i="25"/>
  <c r="L12" i="25" s="1"/>
  <c r="M10" i="25"/>
  <c r="M12" i="25" s="1"/>
  <c r="N10" i="25"/>
  <c r="N12" i="25" s="1"/>
  <c r="O10" i="25"/>
  <c r="P10" i="25"/>
  <c r="P12" i="25" s="1"/>
  <c r="Q10" i="25"/>
  <c r="Q12" i="25" s="1"/>
  <c r="F7" i="25"/>
  <c r="F9" i="25" s="1"/>
  <c r="G7" i="25"/>
  <c r="H7" i="25"/>
  <c r="I7" i="25"/>
  <c r="J7" i="25"/>
  <c r="J9" i="25" s="1"/>
  <c r="K7" i="25"/>
  <c r="L7" i="25"/>
  <c r="M7" i="25"/>
  <c r="N7" i="25"/>
  <c r="N9" i="25" s="1"/>
  <c r="O7" i="25"/>
  <c r="P7" i="25"/>
  <c r="P9" i="25" s="1"/>
  <c r="Q7" i="25"/>
  <c r="F4" i="25"/>
  <c r="G4" i="25"/>
  <c r="G6" i="25" s="1"/>
  <c r="H4" i="25"/>
  <c r="H6" i="25" s="1"/>
  <c r="I4" i="25"/>
  <c r="I6" i="25" s="1"/>
  <c r="J4" i="25"/>
  <c r="K4" i="25"/>
  <c r="L4" i="25"/>
  <c r="L6" i="25" s="1"/>
  <c r="M4" i="25"/>
  <c r="M6" i="25" s="1"/>
  <c r="N4" i="25"/>
  <c r="N6" i="25" s="1"/>
  <c r="O4" i="25"/>
  <c r="P4" i="25"/>
  <c r="P6" i="25" s="1"/>
  <c r="Q4" i="25"/>
  <c r="Q6" i="25" s="1"/>
  <c r="F172" i="15"/>
  <c r="G172" i="15"/>
  <c r="H172" i="15"/>
  <c r="I172" i="15"/>
  <c r="J172" i="15"/>
  <c r="K172" i="15"/>
  <c r="L172" i="15"/>
  <c r="M172" i="15"/>
  <c r="N172" i="15"/>
  <c r="O172" i="15"/>
  <c r="P172" i="15"/>
  <c r="Q172" i="15"/>
  <c r="R172" i="15"/>
  <c r="S172" i="15"/>
  <c r="T172" i="15"/>
  <c r="U172" i="15"/>
  <c r="V172" i="15"/>
  <c r="W172" i="15"/>
  <c r="F169" i="15"/>
  <c r="G169" i="15"/>
  <c r="H169" i="15"/>
  <c r="I169" i="15"/>
  <c r="J169" i="15"/>
  <c r="K169" i="15"/>
  <c r="L169" i="15"/>
  <c r="M169" i="15"/>
  <c r="N169" i="15"/>
  <c r="O169" i="15"/>
  <c r="P169" i="15"/>
  <c r="Q169" i="15"/>
  <c r="R169" i="15"/>
  <c r="S169" i="15"/>
  <c r="T169" i="15"/>
  <c r="U169" i="15"/>
  <c r="V169" i="15"/>
  <c r="W169" i="15"/>
  <c r="F166" i="15"/>
  <c r="G166" i="15"/>
  <c r="H166" i="15"/>
  <c r="I166" i="15"/>
  <c r="J166" i="15"/>
  <c r="K166" i="15"/>
  <c r="L166" i="15"/>
  <c r="M166" i="15"/>
  <c r="N166" i="15"/>
  <c r="O166" i="15"/>
  <c r="P166" i="15"/>
  <c r="Q166" i="15"/>
  <c r="R166" i="15"/>
  <c r="S166" i="15"/>
  <c r="T166" i="15"/>
  <c r="U166" i="15"/>
  <c r="V166" i="15"/>
  <c r="W166" i="15"/>
  <c r="F163" i="15"/>
  <c r="G163" i="15"/>
  <c r="H163" i="15"/>
  <c r="I163" i="15"/>
  <c r="J163" i="15"/>
  <c r="K163" i="15"/>
  <c r="L163" i="15"/>
  <c r="M163" i="15"/>
  <c r="N163" i="15"/>
  <c r="O163" i="15"/>
  <c r="P163" i="15"/>
  <c r="Q163" i="15"/>
  <c r="R163" i="15"/>
  <c r="S163" i="15"/>
  <c r="T163" i="15"/>
  <c r="U163" i="15"/>
  <c r="V163" i="15"/>
  <c r="W163" i="15"/>
  <c r="F160" i="15"/>
  <c r="G160" i="15"/>
  <c r="H160" i="15"/>
  <c r="I160" i="15"/>
  <c r="J160" i="15"/>
  <c r="K160" i="15"/>
  <c r="L160" i="15"/>
  <c r="M160" i="15"/>
  <c r="N160" i="15"/>
  <c r="O160" i="15"/>
  <c r="P160" i="15"/>
  <c r="Q160" i="15"/>
  <c r="R160" i="15"/>
  <c r="S160" i="15"/>
  <c r="T160" i="15"/>
  <c r="U160" i="15"/>
  <c r="V160" i="15"/>
  <c r="W160" i="15"/>
  <c r="F157" i="15"/>
  <c r="G157" i="15"/>
  <c r="H157" i="15"/>
  <c r="I157" i="15"/>
  <c r="J157" i="15"/>
  <c r="K157" i="15"/>
  <c r="L157" i="15"/>
  <c r="M157" i="15"/>
  <c r="N157" i="15"/>
  <c r="O157" i="15"/>
  <c r="P157" i="15"/>
  <c r="Q157" i="15"/>
  <c r="R157" i="15"/>
  <c r="S157" i="15"/>
  <c r="T157" i="15"/>
  <c r="U157" i="15"/>
  <c r="V157" i="15"/>
  <c r="W157" i="15"/>
  <c r="K11" i="74" l="1"/>
  <c r="H11" i="74"/>
  <c r="K8" i="74"/>
  <c r="M11" i="82"/>
  <c r="M35" i="82"/>
  <c r="M59" i="82"/>
  <c r="M83" i="82"/>
  <c r="M23" i="82"/>
  <c r="M47" i="82"/>
  <c r="M71" i="82"/>
  <c r="M95" i="82"/>
  <c r="M8" i="82"/>
  <c r="M32" i="82"/>
  <c r="M56" i="82"/>
  <c r="M80" i="82"/>
  <c r="M14" i="82"/>
  <c r="M38" i="82"/>
  <c r="M62" i="82"/>
  <c r="M86" i="82"/>
  <c r="H95" i="82"/>
  <c r="L95" i="82"/>
  <c r="G95" i="82"/>
  <c r="J92" i="82"/>
  <c r="J83" i="82"/>
  <c r="J53" i="82"/>
  <c r="J41" i="82"/>
  <c r="J35" i="82"/>
  <c r="J11" i="82"/>
  <c r="K98" i="82"/>
  <c r="K92" i="82"/>
  <c r="K71" i="82"/>
  <c r="K68" i="82"/>
  <c r="K59" i="82"/>
  <c r="K53" i="82"/>
  <c r="K38" i="82"/>
  <c r="K35" i="82"/>
  <c r="K29" i="82"/>
  <c r="K26" i="82"/>
  <c r="K20" i="82"/>
  <c r="K11" i="82"/>
  <c r="I86" i="82"/>
  <c r="I83" i="82"/>
  <c r="I74" i="82"/>
  <c r="I65" i="82"/>
  <c r="I53" i="82"/>
  <c r="I50" i="82"/>
  <c r="I26" i="82"/>
  <c r="I20" i="82"/>
  <c r="H98" i="82"/>
  <c r="H89" i="82"/>
  <c r="H65" i="82"/>
  <c r="H56" i="82"/>
  <c r="H44" i="82"/>
  <c r="H35" i="82"/>
  <c r="H17" i="82"/>
  <c r="H11" i="82"/>
  <c r="H8" i="82"/>
  <c r="G86" i="82"/>
  <c r="G80" i="82"/>
  <c r="G74" i="82"/>
  <c r="G59" i="82"/>
  <c r="G56" i="82"/>
  <c r="G41" i="82"/>
  <c r="G32" i="82"/>
  <c r="G23" i="82"/>
  <c r="G17" i="82"/>
  <c r="G11" i="82"/>
  <c r="G8" i="82"/>
  <c r="F89" i="82"/>
  <c r="F74" i="82"/>
  <c r="F71" i="82"/>
  <c r="F65" i="82"/>
  <c r="F56" i="82"/>
  <c r="F47" i="82"/>
  <c r="F41" i="82"/>
  <c r="F32" i="82"/>
  <c r="F23" i="82"/>
  <c r="F17" i="82"/>
  <c r="N14" i="78"/>
  <c r="N20" i="78"/>
  <c r="N26" i="78"/>
  <c r="N32" i="78"/>
  <c r="N38" i="78"/>
  <c r="N44" i="78"/>
  <c r="N50" i="78"/>
  <c r="N56" i="78"/>
  <c r="N62" i="78"/>
  <c r="N68" i="78"/>
  <c r="N74" i="78"/>
  <c r="N80" i="78"/>
  <c r="N86" i="78"/>
  <c r="N92" i="78"/>
  <c r="N8" i="78"/>
  <c r="M89" i="78"/>
  <c r="L86" i="78"/>
  <c r="L80" i="78"/>
  <c r="L50" i="78"/>
  <c r="L38" i="78"/>
  <c r="L26" i="78"/>
  <c r="L20" i="78"/>
  <c r="L8" i="78"/>
  <c r="K71" i="78"/>
  <c r="K65" i="78"/>
  <c r="K32" i="78"/>
  <c r="K14" i="78"/>
  <c r="J92" i="78"/>
  <c r="J77" i="78"/>
  <c r="J71" i="78"/>
  <c r="J65" i="78"/>
  <c r="J59" i="78"/>
  <c r="J53" i="78"/>
  <c r="J35" i="78"/>
  <c r="J29" i="78"/>
  <c r="J23" i="78"/>
  <c r="J17" i="78"/>
  <c r="I11" i="78"/>
  <c r="H92" i="78"/>
  <c r="H89" i="78"/>
  <c r="H83" i="78"/>
  <c r="H71" i="78"/>
  <c r="H59" i="78"/>
  <c r="H35" i="78"/>
  <c r="H17" i="78"/>
  <c r="H11" i="78"/>
  <c r="G65" i="78"/>
  <c r="G47" i="78"/>
  <c r="G35" i="78"/>
  <c r="G23" i="78"/>
  <c r="G11" i="78"/>
  <c r="F89" i="78"/>
  <c r="F83" i="78"/>
  <c r="F77" i="78"/>
  <c r="F71" i="78"/>
  <c r="F65" i="78"/>
  <c r="F59" i="78"/>
  <c r="F53" i="78"/>
  <c r="F47" i="78"/>
  <c r="F41" i="78"/>
  <c r="F35" i="78"/>
  <c r="F29" i="78"/>
  <c r="F23" i="78"/>
  <c r="F11" i="78"/>
  <c r="L92" i="74"/>
  <c r="K92" i="74"/>
  <c r="J68" i="74"/>
  <c r="G89" i="74"/>
  <c r="Q92" i="74"/>
  <c r="K12" i="25"/>
  <c r="K30" i="25"/>
  <c r="K60" i="25"/>
  <c r="K84" i="25"/>
  <c r="K96" i="25"/>
  <c r="K114" i="25"/>
  <c r="K144" i="25"/>
  <c r="J102" i="25"/>
  <c r="N105" i="25"/>
  <c r="F105" i="25"/>
  <c r="J108" i="25"/>
  <c r="N111" i="25"/>
  <c r="J114" i="25"/>
  <c r="N117" i="25"/>
  <c r="F117" i="25"/>
  <c r="J120" i="25"/>
  <c r="N123" i="25"/>
  <c r="J126" i="25"/>
  <c r="N129" i="25"/>
  <c r="J132" i="25"/>
  <c r="N135" i="25"/>
  <c r="J138" i="25"/>
  <c r="N141" i="25"/>
  <c r="J144" i="25"/>
  <c r="N147" i="25"/>
  <c r="J150" i="25"/>
  <c r="J162" i="25"/>
  <c r="F165" i="25"/>
  <c r="F6" i="25"/>
  <c r="J39" i="25"/>
  <c r="F42" i="25"/>
  <c r="J87" i="25"/>
  <c r="K18" i="25"/>
  <c r="K36" i="25"/>
  <c r="K54" i="25"/>
  <c r="G63" i="25"/>
  <c r="K72" i="25"/>
  <c r="K102" i="25"/>
  <c r="K108" i="25"/>
  <c r="K138" i="25"/>
  <c r="K87" i="25"/>
  <c r="G9" i="25"/>
  <c r="K24" i="25"/>
  <c r="K48" i="25"/>
  <c r="K66" i="25"/>
  <c r="K78" i="25"/>
  <c r="K90" i="25"/>
  <c r="G99" i="25"/>
  <c r="K126" i="25"/>
  <c r="K132" i="25"/>
  <c r="K168" i="25"/>
  <c r="L42" i="25"/>
  <c r="I6" i="87"/>
  <c r="L9" i="87"/>
  <c r="O12" i="87"/>
  <c r="G12" i="87"/>
  <c r="M18" i="87"/>
  <c r="P21" i="87"/>
  <c r="H21" i="87"/>
  <c r="K24" i="87"/>
  <c r="F27" i="87"/>
  <c r="I30" i="87"/>
  <c r="L33" i="87"/>
  <c r="O36" i="87"/>
  <c r="G36" i="87"/>
  <c r="P45" i="87"/>
  <c r="O60" i="87"/>
  <c r="P69" i="87"/>
  <c r="O84" i="87"/>
  <c r="F87" i="25"/>
  <c r="F24" i="87"/>
  <c r="L87" i="25"/>
  <c r="F9" i="87"/>
  <c r="M89" i="74"/>
  <c r="I92" i="74"/>
  <c r="M42" i="87"/>
  <c r="F51" i="87"/>
  <c r="I54" i="87"/>
  <c r="L57" i="87"/>
  <c r="J63" i="87"/>
  <c r="M66" i="87"/>
  <c r="H69" i="87"/>
  <c r="K72" i="87"/>
  <c r="F75" i="87"/>
  <c r="I78" i="87"/>
  <c r="L81" i="87"/>
  <c r="G84" i="87"/>
  <c r="J87" i="87"/>
  <c r="M90" i="87"/>
  <c r="H93" i="87"/>
  <c r="K96" i="87"/>
  <c r="I102" i="87"/>
  <c r="L105" i="87"/>
  <c r="G108" i="87"/>
  <c r="J111" i="87"/>
  <c r="M114" i="87"/>
  <c r="H117" i="87"/>
  <c r="K120" i="87"/>
  <c r="I126" i="87"/>
  <c r="L129" i="87"/>
  <c r="G132" i="87"/>
  <c r="J135" i="87"/>
  <c r="M138" i="87"/>
  <c r="H141" i="87"/>
  <c r="F147" i="87"/>
  <c r="L153" i="87"/>
  <c r="G156" i="87"/>
  <c r="J159" i="87"/>
  <c r="M162" i="87"/>
  <c r="F102" i="87"/>
  <c r="J89" i="74"/>
  <c r="N92" i="74"/>
  <c r="F92" i="74"/>
  <c r="M8" i="78"/>
  <c r="M14" i="78"/>
  <c r="I17" i="78"/>
  <c r="M20" i="78"/>
  <c r="I23" i="78"/>
  <c r="M26" i="78"/>
  <c r="I29" i="78"/>
  <c r="M32" i="78"/>
  <c r="I35" i="78"/>
  <c r="M38" i="78"/>
  <c r="I41" i="78"/>
  <c r="M44" i="78"/>
  <c r="I47" i="78"/>
  <c r="M50" i="78"/>
  <c r="I53" i="78"/>
  <c r="M56" i="78"/>
  <c r="I59" i="78"/>
  <c r="M62" i="78"/>
  <c r="I65" i="78"/>
  <c r="M68" i="78"/>
  <c r="I71" i="78"/>
  <c r="M74" i="78"/>
  <c r="I77" i="78"/>
  <c r="M80" i="78"/>
  <c r="I83" i="78"/>
  <c r="M86" i="78"/>
  <c r="I89" i="78"/>
  <c r="M92" i="78"/>
  <c r="I107" i="78"/>
  <c r="M110" i="78"/>
  <c r="Q113" i="78"/>
  <c r="I131" i="78"/>
  <c r="M134" i="78"/>
  <c r="Q137" i="78"/>
  <c r="I155" i="78"/>
  <c r="M158" i="78"/>
  <c r="Q161" i="78"/>
  <c r="I31" i="49"/>
  <c r="O87" i="25" s="1"/>
  <c r="I46" i="49"/>
  <c r="O132" i="25" s="1"/>
  <c r="I28" i="49"/>
  <c r="O78" i="25" s="1"/>
  <c r="I16" i="49"/>
  <c r="I5" i="49"/>
  <c r="O9" i="25" s="1"/>
  <c r="I26" i="49"/>
  <c r="O72" i="25" s="1"/>
  <c r="I39" i="49"/>
  <c r="O111" i="25" s="1"/>
  <c r="I20" i="49"/>
  <c r="O54" i="25" s="1"/>
  <c r="I44" i="49"/>
  <c r="O126" i="25" s="1"/>
  <c r="I48" i="49"/>
  <c r="O138" i="25" s="1"/>
  <c r="I13" i="49"/>
  <c r="O33" i="25" s="1"/>
  <c r="I34" i="49"/>
  <c r="O96" i="25" s="1"/>
  <c r="I47" i="49"/>
  <c r="O135" i="25" s="1"/>
  <c r="I9" i="49"/>
  <c r="O21" i="25" s="1"/>
  <c r="I32" i="49"/>
  <c r="O90" i="25" s="1"/>
  <c r="I11" i="49"/>
  <c r="O27" i="25" s="1"/>
  <c r="I21" i="49"/>
  <c r="O57" i="25" s="1"/>
  <c r="I42" i="49"/>
  <c r="O120" i="25" s="1"/>
  <c r="I6" i="49"/>
  <c r="O12" i="25" s="1"/>
  <c r="I17" i="49"/>
  <c r="O45" i="25" s="1"/>
  <c r="I19" i="49"/>
  <c r="O51" i="25" s="1"/>
  <c r="I27" i="49"/>
  <c r="O75" i="25" s="1"/>
  <c r="I29" i="49"/>
  <c r="O81" i="25" s="1"/>
  <c r="I50" i="49"/>
  <c r="O144" i="25" s="1"/>
  <c r="I14" i="49"/>
  <c r="O36" i="25" s="1"/>
  <c r="I25" i="49"/>
  <c r="O69" i="25" s="1"/>
  <c r="I43" i="49"/>
  <c r="O123" i="25" s="1"/>
  <c r="I35" i="49"/>
  <c r="O99" i="25" s="1"/>
  <c r="I37" i="49"/>
  <c r="O105" i="25" s="1"/>
  <c r="I7" i="49"/>
  <c r="O15" i="25" s="1"/>
  <c r="I22" i="49"/>
  <c r="O60" i="25" s="1"/>
  <c r="I33" i="49"/>
  <c r="O93" i="25" s="1"/>
  <c r="I12" i="49"/>
  <c r="O30" i="25" s="1"/>
  <c r="I51" i="49"/>
  <c r="O147" i="25" s="1"/>
  <c r="I4" i="49"/>
  <c r="O6" i="25" s="1"/>
  <c r="I15" i="49"/>
  <c r="O39" i="25" s="1"/>
  <c r="I30" i="49"/>
  <c r="O84" i="25" s="1"/>
  <c r="I41" i="49"/>
  <c r="O117" i="25" s="1"/>
  <c r="I52" i="49"/>
  <c r="O150" i="25" s="1"/>
  <c r="I36" i="49"/>
  <c r="O102" i="25" s="1"/>
  <c r="I8" i="49"/>
  <c r="O18" i="25" s="1"/>
  <c r="I10" i="49"/>
  <c r="O24" i="25" s="1"/>
  <c r="I23" i="49"/>
  <c r="O63" i="25" s="1"/>
  <c r="I38" i="49"/>
  <c r="O108" i="25" s="1"/>
  <c r="I49" i="49"/>
  <c r="O141" i="25" s="1"/>
  <c r="I40" i="49"/>
  <c r="O114" i="25" s="1"/>
  <c r="I24" i="49"/>
  <c r="O66" i="25" s="1"/>
  <c r="M54" i="25"/>
  <c r="M15" i="25"/>
  <c r="M27" i="25"/>
  <c r="M33" i="25"/>
  <c r="M39" i="25"/>
  <c r="M45" i="25"/>
  <c r="M51" i="25"/>
  <c r="M57" i="25"/>
  <c r="M63" i="25"/>
  <c r="M69" i="25"/>
  <c r="M75" i="25"/>
  <c r="M81" i="25"/>
  <c r="M87" i="25"/>
  <c r="M93" i="25"/>
  <c r="M99" i="25"/>
  <c r="M105" i="25"/>
  <c r="M111" i="25"/>
  <c r="M117" i="25"/>
  <c r="M123" i="25"/>
  <c r="M129" i="25"/>
  <c r="M135" i="25"/>
  <c r="M141" i="25"/>
  <c r="M147" i="25"/>
  <c r="M9" i="25"/>
  <c r="M21" i="25"/>
  <c r="L147" i="25"/>
  <c r="L129" i="25"/>
  <c r="L120" i="25"/>
  <c r="L111" i="25"/>
  <c r="L105" i="25"/>
  <c r="L99" i="25"/>
  <c r="L81" i="25"/>
  <c r="L75" i="25"/>
  <c r="L69" i="25"/>
  <c r="L63" i="25"/>
  <c r="L57" i="25"/>
  <c r="L51" i="25"/>
  <c r="L27" i="25"/>
  <c r="L21" i="25"/>
  <c r="L18" i="25"/>
  <c r="L9" i="25"/>
  <c r="K150" i="25"/>
  <c r="K147" i="25"/>
  <c r="K141" i="25"/>
  <c r="K135" i="25"/>
  <c r="K129" i="25"/>
  <c r="K123" i="25"/>
  <c r="K120" i="25"/>
  <c r="K117" i="25"/>
  <c r="K105" i="25"/>
  <c r="K93" i="25"/>
  <c r="K81" i="25"/>
  <c r="K75" i="25"/>
  <c r="K69" i="25"/>
  <c r="K57" i="25"/>
  <c r="K51" i="25"/>
  <c r="K39" i="25"/>
  <c r="K33" i="25"/>
  <c r="K21" i="25"/>
  <c r="K15" i="25"/>
  <c r="K9" i="25"/>
  <c r="K6" i="25"/>
  <c r="J141" i="25"/>
  <c r="J135" i="25"/>
  <c r="J129" i="25"/>
  <c r="J123" i="25"/>
  <c r="J117" i="25"/>
  <c r="J93" i="25"/>
  <c r="J81" i="25"/>
  <c r="J75" i="25"/>
  <c r="J72" i="25"/>
  <c r="J69" i="25"/>
  <c r="J66" i="25"/>
  <c r="J60" i="25"/>
  <c r="J36" i="25"/>
  <c r="J27" i="25"/>
  <c r="J6" i="25"/>
  <c r="I135" i="25"/>
  <c r="I123" i="25"/>
  <c r="I105" i="25"/>
  <c r="I102" i="25"/>
  <c r="I96" i="25"/>
  <c r="I87" i="25"/>
  <c r="I66" i="25"/>
  <c r="I57" i="25"/>
  <c r="I51" i="25"/>
  <c r="I42" i="25"/>
  <c r="I39" i="25"/>
  <c r="I33" i="25"/>
  <c r="I27" i="25"/>
  <c r="I24" i="25"/>
  <c r="I21" i="25"/>
  <c r="I9" i="25"/>
  <c r="H147" i="25"/>
  <c r="H141" i="25"/>
  <c r="H135" i="25"/>
  <c r="H129" i="25"/>
  <c r="H105" i="25"/>
  <c r="H99" i="25"/>
  <c r="H93" i="25"/>
  <c r="H87" i="25"/>
  <c r="H81" i="25"/>
  <c r="H75" i="25"/>
  <c r="H69" i="25"/>
  <c r="H63" i="25"/>
  <c r="H51" i="25"/>
  <c r="H45" i="25"/>
  <c r="H39" i="25"/>
  <c r="H21" i="25"/>
  <c r="H15" i="25"/>
  <c r="H9" i="25"/>
  <c r="G147" i="25"/>
  <c r="G141" i="25"/>
  <c r="G135" i="25"/>
  <c r="G129" i="25"/>
  <c r="G123" i="25"/>
  <c r="G117" i="25"/>
  <c r="G114" i="25"/>
  <c r="G111" i="25"/>
  <c r="G105" i="25"/>
  <c r="G93" i="25"/>
  <c r="G81" i="25"/>
  <c r="G75" i="25"/>
  <c r="G69" i="25"/>
  <c r="G57" i="25"/>
  <c r="G51" i="25"/>
  <c r="G45" i="25"/>
  <c r="G39" i="25"/>
  <c r="G33" i="25"/>
  <c r="G27" i="25"/>
  <c r="G21" i="25"/>
  <c r="G18" i="25"/>
  <c r="G15" i="25"/>
  <c r="G12" i="25"/>
  <c r="F150" i="25"/>
  <c r="F147" i="25"/>
  <c r="F141" i="25"/>
  <c r="F135" i="25"/>
  <c r="F129" i="25"/>
  <c r="F123" i="25"/>
  <c r="F111" i="25"/>
  <c r="F99" i="25"/>
  <c r="F93" i="25"/>
  <c r="F81" i="25"/>
  <c r="F75" i="25"/>
  <c r="F63" i="25"/>
  <c r="F36" i="25"/>
  <c r="F24" i="25"/>
  <c r="F18" i="25"/>
  <c r="F12" i="25"/>
  <c r="K162" i="87"/>
  <c r="K159" i="87"/>
  <c r="K156" i="87"/>
  <c r="K144" i="87"/>
  <c r="K132" i="87"/>
  <c r="K126" i="87"/>
  <c r="K123" i="87"/>
  <c r="K108" i="87"/>
  <c r="K99" i="87"/>
  <c r="K84" i="87"/>
  <c r="K78" i="87"/>
  <c r="K75" i="87"/>
  <c r="K66" i="87"/>
  <c r="K60" i="87"/>
  <c r="K48" i="87"/>
  <c r="K27" i="87"/>
  <c r="K12" i="87"/>
  <c r="K6" i="87"/>
  <c r="J162" i="87"/>
  <c r="J147" i="87"/>
  <c r="J138" i="87"/>
  <c r="J123" i="87"/>
  <c r="J99" i="87"/>
  <c r="J93" i="87"/>
  <c r="J75" i="87"/>
  <c r="J51" i="87"/>
  <c r="J42" i="87"/>
  <c r="J39" i="87"/>
  <c r="J36" i="87"/>
  <c r="J27" i="87"/>
  <c r="J18" i="87"/>
  <c r="J15" i="87"/>
  <c r="I162" i="87"/>
  <c r="I153" i="87"/>
  <c r="I150" i="87"/>
  <c r="I147" i="87"/>
  <c r="I144" i="87"/>
  <c r="I138" i="87"/>
  <c r="I132" i="87"/>
  <c r="I120" i="87"/>
  <c r="I114" i="87"/>
  <c r="I99" i="87"/>
  <c r="I75" i="87"/>
  <c r="I60" i="87"/>
  <c r="I51" i="87"/>
  <c r="I45" i="87"/>
  <c r="I42" i="87"/>
  <c r="I27" i="87"/>
  <c r="I24" i="87"/>
  <c r="I18" i="87"/>
  <c r="I9" i="87"/>
  <c r="H159" i="87"/>
  <c r="H153" i="87"/>
  <c r="H144" i="87"/>
  <c r="H138" i="87"/>
  <c r="H135" i="87"/>
  <c r="H129" i="87"/>
  <c r="H120" i="87"/>
  <c r="H108" i="87"/>
  <c r="H105" i="87"/>
  <c r="H99" i="87"/>
  <c r="H87" i="87"/>
  <c r="H81" i="87"/>
  <c r="H78" i="87"/>
  <c r="H72" i="87"/>
  <c r="H57" i="87"/>
  <c r="H51" i="87"/>
  <c r="H45" i="87"/>
  <c r="H33" i="87"/>
  <c r="H24" i="87"/>
  <c r="H9" i="87"/>
  <c r="G147" i="87"/>
  <c r="G144" i="87"/>
  <c r="G135" i="87"/>
  <c r="G129" i="87"/>
  <c r="G120" i="87"/>
  <c r="G111" i="87"/>
  <c r="G96" i="87"/>
  <c r="G81" i="87"/>
  <c r="G78" i="87"/>
  <c r="G72" i="87"/>
  <c r="G63" i="87"/>
  <c r="G60" i="87"/>
  <c r="G57" i="87"/>
  <c r="G54" i="87"/>
  <c r="G48" i="87"/>
  <c r="G24" i="87"/>
  <c r="G15" i="87"/>
  <c r="F159" i="87"/>
  <c r="F150" i="87"/>
  <c r="F135" i="87"/>
  <c r="F123" i="87"/>
  <c r="F120" i="87"/>
  <c r="F117" i="87"/>
  <c r="F111" i="87"/>
  <c r="F96" i="87"/>
  <c r="F90" i="87"/>
  <c r="F81" i="87"/>
  <c r="F72" i="87"/>
  <c r="F63" i="87"/>
  <c r="F57" i="87"/>
  <c r="F54" i="87"/>
  <c r="F48" i="87"/>
  <c r="F18" i="87"/>
  <c r="F154" i="15"/>
  <c r="G154" i="15"/>
  <c r="H154" i="15"/>
  <c r="I154" i="15"/>
  <c r="J154" i="15"/>
  <c r="K154" i="15"/>
  <c r="L154" i="15"/>
  <c r="M154" i="15"/>
  <c r="N154" i="15"/>
  <c r="O154" i="15"/>
  <c r="P154" i="15"/>
  <c r="Q154" i="15"/>
  <c r="R154" i="15"/>
  <c r="S154" i="15"/>
  <c r="T154" i="15"/>
  <c r="U154" i="15"/>
  <c r="V154" i="15"/>
  <c r="W154" i="15"/>
  <c r="F151" i="15"/>
  <c r="G151" i="15"/>
  <c r="H151" i="15"/>
  <c r="I151" i="15"/>
  <c r="J151" i="15"/>
  <c r="K151" i="15"/>
  <c r="L151" i="15"/>
  <c r="M151" i="15"/>
  <c r="N151" i="15"/>
  <c r="O151" i="15"/>
  <c r="P151" i="15"/>
  <c r="Q151" i="15"/>
  <c r="R151" i="15"/>
  <c r="S151" i="15"/>
  <c r="T151" i="15"/>
  <c r="U151" i="15"/>
  <c r="V151" i="15"/>
  <c r="W151" i="15"/>
  <c r="F148" i="15"/>
  <c r="G148" i="15"/>
  <c r="H148" i="15"/>
  <c r="I148" i="15"/>
  <c r="J148" i="15"/>
  <c r="K148" i="15"/>
  <c r="L148" i="15"/>
  <c r="M148" i="15"/>
  <c r="N148" i="15"/>
  <c r="O148" i="15"/>
  <c r="P148" i="15"/>
  <c r="Q148" i="15"/>
  <c r="R148" i="15"/>
  <c r="S148" i="15"/>
  <c r="T148" i="15"/>
  <c r="U148" i="15"/>
  <c r="V148" i="15"/>
  <c r="W148" i="15"/>
  <c r="F145" i="15"/>
  <c r="G145" i="15"/>
  <c r="H145" i="15"/>
  <c r="I145" i="15"/>
  <c r="J145" i="15"/>
  <c r="K145" i="15"/>
  <c r="L145" i="15"/>
  <c r="M145" i="15"/>
  <c r="N145" i="15"/>
  <c r="O145" i="15"/>
  <c r="P145" i="15"/>
  <c r="Q145" i="15"/>
  <c r="R145" i="15"/>
  <c r="S145" i="15"/>
  <c r="T145" i="15"/>
  <c r="U145" i="15"/>
  <c r="V145" i="15"/>
  <c r="W145" i="15"/>
  <c r="F142" i="15"/>
  <c r="G142" i="15"/>
  <c r="H142" i="15"/>
  <c r="I142" i="15"/>
  <c r="J142" i="15"/>
  <c r="K142" i="15"/>
  <c r="L142" i="15"/>
  <c r="M142" i="15"/>
  <c r="N142" i="15"/>
  <c r="O142" i="15"/>
  <c r="P142" i="15"/>
  <c r="Q142" i="15"/>
  <c r="R142" i="15"/>
  <c r="S142" i="15"/>
  <c r="T142" i="15"/>
  <c r="U142" i="15"/>
  <c r="V142" i="15"/>
  <c r="W142" i="15"/>
  <c r="F139" i="15"/>
  <c r="G139" i="15"/>
  <c r="H139" i="15"/>
  <c r="I139" i="15"/>
  <c r="J139" i="15"/>
  <c r="K139" i="15"/>
  <c r="L139" i="15"/>
  <c r="M139" i="15"/>
  <c r="N139" i="15"/>
  <c r="O139" i="15"/>
  <c r="P139" i="15"/>
  <c r="Q139" i="15"/>
  <c r="R139" i="15"/>
  <c r="S139" i="15"/>
  <c r="T139" i="15"/>
  <c r="U139" i="15"/>
  <c r="V139" i="15"/>
  <c r="W139" i="15"/>
  <c r="F136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W136" i="15"/>
  <c r="F133" i="15"/>
  <c r="G133" i="15"/>
  <c r="H133" i="15"/>
  <c r="I133" i="15"/>
  <c r="J133" i="15"/>
  <c r="K133" i="15"/>
  <c r="L133" i="15"/>
  <c r="M133" i="15"/>
  <c r="N133" i="15"/>
  <c r="O133" i="15"/>
  <c r="P133" i="15"/>
  <c r="Q133" i="15"/>
  <c r="R133" i="15"/>
  <c r="S133" i="15"/>
  <c r="T133" i="15"/>
  <c r="U133" i="15"/>
  <c r="V133" i="15"/>
  <c r="W133" i="15"/>
  <c r="F130" i="15"/>
  <c r="G130" i="15"/>
  <c r="H130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W130" i="15"/>
  <c r="F127" i="15"/>
  <c r="G127" i="15"/>
  <c r="H127" i="15"/>
  <c r="I127" i="15"/>
  <c r="J127" i="15"/>
  <c r="K127" i="15"/>
  <c r="L127" i="15"/>
  <c r="M127" i="15"/>
  <c r="N127" i="15"/>
  <c r="O127" i="15"/>
  <c r="P127" i="15"/>
  <c r="Q127" i="15"/>
  <c r="R127" i="15"/>
  <c r="S127" i="15"/>
  <c r="T127" i="15"/>
  <c r="U127" i="15"/>
  <c r="V127" i="15"/>
  <c r="W127" i="15"/>
  <c r="F124" i="15"/>
  <c r="G124" i="15"/>
  <c r="H124" i="15"/>
  <c r="I124" i="15"/>
  <c r="J124" i="15"/>
  <c r="K124" i="15"/>
  <c r="L124" i="15"/>
  <c r="M124" i="15"/>
  <c r="N124" i="15"/>
  <c r="O124" i="15"/>
  <c r="P124" i="15"/>
  <c r="Q124" i="15"/>
  <c r="R124" i="15"/>
  <c r="S124" i="15"/>
  <c r="T124" i="15"/>
  <c r="U124" i="15"/>
  <c r="V124" i="15"/>
  <c r="W124" i="15"/>
  <c r="F121" i="15"/>
  <c r="G121" i="15"/>
  <c r="H121" i="15"/>
  <c r="I121" i="15"/>
  <c r="J121" i="15"/>
  <c r="K121" i="15"/>
  <c r="L121" i="15"/>
  <c r="M121" i="15"/>
  <c r="N121" i="15"/>
  <c r="O121" i="15"/>
  <c r="P121" i="15"/>
  <c r="Q121" i="15"/>
  <c r="R121" i="15"/>
  <c r="S121" i="15"/>
  <c r="T121" i="15"/>
  <c r="U121" i="15"/>
  <c r="V121" i="15"/>
  <c r="W121" i="15"/>
  <c r="F118" i="15"/>
  <c r="G118" i="15"/>
  <c r="H118" i="15"/>
  <c r="I118" i="15"/>
  <c r="J118" i="15"/>
  <c r="K118" i="15"/>
  <c r="L118" i="15"/>
  <c r="M118" i="15"/>
  <c r="N118" i="15"/>
  <c r="O118" i="15"/>
  <c r="P118" i="15"/>
  <c r="Q118" i="15"/>
  <c r="R118" i="15"/>
  <c r="S118" i="15"/>
  <c r="T118" i="15"/>
  <c r="U118" i="15"/>
  <c r="V118" i="15"/>
  <c r="W118" i="15"/>
  <c r="F115" i="15"/>
  <c r="G115" i="15"/>
  <c r="H115" i="15"/>
  <c r="I115" i="15"/>
  <c r="J115" i="15"/>
  <c r="K115" i="15"/>
  <c r="L115" i="15"/>
  <c r="M115" i="15"/>
  <c r="N115" i="15"/>
  <c r="O115" i="15"/>
  <c r="P115" i="15"/>
  <c r="Q115" i="15"/>
  <c r="R115" i="15"/>
  <c r="S115" i="15"/>
  <c r="T115" i="15"/>
  <c r="U115" i="15"/>
  <c r="V115" i="15"/>
  <c r="W115" i="15"/>
  <c r="F112" i="15"/>
  <c r="G112" i="15"/>
  <c r="H112" i="15"/>
  <c r="I112" i="15"/>
  <c r="J112" i="15"/>
  <c r="K112" i="15"/>
  <c r="L112" i="15"/>
  <c r="M112" i="15"/>
  <c r="N112" i="15"/>
  <c r="O112" i="15"/>
  <c r="P112" i="15"/>
  <c r="Q112" i="15"/>
  <c r="R112" i="15"/>
  <c r="S112" i="15"/>
  <c r="T112" i="15"/>
  <c r="U112" i="15"/>
  <c r="V112" i="15"/>
  <c r="W112" i="15"/>
  <c r="F109" i="15"/>
  <c r="G109" i="15"/>
  <c r="H109" i="15"/>
  <c r="I109" i="15"/>
  <c r="J109" i="15"/>
  <c r="K109" i="15"/>
  <c r="L109" i="15"/>
  <c r="M109" i="15"/>
  <c r="N109" i="15"/>
  <c r="O109" i="15"/>
  <c r="P109" i="15"/>
  <c r="Q109" i="15"/>
  <c r="R109" i="15"/>
  <c r="S109" i="15"/>
  <c r="T109" i="15"/>
  <c r="U109" i="15"/>
  <c r="V109" i="15"/>
  <c r="W109" i="15"/>
  <c r="F106" i="15"/>
  <c r="G106" i="15"/>
  <c r="H106" i="15"/>
  <c r="I106" i="15"/>
  <c r="J106" i="15"/>
  <c r="K106" i="15"/>
  <c r="L106" i="15"/>
  <c r="M106" i="15"/>
  <c r="N106" i="15"/>
  <c r="O106" i="15"/>
  <c r="P106" i="15"/>
  <c r="Q106" i="15"/>
  <c r="R106" i="15"/>
  <c r="S106" i="15"/>
  <c r="T106" i="15"/>
  <c r="U106" i="15"/>
  <c r="V106" i="15"/>
  <c r="W106" i="15"/>
  <c r="F103" i="15"/>
  <c r="G103" i="15"/>
  <c r="H103" i="15"/>
  <c r="I103" i="15"/>
  <c r="J103" i="15"/>
  <c r="K103" i="15"/>
  <c r="L103" i="15"/>
  <c r="M103" i="15"/>
  <c r="N103" i="15"/>
  <c r="O103" i="15"/>
  <c r="P103" i="15"/>
  <c r="Q103" i="15"/>
  <c r="R103" i="15"/>
  <c r="S103" i="15"/>
  <c r="T103" i="15"/>
  <c r="U103" i="15"/>
  <c r="V103" i="15"/>
  <c r="W103" i="15"/>
  <c r="F100" i="15"/>
  <c r="G100" i="15"/>
  <c r="H100" i="15"/>
  <c r="I100" i="15"/>
  <c r="J100" i="15"/>
  <c r="K100" i="15"/>
  <c r="L100" i="15"/>
  <c r="M100" i="15"/>
  <c r="N100" i="15"/>
  <c r="O100" i="15"/>
  <c r="P100" i="15"/>
  <c r="Q100" i="15"/>
  <c r="R100" i="15"/>
  <c r="S100" i="15"/>
  <c r="T100" i="15"/>
  <c r="U100" i="15"/>
  <c r="V100" i="15"/>
  <c r="W100" i="15"/>
  <c r="F97" i="15"/>
  <c r="G97" i="15"/>
  <c r="H97" i="15"/>
  <c r="I97" i="15"/>
  <c r="J97" i="15"/>
  <c r="K97" i="15"/>
  <c r="L97" i="15"/>
  <c r="M97" i="15"/>
  <c r="N97" i="15"/>
  <c r="O97" i="15"/>
  <c r="P97" i="15"/>
  <c r="Q97" i="15"/>
  <c r="R97" i="15"/>
  <c r="S97" i="15"/>
  <c r="T97" i="15"/>
  <c r="U97" i="15"/>
  <c r="V97" i="15"/>
  <c r="W97" i="15"/>
  <c r="F94" i="15"/>
  <c r="G94" i="15"/>
  <c r="H94" i="15"/>
  <c r="I94" i="15"/>
  <c r="J94" i="15"/>
  <c r="K94" i="15"/>
  <c r="L94" i="15"/>
  <c r="M94" i="15"/>
  <c r="N94" i="15"/>
  <c r="O94" i="15"/>
  <c r="P94" i="15"/>
  <c r="Q94" i="15"/>
  <c r="R94" i="15"/>
  <c r="S94" i="15"/>
  <c r="T94" i="15"/>
  <c r="U94" i="15"/>
  <c r="V94" i="15"/>
  <c r="W94" i="15"/>
  <c r="F91" i="15"/>
  <c r="G91" i="15"/>
  <c r="H91" i="15"/>
  <c r="I91" i="15"/>
  <c r="J91" i="15"/>
  <c r="K91" i="15"/>
  <c r="L91" i="15"/>
  <c r="M91" i="15"/>
  <c r="N91" i="15"/>
  <c r="O91" i="15"/>
  <c r="P91" i="15"/>
  <c r="Q91" i="15"/>
  <c r="R91" i="15"/>
  <c r="S91" i="15"/>
  <c r="T91" i="15"/>
  <c r="U91" i="15"/>
  <c r="V91" i="15"/>
  <c r="W91" i="15"/>
  <c r="F88" i="15"/>
  <c r="G88" i="15"/>
  <c r="H88" i="15"/>
  <c r="I88" i="15"/>
  <c r="J88" i="15"/>
  <c r="K88" i="15"/>
  <c r="L88" i="15"/>
  <c r="M88" i="15"/>
  <c r="N88" i="15"/>
  <c r="O88" i="15"/>
  <c r="P88" i="15"/>
  <c r="Q88" i="15"/>
  <c r="R88" i="15"/>
  <c r="S88" i="15"/>
  <c r="T88" i="15"/>
  <c r="U88" i="15"/>
  <c r="V88" i="15"/>
  <c r="W88" i="15"/>
  <c r="F85" i="15"/>
  <c r="G85" i="15"/>
  <c r="H85" i="15"/>
  <c r="I85" i="15"/>
  <c r="J85" i="15"/>
  <c r="K85" i="15"/>
  <c r="L85" i="15"/>
  <c r="M85" i="15"/>
  <c r="N85" i="15"/>
  <c r="O85" i="15"/>
  <c r="P85" i="15"/>
  <c r="Q85" i="15"/>
  <c r="R85" i="15"/>
  <c r="S85" i="15"/>
  <c r="T85" i="15"/>
  <c r="U85" i="15"/>
  <c r="V85" i="15"/>
  <c r="W85" i="15"/>
  <c r="F82" i="15"/>
  <c r="G82" i="15"/>
  <c r="H82" i="15"/>
  <c r="I82" i="15"/>
  <c r="J82" i="15"/>
  <c r="K82" i="15"/>
  <c r="L82" i="15"/>
  <c r="M82" i="15"/>
  <c r="N82" i="15"/>
  <c r="O82" i="15"/>
  <c r="P82" i="15"/>
  <c r="Q82" i="15"/>
  <c r="R82" i="15"/>
  <c r="S82" i="15"/>
  <c r="T82" i="15"/>
  <c r="U82" i="15"/>
  <c r="V82" i="15"/>
  <c r="W82" i="15"/>
  <c r="F79" i="15"/>
  <c r="G79" i="15"/>
  <c r="H79" i="15"/>
  <c r="I79" i="15"/>
  <c r="J79" i="15"/>
  <c r="K79" i="15"/>
  <c r="L79" i="15"/>
  <c r="M79" i="15"/>
  <c r="N79" i="15"/>
  <c r="O79" i="15"/>
  <c r="P79" i="15"/>
  <c r="Q79" i="15"/>
  <c r="R79" i="15"/>
  <c r="S79" i="15"/>
  <c r="T79" i="15"/>
  <c r="U79" i="15"/>
  <c r="V79" i="15"/>
  <c r="W79" i="15"/>
  <c r="F76" i="15"/>
  <c r="G76" i="15"/>
  <c r="H76" i="15"/>
  <c r="I76" i="15"/>
  <c r="J76" i="15"/>
  <c r="K76" i="15"/>
  <c r="L76" i="15"/>
  <c r="M76" i="15"/>
  <c r="N76" i="15"/>
  <c r="O76" i="15"/>
  <c r="P76" i="15"/>
  <c r="Q76" i="15"/>
  <c r="R76" i="15"/>
  <c r="S76" i="15"/>
  <c r="T76" i="15"/>
  <c r="U76" i="15"/>
  <c r="V76" i="15"/>
  <c r="W76" i="15"/>
  <c r="F73" i="15"/>
  <c r="G73" i="15"/>
  <c r="H73" i="15"/>
  <c r="I73" i="15"/>
  <c r="J73" i="15"/>
  <c r="K73" i="15"/>
  <c r="L73" i="15"/>
  <c r="M73" i="15"/>
  <c r="N73" i="15"/>
  <c r="O73" i="15"/>
  <c r="P73" i="15"/>
  <c r="Q73" i="15"/>
  <c r="R73" i="15"/>
  <c r="S73" i="15"/>
  <c r="T73" i="15"/>
  <c r="U73" i="15"/>
  <c r="V73" i="15"/>
  <c r="W73" i="15"/>
  <c r="F70" i="15"/>
  <c r="G70" i="15"/>
  <c r="H70" i="15"/>
  <c r="I70" i="15"/>
  <c r="J70" i="15"/>
  <c r="K70" i="15"/>
  <c r="L70" i="15"/>
  <c r="M70" i="15"/>
  <c r="N70" i="15"/>
  <c r="O70" i="15"/>
  <c r="P70" i="15"/>
  <c r="Q70" i="15"/>
  <c r="R70" i="15"/>
  <c r="S70" i="15"/>
  <c r="T70" i="15"/>
  <c r="U70" i="15"/>
  <c r="V70" i="15"/>
  <c r="W70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F58" i="15"/>
  <c r="G58" i="15"/>
  <c r="H58" i="15"/>
  <c r="I58" i="15"/>
  <c r="J58" i="15"/>
  <c r="K58" i="15"/>
  <c r="L58" i="15"/>
  <c r="M58" i="15"/>
  <c r="N58" i="15"/>
  <c r="O58" i="15"/>
  <c r="P58" i="15"/>
  <c r="Q58" i="15"/>
  <c r="R58" i="15"/>
  <c r="S58" i="15"/>
  <c r="T58" i="15"/>
  <c r="U58" i="15"/>
  <c r="V58" i="15"/>
  <c r="W58" i="15"/>
  <c r="F55" i="15"/>
  <c r="G55" i="15"/>
  <c r="H55" i="15"/>
  <c r="I55" i="15"/>
  <c r="J55" i="15"/>
  <c r="K55" i="15"/>
  <c r="L55" i="15"/>
  <c r="M55" i="15"/>
  <c r="N55" i="15"/>
  <c r="O55" i="15"/>
  <c r="P55" i="15"/>
  <c r="Q55" i="15"/>
  <c r="R55" i="15"/>
  <c r="S55" i="15"/>
  <c r="T55" i="15"/>
  <c r="U55" i="15"/>
  <c r="V55" i="15"/>
  <c r="W55" i="15"/>
  <c r="F52" i="15"/>
  <c r="G52" i="15"/>
  <c r="H52" i="15"/>
  <c r="I52" i="15"/>
  <c r="J52" i="15"/>
  <c r="K52" i="15"/>
  <c r="L52" i="15"/>
  <c r="M52" i="15"/>
  <c r="N52" i="15"/>
  <c r="O52" i="15"/>
  <c r="P52" i="15"/>
  <c r="Q52" i="15"/>
  <c r="R52" i="15"/>
  <c r="S52" i="15"/>
  <c r="T52" i="15"/>
  <c r="U52" i="15"/>
  <c r="V52" i="15"/>
  <c r="W52" i="15"/>
  <c r="F49" i="15"/>
  <c r="G49" i="15"/>
  <c r="H49" i="15"/>
  <c r="I49" i="15"/>
  <c r="J49" i="15"/>
  <c r="K49" i="15"/>
  <c r="L49" i="15"/>
  <c r="M49" i="15"/>
  <c r="N49" i="15"/>
  <c r="O49" i="15"/>
  <c r="P49" i="15"/>
  <c r="Q49" i="15"/>
  <c r="R49" i="15"/>
  <c r="S49" i="15"/>
  <c r="T49" i="15"/>
  <c r="U49" i="15"/>
  <c r="V49" i="15"/>
  <c r="W49" i="15"/>
  <c r="F46" i="15"/>
  <c r="G46" i="15"/>
  <c r="H46" i="15"/>
  <c r="I46" i="15"/>
  <c r="J46" i="15"/>
  <c r="K46" i="15"/>
  <c r="L46" i="15"/>
  <c r="M46" i="15"/>
  <c r="N46" i="15"/>
  <c r="O46" i="15"/>
  <c r="P46" i="15"/>
  <c r="Q46" i="15"/>
  <c r="R46" i="15"/>
  <c r="S46" i="15"/>
  <c r="T46" i="15"/>
  <c r="U46" i="15"/>
  <c r="V46" i="15"/>
  <c r="W46" i="15"/>
  <c r="F43" i="15"/>
  <c r="G43" i="15"/>
  <c r="H43" i="15"/>
  <c r="I43" i="15"/>
  <c r="J43" i="15"/>
  <c r="K43" i="15"/>
  <c r="L43" i="15"/>
  <c r="M43" i="15"/>
  <c r="N43" i="15"/>
  <c r="O43" i="15"/>
  <c r="P43" i="15"/>
  <c r="Q43" i="15"/>
  <c r="R43" i="15"/>
  <c r="S43" i="15"/>
  <c r="T43" i="15"/>
  <c r="U43" i="15"/>
  <c r="V43" i="15"/>
  <c r="W43" i="15"/>
  <c r="F40" i="15"/>
  <c r="G40" i="15"/>
  <c r="H40" i="15"/>
  <c r="I40" i="15"/>
  <c r="J40" i="15"/>
  <c r="K40" i="15"/>
  <c r="L40" i="15"/>
  <c r="M40" i="15"/>
  <c r="N40" i="15"/>
  <c r="O40" i="15"/>
  <c r="P40" i="15"/>
  <c r="Q40" i="15"/>
  <c r="R40" i="15"/>
  <c r="S40" i="15"/>
  <c r="T40" i="15"/>
  <c r="U40" i="15"/>
  <c r="V40" i="15"/>
  <c r="W40" i="15"/>
  <c r="F37" i="15"/>
  <c r="G37" i="15"/>
  <c r="H37" i="15"/>
  <c r="I37" i="15"/>
  <c r="J37" i="15"/>
  <c r="K37" i="15"/>
  <c r="L37" i="15"/>
  <c r="M37" i="15"/>
  <c r="N37" i="15"/>
  <c r="O37" i="15"/>
  <c r="P37" i="15"/>
  <c r="Q37" i="15"/>
  <c r="R37" i="15"/>
  <c r="S37" i="15"/>
  <c r="T37" i="15"/>
  <c r="U37" i="15"/>
  <c r="V37" i="15"/>
  <c r="W37" i="15"/>
  <c r="F34" i="15"/>
  <c r="G34" i="15"/>
  <c r="H34" i="15"/>
  <c r="I34" i="15"/>
  <c r="J34" i="15"/>
  <c r="K34" i="15"/>
  <c r="L34" i="15"/>
  <c r="M34" i="15"/>
  <c r="N34" i="15"/>
  <c r="O34" i="15"/>
  <c r="P34" i="15"/>
  <c r="Q34" i="15"/>
  <c r="R34" i="15"/>
  <c r="S34" i="15"/>
  <c r="T34" i="15"/>
  <c r="U34" i="15"/>
  <c r="V34" i="15"/>
  <c r="W34" i="15"/>
  <c r="F31" i="15"/>
  <c r="G31" i="15"/>
  <c r="H31" i="15"/>
  <c r="I31" i="15"/>
  <c r="J31" i="15"/>
  <c r="K31" i="15"/>
  <c r="L31" i="15"/>
  <c r="M31" i="15"/>
  <c r="N31" i="15"/>
  <c r="O31" i="15"/>
  <c r="P31" i="15"/>
  <c r="Q31" i="15"/>
  <c r="R31" i="15"/>
  <c r="S31" i="15"/>
  <c r="T31" i="15"/>
  <c r="U31" i="15"/>
  <c r="V31" i="15"/>
  <c r="W31" i="15"/>
  <c r="F28" i="15"/>
  <c r="G28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F25" i="15"/>
  <c r="G25" i="15"/>
  <c r="H25" i="15"/>
  <c r="I25" i="15"/>
  <c r="J25" i="15"/>
  <c r="K25" i="15"/>
  <c r="L25" i="15"/>
  <c r="M25" i="15"/>
  <c r="N25" i="15"/>
  <c r="O25" i="15"/>
  <c r="P25" i="15"/>
  <c r="Q25" i="15"/>
  <c r="R25" i="15"/>
  <c r="S25" i="15"/>
  <c r="T25" i="15"/>
  <c r="U25" i="15"/>
  <c r="V25" i="15"/>
  <c r="W25" i="15"/>
  <c r="F22" i="15"/>
  <c r="G22" i="15"/>
  <c r="H22" i="15"/>
  <c r="I22" i="15"/>
  <c r="J22" i="15"/>
  <c r="K22" i="15"/>
  <c r="L22" i="15"/>
  <c r="M22" i="15"/>
  <c r="N22" i="15"/>
  <c r="O22" i="15"/>
  <c r="P22" i="15"/>
  <c r="Q22" i="15"/>
  <c r="R22" i="15"/>
  <c r="S22" i="15"/>
  <c r="T22" i="15"/>
  <c r="U22" i="15"/>
  <c r="V22" i="15"/>
  <c r="W22" i="15"/>
  <c r="F19" i="15"/>
  <c r="G19" i="15"/>
  <c r="H19" i="15"/>
  <c r="I19" i="15"/>
  <c r="J19" i="15"/>
  <c r="K19" i="15"/>
  <c r="L19" i="15"/>
  <c r="M19" i="15"/>
  <c r="N19" i="15"/>
  <c r="O19" i="15"/>
  <c r="P19" i="15"/>
  <c r="Q19" i="15"/>
  <c r="R19" i="15"/>
  <c r="S19" i="15"/>
  <c r="T19" i="15"/>
  <c r="U19" i="15"/>
  <c r="V19" i="15"/>
  <c r="W19" i="15"/>
  <c r="F16" i="15"/>
  <c r="G16" i="15"/>
  <c r="H16" i="15"/>
  <c r="I16" i="15"/>
  <c r="J16" i="15"/>
  <c r="K16" i="15"/>
  <c r="L16" i="15"/>
  <c r="M16" i="15"/>
  <c r="N16" i="15"/>
  <c r="O16" i="15"/>
  <c r="P16" i="15"/>
  <c r="Q16" i="15"/>
  <c r="R16" i="15"/>
  <c r="S16" i="15"/>
  <c r="T16" i="15"/>
  <c r="U16" i="15"/>
  <c r="V16" i="15"/>
  <c r="W16" i="15"/>
  <c r="F13" i="15"/>
  <c r="G13" i="15"/>
  <c r="H13" i="15"/>
  <c r="I13" i="15"/>
  <c r="J13" i="15"/>
  <c r="K13" i="15"/>
  <c r="L13" i="15"/>
  <c r="M13" i="15"/>
  <c r="N13" i="15"/>
  <c r="O13" i="15"/>
  <c r="P13" i="15"/>
  <c r="Q13" i="15"/>
  <c r="R13" i="15"/>
  <c r="S13" i="15"/>
  <c r="T13" i="15"/>
  <c r="U13" i="15"/>
  <c r="V13" i="15"/>
  <c r="W13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T10" i="15"/>
  <c r="U10" i="15"/>
  <c r="V10" i="15"/>
  <c r="W10" i="15"/>
  <c r="F7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W7" i="15"/>
  <c r="F171" i="15"/>
  <c r="F173" i="15" s="1"/>
  <c r="G171" i="15"/>
  <c r="G173" i="15" s="1"/>
  <c r="H171" i="15"/>
  <c r="H173" i="15" s="1"/>
  <c r="I171" i="15"/>
  <c r="I173" i="15" s="1"/>
  <c r="J171" i="15"/>
  <c r="J173" i="15" s="1"/>
  <c r="K171" i="15"/>
  <c r="K173" i="15" s="1"/>
  <c r="L171" i="15"/>
  <c r="L173" i="15" s="1"/>
  <c r="M171" i="15"/>
  <c r="M173" i="15" s="1"/>
  <c r="N171" i="15"/>
  <c r="N173" i="15" s="1"/>
  <c r="O171" i="15"/>
  <c r="O173" i="15" s="1"/>
  <c r="P171" i="15"/>
  <c r="P173" i="15" s="1"/>
  <c r="Q171" i="15"/>
  <c r="Q173" i="15" s="1"/>
  <c r="R171" i="15"/>
  <c r="R173" i="15" s="1"/>
  <c r="S171" i="15"/>
  <c r="S173" i="15" s="1"/>
  <c r="T171" i="15"/>
  <c r="T173" i="15" s="1"/>
  <c r="U171" i="15"/>
  <c r="V171" i="15"/>
  <c r="V173" i="15" s="1"/>
  <c r="W171" i="15"/>
  <c r="W173" i="15" s="1"/>
  <c r="F168" i="15"/>
  <c r="F170" i="15" s="1"/>
  <c r="G168" i="15"/>
  <c r="G170" i="15" s="1"/>
  <c r="H168" i="15"/>
  <c r="H170" i="15" s="1"/>
  <c r="I168" i="15"/>
  <c r="I170" i="15" s="1"/>
  <c r="J168" i="15"/>
  <c r="J170" i="15" s="1"/>
  <c r="K168" i="15"/>
  <c r="K170" i="15" s="1"/>
  <c r="L168" i="15"/>
  <c r="L170" i="15" s="1"/>
  <c r="M168" i="15"/>
  <c r="M170" i="15" s="1"/>
  <c r="N168" i="15"/>
  <c r="N170" i="15" s="1"/>
  <c r="O168" i="15"/>
  <c r="O170" i="15" s="1"/>
  <c r="P168" i="15"/>
  <c r="P170" i="15" s="1"/>
  <c r="Q168" i="15"/>
  <c r="Q170" i="15" s="1"/>
  <c r="R168" i="15"/>
  <c r="R170" i="15" s="1"/>
  <c r="S168" i="15"/>
  <c r="S170" i="15" s="1"/>
  <c r="T168" i="15"/>
  <c r="T170" i="15" s="1"/>
  <c r="U168" i="15"/>
  <c r="V168" i="15"/>
  <c r="V170" i="15" s="1"/>
  <c r="W168" i="15"/>
  <c r="W170" i="15" s="1"/>
  <c r="F165" i="15"/>
  <c r="F167" i="15" s="1"/>
  <c r="G165" i="15"/>
  <c r="G167" i="15" s="1"/>
  <c r="H165" i="15"/>
  <c r="H167" i="15" s="1"/>
  <c r="I165" i="15"/>
  <c r="I167" i="15" s="1"/>
  <c r="J165" i="15"/>
  <c r="J167" i="15" s="1"/>
  <c r="K165" i="15"/>
  <c r="K167" i="15" s="1"/>
  <c r="L165" i="15"/>
  <c r="L167" i="15" s="1"/>
  <c r="M165" i="15"/>
  <c r="M167" i="15" s="1"/>
  <c r="N165" i="15"/>
  <c r="N167" i="15" s="1"/>
  <c r="O165" i="15"/>
  <c r="O167" i="15" s="1"/>
  <c r="P165" i="15"/>
  <c r="P167" i="15" s="1"/>
  <c r="Q165" i="15"/>
  <c r="Q167" i="15" s="1"/>
  <c r="R165" i="15"/>
  <c r="R167" i="15" s="1"/>
  <c r="S165" i="15"/>
  <c r="S167" i="15" s="1"/>
  <c r="T165" i="15"/>
  <c r="T167" i="15" s="1"/>
  <c r="U165" i="15"/>
  <c r="V165" i="15"/>
  <c r="V167" i="15" s="1"/>
  <c r="W165" i="15"/>
  <c r="W167" i="15" s="1"/>
  <c r="F162" i="15"/>
  <c r="F164" i="15" s="1"/>
  <c r="G162" i="15"/>
  <c r="G164" i="15" s="1"/>
  <c r="H162" i="15"/>
  <c r="H164" i="15" s="1"/>
  <c r="I162" i="15"/>
  <c r="I164" i="15" s="1"/>
  <c r="J162" i="15"/>
  <c r="J164" i="15" s="1"/>
  <c r="K162" i="15"/>
  <c r="K164" i="15" s="1"/>
  <c r="L162" i="15"/>
  <c r="L164" i="15" s="1"/>
  <c r="M162" i="15"/>
  <c r="M164" i="15" s="1"/>
  <c r="N162" i="15"/>
  <c r="N164" i="15" s="1"/>
  <c r="O162" i="15"/>
  <c r="O164" i="15" s="1"/>
  <c r="P162" i="15"/>
  <c r="P164" i="15" s="1"/>
  <c r="Q162" i="15"/>
  <c r="Q164" i="15" s="1"/>
  <c r="R162" i="15"/>
  <c r="R164" i="15" s="1"/>
  <c r="S162" i="15"/>
  <c r="S164" i="15" s="1"/>
  <c r="T162" i="15"/>
  <c r="T164" i="15" s="1"/>
  <c r="U162" i="15"/>
  <c r="V162" i="15"/>
  <c r="V164" i="15" s="1"/>
  <c r="W162" i="15"/>
  <c r="W164" i="15" s="1"/>
  <c r="F159" i="15"/>
  <c r="F161" i="15" s="1"/>
  <c r="G159" i="15"/>
  <c r="G161" i="15" s="1"/>
  <c r="H159" i="15"/>
  <c r="H161" i="15" s="1"/>
  <c r="I159" i="15"/>
  <c r="I161" i="15" s="1"/>
  <c r="J159" i="15"/>
  <c r="J161" i="15" s="1"/>
  <c r="K159" i="15"/>
  <c r="K161" i="15" s="1"/>
  <c r="L159" i="15"/>
  <c r="L161" i="15" s="1"/>
  <c r="M159" i="15"/>
  <c r="M161" i="15" s="1"/>
  <c r="N159" i="15"/>
  <c r="N161" i="15" s="1"/>
  <c r="O159" i="15"/>
  <c r="O161" i="15" s="1"/>
  <c r="P159" i="15"/>
  <c r="P161" i="15" s="1"/>
  <c r="Q159" i="15"/>
  <c r="Q161" i="15" s="1"/>
  <c r="R159" i="15"/>
  <c r="R161" i="15" s="1"/>
  <c r="S159" i="15"/>
  <c r="S161" i="15" s="1"/>
  <c r="T159" i="15"/>
  <c r="T161" i="15" s="1"/>
  <c r="U159" i="15"/>
  <c r="V159" i="15"/>
  <c r="V161" i="15" s="1"/>
  <c r="W159" i="15"/>
  <c r="W161" i="15" s="1"/>
  <c r="F156" i="15"/>
  <c r="F158" i="15" s="1"/>
  <c r="G156" i="15"/>
  <c r="G158" i="15" s="1"/>
  <c r="H156" i="15"/>
  <c r="H158" i="15" s="1"/>
  <c r="I156" i="15"/>
  <c r="I158" i="15" s="1"/>
  <c r="J156" i="15"/>
  <c r="J158" i="15" s="1"/>
  <c r="K156" i="15"/>
  <c r="K158" i="15" s="1"/>
  <c r="L156" i="15"/>
  <c r="L158" i="15" s="1"/>
  <c r="M156" i="15"/>
  <c r="M158" i="15" s="1"/>
  <c r="N156" i="15"/>
  <c r="N158" i="15" s="1"/>
  <c r="O156" i="15"/>
  <c r="O158" i="15" s="1"/>
  <c r="P156" i="15"/>
  <c r="P158" i="15" s="1"/>
  <c r="Q156" i="15"/>
  <c r="Q158" i="15" s="1"/>
  <c r="R156" i="15"/>
  <c r="R158" i="15" s="1"/>
  <c r="S156" i="15"/>
  <c r="S158" i="15" s="1"/>
  <c r="T156" i="15"/>
  <c r="T158" i="15" s="1"/>
  <c r="U156" i="15"/>
  <c r="V156" i="15"/>
  <c r="V158" i="15" s="1"/>
  <c r="W156" i="15"/>
  <c r="W158" i="15" s="1"/>
  <c r="F153" i="15"/>
  <c r="F155" i="15" s="1"/>
  <c r="G153" i="15"/>
  <c r="G155" i="15" s="1"/>
  <c r="H153" i="15"/>
  <c r="H155" i="15" s="1"/>
  <c r="I153" i="15"/>
  <c r="I155" i="15" s="1"/>
  <c r="J153" i="15"/>
  <c r="J155" i="15" s="1"/>
  <c r="K153" i="15"/>
  <c r="K155" i="15" s="1"/>
  <c r="L153" i="15"/>
  <c r="L155" i="15" s="1"/>
  <c r="M153" i="15"/>
  <c r="M155" i="15" s="1"/>
  <c r="N153" i="15"/>
  <c r="N155" i="15" s="1"/>
  <c r="O153" i="15"/>
  <c r="O155" i="15" s="1"/>
  <c r="P153" i="15"/>
  <c r="P155" i="15" s="1"/>
  <c r="Q153" i="15"/>
  <c r="Q155" i="15" s="1"/>
  <c r="R153" i="15"/>
  <c r="R155" i="15" s="1"/>
  <c r="S153" i="15"/>
  <c r="S155" i="15" s="1"/>
  <c r="T153" i="15"/>
  <c r="T155" i="15" s="1"/>
  <c r="U153" i="15"/>
  <c r="V153" i="15"/>
  <c r="V155" i="15" s="1"/>
  <c r="W153" i="15"/>
  <c r="W155" i="15" s="1"/>
  <c r="F150" i="15"/>
  <c r="F152" i="15" s="1"/>
  <c r="G150" i="15"/>
  <c r="G152" i="15" s="1"/>
  <c r="H150" i="15"/>
  <c r="H152" i="15" s="1"/>
  <c r="I150" i="15"/>
  <c r="I152" i="15" s="1"/>
  <c r="J150" i="15"/>
  <c r="J152" i="15" s="1"/>
  <c r="K150" i="15"/>
  <c r="K152" i="15" s="1"/>
  <c r="L150" i="15"/>
  <c r="L152" i="15" s="1"/>
  <c r="M150" i="15"/>
  <c r="M152" i="15" s="1"/>
  <c r="N150" i="15"/>
  <c r="N152" i="15" s="1"/>
  <c r="O150" i="15"/>
  <c r="O152" i="15" s="1"/>
  <c r="P150" i="15"/>
  <c r="P152" i="15" s="1"/>
  <c r="Q150" i="15"/>
  <c r="Q152" i="15" s="1"/>
  <c r="R150" i="15"/>
  <c r="R152" i="15" s="1"/>
  <c r="S150" i="15"/>
  <c r="S152" i="15" s="1"/>
  <c r="T150" i="15"/>
  <c r="T152" i="15" s="1"/>
  <c r="U150" i="15"/>
  <c r="V150" i="15"/>
  <c r="V152" i="15" s="1"/>
  <c r="W150" i="15"/>
  <c r="W152" i="15" s="1"/>
  <c r="F147" i="15"/>
  <c r="F149" i="15" s="1"/>
  <c r="G147" i="15"/>
  <c r="G149" i="15" s="1"/>
  <c r="H147" i="15"/>
  <c r="H149" i="15" s="1"/>
  <c r="I147" i="15"/>
  <c r="I149" i="15" s="1"/>
  <c r="J147" i="15"/>
  <c r="K147" i="15"/>
  <c r="K149" i="15" s="1"/>
  <c r="L147" i="15"/>
  <c r="L149" i="15" s="1"/>
  <c r="M147" i="15"/>
  <c r="M149" i="15" s="1"/>
  <c r="N147" i="15"/>
  <c r="O147" i="15"/>
  <c r="O149" i="15" s="1"/>
  <c r="P147" i="15"/>
  <c r="P149" i="15" s="1"/>
  <c r="Q147" i="15"/>
  <c r="Q149" i="15" s="1"/>
  <c r="R147" i="15"/>
  <c r="R149" i="15" s="1"/>
  <c r="S147" i="15"/>
  <c r="S149" i="15" s="1"/>
  <c r="T147" i="15"/>
  <c r="T149" i="15" s="1"/>
  <c r="U147" i="15"/>
  <c r="V147" i="15"/>
  <c r="V149" i="15" s="1"/>
  <c r="W147" i="15"/>
  <c r="W149" i="15" s="1"/>
  <c r="F144" i="15"/>
  <c r="F146" i="15" s="1"/>
  <c r="G144" i="15"/>
  <c r="G146" i="15" s="1"/>
  <c r="H144" i="15"/>
  <c r="H146" i="15" s="1"/>
  <c r="I144" i="15"/>
  <c r="I146" i="15" s="1"/>
  <c r="J144" i="15"/>
  <c r="J146" i="15" s="1"/>
  <c r="K144" i="15"/>
  <c r="K146" i="15" s="1"/>
  <c r="L144" i="15"/>
  <c r="L146" i="15" s="1"/>
  <c r="M144" i="15"/>
  <c r="M146" i="15" s="1"/>
  <c r="N144" i="15"/>
  <c r="N146" i="15" s="1"/>
  <c r="O144" i="15"/>
  <c r="O146" i="15" s="1"/>
  <c r="P144" i="15"/>
  <c r="P146" i="15" s="1"/>
  <c r="Q144" i="15"/>
  <c r="Q146" i="15" s="1"/>
  <c r="R144" i="15"/>
  <c r="R146" i="15" s="1"/>
  <c r="S144" i="15"/>
  <c r="S146" i="15" s="1"/>
  <c r="T144" i="15"/>
  <c r="T146" i="15" s="1"/>
  <c r="U144" i="15"/>
  <c r="V144" i="15"/>
  <c r="V146" i="15" s="1"/>
  <c r="W144" i="15"/>
  <c r="W146" i="15" s="1"/>
  <c r="F141" i="15"/>
  <c r="F143" i="15" s="1"/>
  <c r="G141" i="15"/>
  <c r="G143" i="15" s="1"/>
  <c r="H141" i="15"/>
  <c r="H143" i="15" s="1"/>
  <c r="I141" i="15"/>
  <c r="I143" i="15" s="1"/>
  <c r="J141" i="15"/>
  <c r="J143" i="15" s="1"/>
  <c r="K141" i="15"/>
  <c r="K143" i="15" s="1"/>
  <c r="L141" i="15"/>
  <c r="L143" i="15" s="1"/>
  <c r="M141" i="15"/>
  <c r="M143" i="15" s="1"/>
  <c r="N141" i="15"/>
  <c r="N143" i="15" s="1"/>
  <c r="O141" i="15"/>
  <c r="O143" i="15" s="1"/>
  <c r="P141" i="15"/>
  <c r="P143" i="15" s="1"/>
  <c r="Q141" i="15"/>
  <c r="Q143" i="15" s="1"/>
  <c r="R141" i="15"/>
  <c r="R143" i="15" s="1"/>
  <c r="S141" i="15"/>
  <c r="S143" i="15" s="1"/>
  <c r="T141" i="15"/>
  <c r="T143" i="15" s="1"/>
  <c r="U141" i="15"/>
  <c r="V141" i="15"/>
  <c r="V143" i="15" s="1"/>
  <c r="W141" i="15"/>
  <c r="W143" i="15" s="1"/>
  <c r="F138" i="15"/>
  <c r="F140" i="15" s="1"/>
  <c r="G138" i="15"/>
  <c r="G140" i="15" s="1"/>
  <c r="H138" i="15"/>
  <c r="H140" i="15" s="1"/>
  <c r="I138" i="15"/>
  <c r="I140" i="15" s="1"/>
  <c r="J138" i="15"/>
  <c r="J140" i="15" s="1"/>
  <c r="K138" i="15"/>
  <c r="K140" i="15" s="1"/>
  <c r="L138" i="15"/>
  <c r="L140" i="15" s="1"/>
  <c r="M138" i="15"/>
  <c r="M140" i="15" s="1"/>
  <c r="N138" i="15"/>
  <c r="N140" i="15" s="1"/>
  <c r="O138" i="15"/>
  <c r="O140" i="15" s="1"/>
  <c r="P138" i="15"/>
  <c r="P140" i="15" s="1"/>
  <c r="Q138" i="15"/>
  <c r="Q140" i="15" s="1"/>
  <c r="R138" i="15"/>
  <c r="R140" i="15" s="1"/>
  <c r="S138" i="15"/>
  <c r="S140" i="15" s="1"/>
  <c r="T138" i="15"/>
  <c r="T140" i="15" s="1"/>
  <c r="U138" i="15"/>
  <c r="V138" i="15"/>
  <c r="V140" i="15" s="1"/>
  <c r="W138" i="15"/>
  <c r="W140" i="15" s="1"/>
  <c r="F135" i="15"/>
  <c r="F137" i="15" s="1"/>
  <c r="G135" i="15"/>
  <c r="G137" i="15" s="1"/>
  <c r="H135" i="15"/>
  <c r="H137" i="15" s="1"/>
  <c r="I135" i="15"/>
  <c r="I137" i="15" s="1"/>
  <c r="J135" i="15"/>
  <c r="J137" i="15" s="1"/>
  <c r="K135" i="15"/>
  <c r="K137" i="15" s="1"/>
  <c r="L135" i="15"/>
  <c r="L137" i="15" s="1"/>
  <c r="M135" i="15"/>
  <c r="M137" i="15" s="1"/>
  <c r="N135" i="15"/>
  <c r="N137" i="15" s="1"/>
  <c r="O135" i="15"/>
  <c r="O137" i="15" s="1"/>
  <c r="P135" i="15"/>
  <c r="P137" i="15" s="1"/>
  <c r="Q135" i="15"/>
  <c r="Q137" i="15" s="1"/>
  <c r="R135" i="15"/>
  <c r="R137" i="15" s="1"/>
  <c r="S135" i="15"/>
  <c r="S137" i="15" s="1"/>
  <c r="T135" i="15"/>
  <c r="T137" i="15" s="1"/>
  <c r="U135" i="15"/>
  <c r="V135" i="15"/>
  <c r="V137" i="15" s="1"/>
  <c r="W135" i="15"/>
  <c r="W137" i="15" s="1"/>
  <c r="F132" i="15"/>
  <c r="F134" i="15" s="1"/>
  <c r="G132" i="15"/>
  <c r="G134" i="15" s="1"/>
  <c r="H132" i="15"/>
  <c r="H134" i="15" s="1"/>
  <c r="I132" i="15"/>
  <c r="I134" i="15" s="1"/>
  <c r="J132" i="15"/>
  <c r="J134" i="15" s="1"/>
  <c r="K132" i="15"/>
  <c r="K134" i="15" s="1"/>
  <c r="L132" i="15"/>
  <c r="L134" i="15" s="1"/>
  <c r="M132" i="15"/>
  <c r="M134" i="15" s="1"/>
  <c r="N132" i="15"/>
  <c r="N134" i="15" s="1"/>
  <c r="O132" i="15"/>
  <c r="O134" i="15" s="1"/>
  <c r="P132" i="15"/>
  <c r="P134" i="15" s="1"/>
  <c r="Q132" i="15"/>
  <c r="Q134" i="15" s="1"/>
  <c r="R132" i="15"/>
  <c r="R134" i="15" s="1"/>
  <c r="S132" i="15"/>
  <c r="S134" i="15" s="1"/>
  <c r="T132" i="15"/>
  <c r="T134" i="15" s="1"/>
  <c r="U132" i="15"/>
  <c r="V132" i="15"/>
  <c r="V134" i="15" s="1"/>
  <c r="W132" i="15"/>
  <c r="W134" i="15" s="1"/>
  <c r="F129" i="15"/>
  <c r="F131" i="15" s="1"/>
  <c r="G129" i="15"/>
  <c r="G131" i="15" s="1"/>
  <c r="H129" i="15"/>
  <c r="H131" i="15" s="1"/>
  <c r="I129" i="15"/>
  <c r="I131" i="15" s="1"/>
  <c r="J129" i="15"/>
  <c r="J131" i="15" s="1"/>
  <c r="K129" i="15"/>
  <c r="K131" i="15" s="1"/>
  <c r="L129" i="15"/>
  <c r="L131" i="15" s="1"/>
  <c r="M129" i="15"/>
  <c r="M131" i="15" s="1"/>
  <c r="N129" i="15"/>
  <c r="N131" i="15" s="1"/>
  <c r="O129" i="15"/>
  <c r="O131" i="15" s="1"/>
  <c r="P129" i="15"/>
  <c r="P131" i="15" s="1"/>
  <c r="Q129" i="15"/>
  <c r="Q131" i="15" s="1"/>
  <c r="R129" i="15"/>
  <c r="R131" i="15" s="1"/>
  <c r="S129" i="15"/>
  <c r="S131" i="15" s="1"/>
  <c r="T129" i="15"/>
  <c r="T131" i="15" s="1"/>
  <c r="U129" i="15"/>
  <c r="V129" i="15"/>
  <c r="V131" i="15" s="1"/>
  <c r="W129" i="15"/>
  <c r="W131" i="15" s="1"/>
  <c r="F126" i="15"/>
  <c r="F128" i="15" s="1"/>
  <c r="G126" i="15"/>
  <c r="G128" i="15" s="1"/>
  <c r="H126" i="15"/>
  <c r="H128" i="15" s="1"/>
  <c r="I126" i="15"/>
  <c r="I128" i="15" s="1"/>
  <c r="J126" i="15"/>
  <c r="J128" i="15" s="1"/>
  <c r="K126" i="15"/>
  <c r="K128" i="15" s="1"/>
  <c r="L126" i="15"/>
  <c r="L128" i="15" s="1"/>
  <c r="M126" i="15"/>
  <c r="M128" i="15" s="1"/>
  <c r="N126" i="15"/>
  <c r="N128" i="15" s="1"/>
  <c r="O126" i="15"/>
  <c r="O128" i="15" s="1"/>
  <c r="P126" i="15"/>
  <c r="P128" i="15" s="1"/>
  <c r="Q126" i="15"/>
  <c r="Q128" i="15" s="1"/>
  <c r="R126" i="15"/>
  <c r="R128" i="15" s="1"/>
  <c r="S126" i="15"/>
  <c r="S128" i="15" s="1"/>
  <c r="T126" i="15"/>
  <c r="T128" i="15" s="1"/>
  <c r="U126" i="15"/>
  <c r="V126" i="15"/>
  <c r="V128" i="15" s="1"/>
  <c r="W126" i="15"/>
  <c r="W128" i="15" s="1"/>
  <c r="F123" i="15"/>
  <c r="F125" i="15" s="1"/>
  <c r="G123" i="15"/>
  <c r="G125" i="15" s="1"/>
  <c r="H123" i="15"/>
  <c r="H125" i="15" s="1"/>
  <c r="I123" i="15"/>
  <c r="I125" i="15" s="1"/>
  <c r="J123" i="15"/>
  <c r="J125" i="15" s="1"/>
  <c r="K123" i="15"/>
  <c r="K125" i="15" s="1"/>
  <c r="L123" i="15"/>
  <c r="L125" i="15" s="1"/>
  <c r="M123" i="15"/>
  <c r="M125" i="15" s="1"/>
  <c r="N123" i="15"/>
  <c r="N125" i="15" s="1"/>
  <c r="O123" i="15"/>
  <c r="O125" i="15" s="1"/>
  <c r="P123" i="15"/>
  <c r="P125" i="15" s="1"/>
  <c r="Q123" i="15"/>
  <c r="Q125" i="15" s="1"/>
  <c r="R123" i="15"/>
  <c r="R125" i="15" s="1"/>
  <c r="S123" i="15"/>
  <c r="S125" i="15" s="1"/>
  <c r="T123" i="15"/>
  <c r="T125" i="15" s="1"/>
  <c r="U123" i="15"/>
  <c r="V123" i="15"/>
  <c r="V125" i="15" s="1"/>
  <c r="W123" i="15"/>
  <c r="W125" i="15" s="1"/>
  <c r="F120" i="15"/>
  <c r="F122" i="15" s="1"/>
  <c r="G120" i="15"/>
  <c r="G122" i="15" s="1"/>
  <c r="H120" i="15"/>
  <c r="H122" i="15" s="1"/>
  <c r="I120" i="15"/>
  <c r="I122" i="15" s="1"/>
  <c r="J120" i="15"/>
  <c r="J122" i="15" s="1"/>
  <c r="K120" i="15"/>
  <c r="K122" i="15" s="1"/>
  <c r="L120" i="15"/>
  <c r="L122" i="15" s="1"/>
  <c r="M120" i="15"/>
  <c r="M122" i="15" s="1"/>
  <c r="N120" i="15"/>
  <c r="N122" i="15" s="1"/>
  <c r="O120" i="15"/>
  <c r="O122" i="15" s="1"/>
  <c r="P120" i="15"/>
  <c r="P122" i="15" s="1"/>
  <c r="Q120" i="15"/>
  <c r="Q122" i="15" s="1"/>
  <c r="R120" i="15"/>
  <c r="R122" i="15" s="1"/>
  <c r="S120" i="15"/>
  <c r="S122" i="15" s="1"/>
  <c r="T120" i="15"/>
  <c r="T122" i="15" s="1"/>
  <c r="U120" i="15"/>
  <c r="V120" i="15"/>
  <c r="V122" i="15" s="1"/>
  <c r="W120" i="15"/>
  <c r="W122" i="15" s="1"/>
  <c r="F117" i="15"/>
  <c r="F119" i="15" s="1"/>
  <c r="G117" i="15"/>
  <c r="G119" i="15" s="1"/>
  <c r="H117" i="15"/>
  <c r="H119" i="15" s="1"/>
  <c r="I117" i="15"/>
  <c r="I119" i="15" s="1"/>
  <c r="J117" i="15"/>
  <c r="J119" i="15" s="1"/>
  <c r="K117" i="15"/>
  <c r="K119" i="15" s="1"/>
  <c r="L117" i="15"/>
  <c r="L119" i="15" s="1"/>
  <c r="M117" i="15"/>
  <c r="M119" i="15" s="1"/>
  <c r="N117" i="15"/>
  <c r="N119" i="15" s="1"/>
  <c r="O117" i="15"/>
  <c r="O119" i="15" s="1"/>
  <c r="P117" i="15"/>
  <c r="P119" i="15" s="1"/>
  <c r="Q117" i="15"/>
  <c r="Q119" i="15" s="1"/>
  <c r="R117" i="15"/>
  <c r="R119" i="15" s="1"/>
  <c r="S117" i="15"/>
  <c r="S119" i="15" s="1"/>
  <c r="T117" i="15"/>
  <c r="T119" i="15" s="1"/>
  <c r="U117" i="15"/>
  <c r="V117" i="15"/>
  <c r="V119" i="15" s="1"/>
  <c r="W117" i="15"/>
  <c r="W119" i="15" s="1"/>
  <c r="F114" i="15"/>
  <c r="F116" i="15" s="1"/>
  <c r="G114" i="15"/>
  <c r="G116" i="15" s="1"/>
  <c r="H114" i="15"/>
  <c r="H116" i="15" s="1"/>
  <c r="I114" i="15"/>
  <c r="I116" i="15" s="1"/>
  <c r="J114" i="15"/>
  <c r="J116" i="15" s="1"/>
  <c r="K114" i="15"/>
  <c r="K116" i="15" s="1"/>
  <c r="L114" i="15"/>
  <c r="L116" i="15" s="1"/>
  <c r="M114" i="15"/>
  <c r="M116" i="15" s="1"/>
  <c r="N114" i="15"/>
  <c r="N116" i="15" s="1"/>
  <c r="O114" i="15"/>
  <c r="O116" i="15" s="1"/>
  <c r="P114" i="15"/>
  <c r="P116" i="15" s="1"/>
  <c r="Q114" i="15"/>
  <c r="Q116" i="15" s="1"/>
  <c r="R114" i="15"/>
  <c r="R116" i="15" s="1"/>
  <c r="S114" i="15"/>
  <c r="S116" i="15" s="1"/>
  <c r="T114" i="15"/>
  <c r="T116" i="15" s="1"/>
  <c r="U114" i="15"/>
  <c r="V114" i="15"/>
  <c r="V116" i="15" s="1"/>
  <c r="W114" i="15"/>
  <c r="W116" i="15" s="1"/>
  <c r="F111" i="15"/>
  <c r="F113" i="15" s="1"/>
  <c r="G111" i="15"/>
  <c r="G113" i="15" s="1"/>
  <c r="H111" i="15"/>
  <c r="H113" i="15" s="1"/>
  <c r="I111" i="15"/>
  <c r="I113" i="15" s="1"/>
  <c r="J111" i="15"/>
  <c r="J113" i="15" s="1"/>
  <c r="K111" i="15"/>
  <c r="K113" i="15" s="1"/>
  <c r="L111" i="15"/>
  <c r="L113" i="15" s="1"/>
  <c r="M111" i="15"/>
  <c r="M113" i="15" s="1"/>
  <c r="N111" i="15"/>
  <c r="N113" i="15" s="1"/>
  <c r="O111" i="15"/>
  <c r="O113" i="15" s="1"/>
  <c r="P111" i="15"/>
  <c r="P113" i="15" s="1"/>
  <c r="Q111" i="15"/>
  <c r="Q113" i="15" s="1"/>
  <c r="R111" i="15"/>
  <c r="R113" i="15" s="1"/>
  <c r="S111" i="15"/>
  <c r="S113" i="15" s="1"/>
  <c r="T111" i="15"/>
  <c r="T113" i="15" s="1"/>
  <c r="U111" i="15"/>
  <c r="V111" i="15"/>
  <c r="V113" i="15" s="1"/>
  <c r="W111" i="15"/>
  <c r="W113" i="15" s="1"/>
  <c r="F108" i="15"/>
  <c r="F110" i="15" s="1"/>
  <c r="G108" i="15"/>
  <c r="G110" i="15" s="1"/>
  <c r="H108" i="15"/>
  <c r="H110" i="15" s="1"/>
  <c r="I108" i="15"/>
  <c r="I110" i="15" s="1"/>
  <c r="J108" i="15"/>
  <c r="J110" i="15" s="1"/>
  <c r="K108" i="15"/>
  <c r="K110" i="15" s="1"/>
  <c r="L108" i="15"/>
  <c r="L110" i="15" s="1"/>
  <c r="M108" i="15"/>
  <c r="M110" i="15" s="1"/>
  <c r="N108" i="15"/>
  <c r="N110" i="15" s="1"/>
  <c r="O108" i="15"/>
  <c r="O110" i="15" s="1"/>
  <c r="P108" i="15"/>
  <c r="P110" i="15" s="1"/>
  <c r="Q108" i="15"/>
  <c r="Q110" i="15" s="1"/>
  <c r="R108" i="15"/>
  <c r="R110" i="15" s="1"/>
  <c r="S108" i="15"/>
  <c r="S110" i="15" s="1"/>
  <c r="T108" i="15"/>
  <c r="T110" i="15" s="1"/>
  <c r="U108" i="15"/>
  <c r="V108" i="15"/>
  <c r="V110" i="15" s="1"/>
  <c r="W108" i="15"/>
  <c r="W110" i="15" s="1"/>
  <c r="F105" i="15"/>
  <c r="G105" i="15"/>
  <c r="G107" i="15" s="1"/>
  <c r="H105" i="15"/>
  <c r="H107" i="15" s="1"/>
  <c r="I105" i="15"/>
  <c r="I107" i="15" s="1"/>
  <c r="J105" i="15"/>
  <c r="J107" i="15" s="1"/>
  <c r="K105" i="15"/>
  <c r="K107" i="15" s="1"/>
  <c r="L105" i="15"/>
  <c r="L107" i="15" s="1"/>
  <c r="M105" i="15"/>
  <c r="M107" i="15" s="1"/>
  <c r="N105" i="15"/>
  <c r="O105" i="15"/>
  <c r="O107" i="15" s="1"/>
  <c r="P105" i="15"/>
  <c r="P107" i="15" s="1"/>
  <c r="Q105" i="15"/>
  <c r="Q107" i="15" s="1"/>
  <c r="R105" i="15"/>
  <c r="R107" i="15" s="1"/>
  <c r="S105" i="15"/>
  <c r="S107" i="15" s="1"/>
  <c r="T105" i="15"/>
  <c r="T107" i="15" s="1"/>
  <c r="U105" i="15"/>
  <c r="V105" i="15"/>
  <c r="V107" i="15" s="1"/>
  <c r="W105" i="15"/>
  <c r="W107" i="15" s="1"/>
  <c r="F102" i="15"/>
  <c r="F104" i="15" s="1"/>
  <c r="G102" i="15"/>
  <c r="G104" i="15" s="1"/>
  <c r="H102" i="15"/>
  <c r="H104" i="15" s="1"/>
  <c r="I102" i="15"/>
  <c r="I104" i="15" s="1"/>
  <c r="J102" i="15"/>
  <c r="J104" i="15" s="1"/>
  <c r="K102" i="15"/>
  <c r="K104" i="15" s="1"/>
  <c r="L102" i="15"/>
  <c r="L104" i="15" s="1"/>
  <c r="M102" i="15"/>
  <c r="M104" i="15" s="1"/>
  <c r="N102" i="15"/>
  <c r="N104" i="15" s="1"/>
  <c r="O102" i="15"/>
  <c r="O104" i="15" s="1"/>
  <c r="P102" i="15"/>
  <c r="P104" i="15" s="1"/>
  <c r="Q102" i="15"/>
  <c r="Q104" i="15" s="1"/>
  <c r="R102" i="15"/>
  <c r="R104" i="15" s="1"/>
  <c r="S102" i="15"/>
  <c r="S104" i="15" s="1"/>
  <c r="T102" i="15"/>
  <c r="T104" i="15" s="1"/>
  <c r="U102" i="15"/>
  <c r="V102" i="15"/>
  <c r="V104" i="15" s="1"/>
  <c r="W102" i="15"/>
  <c r="W104" i="15" s="1"/>
  <c r="F99" i="15"/>
  <c r="F101" i="15" s="1"/>
  <c r="G99" i="15"/>
  <c r="G101" i="15" s="1"/>
  <c r="H99" i="15"/>
  <c r="H101" i="15" s="1"/>
  <c r="I99" i="15"/>
  <c r="I101" i="15" s="1"/>
  <c r="J99" i="15"/>
  <c r="J101" i="15" s="1"/>
  <c r="K99" i="15"/>
  <c r="K101" i="15" s="1"/>
  <c r="L99" i="15"/>
  <c r="L101" i="15" s="1"/>
  <c r="M99" i="15"/>
  <c r="M101" i="15" s="1"/>
  <c r="N99" i="15"/>
  <c r="N101" i="15" s="1"/>
  <c r="O99" i="15"/>
  <c r="O101" i="15" s="1"/>
  <c r="P99" i="15"/>
  <c r="P101" i="15" s="1"/>
  <c r="Q99" i="15"/>
  <c r="Q101" i="15" s="1"/>
  <c r="R99" i="15"/>
  <c r="R101" i="15" s="1"/>
  <c r="S99" i="15"/>
  <c r="S101" i="15" s="1"/>
  <c r="T99" i="15"/>
  <c r="T101" i="15" s="1"/>
  <c r="U99" i="15"/>
  <c r="V99" i="15"/>
  <c r="V101" i="15" s="1"/>
  <c r="W99" i="15"/>
  <c r="W101" i="15" s="1"/>
  <c r="F96" i="15"/>
  <c r="F98" i="15" s="1"/>
  <c r="G96" i="15"/>
  <c r="G98" i="15" s="1"/>
  <c r="H96" i="15"/>
  <c r="H98" i="15" s="1"/>
  <c r="I96" i="15"/>
  <c r="I98" i="15" s="1"/>
  <c r="J96" i="15"/>
  <c r="J98" i="15" s="1"/>
  <c r="K96" i="15"/>
  <c r="K98" i="15" s="1"/>
  <c r="L96" i="15"/>
  <c r="L98" i="15" s="1"/>
  <c r="M96" i="15"/>
  <c r="M98" i="15" s="1"/>
  <c r="N96" i="15"/>
  <c r="N98" i="15" s="1"/>
  <c r="O96" i="15"/>
  <c r="O98" i="15" s="1"/>
  <c r="P96" i="15"/>
  <c r="P98" i="15" s="1"/>
  <c r="Q96" i="15"/>
  <c r="Q98" i="15" s="1"/>
  <c r="R96" i="15"/>
  <c r="R98" i="15" s="1"/>
  <c r="S96" i="15"/>
  <c r="S98" i="15" s="1"/>
  <c r="T96" i="15"/>
  <c r="T98" i="15" s="1"/>
  <c r="U96" i="15"/>
  <c r="V96" i="15"/>
  <c r="V98" i="15" s="1"/>
  <c r="W96" i="15"/>
  <c r="W98" i="15" s="1"/>
  <c r="F93" i="15"/>
  <c r="F95" i="15" s="1"/>
  <c r="G93" i="15"/>
  <c r="G95" i="15" s="1"/>
  <c r="H93" i="15"/>
  <c r="H95" i="15" s="1"/>
  <c r="I93" i="15"/>
  <c r="I95" i="15" s="1"/>
  <c r="J93" i="15"/>
  <c r="J95" i="15" s="1"/>
  <c r="K93" i="15"/>
  <c r="K95" i="15" s="1"/>
  <c r="L93" i="15"/>
  <c r="L95" i="15" s="1"/>
  <c r="M93" i="15"/>
  <c r="M95" i="15" s="1"/>
  <c r="N93" i="15"/>
  <c r="N95" i="15" s="1"/>
  <c r="O93" i="15"/>
  <c r="O95" i="15" s="1"/>
  <c r="P93" i="15"/>
  <c r="P95" i="15" s="1"/>
  <c r="Q93" i="15"/>
  <c r="Q95" i="15" s="1"/>
  <c r="R93" i="15"/>
  <c r="R95" i="15" s="1"/>
  <c r="S93" i="15"/>
  <c r="S95" i="15" s="1"/>
  <c r="T93" i="15"/>
  <c r="T95" i="15" s="1"/>
  <c r="U93" i="15"/>
  <c r="V93" i="15"/>
  <c r="V95" i="15" s="1"/>
  <c r="W93" i="15"/>
  <c r="W95" i="15" s="1"/>
  <c r="F90" i="15"/>
  <c r="G90" i="15"/>
  <c r="H90" i="15"/>
  <c r="I90" i="15"/>
  <c r="J90" i="15"/>
  <c r="K90" i="15"/>
  <c r="L90" i="15"/>
  <c r="M90" i="15"/>
  <c r="N90" i="15"/>
  <c r="O90" i="15"/>
  <c r="P90" i="15"/>
  <c r="Q90" i="15"/>
  <c r="R90" i="15"/>
  <c r="S90" i="15"/>
  <c r="S92" i="15" s="1"/>
  <c r="T90" i="15"/>
  <c r="T92" i="15" s="1"/>
  <c r="U90" i="15"/>
  <c r="V90" i="15"/>
  <c r="V92" i="15" s="1"/>
  <c r="W90" i="15"/>
  <c r="W92" i="15" s="1"/>
  <c r="F87" i="15"/>
  <c r="G87" i="15"/>
  <c r="G89" i="15" s="1"/>
  <c r="H87" i="15"/>
  <c r="H89" i="15" s="1"/>
  <c r="I87" i="15"/>
  <c r="I89" i="15" s="1"/>
  <c r="J87" i="15"/>
  <c r="J89" i="15" s="1"/>
  <c r="K87" i="15"/>
  <c r="K89" i="15" s="1"/>
  <c r="L87" i="15"/>
  <c r="L89" i="15" s="1"/>
  <c r="M87" i="15"/>
  <c r="M89" i="15" s="1"/>
  <c r="N87" i="15"/>
  <c r="N89" i="15" s="1"/>
  <c r="O87" i="15"/>
  <c r="O89" i="15" s="1"/>
  <c r="P87" i="15"/>
  <c r="P89" i="15" s="1"/>
  <c r="Q87" i="15"/>
  <c r="Q89" i="15" s="1"/>
  <c r="R87" i="15"/>
  <c r="R89" i="15" s="1"/>
  <c r="S87" i="15"/>
  <c r="S89" i="15" s="1"/>
  <c r="T87" i="15"/>
  <c r="T89" i="15" s="1"/>
  <c r="U87" i="15"/>
  <c r="V87" i="15"/>
  <c r="V89" i="15" s="1"/>
  <c r="W87" i="15"/>
  <c r="W89" i="15" s="1"/>
  <c r="F84" i="15"/>
  <c r="F86" i="15" s="1"/>
  <c r="G84" i="15"/>
  <c r="G86" i="15" s="1"/>
  <c r="H84" i="15"/>
  <c r="H86" i="15" s="1"/>
  <c r="I84" i="15"/>
  <c r="I86" i="15" s="1"/>
  <c r="J84" i="15"/>
  <c r="J86" i="15" s="1"/>
  <c r="K84" i="15"/>
  <c r="K86" i="15" s="1"/>
  <c r="L84" i="15"/>
  <c r="L86" i="15" s="1"/>
  <c r="M84" i="15"/>
  <c r="M86" i="15" s="1"/>
  <c r="N84" i="15"/>
  <c r="N86" i="15" s="1"/>
  <c r="O84" i="15"/>
  <c r="O86" i="15" s="1"/>
  <c r="P84" i="15"/>
  <c r="P86" i="15" s="1"/>
  <c r="Q84" i="15"/>
  <c r="Q86" i="15" s="1"/>
  <c r="R84" i="15"/>
  <c r="R86" i="15" s="1"/>
  <c r="S84" i="15"/>
  <c r="S86" i="15" s="1"/>
  <c r="T84" i="15"/>
  <c r="T86" i="15" s="1"/>
  <c r="U84" i="15"/>
  <c r="V84" i="15"/>
  <c r="V86" i="15" s="1"/>
  <c r="W84" i="15"/>
  <c r="W86" i="15" s="1"/>
  <c r="F81" i="15"/>
  <c r="F83" i="15" s="1"/>
  <c r="G81" i="15"/>
  <c r="G83" i="15" s="1"/>
  <c r="H81" i="15"/>
  <c r="H83" i="15" s="1"/>
  <c r="I81" i="15"/>
  <c r="I83" i="15" s="1"/>
  <c r="J81" i="15"/>
  <c r="J83" i="15" s="1"/>
  <c r="K81" i="15"/>
  <c r="K83" i="15" s="1"/>
  <c r="L81" i="15"/>
  <c r="L83" i="15" s="1"/>
  <c r="M81" i="15"/>
  <c r="M83" i="15" s="1"/>
  <c r="N81" i="15"/>
  <c r="N83" i="15" s="1"/>
  <c r="O81" i="15"/>
  <c r="O83" i="15" s="1"/>
  <c r="P81" i="15"/>
  <c r="P83" i="15" s="1"/>
  <c r="Q81" i="15"/>
  <c r="Q83" i="15" s="1"/>
  <c r="R81" i="15"/>
  <c r="R83" i="15" s="1"/>
  <c r="S81" i="15"/>
  <c r="S83" i="15" s="1"/>
  <c r="T81" i="15"/>
  <c r="T83" i="15" s="1"/>
  <c r="U81" i="15"/>
  <c r="V81" i="15"/>
  <c r="V83" i="15" s="1"/>
  <c r="W81" i="15"/>
  <c r="W83" i="15" s="1"/>
  <c r="F78" i="15"/>
  <c r="F80" i="15" s="1"/>
  <c r="G78" i="15"/>
  <c r="G80" i="15" s="1"/>
  <c r="H78" i="15"/>
  <c r="H80" i="15" s="1"/>
  <c r="I78" i="15"/>
  <c r="I80" i="15" s="1"/>
  <c r="J78" i="15"/>
  <c r="J80" i="15" s="1"/>
  <c r="K78" i="15"/>
  <c r="K80" i="15" s="1"/>
  <c r="L78" i="15"/>
  <c r="L80" i="15" s="1"/>
  <c r="M78" i="15"/>
  <c r="M80" i="15" s="1"/>
  <c r="N78" i="15"/>
  <c r="N80" i="15" s="1"/>
  <c r="O78" i="15"/>
  <c r="O80" i="15" s="1"/>
  <c r="P78" i="15"/>
  <c r="P80" i="15" s="1"/>
  <c r="Q78" i="15"/>
  <c r="Q80" i="15" s="1"/>
  <c r="R78" i="15"/>
  <c r="R80" i="15" s="1"/>
  <c r="S78" i="15"/>
  <c r="S80" i="15" s="1"/>
  <c r="T78" i="15"/>
  <c r="T80" i="15" s="1"/>
  <c r="U78" i="15"/>
  <c r="V78" i="15"/>
  <c r="V80" i="15" s="1"/>
  <c r="W78" i="15"/>
  <c r="W80" i="15" s="1"/>
  <c r="F75" i="15"/>
  <c r="F77" i="15" s="1"/>
  <c r="G75" i="15"/>
  <c r="G77" i="15" s="1"/>
  <c r="H75" i="15"/>
  <c r="H77" i="15" s="1"/>
  <c r="I75" i="15"/>
  <c r="I77" i="15" s="1"/>
  <c r="J75" i="15"/>
  <c r="J77" i="15" s="1"/>
  <c r="K75" i="15"/>
  <c r="K77" i="15" s="1"/>
  <c r="L75" i="15"/>
  <c r="L77" i="15" s="1"/>
  <c r="M75" i="15"/>
  <c r="M77" i="15" s="1"/>
  <c r="N75" i="15"/>
  <c r="N77" i="15" s="1"/>
  <c r="O75" i="15"/>
  <c r="O77" i="15" s="1"/>
  <c r="P75" i="15"/>
  <c r="P77" i="15" s="1"/>
  <c r="Q75" i="15"/>
  <c r="Q77" i="15" s="1"/>
  <c r="R75" i="15"/>
  <c r="R77" i="15" s="1"/>
  <c r="S75" i="15"/>
  <c r="S77" i="15" s="1"/>
  <c r="T75" i="15"/>
  <c r="T77" i="15" s="1"/>
  <c r="U75" i="15"/>
  <c r="V75" i="15"/>
  <c r="V77" i="15" s="1"/>
  <c r="W75" i="15"/>
  <c r="W77" i="15" s="1"/>
  <c r="F72" i="15"/>
  <c r="F74" i="15" s="1"/>
  <c r="G72" i="15"/>
  <c r="G74" i="15" s="1"/>
  <c r="H72" i="15"/>
  <c r="H74" i="15" s="1"/>
  <c r="I72" i="15"/>
  <c r="I74" i="15" s="1"/>
  <c r="J72" i="15"/>
  <c r="J74" i="15" s="1"/>
  <c r="K72" i="15"/>
  <c r="K74" i="15" s="1"/>
  <c r="L72" i="15"/>
  <c r="L74" i="15" s="1"/>
  <c r="M72" i="15"/>
  <c r="M74" i="15" s="1"/>
  <c r="N72" i="15"/>
  <c r="N74" i="15" s="1"/>
  <c r="O72" i="15"/>
  <c r="O74" i="15" s="1"/>
  <c r="P72" i="15"/>
  <c r="P74" i="15" s="1"/>
  <c r="Q72" i="15"/>
  <c r="Q74" i="15" s="1"/>
  <c r="R72" i="15"/>
  <c r="R74" i="15" s="1"/>
  <c r="S72" i="15"/>
  <c r="S74" i="15" s="1"/>
  <c r="T72" i="15"/>
  <c r="T74" i="15" s="1"/>
  <c r="U72" i="15"/>
  <c r="V72" i="15"/>
  <c r="V74" i="15" s="1"/>
  <c r="W72" i="15"/>
  <c r="W74" i="15" s="1"/>
  <c r="F69" i="15"/>
  <c r="F71" i="15" s="1"/>
  <c r="G69" i="15"/>
  <c r="G71" i="15" s="1"/>
  <c r="H69" i="15"/>
  <c r="H71" i="15" s="1"/>
  <c r="I69" i="15"/>
  <c r="I71" i="15" s="1"/>
  <c r="J69" i="15"/>
  <c r="J71" i="15" s="1"/>
  <c r="K69" i="15"/>
  <c r="K71" i="15" s="1"/>
  <c r="L69" i="15"/>
  <c r="L71" i="15" s="1"/>
  <c r="M69" i="15"/>
  <c r="M71" i="15" s="1"/>
  <c r="N69" i="15"/>
  <c r="N71" i="15" s="1"/>
  <c r="O69" i="15"/>
  <c r="O71" i="15" s="1"/>
  <c r="P69" i="15"/>
  <c r="P71" i="15" s="1"/>
  <c r="Q69" i="15"/>
  <c r="Q71" i="15" s="1"/>
  <c r="R69" i="15"/>
  <c r="R71" i="15" s="1"/>
  <c r="S69" i="15"/>
  <c r="S71" i="15" s="1"/>
  <c r="T69" i="15"/>
  <c r="T71" i="15" s="1"/>
  <c r="U69" i="15"/>
  <c r="V69" i="15"/>
  <c r="V71" i="15" s="1"/>
  <c r="W69" i="15"/>
  <c r="W71" i="15" s="1"/>
  <c r="F66" i="15"/>
  <c r="F68" i="15" s="1"/>
  <c r="G66" i="15"/>
  <c r="G68" i="15" s="1"/>
  <c r="H66" i="15"/>
  <c r="H68" i="15" s="1"/>
  <c r="I66" i="15"/>
  <c r="I68" i="15" s="1"/>
  <c r="J66" i="15"/>
  <c r="J68" i="15" s="1"/>
  <c r="K66" i="15"/>
  <c r="K68" i="15" s="1"/>
  <c r="L66" i="15"/>
  <c r="L68" i="15" s="1"/>
  <c r="M66" i="15"/>
  <c r="M68" i="15" s="1"/>
  <c r="N66" i="15"/>
  <c r="N68" i="15" s="1"/>
  <c r="O66" i="15"/>
  <c r="O68" i="15" s="1"/>
  <c r="P66" i="15"/>
  <c r="P68" i="15" s="1"/>
  <c r="Q66" i="15"/>
  <c r="Q68" i="15" s="1"/>
  <c r="R66" i="15"/>
  <c r="R68" i="15" s="1"/>
  <c r="S66" i="15"/>
  <c r="S68" i="15" s="1"/>
  <c r="T66" i="15"/>
  <c r="T68" i="15" s="1"/>
  <c r="U66" i="15"/>
  <c r="V66" i="15"/>
  <c r="V68" i="15" s="1"/>
  <c r="W66" i="15"/>
  <c r="W68" i="15" s="1"/>
  <c r="F63" i="15"/>
  <c r="F65" i="15" s="1"/>
  <c r="G63" i="15"/>
  <c r="G65" i="15" s="1"/>
  <c r="H63" i="15"/>
  <c r="H65" i="15" s="1"/>
  <c r="I63" i="15"/>
  <c r="I65" i="15" s="1"/>
  <c r="J63" i="15"/>
  <c r="J65" i="15" s="1"/>
  <c r="K63" i="15"/>
  <c r="K65" i="15" s="1"/>
  <c r="L63" i="15"/>
  <c r="L65" i="15" s="1"/>
  <c r="M63" i="15"/>
  <c r="M65" i="15" s="1"/>
  <c r="N63" i="15"/>
  <c r="N65" i="15" s="1"/>
  <c r="O63" i="15"/>
  <c r="O65" i="15" s="1"/>
  <c r="P63" i="15"/>
  <c r="P65" i="15" s="1"/>
  <c r="Q63" i="15"/>
  <c r="Q65" i="15" s="1"/>
  <c r="R63" i="15"/>
  <c r="R65" i="15" s="1"/>
  <c r="S63" i="15"/>
  <c r="S65" i="15" s="1"/>
  <c r="T63" i="15"/>
  <c r="T65" i="15" s="1"/>
  <c r="U63" i="15"/>
  <c r="V63" i="15"/>
  <c r="V65" i="15" s="1"/>
  <c r="W63" i="15"/>
  <c r="W65" i="15" s="1"/>
  <c r="F60" i="15"/>
  <c r="F62" i="15" s="1"/>
  <c r="G60" i="15"/>
  <c r="G62" i="15" s="1"/>
  <c r="H60" i="15"/>
  <c r="H62" i="15" s="1"/>
  <c r="I60" i="15"/>
  <c r="I62" i="15" s="1"/>
  <c r="J60" i="15"/>
  <c r="J62" i="15" s="1"/>
  <c r="K60" i="15"/>
  <c r="K62" i="15" s="1"/>
  <c r="L60" i="15"/>
  <c r="L62" i="15" s="1"/>
  <c r="M60" i="15"/>
  <c r="M62" i="15" s="1"/>
  <c r="N60" i="15"/>
  <c r="N62" i="15" s="1"/>
  <c r="O60" i="15"/>
  <c r="O62" i="15" s="1"/>
  <c r="P60" i="15"/>
  <c r="P62" i="15" s="1"/>
  <c r="Q60" i="15"/>
  <c r="Q62" i="15" s="1"/>
  <c r="R60" i="15"/>
  <c r="R62" i="15" s="1"/>
  <c r="S60" i="15"/>
  <c r="S62" i="15" s="1"/>
  <c r="T60" i="15"/>
  <c r="T62" i="15" s="1"/>
  <c r="U60" i="15"/>
  <c r="V60" i="15"/>
  <c r="V62" i="15" s="1"/>
  <c r="W60" i="15"/>
  <c r="W62" i="15" s="1"/>
  <c r="F57" i="15"/>
  <c r="F59" i="15" s="1"/>
  <c r="G57" i="15"/>
  <c r="G59" i="15" s="1"/>
  <c r="H57" i="15"/>
  <c r="H59" i="15" s="1"/>
  <c r="I57" i="15"/>
  <c r="I59" i="15" s="1"/>
  <c r="J57" i="15"/>
  <c r="J59" i="15" s="1"/>
  <c r="K57" i="15"/>
  <c r="K59" i="15" s="1"/>
  <c r="L57" i="15"/>
  <c r="L59" i="15" s="1"/>
  <c r="M57" i="15"/>
  <c r="M59" i="15" s="1"/>
  <c r="N57" i="15"/>
  <c r="N59" i="15" s="1"/>
  <c r="O57" i="15"/>
  <c r="O59" i="15" s="1"/>
  <c r="P57" i="15"/>
  <c r="P59" i="15" s="1"/>
  <c r="Q57" i="15"/>
  <c r="Q59" i="15" s="1"/>
  <c r="R57" i="15"/>
  <c r="R59" i="15" s="1"/>
  <c r="S57" i="15"/>
  <c r="S59" i="15" s="1"/>
  <c r="T57" i="15"/>
  <c r="T59" i="15" s="1"/>
  <c r="U57" i="15"/>
  <c r="V57" i="15"/>
  <c r="V59" i="15" s="1"/>
  <c r="W57" i="15"/>
  <c r="W59" i="15" s="1"/>
  <c r="F54" i="15"/>
  <c r="F56" i="15" s="1"/>
  <c r="G54" i="15"/>
  <c r="G56" i="15" s="1"/>
  <c r="H54" i="15"/>
  <c r="H56" i="15" s="1"/>
  <c r="I54" i="15"/>
  <c r="I56" i="15" s="1"/>
  <c r="J54" i="15"/>
  <c r="J56" i="15" s="1"/>
  <c r="K54" i="15"/>
  <c r="K56" i="15" s="1"/>
  <c r="L54" i="15"/>
  <c r="L56" i="15" s="1"/>
  <c r="M54" i="15"/>
  <c r="M56" i="15" s="1"/>
  <c r="N54" i="15"/>
  <c r="N56" i="15" s="1"/>
  <c r="O54" i="15"/>
  <c r="O56" i="15" s="1"/>
  <c r="P54" i="15"/>
  <c r="P56" i="15" s="1"/>
  <c r="Q54" i="15"/>
  <c r="Q56" i="15" s="1"/>
  <c r="R54" i="15"/>
  <c r="R56" i="15" s="1"/>
  <c r="S54" i="15"/>
  <c r="S56" i="15" s="1"/>
  <c r="T54" i="15"/>
  <c r="T56" i="15" s="1"/>
  <c r="U54" i="15"/>
  <c r="V54" i="15"/>
  <c r="V56" i="15" s="1"/>
  <c r="W54" i="15"/>
  <c r="W56" i="15" s="1"/>
  <c r="F51" i="15"/>
  <c r="F53" i="15" s="1"/>
  <c r="G51" i="15"/>
  <c r="G53" i="15" s="1"/>
  <c r="H51" i="15"/>
  <c r="H53" i="15" s="1"/>
  <c r="I51" i="15"/>
  <c r="I53" i="15" s="1"/>
  <c r="J51" i="15"/>
  <c r="J53" i="15" s="1"/>
  <c r="K51" i="15"/>
  <c r="K53" i="15" s="1"/>
  <c r="L51" i="15"/>
  <c r="L53" i="15" s="1"/>
  <c r="M51" i="15"/>
  <c r="M53" i="15" s="1"/>
  <c r="N51" i="15"/>
  <c r="N53" i="15" s="1"/>
  <c r="O51" i="15"/>
  <c r="O53" i="15" s="1"/>
  <c r="P51" i="15"/>
  <c r="P53" i="15" s="1"/>
  <c r="Q51" i="15"/>
  <c r="Q53" i="15" s="1"/>
  <c r="R51" i="15"/>
  <c r="R53" i="15" s="1"/>
  <c r="S51" i="15"/>
  <c r="S53" i="15" s="1"/>
  <c r="T51" i="15"/>
  <c r="T53" i="15" s="1"/>
  <c r="U51" i="15"/>
  <c r="V51" i="15"/>
  <c r="V53" i="15" s="1"/>
  <c r="W51" i="15"/>
  <c r="W53" i="15" s="1"/>
  <c r="F48" i="15"/>
  <c r="F50" i="15" s="1"/>
  <c r="G48" i="15"/>
  <c r="G50" i="15" s="1"/>
  <c r="H48" i="15"/>
  <c r="H50" i="15" s="1"/>
  <c r="I48" i="15"/>
  <c r="I50" i="15" s="1"/>
  <c r="J48" i="15"/>
  <c r="J50" i="15" s="1"/>
  <c r="K48" i="15"/>
  <c r="K50" i="15" s="1"/>
  <c r="L48" i="15"/>
  <c r="L50" i="15" s="1"/>
  <c r="M48" i="15"/>
  <c r="M50" i="15" s="1"/>
  <c r="N48" i="15"/>
  <c r="N50" i="15" s="1"/>
  <c r="O48" i="15"/>
  <c r="O50" i="15" s="1"/>
  <c r="P48" i="15"/>
  <c r="P50" i="15" s="1"/>
  <c r="Q48" i="15"/>
  <c r="Q50" i="15" s="1"/>
  <c r="R48" i="15"/>
  <c r="R50" i="15" s="1"/>
  <c r="S48" i="15"/>
  <c r="S50" i="15" s="1"/>
  <c r="T48" i="15"/>
  <c r="T50" i="15" s="1"/>
  <c r="U48" i="15"/>
  <c r="V48" i="15"/>
  <c r="V50" i="15" s="1"/>
  <c r="W48" i="15"/>
  <c r="W50" i="15" s="1"/>
  <c r="F45" i="15"/>
  <c r="F47" i="15" s="1"/>
  <c r="G45" i="15"/>
  <c r="G47" i="15" s="1"/>
  <c r="H45" i="15"/>
  <c r="H47" i="15" s="1"/>
  <c r="I45" i="15"/>
  <c r="I47" i="15" s="1"/>
  <c r="J45" i="15"/>
  <c r="J47" i="15" s="1"/>
  <c r="K45" i="15"/>
  <c r="K47" i="15" s="1"/>
  <c r="L45" i="15"/>
  <c r="L47" i="15" s="1"/>
  <c r="M45" i="15"/>
  <c r="M47" i="15" s="1"/>
  <c r="N45" i="15"/>
  <c r="N47" i="15" s="1"/>
  <c r="O45" i="15"/>
  <c r="O47" i="15" s="1"/>
  <c r="P45" i="15"/>
  <c r="P47" i="15" s="1"/>
  <c r="Q45" i="15"/>
  <c r="Q47" i="15" s="1"/>
  <c r="R45" i="15"/>
  <c r="R47" i="15" s="1"/>
  <c r="S45" i="15"/>
  <c r="S47" i="15" s="1"/>
  <c r="T45" i="15"/>
  <c r="T47" i="15" s="1"/>
  <c r="U45" i="15"/>
  <c r="V45" i="15"/>
  <c r="V47" i="15" s="1"/>
  <c r="W45" i="15"/>
  <c r="W47" i="15" s="1"/>
  <c r="F42" i="15"/>
  <c r="F44" i="15" s="1"/>
  <c r="G42" i="15"/>
  <c r="G44" i="15" s="1"/>
  <c r="H42" i="15"/>
  <c r="H44" i="15" s="1"/>
  <c r="I42" i="15"/>
  <c r="I44" i="15" s="1"/>
  <c r="J42" i="15"/>
  <c r="J44" i="15" s="1"/>
  <c r="K42" i="15"/>
  <c r="K44" i="15" s="1"/>
  <c r="L42" i="15"/>
  <c r="L44" i="15" s="1"/>
  <c r="M42" i="15"/>
  <c r="M44" i="15" s="1"/>
  <c r="N42" i="15"/>
  <c r="N44" i="15" s="1"/>
  <c r="O42" i="15"/>
  <c r="O44" i="15" s="1"/>
  <c r="P42" i="15"/>
  <c r="P44" i="15" s="1"/>
  <c r="Q42" i="15"/>
  <c r="Q44" i="15" s="1"/>
  <c r="R42" i="15"/>
  <c r="R44" i="15" s="1"/>
  <c r="S42" i="15"/>
  <c r="S44" i="15" s="1"/>
  <c r="T42" i="15"/>
  <c r="T44" i="15" s="1"/>
  <c r="U42" i="15"/>
  <c r="V42" i="15"/>
  <c r="V44" i="15" s="1"/>
  <c r="W42" i="15"/>
  <c r="W44" i="15" s="1"/>
  <c r="F39" i="15"/>
  <c r="F41" i="15" s="1"/>
  <c r="G39" i="15"/>
  <c r="G41" i="15" s="1"/>
  <c r="H39" i="15"/>
  <c r="H41" i="15" s="1"/>
  <c r="I39" i="15"/>
  <c r="I41" i="15" s="1"/>
  <c r="J39" i="15"/>
  <c r="J41" i="15" s="1"/>
  <c r="K39" i="15"/>
  <c r="K41" i="15" s="1"/>
  <c r="L39" i="15"/>
  <c r="L41" i="15" s="1"/>
  <c r="M39" i="15"/>
  <c r="M41" i="15" s="1"/>
  <c r="N39" i="15"/>
  <c r="N41" i="15" s="1"/>
  <c r="O39" i="15"/>
  <c r="O41" i="15" s="1"/>
  <c r="P39" i="15"/>
  <c r="P41" i="15" s="1"/>
  <c r="Q39" i="15"/>
  <c r="Q41" i="15" s="1"/>
  <c r="R39" i="15"/>
  <c r="R41" i="15" s="1"/>
  <c r="S39" i="15"/>
  <c r="S41" i="15" s="1"/>
  <c r="T39" i="15"/>
  <c r="T41" i="15" s="1"/>
  <c r="U39" i="15"/>
  <c r="V39" i="15"/>
  <c r="V41" i="15" s="1"/>
  <c r="W39" i="15"/>
  <c r="W41" i="15" s="1"/>
  <c r="F36" i="15"/>
  <c r="F38" i="15" s="1"/>
  <c r="G36" i="15"/>
  <c r="G38" i="15" s="1"/>
  <c r="H36" i="15"/>
  <c r="H38" i="15" s="1"/>
  <c r="I36" i="15"/>
  <c r="I38" i="15" s="1"/>
  <c r="J36" i="15"/>
  <c r="J38" i="15" s="1"/>
  <c r="K36" i="15"/>
  <c r="K38" i="15" s="1"/>
  <c r="L36" i="15"/>
  <c r="L38" i="15" s="1"/>
  <c r="M36" i="15"/>
  <c r="M38" i="15" s="1"/>
  <c r="N36" i="15"/>
  <c r="N38" i="15" s="1"/>
  <c r="O36" i="15"/>
  <c r="O38" i="15" s="1"/>
  <c r="P36" i="15"/>
  <c r="P38" i="15" s="1"/>
  <c r="Q36" i="15"/>
  <c r="Q38" i="15" s="1"/>
  <c r="R36" i="15"/>
  <c r="R38" i="15" s="1"/>
  <c r="S36" i="15"/>
  <c r="S38" i="15" s="1"/>
  <c r="T36" i="15"/>
  <c r="T38" i="15" s="1"/>
  <c r="U36" i="15"/>
  <c r="V36" i="15"/>
  <c r="V38" i="15" s="1"/>
  <c r="W36" i="15"/>
  <c r="W38" i="15" s="1"/>
  <c r="F33" i="15"/>
  <c r="F35" i="15" s="1"/>
  <c r="G33" i="15"/>
  <c r="G35" i="15" s="1"/>
  <c r="H33" i="15"/>
  <c r="H35" i="15" s="1"/>
  <c r="I33" i="15"/>
  <c r="I35" i="15" s="1"/>
  <c r="J33" i="15"/>
  <c r="J35" i="15" s="1"/>
  <c r="K33" i="15"/>
  <c r="K35" i="15" s="1"/>
  <c r="L33" i="15"/>
  <c r="L35" i="15" s="1"/>
  <c r="M33" i="15"/>
  <c r="M35" i="15" s="1"/>
  <c r="N33" i="15"/>
  <c r="N35" i="15" s="1"/>
  <c r="O33" i="15"/>
  <c r="O35" i="15" s="1"/>
  <c r="P33" i="15"/>
  <c r="P35" i="15" s="1"/>
  <c r="Q33" i="15"/>
  <c r="Q35" i="15" s="1"/>
  <c r="R33" i="15"/>
  <c r="R35" i="15" s="1"/>
  <c r="S33" i="15"/>
  <c r="S35" i="15" s="1"/>
  <c r="T33" i="15"/>
  <c r="T35" i="15" s="1"/>
  <c r="U33" i="15"/>
  <c r="V33" i="15"/>
  <c r="V35" i="15" s="1"/>
  <c r="W33" i="15"/>
  <c r="W35" i="15" s="1"/>
  <c r="F30" i="15"/>
  <c r="F32" i="15" s="1"/>
  <c r="G30" i="15"/>
  <c r="G32" i="15" s="1"/>
  <c r="H30" i="15"/>
  <c r="H32" i="15" s="1"/>
  <c r="I30" i="15"/>
  <c r="I32" i="15" s="1"/>
  <c r="J30" i="15"/>
  <c r="J32" i="15" s="1"/>
  <c r="K30" i="15"/>
  <c r="K32" i="15" s="1"/>
  <c r="L30" i="15"/>
  <c r="L32" i="15" s="1"/>
  <c r="M30" i="15"/>
  <c r="M32" i="15" s="1"/>
  <c r="N30" i="15"/>
  <c r="N32" i="15" s="1"/>
  <c r="O30" i="15"/>
  <c r="O32" i="15" s="1"/>
  <c r="P30" i="15"/>
  <c r="P32" i="15" s="1"/>
  <c r="Q30" i="15"/>
  <c r="Q32" i="15" s="1"/>
  <c r="R30" i="15"/>
  <c r="R32" i="15" s="1"/>
  <c r="S30" i="15"/>
  <c r="S32" i="15" s="1"/>
  <c r="T30" i="15"/>
  <c r="T32" i="15" s="1"/>
  <c r="U30" i="15"/>
  <c r="V30" i="15"/>
  <c r="V32" i="15" s="1"/>
  <c r="W30" i="15"/>
  <c r="W32" i="15" s="1"/>
  <c r="F27" i="15"/>
  <c r="F29" i="15" s="1"/>
  <c r="G27" i="15"/>
  <c r="G29" i="15" s="1"/>
  <c r="H27" i="15"/>
  <c r="H29" i="15" s="1"/>
  <c r="I27" i="15"/>
  <c r="I29" i="15" s="1"/>
  <c r="J27" i="15"/>
  <c r="J29" i="15" s="1"/>
  <c r="K27" i="15"/>
  <c r="K29" i="15" s="1"/>
  <c r="L27" i="15"/>
  <c r="L29" i="15" s="1"/>
  <c r="M27" i="15"/>
  <c r="M29" i="15" s="1"/>
  <c r="N27" i="15"/>
  <c r="N29" i="15" s="1"/>
  <c r="O27" i="15"/>
  <c r="O29" i="15" s="1"/>
  <c r="P27" i="15"/>
  <c r="P29" i="15" s="1"/>
  <c r="Q27" i="15"/>
  <c r="Q29" i="15" s="1"/>
  <c r="R27" i="15"/>
  <c r="R29" i="15" s="1"/>
  <c r="S27" i="15"/>
  <c r="S29" i="15" s="1"/>
  <c r="T27" i="15"/>
  <c r="T29" i="15" s="1"/>
  <c r="U27" i="15"/>
  <c r="V27" i="15"/>
  <c r="V29" i="15" s="1"/>
  <c r="W27" i="15"/>
  <c r="W29" i="15" s="1"/>
  <c r="F24" i="15"/>
  <c r="F26" i="15" s="1"/>
  <c r="G24" i="15"/>
  <c r="G26" i="15" s="1"/>
  <c r="H24" i="15"/>
  <c r="H26" i="15" s="1"/>
  <c r="I24" i="15"/>
  <c r="I26" i="15" s="1"/>
  <c r="J24" i="15"/>
  <c r="J26" i="15" s="1"/>
  <c r="K24" i="15"/>
  <c r="K26" i="15" s="1"/>
  <c r="L24" i="15"/>
  <c r="L26" i="15" s="1"/>
  <c r="M24" i="15"/>
  <c r="M26" i="15" s="1"/>
  <c r="N24" i="15"/>
  <c r="O24" i="15"/>
  <c r="O26" i="15" s="1"/>
  <c r="P24" i="15"/>
  <c r="P26" i="15" s="1"/>
  <c r="Q24" i="15"/>
  <c r="Q26" i="15" s="1"/>
  <c r="R24" i="15"/>
  <c r="R26" i="15" s="1"/>
  <c r="S24" i="15"/>
  <c r="S26" i="15" s="1"/>
  <c r="T24" i="15"/>
  <c r="T26" i="15" s="1"/>
  <c r="U24" i="15"/>
  <c r="V24" i="15"/>
  <c r="V26" i="15" s="1"/>
  <c r="W24" i="15"/>
  <c r="W26" i="15" s="1"/>
  <c r="F21" i="15"/>
  <c r="F23" i="15" s="1"/>
  <c r="G21" i="15"/>
  <c r="G23" i="15" s="1"/>
  <c r="H21" i="15"/>
  <c r="H23" i="15" s="1"/>
  <c r="I21" i="15"/>
  <c r="I23" i="15" s="1"/>
  <c r="J21" i="15"/>
  <c r="J23" i="15" s="1"/>
  <c r="K21" i="15"/>
  <c r="K23" i="15" s="1"/>
  <c r="L21" i="15"/>
  <c r="L23" i="15" s="1"/>
  <c r="M21" i="15"/>
  <c r="M23" i="15" s="1"/>
  <c r="N21" i="15"/>
  <c r="N23" i="15" s="1"/>
  <c r="O21" i="15"/>
  <c r="O23" i="15" s="1"/>
  <c r="P21" i="15"/>
  <c r="P23" i="15" s="1"/>
  <c r="Q21" i="15"/>
  <c r="Q23" i="15" s="1"/>
  <c r="R21" i="15"/>
  <c r="R23" i="15" s="1"/>
  <c r="S21" i="15"/>
  <c r="S23" i="15" s="1"/>
  <c r="T21" i="15"/>
  <c r="T23" i="15" s="1"/>
  <c r="U21" i="15"/>
  <c r="V21" i="15"/>
  <c r="V23" i="15" s="1"/>
  <c r="W21" i="15"/>
  <c r="W23" i="15" s="1"/>
  <c r="F18" i="15"/>
  <c r="F20" i="15" s="1"/>
  <c r="G18" i="15"/>
  <c r="G20" i="15" s="1"/>
  <c r="H18" i="15"/>
  <c r="H20" i="15" s="1"/>
  <c r="I18" i="15"/>
  <c r="I20" i="15" s="1"/>
  <c r="J18" i="15"/>
  <c r="J20" i="15" s="1"/>
  <c r="K18" i="15"/>
  <c r="K20" i="15" s="1"/>
  <c r="L18" i="15"/>
  <c r="L20" i="15" s="1"/>
  <c r="M18" i="15"/>
  <c r="M20" i="15" s="1"/>
  <c r="N18" i="15"/>
  <c r="N20" i="15" s="1"/>
  <c r="O18" i="15"/>
  <c r="O20" i="15" s="1"/>
  <c r="P18" i="15"/>
  <c r="P20" i="15" s="1"/>
  <c r="Q18" i="15"/>
  <c r="Q20" i="15" s="1"/>
  <c r="R18" i="15"/>
  <c r="R20" i="15" s="1"/>
  <c r="S18" i="15"/>
  <c r="S20" i="15" s="1"/>
  <c r="T18" i="15"/>
  <c r="T20" i="15" s="1"/>
  <c r="U18" i="15"/>
  <c r="V18" i="15"/>
  <c r="V20" i="15" s="1"/>
  <c r="W18" i="15"/>
  <c r="W20" i="15" s="1"/>
  <c r="F15" i="15"/>
  <c r="F17" i="15" s="1"/>
  <c r="G15" i="15"/>
  <c r="G17" i="15" s="1"/>
  <c r="H15" i="15"/>
  <c r="H17" i="15" s="1"/>
  <c r="I15" i="15"/>
  <c r="I17" i="15" s="1"/>
  <c r="J15" i="15"/>
  <c r="J17" i="15" s="1"/>
  <c r="K15" i="15"/>
  <c r="K17" i="15" s="1"/>
  <c r="L15" i="15"/>
  <c r="L17" i="15" s="1"/>
  <c r="M15" i="15"/>
  <c r="M17" i="15" s="1"/>
  <c r="N15" i="15"/>
  <c r="N17" i="15" s="1"/>
  <c r="O15" i="15"/>
  <c r="O17" i="15" s="1"/>
  <c r="P15" i="15"/>
  <c r="P17" i="15" s="1"/>
  <c r="Q15" i="15"/>
  <c r="Q17" i="15" s="1"/>
  <c r="R15" i="15"/>
  <c r="R17" i="15" s="1"/>
  <c r="S15" i="15"/>
  <c r="S17" i="15" s="1"/>
  <c r="T15" i="15"/>
  <c r="T17" i="15" s="1"/>
  <c r="U15" i="15"/>
  <c r="V15" i="15"/>
  <c r="V17" i="15" s="1"/>
  <c r="W15" i="15"/>
  <c r="W17" i="15" s="1"/>
  <c r="F12" i="15"/>
  <c r="F14" i="15" s="1"/>
  <c r="G12" i="15"/>
  <c r="G14" i="15" s="1"/>
  <c r="H12" i="15"/>
  <c r="H14" i="15" s="1"/>
  <c r="I12" i="15"/>
  <c r="I14" i="15" s="1"/>
  <c r="J12" i="15"/>
  <c r="J14" i="15" s="1"/>
  <c r="K12" i="15"/>
  <c r="K14" i="15" s="1"/>
  <c r="L12" i="15"/>
  <c r="L14" i="15" s="1"/>
  <c r="M12" i="15"/>
  <c r="M14" i="15" s="1"/>
  <c r="N12" i="15"/>
  <c r="N14" i="15" s="1"/>
  <c r="O12" i="15"/>
  <c r="O14" i="15" s="1"/>
  <c r="P12" i="15"/>
  <c r="P14" i="15" s="1"/>
  <c r="Q12" i="15"/>
  <c r="Q14" i="15" s="1"/>
  <c r="R12" i="15"/>
  <c r="R14" i="15" s="1"/>
  <c r="S12" i="15"/>
  <c r="S14" i="15" s="1"/>
  <c r="T12" i="15"/>
  <c r="T14" i="15" s="1"/>
  <c r="U12" i="15"/>
  <c r="V12" i="15"/>
  <c r="V14" i="15" s="1"/>
  <c r="W12" i="15"/>
  <c r="W14" i="15" s="1"/>
  <c r="F9" i="15"/>
  <c r="F11" i="15" s="1"/>
  <c r="G9" i="15"/>
  <c r="G11" i="15" s="1"/>
  <c r="H9" i="15"/>
  <c r="H11" i="15" s="1"/>
  <c r="I9" i="15"/>
  <c r="I11" i="15" s="1"/>
  <c r="J9" i="15"/>
  <c r="J11" i="15" s="1"/>
  <c r="K9" i="15"/>
  <c r="K11" i="15" s="1"/>
  <c r="L9" i="15"/>
  <c r="L11" i="15" s="1"/>
  <c r="M9" i="15"/>
  <c r="M11" i="15" s="1"/>
  <c r="N9" i="15"/>
  <c r="N11" i="15" s="1"/>
  <c r="O9" i="15"/>
  <c r="O11" i="15" s="1"/>
  <c r="P9" i="15"/>
  <c r="P11" i="15" s="1"/>
  <c r="Q9" i="15"/>
  <c r="Q11" i="15" s="1"/>
  <c r="R9" i="15"/>
  <c r="R11" i="15" s="1"/>
  <c r="S9" i="15"/>
  <c r="S11" i="15" s="1"/>
  <c r="T9" i="15"/>
  <c r="T11" i="15" s="1"/>
  <c r="U9" i="15"/>
  <c r="V9" i="15"/>
  <c r="V11" i="15" s="1"/>
  <c r="W9" i="15"/>
  <c r="W11" i="15" s="1"/>
  <c r="F6" i="15"/>
  <c r="F8" i="15" s="1"/>
  <c r="G6" i="15"/>
  <c r="G8" i="15" s="1"/>
  <c r="H6" i="15"/>
  <c r="H8" i="15" s="1"/>
  <c r="I6" i="15"/>
  <c r="I8" i="15" s="1"/>
  <c r="J6" i="15"/>
  <c r="J8" i="15" s="1"/>
  <c r="K6" i="15"/>
  <c r="K8" i="15" s="1"/>
  <c r="L6" i="15"/>
  <c r="L8" i="15" s="1"/>
  <c r="M6" i="15"/>
  <c r="M8" i="15" s="1"/>
  <c r="N6" i="15"/>
  <c r="N8" i="15" s="1"/>
  <c r="O6" i="15"/>
  <c r="O8" i="15" s="1"/>
  <c r="P6" i="15"/>
  <c r="P8" i="15" s="1"/>
  <c r="Q6" i="15"/>
  <c r="Q8" i="15" s="1"/>
  <c r="R6" i="15"/>
  <c r="R8" i="15" s="1"/>
  <c r="S6" i="15"/>
  <c r="S8" i="15" s="1"/>
  <c r="T6" i="15"/>
  <c r="T8" i="15" s="1"/>
  <c r="U6" i="15"/>
  <c r="V6" i="15"/>
  <c r="V8" i="15" s="1"/>
  <c r="W6" i="15"/>
  <c r="W8" i="15" s="1"/>
  <c r="W170" i="11"/>
  <c r="M167" i="11"/>
  <c r="V167" i="11"/>
  <c r="L164" i="11"/>
  <c r="T164" i="11"/>
  <c r="K161" i="11"/>
  <c r="S161" i="11"/>
  <c r="V155" i="11"/>
  <c r="V143" i="11"/>
  <c r="W125" i="11"/>
  <c r="W104" i="11"/>
  <c r="V92" i="11"/>
  <c r="W83" i="11"/>
  <c r="W71" i="11"/>
  <c r="V59" i="11"/>
  <c r="V47" i="11"/>
  <c r="W38" i="11"/>
  <c r="W29" i="11"/>
  <c r="W20" i="11"/>
  <c r="V8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R143" i="11" s="1"/>
  <c r="S142" i="11"/>
  <c r="T142" i="11"/>
  <c r="U142" i="11"/>
  <c r="V142" i="11"/>
  <c r="W142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R119" i="11" s="1"/>
  <c r="S118" i="11"/>
  <c r="T118" i="11"/>
  <c r="U118" i="11"/>
  <c r="V118" i="11"/>
  <c r="W118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V113" i="11" s="1"/>
  <c r="W112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R95" i="11" s="1"/>
  <c r="S94" i="11"/>
  <c r="T94" i="11"/>
  <c r="U94" i="11"/>
  <c r="V94" i="11"/>
  <c r="W94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R71" i="11" s="1"/>
  <c r="S70" i="11"/>
  <c r="T70" i="11"/>
  <c r="U70" i="11"/>
  <c r="V70" i="11"/>
  <c r="W70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R59" i="11" s="1"/>
  <c r="S58" i="11"/>
  <c r="T58" i="11"/>
  <c r="U58" i="11"/>
  <c r="V58" i="11"/>
  <c r="W58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R47" i="11" s="1"/>
  <c r="S46" i="11"/>
  <c r="T46" i="11"/>
  <c r="U46" i="11"/>
  <c r="V46" i="11"/>
  <c r="W46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F40" i="11"/>
  <c r="G40" i="11"/>
  <c r="H40" i="11"/>
  <c r="I40" i="11"/>
  <c r="J40" i="11"/>
  <c r="K40" i="11"/>
  <c r="L40" i="11"/>
  <c r="M40" i="11"/>
  <c r="N40" i="11"/>
  <c r="N41" i="11" s="1"/>
  <c r="O40" i="11"/>
  <c r="P40" i="11"/>
  <c r="Q40" i="11"/>
  <c r="R40" i="11"/>
  <c r="S40" i="11"/>
  <c r="T40" i="11"/>
  <c r="U40" i="11"/>
  <c r="V40" i="11"/>
  <c r="W40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F31" i="11"/>
  <c r="F32" i="11" s="1"/>
  <c r="G31" i="11"/>
  <c r="G32" i="11" s="1"/>
  <c r="H31" i="11"/>
  <c r="H32" i="11" s="1"/>
  <c r="I31" i="11"/>
  <c r="I32" i="11" s="1"/>
  <c r="J31" i="11"/>
  <c r="J32" i="11" s="1"/>
  <c r="K31" i="11"/>
  <c r="K32" i="11" s="1"/>
  <c r="L31" i="11"/>
  <c r="L32" i="11" s="1"/>
  <c r="M31" i="11"/>
  <c r="M32" i="11" s="1"/>
  <c r="N31" i="11"/>
  <c r="N32" i="11" s="1"/>
  <c r="O31" i="11"/>
  <c r="O32" i="11" s="1"/>
  <c r="P31" i="11"/>
  <c r="P32" i="11" s="1"/>
  <c r="Q31" i="11"/>
  <c r="Q32" i="11" s="1"/>
  <c r="R31" i="11"/>
  <c r="R32" i="11" s="1"/>
  <c r="S31" i="11"/>
  <c r="S32" i="11" s="1"/>
  <c r="T31" i="11"/>
  <c r="T32" i="11" s="1"/>
  <c r="U31" i="11"/>
  <c r="V31" i="11"/>
  <c r="V32" i="11" s="1"/>
  <c r="W31" i="11"/>
  <c r="W32" i="11" s="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F168" i="11"/>
  <c r="F170" i="11" s="1"/>
  <c r="G168" i="11"/>
  <c r="G170" i="11" s="1"/>
  <c r="H168" i="11"/>
  <c r="H170" i="11" s="1"/>
  <c r="I168" i="11"/>
  <c r="I170" i="11" s="1"/>
  <c r="J168" i="11"/>
  <c r="J170" i="11" s="1"/>
  <c r="K168" i="11"/>
  <c r="K170" i="11" s="1"/>
  <c r="L168" i="11"/>
  <c r="L170" i="11" s="1"/>
  <c r="M168" i="11"/>
  <c r="M170" i="11" s="1"/>
  <c r="N168" i="11"/>
  <c r="N170" i="11" s="1"/>
  <c r="O168" i="11"/>
  <c r="O170" i="11" s="1"/>
  <c r="P168" i="11"/>
  <c r="P170" i="11" s="1"/>
  <c r="Q168" i="11"/>
  <c r="Q170" i="11" s="1"/>
  <c r="R168" i="11"/>
  <c r="R170" i="11" s="1"/>
  <c r="S168" i="11"/>
  <c r="S170" i="11" s="1"/>
  <c r="T168" i="11"/>
  <c r="T170" i="11" s="1"/>
  <c r="U168" i="11"/>
  <c r="V168" i="11"/>
  <c r="V170" i="11" s="1"/>
  <c r="W168" i="11"/>
  <c r="F165" i="11"/>
  <c r="F167" i="11" s="1"/>
  <c r="G165" i="11"/>
  <c r="G167" i="11" s="1"/>
  <c r="H165" i="11"/>
  <c r="H167" i="11" s="1"/>
  <c r="I165" i="11"/>
  <c r="I167" i="11" s="1"/>
  <c r="J165" i="11"/>
  <c r="J167" i="11" s="1"/>
  <c r="K165" i="11"/>
  <c r="K167" i="11" s="1"/>
  <c r="L165" i="11"/>
  <c r="L167" i="11" s="1"/>
  <c r="M165" i="11"/>
  <c r="N165" i="11"/>
  <c r="N167" i="11" s="1"/>
  <c r="O165" i="11"/>
  <c r="O167" i="11" s="1"/>
  <c r="P165" i="11"/>
  <c r="P167" i="11" s="1"/>
  <c r="Q165" i="11"/>
  <c r="Q167" i="11" s="1"/>
  <c r="R165" i="11"/>
  <c r="R167" i="11" s="1"/>
  <c r="S165" i="11"/>
  <c r="S167" i="11" s="1"/>
  <c r="T165" i="11"/>
  <c r="T167" i="11" s="1"/>
  <c r="U165" i="11"/>
  <c r="V165" i="11"/>
  <c r="W165" i="11"/>
  <c r="W167" i="11" s="1"/>
  <c r="F162" i="11"/>
  <c r="F164" i="11" s="1"/>
  <c r="G162" i="11"/>
  <c r="G164" i="11" s="1"/>
  <c r="H162" i="11"/>
  <c r="H164" i="11" s="1"/>
  <c r="I162" i="11"/>
  <c r="I164" i="11" s="1"/>
  <c r="J162" i="11"/>
  <c r="J164" i="11" s="1"/>
  <c r="K162" i="11"/>
  <c r="K164" i="11" s="1"/>
  <c r="L162" i="11"/>
  <c r="M162" i="11"/>
  <c r="M164" i="11" s="1"/>
  <c r="N162" i="11"/>
  <c r="N164" i="11" s="1"/>
  <c r="O162" i="11"/>
  <c r="O164" i="11" s="1"/>
  <c r="P162" i="11"/>
  <c r="P164" i="11" s="1"/>
  <c r="Q162" i="11"/>
  <c r="Q164" i="11" s="1"/>
  <c r="R162" i="11"/>
  <c r="R164" i="11" s="1"/>
  <c r="S162" i="11"/>
  <c r="S164" i="11" s="1"/>
  <c r="T162" i="11"/>
  <c r="U162" i="11"/>
  <c r="V162" i="11"/>
  <c r="V164" i="11" s="1"/>
  <c r="W162" i="11"/>
  <c r="W164" i="11" s="1"/>
  <c r="F159" i="11"/>
  <c r="F161" i="11" s="1"/>
  <c r="G159" i="11"/>
  <c r="G161" i="11" s="1"/>
  <c r="H159" i="11"/>
  <c r="H161" i="11" s="1"/>
  <c r="I159" i="11"/>
  <c r="I161" i="11" s="1"/>
  <c r="J159" i="11"/>
  <c r="J161" i="11" s="1"/>
  <c r="K159" i="11"/>
  <c r="L159" i="11"/>
  <c r="L161" i="11" s="1"/>
  <c r="M159" i="11"/>
  <c r="M161" i="11" s="1"/>
  <c r="N159" i="11"/>
  <c r="N161" i="11" s="1"/>
  <c r="O159" i="11"/>
  <c r="O161" i="11" s="1"/>
  <c r="P159" i="11"/>
  <c r="P161" i="11" s="1"/>
  <c r="Q159" i="11"/>
  <c r="Q161" i="11" s="1"/>
  <c r="R159" i="11"/>
  <c r="R161" i="11" s="1"/>
  <c r="S159" i="11"/>
  <c r="T159" i="11"/>
  <c r="T161" i="11" s="1"/>
  <c r="U159" i="11"/>
  <c r="V159" i="11"/>
  <c r="V161" i="11" s="1"/>
  <c r="W159" i="11"/>
  <c r="W161" i="11" s="1"/>
  <c r="F156" i="11"/>
  <c r="F158" i="11" s="1"/>
  <c r="G156" i="11"/>
  <c r="G158" i="11" s="1"/>
  <c r="H156" i="11"/>
  <c r="H158" i="11" s="1"/>
  <c r="I156" i="11"/>
  <c r="I158" i="11" s="1"/>
  <c r="J156" i="11"/>
  <c r="J158" i="11" s="1"/>
  <c r="K156" i="11"/>
  <c r="K158" i="11" s="1"/>
  <c r="L156" i="11"/>
  <c r="M156" i="11"/>
  <c r="N156" i="11"/>
  <c r="N158" i="11" s="1"/>
  <c r="O156" i="11"/>
  <c r="O158" i="11" s="1"/>
  <c r="P156" i="11"/>
  <c r="Q156" i="11"/>
  <c r="Q158" i="11" s="1"/>
  <c r="R156" i="11"/>
  <c r="S156" i="11"/>
  <c r="S158" i="11" s="1"/>
  <c r="T156" i="11"/>
  <c r="U156" i="11"/>
  <c r="V156" i="11"/>
  <c r="V158" i="11" s="1"/>
  <c r="W156" i="11"/>
  <c r="W158" i="11" s="1"/>
  <c r="F153" i="11"/>
  <c r="G153" i="11"/>
  <c r="H153" i="11"/>
  <c r="I153" i="11"/>
  <c r="I155" i="11" s="1"/>
  <c r="J153" i="11"/>
  <c r="K153" i="11"/>
  <c r="L153" i="11"/>
  <c r="L155" i="11" s="1"/>
  <c r="M153" i="11"/>
  <c r="M155" i="11" s="1"/>
  <c r="N153" i="11"/>
  <c r="O153" i="11"/>
  <c r="O155" i="11" s="1"/>
  <c r="P153" i="11"/>
  <c r="Q153" i="11"/>
  <c r="Q155" i="11" s="1"/>
  <c r="R153" i="11"/>
  <c r="R155" i="11" s="1"/>
  <c r="S153" i="11"/>
  <c r="S155" i="11" s="1"/>
  <c r="T153" i="11"/>
  <c r="T155" i="11" s="1"/>
  <c r="U153" i="11"/>
  <c r="V153" i="11"/>
  <c r="W153" i="11"/>
  <c r="W155" i="11" s="1"/>
  <c r="F150" i="11"/>
  <c r="F152" i="11" s="1"/>
  <c r="G150" i="11"/>
  <c r="G152" i="11" s="1"/>
  <c r="H150" i="11"/>
  <c r="I150" i="11"/>
  <c r="I152" i="11" s="1"/>
  <c r="J150" i="11"/>
  <c r="J152" i="11" s="1"/>
  <c r="K150" i="11"/>
  <c r="L150" i="11"/>
  <c r="M150" i="11"/>
  <c r="M152" i="11" s="1"/>
  <c r="N150" i="11"/>
  <c r="N152" i="11" s="1"/>
  <c r="O150" i="11"/>
  <c r="O152" i="11" s="1"/>
  <c r="P150" i="11"/>
  <c r="Q150" i="11"/>
  <c r="R150" i="11"/>
  <c r="S150" i="11"/>
  <c r="S152" i="11" s="1"/>
  <c r="T150" i="11"/>
  <c r="U150" i="11"/>
  <c r="V150" i="11"/>
  <c r="V152" i="11" s="1"/>
  <c r="W150" i="11"/>
  <c r="W152" i="11" s="1"/>
  <c r="F147" i="11"/>
  <c r="G147" i="11"/>
  <c r="H147" i="11"/>
  <c r="H149" i="11" s="1"/>
  <c r="I147" i="11"/>
  <c r="I149" i="11" s="1"/>
  <c r="J147" i="11"/>
  <c r="K147" i="11"/>
  <c r="K149" i="11" s="1"/>
  <c r="L147" i="11"/>
  <c r="L149" i="11" s="1"/>
  <c r="M147" i="11"/>
  <c r="N147" i="11"/>
  <c r="O147" i="11"/>
  <c r="O149" i="11" s="1"/>
  <c r="P147" i="11"/>
  <c r="P149" i="11" s="1"/>
  <c r="Q147" i="11"/>
  <c r="Q149" i="11" s="1"/>
  <c r="R147" i="11"/>
  <c r="S147" i="11"/>
  <c r="S149" i="11" s="1"/>
  <c r="T147" i="11"/>
  <c r="T149" i="11" s="1"/>
  <c r="U147" i="11"/>
  <c r="V147" i="11"/>
  <c r="V149" i="11" s="1"/>
  <c r="W147" i="11"/>
  <c r="W149" i="11" s="1"/>
  <c r="F144" i="11"/>
  <c r="F146" i="11" s="1"/>
  <c r="G144" i="11"/>
  <c r="G146" i="11" s="1"/>
  <c r="H144" i="11"/>
  <c r="H146" i="11" s="1"/>
  <c r="I144" i="11"/>
  <c r="I146" i="11" s="1"/>
  <c r="J144" i="11"/>
  <c r="J146" i="11" s="1"/>
  <c r="K144" i="11"/>
  <c r="K146" i="11" s="1"/>
  <c r="L144" i="11"/>
  <c r="M144" i="11"/>
  <c r="N144" i="11"/>
  <c r="N146" i="11" s="1"/>
  <c r="O144" i="11"/>
  <c r="O146" i="11" s="1"/>
  <c r="P144" i="11"/>
  <c r="Q144" i="11"/>
  <c r="Q146" i="11" s="1"/>
  <c r="R144" i="11"/>
  <c r="S144" i="11"/>
  <c r="S146" i="11" s="1"/>
  <c r="T144" i="11"/>
  <c r="U144" i="11"/>
  <c r="V144" i="11"/>
  <c r="V146" i="11" s="1"/>
  <c r="W144" i="11"/>
  <c r="W146" i="11" s="1"/>
  <c r="F141" i="11"/>
  <c r="F143" i="11" s="1"/>
  <c r="G141" i="11"/>
  <c r="G143" i="11" s="1"/>
  <c r="H141" i="11"/>
  <c r="I141" i="11"/>
  <c r="I143" i="11" s="1"/>
  <c r="J141" i="11"/>
  <c r="K141" i="11"/>
  <c r="K143" i="11" s="1"/>
  <c r="L141" i="11"/>
  <c r="L143" i="11" s="1"/>
  <c r="M141" i="11"/>
  <c r="M143" i="11" s="1"/>
  <c r="N141" i="11"/>
  <c r="O141" i="11"/>
  <c r="O143" i="11" s="1"/>
  <c r="P141" i="11"/>
  <c r="Q141" i="11"/>
  <c r="Q143" i="11" s="1"/>
  <c r="R141" i="11"/>
  <c r="S141" i="11"/>
  <c r="S143" i="11" s="1"/>
  <c r="T141" i="11"/>
  <c r="T143" i="11" s="1"/>
  <c r="U141" i="11"/>
  <c r="V141" i="11"/>
  <c r="W141" i="11"/>
  <c r="W143" i="11" s="1"/>
  <c r="F138" i="11"/>
  <c r="F140" i="11" s="1"/>
  <c r="G138" i="11"/>
  <c r="G140" i="11" s="1"/>
  <c r="H138" i="11"/>
  <c r="I138" i="11"/>
  <c r="I140" i="11" s="1"/>
  <c r="J138" i="11"/>
  <c r="J140" i="11" s="1"/>
  <c r="K138" i="11"/>
  <c r="L138" i="11"/>
  <c r="M138" i="11"/>
  <c r="M140" i="11" s="1"/>
  <c r="N138" i="11"/>
  <c r="N140" i="11" s="1"/>
  <c r="O138" i="11"/>
  <c r="O140" i="11" s="1"/>
  <c r="P138" i="11"/>
  <c r="Q138" i="11"/>
  <c r="R138" i="11"/>
  <c r="R140" i="11" s="1"/>
  <c r="S138" i="11"/>
  <c r="S140" i="11" s="1"/>
  <c r="T138" i="11"/>
  <c r="U138" i="11"/>
  <c r="V138" i="11"/>
  <c r="V140" i="11" s="1"/>
  <c r="W138" i="11"/>
  <c r="W140" i="11" s="1"/>
  <c r="F135" i="11"/>
  <c r="G135" i="11"/>
  <c r="H135" i="11"/>
  <c r="H137" i="11" s="1"/>
  <c r="I135" i="11"/>
  <c r="I137" i="11" s="1"/>
  <c r="J135" i="11"/>
  <c r="J137" i="11" s="1"/>
  <c r="K135" i="11"/>
  <c r="K137" i="11" s="1"/>
  <c r="L135" i="11"/>
  <c r="L137" i="11" s="1"/>
  <c r="M135" i="11"/>
  <c r="M137" i="11" s="1"/>
  <c r="N135" i="11"/>
  <c r="O135" i="11"/>
  <c r="O137" i="11" s="1"/>
  <c r="P135" i="11"/>
  <c r="P137" i="11" s="1"/>
  <c r="Q135" i="11"/>
  <c r="Q137" i="11" s="1"/>
  <c r="R135" i="11"/>
  <c r="R137" i="11" s="1"/>
  <c r="S135" i="11"/>
  <c r="S137" i="11" s="1"/>
  <c r="T135" i="11"/>
  <c r="T137" i="11" s="1"/>
  <c r="U135" i="11"/>
  <c r="V135" i="11"/>
  <c r="V137" i="11" s="1"/>
  <c r="W135" i="11"/>
  <c r="W137" i="11" s="1"/>
  <c r="F132" i="11"/>
  <c r="F134" i="11" s="1"/>
  <c r="G132" i="11"/>
  <c r="G134" i="11" s="1"/>
  <c r="H132" i="11"/>
  <c r="H134" i="11" s="1"/>
  <c r="I132" i="11"/>
  <c r="I134" i="11" s="1"/>
  <c r="J132" i="11"/>
  <c r="J134" i="11" s="1"/>
  <c r="K132" i="11"/>
  <c r="K134" i="11" s="1"/>
  <c r="L132" i="11"/>
  <c r="M132" i="11"/>
  <c r="N132" i="11"/>
  <c r="N134" i="11" s="1"/>
  <c r="O132" i="11"/>
  <c r="O134" i="11" s="1"/>
  <c r="P132" i="11"/>
  <c r="Q132" i="11"/>
  <c r="Q134" i="11" s="1"/>
  <c r="R132" i="11"/>
  <c r="S132" i="11"/>
  <c r="S134" i="11" s="1"/>
  <c r="T132" i="11"/>
  <c r="U132" i="11"/>
  <c r="V132" i="11"/>
  <c r="V134" i="11" s="1"/>
  <c r="W132" i="11"/>
  <c r="W134" i="11" s="1"/>
  <c r="F129" i="11"/>
  <c r="F131" i="11" s="1"/>
  <c r="G129" i="11"/>
  <c r="G131" i="11" s="1"/>
  <c r="H129" i="11"/>
  <c r="I129" i="11"/>
  <c r="I131" i="11" s="1"/>
  <c r="J129" i="11"/>
  <c r="K129" i="11"/>
  <c r="K131" i="11" s="1"/>
  <c r="L129" i="11"/>
  <c r="L131" i="11" s="1"/>
  <c r="M129" i="11"/>
  <c r="M131" i="11" s="1"/>
  <c r="N129" i="11"/>
  <c r="N131" i="11" s="1"/>
  <c r="O129" i="11"/>
  <c r="O131" i="11" s="1"/>
  <c r="P129" i="11"/>
  <c r="Q129" i="11"/>
  <c r="Q131" i="11" s="1"/>
  <c r="R129" i="11"/>
  <c r="R131" i="11" s="1"/>
  <c r="S129" i="11"/>
  <c r="S131" i="11" s="1"/>
  <c r="T129" i="11"/>
  <c r="T131" i="11" s="1"/>
  <c r="U129" i="11"/>
  <c r="V129" i="11"/>
  <c r="V131" i="11" s="1"/>
  <c r="W129" i="11"/>
  <c r="W131" i="11" s="1"/>
  <c r="F126" i="11"/>
  <c r="F128" i="11" s="1"/>
  <c r="G126" i="11"/>
  <c r="G128" i="11" s="1"/>
  <c r="H126" i="11"/>
  <c r="I126" i="11"/>
  <c r="I128" i="11" s="1"/>
  <c r="J126" i="11"/>
  <c r="J128" i="11" s="1"/>
  <c r="K126" i="11"/>
  <c r="L126" i="11"/>
  <c r="M126" i="11"/>
  <c r="M128" i="11" s="1"/>
  <c r="N126" i="11"/>
  <c r="N128" i="11" s="1"/>
  <c r="O126" i="11"/>
  <c r="O128" i="11" s="1"/>
  <c r="P126" i="11"/>
  <c r="Q126" i="11"/>
  <c r="R126" i="11"/>
  <c r="S126" i="11"/>
  <c r="S128" i="11" s="1"/>
  <c r="T126" i="11"/>
  <c r="U126" i="11"/>
  <c r="V126" i="11"/>
  <c r="V128" i="11" s="1"/>
  <c r="W126" i="11"/>
  <c r="W128" i="11" s="1"/>
  <c r="F123" i="11"/>
  <c r="G123" i="11"/>
  <c r="H123" i="11"/>
  <c r="I123" i="11"/>
  <c r="I125" i="11" s="1"/>
  <c r="J123" i="11"/>
  <c r="K123" i="11"/>
  <c r="K125" i="11" s="1"/>
  <c r="L123" i="11"/>
  <c r="L125" i="11" s="1"/>
  <c r="M123" i="11"/>
  <c r="M125" i="11" s="1"/>
  <c r="N123" i="11"/>
  <c r="O123" i="11"/>
  <c r="O125" i="11" s="1"/>
  <c r="P123" i="11"/>
  <c r="P125" i="11" s="1"/>
  <c r="Q123" i="11"/>
  <c r="Q125" i="11" s="1"/>
  <c r="R123" i="11"/>
  <c r="S123" i="11"/>
  <c r="S125" i="11" s="1"/>
  <c r="T123" i="11"/>
  <c r="T125" i="11" s="1"/>
  <c r="U123" i="11"/>
  <c r="V123" i="11"/>
  <c r="V125" i="11" s="1"/>
  <c r="W123" i="11"/>
  <c r="F120" i="11"/>
  <c r="F122" i="11" s="1"/>
  <c r="G120" i="11"/>
  <c r="G122" i="11" s="1"/>
  <c r="H120" i="11"/>
  <c r="H122" i="11" s="1"/>
  <c r="I120" i="11"/>
  <c r="I122" i="11" s="1"/>
  <c r="J120" i="11"/>
  <c r="J122" i="11" s="1"/>
  <c r="K120" i="11"/>
  <c r="K122" i="11" s="1"/>
  <c r="L120" i="11"/>
  <c r="M120" i="11"/>
  <c r="N120" i="11"/>
  <c r="N122" i="11" s="1"/>
  <c r="O120" i="11"/>
  <c r="O122" i="11" s="1"/>
  <c r="P120" i="11"/>
  <c r="P122" i="11" s="1"/>
  <c r="Q120" i="11"/>
  <c r="Q122" i="11" s="1"/>
  <c r="R120" i="11"/>
  <c r="S120" i="11"/>
  <c r="S122" i="11" s="1"/>
  <c r="T120" i="11"/>
  <c r="U120" i="11"/>
  <c r="V120" i="11"/>
  <c r="V122" i="11" s="1"/>
  <c r="W120" i="11"/>
  <c r="W122" i="11" s="1"/>
  <c r="F117" i="11"/>
  <c r="F119" i="11" s="1"/>
  <c r="G117" i="11"/>
  <c r="G119" i="11" s="1"/>
  <c r="H117" i="11"/>
  <c r="I117" i="11"/>
  <c r="I119" i="11" s="1"/>
  <c r="J117" i="11"/>
  <c r="K117" i="11"/>
  <c r="K119" i="11" s="1"/>
  <c r="L117" i="11"/>
  <c r="L119" i="11" s="1"/>
  <c r="M117" i="11"/>
  <c r="M119" i="11" s="1"/>
  <c r="N117" i="11"/>
  <c r="N119" i="11" s="1"/>
  <c r="O117" i="11"/>
  <c r="O119" i="11" s="1"/>
  <c r="P117" i="11"/>
  <c r="Q117" i="11"/>
  <c r="Q119" i="11" s="1"/>
  <c r="R117" i="11"/>
  <c r="S117" i="11"/>
  <c r="S119" i="11" s="1"/>
  <c r="T117" i="11"/>
  <c r="T119" i="11" s="1"/>
  <c r="U117" i="11"/>
  <c r="V117" i="11"/>
  <c r="V119" i="11" s="1"/>
  <c r="W117" i="11"/>
  <c r="W119" i="11" s="1"/>
  <c r="F114" i="11"/>
  <c r="F116" i="11" s="1"/>
  <c r="G114" i="11"/>
  <c r="G116" i="11" s="1"/>
  <c r="H114" i="11"/>
  <c r="I114" i="11"/>
  <c r="I116" i="11" s="1"/>
  <c r="J114" i="11"/>
  <c r="J116" i="11" s="1"/>
  <c r="K114" i="11"/>
  <c r="L114" i="11"/>
  <c r="M114" i="11"/>
  <c r="M116" i="11" s="1"/>
  <c r="N114" i="11"/>
  <c r="N116" i="11" s="1"/>
  <c r="O114" i="11"/>
  <c r="O116" i="11" s="1"/>
  <c r="P114" i="11"/>
  <c r="Q114" i="11"/>
  <c r="R114" i="11"/>
  <c r="R116" i="11" s="1"/>
  <c r="S114" i="11"/>
  <c r="S116" i="11" s="1"/>
  <c r="T114" i="11"/>
  <c r="U114" i="11"/>
  <c r="V114" i="11"/>
  <c r="V116" i="11" s="1"/>
  <c r="W114" i="11"/>
  <c r="W116" i="11" s="1"/>
  <c r="F111" i="11"/>
  <c r="G111" i="11"/>
  <c r="G113" i="11" s="1"/>
  <c r="H111" i="11"/>
  <c r="H113" i="11" s="1"/>
  <c r="I111" i="11"/>
  <c r="I113" i="11" s="1"/>
  <c r="J111" i="11"/>
  <c r="K111" i="11"/>
  <c r="K113" i="11" s="1"/>
  <c r="L111" i="11"/>
  <c r="L113" i="11" s="1"/>
  <c r="M111" i="11"/>
  <c r="M113" i="11" s="1"/>
  <c r="N111" i="11"/>
  <c r="O111" i="11"/>
  <c r="O113" i="11" s="1"/>
  <c r="P111" i="11"/>
  <c r="P113" i="11" s="1"/>
  <c r="Q111" i="11"/>
  <c r="Q113" i="11" s="1"/>
  <c r="R111" i="11"/>
  <c r="S111" i="11"/>
  <c r="S113" i="11" s="1"/>
  <c r="T111" i="11"/>
  <c r="T113" i="11" s="1"/>
  <c r="U111" i="11"/>
  <c r="V111" i="11"/>
  <c r="W111" i="11"/>
  <c r="W113" i="11" s="1"/>
  <c r="F108" i="11"/>
  <c r="F110" i="11" s="1"/>
  <c r="G108" i="11"/>
  <c r="G110" i="11" s="1"/>
  <c r="H108" i="11"/>
  <c r="H110" i="11" s="1"/>
  <c r="I108" i="11"/>
  <c r="I110" i="11" s="1"/>
  <c r="J108" i="11"/>
  <c r="J110" i="11" s="1"/>
  <c r="K108" i="11"/>
  <c r="K110" i="11" s="1"/>
  <c r="L108" i="11"/>
  <c r="M108" i="11"/>
  <c r="N108" i="11"/>
  <c r="N110" i="11" s="1"/>
  <c r="O108" i="11"/>
  <c r="O110" i="11" s="1"/>
  <c r="P108" i="11"/>
  <c r="P110" i="11" s="1"/>
  <c r="Q108" i="11"/>
  <c r="Q110" i="11" s="1"/>
  <c r="R108" i="11"/>
  <c r="S108" i="11"/>
  <c r="S110" i="11" s="1"/>
  <c r="T108" i="11"/>
  <c r="U108" i="11"/>
  <c r="V108" i="11"/>
  <c r="V110" i="11" s="1"/>
  <c r="W108" i="11"/>
  <c r="W110" i="11" s="1"/>
  <c r="F105" i="11"/>
  <c r="F107" i="11" s="1"/>
  <c r="G105" i="11"/>
  <c r="G107" i="11" s="1"/>
  <c r="H105" i="11"/>
  <c r="H107" i="11" s="1"/>
  <c r="I105" i="11"/>
  <c r="J105" i="11"/>
  <c r="K105" i="11"/>
  <c r="L105" i="11"/>
  <c r="L107" i="11" s="1"/>
  <c r="M105" i="11"/>
  <c r="M107" i="11" s="1"/>
  <c r="N105" i="11"/>
  <c r="N107" i="11" s="1"/>
  <c r="O105" i="11"/>
  <c r="O107" i="11" s="1"/>
  <c r="P105" i="11"/>
  <c r="Q105" i="11"/>
  <c r="Q107" i="11" s="1"/>
  <c r="R105" i="11"/>
  <c r="R107" i="11" s="1"/>
  <c r="S105" i="11"/>
  <c r="S107" i="11" s="1"/>
  <c r="T105" i="11"/>
  <c r="T107" i="11" s="1"/>
  <c r="U105" i="11"/>
  <c r="V105" i="11"/>
  <c r="V107" i="11" s="1"/>
  <c r="W105" i="11"/>
  <c r="W107" i="11" s="1"/>
  <c r="F102" i="11"/>
  <c r="F104" i="11" s="1"/>
  <c r="G102" i="11"/>
  <c r="H102" i="11"/>
  <c r="I102" i="11"/>
  <c r="I104" i="11" s="1"/>
  <c r="J102" i="11"/>
  <c r="J104" i="11" s="1"/>
  <c r="K102" i="11"/>
  <c r="L102" i="11"/>
  <c r="M102" i="11"/>
  <c r="M104" i="11" s="1"/>
  <c r="N102" i="11"/>
  <c r="N104" i="11" s="1"/>
  <c r="O102" i="11"/>
  <c r="O104" i="11" s="1"/>
  <c r="P102" i="11"/>
  <c r="Q102" i="11"/>
  <c r="R102" i="11"/>
  <c r="S102" i="11"/>
  <c r="S104" i="11" s="1"/>
  <c r="T102" i="11"/>
  <c r="U102" i="11"/>
  <c r="V102" i="11"/>
  <c r="V104" i="11" s="1"/>
  <c r="W102" i="11"/>
  <c r="F99" i="11"/>
  <c r="G99" i="11"/>
  <c r="H99" i="11"/>
  <c r="H101" i="11" s="1"/>
  <c r="I99" i="11"/>
  <c r="I101" i="11" s="1"/>
  <c r="J99" i="11"/>
  <c r="J101" i="11" s="1"/>
  <c r="K99" i="11"/>
  <c r="K101" i="11" s="1"/>
  <c r="L99" i="11"/>
  <c r="L101" i="11" s="1"/>
  <c r="M99" i="11"/>
  <c r="M101" i="11" s="1"/>
  <c r="N99" i="11"/>
  <c r="O99" i="11"/>
  <c r="O101" i="11" s="1"/>
  <c r="P99" i="11"/>
  <c r="P101" i="11" s="1"/>
  <c r="Q99" i="11"/>
  <c r="Q101" i="11" s="1"/>
  <c r="R99" i="11"/>
  <c r="S99" i="11"/>
  <c r="S101" i="11" s="1"/>
  <c r="T99" i="11"/>
  <c r="T101" i="11" s="1"/>
  <c r="U99" i="11"/>
  <c r="V99" i="11"/>
  <c r="V101" i="11" s="1"/>
  <c r="W99" i="11"/>
  <c r="W101" i="11" s="1"/>
  <c r="F96" i="11"/>
  <c r="F98" i="11" s="1"/>
  <c r="G96" i="11"/>
  <c r="G98" i="11" s="1"/>
  <c r="H96" i="11"/>
  <c r="H98" i="11" s="1"/>
  <c r="I96" i="11"/>
  <c r="I98" i="11" s="1"/>
  <c r="J96" i="11"/>
  <c r="J98" i="11" s="1"/>
  <c r="K96" i="11"/>
  <c r="K98" i="11" s="1"/>
  <c r="L96" i="11"/>
  <c r="M96" i="11"/>
  <c r="N96" i="11"/>
  <c r="N98" i="11" s="1"/>
  <c r="O96" i="11"/>
  <c r="O98" i="11" s="1"/>
  <c r="P96" i="11"/>
  <c r="P98" i="11" s="1"/>
  <c r="Q96" i="11"/>
  <c r="Q98" i="11" s="1"/>
  <c r="R96" i="11"/>
  <c r="S96" i="11"/>
  <c r="S98" i="11" s="1"/>
  <c r="T96" i="11"/>
  <c r="U96" i="11"/>
  <c r="V96" i="11"/>
  <c r="V98" i="11" s="1"/>
  <c r="W96" i="11"/>
  <c r="W98" i="11" s="1"/>
  <c r="F93" i="11"/>
  <c r="F95" i="11" s="1"/>
  <c r="G93" i="11"/>
  <c r="G95" i="11" s="1"/>
  <c r="H93" i="11"/>
  <c r="I93" i="11"/>
  <c r="J93" i="11"/>
  <c r="K93" i="11"/>
  <c r="K95" i="11" s="1"/>
  <c r="L93" i="11"/>
  <c r="M93" i="11"/>
  <c r="M95" i="11" s="1"/>
  <c r="N93" i="11"/>
  <c r="N95" i="11" s="1"/>
  <c r="O93" i="11"/>
  <c r="O95" i="11" s="1"/>
  <c r="P93" i="11"/>
  <c r="P95" i="11" s="1"/>
  <c r="Q93" i="11"/>
  <c r="Q95" i="11" s="1"/>
  <c r="R93" i="11"/>
  <c r="S93" i="11"/>
  <c r="S95" i="11" s="1"/>
  <c r="T93" i="11"/>
  <c r="T95" i="11" s="1"/>
  <c r="U93" i="11"/>
  <c r="V93" i="11"/>
  <c r="V95" i="11" s="1"/>
  <c r="W93" i="11"/>
  <c r="W95" i="11" s="1"/>
  <c r="F90" i="11"/>
  <c r="F92" i="11" s="1"/>
  <c r="G90" i="11"/>
  <c r="G92" i="11" s="1"/>
  <c r="H90" i="11"/>
  <c r="I90" i="11"/>
  <c r="I92" i="11" s="1"/>
  <c r="J90" i="11"/>
  <c r="J92" i="11" s="1"/>
  <c r="K90" i="11"/>
  <c r="L90" i="11"/>
  <c r="M90" i="11"/>
  <c r="M92" i="11" s="1"/>
  <c r="N90" i="11"/>
  <c r="N92" i="11" s="1"/>
  <c r="O90" i="11"/>
  <c r="O92" i="11" s="1"/>
  <c r="P90" i="11"/>
  <c r="Q90" i="11"/>
  <c r="R90" i="11"/>
  <c r="R92" i="11" s="1"/>
  <c r="S90" i="11"/>
  <c r="S92" i="11" s="1"/>
  <c r="T90" i="11"/>
  <c r="U90" i="11"/>
  <c r="V90" i="11"/>
  <c r="W90" i="11"/>
  <c r="W92" i="11" s="1"/>
  <c r="F87" i="11"/>
  <c r="G87" i="11"/>
  <c r="H87" i="11"/>
  <c r="H89" i="11" s="1"/>
  <c r="I87" i="11"/>
  <c r="I89" i="11" s="1"/>
  <c r="J87" i="11"/>
  <c r="K87" i="11"/>
  <c r="K89" i="11" s="1"/>
  <c r="L87" i="11"/>
  <c r="L89" i="11" s="1"/>
  <c r="M87" i="11"/>
  <c r="M89" i="11" s="1"/>
  <c r="N87" i="11"/>
  <c r="O87" i="11"/>
  <c r="O89" i="11" s="1"/>
  <c r="P87" i="11"/>
  <c r="P89" i="11" s="1"/>
  <c r="Q87" i="11"/>
  <c r="Q89" i="11" s="1"/>
  <c r="R87" i="11"/>
  <c r="S87" i="11"/>
  <c r="S89" i="11" s="1"/>
  <c r="T87" i="11"/>
  <c r="T89" i="11" s="1"/>
  <c r="U87" i="11"/>
  <c r="V87" i="11"/>
  <c r="V89" i="11" s="1"/>
  <c r="W87" i="11"/>
  <c r="W89" i="11" s="1"/>
  <c r="F84" i="11"/>
  <c r="F86" i="11" s="1"/>
  <c r="G84" i="11"/>
  <c r="G86" i="11" s="1"/>
  <c r="H84" i="11"/>
  <c r="H86" i="11" s="1"/>
  <c r="I84" i="11"/>
  <c r="I86" i="11" s="1"/>
  <c r="J84" i="11"/>
  <c r="J86" i="11" s="1"/>
  <c r="K84" i="11"/>
  <c r="K86" i="11" s="1"/>
  <c r="L84" i="11"/>
  <c r="M84" i="11"/>
  <c r="N84" i="11"/>
  <c r="N86" i="11" s="1"/>
  <c r="O84" i="11"/>
  <c r="O86" i="11" s="1"/>
  <c r="P84" i="11"/>
  <c r="P86" i="11" s="1"/>
  <c r="Q84" i="11"/>
  <c r="Q86" i="11" s="1"/>
  <c r="R84" i="11"/>
  <c r="S84" i="11"/>
  <c r="S86" i="11" s="1"/>
  <c r="T84" i="11"/>
  <c r="U84" i="11"/>
  <c r="V84" i="11"/>
  <c r="V86" i="11" s="1"/>
  <c r="W84" i="11"/>
  <c r="W86" i="11" s="1"/>
  <c r="F81" i="11"/>
  <c r="F83" i="11" s="1"/>
  <c r="G81" i="11"/>
  <c r="G83" i="11" s="1"/>
  <c r="H81" i="11"/>
  <c r="I81" i="11"/>
  <c r="I83" i="11" s="1"/>
  <c r="J81" i="11"/>
  <c r="K81" i="11"/>
  <c r="K83" i="11" s="1"/>
  <c r="L81" i="11"/>
  <c r="L83" i="11" s="1"/>
  <c r="M81" i="11"/>
  <c r="M83" i="11" s="1"/>
  <c r="N81" i="11"/>
  <c r="N83" i="11" s="1"/>
  <c r="O81" i="11"/>
  <c r="O83" i="11" s="1"/>
  <c r="P81" i="11"/>
  <c r="P83" i="11" s="1"/>
  <c r="Q81" i="11"/>
  <c r="Q83" i="11" s="1"/>
  <c r="R81" i="11"/>
  <c r="R83" i="11" s="1"/>
  <c r="S81" i="11"/>
  <c r="S83" i="11" s="1"/>
  <c r="T81" i="11"/>
  <c r="T83" i="11" s="1"/>
  <c r="U81" i="11"/>
  <c r="V81" i="11"/>
  <c r="V83" i="11" s="1"/>
  <c r="W81" i="11"/>
  <c r="F78" i="11"/>
  <c r="F80" i="11" s="1"/>
  <c r="G78" i="11"/>
  <c r="G80" i="11" s="1"/>
  <c r="H78" i="11"/>
  <c r="I78" i="11"/>
  <c r="I80" i="11" s="1"/>
  <c r="J78" i="11"/>
  <c r="J80" i="11" s="1"/>
  <c r="K78" i="11"/>
  <c r="L78" i="11"/>
  <c r="M78" i="11"/>
  <c r="M80" i="11" s="1"/>
  <c r="N78" i="11"/>
  <c r="N80" i="11" s="1"/>
  <c r="O78" i="11"/>
  <c r="O80" i="11" s="1"/>
  <c r="P78" i="11"/>
  <c r="Q78" i="11"/>
  <c r="R78" i="11"/>
  <c r="S78" i="11"/>
  <c r="S80" i="11" s="1"/>
  <c r="T78" i="11"/>
  <c r="U78" i="11"/>
  <c r="V78" i="11"/>
  <c r="V80" i="11" s="1"/>
  <c r="W78" i="11"/>
  <c r="W80" i="11" s="1"/>
  <c r="F75" i="11"/>
  <c r="G75" i="11"/>
  <c r="H75" i="11"/>
  <c r="H77" i="11" s="1"/>
  <c r="I75" i="11"/>
  <c r="I77" i="11" s="1"/>
  <c r="J75" i="11"/>
  <c r="J77" i="11" s="1"/>
  <c r="K75" i="11"/>
  <c r="K77" i="11" s="1"/>
  <c r="L75" i="11"/>
  <c r="L77" i="11" s="1"/>
  <c r="M75" i="11"/>
  <c r="M77" i="11" s="1"/>
  <c r="N75" i="11"/>
  <c r="O75" i="11"/>
  <c r="O77" i="11" s="1"/>
  <c r="P75" i="11"/>
  <c r="P77" i="11" s="1"/>
  <c r="Q75" i="11"/>
  <c r="Q77" i="11" s="1"/>
  <c r="R75" i="11"/>
  <c r="S75" i="11"/>
  <c r="S77" i="11" s="1"/>
  <c r="T75" i="11"/>
  <c r="T77" i="11" s="1"/>
  <c r="U75" i="11"/>
  <c r="V75" i="11"/>
  <c r="V77" i="11" s="1"/>
  <c r="W75" i="11"/>
  <c r="W77" i="11" s="1"/>
  <c r="F72" i="11"/>
  <c r="F74" i="11" s="1"/>
  <c r="G72" i="11"/>
  <c r="G74" i="11" s="1"/>
  <c r="H72" i="11"/>
  <c r="H74" i="11" s="1"/>
  <c r="I72" i="11"/>
  <c r="I74" i="11" s="1"/>
  <c r="J72" i="11"/>
  <c r="J74" i="11" s="1"/>
  <c r="K72" i="11"/>
  <c r="L72" i="11"/>
  <c r="M72" i="11"/>
  <c r="M74" i="11" s="1"/>
  <c r="N72" i="11"/>
  <c r="N74" i="11" s="1"/>
  <c r="O72" i="11"/>
  <c r="O74" i="11" s="1"/>
  <c r="P72" i="11"/>
  <c r="P74" i="11" s="1"/>
  <c r="Q72" i="11"/>
  <c r="R72" i="11"/>
  <c r="S72" i="11"/>
  <c r="S74" i="11" s="1"/>
  <c r="T72" i="11"/>
  <c r="U72" i="11"/>
  <c r="V72" i="11"/>
  <c r="V74" i="11" s="1"/>
  <c r="W72" i="11"/>
  <c r="W74" i="11" s="1"/>
  <c r="F69" i="11"/>
  <c r="G69" i="11"/>
  <c r="G71" i="11" s="1"/>
  <c r="H69" i="11"/>
  <c r="H71" i="11" s="1"/>
  <c r="I69" i="11"/>
  <c r="I71" i="11" s="1"/>
  <c r="J69" i="11"/>
  <c r="K69" i="11"/>
  <c r="K71" i="11" s="1"/>
  <c r="L69" i="11"/>
  <c r="L71" i="11" s="1"/>
  <c r="M69" i="11"/>
  <c r="M71" i="11" s="1"/>
  <c r="N69" i="11"/>
  <c r="N71" i="11" s="1"/>
  <c r="O69" i="11"/>
  <c r="O71" i="11" s="1"/>
  <c r="P69" i="11"/>
  <c r="P71" i="11" s="1"/>
  <c r="Q69" i="11"/>
  <c r="Q71" i="11" s="1"/>
  <c r="R69" i="11"/>
  <c r="S69" i="11"/>
  <c r="S71" i="11" s="1"/>
  <c r="T69" i="11"/>
  <c r="T71" i="11" s="1"/>
  <c r="U69" i="11"/>
  <c r="V69" i="11"/>
  <c r="V71" i="11" s="1"/>
  <c r="W69" i="11"/>
  <c r="F66" i="11"/>
  <c r="F68" i="11" s="1"/>
  <c r="G66" i="11"/>
  <c r="G68" i="11" s="1"/>
  <c r="H66" i="11"/>
  <c r="I66" i="11"/>
  <c r="I68" i="11" s="1"/>
  <c r="J66" i="11"/>
  <c r="K66" i="11"/>
  <c r="L66" i="11"/>
  <c r="M66" i="11"/>
  <c r="M68" i="11" s="1"/>
  <c r="N66" i="11"/>
  <c r="N68" i="11" s="1"/>
  <c r="O66" i="11"/>
  <c r="O68" i="11" s="1"/>
  <c r="P66" i="11"/>
  <c r="Q66" i="11"/>
  <c r="R66" i="11"/>
  <c r="R68" i="11" s="1"/>
  <c r="S66" i="11"/>
  <c r="S68" i="11" s="1"/>
  <c r="T66" i="11"/>
  <c r="U66" i="11"/>
  <c r="V66" i="11"/>
  <c r="V68" i="11" s="1"/>
  <c r="W66" i="11"/>
  <c r="W68" i="11" s="1"/>
  <c r="F63" i="11"/>
  <c r="G63" i="11"/>
  <c r="H63" i="11"/>
  <c r="H65" i="11" s="1"/>
  <c r="I63" i="11"/>
  <c r="I65" i="11" s="1"/>
  <c r="J63" i="11"/>
  <c r="J65" i="11" s="1"/>
  <c r="K63" i="11"/>
  <c r="K65" i="11" s="1"/>
  <c r="L63" i="11"/>
  <c r="L65" i="11" s="1"/>
  <c r="M63" i="11"/>
  <c r="M65" i="11" s="1"/>
  <c r="N63" i="11"/>
  <c r="O63" i="11"/>
  <c r="O65" i="11" s="1"/>
  <c r="P63" i="11"/>
  <c r="P65" i="11" s="1"/>
  <c r="Q63" i="11"/>
  <c r="Q65" i="11" s="1"/>
  <c r="R63" i="11"/>
  <c r="S63" i="11"/>
  <c r="S65" i="11" s="1"/>
  <c r="T63" i="11"/>
  <c r="T65" i="11" s="1"/>
  <c r="U63" i="11"/>
  <c r="V63" i="11"/>
  <c r="V65" i="11" s="1"/>
  <c r="W63" i="11"/>
  <c r="W65" i="11" s="1"/>
  <c r="F60" i="11"/>
  <c r="F62" i="11" s="1"/>
  <c r="G60" i="11"/>
  <c r="G62" i="11" s="1"/>
  <c r="H60" i="11"/>
  <c r="H62" i="11" s="1"/>
  <c r="I60" i="11"/>
  <c r="I62" i="11" s="1"/>
  <c r="J60" i="11"/>
  <c r="J62" i="11" s="1"/>
  <c r="K60" i="11"/>
  <c r="K62" i="11" s="1"/>
  <c r="L60" i="11"/>
  <c r="M60" i="11"/>
  <c r="M62" i="11" s="1"/>
  <c r="N60" i="11"/>
  <c r="N62" i="11" s="1"/>
  <c r="O60" i="11"/>
  <c r="O62" i="11" s="1"/>
  <c r="P60" i="11"/>
  <c r="P62" i="11" s="1"/>
  <c r="Q60" i="11"/>
  <c r="Q62" i="11" s="1"/>
  <c r="R60" i="11"/>
  <c r="S60" i="11"/>
  <c r="S62" i="11" s="1"/>
  <c r="T60" i="11"/>
  <c r="U60" i="11"/>
  <c r="V60" i="11"/>
  <c r="V62" i="11" s="1"/>
  <c r="W60" i="11"/>
  <c r="W62" i="11" s="1"/>
  <c r="F57" i="11"/>
  <c r="F59" i="11" s="1"/>
  <c r="G57" i="11"/>
  <c r="G59" i="11" s="1"/>
  <c r="H57" i="11"/>
  <c r="H59" i="11" s="1"/>
  <c r="I57" i="11"/>
  <c r="I59" i="11" s="1"/>
  <c r="J57" i="11"/>
  <c r="K57" i="11"/>
  <c r="K59" i="11" s="1"/>
  <c r="L57" i="11"/>
  <c r="L59" i="11" s="1"/>
  <c r="M57" i="11"/>
  <c r="M59" i="11" s="1"/>
  <c r="N57" i="11"/>
  <c r="N59" i="11" s="1"/>
  <c r="O57" i="11"/>
  <c r="O59" i="11" s="1"/>
  <c r="P57" i="11"/>
  <c r="P59" i="11" s="1"/>
  <c r="Q57" i="11"/>
  <c r="Q59" i="11" s="1"/>
  <c r="R57" i="11"/>
  <c r="S57" i="11"/>
  <c r="S59" i="11" s="1"/>
  <c r="T57" i="11"/>
  <c r="T59" i="11" s="1"/>
  <c r="U57" i="11"/>
  <c r="V57" i="11"/>
  <c r="W57" i="11"/>
  <c r="W59" i="11" s="1"/>
  <c r="F54" i="11"/>
  <c r="F56" i="11" s="1"/>
  <c r="G54" i="11"/>
  <c r="G56" i="11" s="1"/>
  <c r="H54" i="11"/>
  <c r="I54" i="11"/>
  <c r="I56" i="11" s="1"/>
  <c r="J54" i="11"/>
  <c r="K54" i="11"/>
  <c r="L54" i="11"/>
  <c r="M54" i="11"/>
  <c r="M56" i="11" s="1"/>
  <c r="N54" i="11"/>
  <c r="N56" i="11" s="1"/>
  <c r="O54" i="11"/>
  <c r="O56" i="11" s="1"/>
  <c r="P54" i="11"/>
  <c r="Q54" i="11"/>
  <c r="Q56" i="11" s="1"/>
  <c r="R54" i="11"/>
  <c r="S54" i="11"/>
  <c r="S56" i="11" s="1"/>
  <c r="T54" i="11"/>
  <c r="U54" i="11"/>
  <c r="V54" i="11"/>
  <c r="V56" i="11" s="1"/>
  <c r="W54" i="11"/>
  <c r="W56" i="11" s="1"/>
  <c r="F51" i="11"/>
  <c r="G51" i="11"/>
  <c r="H51" i="11"/>
  <c r="H53" i="11" s="1"/>
  <c r="I51" i="11"/>
  <c r="I53" i="11" s="1"/>
  <c r="J51" i="11"/>
  <c r="K51" i="11"/>
  <c r="K53" i="11" s="1"/>
  <c r="L51" i="11"/>
  <c r="L53" i="11" s="1"/>
  <c r="M51" i="11"/>
  <c r="M53" i="11" s="1"/>
  <c r="N51" i="11"/>
  <c r="O51" i="11"/>
  <c r="O53" i="11" s="1"/>
  <c r="P51" i="11"/>
  <c r="P53" i="11" s="1"/>
  <c r="Q51" i="11"/>
  <c r="Q53" i="11" s="1"/>
  <c r="R51" i="11"/>
  <c r="S51" i="11"/>
  <c r="S53" i="11" s="1"/>
  <c r="T51" i="11"/>
  <c r="T53" i="11" s="1"/>
  <c r="U51" i="11"/>
  <c r="V51" i="11"/>
  <c r="V53" i="11" s="1"/>
  <c r="W51" i="11"/>
  <c r="W53" i="11" s="1"/>
  <c r="F48" i="11"/>
  <c r="F50" i="11" s="1"/>
  <c r="G48" i="11"/>
  <c r="G50" i="11" s="1"/>
  <c r="H48" i="11"/>
  <c r="H50" i="11" s="1"/>
  <c r="I48" i="11"/>
  <c r="I50" i="11" s="1"/>
  <c r="J48" i="11"/>
  <c r="J50" i="11" s="1"/>
  <c r="K48" i="11"/>
  <c r="K50" i="11" s="1"/>
  <c r="L48" i="11"/>
  <c r="M48" i="11"/>
  <c r="M50" i="11" s="1"/>
  <c r="N48" i="11"/>
  <c r="N50" i="11" s="1"/>
  <c r="O48" i="11"/>
  <c r="O50" i="11" s="1"/>
  <c r="P48" i="11"/>
  <c r="P50" i="11" s="1"/>
  <c r="Q48" i="11"/>
  <c r="Q50" i="11" s="1"/>
  <c r="R48" i="11"/>
  <c r="S48" i="11"/>
  <c r="S50" i="11" s="1"/>
  <c r="T48" i="11"/>
  <c r="U48" i="11"/>
  <c r="V48" i="11"/>
  <c r="V50" i="11" s="1"/>
  <c r="W48" i="11"/>
  <c r="W50" i="11" s="1"/>
  <c r="F45" i="11"/>
  <c r="F47" i="11" s="1"/>
  <c r="G45" i="11"/>
  <c r="G47" i="11" s="1"/>
  <c r="H45" i="11"/>
  <c r="I45" i="11"/>
  <c r="I47" i="11" s="1"/>
  <c r="J45" i="11"/>
  <c r="K45" i="11"/>
  <c r="K47" i="11" s="1"/>
  <c r="L45" i="11"/>
  <c r="L47" i="11" s="1"/>
  <c r="M45" i="11"/>
  <c r="M47" i="11" s="1"/>
  <c r="N45" i="11"/>
  <c r="N47" i="11" s="1"/>
  <c r="O45" i="11"/>
  <c r="O47" i="11" s="1"/>
  <c r="P45" i="11"/>
  <c r="P47" i="11" s="1"/>
  <c r="Q45" i="11"/>
  <c r="Q47" i="11" s="1"/>
  <c r="R45" i="11"/>
  <c r="S45" i="11"/>
  <c r="S47" i="11" s="1"/>
  <c r="T45" i="11"/>
  <c r="T47" i="11" s="1"/>
  <c r="U45" i="11"/>
  <c r="V45" i="11"/>
  <c r="W45" i="11"/>
  <c r="W47" i="11" s="1"/>
  <c r="F42" i="11"/>
  <c r="F44" i="11" s="1"/>
  <c r="G42" i="11"/>
  <c r="G44" i="11" s="1"/>
  <c r="H42" i="11"/>
  <c r="I42" i="11"/>
  <c r="I44" i="11" s="1"/>
  <c r="J42" i="11"/>
  <c r="J44" i="11" s="1"/>
  <c r="K42" i="11"/>
  <c r="L42" i="11"/>
  <c r="M42" i="11"/>
  <c r="M44" i="11" s="1"/>
  <c r="N42" i="11"/>
  <c r="N44" i="11" s="1"/>
  <c r="O42" i="11"/>
  <c r="O44" i="11" s="1"/>
  <c r="P42" i="11"/>
  <c r="Q42" i="11"/>
  <c r="R42" i="11"/>
  <c r="R44" i="11" s="1"/>
  <c r="S42" i="11"/>
  <c r="S44" i="11" s="1"/>
  <c r="T42" i="11"/>
  <c r="U42" i="11"/>
  <c r="V42" i="11"/>
  <c r="V44" i="11" s="1"/>
  <c r="W42" i="11"/>
  <c r="W44" i="11" s="1"/>
  <c r="F39" i="11"/>
  <c r="G39" i="11"/>
  <c r="H39" i="11"/>
  <c r="H41" i="11" s="1"/>
  <c r="I39" i="11"/>
  <c r="I41" i="11" s="1"/>
  <c r="J39" i="11"/>
  <c r="K39" i="11"/>
  <c r="L39" i="11"/>
  <c r="L41" i="11" s="1"/>
  <c r="M39" i="11"/>
  <c r="N39" i="11"/>
  <c r="O39" i="11"/>
  <c r="P39" i="11"/>
  <c r="P41" i="11" s="1"/>
  <c r="Q39" i="11"/>
  <c r="Q41" i="11" s="1"/>
  <c r="R39" i="11"/>
  <c r="S39" i="11"/>
  <c r="S41" i="11" s="1"/>
  <c r="T39" i="11"/>
  <c r="T41" i="11" s="1"/>
  <c r="U39" i="11"/>
  <c r="V39" i="11"/>
  <c r="V41" i="11" s="1"/>
  <c r="W39" i="11"/>
  <c r="W41" i="11" s="1"/>
  <c r="F36" i="11"/>
  <c r="F38" i="11" s="1"/>
  <c r="G36" i="11"/>
  <c r="G38" i="11" s="1"/>
  <c r="H36" i="11"/>
  <c r="H38" i="11" s="1"/>
  <c r="I36" i="11"/>
  <c r="J36" i="11"/>
  <c r="J38" i="11" s="1"/>
  <c r="K36" i="11"/>
  <c r="K38" i="11" s="1"/>
  <c r="L36" i="11"/>
  <c r="M36" i="11"/>
  <c r="M38" i="11" s="1"/>
  <c r="N36" i="11"/>
  <c r="N38" i="11" s="1"/>
  <c r="O36" i="11"/>
  <c r="O38" i="11" s="1"/>
  <c r="P36" i="11"/>
  <c r="P38" i="11" s="1"/>
  <c r="Q36" i="11"/>
  <c r="Q38" i="11" s="1"/>
  <c r="R36" i="11"/>
  <c r="S36" i="11"/>
  <c r="S38" i="11" s="1"/>
  <c r="T36" i="11"/>
  <c r="U36" i="11"/>
  <c r="V36" i="11"/>
  <c r="V38" i="11" s="1"/>
  <c r="W36" i="11"/>
  <c r="F33" i="11"/>
  <c r="G33" i="11"/>
  <c r="G35" i="11" s="1"/>
  <c r="H33" i="11"/>
  <c r="H35" i="11" s="1"/>
  <c r="I33" i="11"/>
  <c r="I35" i="11" s="1"/>
  <c r="J33" i="11"/>
  <c r="K33" i="11"/>
  <c r="K35" i="11" s="1"/>
  <c r="L33" i="11"/>
  <c r="L35" i="11" s="1"/>
  <c r="M33" i="11"/>
  <c r="M35" i="11" s="1"/>
  <c r="N33" i="11"/>
  <c r="N35" i="11" s="1"/>
  <c r="O33" i="11"/>
  <c r="O35" i="11" s="1"/>
  <c r="P33" i="11"/>
  <c r="P35" i="11" s="1"/>
  <c r="Q33" i="11"/>
  <c r="Q35" i="11" s="1"/>
  <c r="R33" i="11"/>
  <c r="R35" i="11" s="1"/>
  <c r="S33" i="11"/>
  <c r="S35" i="11" s="1"/>
  <c r="T33" i="11"/>
  <c r="T35" i="11" s="1"/>
  <c r="U33" i="11"/>
  <c r="V33" i="11"/>
  <c r="V35" i="11" s="1"/>
  <c r="W33" i="11"/>
  <c r="W35" i="11" s="1"/>
  <c r="F27" i="11"/>
  <c r="G27" i="11"/>
  <c r="G29" i="11" s="1"/>
  <c r="H27" i="11"/>
  <c r="H29" i="11" s="1"/>
  <c r="I27" i="11"/>
  <c r="I29" i="11" s="1"/>
  <c r="J27" i="11"/>
  <c r="K27" i="11"/>
  <c r="K29" i="11" s="1"/>
  <c r="L27" i="11"/>
  <c r="L29" i="11" s="1"/>
  <c r="M27" i="11"/>
  <c r="M29" i="11" s="1"/>
  <c r="N27" i="11"/>
  <c r="O27" i="11"/>
  <c r="O29" i="11" s="1"/>
  <c r="P27" i="11"/>
  <c r="P29" i="11" s="1"/>
  <c r="Q27" i="11"/>
  <c r="Q29" i="11" s="1"/>
  <c r="R27" i="11"/>
  <c r="R29" i="11" s="1"/>
  <c r="S27" i="11"/>
  <c r="S29" i="11" s="1"/>
  <c r="T27" i="11"/>
  <c r="T29" i="11" s="1"/>
  <c r="U27" i="11"/>
  <c r="V27" i="11"/>
  <c r="V29" i="11" s="1"/>
  <c r="W27" i="11"/>
  <c r="F24" i="11"/>
  <c r="F26" i="11" s="1"/>
  <c r="G24" i="11"/>
  <c r="G26" i="11" s="1"/>
  <c r="H24" i="11"/>
  <c r="I24" i="11"/>
  <c r="I26" i="11" s="1"/>
  <c r="J24" i="11"/>
  <c r="J26" i="11" s="1"/>
  <c r="K24" i="11"/>
  <c r="K26" i="11" s="1"/>
  <c r="L24" i="11"/>
  <c r="M24" i="11"/>
  <c r="M26" i="11" s="1"/>
  <c r="N24" i="11"/>
  <c r="N26" i="11" s="1"/>
  <c r="O24" i="11"/>
  <c r="O26" i="11" s="1"/>
  <c r="P24" i="11"/>
  <c r="P26" i="11" s="1"/>
  <c r="Q24" i="11"/>
  <c r="Q26" i="11" s="1"/>
  <c r="R24" i="11"/>
  <c r="S24" i="11"/>
  <c r="S26" i="11" s="1"/>
  <c r="T24" i="11"/>
  <c r="U24" i="11"/>
  <c r="V24" i="11"/>
  <c r="V26" i="11" s="1"/>
  <c r="W24" i="11"/>
  <c r="W26" i="11" s="1"/>
  <c r="F21" i="11"/>
  <c r="G21" i="11"/>
  <c r="G23" i="11" s="1"/>
  <c r="H21" i="11"/>
  <c r="H23" i="11" s="1"/>
  <c r="I21" i="11"/>
  <c r="I23" i="11" s="1"/>
  <c r="J21" i="11"/>
  <c r="K21" i="11"/>
  <c r="L21" i="11"/>
  <c r="M21" i="11"/>
  <c r="M23" i="11" s="1"/>
  <c r="N21" i="11"/>
  <c r="N23" i="11" s="1"/>
  <c r="O21" i="11"/>
  <c r="O23" i="11" s="1"/>
  <c r="P21" i="11"/>
  <c r="P23" i="11" s="1"/>
  <c r="Q21" i="11"/>
  <c r="R21" i="11"/>
  <c r="R23" i="11" s="1"/>
  <c r="S21" i="11"/>
  <c r="S23" i="11" s="1"/>
  <c r="T21" i="11"/>
  <c r="T23" i="11" s="1"/>
  <c r="U21" i="11"/>
  <c r="V21" i="11"/>
  <c r="V23" i="11" s="1"/>
  <c r="W21" i="11"/>
  <c r="W23" i="11" s="1"/>
  <c r="F18" i="11"/>
  <c r="G18" i="11"/>
  <c r="G20" i="11" s="1"/>
  <c r="H18" i="11"/>
  <c r="I18" i="11"/>
  <c r="I20" i="11" s="1"/>
  <c r="J18" i="11"/>
  <c r="K18" i="11"/>
  <c r="K20" i="11" s="1"/>
  <c r="L18" i="11"/>
  <c r="M18" i="11"/>
  <c r="M20" i="11" s="1"/>
  <c r="N18" i="11"/>
  <c r="N20" i="11" s="1"/>
  <c r="O18" i="11"/>
  <c r="O20" i="11" s="1"/>
  <c r="P18" i="11"/>
  <c r="Q18" i="11"/>
  <c r="Q20" i="11" s="1"/>
  <c r="R18" i="11"/>
  <c r="R20" i="11" s="1"/>
  <c r="S18" i="11"/>
  <c r="S20" i="11" s="1"/>
  <c r="T18" i="11"/>
  <c r="T20" i="11" s="1"/>
  <c r="U18" i="11"/>
  <c r="V18" i="11"/>
  <c r="V20" i="11" s="1"/>
  <c r="W18" i="11"/>
  <c r="F15" i="11"/>
  <c r="G15" i="11"/>
  <c r="H15" i="11"/>
  <c r="H17" i="11" s="1"/>
  <c r="I15" i="11"/>
  <c r="I17" i="11" s="1"/>
  <c r="J15" i="11"/>
  <c r="J17" i="11" s="1"/>
  <c r="K15" i="11"/>
  <c r="K17" i="11" s="1"/>
  <c r="L15" i="11"/>
  <c r="L17" i="11" s="1"/>
  <c r="M15" i="11"/>
  <c r="N15" i="11"/>
  <c r="O15" i="11"/>
  <c r="O17" i="11" s="1"/>
  <c r="P15" i="11"/>
  <c r="P17" i="11" s="1"/>
  <c r="Q15" i="11"/>
  <c r="Q17" i="11" s="1"/>
  <c r="R15" i="11"/>
  <c r="R17" i="11" s="1"/>
  <c r="S15" i="11"/>
  <c r="S17" i="11" s="1"/>
  <c r="T15" i="11"/>
  <c r="T17" i="11" s="1"/>
  <c r="U15" i="11"/>
  <c r="V15" i="11"/>
  <c r="V17" i="11" s="1"/>
  <c r="W15" i="11"/>
  <c r="W17" i="11" s="1"/>
  <c r="F12" i="11"/>
  <c r="F14" i="11" s="1"/>
  <c r="G12" i="11"/>
  <c r="H12" i="11"/>
  <c r="I12" i="11"/>
  <c r="I14" i="11" s="1"/>
  <c r="J12" i="11"/>
  <c r="J14" i="11" s="1"/>
  <c r="K12" i="11"/>
  <c r="L12" i="11"/>
  <c r="M12" i="11"/>
  <c r="M14" i="11" s="1"/>
  <c r="N12" i="11"/>
  <c r="N14" i="11" s="1"/>
  <c r="O12" i="11"/>
  <c r="O14" i="11" s="1"/>
  <c r="P12" i="11"/>
  <c r="P14" i="11" s="1"/>
  <c r="Q12" i="11"/>
  <c r="R12" i="11"/>
  <c r="S12" i="11"/>
  <c r="S14" i="11" s="1"/>
  <c r="T12" i="11"/>
  <c r="U12" i="11"/>
  <c r="V12" i="11"/>
  <c r="V14" i="11" s="1"/>
  <c r="W12" i="11"/>
  <c r="W14" i="11" s="1"/>
  <c r="F9" i="11"/>
  <c r="F11" i="11" s="1"/>
  <c r="G9" i="11"/>
  <c r="G11" i="11" s="1"/>
  <c r="H9" i="11"/>
  <c r="H11" i="11" s="1"/>
  <c r="I9" i="11"/>
  <c r="I11" i="11" s="1"/>
  <c r="J9" i="11"/>
  <c r="K9" i="11"/>
  <c r="L9" i="11"/>
  <c r="L11" i="11" s="1"/>
  <c r="M9" i="11"/>
  <c r="M11" i="11" s="1"/>
  <c r="N9" i="11"/>
  <c r="N11" i="11" s="1"/>
  <c r="O9" i="11"/>
  <c r="O11" i="11" s="1"/>
  <c r="P9" i="11"/>
  <c r="P11" i="11" s="1"/>
  <c r="Q9" i="11"/>
  <c r="Q11" i="11" s="1"/>
  <c r="R9" i="11"/>
  <c r="S9" i="11"/>
  <c r="S11" i="11" s="1"/>
  <c r="T9" i="11"/>
  <c r="T11" i="11" s="1"/>
  <c r="U9" i="11"/>
  <c r="V9" i="11"/>
  <c r="V11" i="11" s="1"/>
  <c r="W9" i="11"/>
  <c r="W11" i="11" s="1"/>
  <c r="F6" i="11"/>
  <c r="G6" i="11"/>
  <c r="G8" i="11" s="1"/>
  <c r="H6" i="11"/>
  <c r="I6" i="11"/>
  <c r="I8" i="11" s="1"/>
  <c r="J6" i="11"/>
  <c r="J8" i="11" s="1"/>
  <c r="K6" i="11"/>
  <c r="K8" i="11" s="1"/>
  <c r="L6" i="11"/>
  <c r="L8" i="11" s="1"/>
  <c r="M6" i="11"/>
  <c r="M8" i="11" s="1"/>
  <c r="N6" i="11"/>
  <c r="N8" i="11" s="1"/>
  <c r="O6" i="11"/>
  <c r="O8" i="11" s="1"/>
  <c r="P6" i="11"/>
  <c r="Q6" i="11"/>
  <c r="Q8" i="11" s="1"/>
  <c r="R6" i="11"/>
  <c r="R8" i="11" s="1"/>
  <c r="S6" i="11"/>
  <c r="S8" i="11" s="1"/>
  <c r="T6" i="11"/>
  <c r="U6" i="11"/>
  <c r="V6" i="11"/>
  <c r="W6" i="11"/>
  <c r="W8" i="11" s="1"/>
  <c r="M41" i="11" l="1"/>
  <c r="N92" i="15"/>
  <c r="F92" i="15"/>
  <c r="G92" i="15"/>
  <c r="L38" i="11"/>
  <c r="P44" i="11"/>
  <c r="H44" i="11"/>
  <c r="J47" i="11"/>
  <c r="L50" i="11"/>
  <c r="N53" i="11"/>
  <c r="P56" i="11"/>
  <c r="H56" i="11"/>
  <c r="J59" i="11"/>
  <c r="L62" i="11"/>
  <c r="N65" i="11"/>
  <c r="P68" i="11"/>
  <c r="H68" i="11"/>
  <c r="J71" i="11"/>
  <c r="L74" i="11"/>
  <c r="N77" i="11"/>
  <c r="P80" i="11"/>
  <c r="H80" i="11"/>
  <c r="L86" i="11"/>
  <c r="N89" i="11"/>
  <c r="P92" i="11"/>
  <c r="H92" i="11"/>
  <c r="J95" i="11"/>
  <c r="L98" i="11"/>
  <c r="N101" i="11"/>
  <c r="P104" i="11"/>
  <c r="H104" i="11"/>
  <c r="J107" i="11"/>
  <c r="L110" i="11"/>
  <c r="N113" i="11"/>
  <c r="P116" i="11"/>
  <c r="H116" i="11"/>
  <c r="J119" i="11"/>
  <c r="L122" i="11"/>
  <c r="N125" i="11"/>
  <c r="F125" i="11"/>
  <c r="P128" i="11"/>
  <c r="H128" i="11"/>
  <c r="J131" i="11"/>
  <c r="L134" i="11"/>
  <c r="P140" i="11"/>
  <c r="H140" i="11"/>
  <c r="J143" i="11"/>
  <c r="P152" i="11"/>
  <c r="H152" i="11"/>
  <c r="J155" i="11"/>
  <c r="L158" i="11"/>
  <c r="F8" i="11"/>
  <c r="R26" i="11"/>
  <c r="R38" i="11"/>
  <c r="R50" i="11"/>
  <c r="R62" i="11"/>
  <c r="R74" i="11"/>
  <c r="R86" i="11"/>
  <c r="R98" i="11"/>
  <c r="R110" i="11"/>
  <c r="R122" i="11"/>
  <c r="R134" i="11"/>
  <c r="R146" i="11"/>
  <c r="R158" i="11"/>
  <c r="M92" i="15"/>
  <c r="Q14" i="11"/>
  <c r="I38" i="11"/>
  <c r="K41" i="11"/>
  <c r="L92" i="15"/>
  <c r="H8" i="11"/>
  <c r="J11" i="11"/>
  <c r="T14" i="11"/>
  <c r="L14" i="11"/>
  <c r="N17" i="11"/>
  <c r="F17" i="11"/>
  <c r="P20" i="11"/>
  <c r="H20" i="11"/>
  <c r="T26" i="11"/>
  <c r="L26" i="11"/>
  <c r="N29" i="11"/>
  <c r="F29" i="11"/>
  <c r="F35" i="11"/>
  <c r="J41" i="11"/>
  <c r="R53" i="11"/>
  <c r="R65" i="11"/>
  <c r="R77" i="11"/>
  <c r="R89" i="11"/>
  <c r="R101" i="11"/>
  <c r="R113" i="11"/>
  <c r="R125" i="11"/>
  <c r="R149" i="11"/>
  <c r="K92" i="15"/>
  <c r="P8" i="11"/>
  <c r="J23" i="11"/>
  <c r="R92" i="15"/>
  <c r="J92" i="15"/>
  <c r="O92" i="15"/>
  <c r="R11" i="11"/>
  <c r="R56" i="11"/>
  <c r="R80" i="11"/>
  <c r="R104" i="11"/>
  <c r="R128" i="11"/>
  <c r="R152" i="11"/>
  <c r="Q92" i="15"/>
  <c r="I92" i="15"/>
  <c r="O41" i="11"/>
  <c r="Q44" i="11"/>
  <c r="P92" i="15"/>
  <c r="H92" i="15"/>
  <c r="T38" i="11"/>
  <c r="T50" i="11"/>
  <c r="T62" i="11"/>
  <c r="T74" i="11"/>
  <c r="T86" i="11"/>
  <c r="T98" i="11"/>
  <c r="T110" i="11"/>
  <c r="T122" i="11"/>
  <c r="T134" i="11"/>
  <c r="T146" i="11"/>
  <c r="T158" i="11"/>
  <c r="T44" i="11"/>
  <c r="T56" i="11"/>
  <c r="T68" i="11"/>
  <c r="T80" i="11"/>
  <c r="T92" i="11"/>
  <c r="T104" i="11"/>
  <c r="T116" i="11"/>
  <c r="T128" i="11"/>
  <c r="T140" i="11"/>
  <c r="T152" i="11"/>
  <c r="T8" i="11"/>
  <c r="R41" i="11"/>
  <c r="R14" i="11"/>
  <c r="N149" i="15"/>
  <c r="N107" i="15"/>
  <c r="N26" i="15"/>
  <c r="J149" i="15"/>
  <c r="F107" i="15"/>
  <c r="F89" i="15"/>
  <c r="J149" i="11"/>
  <c r="J125" i="11"/>
  <c r="J113" i="11"/>
  <c r="J89" i="11"/>
  <c r="J83" i="11"/>
  <c r="J68" i="11"/>
  <c r="J56" i="11"/>
  <c r="J53" i="11"/>
  <c r="J35" i="11"/>
  <c r="J29" i="11"/>
  <c r="J20" i="11"/>
  <c r="Q116" i="11"/>
  <c r="Q128" i="11"/>
  <c r="Q140" i="11"/>
  <c r="Q152" i="11"/>
  <c r="Q92" i="11"/>
  <c r="Q104" i="11"/>
  <c r="Q74" i="11"/>
  <c r="Q68" i="11"/>
  <c r="Q80" i="11"/>
  <c r="Q23" i="11"/>
  <c r="P158" i="11"/>
  <c r="P134" i="11"/>
  <c r="P146" i="11"/>
  <c r="P107" i="11"/>
  <c r="P131" i="11"/>
  <c r="P143" i="11"/>
  <c r="P155" i="11"/>
  <c r="P119" i="11"/>
  <c r="N149" i="11"/>
  <c r="N137" i="11"/>
  <c r="N143" i="11"/>
  <c r="N155" i="11"/>
  <c r="M149" i="11"/>
  <c r="M86" i="11"/>
  <c r="M98" i="11"/>
  <c r="M110" i="11"/>
  <c r="M122" i="11"/>
  <c r="M134" i="11"/>
  <c r="M158" i="11"/>
  <c r="M146" i="11"/>
  <c r="M17" i="11"/>
  <c r="I95" i="11"/>
  <c r="I107" i="11"/>
  <c r="H155" i="11"/>
  <c r="H143" i="11"/>
  <c r="H131" i="11"/>
  <c r="H125" i="11"/>
  <c r="H119" i="11"/>
  <c r="H95" i="11"/>
  <c r="H83" i="11"/>
  <c r="H47" i="11"/>
  <c r="H26" i="11"/>
  <c r="H14" i="11"/>
  <c r="L152" i="11"/>
  <c r="L146" i="11"/>
  <c r="L140" i="11"/>
  <c r="L128" i="11"/>
  <c r="L116" i="11"/>
  <c r="L104" i="11"/>
  <c r="L95" i="11"/>
  <c r="L92" i="11"/>
  <c r="L80" i="11"/>
  <c r="L68" i="11"/>
  <c r="L56" i="11"/>
  <c r="L44" i="11"/>
  <c r="L23" i="11"/>
  <c r="L20" i="11"/>
  <c r="K155" i="11"/>
  <c r="K152" i="11"/>
  <c r="K140" i="11"/>
  <c r="K128" i="11"/>
  <c r="K116" i="11"/>
  <c r="K107" i="11"/>
  <c r="K104" i="11"/>
  <c r="K92" i="11"/>
  <c r="K80" i="11"/>
  <c r="K74" i="11"/>
  <c r="K68" i="11"/>
  <c r="K56" i="11"/>
  <c r="K44" i="11"/>
  <c r="K23" i="11"/>
  <c r="K14" i="11"/>
  <c r="K11" i="11"/>
  <c r="G155" i="11"/>
  <c r="G149" i="11"/>
  <c r="G137" i="11"/>
  <c r="G125" i="11"/>
  <c r="G104" i="11"/>
  <c r="G101" i="11"/>
  <c r="G89" i="11"/>
  <c r="G77" i="11"/>
  <c r="G65" i="11"/>
  <c r="G53" i="11"/>
  <c r="G41" i="11"/>
  <c r="G17" i="11"/>
  <c r="G14" i="11"/>
  <c r="F155" i="11"/>
  <c r="F149" i="11"/>
  <c r="F137" i="11"/>
  <c r="F113" i="11"/>
  <c r="F101" i="11"/>
  <c r="F89" i="11"/>
  <c r="F77" i="11"/>
  <c r="F71" i="11"/>
  <c r="F65" i="11"/>
  <c r="F53" i="11"/>
  <c r="F41" i="11"/>
  <c r="F23" i="11"/>
  <c r="F20" i="11"/>
  <c r="F172" i="7"/>
  <c r="G172" i="7"/>
  <c r="H172" i="7"/>
  <c r="I172" i="7"/>
  <c r="J172" i="7"/>
  <c r="K172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F166" i="7"/>
  <c r="G166" i="7"/>
  <c r="H166" i="7"/>
  <c r="I166" i="7"/>
  <c r="J166" i="7"/>
  <c r="K166" i="7"/>
  <c r="L166" i="7"/>
  <c r="M166" i="7"/>
  <c r="N166" i="7"/>
  <c r="O166" i="7"/>
  <c r="P166" i="7"/>
  <c r="Q166" i="7"/>
  <c r="R166" i="7"/>
  <c r="S166" i="7"/>
  <c r="T166" i="7"/>
  <c r="U166" i="7"/>
  <c r="V166" i="7"/>
  <c r="W166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R163" i="7"/>
  <c r="S163" i="7"/>
  <c r="T163" i="7"/>
  <c r="U163" i="7"/>
  <c r="V163" i="7"/>
  <c r="W163" i="7"/>
  <c r="F160" i="7"/>
  <c r="G160" i="7"/>
  <c r="H160" i="7"/>
  <c r="I160" i="7"/>
  <c r="J160" i="7"/>
  <c r="K160" i="7"/>
  <c r="L160" i="7"/>
  <c r="M160" i="7"/>
  <c r="N160" i="7"/>
  <c r="O160" i="7"/>
  <c r="P160" i="7"/>
  <c r="Q160" i="7"/>
  <c r="R160" i="7"/>
  <c r="S160" i="7"/>
  <c r="T160" i="7"/>
  <c r="U160" i="7"/>
  <c r="V160" i="7"/>
  <c r="W160" i="7"/>
  <c r="F157" i="7"/>
  <c r="G157" i="7"/>
  <c r="H157" i="7"/>
  <c r="I157" i="7"/>
  <c r="J157" i="7"/>
  <c r="K157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F154" i="7"/>
  <c r="G154" i="7"/>
  <c r="H154" i="7"/>
  <c r="I154" i="7"/>
  <c r="J154" i="7"/>
  <c r="K154" i="7"/>
  <c r="L154" i="7"/>
  <c r="M154" i="7"/>
  <c r="N154" i="7"/>
  <c r="O154" i="7"/>
  <c r="P154" i="7"/>
  <c r="Q154" i="7"/>
  <c r="R154" i="7"/>
  <c r="S154" i="7"/>
  <c r="T154" i="7"/>
  <c r="U154" i="7"/>
  <c r="V154" i="7"/>
  <c r="W154" i="7"/>
  <c r="F151" i="7"/>
  <c r="G151" i="7"/>
  <c r="H151" i="7"/>
  <c r="I151" i="7"/>
  <c r="J151" i="7"/>
  <c r="K151" i="7"/>
  <c r="L151" i="7"/>
  <c r="M151" i="7"/>
  <c r="N151" i="7"/>
  <c r="O151" i="7"/>
  <c r="P151" i="7"/>
  <c r="Q151" i="7"/>
  <c r="R151" i="7"/>
  <c r="S151" i="7"/>
  <c r="T151" i="7"/>
  <c r="U151" i="7"/>
  <c r="V151" i="7"/>
  <c r="W151" i="7"/>
  <c r="F148" i="7"/>
  <c r="G148" i="7"/>
  <c r="H148" i="7"/>
  <c r="I148" i="7"/>
  <c r="J148" i="7"/>
  <c r="K148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F145" i="7"/>
  <c r="G145" i="7"/>
  <c r="H145" i="7"/>
  <c r="I145" i="7"/>
  <c r="J145" i="7"/>
  <c r="K145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F142" i="7"/>
  <c r="G142" i="7"/>
  <c r="H142" i="7"/>
  <c r="I142" i="7"/>
  <c r="J142" i="7"/>
  <c r="K142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F136" i="7"/>
  <c r="G136" i="7"/>
  <c r="H136" i="7"/>
  <c r="I136" i="7"/>
  <c r="J136" i="7"/>
  <c r="K136" i="7"/>
  <c r="L136" i="7"/>
  <c r="M136" i="7"/>
  <c r="N136" i="7"/>
  <c r="O136" i="7"/>
  <c r="P136" i="7"/>
  <c r="Q136" i="7"/>
  <c r="R136" i="7"/>
  <c r="S136" i="7"/>
  <c r="T136" i="7"/>
  <c r="U136" i="7"/>
  <c r="V136" i="7"/>
  <c r="W136" i="7"/>
  <c r="F133" i="7"/>
  <c r="G133" i="7"/>
  <c r="H133" i="7"/>
  <c r="I133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F130" i="7"/>
  <c r="G130" i="7"/>
  <c r="H130" i="7"/>
  <c r="I130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F127" i="7"/>
  <c r="G127" i="7"/>
  <c r="H127" i="7"/>
  <c r="I127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F124" i="7"/>
  <c r="G124" i="7"/>
  <c r="H124" i="7"/>
  <c r="I124" i="7"/>
  <c r="J124" i="7"/>
  <c r="K124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F121" i="7"/>
  <c r="G121" i="7"/>
  <c r="H121" i="7"/>
  <c r="I121" i="7"/>
  <c r="J121" i="7"/>
  <c r="K121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F112" i="7"/>
  <c r="G112" i="7"/>
  <c r="H112" i="7"/>
  <c r="I112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F109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F106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F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T97" i="7"/>
  <c r="U97" i="7"/>
  <c r="V97" i="7"/>
  <c r="W97" i="7"/>
  <c r="F94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T94" i="7"/>
  <c r="U94" i="7"/>
  <c r="V94" i="7"/>
  <c r="W94" i="7"/>
  <c r="F91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N170" i="7" l="1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F171" i="7"/>
  <c r="F173" i="7" s="1"/>
  <c r="G171" i="7"/>
  <c r="G173" i="7" s="1"/>
  <c r="H171" i="7"/>
  <c r="H173" i="7" s="1"/>
  <c r="I171" i="7"/>
  <c r="I173" i="7" s="1"/>
  <c r="J171" i="7"/>
  <c r="J173" i="7" s="1"/>
  <c r="K171" i="7"/>
  <c r="K173" i="7" s="1"/>
  <c r="L171" i="7"/>
  <c r="L173" i="7" s="1"/>
  <c r="M171" i="7"/>
  <c r="M173" i="7" s="1"/>
  <c r="N171" i="7"/>
  <c r="N173" i="7" s="1"/>
  <c r="O171" i="7"/>
  <c r="O173" i="7" s="1"/>
  <c r="P171" i="7"/>
  <c r="P173" i="7" s="1"/>
  <c r="Q171" i="7"/>
  <c r="Q173" i="7" s="1"/>
  <c r="R171" i="7"/>
  <c r="R173" i="7" s="1"/>
  <c r="S171" i="7"/>
  <c r="S173" i="7" s="1"/>
  <c r="T171" i="7"/>
  <c r="T173" i="7" s="1"/>
  <c r="U171" i="7"/>
  <c r="V171" i="7"/>
  <c r="V173" i="7" s="1"/>
  <c r="W171" i="7"/>
  <c r="W173" i="7" s="1"/>
  <c r="F168" i="7"/>
  <c r="F170" i="7" s="1"/>
  <c r="G168" i="7"/>
  <c r="G170" i="7" s="1"/>
  <c r="H168" i="7"/>
  <c r="H170" i="7" s="1"/>
  <c r="I168" i="7"/>
  <c r="I170" i="7" s="1"/>
  <c r="J168" i="7"/>
  <c r="J170" i="7" s="1"/>
  <c r="K168" i="7"/>
  <c r="K170" i="7" s="1"/>
  <c r="L168" i="7"/>
  <c r="L170" i="7" s="1"/>
  <c r="M168" i="7"/>
  <c r="M170" i="7" s="1"/>
  <c r="N168" i="7"/>
  <c r="O168" i="7"/>
  <c r="O170" i="7" s="1"/>
  <c r="P168" i="7"/>
  <c r="P170" i="7" s="1"/>
  <c r="Q168" i="7"/>
  <c r="Q170" i="7" s="1"/>
  <c r="R168" i="7"/>
  <c r="R170" i="7" s="1"/>
  <c r="S168" i="7"/>
  <c r="S170" i="7" s="1"/>
  <c r="T168" i="7"/>
  <c r="T170" i="7" s="1"/>
  <c r="U168" i="7"/>
  <c r="V168" i="7"/>
  <c r="V170" i="7" s="1"/>
  <c r="W168" i="7"/>
  <c r="W170" i="7" s="1"/>
  <c r="F165" i="7"/>
  <c r="F167" i="7" s="1"/>
  <c r="G165" i="7"/>
  <c r="G167" i="7" s="1"/>
  <c r="H165" i="7"/>
  <c r="H167" i="7" s="1"/>
  <c r="I165" i="7"/>
  <c r="I167" i="7" s="1"/>
  <c r="J165" i="7"/>
  <c r="J167" i="7" s="1"/>
  <c r="K165" i="7"/>
  <c r="K167" i="7" s="1"/>
  <c r="L165" i="7"/>
  <c r="L167" i="7" s="1"/>
  <c r="M165" i="7"/>
  <c r="M167" i="7" s="1"/>
  <c r="N165" i="7"/>
  <c r="N167" i="7" s="1"/>
  <c r="O165" i="7"/>
  <c r="O167" i="7" s="1"/>
  <c r="P165" i="7"/>
  <c r="P167" i="7" s="1"/>
  <c r="Q165" i="7"/>
  <c r="Q167" i="7" s="1"/>
  <c r="R165" i="7"/>
  <c r="R167" i="7" s="1"/>
  <c r="S165" i="7"/>
  <c r="S167" i="7" s="1"/>
  <c r="T165" i="7"/>
  <c r="T167" i="7" s="1"/>
  <c r="U165" i="7"/>
  <c r="V165" i="7"/>
  <c r="V167" i="7" s="1"/>
  <c r="W165" i="7"/>
  <c r="W167" i="7" s="1"/>
  <c r="F162" i="7"/>
  <c r="F164" i="7" s="1"/>
  <c r="G162" i="7"/>
  <c r="G164" i="7" s="1"/>
  <c r="H162" i="7"/>
  <c r="H164" i="7" s="1"/>
  <c r="I162" i="7"/>
  <c r="I164" i="7" s="1"/>
  <c r="J162" i="7"/>
  <c r="J164" i="7" s="1"/>
  <c r="K162" i="7"/>
  <c r="K164" i="7" s="1"/>
  <c r="L162" i="7"/>
  <c r="L164" i="7" s="1"/>
  <c r="M162" i="7"/>
  <c r="M164" i="7" s="1"/>
  <c r="N162" i="7"/>
  <c r="N164" i="7" s="1"/>
  <c r="O162" i="7"/>
  <c r="O164" i="7" s="1"/>
  <c r="P162" i="7"/>
  <c r="P164" i="7" s="1"/>
  <c r="Q162" i="7"/>
  <c r="Q164" i="7" s="1"/>
  <c r="R162" i="7"/>
  <c r="R164" i="7" s="1"/>
  <c r="S162" i="7"/>
  <c r="S164" i="7" s="1"/>
  <c r="T162" i="7"/>
  <c r="T164" i="7" s="1"/>
  <c r="U162" i="7"/>
  <c r="V162" i="7"/>
  <c r="V164" i="7" s="1"/>
  <c r="W162" i="7"/>
  <c r="W164" i="7" s="1"/>
  <c r="F159" i="7"/>
  <c r="F161" i="7" s="1"/>
  <c r="G159" i="7"/>
  <c r="G161" i="7" s="1"/>
  <c r="H159" i="7"/>
  <c r="H161" i="7" s="1"/>
  <c r="I159" i="7"/>
  <c r="I161" i="7" s="1"/>
  <c r="J159" i="7"/>
  <c r="J161" i="7" s="1"/>
  <c r="K159" i="7"/>
  <c r="K161" i="7" s="1"/>
  <c r="L159" i="7"/>
  <c r="L161" i="7" s="1"/>
  <c r="M159" i="7"/>
  <c r="M161" i="7" s="1"/>
  <c r="N159" i="7"/>
  <c r="N161" i="7" s="1"/>
  <c r="O159" i="7"/>
  <c r="O161" i="7" s="1"/>
  <c r="P159" i="7"/>
  <c r="P161" i="7" s="1"/>
  <c r="Q159" i="7"/>
  <c r="Q161" i="7" s="1"/>
  <c r="R159" i="7"/>
  <c r="R161" i="7" s="1"/>
  <c r="S159" i="7"/>
  <c r="S161" i="7" s="1"/>
  <c r="T159" i="7"/>
  <c r="T161" i="7" s="1"/>
  <c r="U159" i="7"/>
  <c r="V159" i="7"/>
  <c r="V161" i="7" s="1"/>
  <c r="W159" i="7"/>
  <c r="W161" i="7" s="1"/>
  <c r="F156" i="7"/>
  <c r="F158" i="7" s="1"/>
  <c r="G156" i="7"/>
  <c r="G158" i="7" s="1"/>
  <c r="H156" i="7"/>
  <c r="H158" i="7" s="1"/>
  <c r="I156" i="7"/>
  <c r="I158" i="7" s="1"/>
  <c r="J156" i="7"/>
  <c r="J158" i="7" s="1"/>
  <c r="K156" i="7"/>
  <c r="K158" i="7" s="1"/>
  <c r="L156" i="7"/>
  <c r="L158" i="7" s="1"/>
  <c r="M156" i="7"/>
  <c r="M158" i="7" s="1"/>
  <c r="N156" i="7"/>
  <c r="N158" i="7" s="1"/>
  <c r="O156" i="7"/>
  <c r="O158" i="7" s="1"/>
  <c r="P156" i="7"/>
  <c r="P158" i="7" s="1"/>
  <c r="Q156" i="7"/>
  <c r="Q158" i="7" s="1"/>
  <c r="R156" i="7"/>
  <c r="R158" i="7" s="1"/>
  <c r="S156" i="7"/>
  <c r="S158" i="7" s="1"/>
  <c r="T156" i="7"/>
  <c r="T158" i="7" s="1"/>
  <c r="U156" i="7"/>
  <c r="V156" i="7"/>
  <c r="V158" i="7" s="1"/>
  <c r="W156" i="7"/>
  <c r="W158" i="7" s="1"/>
  <c r="F153" i="7"/>
  <c r="F155" i="7" s="1"/>
  <c r="G153" i="7"/>
  <c r="G155" i="7" s="1"/>
  <c r="H153" i="7"/>
  <c r="H155" i="7" s="1"/>
  <c r="I153" i="7"/>
  <c r="I155" i="7" s="1"/>
  <c r="J153" i="7"/>
  <c r="J155" i="7" s="1"/>
  <c r="K153" i="7"/>
  <c r="K155" i="7" s="1"/>
  <c r="L153" i="7"/>
  <c r="L155" i="7" s="1"/>
  <c r="M153" i="7"/>
  <c r="M155" i="7" s="1"/>
  <c r="N153" i="7"/>
  <c r="N155" i="7" s="1"/>
  <c r="O153" i="7"/>
  <c r="O155" i="7" s="1"/>
  <c r="P153" i="7"/>
  <c r="P155" i="7" s="1"/>
  <c r="Q153" i="7"/>
  <c r="Q155" i="7" s="1"/>
  <c r="R153" i="7"/>
  <c r="R155" i="7" s="1"/>
  <c r="S153" i="7"/>
  <c r="S155" i="7" s="1"/>
  <c r="T153" i="7"/>
  <c r="T155" i="7" s="1"/>
  <c r="U153" i="7"/>
  <c r="V153" i="7"/>
  <c r="V155" i="7" s="1"/>
  <c r="W153" i="7"/>
  <c r="W155" i="7" s="1"/>
  <c r="F150" i="7"/>
  <c r="F152" i="7" s="1"/>
  <c r="G150" i="7"/>
  <c r="G152" i="7" s="1"/>
  <c r="H150" i="7"/>
  <c r="H152" i="7" s="1"/>
  <c r="I150" i="7"/>
  <c r="I152" i="7" s="1"/>
  <c r="J150" i="7"/>
  <c r="J152" i="7" s="1"/>
  <c r="K150" i="7"/>
  <c r="K152" i="7" s="1"/>
  <c r="L150" i="7"/>
  <c r="L152" i="7" s="1"/>
  <c r="M150" i="7"/>
  <c r="M152" i="7" s="1"/>
  <c r="N150" i="7"/>
  <c r="N152" i="7" s="1"/>
  <c r="O150" i="7"/>
  <c r="O152" i="7" s="1"/>
  <c r="P150" i="7"/>
  <c r="P152" i="7" s="1"/>
  <c r="Q150" i="7"/>
  <c r="Q152" i="7" s="1"/>
  <c r="R150" i="7"/>
  <c r="R152" i="7" s="1"/>
  <c r="S150" i="7"/>
  <c r="S152" i="7" s="1"/>
  <c r="T150" i="7"/>
  <c r="T152" i="7" s="1"/>
  <c r="U150" i="7"/>
  <c r="V150" i="7"/>
  <c r="V152" i="7" s="1"/>
  <c r="W150" i="7"/>
  <c r="W152" i="7" s="1"/>
  <c r="F147" i="7"/>
  <c r="F149" i="7" s="1"/>
  <c r="G147" i="7"/>
  <c r="G149" i="7" s="1"/>
  <c r="H147" i="7"/>
  <c r="H149" i="7" s="1"/>
  <c r="I147" i="7"/>
  <c r="I149" i="7" s="1"/>
  <c r="J147" i="7"/>
  <c r="J149" i="7" s="1"/>
  <c r="K147" i="7"/>
  <c r="K149" i="7" s="1"/>
  <c r="L147" i="7"/>
  <c r="L149" i="7" s="1"/>
  <c r="M147" i="7"/>
  <c r="M149" i="7" s="1"/>
  <c r="N147" i="7"/>
  <c r="N149" i="7" s="1"/>
  <c r="O147" i="7"/>
  <c r="O149" i="7" s="1"/>
  <c r="P147" i="7"/>
  <c r="P149" i="7" s="1"/>
  <c r="Q147" i="7"/>
  <c r="Q149" i="7" s="1"/>
  <c r="R147" i="7"/>
  <c r="R149" i="7" s="1"/>
  <c r="S147" i="7"/>
  <c r="S149" i="7" s="1"/>
  <c r="T147" i="7"/>
  <c r="T149" i="7" s="1"/>
  <c r="U147" i="7"/>
  <c r="V147" i="7"/>
  <c r="V149" i="7" s="1"/>
  <c r="W147" i="7"/>
  <c r="W149" i="7" s="1"/>
  <c r="F144" i="7"/>
  <c r="F146" i="7" s="1"/>
  <c r="G144" i="7"/>
  <c r="G146" i="7" s="1"/>
  <c r="H144" i="7"/>
  <c r="H146" i="7" s="1"/>
  <c r="I144" i="7"/>
  <c r="I146" i="7" s="1"/>
  <c r="J144" i="7"/>
  <c r="J146" i="7" s="1"/>
  <c r="K144" i="7"/>
  <c r="K146" i="7" s="1"/>
  <c r="L144" i="7"/>
  <c r="L146" i="7" s="1"/>
  <c r="M144" i="7"/>
  <c r="M146" i="7" s="1"/>
  <c r="N144" i="7"/>
  <c r="N146" i="7" s="1"/>
  <c r="O144" i="7"/>
  <c r="O146" i="7" s="1"/>
  <c r="P144" i="7"/>
  <c r="P146" i="7" s="1"/>
  <c r="Q144" i="7"/>
  <c r="Q146" i="7" s="1"/>
  <c r="R144" i="7"/>
  <c r="R146" i="7" s="1"/>
  <c r="S144" i="7"/>
  <c r="S146" i="7" s="1"/>
  <c r="T144" i="7"/>
  <c r="T146" i="7" s="1"/>
  <c r="U144" i="7"/>
  <c r="V144" i="7"/>
  <c r="V146" i="7" s="1"/>
  <c r="W144" i="7"/>
  <c r="W146" i="7" s="1"/>
  <c r="F141" i="7"/>
  <c r="F143" i="7" s="1"/>
  <c r="G141" i="7"/>
  <c r="G143" i="7" s="1"/>
  <c r="H141" i="7"/>
  <c r="H143" i="7" s="1"/>
  <c r="I141" i="7"/>
  <c r="I143" i="7" s="1"/>
  <c r="J141" i="7"/>
  <c r="J143" i="7" s="1"/>
  <c r="K141" i="7"/>
  <c r="K143" i="7" s="1"/>
  <c r="L141" i="7"/>
  <c r="L143" i="7" s="1"/>
  <c r="M141" i="7"/>
  <c r="M143" i="7" s="1"/>
  <c r="N141" i="7"/>
  <c r="N143" i="7" s="1"/>
  <c r="O141" i="7"/>
  <c r="O143" i="7" s="1"/>
  <c r="P141" i="7"/>
  <c r="P143" i="7" s="1"/>
  <c r="Q141" i="7"/>
  <c r="Q143" i="7" s="1"/>
  <c r="R141" i="7"/>
  <c r="R143" i="7" s="1"/>
  <c r="S141" i="7"/>
  <c r="S143" i="7" s="1"/>
  <c r="T141" i="7"/>
  <c r="T143" i="7" s="1"/>
  <c r="U141" i="7"/>
  <c r="V141" i="7"/>
  <c r="V143" i="7" s="1"/>
  <c r="W141" i="7"/>
  <c r="W143" i="7" s="1"/>
  <c r="F138" i="7"/>
  <c r="F140" i="7" s="1"/>
  <c r="G138" i="7"/>
  <c r="G140" i="7" s="1"/>
  <c r="H138" i="7"/>
  <c r="H140" i="7" s="1"/>
  <c r="I138" i="7"/>
  <c r="I140" i="7" s="1"/>
  <c r="J138" i="7"/>
  <c r="J140" i="7" s="1"/>
  <c r="K138" i="7"/>
  <c r="K140" i="7" s="1"/>
  <c r="L138" i="7"/>
  <c r="L140" i="7" s="1"/>
  <c r="M138" i="7"/>
  <c r="M140" i="7" s="1"/>
  <c r="N138" i="7"/>
  <c r="N140" i="7" s="1"/>
  <c r="O138" i="7"/>
  <c r="O140" i="7" s="1"/>
  <c r="P138" i="7"/>
  <c r="P140" i="7" s="1"/>
  <c r="Q138" i="7"/>
  <c r="Q140" i="7" s="1"/>
  <c r="R138" i="7"/>
  <c r="R140" i="7" s="1"/>
  <c r="S138" i="7"/>
  <c r="S140" i="7" s="1"/>
  <c r="T138" i="7"/>
  <c r="T140" i="7" s="1"/>
  <c r="U138" i="7"/>
  <c r="V138" i="7"/>
  <c r="V140" i="7" s="1"/>
  <c r="W138" i="7"/>
  <c r="W140" i="7" s="1"/>
  <c r="F135" i="7"/>
  <c r="F137" i="7" s="1"/>
  <c r="G135" i="7"/>
  <c r="G137" i="7" s="1"/>
  <c r="H135" i="7"/>
  <c r="H137" i="7" s="1"/>
  <c r="I135" i="7"/>
  <c r="I137" i="7" s="1"/>
  <c r="J135" i="7"/>
  <c r="J137" i="7" s="1"/>
  <c r="K135" i="7"/>
  <c r="K137" i="7" s="1"/>
  <c r="L135" i="7"/>
  <c r="L137" i="7" s="1"/>
  <c r="M135" i="7"/>
  <c r="M137" i="7" s="1"/>
  <c r="N135" i="7"/>
  <c r="N137" i="7" s="1"/>
  <c r="O135" i="7"/>
  <c r="O137" i="7" s="1"/>
  <c r="P135" i="7"/>
  <c r="P137" i="7" s="1"/>
  <c r="Q135" i="7"/>
  <c r="Q137" i="7" s="1"/>
  <c r="R135" i="7"/>
  <c r="R137" i="7" s="1"/>
  <c r="S135" i="7"/>
  <c r="S137" i="7" s="1"/>
  <c r="T135" i="7"/>
  <c r="T137" i="7" s="1"/>
  <c r="U135" i="7"/>
  <c r="V135" i="7"/>
  <c r="V137" i="7" s="1"/>
  <c r="W135" i="7"/>
  <c r="W137" i="7" s="1"/>
  <c r="F132" i="7"/>
  <c r="F134" i="7" s="1"/>
  <c r="G132" i="7"/>
  <c r="G134" i="7" s="1"/>
  <c r="H132" i="7"/>
  <c r="H134" i="7" s="1"/>
  <c r="I132" i="7"/>
  <c r="I134" i="7" s="1"/>
  <c r="J132" i="7"/>
  <c r="J134" i="7" s="1"/>
  <c r="K132" i="7"/>
  <c r="K134" i="7" s="1"/>
  <c r="L132" i="7"/>
  <c r="L134" i="7" s="1"/>
  <c r="M132" i="7"/>
  <c r="M134" i="7" s="1"/>
  <c r="N132" i="7"/>
  <c r="N134" i="7" s="1"/>
  <c r="O132" i="7"/>
  <c r="O134" i="7" s="1"/>
  <c r="P132" i="7"/>
  <c r="P134" i="7" s="1"/>
  <c r="Q132" i="7"/>
  <c r="Q134" i="7" s="1"/>
  <c r="R132" i="7"/>
  <c r="R134" i="7" s="1"/>
  <c r="S132" i="7"/>
  <c r="S134" i="7" s="1"/>
  <c r="T132" i="7"/>
  <c r="T134" i="7" s="1"/>
  <c r="U132" i="7"/>
  <c r="V132" i="7"/>
  <c r="V134" i="7" s="1"/>
  <c r="W132" i="7"/>
  <c r="W134" i="7" s="1"/>
  <c r="F129" i="7"/>
  <c r="F131" i="7" s="1"/>
  <c r="G129" i="7"/>
  <c r="G131" i="7" s="1"/>
  <c r="H129" i="7"/>
  <c r="H131" i="7" s="1"/>
  <c r="I129" i="7"/>
  <c r="I131" i="7" s="1"/>
  <c r="J129" i="7"/>
  <c r="J131" i="7" s="1"/>
  <c r="K129" i="7"/>
  <c r="K131" i="7" s="1"/>
  <c r="L129" i="7"/>
  <c r="L131" i="7" s="1"/>
  <c r="M129" i="7"/>
  <c r="M131" i="7" s="1"/>
  <c r="N129" i="7"/>
  <c r="N131" i="7" s="1"/>
  <c r="O129" i="7"/>
  <c r="O131" i="7" s="1"/>
  <c r="P129" i="7"/>
  <c r="P131" i="7" s="1"/>
  <c r="Q129" i="7"/>
  <c r="Q131" i="7" s="1"/>
  <c r="R129" i="7"/>
  <c r="R131" i="7" s="1"/>
  <c r="S129" i="7"/>
  <c r="S131" i="7" s="1"/>
  <c r="T129" i="7"/>
  <c r="T131" i="7" s="1"/>
  <c r="U129" i="7"/>
  <c r="V129" i="7"/>
  <c r="V131" i="7" s="1"/>
  <c r="W129" i="7"/>
  <c r="W131" i="7" s="1"/>
  <c r="F126" i="7"/>
  <c r="F128" i="7" s="1"/>
  <c r="G126" i="7"/>
  <c r="G128" i="7" s="1"/>
  <c r="H126" i="7"/>
  <c r="H128" i="7" s="1"/>
  <c r="I126" i="7"/>
  <c r="I128" i="7" s="1"/>
  <c r="J126" i="7"/>
  <c r="J128" i="7" s="1"/>
  <c r="K126" i="7"/>
  <c r="K128" i="7" s="1"/>
  <c r="L126" i="7"/>
  <c r="L128" i="7" s="1"/>
  <c r="M126" i="7"/>
  <c r="M128" i="7" s="1"/>
  <c r="N126" i="7"/>
  <c r="N128" i="7" s="1"/>
  <c r="O126" i="7"/>
  <c r="O128" i="7" s="1"/>
  <c r="P126" i="7"/>
  <c r="P128" i="7" s="1"/>
  <c r="Q126" i="7"/>
  <c r="Q128" i="7" s="1"/>
  <c r="R126" i="7"/>
  <c r="R128" i="7" s="1"/>
  <c r="S126" i="7"/>
  <c r="S128" i="7" s="1"/>
  <c r="T126" i="7"/>
  <c r="T128" i="7" s="1"/>
  <c r="U126" i="7"/>
  <c r="V126" i="7"/>
  <c r="V128" i="7" s="1"/>
  <c r="W126" i="7"/>
  <c r="W128" i="7" s="1"/>
  <c r="F123" i="7"/>
  <c r="F125" i="7" s="1"/>
  <c r="G123" i="7"/>
  <c r="G125" i="7" s="1"/>
  <c r="H123" i="7"/>
  <c r="H125" i="7" s="1"/>
  <c r="I123" i="7"/>
  <c r="I125" i="7" s="1"/>
  <c r="J123" i="7"/>
  <c r="J125" i="7" s="1"/>
  <c r="K123" i="7"/>
  <c r="K125" i="7" s="1"/>
  <c r="L123" i="7"/>
  <c r="L125" i="7" s="1"/>
  <c r="M123" i="7"/>
  <c r="M125" i="7" s="1"/>
  <c r="N123" i="7"/>
  <c r="N125" i="7" s="1"/>
  <c r="O123" i="7"/>
  <c r="O125" i="7" s="1"/>
  <c r="P123" i="7"/>
  <c r="P125" i="7" s="1"/>
  <c r="Q123" i="7"/>
  <c r="Q125" i="7" s="1"/>
  <c r="R123" i="7"/>
  <c r="R125" i="7" s="1"/>
  <c r="S123" i="7"/>
  <c r="S125" i="7" s="1"/>
  <c r="T123" i="7"/>
  <c r="T125" i="7" s="1"/>
  <c r="U123" i="7"/>
  <c r="V123" i="7"/>
  <c r="V125" i="7" s="1"/>
  <c r="W123" i="7"/>
  <c r="W125" i="7" s="1"/>
  <c r="F120" i="7"/>
  <c r="F122" i="7" s="1"/>
  <c r="G120" i="7"/>
  <c r="G122" i="7" s="1"/>
  <c r="H120" i="7"/>
  <c r="H122" i="7" s="1"/>
  <c r="I120" i="7"/>
  <c r="I122" i="7" s="1"/>
  <c r="J120" i="7"/>
  <c r="J122" i="7" s="1"/>
  <c r="K120" i="7"/>
  <c r="K122" i="7" s="1"/>
  <c r="L120" i="7"/>
  <c r="L122" i="7" s="1"/>
  <c r="M120" i="7"/>
  <c r="M122" i="7" s="1"/>
  <c r="N120" i="7"/>
  <c r="N122" i="7" s="1"/>
  <c r="O120" i="7"/>
  <c r="O122" i="7" s="1"/>
  <c r="P120" i="7"/>
  <c r="P122" i="7" s="1"/>
  <c r="Q120" i="7"/>
  <c r="Q122" i="7" s="1"/>
  <c r="R120" i="7"/>
  <c r="R122" i="7" s="1"/>
  <c r="S120" i="7"/>
  <c r="S122" i="7" s="1"/>
  <c r="T120" i="7"/>
  <c r="T122" i="7" s="1"/>
  <c r="U120" i="7"/>
  <c r="V120" i="7"/>
  <c r="V122" i="7" s="1"/>
  <c r="W120" i="7"/>
  <c r="W122" i="7" s="1"/>
  <c r="F117" i="7"/>
  <c r="F119" i="7" s="1"/>
  <c r="G117" i="7"/>
  <c r="G119" i="7" s="1"/>
  <c r="H117" i="7"/>
  <c r="H119" i="7" s="1"/>
  <c r="I117" i="7"/>
  <c r="I119" i="7" s="1"/>
  <c r="J117" i="7"/>
  <c r="J119" i="7" s="1"/>
  <c r="K117" i="7"/>
  <c r="K119" i="7" s="1"/>
  <c r="L117" i="7"/>
  <c r="L119" i="7" s="1"/>
  <c r="M117" i="7"/>
  <c r="M119" i="7" s="1"/>
  <c r="N117" i="7"/>
  <c r="N119" i="7" s="1"/>
  <c r="O117" i="7"/>
  <c r="O119" i="7" s="1"/>
  <c r="P117" i="7"/>
  <c r="P119" i="7" s="1"/>
  <c r="Q117" i="7"/>
  <c r="Q119" i="7" s="1"/>
  <c r="R117" i="7"/>
  <c r="R119" i="7" s="1"/>
  <c r="S117" i="7"/>
  <c r="S119" i="7" s="1"/>
  <c r="T117" i="7"/>
  <c r="T119" i="7" s="1"/>
  <c r="U117" i="7"/>
  <c r="V117" i="7"/>
  <c r="V119" i="7" s="1"/>
  <c r="W117" i="7"/>
  <c r="W119" i="7" s="1"/>
  <c r="F114" i="7"/>
  <c r="F116" i="7" s="1"/>
  <c r="G114" i="7"/>
  <c r="G116" i="7" s="1"/>
  <c r="H114" i="7"/>
  <c r="H116" i="7" s="1"/>
  <c r="I114" i="7"/>
  <c r="I116" i="7" s="1"/>
  <c r="J114" i="7"/>
  <c r="J116" i="7" s="1"/>
  <c r="K114" i="7"/>
  <c r="K116" i="7" s="1"/>
  <c r="L114" i="7"/>
  <c r="L116" i="7" s="1"/>
  <c r="M114" i="7"/>
  <c r="M116" i="7" s="1"/>
  <c r="N114" i="7"/>
  <c r="N116" i="7" s="1"/>
  <c r="O114" i="7"/>
  <c r="O116" i="7" s="1"/>
  <c r="P114" i="7"/>
  <c r="P116" i="7" s="1"/>
  <c r="Q114" i="7"/>
  <c r="Q116" i="7" s="1"/>
  <c r="R114" i="7"/>
  <c r="R116" i="7" s="1"/>
  <c r="S114" i="7"/>
  <c r="S116" i="7" s="1"/>
  <c r="T114" i="7"/>
  <c r="T116" i="7" s="1"/>
  <c r="U114" i="7"/>
  <c r="V114" i="7"/>
  <c r="V116" i="7" s="1"/>
  <c r="W114" i="7"/>
  <c r="W116" i="7" s="1"/>
  <c r="F111" i="7"/>
  <c r="F113" i="7" s="1"/>
  <c r="G111" i="7"/>
  <c r="G113" i="7" s="1"/>
  <c r="H111" i="7"/>
  <c r="H113" i="7" s="1"/>
  <c r="I111" i="7"/>
  <c r="I113" i="7" s="1"/>
  <c r="J111" i="7"/>
  <c r="J113" i="7" s="1"/>
  <c r="K111" i="7"/>
  <c r="K113" i="7" s="1"/>
  <c r="L111" i="7"/>
  <c r="L113" i="7" s="1"/>
  <c r="M111" i="7"/>
  <c r="M113" i="7" s="1"/>
  <c r="N111" i="7"/>
  <c r="N113" i="7" s="1"/>
  <c r="O111" i="7"/>
  <c r="O113" i="7" s="1"/>
  <c r="P111" i="7"/>
  <c r="P113" i="7" s="1"/>
  <c r="Q111" i="7"/>
  <c r="Q113" i="7" s="1"/>
  <c r="R111" i="7"/>
  <c r="R113" i="7" s="1"/>
  <c r="S111" i="7"/>
  <c r="S113" i="7" s="1"/>
  <c r="T111" i="7"/>
  <c r="T113" i="7" s="1"/>
  <c r="U111" i="7"/>
  <c r="V111" i="7"/>
  <c r="V113" i="7" s="1"/>
  <c r="W111" i="7"/>
  <c r="W113" i="7" s="1"/>
  <c r="F108" i="7"/>
  <c r="F110" i="7" s="1"/>
  <c r="G108" i="7"/>
  <c r="G110" i="7" s="1"/>
  <c r="H108" i="7"/>
  <c r="H110" i="7" s="1"/>
  <c r="I108" i="7"/>
  <c r="I110" i="7" s="1"/>
  <c r="J108" i="7"/>
  <c r="J110" i="7" s="1"/>
  <c r="K108" i="7"/>
  <c r="K110" i="7" s="1"/>
  <c r="L108" i="7"/>
  <c r="L110" i="7" s="1"/>
  <c r="M108" i="7"/>
  <c r="M110" i="7" s="1"/>
  <c r="N108" i="7"/>
  <c r="N110" i="7" s="1"/>
  <c r="O108" i="7"/>
  <c r="O110" i="7" s="1"/>
  <c r="P108" i="7"/>
  <c r="P110" i="7" s="1"/>
  <c r="Q108" i="7"/>
  <c r="Q110" i="7" s="1"/>
  <c r="R108" i="7"/>
  <c r="R110" i="7" s="1"/>
  <c r="S108" i="7"/>
  <c r="S110" i="7" s="1"/>
  <c r="T108" i="7"/>
  <c r="T110" i="7" s="1"/>
  <c r="U108" i="7"/>
  <c r="V108" i="7"/>
  <c r="V110" i="7" s="1"/>
  <c r="W108" i="7"/>
  <c r="W110" i="7" s="1"/>
  <c r="F105" i="7"/>
  <c r="F107" i="7" s="1"/>
  <c r="G105" i="7"/>
  <c r="G107" i="7" s="1"/>
  <c r="H105" i="7"/>
  <c r="H107" i="7" s="1"/>
  <c r="I105" i="7"/>
  <c r="I107" i="7" s="1"/>
  <c r="J105" i="7"/>
  <c r="J107" i="7" s="1"/>
  <c r="K105" i="7"/>
  <c r="K107" i="7" s="1"/>
  <c r="L105" i="7"/>
  <c r="L107" i="7" s="1"/>
  <c r="M105" i="7"/>
  <c r="M107" i="7" s="1"/>
  <c r="N105" i="7"/>
  <c r="N107" i="7" s="1"/>
  <c r="O105" i="7"/>
  <c r="O107" i="7" s="1"/>
  <c r="P105" i="7"/>
  <c r="P107" i="7" s="1"/>
  <c r="Q105" i="7"/>
  <c r="Q107" i="7" s="1"/>
  <c r="R105" i="7"/>
  <c r="R107" i="7" s="1"/>
  <c r="S105" i="7"/>
  <c r="S107" i="7" s="1"/>
  <c r="T105" i="7"/>
  <c r="T107" i="7" s="1"/>
  <c r="U105" i="7"/>
  <c r="V105" i="7"/>
  <c r="V107" i="7" s="1"/>
  <c r="W105" i="7"/>
  <c r="W107" i="7" s="1"/>
  <c r="F102" i="7"/>
  <c r="F104" i="7" s="1"/>
  <c r="G102" i="7"/>
  <c r="G104" i="7" s="1"/>
  <c r="H102" i="7"/>
  <c r="H104" i="7" s="1"/>
  <c r="I102" i="7"/>
  <c r="I104" i="7" s="1"/>
  <c r="J102" i="7"/>
  <c r="J104" i="7" s="1"/>
  <c r="K102" i="7"/>
  <c r="K104" i="7" s="1"/>
  <c r="L102" i="7"/>
  <c r="L104" i="7" s="1"/>
  <c r="M102" i="7"/>
  <c r="M104" i="7" s="1"/>
  <c r="N102" i="7"/>
  <c r="N104" i="7" s="1"/>
  <c r="O102" i="7"/>
  <c r="O104" i="7" s="1"/>
  <c r="P102" i="7"/>
  <c r="P104" i="7" s="1"/>
  <c r="Q102" i="7"/>
  <c r="Q104" i="7" s="1"/>
  <c r="R102" i="7"/>
  <c r="R104" i="7" s="1"/>
  <c r="S102" i="7"/>
  <c r="S104" i="7" s="1"/>
  <c r="T102" i="7"/>
  <c r="T104" i="7" s="1"/>
  <c r="U102" i="7"/>
  <c r="V102" i="7"/>
  <c r="V104" i="7" s="1"/>
  <c r="W102" i="7"/>
  <c r="W104" i="7" s="1"/>
  <c r="F99" i="7"/>
  <c r="F101" i="7" s="1"/>
  <c r="G99" i="7"/>
  <c r="G101" i="7" s="1"/>
  <c r="H99" i="7"/>
  <c r="H101" i="7" s="1"/>
  <c r="I99" i="7"/>
  <c r="I101" i="7" s="1"/>
  <c r="J99" i="7"/>
  <c r="J101" i="7" s="1"/>
  <c r="K99" i="7"/>
  <c r="K101" i="7" s="1"/>
  <c r="L99" i="7"/>
  <c r="L101" i="7" s="1"/>
  <c r="M99" i="7"/>
  <c r="M101" i="7" s="1"/>
  <c r="N99" i="7"/>
  <c r="N101" i="7" s="1"/>
  <c r="O99" i="7"/>
  <c r="O101" i="7" s="1"/>
  <c r="P99" i="7"/>
  <c r="P101" i="7" s="1"/>
  <c r="Q99" i="7"/>
  <c r="Q101" i="7" s="1"/>
  <c r="R99" i="7"/>
  <c r="R101" i="7" s="1"/>
  <c r="S99" i="7"/>
  <c r="S101" i="7" s="1"/>
  <c r="T99" i="7"/>
  <c r="T101" i="7" s="1"/>
  <c r="U99" i="7"/>
  <c r="V99" i="7"/>
  <c r="V101" i="7" s="1"/>
  <c r="W99" i="7"/>
  <c r="W101" i="7" s="1"/>
  <c r="F96" i="7"/>
  <c r="F98" i="7" s="1"/>
  <c r="G96" i="7"/>
  <c r="G98" i="7" s="1"/>
  <c r="H96" i="7"/>
  <c r="H98" i="7" s="1"/>
  <c r="I96" i="7"/>
  <c r="I98" i="7" s="1"/>
  <c r="J96" i="7"/>
  <c r="J98" i="7" s="1"/>
  <c r="K96" i="7"/>
  <c r="K98" i="7" s="1"/>
  <c r="L96" i="7"/>
  <c r="L98" i="7" s="1"/>
  <c r="M96" i="7"/>
  <c r="M98" i="7" s="1"/>
  <c r="N96" i="7"/>
  <c r="N98" i="7" s="1"/>
  <c r="O96" i="7"/>
  <c r="O98" i="7" s="1"/>
  <c r="P96" i="7"/>
  <c r="P98" i="7" s="1"/>
  <c r="Q96" i="7"/>
  <c r="Q98" i="7" s="1"/>
  <c r="R96" i="7"/>
  <c r="R98" i="7" s="1"/>
  <c r="S96" i="7"/>
  <c r="S98" i="7" s="1"/>
  <c r="T96" i="7"/>
  <c r="T98" i="7" s="1"/>
  <c r="U96" i="7"/>
  <c r="V96" i="7"/>
  <c r="V98" i="7" s="1"/>
  <c r="W96" i="7"/>
  <c r="W98" i="7" s="1"/>
  <c r="F93" i="7"/>
  <c r="F95" i="7" s="1"/>
  <c r="G93" i="7"/>
  <c r="G95" i="7" s="1"/>
  <c r="H93" i="7"/>
  <c r="H95" i="7" s="1"/>
  <c r="I93" i="7"/>
  <c r="I95" i="7" s="1"/>
  <c r="J93" i="7"/>
  <c r="J95" i="7" s="1"/>
  <c r="K93" i="7"/>
  <c r="K95" i="7" s="1"/>
  <c r="L93" i="7"/>
  <c r="L95" i="7" s="1"/>
  <c r="M93" i="7"/>
  <c r="M95" i="7" s="1"/>
  <c r="N93" i="7"/>
  <c r="N95" i="7" s="1"/>
  <c r="O93" i="7"/>
  <c r="O95" i="7" s="1"/>
  <c r="P93" i="7"/>
  <c r="P95" i="7" s="1"/>
  <c r="Q93" i="7"/>
  <c r="Q95" i="7" s="1"/>
  <c r="R93" i="7"/>
  <c r="R95" i="7" s="1"/>
  <c r="S93" i="7"/>
  <c r="S95" i="7" s="1"/>
  <c r="T93" i="7"/>
  <c r="T95" i="7" s="1"/>
  <c r="U93" i="7"/>
  <c r="V93" i="7"/>
  <c r="V95" i="7" s="1"/>
  <c r="W93" i="7"/>
  <c r="W95" i="7" s="1"/>
  <c r="F90" i="7"/>
  <c r="F92" i="7" s="1"/>
  <c r="G90" i="7"/>
  <c r="G92" i="7" s="1"/>
  <c r="H90" i="7"/>
  <c r="H92" i="7" s="1"/>
  <c r="I90" i="7"/>
  <c r="I92" i="7" s="1"/>
  <c r="J90" i="7"/>
  <c r="J92" i="7" s="1"/>
  <c r="K90" i="7"/>
  <c r="K92" i="7" s="1"/>
  <c r="L90" i="7"/>
  <c r="L92" i="7" s="1"/>
  <c r="M90" i="7"/>
  <c r="M92" i="7" s="1"/>
  <c r="N90" i="7"/>
  <c r="N92" i="7" s="1"/>
  <c r="O90" i="7"/>
  <c r="O92" i="7" s="1"/>
  <c r="P90" i="7"/>
  <c r="P92" i="7" s="1"/>
  <c r="Q90" i="7"/>
  <c r="Q92" i="7" s="1"/>
  <c r="R90" i="7"/>
  <c r="R92" i="7" s="1"/>
  <c r="S90" i="7"/>
  <c r="S92" i="7" s="1"/>
  <c r="T90" i="7"/>
  <c r="T92" i="7" s="1"/>
  <c r="U90" i="7"/>
  <c r="V90" i="7"/>
  <c r="V92" i="7" s="1"/>
  <c r="W90" i="7"/>
  <c r="W92" i="7" s="1"/>
  <c r="F87" i="7"/>
  <c r="F89" i="7" s="1"/>
  <c r="G87" i="7"/>
  <c r="G89" i="7" s="1"/>
  <c r="H87" i="7"/>
  <c r="H89" i="7" s="1"/>
  <c r="I87" i="7"/>
  <c r="I89" i="7" s="1"/>
  <c r="J87" i="7"/>
  <c r="J89" i="7" s="1"/>
  <c r="K87" i="7"/>
  <c r="K89" i="7" s="1"/>
  <c r="L87" i="7"/>
  <c r="L89" i="7" s="1"/>
  <c r="M87" i="7"/>
  <c r="M89" i="7" s="1"/>
  <c r="N87" i="7"/>
  <c r="N89" i="7" s="1"/>
  <c r="O87" i="7"/>
  <c r="O89" i="7" s="1"/>
  <c r="P87" i="7"/>
  <c r="P89" i="7" s="1"/>
  <c r="Q87" i="7"/>
  <c r="Q89" i="7" s="1"/>
  <c r="R87" i="7"/>
  <c r="R89" i="7" s="1"/>
  <c r="S87" i="7"/>
  <c r="S89" i="7" s="1"/>
  <c r="T87" i="7"/>
  <c r="T89" i="7" s="1"/>
  <c r="U87" i="7"/>
  <c r="V87" i="7"/>
  <c r="V89" i="7" s="1"/>
  <c r="W87" i="7"/>
  <c r="W89" i="7" s="1"/>
  <c r="F84" i="7"/>
  <c r="F86" i="7" s="1"/>
  <c r="G84" i="7"/>
  <c r="G86" i="7" s="1"/>
  <c r="H84" i="7"/>
  <c r="H86" i="7" s="1"/>
  <c r="I84" i="7"/>
  <c r="I86" i="7" s="1"/>
  <c r="J84" i="7"/>
  <c r="J86" i="7" s="1"/>
  <c r="K84" i="7"/>
  <c r="K86" i="7" s="1"/>
  <c r="L84" i="7"/>
  <c r="L86" i="7" s="1"/>
  <c r="M84" i="7"/>
  <c r="M86" i="7" s="1"/>
  <c r="N84" i="7"/>
  <c r="N86" i="7" s="1"/>
  <c r="O84" i="7"/>
  <c r="O86" i="7" s="1"/>
  <c r="P84" i="7"/>
  <c r="P86" i="7" s="1"/>
  <c r="Q84" i="7"/>
  <c r="Q86" i="7" s="1"/>
  <c r="R84" i="7"/>
  <c r="R86" i="7" s="1"/>
  <c r="S84" i="7"/>
  <c r="S86" i="7" s="1"/>
  <c r="T84" i="7"/>
  <c r="T86" i="7" s="1"/>
  <c r="U84" i="7"/>
  <c r="V84" i="7"/>
  <c r="V86" i="7" s="1"/>
  <c r="W84" i="7"/>
  <c r="W86" i="7" s="1"/>
  <c r="F81" i="7"/>
  <c r="F83" i="7" s="1"/>
  <c r="G81" i="7"/>
  <c r="G83" i="7" s="1"/>
  <c r="H81" i="7"/>
  <c r="H83" i="7" s="1"/>
  <c r="I81" i="7"/>
  <c r="I83" i="7" s="1"/>
  <c r="J81" i="7"/>
  <c r="J83" i="7" s="1"/>
  <c r="K81" i="7"/>
  <c r="K83" i="7" s="1"/>
  <c r="L81" i="7"/>
  <c r="L83" i="7" s="1"/>
  <c r="M81" i="7"/>
  <c r="M83" i="7" s="1"/>
  <c r="N81" i="7"/>
  <c r="N83" i="7" s="1"/>
  <c r="O81" i="7"/>
  <c r="O83" i="7" s="1"/>
  <c r="P81" i="7"/>
  <c r="P83" i="7" s="1"/>
  <c r="Q81" i="7"/>
  <c r="Q83" i="7" s="1"/>
  <c r="R81" i="7"/>
  <c r="R83" i="7" s="1"/>
  <c r="S81" i="7"/>
  <c r="S83" i="7" s="1"/>
  <c r="T81" i="7"/>
  <c r="T83" i="7" s="1"/>
  <c r="U81" i="7"/>
  <c r="V81" i="7"/>
  <c r="V83" i="7" s="1"/>
  <c r="W81" i="7"/>
  <c r="W83" i="7" s="1"/>
  <c r="F78" i="7"/>
  <c r="F80" i="7" s="1"/>
  <c r="G78" i="7"/>
  <c r="G80" i="7" s="1"/>
  <c r="H78" i="7"/>
  <c r="H80" i="7" s="1"/>
  <c r="I78" i="7"/>
  <c r="I80" i="7" s="1"/>
  <c r="J78" i="7"/>
  <c r="J80" i="7" s="1"/>
  <c r="K78" i="7"/>
  <c r="K80" i="7" s="1"/>
  <c r="L78" i="7"/>
  <c r="L80" i="7" s="1"/>
  <c r="M78" i="7"/>
  <c r="M80" i="7" s="1"/>
  <c r="N78" i="7"/>
  <c r="N80" i="7" s="1"/>
  <c r="O78" i="7"/>
  <c r="O80" i="7" s="1"/>
  <c r="P78" i="7"/>
  <c r="P80" i="7" s="1"/>
  <c r="Q78" i="7"/>
  <c r="Q80" i="7" s="1"/>
  <c r="R78" i="7"/>
  <c r="R80" i="7" s="1"/>
  <c r="S78" i="7"/>
  <c r="S80" i="7" s="1"/>
  <c r="T78" i="7"/>
  <c r="T80" i="7" s="1"/>
  <c r="U78" i="7"/>
  <c r="V78" i="7"/>
  <c r="V80" i="7" s="1"/>
  <c r="W78" i="7"/>
  <c r="W80" i="7" s="1"/>
  <c r="F75" i="7"/>
  <c r="F77" i="7" s="1"/>
  <c r="G75" i="7"/>
  <c r="G77" i="7" s="1"/>
  <c r="H75" i="7"/>
  <c r="H77" i="7" s="1"/>
  <c r="I75" i="7"/>
  <c r="I77" i="7" s="1"/>
  <c r="J75" i="7"/>
  <c r="J77" i="7" s="1"/>
  <c r="K75" i="7"/>
  <c r="K77" i="7" s="1"/>
  <c r="L75" i="7"/>
  <c r="L77" i="7" s="1"/>
  <c r="M75" i="7"/>
  <c r="M77" i="7" s="1"/>
  <c r="N75" i="7"/>
  <c r="N77" i="7" s="1"/>
  <c r="O75" i="7"/>
  <c r="O77" i="7" s="1"/>
  <c r="P75" i="7"/>
  <c r="P77" i="7" s="1"/>
  <c r="Q75" i="7"/>
  <c r="Q77" i="7" s="1"/>
  <c r="R75" i="7"/>
  <c r="R77" i="7" s="1"/>
  <c r="S75" i="7"/>
  <c r="S77" i="7" s="1"/>
  <c r="T75" i="7"/>
  <c r="T77" i="7" s="1"/>
  <c r="U75" i="7"/>
  <c r="V75" i="7"/>
  <c r="V77" i="7" s="1"/>
  <c r="W75" i="7"/>
  <c r="W77" i="7" s="1"/>
  <c r="F72" i="7"/>
  <c r="F74" i="7" s="1"/>
  <c r="G72" i="7"/>
  <c r="G74" i="7" s="1"/>
  <c r="H72" i="7"/>
  <c r="H74" i="7" s="1"/>
  <c r="I72" i="7"/>
  <c r="I74" i="7" s="1"/>
  <c r="J72" i="7"/>
  <c r="J74" i="7" s="1"/>
  <c r="K72" i="7"/>
  <c r="K74" i="7" s="1"/>
  <c r="L72" i="7"/>
  <c r="L74" i="7" s="1"/>
  <c r="M72" i="7"/>
  <c r="M74" i="7" s="1"/>
  <c r="N72" i="7"/>
  <c r="N74" i="7" s="1"/>
  <c r="O72" i="7"/>
  <c r="O74" i="7" s="1"/>
  <c r="P72" i="7"/>
  <c r="P74" i="7" s="1"/>
  <c r="Q72" i="7"/>
  <c r="Q74" i="7" s="1"/>
  <c r="R72" i="7"/>
  <c r="R74" i="7" s="1"/>
  <c r="S72" i="7"/>
  <c r="S74" i="7" s="1"/>
  <c r="T72" i="7"/>
  <c r="T74" i="7" s="1"/>
  <c r="U72" i="7"/>
  <c r="V72" i="7"/>
  <c r="V74" i="7" s="1"/>
  <c r="W72" i="7"/>
  <c r="W74" i="7" s="1"/>
  <c r="F69" i="7"/>
  <c r="F71" i="7" s="1"/>
  <c r="G69" i="7"/>
  <c r="G71" i="7" s="1"/>
  <c r="H69" i="7"/>
  <c r="H71" i="7" s="1"/>
  <c r="I69" i="7"/>
  <c r="I71" i="7" s="1"/>
  <c r="J69" i="7"/>
  <c r="J71" i="7" s="1"/>
  <c r="K69" i="7"/>
  <c r="K71" i="7" s="1"/>
  <c r="L69" i="7"/>
  <c r="L71" i="7" s="1"/>
  <c r="M69" i="7"/>
  <c r="M71" i="7" s="1"/>
  <c r="N69" i="7"/>
  <c r="N71" i="7" s="1"/>
  <c r="O69" i="7"/>
  <c r="O71" i="7" s="1"/>
  <c r="P69" i="7"/>
  <c r="P71" i="7" s="1"/>
  <c r="Q69" i="7"/>
  <c r="Q71" i="7" s="1"/>
  <c r="R69" i="7"/>
  <c r="R71" i="7" s="1"/>
  <c r="S69" i="7"/>
  <c r="S71" i="7" s="1"/>
  <c r="T69" i="7"/>
  <c r="T71" i="7" s="1"/>
  <c r="U69" i="7"/>
  <c r="V69" i="7"/>
  <c r="V71" i="7" s="1"/>
  <c r="W69" i="7"/>
  <c r="W71" i="7" s="1"/>
  <c r="F66" i="7"/>
  <c r="F68" i="7" s="1"/>
  <c r="G66" i="7"/>
  <c r="G68" i="7" s="1"/>
  <c r="H66" i="7"/>
  <c r="H68" i="7" s="1"/>
  <c r="I66" i="7"/>
  <c r="I68" i="7" s="1"/>
  <c r="J66" i="7"/>
  <c r="J68" i="7" s="1"/>
  <c r="K66" i="7"/>
  <c r="K68" i="7" s="1"/>
  <c r="L66" i="7"/>
  <c r="L68" i="7" s="1"/>
  <c r="M66" i="7"/>
  <c r="M68" i="7" s="1"/>
  <c r="N66" i="7"/>
  <c r="N68" i="7" s="1"/>
  <c r="O66" i="7"/>
  <c r="O68" i="7" s="1"/>
  <c r="P66" i="7"/>
  <c r="P68" i="7" s="1"/>
  <c r="Q66" i="7"/>
  <c r="Q68" i="7" s="1"/>
  <c r="R66" i="7"/>
  <c r="R68" i="7" s="1"/>
  <c r="S66" i="7"/>
  <c r="S68" i="7" s="1"/>
  <c r="T66" i="7"/>
  <c r="T68" i="7" s="1"/>
  <c r="U66" i="7"/>
  <c r="V66" i="7"/>
  <c r="V68" i="7" s="1"/>
  <c r="W66" i="7"/>
  <c r="W68" i="7" s="1"/>
  <c r="F63" i="7"/>
  <c r="F65" i="7" s="1"/>
  <c r="G63" i="7"/>
  <c r="G65" i="7" s="1"/>
  <c r="H63" i="7"/>
  <c r="H65" i="7" s="1"/>
  <c r="I63" i="7"/>
  <c r="I65" i="7" s="1"/>
  <c r="J63" i="7"/>
  <c r="J65" i="7" s="1"/>
  <c r="K63" i="7"/>
  <c r="K65" i="7" s="1"/>
  <c r="L63" i="7"/>
  <c r="L65" i="7" s="1"/>
  <c r="M63" i="7"/>
  <c r="M65" i="7" s="1"/>
  <c r="N63" i="7"/>
  <c r="N65" i="7" s="1"/>
  <c r="O63" i="7"/>
  <c r="O65" i="7" s="1"/>
  <c r="P63" i="7"/>
  <c r="P65" i="7" s="1"/>
  <c r="Q63" i="7"/>
  <c r="Q65" i="7" s="1"/>
  <c r="R63" i="7"/>
  <c r="R65" i="7" s="1"/>
  <c r="S63" i="7"/>
  <c r="S65" i="7" s="1"/>
  <c r="T63" i="7"/>
  <c r="T65" i="7" s="1"/>
  <c r="U63" i="7"/>
  <c r="V63" i="7"/>
  <c r="V65" i="7" s="1"/>
  <c r="W63" i="7"/>
  <c r="W65" i="7" s="1"/>
  <c r="F60" i="7"/>
  <c r="F62" i="7" s="1"/>
  <c r="G60" i="7"/>
  <c r="G62" i="7" s="1"/>
  <c r="H60" i="7"/>
  <c r="H62" i="7" s="1"/>
  <c r="I60" i="7"/>
  <c r="I62" i="7" s="1"/>
  <c r="J60" i="7"/>
  <c r="J62" i="7" s="1"/>
  <c r="K60" i="7"/>
  <c r="K62" i="7" s="1"/>
  <c r="L60" i="7"/>
  <c r="L62" i="7" s="1"/>
  <c r="M60" i="7"/>
  <c r="M62" i="7" s="1"/>
  <c r="N60" i="7"/>
  <c r="N62" i="7" s="1"/>
  <c r="O60" i="7"/>
  <c r="O62" i="7" s="1"/>
  <c r="P60" i="7"/>
  <c r="P62" i="7" s="1"/>
  <c r="Q60" i="7"/>
  <c r="Q62" i="7" s="1"/>
  <c r="R60" i="7"/>
  <c r="R62" i="7" s="1"/>
  <c r="S60" i="7"/>
  <c r="S62" i="7" s="1"/>
  <c r="T60" i="7"/>
  <c r="T62" i="7" s="1"/>
  <c r="U60" i="7"/>
  <c r="V60" i="7"/>
  <c r="V62" i="7" s="1"/>
  <c r="W60" i="7"/>
  <c r="W62" i="7" s="1"/>
  <c r="F57" i="7"/>
  <c r="F59" i="7" s="1"/>
  <c r="G57" i="7"/>
  <c r="G59" i="7" s="1"/>
  <c r="H57" i="7"/>
  <c r="H59" i="7" s="1"/>
  <c r="I57" i="7"/>
  <c r="I59" i="7" s="1"/>
  <c r="J57" i="7"/>
  <c r="J59" i="7" s="1"/>
  <c r="K57" i="7"/>
  <c r="K59" i="7" s="1"/>
  <c r="L57" i="7"/>
  <c r="L59" i="7" s="1"/>
  <c r="M57" i="7"/>
  <c r="M59" i="7" s="1"/>
  <c r="N57" i="7"/>
  <c r="N59" i="7" s="1"/>
  <c r="O57" i="7"/>
  <c r="O59" i="7" s="1"/>
  <c r="P57" i="7"/>
  <c r="P59" i="7" s="1"/>
  <c r="Q57" i="7"/>
  <c r="Q59" i="7" s="1"/>
  <c r="R57" i="7"/>
  <c r="R59" i="7" s="1"/>
  <c r="S57" i="7"/>
  <c r="S59" i="7" s="1"/>
  <c r="T57" i="7"/>
  <c r="T59" i="7" s="1"/>
  <c r="U57" i="7"/>
  <c r="V57" i="7"/>
  <c r="V59" i="7" s="1"/>
  <c r="W57" i="7"/>
  <c r="W59" i="7" s="1"/>
  <c r="F54" i="7"/>
  <c r="F56" i="7" s="1"/>
  <c r="G54" i="7"/>
  <c r="G56" i="7" s="1"/>
  <c r="H54" i="7"/>
  <c r="H56" i="7" s="1"/>
  <c r="I54" i="7"/>
  <c r="I56" i="7" s="1"/>
  <c r="J54" i="7"/>
  <c r="J56" i="7" s="1"/>
  <c r="K54" i="7"/>
  <c r="K56" i="7" s="1"/>
  <c r="L54" i="7"/>
  <c r="L56" i="7" s="1"/>
  <c r="M54" i="7"/>
  <c r="M56" i="7" s="1"/>
  <c r="N54" i="7"/>
  <c r="N56" i="7" s="1"/>
  <c r="O54" i="7"/>
  <c r="O56" i="7" s="1"/>
  <c r="P54" i="7"/>
  <c r="P56" i="7" s="1"/>
  <c r="Q54" i="7"/>
  <c r="Q56" i="7" s="1"/>
  <c r="R54" i="7"/>
  <c r="R56" i="7" s="1"/>
  <c r="S54" i="7"/>
  <c r="S56" i="7" s="1"/>
  <c r="T54" i="7"/>
  <c r="T56" i="7" s="1"/>
  <c r="U54" i="7"/>
  <c r="V54" i="7"/>
  <c r="V56" i="7" s="1"/>
  <c r="W54" i="7"/>
  <c r="W56" i="7" s="1"/>
  <c r="F51" i="7"/>
  <c r="F53" i="7" s="1"/>
  <c r="G51" i="7"/>
  <c r="G53" i="7" s="1"/>
  <c r="H51" i="7"/>
  <c r="H53" i="7" s="1"/>
  <c r="I51" i="7"/>
  <c r="I53" i="7" s="1"/>
  <c r="J51" i="7"/>
  <c r="J53" i="7" s="1"/>
  <c r="K51" i="7"/>
  <c r="K53" i="7" s="1"/>
  <c r="L51" i="7"/>
  <c r="L53" i="7" s="1"/>
  <c r="M51" i="7"/>
  <c r="M53" i="7" s="1"/>
  <c r="N51" i="7"/>
  <c r="N53" i="7" s="1"/>
  <c r="O51" i="7"/>
  <c r="O53" i="7" s="1"/>
  <c r="P51" i="7"/>
  <c r="P53" i="7" s="1"/>
  <c r="Q51" i="7"/>
  <c r="Q53" i="7" s="1"/>
  <c r="R51" i="7"/>
  <c r="R53" i="7" s="1"/>
  <c r="S51" i="7"/>
  <c r="S53" i="7" s="1"/>
  <c r="T51" i="7"/>
  <c r="T53" i="7" s="1"/>
  <c r="U51" i="7"/>
  <c r="V51" i="7"/>
  <c r="V53" i="7" s="1"/>
  <c r="W51" i="7"/>
  <c r="W53" i="7" s="1"/>
  <c r="F48" i="7"/>
  <c r="F50" i="7" s="1"/>
  <c r="G48" i="7"/>
  <c r="G50" i="7" s="1"/>
  <c r="H48" i="7"/>
  <c r="H50" i="7" s="1"/>
  <c r="I48" i="7"/>
  <c r="I50" i="7" s="1"/>
  <c r="J48" i="7"/>
  <c r="J50" i="7" s="1"/>
  <c r="K48" i="7"/>
  <c r="K50" i="7" s="1"/>
  <c r="L48" i="7"/>
  <c r="L50" i="7" s="1"/>
  <c r="M48" i="7"/>
  <c r="M50" i="7" s="1"/>
  <c r="N48" i="7"/>
  <c r="N50" i="7" s="1"/>
  <c r="O48" i="7"/>
  <c r="O50" i="7" s="1"/>
  <c r="P48" i="7"/>
  <c r="P50" i="7" s="1"/>
  <c r="Q48" i="7"/>
  <c r="Q50" i="7" s="1"/>
  <c r="R48" i="7"/>
  <c r="R50" i="7" s="1"/>
  <c r="S48" i="7"/>
  <c r="S50" i="7" s="1"/>
  <c r="T48" i="7"/>
  <c r="T50" i="7" s="1"/>
  <c r="U48" i="7"/>
  <c r="V48" i="7"/>
  <c r="V50" i="7" s="1"/>
  <c r="W48" i="7"/>
  <c r="W50" i="7" s="1"/>
  <c r="F45" i="7"/>
  <c r="F47" i="7" s="1"/>
  <c r="G45" i="7"/>
  <c r="G47" i="7" s="1"/>
  <c r="H45" i="7"/>
  <c r="H47" i="7" s="1"/>
  <c r="I45" i="7"/>
  <c r="I47" i="7" s="1"/>
  <c r="J45" i="7"/>
  <c r="J47" i="7" s="1"/>
  <c r="K45" i="7"/>
  <c r="K47" i="7" s="1"/>
  <c r="L45" i="7"/>
  <c r="L47" i="7" s="1"/>
  <c r="M45" i="7"/>
  <c r="M47" i="7" s="1"/>
  <c r="N45" i="7"/>
  <c r="O45" i="7"/>
  <c r="O47" i="7" s="1"/>
  <c r="P45" i="7"/>
  <c r="P47" i="7" s="1"/>
  <c r="Q45" i="7"/>
  <c r="Q47" i="7" s="1"/>
  <c r="R45" i="7"/>
  <c r="R47" i="7" s="1"/>
  <c r="S45" i="7"/>
  <c r="S47" i="7" s="1"/>
  <c r="T45" i="7"/>
  <c r="T47" i="7" s="1"/>
  <c r="U45" i="7"/>
  <c r="V45" i="7"/>
  <c r="V47" i="7" s="1"/>
  <c r="W45" i="7"/>
  <c r="W47" i="7" s="1"/>
  <c r="F42" i="7"/>
  <c r="F44" i="7" s="1"/>
  <c r="G42" i="7"/>
  <c r="G44" i="7" s="1"/>
  <c r="H42" i="7"/>
  <c r="H44" i="7" s="1"/>
  <c r="I42" i="7"/>
  <c r="I44" i="7" s="1"/>
  <c r="J42" i="7"/>
  <c r="J44" i="7" s="1"/>
  <c r="K42" i="7"/>
  <c r="K44" i="7" s="1"/>
  <c r="L42" i="7"/>
  <c r="L44" i="7" s="1"/>
  <c r="M42" i="7"/>
  <c r="M44" i="7" s="1"/>
  <c r="N42" i="7"/>
  <c r="N44" i="7" s="1"/>
  <c r="O42" i="7"/>
  <c r="O44" i="7" s="1"/>
  <c r="P42" i="7"/>
  <c r="P44" i="7" s="1"/>
  <c r="Q42" i="7"/>
  <c r="Q44" i="7" s="1"/>
  <c r="R42" i="7"/>
  <c r="R44" i="7" s="1"/>
  <c r="S42" i="7"/>
  <c r="S44" i="7" s="1"/>
  <c r="T42" i="7"/>
  <c r="T44" i="7" s="1"/>
  <c r="U42" i="7"/>
  <c r="V42" i="7"/>
  <c r="V44" i="7" s="1"/>
  <c r="W42" i="7"/>
  <c r="W44" i="7" s="1"/>
  <c r="F39" i="7"/>
  <c r="F41" i="7" s="1"/>
  <c r="G39" i="7"/>
  <c r="G41" i="7" s="1"/>
  <c r="H39" i="7"/>
  <c r="H41" i="7" s="1"/>
  <c r="I39" i="7"/>
  <c r="I41" i="7" s="1"/>
  <c r="J39" i="7"/>
  <c r="J41" i="7" s="1"/>
  <c r="K39" i="7"/>
  <c r="K41" i="7" s="1"/>
  <c r="L39" i="7"/>
  <c r="L41" i="7" s="1"/>
  <c r="M39" i="7"/>
  <c r="M41" i="7" s="1"/>
  <c r="N39" i="7"/>
  <c r="N41" i="7" s="1"/>
  <c r="O39" i="7"/>
  <c r="O41" i="7" s="1"/>
  <c r="P39" i="7"/>
  <c r="P41" i="7" s="1"/>
  <c r="Q39" i="7"/>
  <c r="Q41" i="7" s="1"/>
  <c r="R39" i="7"/>
  <c r="R41" i="7" s="1"/>
  <c r="S39" i="7"/>
  <c r="S41" i="7" s="1"/>
  <c r="T39" i="7"/>
  <c r="T41" i="7" s="1"/>
  <c r="U39" i="7"/>
  <c r="V39" i="7"/>
  <c r="V41" i="7" s="1"/>
  <c r="W39" i="7"/>
  <c r="W41" i="7" s="1"/>
  <c r="F36" i="7"/>
  <c r="F38" i="7" s="1"/>
  <c r="G36" i="7"/>
  <c r="G38" i="7" s="1"/>
  <c r="H36" i="7"/>
  <c r="H38" i="7" s="1"/>
  <c r="I36" i="7"/>
  <c r="I38" i="7" s="1"/>
  <c r="J36" i="7"/>
  <c r="J38" i="7" s="1"/>
  <c r="K36" i="7"/>
  <c r="K38" i="7" s="1"/>
  <c r="L36" i="7"/>
  <c r="L38" i="7" s="1"/>
  <c r="M36" i="7"/>
  <c r="M38" i="7" s="1"/>
  <c r="N36" i="7"/>
  <c r="N38" i="7" s="1"/>
  <c r="O36" i="7"/>
  <c r="O38" i="7" s="1"/>
  <c r="P36" i="7"/>
  <c r="P38" i="7" s="1"/>
  <c r="Q36" i="7"/>
  <c r="Q38" i="7" s="1"/>
  <c r="R36" i="7"/>
  <c r="R38" i="7" s="1"/>
  <c r="S36" i="7"/>
  <c r="S38" i="7" s="1"/>
  <c r="T36" i="7"/>
  <c r="T38" i="7" s="1"/>
  <c r="U36" i="7"/>
  <c r="V36" i="7"/>
  <c r="V38" i="7" s="1"/>
  <c r="W36" i="7"/>
  <c r="W38" i="7" s="1"/>
  <c r="F33" i="7"/>
  <c r="F35" i="7" s="1"/>
  <c r="G33" i="7"/>
  <c r="G35" i="7" s="1"/>
  <c r="H33" i="7"/>
  <c r="H35" i="7" s="1"/>
  <c r="I33" i="7"/>
  <c r="I35" i="7" s="1"/>
  <c r="J33" i="7"/>
  <c r="J35" i="7" s="1"/>
  <c r="K33" i="7"/>
  <c r="K35" i="7" s="1"/>
  <c r="L33" i="7"/>
  <c r="L35" i="7" s="1"/>
  <c r="M33" i="7"/>
  <c r="M35" i="7" s="1"/>
  <c r="N33" i="7"/>
  <c r="N35" i="7" s="1"/>
  <c r="O33" i="7"/>
  <c r="O35" i="7" s="1"/>
  <c r="P33" i="7"/>
  <c r="P35" i="7" s="1"/>
  <c r="Q33" i="7"/>
  <c r="Q35" i="7" s="1"/>
  <c r="R33" i="7"/>
  <c r="R35" i="7" s="1"/>
  <c r="S33" i="7"/>
  <c r="S35" i="7" s="1"/>
  <c r="T33" i="7"/>
  <c r="T35" i="7" s="1"/>
  <c r="U33" i="7"/>
  <c r="V33" i="7"/>
  <c r="V35" i="7" s="1"/>
  <c r="W33" i="7"/>
  <c r="W35" i="7" s="1"/>
  <c r="F30" i="7"/>
  <c r="F32" i="7" s="1"/>
  <c r="G30" i="7"/>
  <c r="G32" i="7" s="1"/>
  <c r="H30" i="7"/>
  <c r="H32" i="7" s="1"/>
  <c r="I30" i="7"/>
  <c r="I32" i="7" s="1"/>
  <c r="J30" i="7"/>
  <c r="J32" i="7" s="1"/>
  <c r="K30" i="7"/>
  <c r="K32" i="7" s="1"/>
  <c r="L30" i="7"/>
  <c r="L32" i="7" s="1"/>
  <c r="M30" i="7"/>
  <c r="M32" i="7" s="1"/>
  <c r="N30" i="7"/>
  <c r="N32" i="7" s="1"/>
  <c r="O30" i="7"/>
  <c r="O32" i="7" s="1"/>
  <c r="P30" i="7"/>
  <c r="P32" i="7" s="1"/>
  <c r="Q30" i="7"/>
  <c r="Q32" i="7" s="1"/>
  <c r="R30" i="7"/>
  <c r="R32" i="7" s="1"/>
  <c r="S30" i="7"/>
  <c r="S32" i="7" s="1"/>
  <c r="T30" i="7"/>
  <c r="T32" i="7" s="1"/>
  <c r="U30" i="7"/>
  <c r="V30" i="7"/>
  <c r="V32" i="7" s="1"/>
  <c r="W30" i="7"/>
  <c r="W32" i="7" s="1"/>
  <c r="F27" i="7"/>
  <c r="F29" i="7" s="1"/>
  <c r="G27" i="7"/>
  <c r="G29" i="7" s="1"/>
  <c r="H27" i="7"/>
  <c r="H29" i="7" s="1"/>
  <c r="I27" i="7"/>
  <c r="I29" i="7" s="1"/>
  <c r="J27" i="7"/>
  <c r="J29" i="7" s="1"/>
  <c r="K27" i="7"/>
  <c r="K29" i="7" s="1"/>
  <c r="L27" i="7"/>
  <c r="L29" i="7" s="1"/>
  <c r="M27" i="7"/>
  <c r="M29" i="7" s="1"/>
  <c r="N27" i="7"/>
  <c r="N29" i="7" s="1"/>
  <c r="O27" i="7"/>
  <c r="P27" i="7"/>
  <c r="P29" i="7" s="1"/>
  <c r="Q27" i="7"/>
  <c r="Q29" i="7" s="1"/>
  <c r="R27" i="7"/>
  <c r="R29" i="7" s="1"/>
  <c r="S27" i="7"/>
  <c r="S29" i="7" s="1"/>
  <c r="T27" i="7"/>
  <c r="T29" i="7" s="1"/>
  <c r="U27" i="7"/>
  <c r="V27" i="7"/>
  <c r="V29" i="7" s="1"/>
  <c r="W27" i="7"/>
  <c r="W29" i="7" s="1"/>
  <c r="F24" i="7"/>
  <c r="F26" i="7" s="1"/>
  <c r="G24" i="7"/>
  <c r="G26" i="7" s="1"/>
  <c r="H24" i="7"/>
  <c r="H26" i="7" s="1"/>
  <c r="I24" i="7"/>
  <c r="I26" i="7" s="1"/>
  <c r="J24" i="7"/>
  <c r="J26" i="7" s="1"/>
  <c r="K24" i="7"/>
  <c r="K26" i="7" s="1"/>
  <c r="L24" i="7"/>
  <c r="L26" i="7" s="1"/>
  <c r="M24" i="7"/>
  <c r="M26" i="7" s="1"/>
  <c r="N24" i="7"/>
  <c r="N26" i="7" s="1"/>
  <c r="O24" i="7"/>
  <c r="O26" i="7" s="1"/>
  <c r="P24" i="7"/>
  <c r="P26" i="7" s="1"/>
  <c r="Q24" i="7"/>
  <c r="Q26" i="7" s="1"/>
  <c r="R24" i="7"/>
  <c r="R26" i="7" s="1"/>
  <c r="S24" i="7"/>
  <c r="S26" i="7" s="1"/>
  <c r="T24" i="7"/>
  <c r="T26" i="7" s="1"/>
  <c r="U24" i="7"/>
  <c r="V24" i="7"/>
  <c r="V26" i="7" s="1"/>
  <c r="W24" i="7"/>
  <c r="W26" i="7" s="1"/>
  <c r="F21" i="7"/>
  <c r="F23" i="7" s="1"/>
  <c r="G21" i="7"/>
  <c r="G23" i="7" s="1"/>
  <c r="H21" i="7"/>
  <c r="H23" i="7" s="1"/>
  <c r="I21" i="7"/>
  <c r="I23" i="7" s="1"/>
  <c r="J21" i="7"/>
  <c r="J23" i="7" s="1"/>
  <c r="K21" i="7"/>
  <c r="K23" i="7" s="1"/>
  <c r="L21" i="7"/>
  <c r="L23" i="7" s="1"/>
  <c r="M21" i="7"/>
  <c r="M23" i="7" s="1"/>
  <c r="N21" i="7"/>
  <c r="N23" i="7" s="1"/>
  <c r="O21" i="7"/>
  <c r="O23" i="7" s="1"/>
  <c r="P21" i="7"/>
  <c r="P23" i="7" s="1"/>
  <c r="Q21" i="7"/>
  <c r="R21" i="7"/>
  <c r="R23" i="7" s="1"/>
  <c r="S21" i="7"/>
  <c r="S23" i="7" s="1"/>
  <c r="T21" i="7"/>
  <c r="T23" i="7" s="1"/>
  <c r="U21" i="7"/>
  <c r="V21" i="7"/>
  <c r="V23" i="7" s="1"/>
  <c r="W21" i="7"/>
  <c r="W23" i="7" s="1"/>
  <c r="F18" i="7"/>
  <c r="F20" i="7" s="1"/>
  <c r="G18" i="7"/>
  <c r="G20" i="7" s="1"/>
  <c r="H18" i="7"/>
  <c r="H20" i="7" s="1"/>
  <c r="I18" i="7"/>
  <c r="I20" i="7" s="1"/>
  <c r="J18" i="7"/>
  <c r="J20" i="7" s="1"/>
  <c r="K18" i="7"/>
  <c r="K20" i="7" s="1"/>
  <c r="L18" i="7"/>
  <c r="L20" i="7" s="1"/>
  <c r="M18" i="7"/>
  <c r="M20" i="7" s="1"/>
  <c r="N18" i="7"/>
  <c r="N20" i="7" s="1"/>
  <c r="O18" i="7"/>
  <c r="O20" i="7" s="1"/>
  <c r="P18" i="7"/>
  <c r="P20" i="7" s="1"/>
  <c r="Q18" i="7"/>
  <c r="Q20" i="7" s="1"/>
  <c r="R18" i="7"/>
  <c r="R20" i="7" s="1"/>
  <c r="S18" i="7"/>
  <c r="S20" i="7" s="1"/>
  <c r="T18" i="7"/>
  <c r="T20" i="7" s="1"/>
  <c r="U18" i="7"/>
  <c r="V18" i="7"/>
  <c r="V20" i="7" s="1"/>
  <c r="W18" i="7"/>
  <c r="W20" i="7" s="1"/>
  <c r="F15" i="7"/>
  <c r="F17" i="7" s="1"/>
  <c r="G15" i="7"/>
  <c r="G17" i="7" s="1"/>
  <c r="H15" i="7"/>
  <c r="H17" i="7" s="1"/>
  <c r="I15" i="7"/>
  <c r="I17" i="7" s="1"/>
  <c r="J15" i="7"/>
  <c r="J17" i="7" s="1"/>
  <c r="K15" i="7"/>
  <c r="K17" i="7" s="1"/>
  <c r="L15" i="7"/>
  <c r="L17" i="7" s="1"/>
  <c r="M15" i="7"/>
  <c r="M17" i="7" s="1"/>
  <c r="N15" i="7"/>
  <c r="N17" i="7" s="1"/>
  <c r="O15" i="7"/>
  <c r="O17" i="7" s="1"/>
  <c r="P15" i="7"/>
  <c r="P17" i="7" s="1"/>
  <c r="Q15" i="7"/>
  <c r="Q17" i="7" s="1"/>
  <c r="R15" i="7"/>
  <c r="R17" i="7" s="1"/>
  <c r="S15" i="7"/>
  <c r="S17" i="7" s="1"/>
  <c r="T15" i="7"/>
  <c r="T17" i="7" s="1"/>
  <c r="U15" i="7"/>
  <c r="V15" i="7"/>
  <c r="V17" i="7" s="1"/>
  <c r="W15" i="7"/>
  <c r="W17" i="7" s="1"/>
  <c r="F12" i="7"/>
  <c r="F14" i="7" s="1"/>
  <c r="G12" i="7"/>
  <c r="G14" i="7" s="1"/>
  <c r="H12" i="7"/>
  <c r="H14" i="7" s="1"/>
  <c r="I12" i="7"/>
  <c r="I14" i="7" s="1"/>
  <c r="J12" i="7"/>
  <c r="J14" i="7" s="1"/>
  <c r="K12" i="7"/>
  <c r="K14" i="7" s="1"/>
  <c r="L12" i="7"/>
  <c r="L14" i="7" s="1"/>
  <c r="M12" i="7"/>
  <c r="M14" i="7" s="1"/>
  <c r="N12" i="7"/>
  <c r="N14" i="7" s="1"/>
  <c r="O12" i="7"/>
  <c r="O14" i="7" s="1"/>
  <c r="P12" i="7"/>
  <c r="P14" i="7" s="1"/>
  <c r="Q12" i="7"/>
  <c r="Q14" i="7" s="1"/>
  <c r="R12" i="7"/>
  <c r="R14" i="7" s="1"/>
  <c r="S12" i="7"/>
  <c r="S14" i="7" s="1"/>
  <c r="T12" i="7"/>
  <c r="T14" i="7" s="1"/>
  <c r="U12" i="7"/>
  <c r="V12" i="7"/>
  <c r="V14" i="7" s="1"/>
  <c r="W12" i="7"/>
  <c r="W14" i="7" s="1"/>
  <c r="F9" i="7"/>
  <c r="F11" i="7" s="1"/>
  <c r="G9" i="7"/>
  <c r="G11" i="7" s="1"/>
  <c r="H9" i="7"/>
  <c r="H11" i="7" s="1"/>
  <c r="I9" i="7"/>
  <c r="I11" i="7" s="1"/>
  <c r="J9" i="7"/>
  <c r="J11" i="7" s="1"/>
  <c r="K9" i="7"/>
  <c r="K11" i="7" s="1"/>
  <c r="L9" i="7"/>
  <c r="L11" i="7" s="1"/>
  <c r="M9" i="7"/>
  <c r="M11" i="7" s="1"/>
  <c r="N9" i="7"/>
  <c r="N11" i="7" s="1"/>
  <c r="O9" i="7"/>
  <c r="O11" i="7" s="1"/>
  <c r="P9" i="7"/>
  <c r="P11" i="7" s="1"/>
  <c r="Q9" i="7"/>
  <c r="Q11" i="7" s="1"/>
  <c r="R9" i="7"/>
  <c r="R11" i="7" s="1"/>
  <c r="S9" i="7"/>
  <c r="S11" i="7" s="1"/>
  <c r="T9" i="7"/>
  <c r="T11" i="7" s="1"/>
  <c r="U9" i="7"/>
  <c r="V9" i="7"/>
  <c r="V11" i="7" s="1"/>
  <c r="W9" i="7"/>
  <c r="W11" i="7" s="1"/>
  <c r="F6" i="7"/>
  <c r="F8" i="7" s="1"/>
  <c r="G6" i="7"/>
  <c r="G8" i="7" s="1"/>
  <c r="H6" i="7"/>
  <c r="H8" i="7" s="1"/>
  <c r="I6" i="7"/>
  <c r="I8" i="7" s="1"/>
  <c r="J6" i="7"/>
  <c r="J8" i="7" s="1"/>
  <c r="K6" i="7"/>
  <c r="K8" i="7" s="1"/>
  <c r="L6" i="7"/>
  <c r="L8" i="7" s="1"/>
  <c r="M6" i="7"/>
  <c r="M8" i="7" s="1"/>
  <c r="N6" i="7"/>
  <c r="N8" i="7" s="1"/>
  <c r="O6" i="7"/>
  <c r="O8" i="7" s="1"/>
  <c r="P6" i="7"/>
  <c r="P8" i="7" s="1"/>
  <c r="Q6" i="7"/>
  <c r="Q8" i="7" s="1"/>
  <c r="R6" i="7"/>
  <c r="R8" i="7" s="1"/>
  <c r="S6" i="7"/>
  <c r="S8" i="7" s="1"/>
  <c r="T6" i="7"/>
  <c r="T8" i="7" s="1"/>
  <c r="U6" i="7"/>
  <c r="V6" i="7"/>
  <c r="V8" i="7" s="1"/>
  <c r="W6" i="7"/>
  <c r="W8" i="7" s="1"/>
  <c r="Q23" i="7" l="1"/>
  <c r="O29" i="7"/>
  <c r="N47" i="7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E4" i="4"/>
  <c r="E5" i="4"/>
  <c r="E6" i="4"/>
  <c r="E7" i="4"/>
  <c r="E8" i="4"/>
  <c r="E9" i="4"/>
  <c r="E10" i="4"/>
  <c r="E11" i="4"/>
  <c r="E12" i="4"/>
  <c r="G12" i="4" s="1"/>
  <c r="E13" i="4"/>
  <c r="E14" i="4"/>
  <c r="E15" i="4"/>
  <c r="E16" i="4"/>
  <c r="E17" i="4"/>
  <c r="E18" i="4"/>
  <c r="E19" i="4"/>
  <c r="E20" i="4"/>
  <c r="G20" i="4" s="1"/>
  <c r="E21" i="4"/>
  <c r="E22" i="4"/>
  <c r="E23" i="4"/>
  <c r="E24" i="4"/>
  <c r="E25" i="4"/>
  <c r="E26" i="4"/>
  <c r="E27" i="4"/>
  <c r="E28" i="4"/>
  <c r="G28" i="4" s="1"/>
  <c r="E29" i="4"/>
  <c r="E30" i="4"/>
  <c r="E31" i="4"/>
  <c r="E32" i="4"/>
  <c r="E33" i="4"/>
  <c r="E34" i="4"/>
  <c r="E35" i="4"/>
  <c r="E36" i="4"/>
  <c r="G36" i="4" s="1"/>
  <c r="E37" i="4"/>
  <c r="E38" i="4"/>
  <c r="E39" i="4"/>
  <c r="E40" i="4"/>
  <c r="E41" i="4"/>
  <c r="E42" i="4"/>
  <c r="E43" i="4"/>
  <c r="E44" i="4"/>
  <c r="G44" i="4" s="1"/>
  <c r="E45" i="4"/>
  <c r="E46" i="4"/>
  <c r="E47" i="4"/>
  <c r="E48" i="4"/>
  <c r="E49" i="4"/>
  <c r="E50" i="4"/>
  <c r="E51" i="4"/>
  <c r="E52" i="4"/>
  <c r="G52" i="4" s="1"/>
  <c r="E53" i="4"/>
  <c r="E54" i="4"/>
  <c r="E55" i="4"/>
  <c r="E56" i="4"/>
  <c r="E57" i="4"/>
  <c r="E58" i="4"/>
  <c r="V161" i="1"/>
  <c r="V140" i="1"/>
  <c r="V128" i="1"/>
  <c r="V116" i="1"/>
  <c r="V104" i="1"/>
  <c r="V92" i="1"/>
  <c r="V80" i="1"/>
  <c r="V68" i="1"/>
  <c r="W62" i="1"/>
  <c r="W53" i="1"/>
  <c r="W41" i="1"/>
  <c r="W29" i="1"/>
  <c r="W17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F148" i="1"/>
  <c r="G148" i="1"/>
  <c r="H148" i="1"/>
  <c r="I148" i="1"/>
  <c r="J148" i="1"/>
  <c r="K148" i="1"/>
  <c r="L148" i="1"/>
  <c r="M148" i="1"/>
  <c r="N148" i="1"/>
  <c r="O148" i="1"/>
  <c r="P148" i="1"/>
  <c r="P149" i="1" s="1"/>
  <c r="Q148" i="1"/>
  <c r="R148" i="1"/>
  <c r="S148" i="1"/>
  <c r="T148" i="1"/>
  <c r="U148" i="1"/>
  <c r="V148" i="1"/>
  <c r="W148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F10" i="1"/>
  <c r="G10" i="1"/>
  <c r="H10" i="1"/>
  <c r="I10" i="1"/>
  <c r="J10" i="1"/>
  <c r="K10" i="1"/>
  <c r="L10" i="1"/>
  <c r="L11" i="1" s="1"/>
  <c r="M10" i="1"/>
  <c r="M11" i="1" s="1"/>
  <c r="N10" i="1"/>
  <c r="O10" i="1"/>
  <c r="P10" i="1"/>
  <c r="Q10" i="1"/>
  <c r="R10" i="1"/>
  <c r="S10" i="1"/>
  <c r="T10" i="1"/>
  <c r="U10" i="1"/>
  <c r="V10" i="1"/>
  <c r="W10" i="1"/>
  <c r="F7" i="1"/>
  <c r="G7" i="1"/>
  <c r="H7" i="1"/>
  <c r="I7" i="1"/>
  <c r="J7" i="1"/>
  <c r="J8" i="1" s="1"/>
  <c r="K7" i="1"/>
  <c r="L7" i="1"/>
  <c r="M7" i="1"/>
  <c r="N7" i="1"/>
  <c r="O7" i="1"/>
  <c r="P7" i="1"/>
  <c r="Q7" i="1"/>
  <c r="R7" i="1"/>
  <c r="S7" i="1"/>
  <c r="S8" i="1" s="1"/>
  <c r="T7" i="1"/>
  <c r="U7" i="1"/>
  <c r="V7" i="1"/>
  <c r="W7" i="1"/>
  <c r="F168" i="1"/>
  <c r="G168" i="1"/>
  <c r="H168" i="1"/>
  <c r="H170" i="1" s="1"/>
  <c r="I168" i="1"/>
  <c r="I170" i="1" s="1"/>
  <c r="J168" i="1"/>
  <c r="J170" i="1" s="1"/>
  <c r="K168" i="1"/>
  <c r="K170" i="1" s="1"/>
  <c r="L168" i="1"/>
  <c r="L170" i="1" s="1"/>
  <c r="M168" i="1"/>
  <c r="M170" i="1" s="1"/>
  <c r="N168" i="1"/>
  <c r="O168" i="1"/>
  <c r="P168" i="1"/>
  <c r="Q168" i="1"/>
  <c r="Q170" i="1" s="1"/>
  <c r="R168" i="1"/>
  <c r="R170" i="1" s="1"/>
  <c r="S168" i="1"/>
  <c r="S170" i="1" s="1"/>
  <c r="T168" i="1"/>
  <c r="T170" i="1" s="1"/>
  <c r="U168" i="1"/>
  <c r="V168" i="1"/>
  <c r="V170" i="1" s="1"/>
  <c r="W168" i="1"/>
  <c r="W170" i="1" s="1"/>
  <c r="F165" i="1"/>
  <c r="F167" i="1" s="1"/>
  <c r="G165" i="1"/>
  <c r="G167" i="1" s="1"/>
  <c r="H165" i="1"/>
  <c r="I165" i="1"/>
  <c r="I167" i="1" s="1"/>
  <c r="J165" i="1"/>
  <c r="J167" i="1" s="1"/>
  <c r="K165" i="1"/>
  <c r="L165" i="1"/>
  <c r="M165" i="1"/>
  <c r="M167" i="1" s="1"/>
  <c r="N165" i="1"/>
  <c r="N167" i="1" s="1"/>
  <c r="O165" i="1"/>
  <c r="O167" i="1" s="1"/>
  <c r="P165" i="1"/>
  <c r="P167" i="1" s="1"/>
  <c r="Q165" i="1"/>
  <c r="R165" i="1"/>
  <c r="S165" i="1"/>
  <c r="T165" i="1"/>
  <c r="U165" i="1"/>
  <c r="V165" i="1"/>
  <c r="V167" i="1" s="1"/>
  <c r="W165" i="1"/>
  <c r="W167" i="1" s="1"/>
  <c r="F162" i="1"/>
  <c r="F164" i="1" s="1"/>
  <c r="G162" i="1"/>
  <c r="G164" i="1" s="1"/>
  <c r="H162" i="1"/>
  <c r="H164" i="1" s="1"/>
  <c r="I162" i="1"/>
  <c r="I164" i="1" s="1"/>
  <c r="J162" i="1"/>
  <c r="K162" i="1"/>
  <c r="K164" i="1" s="1"/>
  <c r="L162" i="1"/>
  <c r="M162" i="1"/>
  <c r="M164" i="1" s="1"/>
  <c r="N162" i="1"/>
  <c r="O162" i="1"/>
  <c r="O164" i="1" s="1"/>
  <c r="P162" i="1"/>
  <c r="P164" i="1" s="1"/>
  <c r="Q162" i="1"/>
  <c r="Q164" i="1" s="1"/>
  <c r="R162" i="1"/>
  <c r="S162" i="1"/>
  <c r="S164" i="1" s="1"/>
  <c r="T162" i="1"/>
  <c r="T164" i="1" s="1"/>
  <c r="U162" i="1"/>
  <c r="V162" i="1"/>
  <c r="V164" i="1" s="1"/>
  <c r="W162" i="1"/>
  <c r="W164" i="1" s="1"/>
  <c r="F159" i="1"/>
  <c r="F161" i="1" s="1"/>
  <c r="G159" i="1"/>
  <c r="G161" i="1" s="1"/>
  <c r="H159" i="1"/>
  <c r="I159" i="1"/>
  <c r="I161" i="1" s="1"/>
  <c r="J159" i="1"/>
  <c r="J161" i="1" s="1"/>
  <c r="K159" i="1"/>
  <c r="K161" i="1" s="1"/>
  <c r="L159" i="1"/>
  <c r="L161" i="1" s="1"/>
  <c r="M159" i="1"/>
  <c r="N159" i="1"/>
  <c r="O159" i="1"/>
  <c r="O161" i="1" s="1"/>
  <c r="P159" i="1"/>
  <c r="Q159" i="1"/>
  <c r="R159" i="1"/>
  <c r="R161" i="1" s="1"/>
  <c r="S159" i="1"/>
  <c r="S161" i="1" s="1"/>
  <c r="T159" i="1"/>
  <c r="T161" i="1" s="1"/>
  <c r="U159" i="1"/>
  <c r="V159" i="1"/>
  <c r="W159" i="1"/>
  <c r="W161" i="1" s="1"/>
  <c r="F156" i="1"/>
  <c r="G156" i="1"/>
  <c r="G158" i="1" s="1"/>
  <c r="H156" i="1"/>
  <c r="H158" i="1" s="1"/>
  <c r="I156" i="1"/>
  <c r="I158" i="1" s="1"/>
  <c r="J156" i="1"/>
  <c r="J158" i="1" s="1"/>
  <c r="K156" i="1"/>
  <c r="K158" i="1" s="1"/>
  <c r="L156" i="1"/>
  <c r="L158" i="1" s="1"/>
  <c r="M156" i="1"/>
  <c r="M158" i="1" s="1"/>
  <c r="N156" i="1"/>
  <c r="O156" i="1"/>
  <c r="P156" i="1"/>
  <c r="Q156" i="1"/>
  <c r="R156" i="1"/>
  <c r="S156" i="1"/>
  <c r="S158" i="1" s="1"/>
  <c r="T156" i="1"/>
  <c r="T158" i="1" s="1"/>
  <c r="U156" i="1"/>
  <c r="V156" i="1"/>
  <c r="V158" i="1" s="1"/>
  <c r="W156" i="1"/>
  <c r="W158" i="1" s="1"/>
  <c r="F153" i="1"/>
  <c r="F155" i="1" s="1"/>
  <c r="G153" i="1"/>
  <c r="G155" i="1" s="1"/>
  <c r="H153" i="1"/>
  <c r="I153" i="1"/>
  <c r="I155" i="1" s="1"/>
  <c r="J153" i="1"/>
  <c r="J155" i="1" s="1"/>
  <c r="K153" i="1"/>
  <c r="K155" i="1" s="1"/>
  <c r="L153" i="1"/>
  <c r="M153" i="1"/>
  <c r="M155" i="1" s="1"/>
  <c r="N153" i="1"/>
  <c r="N155" i="1" s="1"/>
  <c r="O153" i="1"/>
  <c r="O155" i="1" s="1"/>
  <c r="P153" i="1"/>
  <c r="P155" i="1" s="1"/>
  <c r="Q153" i="1"/>
  <c r="R153" i="1"/>
  <c r="R155" i="1" s="1"/>
  <c r="S153" i="1"/>
  <c r="T153" i="1"/>
  <c r="U153" i="1"/>
  <c r="V153" i="1"/>
  <c r="V155" i="1" s="1"/>
  <c r="W153" i="1"/>
  <c r="W155" i="1" s="1"/>
  <c r="F150" i="1"/>
  <c r="F152" i="1" s="1"/>
  <c r="G150" i="1"/>
  <c r="G152" i="1" s="1"/>
  <c r="H150" i="1"/>
  <c r="I150" i="1"/>
  <c r="I152" i="1" s="1"/>
  <c r="J150" i="1"/>
  <c r="K150" i="1"/>
  <c r="K152" i="1" s="1"/>
  <c r="L150" i="1"/>
  <c r="M150" i="1"/>
  <c r="N150" i="1"/>
  <c r="N152" i="1" s="1"/>
  <c r="O150" i="1"/>
  <c r="O152" i="1" s="1"/>
  <c r="P150" i="1"/>
  <c r="P152" i="1" s="1"/>
  <c r="Q150" i="1"/>
  <c r="Q152" i="1" s="1"/>
  <c r="R150" i="1"/>
  <c r="S150" i="1"/>
  <c r="S152" i="1" s="1"/>
  <c r="T150" i="1"/>
  <c r="T152" i="1" s="1"/>
  <c r="U150" i="1"/>
  <c r="V150" i="1"/>
  <c r="V152" i="1" s="1"/>
  <c r="W150" i="1"/>
  <c r="W152" i="1" s="1"/>
  <c r="F147" i="1"/>
  <c r="F149" i="1" s="1"/>
  <c r="G147" i="1"/>
  <c r="H147" i="1"/>
  <c r="I147" i="1"/>
  <c r="I149" i="1" s="1"/>
  <c r="J147" i="1"/>
  <c r="J149" i="1" s="1"/>
  <c r="K147" i="1"/>
  <c r="K149" i="1" s="1"/>
  <c r="L147" i="1"/>
  <c r="M147" i="1"/>
  <c r="N147" i="1"/>
  <c r="O147" i="1"/>
  <c r="P147" i="1"/>
  <c r="Q147" i="1"/>
  <c r="Q149" i="1" s="1"/>
  <c r="R147" i="1"/>
  <c r="S147" i="1"/>
  <c r="S149" i="1" s="1"/>
  <c r="T147" i="1"/>
  <c r="T149" i="1" s="1"/>
  <c r="U147" i="1"/>
  <c r="V147" i="1"/>
  <c r="V149" i="1" s="1"/>
  <c r="W147" i="1"/>
  <c r="W149" i="1" s="1"/>
  <c r="F144" i="1"/>
  <c r="G144" i="1"/>
  <c r="G146" i="1" s="1"/>
  <c r="H144" i="1"/>
  <c r="I144" i="1"/>
  <c r="I146" i="1" s="1"/>
  <c r="J144" i="1"/>
  <c r="J146" i="1" s="1"/>
  <c r="K144" i="1"/>
  <c r="L144" i="1"/>
  <c r="L146" i="1" s="1"/>
  <c r="M144" i="1"/>
  <c r="M146" i="1" s="1"/>
  <c r="N144" i="1"/>
  <c r="O144" i="1"/>
  <c r="O146" i="1" s="1"/>
  <c r="P144" i="1"/>
  <c r="Q144" i="1"/>
  <c r="Q146" i="1" s="1"/>
  <c r="R144" i="1"/>
  <c r="R146" i="1" s="1"/>
  <c r="S144" i="1"/>
  <c r="S146" i="1" s="1"/>
  <c r="T144" i="1"/>
  <c r="T146" i="1" s="1"/>
  <c r="U144" i="1"/>
  <c r="V144" i="1"/>
  <c r="V146" i="1" s="1"/>
  <c r="W144" i="1"/>
  <c r="W146" i="1" s="1"/>
  <c r="F141" i="1"/>
  <c r="F143" i="1" s="1"/>
  <c r="G141" i="1"/>
  <c r="H141" i="1"/>
  <c r="I141" i="1"/>
  <c r="I143" i="1" s="1"/>
  <c r="J141" i="1"/>
  <c r="K141" i="1"/>
  <c r="L141" i="1"/>
  <c r="M141" i="1"/>
  <c r="N141" i="1"/>
  <c r="O141" i="1"/>
  <c r="O143" i="1" s="1"/>
  <c r="P141" i="1"/>
  <c r="P143" i="1" s="1"/>
  <c r="Q141" i="1"/>
  <c r="R141" i="1"/>
  <c r="R143" i="1" s="1"/>
  <c r="S141" i="1"/>
  <c r="T141" i="1"/>
  <c r="U141" i="1"/>
  <c r="V141" i="1"/>
  <c r="V143" i="1" s="1"/>
  <c r="W141" i="1"/>
  <c r="W143" i="1" s="1"/>
  <c r="F138" i="1"/>
  <c r="F140" i="1" s="1"/>
  <c r="G138" i="1"/>
  <c r="H138" i="1"/>
  <c r="H140" i="1" s="1"/>
  <c r="I138" i="1"/>
  <c r="I140" i="1" s="1"/>
  <c r="J138" i="1"/>
  <c r="K138" i="1"/>
  <c r="L138" i="1"/>
  <c r="L140" i="1" s="1"/>
  <c r="M138" i="1"/>
  <c r="N138" i="1"/>
  <c r="N140" i="1" s="1"/>
  <c r="O138" i="1"/>
  <c r="O140" i="1" s="1"/>
  <c r="P138" i="1"/>
  <c r="P140" i="1" s="1"/>
  <c r="Q138" i="1"/>
  <c r="Q140" i="1" s="1"/>
  <c r="R138" i="1"/>
  <c r="S138" i="1"/>
  <c r="S140" i="1" s="1"/>
  <c r="T138" i="1"/>
  <c r="T140" i="1" s="1"/>
  <c r="U138" i="1"/>
  <c r="V138" i="1"/>
  <c r="W138" i="1"/>
  <c r="W140" i="1" s="1"/>
  <c r="F135" i="1"/>
  <c r="F137" i="1" s="1"/>
  <c r="G135" i="1"/>
  <c r="G137" i="1" s="1"/>
  <c r="H135" i="1"/>
  <c r="I135" i="1"/>
  <c r="I137" i="1" s="1"/>
  <c r="J135" i="1"/>
  <c r="J137" i="1" s="1"/>
  <c r="K135" i="1"/>
  <c r="K137" i="1" s="1"/>
  <c r="L135" i="1"/>
  <c r="L137" i="1" s="1"/>
  <c r="M135" i="1"/>
  <c r="M137" i="1" s="1"/>
  <c r="N135" i="1"/>
  <c r="O135" i="1"/>
  <c r="O137" i="1" s="1"/>
  <c r="P135" i="1"/>
  <c r="Q135" i="1"/>
  <c r="Q137" i="1" s="1"/>
  <c r="R135" i="1"/>
  <c r="R137" i="1" s="1"/>
  <c r="S135" i="1"/>
  <c r="S137" i="1" s="1"/>
  <c r="T135" i="1"/>
  <c r="T137" i="1" s="1"/>
  <c r="U135" i="1"/>
  <c r="V135" i="1"/>
  <c r="V137" i="1" s="1"/>
  <c r="W135" i="1"/>
  <c r="W137" i="1" s="1"/>
  <c r="F132" i="1"/>
  <c r="G132" i="1"/>
  <c r="G134" i="1" s="1"/>
  <c r="H132" i="1"/>
  <c r="H134" i="1" s="1"/>
  <c r="I132" i="1"/>
  <c r="I134" i="1" s="1"/>
  <c r="J132" i="1"/>
  <c r="K132" i="1"/>
  <c r="L132" i="1"/>
  <c r="L134" i="1" s="1"/>
  <c r="M132" i="1"/>
  <c r="M134" i="1" s="1"/>
  <c r="N132" i="1"/>
  <c r="O132" i="1"/>
  <c r="O134" i="1" s="1"/>
  <c r="P132" i="1"/>
  <c r="Q132" i="1"/>
  <c r="Q134" i="1" s="1"/>
  <c r="R132" i="1"/>
  <c r="R134" i="1" s="1"/>
  <c r="S132" i="1"/>
  <c r="S134" i="1" s="1"/>
  <c r="T132" i="1"/>
  <c r="U132" i="1"/>
  <c r="V132" i="1"/>
  <c r="V134" i="1" s="1"/>
  <c r="W132" i="1"/>
  <c r="W134" i="1" s="1"/>
  <c r="F129" i="1"/>
  <c r="F131" i="1" s="1"/>
  <c r="G129" i="1"/>
  <c r="H129" i="1"/>
  <c r="H131" i="1" s="1"/>
  <c r="I129" i="1"/>
  <c r="J129" i="1"/>
  <c r="K129" i="1"/>
  <c r="K131" i="1" s="1"/>
  <c r="L129" i="1"/>
  <c r="M129" i="1"/>
  <c r="M131" i="1" s="1"/>
  <c r="N129" i="1"/>
  <c r="O129" i="1"/>
  <c r="O131" i="1" s="1"/>
  <c r="P129" i="1"/>
  <c r="P131" i="1" s="1"/>
  <c r="Q129" i="1"/>
  <c r="R129" i="1"/>
  <c r="R131" i="1" s="1"/>
  <c r="S129" i="1"/>
  <c r="T129" i="1"/>
  <c r="U129" i="1"/>
  <c r="V129" i="1"/>
  <c r="V131" i="1" s="1"/>
  <c r="W129" i="1"/>
  <c r="W131" i="1" s="1"/>
  <c r="F126" i="1"/>
  <c r="F128" i="1" s="1"/>
  <c r="G126" i="1"/>
  <c r="G128" i="1" s="1"/>
  <c r="H126" i="1"/>
  <c r="I126" i="1"/>
  <c r="I128" i="1" s="1"/>
  <c r="J126" i="1"/>
  <c r="K126" i="1"/>
  <c r="K128" i="1" s="1"/>
  <c r="L126" i="1"/>
  <c r="L128" i="1" s="1"/>
  <c r="M126" i="1"/>
  <c r="N126" i="1"/>
  <c r="N128" i="1" s="1"/>
  <c r="O126" i="1"/>
  <c r="O128" i="1" s="1"/>
  <c r="P126" i="1"/>
  <c r="P128" i="1" s="1"/>
  <c r="Q126" i="1"/>
  <c r="Q128" i="1" s="1"/>
  <c r="R126" i="1"/>
  <c r="S126" i="1"/>
  <c r="S128" i="1" s="1"/>
  <c r="T126" i="1"/>
  <c r="T128" i="1" s="1"/>
  <c r="U126" i="1"/>
  <c r="V126" i="1"/>
  <c r="W126" i="1"/>
  <c r="W128" i="1" s="1"/>
  <c r="F123" i="1"/>
  <c r="F125" i="1" s="1"/>
  <c r="G123" i="1"/>
  <c r="G125" i="1" s="1"/>
  <c r="H123" i="1"/>
  <c r="I123" i="1"/>
  <c r="J123" i="1"/>
  <c r="J125" i="1" s="1"/>
  <c r="K123" i="1"/>
  <c r="K125" i="1" s="1"/>
  <c r="L123" i="1"/>
  <c r="L125" i="1" s="1"/>
  <c r="M123" i="1"/>
  <c r="M125" i="1" s="1"/>
  <c r="N123" i="1"/>
  <c r="N125" i="1" s="1"/>
  <c r="O123" i="1"/>
  <c r="P123" i="1"/>
  <c r="Q123" i="1"/>
  <c r="R123" i="1"/>
  <c r="R125" i="1" s="1"/>
  <c r="S123" i="1"/>
  <c r="S125" i="1" s="1"/>
  <c r="T123" i="1"/>
  <c r="T125" i="1" s="1"/>
  <c r="U123" i="1"/>
  <c r="V123" i="1"/>
  <c r="V125" i="1" s="1"/>
  <c r="W123" i="1"/>
  <c r="W125" i="1" s="1"/>
  <c r="F120" i="1"/>
  <c r="G120" i="1"/>
  <c r="H120" i="1"/>
  <c r="H122" i="1" s="1"/>
  <c r="I120" i="1"/>
  <c r="J120" i="1"/>
  <c r="K120" i="1"/>
  <c r="L120" i="1"/>
  <c r="L122" i="1" s="1"/>
  <c r="M120" i="1"/>
  <c r="M122" i="1" s="1"/>
  <c r="N120" i="1"/>
  <c r="O120" i="1"/>
  <c r="O122" i="1" s="1"/>
  <c r="P120" i="1"/>
  <c r="Q120" i="1"/>
  <c r="Q122" i="1" s="1"/>
  <c r="R120" i="1"/>
  <c r="R122" i="1" s="1"/>
  <c r="S120" i="1"/>
  <c r="S122" i="1" s="1"/>
  <c r="T120" i="1"/>
  <c r="T122" i="1" s="1"/>
  <c r="U120" i="1"/>
  <c r="V120" i="1"/>
  <c r="V122" i="1" s="1"/>
  <c r="W120" i="1"/>
  <c r="W122" i="1" s="1"/>
  <c r="F117" i="1"/>
  <c r="F119" i="1" s="1"/>
  <c r="G117" i="1"/>
  <c r="G119" i="1" s="1"/>
  <c r="H117" i="1"/>
  <c r="I117" i="1"/>
  <c r="J117" i="1"/>
  <c r="K117" i="1"/>
  <c r="K119" i="1" s="1"/>
  <c r="L117" i="1"/>
  <c r="M117" i="1"/>
  <c r="M119" i="1" s="1"/>
  <c r="N117" i="1"/>
  <c r="N119" i="1" s="1"/>
  <c r="O117" i="1"/>
  <c r="O119" i="1" s="1"/>
  <c r="P117" i="1"/>
  <c r="P119" i="1" s="1"/>
  <c r="Q117" i="1"/>
  <c r="R117" i="1"/>
  <c r="R119" i="1" s="1"/>
  <c r="S117" i="1"/>
  <c r="T117" i="1"/>
  <c r="U117" i="1"/>
  <c r="V117" i="1"/>
  <c r="V119" i="1" s="1"/>
  <c r="W117" i="1"/>
  <c r="W119" i="1" s="1"/>
  <c r="F114" i="1"/>
  <c r="G114" i="1"/>
  <c r="G116" i="1" s="1"/>
  <c r="H114" i="1"/>
  <c r="H116" i="1" s="1"/>
  <c r="I114" i="1"/>
  <c r="I116" i="1" s="1"/>
  <c r="J114" i="1"/>
  <c r="K114" i="1"/>
  <c r="K116" i="1" s="1"/>
  <c r="L114" i="1"/>
  <c r="L116" i="1" s="1"/>
  <c r="M114" i="1"/>
  <c r="N114" i="1"/>
  <c r="O114" i="1"/>
  <c r="O116" i="1" s="1"/>
  <c r="P114" i="1"/>
  <c r="P116" i="1" s="1"/>
  <c r="Q114" i="1"/>
  <c r="Q116" i="1" s="1"/>
  <c r="R114" i="1"/>
  <c r="S114" i="1"/>
  <c r="S116" i="1" s="1"/>
  <c r="T114" i="1"/>
  <c r="T116" i="1" s="1"/>
  <c r="U114" i="1"/>
  <c r="V114" i="1"/>
  <c r="W114" i="1"/>
  <c r="W116" i="1" s="1"/>
  <c r="F111" i="1"/>
  <c r="F113" i="1" s="1"/>
  <c r="G111" i="1"/>
  <c r="G113" i="1" s="1"/>
  <c r="H111" i="1"/>
  <c r="I111" i="1"/>
  <c r="I113" i="1" s="1"/>
  <c r="J111" i="1"/>
  <c r="J113" i="1" s="1"/>
  <c r="K111" i="1"/>
  <c r="K113" i="1" s="1"/>
  <c r="L111" i="1"/>
  <c r="L113" i="1" s="1"/>
  <c r="M111" i="1"/>
  <c r="M113" i="1" s="1"/>
  <c r="N111" i="1"/>
  <c r="O111" i="1"/>
  <c r="O113" i="1" s="1"/>
  <c r="P111" i="1"/>
  <c r="Q111" i="1"/>
  <c r="Q113" i="1" s="1"/>
  <c r="R111" i="1"/>
  <c r="S111" i="1"/>
  <c r="S113" i="1" s="1"/>
  <c r="T111" i="1"/>
  <c r="T113" i="1" s="1"/>
  <c r="U111" i="1"/>
  <c r="V111" i="1"/>
  <c r="V113" i="1" s="1"/>
  <c r="W111" i="1"/>
  <c r="W113" i="1" s="1"/>
  <c r="F108" i="1"/>
  <c r="G108" i="1"/>
  <c r="H108" i="1"/>
  <c r="H110" i="1" s="1"/>
  <c r="I108" i="1"/>
  <c r="J108" i="1"/>
  <c r="K108" i="1"/>
  <c r="L108" i="1"/>
  <c r="L110" i="1" s="1"/>
  <c r="M108" i="1"/>
  <c r="M110" i="1" s="1"/>
  <c r="N108" i="1"/>
  <c r="O108" i="1"/>
  <c r="P108" i="1"/>
  <c r="P110" i="1" s="1"/>
  <c r="Q108" i="1"/>
  <c r="R108" i="1"/>
  <c r="R110" i="1" s="1"/>
  <c r="S108" i="1"/>
  <c r="S110" i="1" s="1"/>
  <c r="T108" i="1"/>
  <c r="T110" i="1" s="1"/>
  <c r="U108" i="1"/>
  <c r="V108" i="1"/>
  <c r="V110" i="1" s="1"/>
  <c r="W108" i="1"/>
  <c r="W110" i="1" s="1"/>
  <c r="F105" i="1"/>
  <c r="F107" i="1" s="1"/>
  <c r="G105" i="1"/>
  <c r="H105" i="1"/>
  <c r="I105" i="1"/>
  <c r="I107" i="1" s="1"/>
  <c r="J105" i="1"/>
  <c r="K105" i="1"/>
  <c r="K107" i="1" s="1"/>
  <c r="L105" i="1"/>
  <c r="M105" i="1"/>
  <c r="M107" i="1" s="1"/>
  <c r="N105" i="1"/>
  <c r="N107" i="1" s="1"/>
  <c r="O105" i="1"/>
  <c r="O107" i="1" s="1"/>
  <c r="P105" i="1"/>
  <c r="P107" i="1" s="1"/>
  <c r="Q105" i="1"/>
  <c r="Q107" i="1" s="1"/>
  <c r="R105" i="1"/>
  <c r="R107" i="1" s="1"/>
  <c r="S105" i="1"/>
  <c r="T105" i="1"/>
  <c r="U105" i="1"/>
  <c r="V105" i="1"/>
  <c r="V107" i="1" s="1"/>
  <c r="W105" i="1"/>
  <c r="W107" i="1" s="1"/>
  <c r="F102" i="1"/>
  <c r="F104" i="1" s="1"/>
  <c r="G102" i="1"/>
  <c r="G104" i="1" s="1"/>
  <c r="H102" i="1"/>
  <c r="H104" i="1" s="1"/>
  <c r="I102" i="1"/>
  <c r="I104" i="1" s="1"/>
  <c r="J102" i="1"/>
  <c r="K102" i="1"/>
  <c r="K104" i="1" s="1"/>
  <c r="L102" i="1"/>
  <c r="L104" i="1" s="1"/>
  <c r="M102" i="1"/>
  <c r="N102" i="1"/>
  <c r="O102" i="1"/>
  <c r="O104" i="1" s="1"/>
  <c r="P102" i="1"/>
  <c r="P104" i="1" s="1"/>
  <c r="Q102" i="1"/>
  <c r="Q104" i="1" s="1"/>
  <c r="R102" i="1"/>
  <c r="S102" i="1"/>
  <c r="S104" i="1" s="1"/>
  <c r="T102" i="1"/>
  <c r="T104" i="1" s="1"/>
  <c r="U102" i="1"/>
  <c r="V102" i="1"/>
  <c r="W102" i="1"/>
  <c r="W104" i="1" s="1"/>
  <c r="F99" i="1"/>
  <c r="F101" i="1" s="1"/>
  <c r="G99" i="1"/>
  <c r="G101" i="1" s="1"/>
  <c r="H99" i="1"/>
  <c r="I99" i="1"/>
  <c r="I101" i="1" s="1"/>
  <c r="J99" i="1"/>
  <c r="J101" i="1" s="1"/>
  <c r="K99" i="1"/>
  <c r="K101" i="1" s="1"/>
  <c r="L99" i="1"/>
  <c r="L101" i="1" s="1"/>
  <c r="M99" i="1"/>
  <c r="M101" i="1" s="1"/>
  <c r="N99" i="1"/>
  <c r="O99" i="1"/>
  <c r="O101" i="1" s="1"/>
  <c r="P99" i="1"/>
  <c r="Q99" i="1"/>
  <c r="Q101" i="1" s="1"/>
  <c r="R99" i="1"/>
  <c r="R101" i="1" s="1"/>
  <c r="S99" i="1"/>
  <c r="S101" i="1" s="1"/>
  <c r="T99" i="1"/>
  <c r="T101" i="1" s="1"/>
  <c r="U99" i="1"/>
  <c r="V99" i="1"/>
  <c r="V101" i="1" s="1"/>
  <c r="W99" i="1"/>
  <c r="W101" i="1" s="1"/>
  <c r="F96" i="1"/>
  <c r="G96" i="1"/>
  <c r="G98" i="1" s="1"/>
  <c r="H96" i="1"/>
  <c r="H98" i="1" s="1"/>
  <c r="I96" i="1"/>
  <c r="I98" i="1" s="1"/>
  <c r="J96" i="1"/>
  <c r="J98" i="1" s="1"/>
  <c r="K96" i="1"/>
  <c r="K98" i="1" s="1"/>
  <c r="L96" i="1"/>
  <c r="M96" i="1"/>
  <c r="N96" i="1"/>
  <c r="O96" i="1"/>
  <c r="O98" i="1" s="1"/>
  <c r="P96" i="1"/>
  <c r="Q96" i="1"/>
  <c r="Q98" i="1" s="1"/>
  <c r="R96" i="1"/>
  <c r="R98" i="1" s="1"/>
  <c r="S96" i="1"/>
  <c r="S98" i="1" s="1"/>
  <c r="T96" i="1"/>
  <c r="U96" i="1"/>
  <c r="V96" i="1"/>
  <c r="V98" i="1" s="1"/>
  <c r="W96" i="1"/>
  <c r="W98" i="1" s="1"/>
  <c r="F93" i="1"/>
  <c r="F95" i="1" s="1"/>
  <c r="G93" i="1"/>
  <c r="H93" i="1"/>
  <c r="H95" i="1" s="1"/>
  <c r="I93" i="1"/>
  <c r="I95" i="1" s="1"/>
  <c r="J93" i="1"/>
  <c r="J95" i="1" s="1"/>
  <c r="K93" i="1"/>
  <c r="K95" i="1" s="1"/>
  <c r="L93" i="1"/>
  <c r="M93" i="1"/>
  <c r="M95" i="1" s="1"/>
  <c r="N93" i="1"/>
  <c r="N95" i="1" s="1"/>
  <c r="O93" i="1"/>
  <c r="O95" i="1" s="1"/>
  <c r="P93" i="1"/>
  <c r="P95" i="1" s="1"/>
  <c r="Q93" i="1"/>
  <c r="R93" i="1"/>
  <c r="R95" i="1" s="1"/>
  <c r="S93" i="1"/>
  <c r="T93" i="1"/>
  <c r="U93" i="1"/>
  <c r="V93" i="1"/>
  <c r="V95" i="1" s="1"/>
  <c r="W93" i="1"/>
  <c r="W95" i="1" s="1"/>
  <c r="F90" i="1"/>
  <c r="F92" i="1" s="1"/>
  <c r="G90" i="1"/>
  <c r="G92" i="1" s="1"/>
  <c r="H90" i="1"/>
  <c r="H92" i="1" s="1"/>
  <c r="I90" i="1"/>
  <c r="I92" i="1" s="1"/>
  <c r="J90" i="1"/>
  <c r="K90" i="1"/>
  <c r="K92" i="1" s="1"/>
  <c r="L90" i="1"/>
  <c r="L92" i="1" s="1"/>
  <c r="M90" i="1"/>
  <c r="N90" i="1"/>
  <c r="N92" i="1" s="1"/>
  <c r="O90" i="1"/>
  <c r="O92" i="1" s="1"/>
  <c r="P90" i="1"/>
  <c r="P92" i="1" s="1"/>
  <c r="Q90" i="1"/>
  <c r="Q92" i="1" s="1"/>
  <c r="R90" i="1"/>
  <c r="S90" i="1"/>
  <c r="S92" i="1" s="1"/>
  <c r="T90" i="1"/>
  <c r="T92" i="1" s="1"/>
  <c r="U90" i="1"/>
  <c r="V90" i="1"/>
  <c r="W90" i="1"/>
  <c r="W92" i="1" s="1"/>
  <c r="F87" i="1"/>
  <c r="F89" i="1" s="1"/>
  <c r="G87" i="1"/>
  <c r="G89" i="1" s="1"/>
  <c r="H87" i="1"/>
  <c r="I87" i="1"/>
  <c r="I89" i="1" s="1"/>
  <c r="J87" i="1"/>
  <c r="J89" i="1" s="1"/>
  <c r="K87" i="1"/>
  <c r="K89" i="1" s="1"/>
  <c r="L87" i="1"/>
  <c r="L89" i="1" s="1"/>
  <c r="M87" i="1"/>
  <c r="M89" i="1" s="1"/>
  <c r="N87" i="1"/>
  <c r="O87" i="1"/>
  <c r="O89" i="1" s="1"/>
  <c r="P87" i="1"/>
  <c r="Q87" i="1"/>
  <c r="Q89" i="1" s="1"/>
  <c r="R87" i="1"/>
  <c r="R89" i="1" s="1"/>
  <c r="S87" i="1"/>
  <c r="S89" i="1" s="1"/>
  <c r="T87" i="1"/>
  <c r="T89" i="1" s="1"/>
  <c r="U87" i="1"/>
  <c r="V87" i="1"/>
  <c r="V89" i="1" s="1"/>
  <c r="W87" i="1"/>
  <c r="W89" i="1" s="1"/>
  <c r="F84" i="1"/>
  <c r="G84" i="1"/>
  <c r="G86" i="1" s="1"/>
  <c r="H84" i="1"/>
  <c r="I84" i="1"/>
  <c r="J84" i="1"/>
  <c r="K84" i="1"/>
  <c r="L84" i="1"/>
  <c r="L86" i="1" s="1"/>
  <c r="M84" i="1"/>
  <c r="M86" i="1" s="1"/>
  <c r="N84" i="1"/>
  <c r="O84" i="1"/>
  <c r="P84" i="1"/>
  <c r="Q84" i="1"/>
  <c r="Q86" i="1" s="1"/>
  <c r="R84" i="1"/>
  <c r="R86" i="1" s="1"/>
  <c r="S84" i="1"/>
  <c r="S86" i="1" s="1"/>
  <c r="T84" i="1"/>
  <c r="T86" i="1" s="1"/>
  <c r="U84" i="1"/>
  <c r="V84" i="1"/>
  <c r="V86" i="1" s="1"/>
  <c r="W84" i="1"/>
  <c r="W86" i="1" s="1"/>
  <c r="F81" i="1"/>
  <c r="F83" i="1" s="1"/>
  <c r="G81" i="1"/>
  <c r="G83" i="1" s="1"/>
  <c r="H81" i="1"/>
  <c r="H83" i="1" s="1"/>
  <c r="I81" i="1"/>
  <c r="I83" i="1" s="1"/>
  <c r="J81" i="1"/>
  <c r="K81" i="1"/>
  <c r="K83" i="1" s="1"/>
  <c r="L81" i="1"/>
  <c r="M81" i="1"/>
  <c r="M83" i="1" s="1"/>
  <c r="N81" i="1"/>
  <c r="N83" i="1" s="1"/>
  <c r="O81" i="1"/>
  <c r="O83" i="1" s="1"/>
  <c r="P81" i="1"/>
  <c r="P83" i="1" s="1"/>
  <c r="Q81" i="1"/>
  <c r="R81" i="1"/>
  <c r="R83" i="1" s="1"/>
  <c r="S81" i="1"/>
  <c r="T81" i="1"/>
  <c r="U81" i="1"/>
  <c r="V81" i="1"/>
  <c r="V83" i="1" s="1"/>
  <c r="W81" i="1"/>
  <c r="W83" i="1" s="1"/>
  <c r="F78" i="1"/>
  <c r="G78" i="1"/>
  <c r="H78" i="1"/>
  <c r="H80" i="1" s="1"/>
  <c r="I78" i="1"/>
  <c r="I80" i="1" s="1"/>
  <c r="J78" i="1"/>
  <c r="K78" i="1"/>
  <c r="L78" i="1"/>
  <c r="L80" i="1" s="1"/>
  <c r="M78" i="1"/>
  <c r="N78" i="1"/>
  <c r="N80" i="1" s="1"/>
  <c r="O78" i="1"/>
  <c r="P78" i="1"/>
  <c r="P80" i="1" s="1"/>
  <c r="Q78" i="1"/>
  <c r="R78" i="1"/>
  <c r="S78" i="1"/>
  <c r="S80" i="1" s="1"/>
  <c r="T78" i="1"/>
  <c r="T80" i="1" s="1"/>
  <c r="U78" i="1"/>
  <c r="V78" i="1"/>
  <c r="W78" i="1"/>
  <c r="W80" i="1" s="1"/>
  <c r="F75" i="1"/>
  <c r="F77" i="1" s="1"/>
  <c r="G75" i="1"/>
  <c r="G77" i="1" s="1"/>
  <c r="H75" i="1"/>
  <c r="I75" i="1"/>
  <c r="I77" i="1" s="1"/>
  <c r="J75" i="1"/>
  <c r="J77" i="1" s="1"/>
  <c r="K75" i="1"/>
  <c r="K77" i="1" s="1"/>
  <c r="L75" i="1"/>
  <c r="L77" i="1" s="1"/>
  <c r="M75" i="1"/>
  <c r="M77" i="1" s="1"/>
  <c r="N75" i="1"/>
  <c r="O75" i="1"/>
  <c r="O77" i="1" s="1"/>
  <c r="P75" i="1"/>
  <c r="Q75" i="1"/>
  <c r="Q77" i="1" s="1"/>
  <c r="R75" i="1"/>
  <c r="R77" i="1" s="1"/>
  <c r="S75" i="1"/>
  <c r="S77" i="1" s="1"/>
  <c r="T75" i="1"/>
  <c r="T77" i="1" s="1"/>
  <c r="U75" i="1"/>
  <c r="V75" i="1"/>
  <c r="V77" i="1" s="1"/>
  <c r="W75" i="1"/>
  <c r="W77" i="1" s="1"/>
  <c r="F72" i="1"/>
  <c r="G72" i="1"/>
  <c r="G74" i="1" s="1"/>
  <c r="H72" i="1"/>
  <c r="H74" i="1" s="1"/>
  <c r="I72" i="1"/>
  <c r="I74" i="1" s="1"/>
  <c r="J72" i="1"/>
  <c r="J74" i="1" s="1"/>
  <c r="K72" i="1"/>
  <c r="L72" i="1"/>
  <c r="L74" i="1" s="1"/>
  <c r="M72" i="1"/>
  <c r="M74" i="1" s="1"/>
  <c r="N72" i="1"/>
  <c r="O72" i="1"/>
  <c r="O74" i="1" s="1"/>
  <c r="P72" i="1"/>
  <c r="Q72" i="1"/>
  <c r="R72" i="1"/>
  <c r="S72" i="1"/>
  <c r="S74" i="1" s="1"/>
  <c r="T72" i="1"/>
  <c r="T74" i="1" s="1"/>
  <c r="U72" i="1"/>
  <c r="V72" i="1"/>
  <c r="V74" i="1" s="1"/>
  <c r="W72" i="1"/>
  <c r="W74" i="1" s="1"/>
  <c r="F69" i="1"/>
  <c r="F71" i="1" s="1"/>
  <c r="G69" i="1"/>
  <c r="H69" i="1"/>
  <c r="I69" i="1"/>
  <c r="I71" i="1" s="1"/>
  <c r="J69" i="1"/>
  <c r="J71" i="1" s="1"/>
  <c r="K69" i="1"/>
  <c r="K71" i="1" s="1"/>
  <c r="L69" i="1"/>
  <c r="M69" i="1"/>
  <c r="N69" i="1"/>
  <c r="N71" i="1" s="1"/>
  <c r="O69" i="1"/>
  <c r="O71" i="1" s="1"/>
  <c r="P69" i="1"/>
  <c r="P71" i="1" s="1"/>
  <c r="Q69" i="1"/>
  <c r="R69" i="1"/>
  <c r="R71" i="1" s="1"/>
  <c r="S69" i="1"/>
  <c r="T69" i="1"/>
  <c r="U69" i="1"/>
  <c r="V69" i="1"/>
  <c r="V71" i="1" s="1"/>
  <c r="W69" i="1"/>
  <c r="W71" i="1" s="1"/>
  <c r="F66" i="1"/>
  <c r="G66" i="1"/>
  <c r="H66" i="1"/>
  <c r="H68" i="1" s="1"/>
  <c r="I66" i="1"/>
  <c r="I68" i="1" s="1"/>
  <c r="J66" i="1"/>
  <c r="K66" i="1"/>
  <c r="K68" i="1" s="1"/>
  <c r="L66" i="1"/>
  <c r="L68" i="1" s="1"/>
  <c r="M66" i="1"/>
  <c r="N66" i="1"/>
  <c r="N68" i="1" s="1"/>
  <c r="O66" i="1"/>
  <c r="O68" i="1" s="1"/>
  <c r="P66" i="1"/>
  <c r="P68" i="1" s="1"/>
  <c r="Q66" i="1"/>
  <c r="Q68" i="1" s="1"/>
  <c r="R66" i="1"/>
  <c r="S66" i="1"/>
  <c r="S68" i="1" s="1"/>
  <c r="T66" i="1"/>
  <c r="T68" i="1" s="1"/>
  <c r="U66" i="1"/>
  <c r="V66" i="1"/>
  <c r="W66" i="1"/>
  <c r="W68" i="1" s="1"/>
  <c r="F63" i="1"/>
  <c r="F65" i="1" s="1"/>
  <c r="G63" i="1"/>
  <c r="G65" i="1" s="1"/>
  <c r="H63" i="1"/>
  <c r="I63" i="1"/>
  <c r="I65" i="1" s="1"/>
  <c r="J63" i="1"/>
  <c r="J65" i="1" s="1"/>
  <c r="K63" i="1"/>
  <c r="K65" i="1" s="1"/>
  <c r="L63" i="1"/>
  <c r="L65" i="1" s="1"/>
  <c r="M63" i="1"/>
  <c r="M65" i="1" s="1"/>
  <c r="N63" i="1"/>
  <c r="O63" i="1"/>
  <c r="O65" i="1" s="1"/>
  <c r="P63" i="1"/>
  <c r="Q63" i="1"/>
  <c r="Q65" i="1" s="1"/>
  <c r="R63" i="1"/>
  <c r="S63" i="1"/>
  <c r="S65" i="1" s="1"/>
  <c r="T63" i="1"/>
  <c r="T65" i="1" s="1"/>
  <c r="U63" i="1"/>
  <c r="V63" i="1"/>
  <c r="V65" i="1" s="1"/>
  <c r="W63" i="1"/>
  <c r="W65" i="1" s="1"/>
  <c r="F60" i="1"/>
  <c r="G60" i="1"/>
  <c r="H60" i="1"/>
  <c r="H62" i="1" s="1"/>
  <c r="I60" i="1"/>
  <c r="I62" i="1" s="1"/>
  <c r="J60" i="1"/>
  <c r="J62" i="1" s="1"/>
  <c r="K60" i="1"/>
  <c r="L60" i="1"/>
  <c r="M60" i="1"/>
  <c r="M62" i="1" s="1"/>
  <c r="N60" i="1"/>
  <c r="N62" i="1" s="1"/>
  <c r="O60" i="1"/>
  <c r="O62" i="1" s="1"/>
  <c r="P60" i="1"/>
  <c r="Q60" i="1"/>
  <c r="R60" i="1"/>
  <c r="S60" i="1"/>
  <c r="S62" i="1" s="1"/>
  <c r="T60" i="1"/>
  <c r="T62" i="1" s="1"/>
  <c r="U60" i="1"/>
  <c r="V60" i="1"/>
  <c r="V62" i="1" s="1"/>
  <c r="W60" i="1"/>
  <c r="F57" i="1"/>
  <c r="G57" i="1"/>
  <c r="H57" i="1"/>
  <c r="H59" i="1" s="1"/>
  <c r="I57" i="1"/>
  <c r="J57" i="1"/>
  <c r="K57" i="1"/>
  <c r="K59" i="1" s="1"/>
  <c r="L57" i="1"/>
  <c r="M57" i="1"/>
  <c r="M59" i="1" s="1"/>
  <c r="N57" i="1"/>
  <c r="N59" i="1" s="1"/>
  <c r="O57" i="1"/>
  <c r="O59" i="1" s="1"/>
  <c r="P57" i="1"/>
  <c r="P59" i="1" s="1"/>
  <c r="Q57" i="1"/>
  <c r="Q59" i="1" s="1"/>
  <c r="R57" i="1"/>
  <c r="S57" i="1"/>
  <c r="T57" i="1"/>
  <c r="U57" i="1"/>
  <c r="V57" i="1"/>
  <c r="V59" i="1" s="1"/>
  <c r="W57" i="1"/>
  <c r="W59" i="1" s="1"/>
  <c r="F54" i="1"/>
  <c r="F56" i="1" s="1"/>
  <c r="G54" i="1"/>
  <c r="H54" i="1"/>
  <c r="H56" i="1" s="1"/>
  <c r="I54" i="1"/>
  <c r="I56" i="1" s="1"/>
  <c r="J54" i="1"/>
  <c r="K54" i="1"/>
  <c r="K56" i="1" s="1"/>
  <c r="L54" i="1"/>
  <c r="M54" i="1"/>
  <c r="N54" i="1"/>
  <c r="N56" i="1" s="1"/>
  <c r="O54" i="1"/>
  <c r="O56" i="1" s="1"/>
  <c r="P54" i="1"/>
  <c r="P56" i="1" s="1"/>
  <c r="Q54" i="1"/>
  <c r="Q56" i="1" s="1"/>
  <c r="R54" i="1"/>
  <c r="S54" i="1"/>
  <c r="S56" i="1" s="1"/>
  <c r="T54" i="1"/>
  <c r="T56" i="1" s="1"/>
  <c r="U54" i="1"/>
  <c r="V54" i="1"/>
  <c r="V56" i="1" s="1"/>
  <c r="W54" i="1"/>
  <c r="W56" i="1" s="1"/>
  <c r="F51" i="1"/>
  <c r="F53" i="1" s="1"/>
  <c r="G51" i="1"/>
  <c r="H51" i="1"/>
  <c r="I51" i="1"/>
  <c r="I53" i="1" s="1"/>
  <c r="J51" i="1"/>
  <c r="J53" i="1" s="1"/>
  <c r="K51" i="1"/>
  <c r="K53" i="1" s="1"/>
  <c r="L51" i="1"/>
  <c r="L53" i="1" s="1"/>
  <c r="M51" i="1"/>
  <c r="M53" i="1" s="1"/>
  <c r="N51" i="1"/>
  <c r="O51" i="1"/>
  <c r="O53" i="1" s="1"/>
  <c r="P51" i="1"/>
  <c r="Q51" i="1"/>
  <c r="Q53" i="1" s="1"/>
  <c r="R51" i="1"/>
  <c r="R53" i="1" s="1"/>
  <c r="S51" i="1"/>
  <c r="S53" i="1" s="1"/>
  <c r="T51" i="1"/>
  <c r="T53" i="1" s="1"/>
  <c r="U51" i="1"/>
  <c r="V51" i="1"/>
  <c r="V53" i="1" s="1"/>
  <c r="W51" i="1"/>
  <c r="F48" i="1"/>
  <c r="G48" i="1"/>
  <c r="H48" i="1"/>
  <c r="H50" i="1" s="1"/>
  <c r="I48" i="1"/>
  <c r="J48" i="1"/>
  <c r="K48" i="1"/>
  <c r="L48" i="1"/>
  <c r="L50" i="1" s="1"/>
  <c r="M48" i="1"/>
  <c r="N48" i="1"/>
  <c r="O48" i="1"/>
  <c r="P48" i="1"/>
  <c r="P50" i="1" s="1"/>
  <c r="Q48" i="1"/>
  <c r="R48" i="1"/>
  <c r="R50" i="1" s="1"/>
  <c r="S48" i="1"/>
  <c r="S50" i="1" s="1"/>
  <c r="T48" i="1"/>
  <c r="T50" i="1" s="1"/>
  <c r="U48" i="1"/>
  <c r="V48" i="1"/>
  <c r="V50" i="1" s="1"/>
  <c r="W48" i="1"/>
  <c r="W50" i="1" s="1"/>
  <c r="F45" i="1"/>
  <c r="F47" i="1" s="1"/>
  <c r="G45" i="1"/>
  <c r="G47" i="1" s="1"/>
  <c r="H45" i="1"/>
  <c r="H47" i="1" s="1"/>
  <c r="I45" i="1"/>
  <c r="I47" i="1" s="1"/>
  <c r="J45" i="1"/>
  <c r="J47" i="1" s="1"/>
  <c r="K45" i="1"/>
  <c r="K47" i="1" s="1"/>
  <c r="L45" i="1"/>
  <c r="M45" i="1"/>
  <c r="M47" i="1" s="1"/>
  <c r="N45" i="1"/>
  <c r="N47" i="1" s="1"/>
  <c r="O45" i="1"/>
  <c r="O47" i="1" s="1"/>
  <c r="P45" i="1"/>
  <c r="Q45" i="1"/>
  <c r="Q47" i="1" s="1"/>
  <c r="R45" i="1"/>
  <c r="S45" i="1"/>
  <c r="T45" i="1"/>
  <c r="U45" i="1"/>
  <c r="V45" i="1"/>
  <c r="V47" i="1" s="1"/>
  <c r="W45" i="1"/>
  <c r="W47" i="1" s="1"/>
  <c r="F42" i="1"/>
  <c r="G42" i="1"/>
  <c r="G44" i="1" s="1"/>
  <c r="H42" i="1"/>
  <c r="H44" i="1" s="1"/>
  <c r="I42" i="1"/>
  <c r="J42" i="1"/>
  <c r="K42" i="1"/>
  <c r="K44" i="1" s="1"/>
  <c r="L42" i="1"/>
  <c r="L44" i="1" s="1"/>
  <c r="M42" i="1"/>
  <c r="N42" i="1"/>
  <c r="O42" i="1"/>
  <c r="O44" i="1" s="1"/>
  <c r="P42" i="1"/>
  <c r="P44" i="1" s="1"/>
  <c r="Q42" i="1"/>
  <c r="Q44" i="1" s="1"/>
  <c r="R42" i="1"/>
  <c r="S42" i="1"/>
  <c r="S44" i="1" s="1"/>
  <c r="T42" i="1"/>
  <c r="T44" i="1" s="1"/>
  <c r="U42" i="1"/>
  <c r="V42" i="1"/>
  <c r="V44" i="1" s="1"/>
  <c r="W42" i="1"/>
  <c r="W44" i="1" s="1"/>
  <c r="F39" i="1"/>
  <c r="F41" i="1" s="1"/>
  <c r="G39" i="1"/>
  <c r="G41" i="1" s="1"/>
  <c r="H39" i="1"/>
  <c r="I39" i="1"/>
  <c r="I41" i="1" s="1"/>
  <c r="J39" i="1"/>
  <c r="J41" i="1" s="1"/>
  <c r="K39" i="1"/>
  <c r="L39" i="1"/>
  <c r="L41" i="1" s="1"/>
  <c r="M39" i="1"/>
  <c r="M41" i="1" s="1"/>
  <c r="N39" i="1"/>
  <c r="O39" i="1"/>
  <c r="O41" i="1" s="1"/>
  <c r="P39" i="1"/>
  <c r="Q39" i="1"/>
  <c r="R39" i="1"/>
  <c r="R41" i="1" s="1"/>
  <c r="S39" i="1"/>
  <c r="S41" i="1" s="1"/>
  <c r="T39" i="1"/>
  <c r="T41" i="1" s="1"/>
  <c r="U39" i="1"/>
  <c r="V39" i="1"/>
  <c r="V41" i="1" s="1"/>
  <c r="W39" i="1"/>
  <c r="F36" i="1"/>
  <c r="G36" i="1"/>
  <c r="H36" i="1"/>
  <c r="I36" i="1"/>
  <c r="J36" i="1"/>
  <c r="K36" i="1"/>
  <c r="K38" i="1" s="1"/>
  <c r="L36" i="1"/>
  <c r="L38" i="1" s="1"/>
  <c r="M36" i="1"/>
  <c r="N36" i="1"/>
  <c r="O36" i="1"/>
  <c r="P36" i="1"/>
  <c r="Q36" i="1"/>
  <c r="R36" i="1"/>
  <c r="S36" i="1"/>
  <c r="S38" i="1" s="1"/>
  <c r="T36" i="1"/>
  <c r="T38" i="1" s="1"/>
  <c r="U36" i="1"/>
  <c r="V36" i="1"/>
  <c r="V38" i="1" s="1"/>
  <c r="W36" i="1"/>
  <c r="W38" i="1" s="1"/>
  <c r="F33" i="1"/>
  <c r="F35" i="1" s="1"/>
  <c r="G33" i="1"/>
  <c r="G35" i="1" s="1"/>
  <c r="H33" i="1"/>
  <c r="H35" i="1" s="1"/>
  <c r="I33" i="1"/>
  <c r="I35" i="1" s="1"/>
  <c r="J33" i="1"/>
  <c r="J35" i="1" s="1"/>
  <c r="K33" i="1"/>
  <c r="K35" i="1" s="1"/>
  <c r="L33" i="1"/>
  <c r="M33" i="1"/>
  <c r="N33" i="1"/>
  <c r="N35" i="1" s="1"/>
  <c r="O33" i="1"/>
  <c r="O35" i="1" s="1"/>
  <c r="P33" i="1"/>
  <c r="P35" i="1" s="1"/>
  <c r="Q33" i="1"/>
  <c r="Q35" i="1" s="1"/>
  <c r="R33" i="1"/>
  <c r="S33" i="1"/>
  <c r="T33" i="1"/>
  <c r="U33" i="1"/>
  <c r="V33" i="1"/>
  <c r="V35" i="1" s="1"/>
  <c r="W33" i="1"/>
  <c r="W35" i="1" s="1"/>
  <c r="F30" i="1"/>
  <c r="F32" i="1" s="1"/>
  <c r="G30" i="1"/>
  <c r="G32" i="1" s="1"/>
  <c r="H30" i="1"/>
  <c r="H32" i="1" s="1"/>
  <c r="I30" i="1"/>
  <c r="I32" i="1" s="1"/>
  <c r="J30" i="1"/>
  <c r="K30" i="1"/>
  <c r="L30" i="1"/>
  <c r="L32" i="1" s="1"/>
  <c r="M30" i="1"/>
  <c r="N30" i="1"/>
  <c r="N32" i="1" s="1"/>
  <c r="O30" i="1"/>
  <c r="O32" i="1" s="1"/>
  <c r="P30" i="1"/>
  <c r="Q30" i="1"/>
  <c r="Q32" i="1" s="1"/>
  <c r="R30" i="1"/>
  <c r="S30" i="1"/>
  <c r="T30" i="1"/>
  <c r="T32" i="1" s="1"/>
  <c r="U30" i="1"/>
  <c r="V30" i="1"/>
  <c r="V32" i="1" s="1"/>
  <c r="W30" i="1"/>
  <c r="W32" i="1" s="1"/>
  <c r="F27" i="1"/>
  <c r="F29" i="1" s="1"/>
  <c r="G27" i="1"/>
  <c r="G29" i="1" s="1"/>
  <c r="H27" i="1"/>
  <c r="I27" i="1"/>
  <c r="J27" i="1"/>
  <c r="J29" i="1" s="1"/>
  <c r="K27" i="1"/>
  <c r="K29" i="1" s="1"/>
  <c r="L27" i="1"/>
  <c r="L29" i="1" s="1"/>
  <c r="M27" i="1"/>
  <c r="M29" i="1" s="1"/>
  <c r="N27" i="1"/>
  <c r="O27" i="1"/>
  <c r="O29" i="1" s="1"/>
  <c r="P27" i="1"/>
  <c r="Q27" i="1"/>
  <c r="R27" i="1"/>
  <c r="R29" i="1" s="1"/>
  <c r="S27" i="1"/>
  <c r="S29" i="1" s="1"/>
  <c r="T27" i="1"/>
  <c r="T29" i="1" s="1"/>
  <c r="U27" i="1"/>
  <c r="V27" i="1"/>
  <c r="V29" i="1" s="1"/>
  <c r="W27" i="1"/>
  <c r="F24" i="1"/>
  <c r="G24" i="1"/>
  <c r="H24" i="1"/>
  <c r="H26" i="1" s="1"/>
  <c r="I24" i="1"/>
  <c r="J24" i="1"/>
  <c r="K24" i="1"/>
  <c r="L24" i="1"/>
  <c r="L26" i="1" s="1"/>
  <c r="M24" i="1"/>
  <c r="M26" i="1" s="1"/>
  <c r="N24" i="1"/>
  <c r="O24" i="1"/>
  <c r="P24" i="1"/>
  <c r="P26" i="1" s="1"/>
  <c r="Q24" i="1"/>
  <c r="R24" i="1"/>
  <c r="R26" i="1" s="1"/>
  <c r="S24" i="1"/>
  <c r="S26" i="1" s="1"/>
  <c r="T24" i="1"/>
  <c r="T26" i="1" s="1"/>
  <c r="U24" i="1"/>
  <c r="V24" i="1"/>
  <c r="V26" i="1" s="1"/>
  <c r="W24" i="1"/>
  <c r="W26" i="1" s="1"/>
  <c r="F21" i="1"/>
  <c r="F23" i="1" s="1"/>
  <c r="G21" i="1"/>
  <c r="G23" i="1" s="1"/>
  <c r="H21" i="1"/>
  <c r="I21" i="1"/>
  <c r="I23" i="1" s="1"/>
  <c r="J21" i="1"/>
  <c r="J23" i="1" s="1"/>
  <c r="K21" i="1"/>
  <c r="K23" i="1" s="1"/>
  <c r="L21" i="1"/>
  <c r="M21" i="1"/>
  <c r="N21" i="1"/>
  <c r="N23" i="1" s="1"/>
  <c r="O21" i="1"/>
  <c r="O23" i="1" s="1"/>
  <c r="P21" i="1"/>
  <c r="P23" i="1" s="1"/>
  <c r="Q21" i="1"/>
  <c r="Q23" i="1" s="1"/>
  <c r="R21" i="1"/>
  <c r="S21" i="1"/>
  <c r="T21" i="1"/>
  <c r="U21" i="1"/>
  <c r="V21" i="1"/>
  <c r="V23" i="1" s="1"/>
  <c r="W21" i="1"/>
  <c r="W23" i="1" s="1"/>
  <c r="F18" i="1"/>
  <c r="F20" i="1" s="1"/>
  <c r="G18" i="1"/>
  <c r="G20" i="1" s="1"/>
  <c r="H18" i="1"/>
  <c r="H20" i="1" s="1"/>
  <c r="I18" i="1"/>
  <c r="I20" i="1" s="1"/>
  <c r="J18" i="1"/>
  <c r="K18" i="1"/>
  <c r="L18" i="1"/>
  <c r="L20" i="1" s="1"/>
  <c r="M18" i="1"/>
  <c r="N18" i="1"/>
  <c r="N20" i="1" s="1"/>
  <c r="O18" i="1"/>
  <c r="O20" i="1" s="1"/>
  <c r="P18" i="1"/>
  <c r="P20" i="1" s="1"/>
  <c r="Q18" i="1"/>
  <c r="Q20" i="1" s="1"/>
  <c r="R18" i="1"/>
  <c r="S18" i="1"/>
  <c r="T18" i="1"/>
  <c r="U18" i="1"/>
  <c r="V18" i="1"/>
  <c r="V20" i="1" s="1"/>
  <c r="W18" i="1"/>
  <c r="W20" i="1" s="1"/>
  <c r="F15" i="1"/>
  <c r="F17" i="1" s="1"/>
  <c r="G15" i="1"/>
  <c r="G17" i="1" s="1"/>
  <c r="H15" i="1"/>
  <c r="I15" i="1"/>
  <c r="J15" i="1"/>
  <c r="J17" i="1" s="1"/>
  <c r="K15" i="1"/>
  <c r="K17" i="1" s="1"/>
  <c r="L15" i="1"/>
  <c r="L17" i="1" s="1"/>
  <c r="M15" i="1"/>
  <c r="M17" i="1" s="1"/>
  <c r="N15" i="1"/>
  <c r="O15" i="1"/>
  <c r="O17" i="1" s="1"/>
  <c r="P15" i="1"/>
  <c r="Q15" i="1"/>
  <c r="R15" i="1"/>
  <c r="R17" i="1" s="1"/>
  <c r="S15" i="1"/>
  <c r="S17" i="1" s="1"/>
  <c r="T15" i="1"/>
  <c r="T17" i="1" s="1"/>
  <c r="U15" i="1"/>
  <c r="V15" i="1"/>
  <c r="V17" i="1" s="1"/>
  <c r="W15" i="1"/>
  <c r="F12" i="1"/>
  <c r="G12" i="1"/>
  <c r="H12" i="1"/>
  <c r="H14" i="1" s="1"/>
  <c r="I12" i="1"/>
  <c r="J12" i="1"/>
  <c r="K12" i="1"/>
  <c r="L12" i="1"/>
  <c r="L14" i="1" s="1"/>
  <c r="M12" i="1"/>
  <c r="N12" i="1"/>
  <c r="O12" i="1"/>
  <c r="P12" i="1"/>
  <c r="Q12" i="1"/>
  <c r="R12" i="1"/>
  <c r="S12" i="1"/>
  <c r="S14" i="1" s="1"/>
  <c r="T12" i="1"/>
  <c r="T14" i="1" s="1"/>
  <c r="U12" i="1"/>
  <c r="V12" i="1"/>
  <c r="V14" i="1" s="1"/>
  <c r="W12" i="1"/>
  <c r="W14" i="1" s="1"/>
  <c r="F9" i="1"/>
  <c r="G9" i="1"/>
  <c r="G11" i="1" s="1"/>
  <c r="H9" i="1"/>
  <c r="I9" i="1"/>
  <c r="I11" i="1" s="1"/>
  <c r="J9" i="1"/>
  <c r="J11" i="1" s="1"/>
  <c r="K9" i="1"/>
  <c r="K11" i="1" s="1"/>
  <c r="L9" i="1"/>
  <c r="M9" i="1"/>
  <c r="N9" i="1"/>
  <c r="O9" i="1"/>
  <c r="O11" i="1" s="1"/>
  <c r="P9" i="1"/>
  <c r="P11" i="1" s="1"/>
  <c r="Q9" i="1"/>
  <c r="R9" i="1"/>
  <c r="S9" i="1"/>
  <c r="T9" i="1"/>
  <c r="U9" i="1"/>
  <c r="V9" i="1"/>
  <c r="V11" i="1" s="1"/>
  <c r="W9" i="1"/>
  <c r="W11" i="1" s="1"/>
  <c r="F6" i="1"/>
  <c r="G6" i="1"/>
  <c r="H6" i="1"/>
  <c r="I6" i="1"/>
  <c r="I8" i="1" s="1"/>
  <c r="J6" i="1"/>
  <c r="K6" i="1"/>
  <c r="K8" i="1" s="1"/>
  <c r="L6" i="1"/>
  <c r="L8" i="1" s="1"/>
  <c r="M6" i="1"/>
  <c r="N6" i="1"/>
  <c r="O6" i="1"/>
  <c r="O8" i="1" s="1"/>
  <c r="P6" i="1"/>
  <c r="P8" i="1" s="1"/>
  <c r="Q6" i="1"/>
  <c r="Q8" i="1" s="1"/>
  <c r="R6" i="1"/>
  <c r="R8" i="1" s="1"/>
  <c r="S6" i="1"/>
  <c r="T6" i="1"/>
  <c r="T8" i="1" s="1"/>
  <c r="U6" i="1"/>
  <c r="V6" i="1"/>
  <c r="V8" i="1" s="1"/>
  <c r="W6" i="1"/>
  <c r="W8" i="1" s="1"/>
  <c r="I17" i="1" l="1"/>
  <c r="S20" i="1"/>
  <c r="K20" i="1"/>
  <c r="M23" i="1"/>
  <c r="O26" i="1"/>
  <c r="Q29" i="1"/>
  <c r="I29" i="1"/>
  <c r="S32" i="1"/>
  <c r="K32" i="1"/>
  <c r="Q41" i="1"/>
  <c r="K143" i="1"/>
  <c r="O149" i="1"/>
  <c r="G56" i="4"/>
  <c r="G48" i="4"/>
  <c r="G40" i="4"/>
  <c r="G32" i="4"/>
  <c r="G24" i="4"/>
  <c r="G16" i="4"/>
  <c r="P17" i="1"/>
  <c r="H17" i="1"/>
  <c r="R20" i="1"/>
  <c r="J20" i="1"/>
  <c r="N26" i="1"/>
  <c r="P29" i="1"/>
  <c r="H29" i="1"/>
  <c r="R32" i="1"/>
  <c r="J32" i="1"/>
  <c r="L35" i="1"/>
  <c r="N38" i="1"/>
  <c r="H41" i="1"/>
  <c r="R44" i="1"/>
  <c r="J44" i="1"/>
  <c r="N50" i="1"/>
  <c r="P53" i="1"/>
  <c r="R56" i="1"/>
  <c r="J56" i="1"/>
  <c r="P65" i="1"/>
  <c r="H65" i="1"/>
  <c r="R68" i="1"/>
  <c r="J68" i="1"/>
  <c r="N74" i="1"/>
  <c r="P77" i="1"/>
  <c r="H77" i="1"/>
  <c r="R80" i="1"/>
  <c r="J80" i="1"/>
  <c r="N86" i="1"/>
  <c r="H89" i="1"/>
  <c r="R92" i="1"/>
  <c r="J92" i="1"/>
  <c r="L95" i="1"/>
  <c r="N98" i="1"/>
  <c r="F98" i="1"/>
  <c r="P101" i="1"/>
  <c r="H101" i="1"/>
  <c r="J104" i="1"/>
  <c r="N110" i="1"/>
  <c r="P113" i="1"/>
  <c r="H113" i="1"/>
  <c r="R116" i="1"/>
  <c r="J116" i="1"/>
  <c r="P125" i="1"/>
  <c r="H125" i="1"/>
  <c r="R128" i="1"/>
  <c r="J128" i="1"/>
  <c r="P137" i="1"/>
  <c r="H137" i="1"/>
  <c r="R140" i="1"/>
  <c r="H149" i="1"/>
  <c r="L155" i="1"/>
  <c r="P161" i="1"/>
  <c r="H161" i="1"/>
  <c r="J164" i="1"/>
  <c r="L167" i="1"/>
  <c r="N170" i="1"/>
  <c r="H8" i="1"/>
  <c r="R11" i="1"/>
  <c r="R35" i="1"/>
  <c r="J59" i="1"/>
  <c r="L62" i="1"/>
  <c r="N149" i="1"/>
  <c r="N14" i="1"/>
  <c r="G8" i="1"/>
  <c r="Q11" i="1"/>
  <c r="G56" i="1"/>
  <c r="I59" i="1"/>
  <c r="M149" i="1"/>
  <c r="G54" i="4"/>
  <c r="G38" i="4"/>
  <c r="G30" i="4"/>
  <c r="G22" i="4"/>
  <c r="G14" i="4"/>
  <c r="G6" i="4"/>
  <c r="N8" i="1"/>
  <c r="R62" i="1"/>
  <c r="N116" i="1"/>
  <c r="L149" i="1"/>
  <c r="M8" i="1"/>
  <c r="Q62" i="1"/>
  <c r="N11" i="1"/>
  <c r="F11" i="1"/>
  <c r="P62" i="1"/>
  <c r="R149" i="1"/>
  <c r="G58" i="4"/>
  <c r="G50" i="4"/>
  <c r="G42" i="4"/>
  <c r="G26" i="4"/>
  <c r="G18" i="4"/>
  <c r="G10" i="4"/>
  <c r="T134" i="1"/>
  <c r="G46" i="4"/>
  <c r="T20" i="1"/>
  <c r="G8" i="4"/>
  <c r="P98" i="1"/>
  <c r="M98" i="1"/>
  <c r="L98" i="1"/>
  <c r="G34" i="4"/>
  <c r="T98" i="1"/>
  <c r="G51" i="4"/>
  <c r="G43" i="4"/>
  <c r="G35" i="4"/>
  <c r="G27" i="4"/>
  <c r="G19" i="4"/>
  <c r="G11" i="4"/>
  <c r="G53" i="4"/>
  <c r="G45" i="4"/>
  <c r="G37" i="4"/>
  <c r="G29" i="4"/>
  <c r="G21" i="4"/>
  <c r="G13" i="4"/>
  <c r="G5" i="4"/>
  <c r="T11" i="1"/>
  <c r="T23" i="1"/>
  <c r="T35" i="1"/>
  <c r="T47" i="1"/>
  <c r="T59" i="1"/>
  <c r="T71" i="1"/>
  <c r="T83" i="1"/>
  <c r="T95" i="1"/>
  <c r="T107" i="1"/>
  <c r="T119" i="1"/>
  <c r="T131" i="1"/>
  <c r="T143" i="1"/>
  <c r="T155" i="1"/>
  <c r="T167" i="1"/>
  <c r="G55" i="4"/>
  <c r="G47" i="4"/>
  <c r="G39" i="4"/>
  <c r="G31" i="4"/>
  <c r="G23" i="4"/>
  <c r="G15" i="4"/>
  <c r="G7" i="4"/>
  <c r="G57" i="4"/>
  <c r="G49" i="4"/>
  <c r="G41" i="4"/>
  <c r="G33" i="4"/>
  <c r="G25" i="4"/>
  <c r="G17" i="4"/>
  <c r="G9" i="4"/>
  <c r="G4" i="4"/>
  <c r="S11" i="1"/>
  <c r="S23" i="1"/>
  <c r="S35" i="1"/>
  <c r="S47" i="1"/>
  <c r="S59" i="1"/>
  <c r="S71" i="1"/>
  <c r="S83" i="1"/>
  <c r="S95" i="1"/>
  <c r="S107" i="1"/>
  <c r="S119" i="1"/>
  <c r="S131" i="1"/>
  <c r="S143" i="1"/>
  <c r="S155" i="1"/>
  <c r="S167" i="1"/>
  <c r="R167" i="1"/>
  <c r="R164" i="1"/>
  <c r="R158" i="1"/>
  <c r="R152" i="1"/>
  <c r="R113" i="1"/>
  <c r="R104" i="1"/>
  <c r="R74" i="1"/>
  <c r="R65" i="1"/>
  <c r="R59" i="1"/>
  <c r="R47" i="1"/>
  <c r="R38" i="1"/>
  <c r="R23" i="1"/>
  <c r="R14" i="1"/>
  <c r="Q167" i="1"/>
  <c r="Q161" i="1"/>
  <c r="Q158" i="1"/>
  <c r="Q155" i="1"/>
  <c r="Q143" i="1"/>
  <c r="Q131" i="1"/>
  <c r="Q125" i="1"/>
  <c r="Q119" i="1"/>
  <c r="Q110" i="1"/>
  <c r="Q95" i="1"/>
  <c r="Q83" i="1"/>
  <c r="Q80" i="1"/>
  <c r="Q74" i="1"/>
  <c r="Q71" i="1"/>
  <c r="Q50" i="1"/>
  <c r="Q38" i="1"/>
  <c r="Q26" i="1"/>
  <c r="Q17" i="1"/>
  <c r="Q14" i="1"/>
  <c r="P170" i="1"/>
  <c r="P158" i="1"/>
  <c r="P146" i="1"/>
  <c r="P134" i="1"/>
  <c r="P122" i="1"/>
  <c r="P89" i="1"/>
  <c r="P86" i="1"/>
  <c r="P74" i="1"/>
  <c r="P47" i="1"/>
  <c r="P41" i="1"/>
  <c r="P38" i="1"/>
  <c r="P32" i="1"/>
  <c r="P14" i="1"/>
  <c r="O170" i="1"/>
  <c r="O158" i="1"/>
  <c r="O125" i="1"/>
  <c r="O110" i="1"/>
  <c r="O86" i="1"/>
  <c r="O80" i="1"/>
  <c r="O50" i="1"/>
  <c r="O38" i="1"/>
  <c r="O14" i="1"/>
  <c r="N164" i="1"/>
  <c r="N161" i="1"/>
  <c r="N158" i="1"/>
  <c r="N146" i="1"/>
  <c r="N143" i="1"/>
  <c r="N137" i="1"/>
  <c r="N134" i="1"/>
  <c r="N131" i="1"/>
  <c r="N122" i="1"/>
  <c r="N113" i="1"/>
  <c r="N104" i="1"/>
  <c r="N101" i="1"/>
  <c r="N89" i="1"/>
  <c r="N77" i="1"/>
  <c r="N65" i="1"/>
  <c r="N53" i="1"/>
  <c r="N44" i="1"/>
  <c r="N41" i="1"/>
  <c r="N29" i="1"/>
  <c r="N17" i="1"/>
  <c r="M161" i="1"/>
  <c r="M152" i="1"/>
  <c r="M143" i="1"/>
  <c r="M140" i="1"/>
  <c r="M128" i="1"/>
  <c r="M116" i="1"/>
  <c r="M104" i="1"/>
  <c r="M92" i="1"/>
  <c r="M80" i="1"/>
  <c r="M71" i="1"/>
  <c r="M68" i="1"/>
  <c r="M56" i="1"/>
  <c r="M50" i="1"/>
  <c r="M44" i="1"/>
  <c r="M38" i="1"/>
  <c r="M35" i="1"/>
  <c r="M32" i="1"/>
  <c r="M20" i="1"/>
  <c r="M14" i="1"/>
  <c r="L164" i="1"/>
  <c r="L152" i="1"/>
  <c r="L143" i="1"/>
  <c r="L131" i="1"/>
  <c r="L119" i="1"/>
  <c r="L107" i="1"/>
  <c r="L83" i="1"/>
  <c r="L71" i="1"/>
  <c r="L59" i="1"/>
  <c r="L56" i="1"/>
  <c r="L47" i="1"/>
  <c r="L23" i="1"/>
  <c r="K167" i="1"/>
  <c r="K146" i="1"/>
  <c r="K140" i="1"/>
  <c r="K134" i="1"/>
  <c r="K122" i="1"/>
  <c r="K110" i="1"/>
  <c r="K86" i="1"/>
  <c r="K80" i="1"/>
  <c r="K74" i="1"/>
  <c r="K62" i="1"/>
  <c r="K50" i="1"/>
  <c r="K41" i="1"/>
  <c r="K26" i="1"/>
  <c r="K14" i="1"/>
  <c r="J152" i="1"/>
  <c r="J143" i="1"/>
  <c r="J140" i="1"/>
  <c r="J134" i="1"/>
  <c r="J131" i="1"/>
  <c r="J122" i="1"/>
  <c r="J119" i="1"/>
  <c r="J110" i="1"/>
  <c r="J107" i="1"/>
  <c r="J86" i="1"/>
  <c r="J83" i="1"/>
  <c r="J50" i="1"/>
  <c r="J38" i="1"/>
  <c r="J26" i="1"/>
  <c r="J14" i="1"/>
  <c r="I131" i="1"/>
  <c r="I125" i="1"/>
  <c r="I122" i="1"/>
  <c r="I119" i="1"/>
  <c r="I110" i="1"/>
  <c r="I86" i="1"/>
  <c r="I50" i="1"/>
  <c r="I44" i="1"/>
  <c r="I38" i="1"/>
  <c r="I26" i="1"/>
  <c r="I14" i="1"/>
  <c r="H167" i="1"/>
  <c r="H155" i="1"/>
  <c r="H152" i="1"/>
  <c r="H146" i="1"/>
  <c r="H143" i="1"/>
  <c r="H128" i="1"/>
  <c r="H119" i="1"/>
  <c r="H107" i="1"/>
  <c r="H86" i="1"/>
  <c r="H71" i="1"/>
  <c r="H53" i="1"/>
  <c r="H38" i="1"/>
  <c r="H23" i="1"/>
  <c r="H11" i="1"/>
  <c r="G170" i="1"/>
  <c r="G149" i="1"/>
  <c r="G143" i="1"/>
  <c r="G140" i="1"/>
  <c r="G131" i="1"/>
  <c r="G122" i="1"/>
  <c r="G110" i="1"/>
  <c r="G107" i="1"/>
  <c r="G95" i="1"/>
  <c r="G80" i="1"/>
  <c r="G71" i="1"/>
  <c r="G68" i="1"/>
  <c r="G62" i="1"/>
  <c r="G59" i="1"/>
  <c r="G53" i="1"/>
  <c r="G50" i="1"/>
  <c r="G38" i="1"/>
  <c r="G26" i="1"/>
  <c r="G14" i="1"/>
  <c r="F170" i="1"/>
  <c r="F158" i="1"/>
  <c r="F146" i="1"/>
  <c r="F134" i="1"/>
  <c r="F122" i="1"/>
  <c r="F116" i="1"/>
  <c r="F110" i="1"/>
  <c r="F86" i="1"/>
  <c r="F80" i="1"/>
  <c r="F74" i="1"/>
  <c r="F68" i="1"/>
  <c r="F62" i="1"/>
  <c r="F59" i="1"/>
  <c r="F50" i="1"/>
  <c r="F44" i="1"/>
  <c r="F38" i="1"/>
  <c r="F26" i="1"/>
  <c r="F14" i="1"/>
  <c r="F8" i="1"/>
  <c r="H27" i="4" l="1"/>
  <c r="U77" i="1" s="1"/>
  <c r="H34" i="4"/>
  <c r="U98" i="1" s="1"/>
  <c r="H10" i="4"/>
  <c r="U26" i="1" s="1"/>
  <c r="H9" i="4"/>
  <c r="U23" i="1" s="1"/>
  <c r="H17" i="4"/>
  <c r="U47" i="1" s="1"/>
  <c r="H25" i="4"/>
  <c r="U71" i="1" s="1"/>
  <c r="H33" i="4"/>
  <c r="U95" i="1" s="1"/>
  <c r="H41" i="4"/>
  <c r="U119" i="1" s="1"/>
  <c r="H49" i="4"/>
  <c r="U143" i="1" s="1"/>
  <c r="H57" i="4"/>
  <c r="U167" i="1" s="1"/>
  <c r="H8" i="4"/>
  <c r="U20" i="1" s="1"/>
  <c r="H16" i="4"/>
  <c r="U44" i="1" s="1"/>
  <c r="H24" i="4"/>
  <c r="U68" i="1" s="1"/>
  <c r="H32" i="4"/>
  <c r="U92" i="1" s="1"/>
  <c r="H40" i="4"/>
  <c r="U116" i="1" s="1"/>
  <c r="H48" i="4"/>
  <c r="U140" i="1" s="1"/>
  <c r="H56" i="4"/>
  <c r="U164" i="1" s="1"/>
  <c r="H18" i="4"/>
  <c r="U50" i="1" s="1"/>
  <c r="H7" i="4"/>
  <c r="U17" i="1" s="1"/>
  <c r="H15" i="4"/>
  <c r="U41" i="1" s="1"/>
  <c r="H23" i="4"/>
  <c r="U65" i="1" s="1"/>
  <c r="H31" i="4"/>
  <c r="U89" i="1" s="1"/>
  <c r="H39" i="4"/>
  <c r="U113" i="1" s="1"/>
  <c r="H47" i="4"/>
  <c r="U137" i="1" s="1"/>
  <c r="H55" i="4"/>
  <c r="U161" i="1" s="1"/>
  <c r="H4" i="4"/>
  <c r="U8" i="1" s="1"/>
  <c r="H42" i="4"/>
  <c r="U122" i="1" s="1"/>
  <c r="H6" i="4"/>
  <c r="U14" i="1" s="1"/>
  <c r="H14" i="4"/>
  <c r="U38" i="1" s="1"/>
  <c r="H22" i="4"/>
  <c r="U62" i="1" s="1"/>
  <c r="H30" i="4"/>
  <c r="U86" i="1" s="1"/>
  <c r="H38" i="4"/>
  <c r="U110" i="1" s="1"/>
  <c r="H46" i="4"/>
  <c r="U134" i="1" s="1"/>
  <c r="H54" i="4"/>
  <c r="U158" i="1" s="1"/>
  <c r="H19" i="4"/>
  <c r="U53" i="1" s="1"/>
  <c r="H50" i="4"/>
  <c r="U146" i="1" s="1"/>
  <c r="H5" i="4"/>
  <c r="U11" i="1" s="1"/>
  <c r="H13" i="4"/>
  <c r="U35" i="1" s="1"/>
  <c r="H21" i="4"/>
  <c r="U59" i="1" s="1"/>
  <c r="H29" i="4"/>
  <c r="U83" i="1" s="1"/>
  <c r="H37" i="4"/>
  <c r="U107" i="1" s="1"/>
  <c r="H45" i="4"/>
  <c r="U131" i="1" s="1"/>
  <c r="H53" i="4"/>
  <c r="U155" i="1" s="1"/>
  <c r="H11" i="4"/>
  <c r="U29" i="1" s="1"/>
  <c r="H43" i="4"/>
  <c r="U125" i="1" s="1"/>
  <c r="H51" i="4"/>
  <c r="U149" i="1" s="1"/>
  <c r="H26" i="4"/>
  <c r="U74" i="1" s="1"/>
  <c r="H12" i="4"/>
  <c r="U32" i="1" s="1"/>
  <c r="H20" i="4"/>
  <c r="U56" i="1" s="1"/>
  <c r="H28" i="4"/>
  <c r="U80" i="1" s="1"/>
  <c r="H36" i="4"/>
  <c r="U104" i="1" s="1"/>
  <c r="H44" i="4"/>
  <c r="U128" i="1" s="1"/>
  <c r="H52" i="4"/>
  <c r="U152" i="1" s="1"/>
  <c r="H35" i="4"/>
  <c r="U101" i="1" s="1"/>
  <c r="H58" i="4"/>
  <c r="U170" i="1" s="1"/>
  <c r="G4" i="18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E4" i="14"/>
  <c r="G4" i="14" s="1"/>
  <c r="E5" i="14"/>
  <c r="E6" i="14"/>
  <c r="E7" i="14"/>
  <c r="E8" i="14"/>
  <c r="E9" i="14"/>
  <c r="E10" i="14"/>
  <c r="E11" i="14"/>
  <c r="E12" i="14"/>
  <c r="G12" i="14" s="1"/>
  <c r="E13" i="14"/>
  <c r="E14" i="14"/>
  <c r="E15" i="14"/>
  <c r="E16" i="14"/>
  <c r="E17" i="14"/>
  <c r="E18" i="14"/>
  <c r="E19" i="14"/>
  <c r="E20" i="14"/>
  <c r="G20" i="14" s="1"/>
  <c r="E21" i="14"/>
  <c r="E22" i="14"/>
  <c r="E23" i="14"/>
  <c r="E24" i="14"/>
  <c r="E25" i="14"/>
  <c r="E26" i="14"/>
  <c r="G26" i="14" s="1"/>
  <c r="E27" i="14"/>
  <c r="E28" i="14"/>
  <c r="G28" i="14" s="1"/>
  <c r="E29" i="14"/>
  <c r="E30" i="14"/>
  <c r="E31" i="14"/>
  <c r="E32" i="14"/>
  <c r="E33" i="14"/>
  <c r="E34" i="14"/>
  <c r="G34" i="14" s="1"/>
  <c r="E35" i="14"/>
  <c r="E36" i="14"/>
  <c r="E37" i="14"/>
  <c r="E38" i="14"/>
  <c r="E39" i="14"/>
  <c r="E40" i="14"/>
  <c r="E41" i="14"/>
  <c r="E42" i="14"/>
  <c r="G42" i="14" s="1"/>
  <c r="E43" i="14"/>
  <c r="E44" i="14"/>
  <c r="E45" i="14"/>
  <c r="E46" i="14"/>
  <c r="E47" i="14"/>
  <c r="E48" i="14"/>
  <c r="E49" i="14"/>
  <c r="E50" i="14"/>
  <c r="G50" i="14" s="1"/>
  <c r="E51" i="14"/>
  <c r="E52" i="14"/>
  <c r="E53" i="14"/>
  <c r="E54" i="14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G10" i="14" l="1"/>
  <c r="G18" i="14"/>
  <c r="H28" i="18"/>
  <c r="U80" i="15" s="1"/>
  <c r="H35" i="18"/>
  <c r="U101" i="15" s="1"/>
  <c r="H42" i="18"/>
  <c r="U122" i="15" s="1"/>
  <c r="H49" i="18"/>
  <c r="U143" i="15" s="1"/>
  <c r="H56" i="18"/>
  <c r="U164" i="15" s="1"/>
  <c r="H6" i="18"/>
  <c r="U14" i="15" s="1"/>
  <c r="H13" i="18"/>
  <c r="U35" i="15" s="1"/>
  <c r="H36" i="18"/>
  <c r="U104" i="15" s="1"/>
  <c r="H43" i="18"/>
  <c r="U125" i="15" s="1"/>
  <c r="H50" i="18"/>
  <c r="U146" i="15" s="1"/>
  <c r="H57" i="18"/>
  <c r="U167" i="15" s="1"/>
  <c r="H7" i="18"/>
  <c r="U17" i="15" s="1"/>
  <c r="H14" i="18"/>
  <c r="U38" i="15" s="1"/>
  <c r="H21" i="18"/>
  <c r="U59" i="15" s="1"/>
  <c r="H44" i="18"/>
  <c r="U128" i="15" s="1"/>
  <c r="H51" i="18"/>
  <c r="U149" i="15" s="1"/>
  <c r="H58" i="18"/>
  <c r="U170" i="15" s="1"/>
  <c r="H8" i="18"/>
  <c r="U20" i="15" s="1"/>
  <c r="H15" i="18"/>
  <c r="U41" i="15" s="1"/>
  <c r="H22" i="18"/>
  <c r="U62" i="15" s="1"/>
  <c r="H29" i="18"/>
  <c r="U83" i="15" s="1"/>
  <c r="H52" i="18"/>
  <c r="U152" i="15" s="1"/>
  <c r="H59" i="18"/>
  <c r="U173" i="15" s="1"/>
  <c r="H9" i="18"/>
  <c r="U23" i="15" s="1"/>
  <c r="H23" i="18"/>
  <c r="U65" i="15" s="1"/>
  <c r="H30" i="18"/>
  <c r="U86" i="15" s="1"/>
  <c r="H37" i="18"/>
  <c r="U107" i="15" s="1"/>
  <c r="H4" i="18"/>
  <c r="U8" i="15" s="1"/>
  <c r="H10" i="18"/>
  <c r="U26" i="15" s="1"/>
  <c r="H17" i="18"/>
  <c r="U47" i="15" s="1"/>
  <c r="H24" i="18"/>
  <c r="U68" i="15" s="1"/>
  <c r="H31" i="18"/>
  <c r="U89" i="15" s="1"/>
  <c r="H38" i="18"/>
  <c r="U110" i="15" s="1"/>
  <c r="H45" i="18"/>
  <c r="U131" i="15" s="1"/>
  <c r="H11" i="18"/>
  <c r="U29" i="15" s="1"/>
  <c r="H18" i="18"/>
  <c r="U50" i="15" s="1"/>
  <c r="H25" i="18"/>
  <c r="U71" i="15" s="1"/>
  <c r="H32" i="18"/>
  <c r="U92" i="15" s="1"/>
  <c r="H39" i="18"/>
  <c r="U113" i="15" s="1"/>
  <c r="H46" i="18"/>
  <c r="U134" i="15" s="1"/>
  <c r="H53" i="18"/>
  <c r="U155" i="15" s="1"/>
  <c r="H12" i="18"/>
  <c r="U32" i="15" s="1"/>
  <c r="H19" i="18"/>
  <c r="U53" i="15" s="1"/>
  <c r="H26" i="18"/>
  <c r="U74" i="15" s="1"/>
  <c r="H33" i="18"/>
  <c r="U95" i="15" s="1"/>
  <c r="H40" i="18"/>
  <c r="U116" i="15" s="1"/>
  <c r="H47" i="18"/>
  <c r="U137" i="15" s="1"/>
  <c r="H54" i="18"/>
  <c r="U158" i="15" s="1"/>
  <c r="H20" i="18"/>
  <c r="U56" i="15" s="1"/>
  <c r="H27" i="18"/>
  <c r="U77" i="15" s="1"/>
  <c r="H34" i="18"/>
  <c r="U98" i="15" s="1"/>
  <c r="H41" i="18"/>
  <c r="U119" i="15" s="1"/>
  <c r="H48" i="18"/>
  <c r="U140" i="15" s="1"/>
  <c r="H55" i="18"/>
  <c r="U161" i="15" s="1"/>
  <c r="H5" i="18"/>
  <c r="U11" i="15" s="1"/>
  <c r="H16" i="18"/>
  <c r="U44" i="15" s="1"/>
  <c r="G32" i="14"/>
  <c r="G24" i="14"/>
  <c r="G16" i="14"/>
  <c r="G8" i="14"/>
  <c r="G54" i="14"/>
  <c r="G46" i="14"/>
  <c r="G38" i="14"/>
  <c r="G30" i="14"/>
  <c r="G22" i="14"/>
  <c r="G14" i="14"/>
  <c r="G6" i="14"/>
  <c r="G56" i="10"/>
  <c r="G52" i="10"/>
  <c r="G48" i="10"/>
  <c r="G44" i="10"/>
  <c r="G40" i="10"/>
  <c r="G36" i="10"/>
  <c r="G32" i="10"/>
  <c r="G28" i="10"/>
  <c r="G24" i="10"/>
  <c r="G20" i="10"/>
  <c r="G16" i="10"/>
  <c r="G12" i="10"/>
  <c r="G8" i="10"/>
  <c r="G52" i="14"/>
  <c r="G44" i="14"/>
  <c r="G36" i="14"/>
  <c r="G51" i="14"/>
  <c r="G47" i="14"/>
  <c r="H47" i="14" s="1"/>
  <c r="U137" i="11" s="1"/>
  <c r="G43" i="14"/>
  <c r="G39" i="14"/>
  <c r="G35" i="14"/>
  <c r="G31" i="14"/>
  <c r="G27" i="14"/>
  <c r="G23" i="14"/>
  <c r="G19" i="14"/>
  <c r="G15" i="14"/>
  <c r="H15" i="14" s="1"/>
  <c r="U41" i="11" s="1"/>
  <c r="G11" i="14"/>
  <c r="G7" i="14"/>
  <c r="G48" i="14"/>
  <c r="G40" i="14"/>
  <c r="G53" i="14"/>
  <c r="G49" i="14"/>
  <c r="H49" i="14" s="1"/>
  <c r="U143" i="11" s="1"/>
  <c r="G45" i="14"/>
  <c r="G41" i="14"/>
  <c r="G37" i="14"/>
  <c r="G33" i="14"/>
  <c r="G29" i="14"/>
  <c r="G25" i="14"/>
  <c r="G21" i="14"/>
  <c r="G17" i="14"/>
  <c r="H17" i="14" s="1"/>
  <c r="U47" i="11" s="1"/>
  <c r="G13" i="14"/>
  <c r="G9" i="14"/>
  <c r="G5" i="14"/>
  <c r="G57" i="10"/>
  <c r="G53" i="10"/>
  <c r="G49" i="10"/>
  <c r="G45" i="10"/>
  <c r="G41" i="10"/>
  <c r="G37" i="10"/>
  <c r="G33" i="10"/>
  <c r="G29" i="10"/>
  <c r="G25" i="10"/>
  <c r="G21" i="10"/>
  <c r="G17" i="10"/>
  <c r="G13" i="10"/>
  <c r="G9" i="10"/>
  <c r="G5" i="10"/>
  <c r="G55" i="10"/>
  <c r="G51" i="10"/>
  <c r="G47" i="10"/>
  <c r="G43" i="10"/>
  <c r="G39" i="10"/>
  <c r="G35" i="10"/>
  <c r="G31" i="10"/>
  <c r="G27" i="10"/>
  <c r="G23" i="10"/>
  <c r="G19" i="10"/>
  <c r="G15" i="10"/>
  <c r="G11" i="10"/>
  <c r="G7" i="10"/>
  <c r="G58" i="10"/>
  <c r="G54" i="10"/>
  <c r="H54" i="10" s="1"/>
  <c r="U158" i="7" s="1"/>
  <c r="G50" i="10"/>
  <c r="G46" i="10"/>
  <c r="G42" i="10"/>
  <c r="G38" i="10"/>
  <c r="G34" i="10"/>
  <c r="G30" i="10"/>
  <c r="G26" i="10"/>
  <c r="G22" i="10"/>
  <c r="H22" i="10" s="1"/>
  <c r="U62" i="7" s="1"/>
  <c r="G18" i="10"/>
  <c r="G14" i="10"/>
  <c r="G10" i="10"/>
  <c r="G6" i="10"/>
  <c r="G4" i="10"/>
  <c r="F4" i="90"/>
  <c r="F5" i="90"/>
  <c r="F6" i="90"/>
  <c r="F7" i="90"/>
  <c r="F8" i="90"/>
  <c r="F9" i="90"/>
  <c r="F10" i="90"/>
  <c r="F11" i="90"/>
  <c r="F12" i="90"/>
  <c r="F13" i="90"/>
  <c r="F14" i="90"/>
  <c r="F15" i="90"/>
  <c r="F16" i="90"/>
  <c r="F17" i="90"/>
  <c r="F18" i="90"/>
  <c r="F19" i="90"/>
  <c r="F20" i="90"/>
  <c r="F21" i="90"/>
  <c r="F22" i="90"/>
  <c r="F23" i="90"/>
  <c r="F24" i="90"/>
  <c r="F25" i="90"/>
  <c r="F26" i="90"/>
  <c r="F27" i="90"/>
  <c r="F28" i="90"/>
  <c r="F29" i="90"/>
  <c r="F30" i="90"/>
  <c r="F31" i="90"/>
  <c r="F32" i="90"/>
  <c r="F33" i="90"/>
  <c r="F34" i="90"/>
  <c r="F35" i="90"/>
  <c r="F36" i="90"/>
  <c r="F37" i="90"/>
  <c r="F38" i="90"/>
  <c r="F39" i="90"/>
  <c r="F40" i="90"/>
  <c r="F41" i="90"/>
  <c r="F42" i="90"/>
  <c r="F43" i="90"/>
  <c r="F44" i="90"/>
  <c r="F45" i="90"/>
  <c r="F46" i="90"/>
  <c r="F47" i="90"/>
  <c r="F48" i="90"/>
  <c r="F49" i="90"/>
  <c r="F50" i="90"/>
  <c r="F51" i="90"/>
  <c r="F52" i="90"/>
  <c r="F53" i="90"/>
  <c r="F54" i="90"/>
  <c r="F55" i="90"/>
  <c r="F56" i="90"/>
  <c r="F57" i="90"/>
  <c r="F58" i="90"/>
  <c r="E4" i="90"/>
  <c r="E5" i="90"/>
  <c r="E6" i="90"/>
  <c r="E7" i="90"/>
  <c r="E8" i="90"/>
  <c r="G8" i="90" s="1"/>
  <c r="E9" i="90"/>
  <c r="G9" i="90" s="1"/>
  <c r="E10" i="90"/>
  <c r="E11" i="90"/>
  <c r="E12" i="90"/>
  <c r="E13" i="90"/>
  <c r="E14" i="90"/>
  <c r="E15" i="90"/>
  <c r="E16" i="90"/>
  <c r="G16" i="90" s="1"/>
  <c r="E17" i="90"/>
  <c r="G17" i="90" s="1"/>
  <c r="E18" i="90"/>
  <c r="E19" i="90"/>
  <c r="E20" i="90"/>
  <c r="E21" i="90"/>
  <c r="E22" i="90"/>
  <c r="E23" i="90"/>
  <c r="E24" i="90"/>
  <c r="G24" i="90" s="1"/>
  <c r="E25" i="90"/>
  <c r="G25" i="90" s="1"/>
  <c r="E26" i="90"/>
  <c r="E27" i="90"/>
  <c r="E28" i="90"/>
  <c r="E29" i="90"/>
  <c r="E30" i="90"/>
  <c r="E31" i="90"/>
  <c r="E32" i="90"/>
  <c r="G32" i="90" s="1"/>
  <c r="E33" i="90"/>
  <c r="G33" i="90" s="1"/>
  <c r="E34" i="90"/>
  <c r="E35" i="90"/>
  <c r="E36" i="90"/>
  <c r="E37" i="90"/>
  <c r="E38" i="90"/>
  <c r="E39" i="90"/>
  <c r="E40" i="90"/>
  <c r="G40" i="90" s="1"/>
  <c r="E41" i="90"/>
  <c r="G41" i="90" s="1"/>
  <c r="E42" i="90"/>
  <c r="E43" i="90"/>
  <c r="E44" i="90"/>
  <c r="E45" i="90"/>
  <c r="E46" i="90"/>
  <c r="E47" i="90"/>
  <c r="E48" i="90"/>
  <c r="G48" i="90" s="1"/>
  <c r="E49" i="90"/>
  <c r="G49" i="90" s="1"/>
  <c r="E50" i="90"/>
  <c r="E51" i="90"/>
  <c r="E52" i="90"/>
  <c r="E53" i="90"/>
  <c r="E54" i="90"/>
  <c r="E55" i="90"/>
  <c r="E56" i="90"/>
  <c r="G56" i="90" s="1"/>
  <c r="E57" i="90"/>
  <c r="G57" i="90" s="1"/>
  <c r="E58" i="90"/>
  <c r="F99" i="87"/>
  <c r="F4" i="81"/>
  <c r="F5" i="81"/>
  <c r="F6" i="81"/>
  <c r="F7" i="81"/>
  <c r="F8" i="81"/>
  <c r="F9" i="81"/>
  <c r="F10" i="81"/>
  <c r="F11" i="81"/>
  <c r="F12" i="81"/>
  <c r="F13" i="81"/>
  <c r="F14" i="81"/>
  <c r="F15" i="81"/>
  <c r="F16" i="81"/>
  <c r="F17" i="81"/>
  <c r="F18" i="81"/>
  <c r="F19" i="81"/>
  <c r="F20" i="81"/>
  <c r="F21" i="81"/>
  <c r="F22" i="81"/>
  <c r="F23" i="81"/>
  <c r="F24" i="81"/>
  <c r="F25" i="81"/>
  <c r="F26" i="81"/>
  <c r="F27" i="81"/>
  <c r="F28" i="81"/>
  <c r="F29" i="81"/>
  <c r="F30" i="81"/>
  <c r="F31" i="81"/>
  <c r="F32" i="81"/>
  <c r="F33" i="81"/>
  <c r="F34" i="81"/>
  <c r="F35" i="81"/>
  <c r="F36" i="81"/>
  <c r="F37" i="81"/>
  <c r="F38" i="81"/>
  <c r="F39" i="81"/>
  <c r="F40" i="81"/>
  <c r="F41" i="81"/>
  <c r="F42" i="81"/>
  <c r="F43" i="81"/>
  <c r="F44" i="81"/>
  <c r="F45" i="81"/>
  <c r="F46" i="81"/>
  <c r="F47" i="81"/>
  <c r="F48" i="81"/>
  <c r="F49" i="81"/>
  <c r="F50" i="81"/>
  <c r="F51" i="81"/>
  <c r="F52" i="81"/>
  <c r="F53" i="81"/>
  <c r="F54" i="81"/>
  <c r="F55" i="81"/>
  <c r="F56" i="81"/>
  <c r="F57" i="81"/>
  <c r="F58" i="81"/>
  <c r="G9" i="81"/>
  <c r="G17" i="81"/>
  <c r="G25" i="81"/>
  <c r="E33" i="81"/>
  <c r="G33" i="81" s="1"/>
  <c r="E34" i="81"/>
  <c r="G34" i="81" s="1"/>
  <c r="E35" i="81"/>
  <c r="E36" i="81"/>
  <c r="E37" i="81"/>
  <c r="E38" i="81"/>
  <c r="E39" i="81"/>
  <c r="E40" i="81"/>
  <c r="E41" i="81"/>
  <c r="G41" i="81" s="1"/>
  <c r="E42" i="81"/>
  <c r="G42" i="81" s="1"/>
  <c r="E43" i="81"/>
  <c r="E44" i="81"/>
  <c r="E45" i="81"/>
  <c r="E46" i="81"/>
  <c r="E47" i="81"/>
  <c r="E48" i="81"/>
  <c r="E49" i="81"/>
  <c r="G49" i="81" s="1"/>
  <c r="E50" i="81"/>
  <c r="G50" i="81" s="1"/>
  <c r="E51" i="81"/>
  <c r="E52" i="81"/>
  <c r="E53" i="81"/>
  <c r="E54" i="81"/>
  <c r="E55" i="81"/>
  <c r="E56" i="81"/>
  <c r="E57" i="81"/>
  <c r="G57" i="81" s="1"/>
  <c r="E58" i="81"/>
  <c r="G58" i="81" s="1"/>
  <c r="F4" i="77"/>
  <c r="F5" i="77"/>
  <c r="F6" i="77"/>
  <c r="F7" i="77"/>
  <c r="F8" i="77"/>
  <c r="F9" i="77"/>
  <c r="F10" i="77"/>
  <c r="F11" i="77"/>
  <c r="F12" i="77"/>
  <c r="F13" i="77"/>
  <c r="F14" i="77"/>
  <c r="F15" i="77"/>
  <c r="F16" i="77"/>
  <c r="F17" i="77"/>
  <c r="F18" i="77"/>
  <c r="F19" i="77"/>
  <c r="F20" i="77"/>
  <c r="F21" i="77"/>
  <c r="F22" i="77"/>
  <c r="F23" i="77"/>
  <c r="F24" i="77"/>
  <c r="F25" i="77"/>
  <c r="F26" i="77"/>
  <c r="F27" i="77"/>
  <c r="F28" i="77"/>
  <c r="F29" i="77"/>
  <c r="F30" i="77"/>
  <c r="F31" i="77"/>
  <c r="F32" i="77"/>
  <c r="F33" i="77"/>
  <c r="F34" i="77"/>
  <c r="F35" i="77"/>
  <c r="F36" i="77"/>
  <c r="F37" i="77"/>
  <c r="F38" i="77"/>
  <c r="F39" i="77"/>
  <c r="F40" i="77"/>
  <c r="F41" i="77"/>
  <c r="F42" i="77"/>
  <c r="F43" i="77"/>
  <c r="F44" i="77"/>
  <c r="F45" i="77"/>
  <c r="F46" i="77"/>
  <c r="F47" i="77"/>
  <c r="F48" i="77"/>
  <c r="F49" i="77"/>
  <c r="F50" i="77"/>
  <c r="F51" i="77"/>
  <c r="F52" i="77"/>
  <c r="F53" i="77"/>
  <c r="F54" i="77"/>
  <c r="F55" i="77"/>
  <c r="F56" i="77"/>
  <c r="F57" i="77"/>
  <c r="F58" i="77"/>
  <c r="E4" i="77"/>
  <c r="G4" i="77" s="1"/>
  <c r="E5" i="77"/>
  <c r="E6" i="77"/>
  <c r="E7" i="77"/>
  <c r="E8" i="77"/>
  <c r="E9" i="77"/>
  <c r="E10" i="77"/>
  <c r="E11" i="77"/>
  <c r="G11" i="77" s="1"/>
  <c r="E12" i="77"/>
  <c r="E13" i="77"/>
  <c r="E14" i="77"/>
  <c r="E15" i="77"/>
  <c r="E16" i="77"/>
  <c r="E17" i="77"/>
  <c r="E18" i="77"/>
  <c r="E19" i="77"/>
  <c r="G19" i="77" s="1"/>
  <c r="E20" i="77"/>
  <c r="E21" i="77"/>
  <c r="E22" i="77"/>
  <c r="E23" i="77"/>
  <c r="E24" i="77"/>
  <c r="E25" i="77"/>
  <c r="E26" i="77"/>
  <c r="E27" i="77"/>
  <c r="G27" i="77" s="1"/>
  <c r="E28" i="77"/>
  <c r="E29" i="77"/>
  <c r="E30" i="77"/>
  <c r="E31" i="77"/>
  <c r="E32" i="77"/>
  <c r="E33" i="77"/>
  <c r="E34" i="77"/>
  <c r="E35" i="77"/>
  <c r="G35" i="77" s="1"/>
  <c r="E36" i="77"/>
  <c r="G36" i="77" s="1"/>
  <c r="E37" i="77"/>
  <c r="E38" i="77"/>
  <c r="E39" i="77"/>
  <c r="E40" i="77"/>
  <c r="E41" i="77"/>
  <c r="E42" i="77"/>
  <c r="E43" i="77"/>
  <c r="G43" i="77" s="1"/>
  <c r="E44" i="77"/>
  <c r="G44" i="77" s="1"/>
  <c r="E45" i="77"/>
  <c r="E46" i="77"/>
  <c r="E47" i="77"/>
  <c r="E48" i="77"/>
  <c r="E49" i="77"/>
  <c r="E50" i="77"/>
  <c r="E51" i="77"/>
  <c r="G51" i="77" s="1"/>
  <c r="E52" i="77"/>
  <c r="G52" i="77" s="1"/>
  <c r="E53" i="77"/>
  <c r="E54" i="77"/>
  <c r="E55" i="77"/>
  <c r="E56" i="77"/>
  <c r="E57" i="77"/>
  <c r="E58" i="77"/>
  <c r="F84" i="74"/>
  <c r="F86" i="74" s="1"/>
  <c r="G84" i="74"/>
  <c r="G86" i="74" s="1"/>
  <c r="H84" i="74"/>
  <c r="H86" i="74" s="1"/>
  <c r="I84" i="74"/>
  <c r="I86" i="74" s="1"/>
  <c r="J84" i="74"/>
  <c r="J86" i="74" s="1"/>
  <c r="K84" i="74"/>
  <c r="K86" i="74" s="1"/>
  <c r="L84" i="74"/>
  <c r="L86" i="74" s="1"/>
  <c r="H18" i="14" l="1"/>
  <c r="U50" i="11" s="1"/>
  <c r="G26" i="81"/>
  <c r="G18" i="81"/>
  <c r="G10" i="81"/>
  <c r="G12" i="77"/>
  <c r="G20" i="77"/>
  <c r="G28" i="77"/>
  <c r="H9" i="10"/>
  <c r="U23" i="7" s="1"/>
  <c r="G39" i="81"/>
  <c r="H21" i="14"/>
  <c r="U59" i="11" s="1"/>
  <c r="H46" i="14"/>
  <c r="U134" i="11" s="1"/>
  <c r="G40" i="77"/>
  <c r="G29" i="90"/>
  <c r="H38" i="14"/>
  <c r="U110" i="11" s="1"/>
  <c r="G31" i="81"/>
  <c r="H26" i="10"/>
  <c r="U74" i="7" s="1"/>
  <c r="H53" i="14"/>
  <c r="U155" i="11" s="1"/>
  <c r="H52" i="10"/>
  <c r="U152" i="7" s="1"/>
  <c r="G38" i="81"/>
  <c r="G55" i="77"/>
  <c r="G47" i="77"/>
  <c r="G39" i="77"/>
  <c r="G31" i="77"/>
  <c r="G23" i="77"/>
  <c r="G15" i="77"/>
  <c r="G7" i="77"/>
  <c r="G53" i="81"/>
  <c r="G45" i="81"/>
  <c r="G37" i="81"/>
  <c r="G29" i="81"/>
  <c r="G21" i="81"/>
  <c r="G13" i="81"/>
  <c r="G5" i="81"/>
  <c r="G52" i="90"/>
  <c r="G44" i="90"/>
  <c r="G36" i="90"/>
  <c r="G28" i="90"/>
  <c r="G20" i="90"/>
  <c r="G12" i="90"/>
  <c r="I8" i="90" s="1"/>
  <c r="N18" i="87" s="1"/>
  <c r="H4" i="10"/>
  <c r="U8" i="7" s="1"/>
  <c r="H34" i="10"/>
  <c r="U98" i="7" s="1"/>
  <c r="H11" i="10"/>
  <c r="U29" i="7" s="1"/>
  <c r="H43" i="10"/>
  <c r="U125" i="7" s="1"/>
  <c r="H21" i="10"/>
  <c r="U59" i="7" s="1"/>
  <c r="H53" i="10"/>
  <c r="U155" i="7" s="1"/>
  <c r="H29" i="14"/>
  <c r="U83" i="11" s="1"/>
  <c r="H40" i="14"/>
  <c r="U116" i="11" s="1"/>
  <c r="H27" i="14"/>
  <c r="U77" i="11" s="1"/>
  <c r="H36" i="14"/>
  <c r="U104" i="11" s="1"/>
  <c r="H28" i="10"/>
  <c r="U80" i="7" s="1"/>
  <c r="H34" i="14"/>
  <c r="U98" i="11" s="1"/>
  <c r="H42" i="14"/>
  <c r="U122" i="11" s="1"/>
  <c r="H16" i="10"/>
  <c r="U44" i="7" s="1"/>
  <c r="G55" i="81"/>
  <c r="G15" i="81"/>
  <c r="H45" i="10"/>
  <c r="U131" i="7" s="1"/>
  <c r="G56" i="77"/>
  <c r="G8" i="77"/>
  <c r="G30" i="81"/>
  <c r="G6" i="81"/>
  <c r="G21" i="90"/>
  <c r="H7" i="10"/>
  <c r="U17" i="7" s="1"/>
  <c r="H25" i="14"/>
  <c r="U71" i="11" s="1"/>
  <c r="H6" i="10"/>
  <c r="U14" i="7" s="1"/>
  <c r="H38" i="10"/>
  <c r="U110" i="7" s="1"/>
  <c r="H15" i="10"/>
  <c r="U41" i="7" s="1"/>
  <c r="H47" i="10"/>
  <c r="U137" i="7" s="1"/>
  <c r="H25" i="10"/>
  <c r="U71" i="7" s="1"/>
  <c r="H57" i="10"/>
  <c r="U167" i="7" s="1"/>
  <c r="H33" i="14"/>
  <c r="U95" i="11" s="1"/>
  <c r="H48" i="14"/>
  <c r="U140" i="11" s="1"/>
  <c r="H31" i="14"/>
  <c r="U89" i="11" s="1"/>
  <c r="H44" i="14"/>
  <c r="U128" i="11" s="1"/>
  <c r="H32" i="10"/>
  <c r="U92" i="7" s="1"/>
  <c r="H6" i="14"/>
  <c r="U14" i="11" s="1"/>
  <c r="H10" i="14"/>
  <c r="U26" i="11" s="1"/>
  <c r="H26" i="14"/>
  <c r="U74" i="11" s="1"/>
  <c r="H31" i="10"/>
  <c r="U89" i="7" s="1"/>
  <c r="H41" i="10"/>
  <c r="U119" i="7" s="1"/>
  <c r="G47" i="81"/>
  <c r="H51" i="14"/>
  <c r="U149" i="11" s="1"/>
  <c r="G24" i="77"/>
  <c r="G22" i="81"/>
  <c r="G53" i="90"/>
  <c r="G13" i="90"/>
  <c r="H39" i="10"/>
  <c r="U113" i="7" s="1"/>
  <c r="H49" i="10"/>
  <c r="U143" i="7" s="1"/>
  <c r="H24" i="10"/>
  <c r="U68" i="7" s="1"/>
  <c r="H32" i="14"/>
  <c r="U92" i="11" s="1"/>
  <c r="G51" i="81"/>
  <c r="G43" i="81"/>
  <c r="G35" i="81"/>
  <c r="G27" i="81"/>
  <c r="G19" i="81"/>
  <c r="G11" i="81"/>
  <c r="H10" i="10"/>
  <c r="U26" i="7" s="1"/>
  <c r="H42" i="10"/>
  <c r="U122" i="7" s="1"/>
  <c r="H19" i="10"/>
  <c r="U53" i="7" s="1"/>
  <c r="H51" i="10"/>
  <c r="U149" i="7" s="1"/>
  <c r="H29" i="10"/>
  <c r="U83" i="7" s="1"/>
  <c r="H5" i="14"/>
  <c r="U11" i="11" s="1"/>
  <c r="H37" i="14"/>
  <c r="U107" i="11" s="1"/>
  <c r="H35" i="14"/>
  <c r="U101" i="11" s="1"/>
  <c r="H52" i="14"/>
  <c r="U152" i="11" s="1"/>
  <c r="H36" i="10"/>
  <c r="U104" i="7" s="1"/>
  <c r="H14" i="14"/>
  <c r="U38" i="11" s="1"/>
  <c r="H50" i="14"/>
  <c r="U146" i="11" s="1"/>
  <c r="H4" i="14"/>
  <c r="U8" i="11" s="1"/>
  <c r="H16" i="14"/>
  <c r="U44" i="11" s="1"/>
  <c r="G7" i="81"/>
  <c r="H13" i="10"/>
  <c r="U35" i="7" s="1"/>
  <c r="H20" i="10"/>
  <c r="U56" i="7" s="1"/>
  <c r="G32" i="77"/>
  <c r="G54" i="81"/>
  <c r="G45" i="90"/>
  <c r="G5" i="90"/>
  <c r="H17" i="10"/>
  <c r="U47" i="7" s="1"/>
  <c r="H23" i="14"/>
  <c r="U65" i="11" s="1"/>
  <c r="H54" i="14"/>
  <c r="U158" i="11" s="1"/>
  <c r="H14" i="10"/>
  <c r="U38" i="7" s="1"/>
  <c r="H46" i="10"/>
  <c r="U134" i="7" s="1"/>
  <c r="H23" i="10"/>
  <c r="U65" i="7" s="1"/>
  <c r="H55" i="10"/>
  <c r="U161" i="7" s="1"/>
  <c r="H33" i="10"/>
  <c r="U95" i="7" s="1"/>
  <c r="H9" i="14"/>
  <c r="U23" i="11" s="1"/>
  <c r="H41" i="14"/>
  <c r="U119" i="11" s="1"/>
  <c r="H7" i="14"/>
  <c r="U17" i="11" s="1"/>
  <c r="H39" i="14"/>
  <c r="U113" i="11" s="1"/>
  <c r="H8" i="10"/>
  <c r="U20" i="7" s="1"/>
  <c r="H40" i="10"/>
  <c r="U116" i="7" s="1"/>
  <c r="H22" i="14"/>
  <c r="U62" i="11" s="1"/>
  <c r="H28" i="14"/>
  <c r="U80" i="11" s="1"/>
  <c r="H12" i="14"/>
  <c r="U32" i="11" s="1"/>
  <c r="H48" i="10"/>
  <c r="U140" i="7" s="1"/>
  <c r="G23" i="81"/>
  <c r="H35" i="10"/>
  <c r="U101" i="7" s="1"/>
  <c r="H19" i="14"/>
  <c r="U53" i="11" s="1"/>
  <c r="H24" i="14"/>
  <c r="U68" i="11" s="1"/>
  <c r="G48" i="77"/>
  <c r="G16" i="77"/>
  <c r="G46" i="81"/>
  <c r="G14" i="81"/>
  <c r="G37" i="90"/>
  <c r="H30" i="10"/>
  <c r="U86" i="7" s="1"/>
  <c r="H56" i="10"/>
  <c r="U164" i="7" s="1"/>
  <c r="H18" i="10"/>
  <c r="U50" i="7" s="1"/>
  <c r="H50" i="10"/>
  <c r="U146" i="7" s="1"/>
  <c r="H27" i="10"/>
  <c r="U77" i="7" s="1"/>
  <c r="H5" i="10"/>
  <c r="U11" i="7" s="1"/>
  <c r="H37" i="10"/>
  <c r="U107" i="7" s="1"/>
  <c r="H13" i="14"/>
  <c r="U35" i="11" s="1"/>
  <c r="H45" i="14"/>
  <c r="U131" i="11" s="1"/>
  <c r="H11" i="14"/>
  <c r="U29" i="11" s="1"/>
  <c r="H43" i="14"/>
  <c r="U125" i="11" s="1"/>
  <c r="H12" i="10"/>
  <c r="U32" i="7" s="1"/>
  <c r="H44" i="10"/>
  <c r="U128" i="7" s="1"/>
  <c r="H30" i="14"/>
  <c r="U86" i="11" s="1"/>
  <c r="H8" i="14"/>
  <c r="U20" i="11" s="1"/>
  <c r="H20" i="14"/>
  <c r="U56" i="11" s="1"/>
  <c r="G4" i="90"/>
  <c r="G56" i="81"/>
  <c r="G52" i="81"/>
  <c r="G48" i="81"/>
  <c r="G44" i="81"/>
  <c r="G40" i="81"/>
  <c r="G36" i="81"/>
  <c r="G32" i="81"/>
  <c r="G28" i="81"/>
  <c r="G24" i="81"/>
  <c r="G20" i="81"/>
  <c r="G16" i="81"/>
  <c r="G12" i="81"/>
  <c r="G8" i="81"/>
  <c r="G4" i="81"/>
  <c r="G58" i="77"/>
  <c r="G54" i="77"/>
  <c r="G50" i="77"/>
  <c r="G46" i="77"/>
  <c r="G42" i="77"/>
  <c r="G38" i="77"/>
  <c r="G34" i="77"/>
  <c r="G30" i="77"/>
  <c r="G26" i="77"/>
  <c r="G22" i="77"/>
  <c r="G18" i="77"/>
  <c r="G14" i="77"/>
  <c r="G10" i="77"/>
  <c r="G6" i="77"/>
  <c r="G57" i="77"/>
  <c r="G53" i="77"/>
  <c r="G49" i="77"/>
  <c r="G45" i="77"/>
  <c r="G41" i="77"/>
  <c r="G37" i="77"/>
  <c r="G33" i="77"/>
  <c r="G29" i="77"/>
  <c r="G25" i="77"/>
  <c r="G21" i="77"/>
  <c r="G17" i="77"/>
  <c r="G13" i="77"/>
  <c r="G9" i="77"/>
  <c r="G5" i="77"/>
  <c r="G58" i="90"/>
  <c r="G54" i="90"/>
  <c r="G50" i="90"/>
  <c r="G46" i="90"/>
  <c r="G42" i="90"/>
  <c r="G38" i="90"/>
  <c r="G34" i="90"/>
  <c r="G30" i="90"/>
  <c r="I30" i="90" s="1"/>
  <c r="N84" i="87" s="1"/>
  <c r="G26" i="90"/>
  <c r="G22" i="90"/>
  <c r="G18" i="90"/>
  <c r="G14" i="90"/>
  <c r="G10" i="90"/>
  <c r="G6" i="90"/>
  <c r="G55" i="90"/>
  <c r="G51" i="90"/>
  <c r="I51" i="90" s="1"/>
  <c r="N147" i="87" s="1"/>
  <c r="G47" i="90"/>
  <c r="G43" i="90"/>
  <c r="G39" i="90"/>
  <c r="G35" i="90"/>
  <c r="G31" i="90"/>
  <c r="G27" i="90"/>
  <c r="G23" i="90"/>
  <c r="G19" i="90"/>
  <c r="I19" i="90" s="1"/>
  <c r="N51" i="87" s="1"/>
  <c r="G15" i="90"/>
  <c r="G11" i="90"/>
  <c r="G7" i="90"/>
  <c r="I33" i="90" s="1"/>
  <c r="N93" i="87" s="1"/>
  <c r="M84" i="74"/>
  <c r="M86" i="74" s="1"/>
  <c r="H14" i="81" l="1"/>
  <c r="O38" i="78" s="1"/>
  <c r="H4" i="81"/>
  <c r="O8" i="78" s="1"/>
  <c r="H29" i="81"/>
  <c r="O83" i="78" s="1"/>
  <c r="H7" i="81"/>
  <c r="O17" i="78" s="1"/>
  <c r="H19" i="81"/>
  <c r="O53" i="78" s="1"/>
  <c r="H8" i="81"/>
  <c r="O20" i="78" s="1"/>
  <c r="H27" i="81"/>
  <c r="O77" i="78" s="1"/>
  <c r="H6" i="81"/>
  <c r="O14" i="78" s="1"/>
  <c r="H10" i="81"/>
  <c r="O26" i="78" s="1"/>
  <c r="H30" i="81"/>
  <c r="O86" i="78" s="1"/>
  <c r="H18" i="81"/>
  <c r="O50" i="78" s="1"/>
  <c r="H12" i="81"/>
  <c r="O32" i="78" s="1"/>
  <c r="H22" i="81"/>
  <c r="O62" i="78" s="1"/>
  <c r="H20" i="81"/>
  <c r="O56" i="78" s="1"/>
  <c r="H26" i="81"/>
  <c r="O74" i="78" s="1"/>
  <c r="H24" i="81"/>
  <c r="O68" i="78" s="1"/>
  <c r="H5" i="81"/>
  <c r="O11" i="78" s="1"/>
  <c r="H9" i="81"/>
  <c r="O23" i="78" s="1"/>
  <c r="H28" i="81"/>
  <c r="O80" i="78" s="1"/>
  <c r="H13" i="81"/>
  <c r="O35" i="78" s="1"/>
  <c r="H17" i="81"/>
  <c r="O47" i="78" s="1"/>
  <c r="H16" i="81"/>
  <c r="O44" i="78" s="1"/>
  <c r="H32" i="81"/>
  <c r="O92" i="78" s="1"/>
  <c r="H23" i="81"/>
  <c r="O65" i="78" s="1"/>
  <c r="H11" i="81"/>
  <c r="O29" i="78" s="1"/>
  <c r="H15" i="81"/>
  <c r="O41" i="78" s="1"/>
  <c r="H21" i="81"/>
  <c r="O59" i="78" s="1"/>
  <c r="H31" i="81"/>
  <c r="O89" i="78" s="1"/>
  <c r="H25" i="81"/>
  <c r="O71" i="78" s="1"/>
  <c r="I34" i="90"/>
  <c r="N96" i="87" s="1"/>
  <c r="I27" i="90"/>
  <c r="N75" i="87" s="1"/>
  <c r="I6" i="90"/>
  <c r="N12" i="87" s="1"/>
  <c r="I38" i="90"/>
  <c r="N108" i="87" s="1"/>
  <c r="I4" i="90"/>
  <c r="N6" i="87" s="1"/>
  <c r="I16" i="90"/>
  <c r="N42" i="87" s="1"/>
  <c r="I37" i="90"/>
  <c r="N105" i="87" s="1"/>
  <c r="I9" i="90"/>
  <c r="N21" i="87" s="1"/>
  <c r="I13" i="90"/>
  <c r="N33" i="87" s="1"/>
  <c r="I21" i="90"/>
  <c r="N57" i="87" s="1"/>
  <c r="I28" i="90"/>
  <c r="N78" i="87" s="1"/>
  <c r="I29" i="90"/>
  <c r="N81" i="87" s="1"/>
  <c r="I23" i="90"/>
  <c r="N63" i="87" s="1"/>
  <c r="I20" i="90"/>
  <c r="N54" i="87" s="1"/>
  <c r="I31" i="90"/>
  <c r="N87" i="87" s="1"/>
  <c r="I10" i="90"/>
  <c r="N24" i="87" s="1"/>
  <c r="I42" i="90"/>
  <c r="N120" i="87" s="1"/>
  <c r="I24" i="90"/>
  <c r="N66" i="87" s="1"/>
  <c r="I17" i="90"/>
  <c r="N45" i="87" s="1"/>
  <c r="I5" i="90"/>
  <c r="N9" i="87" s="1"/>
  <c r="I53" i="90"/>
  <c r="N153" i="87" s="1"/>
  <c r="I36" i="90"/>
  <c r="N102" i="87" s="1"/>
  <c r="I35" i="90"/>
  <c r="N99" i="87" s="1"/>
  <c r="I14" i="90"/>
  <c r="N36" i="87" s="1"/>
  <c r="I46" i="90"/>
  <c r="N132" i="87" s="1"/>
  <c r="I32" i="90"/>
  <c r="N90" i="87" s="1"/>
  <c r="I25" i="90"/>
  <c r="N69" i="87" s="1"/>
  <c r="I45" i="90"/>
  <c r="N129" i="87" s="1"/>
  <c r="I44" i="90"/>
  <c r="N126" i="87" s="1"/>
  <c r="I39" i="90"/>
  <c r="N111" i="87" s="1"/>
  <c r="I50" i="90"/>
  <c r="N144" i="87" s="1"/>
  <c r="I40" i="90"/>
  <c r="N114" i="87" s="1"/>
  <c r="I52" i="90"/>
  <c r="N150" i="87" s="1"/>
  <c r="I12" i="90"/>
  <c r="N30" i="87" s="1"/>
  <c r="I55" i="90"/>
  <c r="N159" i="87" s="1"/>
  <c r="I7" i="90"/>
  <c r="N15" i="87" s="1"/>
  <c r="I18" i="90"/>
  <c r="N48" i="87" s="1"/>
  <c r="I11" i="90"/>
  <c r="N27" i="87" s="1"/>
  <c r="I43" i="90"/>
  <c r="N123" i="87" s="1"/>
  <c r="I22" i="90"/>
  <c r="N60" i="87" s="1"/>
  <c r="I54" i="90"/>
  <c r="N156" i="87" s="1"/>
  <c r="I48" i="90"/>
  <c r="N138" i="87" s="1"/>
  <c r="I41" i="90"/>
  <c r="N117" i="87" s="1"/>
  <c r="I15" i="90"/>
  <c r="N39" i="87" s="1"/>
  <c r="I47" i="90"/>
  <c r="N135" i="87" s="1"/>
  <c r="I26" i="90"/>
  <c r="N72" i="87" s="1"/>
  <c r="I56" i="90"/>
  <c r="N162" i="87" s="1"/>
  <c r="I49" i="90"/>
  <c r="N141" i="87" s="1"/>
  <c r="N84" i="74"/>
  <c r="N86" i="74" s="1"/>
  <c r="O84" i="74"/>
  <c r="Q84" i="74" l="1"/>
  <c r="Q86" i="74" s="1"/>
  <c r="P84" i="74"/>
  <c r="P86" i="74" s="1"/>
</calcChain>
</file>

<file path=xl/sharedStrings.xml><?xml version="1.0" encoding="utf-8"?>
<sst xmlns="http://schemas.openxmlformats.org/spreadsheetml/2006/main" count="4518" uniqueCount="82">
  <si>
    <r>
      <t>N</t>
    </r>
    <r>
      <rPr>
        <u/>
        <sz val="11"/>
        <color theme="1"/>
        <rFont val="Calibri"/>
        <family val="2"/>
        <scheme val="minor"/>
      </rPr>
      <t>o</t>
    </r>
  </si>
  <si>
    <t>Student Name</t>
  </si>
  <si>
    <t>Age</t>
  </si>
  <si>
    <t>Sex</t>
  </si>
  <si>
    <t>Amharic</t>
  </si>
  <si>
    <t>English</t>
  </si>
  <si>
    <t>Maths</t>
  </si>
  <si>
    <t>physics</t>
  </si>
  <si>
    <t>chemistry</t>
  </si>
  <si>
    <t>Biology</t>
  </si>
  <si>
    <t>Geography</t>
  </si>
  <si>
    <t>History</t>
  </si>
  <si>
    <t>Civics</t>
  </si>
  <si>
    <t>ICT</t>
  </si>
  <si>
    <t>H.P.E</t>
  </si>
  <si>
    <t>Total</t>
  </si>
  <si>
    <t>Average</t>
  </si>
  <si>
    <t>Rank</t>
  </si>
  <si>
    <t>Condc.</t>
  </si>
  <si>
    <t>Abse.</t>
  </si>
  <si>
    <t>M</t>
  </si>
  <si>
    <t>Semister 1</t>
  </si>
  <si>
    <t>Semister 2</t>
  </si>
  <si>
    <t>F</t>
  </si>
  <si>
    <r>
      <t>N</t>
    </r>
    <r>
      <rPr>
        <b/>
        <u/>
        <sz val="12"/>
        <color theme="1"/>
        <rFont val="Calibri"/>
        <family val="2"/>
        <scheme val="minor"/>
      </rPr>
      <t>o</t>
    </r>
  </si>
  <si>
    <t>Semester</t>
  </si>
  <si>
    <t>Semster 1 Average</t>
  </si>
  <si>
    <t>Semster 2 Average</t>
  </si>
  <si>
    <r>
      <t>N</t>
    </r>
    <r>
      <rPr>
        <b/>
        <u/>
        <sz val="11"/>
        <color theme="1"/>
        <rFont val="Calibri"/>
        <family val="2"/>
        <scheme val="minor"/>
      </rPr>
      <t>o</t>
    </r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</si>
  <si>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</t>
    </r>
    <r>
      <rPr>
        <u/>
        <sz val="11"/>
        <color theme="1"/>
        <rFont val="Bookman Old Style"/>
        <family val="1"/>
      </rPr>
      <t xml:space="preserve">                        </t>
    </r>
    <r>
      <rPr>
        <sz val="11"/>
        <color theme="1"/>
        <rFont val="Bookman Old Style"/>
        <family val="1"/>
      </rPr>
      <t xml:space="preserve">                          Grade </t>
    </r>
    <r>
      <rPr>
        <u/>
        <sz val="11"/>
        <color theme="1"/>
        <rFont val="Bookman Old Style"/>
        <family val="1"/>
      </rPr>
      <t xml:space="preserve">    9A      </t>
    </r>
    <r>
      <rPr>
        <sz val="11"/>
        <color theme="1"/>
        <rFont val="Bookman Old Style"/>
        <family val="1"/>
      </rPr>
      <t xml:space="preserve"> </t>
    </r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</si>
  <si>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</t>
    </r>
    <r>
      <rPr>
        <u/>
        <sz val="11"/>
        <color theme="1"/>
        <rFont val="Lucida Calligraphy"/>
        <family val="4"/>
      </rPr>
      <t xml:space="preserve">                                                Grade     9A   </t>
    </r>
    <r>
      <rPr>
        <u/>
        <sz val="11"/>
        <color theme="1"/>
        <rFont val="Bookman Old Style"/>
        <family val="1"/>
      </rPr>
      <t xml:space="preserve">  </t>
    </r>
    <r>
      <rPr>
        <sz val="11"/>
        <color theme="1"/>
        <rFont val="Bookman Old Style"/>
        <family val="1"/>
      </rPr>
      <t xml:space="preserve"> </t>
    </r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</si>
  <si>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</t>
    </r>
    <r>
      <rPr>
        <u/>
        <sz val="11"/>
        <color theme="1"/>
        <rFont val="Lucida Calligraphy"/>
        <family val="4"/>
      </rPr>
      <t xml:space="preserve">                                                 Grade     9A   </t>
    </r>
    <r>
      <rPr>
        <u/>
        <sz val="11"/>
        <color theme="1"/>
        <rFont val="Bookman Old Style"/>
        <family val="1"/>
      </rPr>
      <t xml:space="preserve">     </t>
    </r>
    <r>
      <rPr>
        <sz val="11"/>
        <color theme="1"/>
        <rFont val="Bookman Old Style"/>
        <family val="1"/>
      </rPr>
      <t xml:space="preserve"> </t>
    </r>
  </si>
  <si>
    <t xml:space="preserve">Home Room Teacher                                                         Grade     9A         </t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</si>
  <si>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</t>
    </r>
    <r>
      <rPr>
        <u/>
        <sz val="11"/>
        <color theme="1"/>
        <rFont val="Bookman Old Style"/>
        <family val="1"/>
      </rPr>
      <t xml:space="preserve">                      </t>
    </r>
    <r>
      <rPr>
        <sz val="11"/>
        <color theme="1"/>
        <rFont val="Bookman Old Style"/>
        <family val="1"/>
      </rPr>
      <t xml:space="preserve">                          Grade </t>
    </r>
    <r>
      <rPr>
        <u/>
        <sz val="11"/>
        <color theme="1"/>
        <rFont val="Bookman Old Style"/>
        <family val="1"/>
      </rPr>
      <t xml:space="preserve">    9B      </t>
    </r>
    <r>
      <rPr>
        <sz val="11"/>
        <color theme="1"/>
        <rFont val="Bookman Old Style"/>
        <family val="1"/>
      </rPr>
      <t xml:space="preserve"> </t>
    </r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</si>
  <si>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</t>
    </r>
    <r>
      <rPr>
        <u/>
        <sz val="11"/>
        <color theme="1"/>
        <rFont val="Lucida Calligraphy"/>
        <family val="4"/>
      </rPr>
      <t xml:space="preserve"> </t>
    </r>
    <r>
      <rPr>
        <u/>
        <sz val="11"/>
        <color theme="1"/>
        <rFont val="Bookman Old Style"/>
        <family val="1"/>
      </rPr>
      <t xml:space="preserve">                     </t>
    </r>
    <r>
      <rPr>
        <sz val="11"/>
        <color theme="1"/>
        <rFont val="Bookman Old Style"/>
        <family val="1"/>
      </rPr>
      <t xml:space="preserve">                          Grade </t>
    </r>
    <r>
      <rPr>
        <u/>
        <sz val="11"/>
        <color theme="1"/>
        <rFont val="Bookman Old Style"/>
        <family val="1"/>
      </rPr>
      <t xml:space="preserve">    9B      </t>
    </r>
    <r>
      <rPr>
        <sz val="11"/>
        <color theme="1"/>
        <rFont val="Bookman Old Style"/>
        <family val="1"/>
      </rPr>
      <t xml:space="preserve"> </t>
    </r>
  </si>
  <si>
    <t xml:space="preserve">Home Room Teacher                                                       Grade     9B      </t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</si>
  <si>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</t>
    </r>
    <r>
      <rPr>
        <u/>
        <sz val="11"/>
        <color theme="1"/>
        <rFont val="Bookman Old Style"/>
        <family val="1"/>
      </rPr>
      <t xml:space="preserve">                      </t>
    </r>
    <r>
      <rPr>
        <sz val="11"/>
        <color theme="1"/>
        <rFont val="Bookman Old Style"/>
        <family val="1"/>
      </rPr>
      <t xml:space="preserve">                          Grade </t>
    </r>
    <r>
      <rPr>
        <u/>
        <sz val="11"/>
        <color theme="1"/>
        <rFont val="Bookman Old Style"/>
        <family val="1"/>
      </rPr>
      <t xml:space="preserve">    10A     </t>
    </r>
    <r>
      <rPr>
        <sz val="11"/>
        <color theme="1"/>
        <rFont val="Bookman Old Style"/>
        <family val="1"/>
      </rPr>
      <t xml:space="preserve"> </t>
    </r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</si>
  <si>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</t>
    </r>
    <r>
      <rPr>
        <u/>
        <sz val="11"/>
        <color theme="1"/>
        <rFont val="Lucida Calligraphy"/>
        <family val="4"/>
      </rPr>
      <t xml:space="preserve"> </t>
    </r>
    <r>
      <rPr>
        <u/>
        <sz val="11"/>
        <color theme="1"/>
        <rFont val="Bookman Old Style"/>
        <family val="1"/>
      </rPr>
      <t xml:space="preserve">                    </t>
    </r>
    <r>
      <rPr>
        <sz val="11"/>
        <color theme="1"/>
        <rFont val="Bookman Old Style"/>
        <family val="1"/>
      </rPr>
      <t xml:space="preserve">                          Grade </t>
    </r>
    <r>
      <rPr>
        <u/>
        <sz val="11"/>
        <color theme="1"/>
        <rFont val="Bookman Old Style"/>
        <family val="1"/>
      </rPr>
      <t xml:space="preserve">   10A      </t>
    </r>
    <r>
      <rPr>
        <sz val="11"/>
        <color theme="1"/>
        <rFont val="Bookman Old Style"/>
        <family val="1"/>
      </rPr>
      <t xml:space="preserve"> </t>
    </r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</si>
  <si>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</t>
    </r>
    <r>
      <rPr>
        <u/>
        <sz val="11"/>
        <color theme="1"/>
        <rFont val="Lucida Calligraphy"/>
        <family val="4"/>
      </rPr>
      <t xml:space="preserve"> </t>
    </r>
    <r>
      <rPr>
        <u/>
        <sz val="11"/>
        <color theme="1"/>
        <rFont val="Bookman Old Style"/>
        <family val="1"/>
      </rPr>
      <t xml:space="preserve">                      </t>
    </r>
    <r>
      <rPr>
        <sz val="11"/>
        <color theme="1"/>
        <rFont val="Bookman Old Style"/>
        <family val="1"/>
      </rPr>
      <t xml:space="preserve">                          Grade </t>
    </r>
    <r>
      <rPr>
        <u/>
        <sz val="11"/>
        <color theme="1"/>
        <rFont val="Bookman Old Style"/>
        <family val="1"/>
      </rPr>
      <t xml:space="preserve">    10A      </t>
    </r>
    <r>
      <rPr>
        <sz val="11"/>
        <color theme="1"/>
        <rFont val="Bookman Old Style"/>
        <family val="1"/>
      </rPr>
      <t xml:space="preserve"> </t>
    </r>
  </si>
  <si>
    <t xml:space="preserve">Home Room Teacher                                                      Grade    10A    </t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</si>
  <si>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</t>
    </r>
    <r>
      <rPr>
        <u/>
        <sz val="11"/>
        <color theme="1"/>
        <rFont val="Lucida Calligraphy"/>
        <family val="4"/>
      </rPr>
      <t xml:space="preserve"> </t>
    </r>
    <r>
      <rPr>
        <u/>
        <sz val="11"/>
        <color theme="1"/>
        <rFont val="Bookman Old Style"/>
        <family val="1"/>
      </rPr>
      <t xml:space="preserve">                        </t>
    </r>
    <r>
      <rPr>
        <sz val="11"/>
        <color theme="1"/>
        <rFont val="Bookman Old Style"/>
        <family val="1"/>
      </rPr>
      <t xml:space="preserve">                          Grade </t>
    </r>
    <r>
      <rPr>
        <u/>
        <sz val="11"/>
        <color theme="1"/>
        <rFont val="Bookman Old Style"/>
        <family val="1"/>
      </rPr>
      <t xml:space="preserve">    10B      </t>
    </r>
    <r>
      <rPr>
        <sz val="11"/>
        <color theme="1"/>
        <rFont val="Bookman Old Style"/>
        <family val="1"/>
      </rPr>
      <t xml:space="preserve"> </t>
    </r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</si>
  <si>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</t>
    </r>
    <r>
      <rPr>
        <u/>
        <sz val="11"/>
        <color theme="1"/>
        <rFont val="Lucida Calligraphy"/>
        <family val="4"/>
      </rPr>
      <t xml:space="preserve">  </t>
    </r>
    <r>
      <rPr>
        <u/>
        <sz val="11"/>
        <color theme="1"/>
        <rFont val="Bookman Old Style"/>
        <family val="1"/>
      </rPr>
      <t xml:space="preserve">                        </t>
    </r>
    <r>
      <rPr>
        <sz val="11"/>
        <color theme="1"/>
        <rFont val="Bookman Old Style"/>
        <family val="1"/>
      </rPr>
      <t xml:space="preserve">                          Grade </t>
    </r>
    <r>
      <rPr>
        <u/>
        <sz val="11"/>
        <color theme="1"/>
        <rFont val="Bookman Old Style"/>
        <family val="1"/>
      </rPr>
      <t xml:space="preserve">   10B      </t>
    </r>
    <r>
      <rPr>
        <sz val="11"/>
        <color theme="1"/>
        <rFont val="Bookman Old Style"/>
        <family val="1"/>
      </rPr>
      <t xml:space="preserve"> </t>
    </r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</si>
  <si>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</t>
    </r>
    <r>
      <rPr>
        <u/>
        <sz val="11"/>
        <color theme="1"/>
        <rFont val="Lucida Calligraphy"/>
        <family val="4"/>
      </rPr>
      <t xml:space="preserve">  </t>
    </r>
    <r>
      <rPr>
        <u/>
        <sz val="11"/>
        <color theme="1"/>
        <rFont val="Bookman Old Style"/>
        <family val="1"/>
      </rPr>
      <t xml:space="preserve">                        </t>
    </r>
    <r>
      <rPr>
        <sz val="11"/>
        <color theme="1"/>
        <rFont val="Bookman Old Style"/>
        <family val="1"/>
      </rPr>
      <t xml:space="preserve">                          Grade </t>
    </r>
    <r>
      <rPr>
        <u/>
        <sz val="11"/>
        <color theme="1"/>
        <rFont val="Bookman Old Style"/>
        <family val="1"/>
      </rPr>
      <t xml:space="preserve">    10B      </t>
    </r>
    <r>
      <rPr>
        <sz val="11"/>
        <color theme="1"/>
        <rFont val="Bookman Old Style"/>
        <family val="1"/>
      </rPr>
      <t xml:space="preserve"> </t>
    </r>
  </si>
  <si>
    <r>
      <t xml:space="preserve">      Home Room Teacher </t>
    </r>
    <r>
      <rPr>
        <u/>
        <sz val="12"/>
        <color theme="1"/>
        <rFont val="Bookman Old Style"/>
        <family val="1"/>
      </rPr>
      <t xml:space="preserve">       </t>
    </r>
    <r>
      <rPr>
        <u/>
        <sz val="12"/>
        <color theme="1"/>
        <rFont val="Lucida Calligraphy"/>
        <family val="4"/>
      </rPr>
      <t xml:space="preserve">                      Grade    11A(Natural Science)    </t>
    </r>
  </si>
  <si>
    <r>
      <t xml:space="preserve">      Home Room Teacher </t>
    </r>
    <r>
      <rPr>
        <u/>
        <sz val="12"/>
        <color theme="1"/>
        <rFont val="Bookman Old Style"/>
        <family val="1"/>
      </rPr>
      <t xml:space="preserve">       </t>
    </r>
    <r>
      <rPr>
        <u/>
        <sz val="12"/>
        <color theme="1"/>
        <rFont val="Lucida Calligraphy"/>
        <family val="4"/>
      </rPr>
      <t xml:space="preserve">                     Grade    11A (Natural Science)    </t>
    </r>
    <r>
      <rPr>
        <u/>
        <sz val="12"/>
        <color theme="1"/>
        <rFont val="Bookman Old Style"/>
        <family val="1"/>
      </rPr>
      <t xml:space="preserve">           </t>
    </r>
  </si>
  <si>
    <r>
      <t xml:space="preserve">      Home Room Teacher </t>
    </r>
    <r>
      <rPr>
        <u/>
        <sz val="12"/>
        <color theme="1"/>
        <rFont val="Bookman Old Style"/>
        <family val="1"/>
      </rPr>
      <t xml:space="preserve">       </t>
    </r>
    <r>
      <rPr>
        <u/>
        <sz val="12"/>
        <color theme="1"/>
        <rFont val="Lucida Calligraphy"/>
        <family val="4"/>
      </rPr>
      <t xml:space="preserve">                      Grade    11A (Natural Science)    </t>
    </r>
    <r>
      <rPr>
        <u/>
        <sz val="12"/>
        <color theme="1"/>
        <rFont val="Bookman Old Style"/>
        <family val="1"/>
      </rPr>
      <t xml:space="preserve">                </t>
    </r>
  </si>
  <si>
    <r>
      <t xml:space="preserve">      Home Room Teacher </t>
    </r>
    <r>
      <rPr>
        <u/>
        <sz val="12"/>
        <color theme="1"/>
        <rFont val="Bookman Old Style"/>
        <family val="1"/>
      </rPr>
      <t xml:space="preserve">       </t>
    </r>
    <r>
      <rPr>
        <u/>
        <sz val="12"/>
        <color theme="1"/>
        <rFont val="Lucida Calligraphy"/>
        <family val="4"/>
      </rPr>
      <t xml:space="preserve">                      Grade    11A(Natural Science)    </t>
    </r>
    <r>
      <rPr>
        <u/>
        <sz val="12"/>
        <color theme="1"/>
        <rFont val="Bookman Old Style"/>
        <family val="1"/>
      </rPr>
      <t xml:space="preserve">                </t>
    </r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</si>
  <si>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</t>
    </r>
    <r>
      <rPr>
        <u/>
        <sz val="11"/>
        <color theme="1"/>
        <rFont val="Bookman Old Style"/>
        <family val="1"/>
      </rPr>
      <t xml:space="preserve">                        </t>
    </r>
    <r>
      <rPr>
        <sz val="11"/>
        <color theme="1"/>
        <rFont val="Bookman Old Style"/>
        <family val="1"/>
      </rPr>
      <t xml:space="preserve">                          Grade </t>
    </r>
    <r>
      <rPr>
        <u/>
        <sz val="11"/>
        <color theme="1"/>
        <rFont val="Bookman Old Style"/>
        <family val="1"/>
      </rPr>
      <t xml:space="preserve">    12A      </t>
    </r>
    <r>
      <rPr>
        <sz val="11"/>
        <color theme="1"/>
        <rFont val="Bookman Old Style"/>
        <family val="1"/>
      </rPr>
      <t xml:space="preserve"> </t>
    </r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</si>
  <si>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                     </t>
    </r>
    <r>
      <rPr>
        <sz val="11"/>
        <color theme="1"/>
        <rFont val="Bookman Old Style"/>
        <family val="1"/>
      </rPr>
      <t xml:space="preserve">                          Grade </t>
    </r>
    <r>
      <rPr>
        <u/>
        <sz val="11"/>
        <color theme="1"/>
        <rFont val="Bookman Old Style"/>
        <family val="1"/>
      </rPr>
      <t xml:space="preserve">    12A      </t>
    </r>
    <r>
      <rPr>
        <sz val="11"/>
        <color theme="1"/>
        <rFont val="Bookman Old Style"/>
        <family val="1"/>
      </rPr>
      <t xml:space="preserve"> </t>
    </r>
  </si>
  <si>
    <t xml:space="preserve">Home Room Teacher                                             Grade     12A </t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</si>
  <si>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</t>
    </r>
    <r>
      <rPr>
        <u/>
        <sz val="11"/>
        <color theme="1"/>
        <rFont val="Lucida Calligraphy"/>
        <family val="4"/>
      </rPr>
      <t xml:space="preserve">                      Grade    12B (Natural Science) </t>
    </r>
    <r>
      <rPr>
        <u/>
        <sz val="11"/>
        <color theme="1"/>
        <rFont val="Bookman Old Style"/>
        <family val="1"/>
      </rPr>
      <t xml:space="preserve">   </t>
    </r>
    <r>
      <rPr>
        <sz val="11"/>
        <color theme="1"/>
        <rFont val="Bookman Old Style"/>
        <family val="1"/>
      </rPr>
      <t xml:space="preserve"> </t>
    </r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</si>
  <si>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</t>
    </r>
    <r>
      <rPr>
        <u/>
        <sz val="11"/>
        <color theme="1"/>
        <rFont val="Lucida Calligraphy"/>
        <family val="4"/>
      </rPr>
      <t xml:space="preserve">                      Grade    12B (Natural Science) </t>
    </r>
    <r>
      <rPr>
        <u/>
        <sz val="11"/>
        <color theme="1"/>
        <rFont val="Bookman Old Style"/>
        <family val="1"/>
      </rPr>
      <t xml:space="preserve"> </t>
    </r>
    <r>
      <rPr>
        <sz val="11"/>
        <color theme="1"/>
        <rFont val="Bookman Old Style"/>
        <family val="1"/>
      </rPr>
      <t xml:space="preserve"> </t>
    </r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</si>
  <si>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</t>
    </r>
    <r>
      <rPr>
        <u/>
        <sz val="11"/>
        <color theme="1"/>
        <rFont val="Lucida Calligraphy"/>
        <family val="4"/>
      </rPr>
      <t xml:space="preserve">                      Grade    12B (Natural Science) </t>
    </r>
    <r>
      <rPr>
        <u/>
        <sz val="11"/>
        <color theme="1"/>
        <rFont val="Bookman Old Style"/>
        <family val="1"/>
      </rPr>
      <t xml:space="preserve">    </t>
    </r>
    <r>
      <rPr>
        <sz val="11"/>
        <color theme="1"/>
        <rFont val="Bookman Old Style"/>
        <family val="1"/>
      </rPr>
      <t xml:space="preserve"> </t>
    </r>
  </si>
  <si>
    <t xml:space="preserve">                    Grade    12B (Natural Science) </t>
  </si>
  <si>
    <t xml:space="preserve">F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</si>
  <si>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Rubbato Catholic School 2016 E.C Roster Grade 10A Student's </t>
  </si>
  <si>
    <t xml:space="preserve">Maria Rubbato Catholic School 2016 E.C Roster Grade 9A Student's </t>
  </si>
  <si>
    <t xml:space="preserve">Maria Rubbato Catholic School 2016E.C Roster Grade 9A Student's </t>
  </si>
  <si>
    <t xml:space="preserve">Maria Rubbato Catholic School 2016 E.C Roster Grade 9B Student's </t>
  </si>
  <si>
    <t xml:space="preserve">Maria Rubbato Catholic School 2016 E.C Roster Grade 10B Student's </t>
  </si>
  <si>
    <t xml:space="preserve">Maria Rubbato Catholic School 2016 E.C  Roster Grade 11A (Natural Science) Student's </t>
  </si>
  <si>
    <t xml:space="preserve">Maria Rubbato Catholic School 2016 E.C  Roster Grade 11B (Natural Science) Student's </t>
  </si>
  <si>
    <t xml:space="preserve">Maria Rubbato Catholic School 2016 E.C Roster Grade 12A Student's </t>
  </si>
  <si>
    <t xml:space="preserve">Maria Rubbato Catholic School 2016 E.C Roster Grade 12B Student's </t>
  </si>
  <si>
    <t xml:space="preserve">Maria Rubbato Catholic School 2016 E.C Roster Grade 11C Student's </t>
  </si>
  <si>
    <t>Economics</t>
  </si>
  <si>
    <t>Afan Oromo</t>
  </si>
  <si>
    <t>IT</t>
  </si>
  <si>
    <t>Agriculture</t>
  </si>
  <si>
    <t xml:space="preserve">Citizenship </t>
  </si>
  <si>
    <t>Citizenship</t>
  </si>
  <si>
    <t xml:space="preserve">Maria Rubbato Catholic School 2016 E.C  Roster Grade 11B (Social Science) Student's </t>
  </si>
  <si>
    <r>
      <t xml:space="preserve">      Home Room Teacher </t>
    </r>
    <r>
      <rPr>
        <u/>
        <sz val="12"/>
        <color theme="1"/>
        <rFont val="Bookman Old Style"/>
        <family val="1"/>
      </rPr>
      <t xml:space="preserve">       </t>
    </r>
    <r>
      <rPr>
        <u/>
        <sz val="12"/>
        <color theme="1"/>
        <rFont val="Lucida Calligraphy"/>
        <family val="4"/>
      </rPr>
      <t xml:space="preserve">                      Grade    11B(Social Science)    </t>
    </r>
  </si>
  <si>
    <r>
      <t xml:space="preserve">      Home Room Teacher </t>
    </r>
    <r>
      <rPr>
        <u/>
        <sz val="12"/>
        <color theme="1"/>
        <rFont val="Bookman Old Style"/>
        <family val="1"/>
      </rPr>
      <t xml:space="preserve">       </t>
    </r>
    <r>
      <rPr>
        <u/>
        <sz val="12"/>
        <color theme="1"/>
        <rFont val="Lucida Calligraphy"/>
        <family val="4"/>
      </rPr>
      <t xml:space="preserve">                      Grade    11B Social Science)    </t>
    </r>
    <r>
      <rPr>
        <u/>
        <sz val="12"/>
        <color theme="1"/>
        <rFont val="Bookman Old Style"/>
        <family val="1"/>
      </rPr>
      <t xml:space="preserve">           </t>
    </r>
  </si>
  <si>
    <r>
      <t xml:space="preserve">      Home Room Teacher </t>
    </r>
    <r>
      <rPr>
        <u/>
        <sz val="12"/>
        <color theme="1"/>
        <rFont val="Bookman Old Style"/>
        <family val="1"/>
      </rPr>
      <t xml:space="preserve">       </t>
    </r>
    <r>
      <rPr>
        <u/>
        <sz val="12"/>
        <color theme="1"/>
        <rFont val="Lucida Calligraphy"/>
        <family val="4"/>
      </rPr>
      <t xml:space="preserve">                      Grade    11B (Social  Science)    </t>
    </r>
    <r>
      <rPr>
        <u/>
        <sz val="12"/>
        <color theme="1"/>
        <rFont val="Bookman Old Style"/>
        <family val="1"/>
      </rPr>
      <t xml:space="preserve">                </t>
    </r>
  </si>
  <si>
    <r>
      <t xml:space="preserve">      Home Room Teacher </t>
    </r>
    <r>
      <rPr>
        <u/>
        <sz val="12"/>
        <color theme="1"/>
        <rFont val="Bookman Old Style"/>
        <family val="1"/>
      </rPr>
      <t xml:space="preserve">       </t>
    </r>
    <r>
      <rPr>
        <u/>
        <sz val="12"/>
        <color theme="1"/>
        <rFont val="Lucida Calligraphy"/>
        <family val="4"/>
      </rPr>
      <t xml:space="preserve">                      Grade    11B(Social Science)    </t>
    </r>
    <r>
      <rPr>
        <u/>
        <sz val="12"/>
        <color theme="1"/>
        <rFont val="Bookman Old Style"/>
        <family val="1"/>
      </rPr>
      <t xml:space="preserve">                </t>
    </r>
  </si>
  <si>
    <t xml:space="preserve">Maria Rubbato Catholic School 2016 E.C Roster Grade 12C Student's </t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</si>
  <si>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                       </t>
    </r>
    <r>
      <rPr>
        <sz val="11"/>
        <color theme="1"/>
        <rFont val="Bookman Old Style"/>
        <family val="1"/>
      </rPr>
      <t xml:space="preserve">                          Grade </t>
    </r>
    <r>
      <rPr>
        <u/>
        <sz val="11"/>
        <color theme="1"/>
        <rFont val="Bookman Old Style"/>
        <family val="1"/>
      </rPr>
      <t xml:space="preserve">    12C      </t>
    </r>
    <r>
      <rPr>
        <sz val="11"/>
        <color theme="1"/>
        <rFont val="Bookman Old Style"/>
        <family val="1"/>
      </rPr>
      <t xml:space="preserve"> </t>
    </r>
  </si>
  <si>
    <t xml:space="preserve">Citizeaship </t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</si>
  <si>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                                                Grade     12C   (S.S)</t>
    </r>
    <r>
      <rPr>
        <sz val="11"/>
        <color theme="1"/>
        <rFont val="Bookman Old Style"/>
        <family val="1"/>
      </rPr>
      <t xml:space="preserve"> </t>
    </r>
  </si>
  <si>
    <t xml:space="preserve"> Home Room Teacher                              Grade     12C   (S.S) </t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</si>
  <si>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                                               Grade     12C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</si>
</sst>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11"/>
      <color theme="1"/>
      <name val="Bookman Old Style"/>
      <family val="1"/>
    </font>
    <font>
      <u/>
      <sz val="11"/>
      <color theme="1"/>
      <name val="Bookman Old Style"/>
      <family val="1"/>
    </font>
    <font>
      <u/>
      <sz val="11"/>
      <color theme="1"/>
      <name val="Lucida Calligraphy"/>
      <family val="4"/>
    </font>
    <font>
      <sz val="9"/>
      <color rgb="FF000000"/>
      <name val="Bookman Old Style"/>
      <family val="1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u/>
      <sz val="12"/>
      <color theme="1"/>
      <name val="Bookman Old Style"/>
      <family val="1"/>
    </font>
    <font>
      <u/>
      <sz val="12"/>
      <color theme="1"/>
      <name val="Lucida Calligraphy"/>
      <family val="4"/>
    </font>
    <font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3"/>
      <color theme="1"/>
      <name val="Visual Geez Unicode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sz val="13.5"/>
      <color rgb="FF000000"/>
      <name val="Times New Roman"/>
      <family val="1"/>
    </font>
    <font>
      <sz val="13"/>
      <color theme="1"/>
      <name val="Times New Roman"/>
      <family val="1"/>
    </font>
    <font>
      <sz val="8"/>
      <color rgb="FF000000"/>
      <name val="Times New Roman"/>
      <family val="1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2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0" xfId="0" applyFont="1" applyBorder="1" applyAlignment="1">
      <alignment wrapText="1"/>
    </xf>
    <xf numFmtId="0" fontId="3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wrapText="1"/>
    </xf>
    <xf numFmtId="0" fontId="10" fillId="0" borderId="9" xfId="0" applyFont="1" applyBorder="1" applyAlignment="1">
      <alignment wrapText="1"/>
    </xf>
    <xf numFmtId="0" fontId="0" fillId="0" borderId="9" xfId="0" applyBorder="1" applyAlignment="1"/>
    <xf numFmtId="0" fontId="0" fillId="0" borderId="0" xfId="0" applyAlignment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13" fillId="0" borderId="10" xfId="0" applyFont="1" applyBorder="1" applyAlignment="1">
      <alignment horizontal="center" vertical="center" textRotation="180"/>
    </xf>
    <xf numFmtId="0" fontId="14" fillId="0" borderId="10" xfId="0" applyFont="1" applyBorder="1" applyAlignment="1">
      <alignment horizontal="center" vertical="center" textRotation="180"/>
    </xf>
    <xf numFmtId="0" fontId="15" fillId="0" borderId="10" xfId="0" applyFont="1" applyBorder="1" applyAlignment="1">
      <alignment horizontal="center" vertical="center" textRotation="180"/>
    </xf>
    <xf numFmtId="0" fontId="14" fillId="0" borderId="10" xfId="0" applyFont="1" applyFill="1" applyBorder="1" applyAlignment="1">
      <alignment horizontal="center" vertical="center" textRotation="180"/>
    </xf>
    <xf numFmtId="0" fontId="9" fillId="0" borderId="11" xfId="0" applyFont="1" applyBorder="1"/>
    <xf numFmtId="0" fontId="0" fillId="2" borderId="11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0" fillId="0" borderId="11" xfId="0" applyFont="1" applyBorder="1"/>
    <xf numFmtId="2" fontId="0" fillId="0" borderId="11" xfId="0" applyNumberForma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0" fillId="0" borderId="0" xfId="0" applyFont="1"/>
    <xf numFmtId="0" fontId="0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/>
    </xf>
    <xf numFmtId="0" fontId="0" fillId="0" borderId="11" xfId="0" applyFont="1" applyBorder="1" applyAlignment="1">
      <alignment horizontal="center" textRotation="255"/>
    </xf>
    <xf numFmtId="0" fontId="0" fillId="0" borderId="11" xfId="0" applyFont="1" applyFill="1" applyBorder="1" applyAlignment="1">
      <alignment horizontal="center" textRotation="255"/>
    </xf>
    <xf numFmtId="0" fontId="0" fillId="0" borderId="11" xfId="0" applyFont="1" applyFill="1" applyBorder="1" applyAlignment="1">
      <alignment horizontal="center"/>
    </xf>
    <xf numFmtId="0" fontId="0" fillId="2" borderId="11" xfId="0" applyFont="1" applyFill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0" fillId="2" borderId="11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2" fontId="16" fillId="2" borderId="11" xfId="0" applyNumberFormat="1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center" vertical="center" textRotation="180"/>
    </xf>
    <xf numFmtId="0" fontId="14" fillId="0" borderId="8" xfId="0" applyFont="1" applyBorder="1" applyAlignment="1">
      <alignment horizontal="center" vertical="center" textRotation="180"/>
    </xf>
    <xf numFmtId="0" fontId="15" fillId="0" borderId="8" xfId="0" applyFont="1" applyBorder="1" applyAlignment="1">
      <alignment horizontal="center" vertical="center" textRotation="180"/>
    </xf>
    <xf numFmtId="0" fontId="0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/>
    </xf>
    <xf numFmtId="0" fontId="0" fillId="2" borderId="15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9" fillId="0" borderId="15" xfId="0" applyFont="1" applyBorder="1"/>
    <xf numFmtId="0" fontId="0" fillId="0" borderId="15" xfId="0" applyFont="1" applyBorder="1" applyAlignment="1">
      <alignment horizontal="center" textRotation="255"/>
    </xf>
    <xf numFmtId="0" fontId="0" fillId="0" borderId="15" xfId="0" applyFont="1" applyFill="1" applyBorder="1" applyAlignment="1">
      <alignment horizontal="center" textRotation="255"/>
    </xf>
    <xf numFmtId="0" fontId="13" fillId="0" borderId="8" xfId="0" applyFont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 textRotation="180"/>
    </xf>
    <xf numFmtId="0" fontId="13" fillId="0" borderId="10" xfId="0" applyFont="1" applyFill="1" applyBorder="1" applyAlignment="1">
      <alignment horizontal="center" vertical="center" textRotation="180"/>
    </xf>
    <xf numFmtId="0" fontId="9" fillId="0" borderId="16" xfId="0" applyFont="1" applyBorder="1"/>
    <xf numFmtId="0" fontId="9" fillId="0" borderId="3" xfId="0" applyFont="1" applyBorder="1"/>
    <xf numFmtId="0" fontId="21" fillId="2" borderId="11" xfId="0" applyFont="1" applyFill="1" applyBorder="1" applyAlignment="1">
      <alignment horizontal="center" vertical="center"/>
    </xf>
    <xf numFmtId="0" fontId="26" fillId="2" borderId="1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textRotation="180"/>
    </xf>
    <xf numFmtId="0" fontId="21" fillId="0" borderId="0" xfId="0" applyFont="1"/>
    <xf numFmtId="0" fontId="21" fillId="0" borderId="0" xfId="0" applyFont="1" applyAlignment="1"/>
    <xf numFmtId="1" fontId="0" fillId="2" borderId="11" xfId="0" applyNumberFormat="1" applyFont="1" applyFill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9" fillId="0" borderId="7" xfId="0" applyFont="1" applyBorder="1"/>
    <xf numFmtId="0" fontId="0" fillId="2" borderId="7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21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ont="1" applyBorder="1"/>
    <xf numFmtId="0" fontId="16" fillId="2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8" fillId="0" borderId="11" xfId="0" applyFont="1" applyBorder="1" applyAlignment="1">
      <alignment wrapText="1"/>
    </xf>
    <xf numFmtId="2" fontId="0" fillId="0" borderId="11" xfId="0" applyNumberFormat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22" fillId="0" borderId="0" xfId="0" applyFont="1" applyBorder="1" applyAlignment="1">
      <alignment horizontal="center"/>
    </xf>
    <xf numFmtId="0" fontId="22" fillId="0" borderId="0" xfId="0" applyFont="1" applyBorder="1" applyAlignment="1">
      <alignment horizontal="right"/>
    </xf>
    <xf numFmtId="0" fontId="22" fillId="0" borderId="0" xfId="0" applyFont="1" applyBorder="1"/>
    <xf numFmtId="0" fontId="0" fillId="0" borderId="11" xfId="0" applyBorder="1" applyAlignment="1">
      <alignment horizontal="center"/>
    </xf>
    <xf numFmtId="0" fontId="0" fillId="2" borderId="3" xfId="0" applyFont="1" applyFill="1" applyBorder="1" applyAlignment="1">
      <alignment horizontal="center" vertical="center"/>
    </xf>
    <xf numFmtId="0" fontId="0" fillId="2" borderId="16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24" fillId="2" borderId="16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 wrapText="1"/>
    </xf>
    <xf numFmtId="0" fontId="20" fillId="2" borderId="3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2" fontId="0" fillId="0" borderId="11" xfId="0" applyNumberForma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11" fillId="0" borderId="27" xfId="0" applyFont="1" applyBorder="1" applyAlignment="1">
      <alignment horizontal="left" vertical="center"/>
    </xf>
    <xf numFmtId="0" fontId="0" fillId="0" borderId="0" xfId="0" applyFill="1"/>
    <xf numFmtId="0" fontId="22" fillId="0" borderId="0" xfId="0" applyFont="1" applyFill="1" applyBorder="1" applyAlignment="1">
      <alignment horizontal="center"/>
    </xf>
    <xf numFmtId="0" fontId="22" fillId="0" borderId="0" xfId="0" applyFont="1" applyFill="1" applyBorder="1"/>
    <xf numFmtId="0" fontId="0" fillId="0" borderId="15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180"/>
    </xf>
    <xf numFmtId="0" fontId="0" fillId="2" borderId="11" xfId="0" applyNumberFormat="1" applyFont="1" applyFill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left" vertical="center"/>
    </xf>
    <xf numFmtId="0" fontId="13" fillId="0" borderId="10" xfId="0" applyNumberFormat="1" applyFont="1" applyBorder="1" applyAlignment="1">
      <alignment horizontal="center" vertical="center" textRotation="180"/>
    </xf>
    <xf numFmtId="0" fontId="0" fillId="0" borderId="11" xfId="0" applyNumberFormat="1" applyBorder="1" applyAlignment="1">
      <alignment horizontal="center" vertical="center"/>
    </xf>
    <xf numFmtId="0" fontId="0" fillId="0" borderId="0" xfId="0" applyNumberFormat="1"/>
    <xf numFmtId="0" fontId="1" fillId="0" borderId="7" xfId="0" applyFont="1" applyBorder="1" applyAlignment="1">
      <alignment horizontal="left" vertical="center"/>
    </xf>
    <xf numFmtId="0" fontId="1" fillId="0" borderId="28" xfId="0" applyFont="1" applyFill="1" applyBorder="1" applyAlignment="1">
      <alignment horizontal="center" vertical="center" textRotation="180"/>
    </xf>
    <xf numFmtId="0" fontId="13" fillId="0" borderId="28" xfId="0" applyFont="1" applyFill="1" applyBorder="1" applyAlignment="1">
      <alignment horizontal="center" vertical="center" textRotation="180"/>
    </xf>
    <xf numFmtId="0" fontId="1" fillId="0" borderId="10" xfId="0" applyNumberFormat="1" applyFont="1" applyBorder="1" applyAlignment="1">
      <alignment horizontal="center" vertical="center" textRotation="180"/>
    </xf>
    <xf numFmtId="0" fontId="0" fillId="0" borderId="11" xfId="0" applyFont="1" applyBorder="1" applyAlignment="1">
      <alignment horizontal="center" vertical="center" textRotation="255"/>
    </xf>
    <xf numFmtId="0" fontId="17" fillId="0" borderId="11" xfId="0" applyFont="1" applyBorder="1"/>
    <xf numFmtId="0" fontId="28" fillId="0" borderId="15" xfId="0" applyFont="1" applyBorder="1" applyAlignment="1">
      <alignment vertical="center" wrapText="1"/>
    </xf>
    <xf numFmtId="0" fontId="28" fillId="0" borderId="11" xfId="0" applyFont="1" applyBorder="1" applyAlignment="1">
      <alignment vertical="center" wrapText="1"/>
    </xf>
    <xf numFmtId="0" fontId="28" fillId="0" borderId="11" xfId="0" applyFont="1" applyBorder="1" applyAlignment="1">
      <alignment horizontal="center" vertical="center" wrapText="1"/>
    </xf>
    <xf numFmtId="0" fontId="17" fillId="0" borderId="11" xfId="0" applyFont="1" applyBorder="1" applyAlignment="1">
      <alignment vertical="center" wrapText="1"/>
    </xf>
    <xf numFmtId="0" fontId="28" fillId="0" borderId="15" xfId="0" applyFont="1" applyBorder="1" applyAlignment="1">
      <alignment horizontal="left" vertical="center" wrapText="1"/>
    </xf>
    <xf numFmtId="0" fontId="28" fillId="0" borderId="11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7" xfId="0" applyFont="1" applyBorder="1" applyAlignment="1">
      <alignment vertical="center" wrapText="1"/>
    </xf>
    <xf numFmtId="0" fontId="17" fillId="0" borderId="15" xfId="0" applyFont="1" applyBorder="1" applyAlignment="1">
      <alignment horizontal="left" vertical="center"/>
    </xf>
    <xf numFmtId="0" fontId="17" fillId="0" borderId="7" xfId="0" applyFont="1" applyBorder="1" applyAlignment="1">
      <alignment horizontal="center" vertical="center" wrapText="1"/>
    </xf>
    <xf numFmtId="0" fontId="17" fillId="3" borderId="11" xfId="0" applyFont="1" applyFill="1" applyBorder="1" applyAlignment="1">
      <alignment vertical="center" wrapText="1"/>
    </xf>
    <xf numFmtId="0" fontId="17" fillId="3" borderId="11" xfId="0" applyFont="1" applyFill="1" applyBorder="1" applyAlignment="1">
      <alignment horizontal="center" vertical="center" wrapText="1"/>
    </xf>
    <xf numFmtId="0" fontId="28" fillId="0" borderId="11" xfId="0" applyFont="1" applyBorder="1" applyAlignment="1">
      <alignment vertical="top" wrapText="1"/>
    </xf>
    <xf numFmtId="0" fontId="17" fillId="0" borderId="11" xfId="0" applyFont="1" applyBorder="1" applyAlignment="1">
      <alignment wrapText="1"/>
    </xf>
    <xf numFmtId="0" fontId="17" fillId="0" borderId="11" xfId="0" applyFont="1" applyBorder="1" applyAlignment="1">
      <alignment horizontal="left" vertical="center"/>
    </xf>
    <xf numFmtId="0" fontId="17" fillId="0" borderId="26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/>
    </xf>
    <xf numFmtId="0" fontId="17" fillId="0" borderId="15" xfId="0" applyFont="1" applyBorder="1" applyAlignment="1">
      <alignment vertical="center"/>
    </xf>
    <xf numFmtId="0" fontId="17" fillId="0" borderId="11" xfId="0" applyFont="1" applyBorder="1" applyAlignment="1">
      <alignment vertical="center"/>
    </xf>
    <xf numFmtId="0" fontId="17" fillId="0" borderId="17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left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left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 wrapText="1"/>
    </xf>
    <xf numFmtId="0" fontId="29" fillId="3" borderId="11" xfId="0" applyFont="1" applyFill="1" applyBorder="1" applyAlignment="1">
      <alignment horizontal="center" vertical="center" wrapText="1"/>
    </xf>
    <xf numFmtId="0" fontId="29" fillId="0" borderId="11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3" borderId="11" xfId="0" applyFont="1" applyFill="1" applyBorder="1" applyAlignment="1">
      <alignment horizontal="left" vertical="center" wrapText="1"/>
    </xf>
    <xf numFmtId="0" fontId="33" fillId="0" borderId="11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center" vertical="center" wrapText="1"/>
    </xf>
    <xf numFmtId="0" fontId="0" fillId="0" borderId="15" xfId="0" applyFont="1" applyBorder="1"/>
    <xf numFmtId="0" fontId="0" fillId="0" borderId="24" xfId="0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5" fillId="2" borderId="16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 textRotation="180"/>
    </xf>
    <xf numFmtId="0" fontId="13" fillId="0" borderId="32" xfId="0" applyFont="1" applyFill="1" applyBorder="1" applyAlignment="1">
      <alignment horizontal="center" vertical="center" textRotation="180"/>
    </xf>
    <xf numFmtId="2" fontId="0" fillId="2" borderId="11" xfId="0" applyNumberFormat="1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2" fontId="0" fillId="0" borderId="11" xfId="0" applyNumberFormat="1" applyFont="1" applyBorder="1" applyAlignment="1">
      <alignment horizontal="center" vertical="center"/>
    </xf>
    <xf numFmtId="2" fontId="16" fillId="2" borderId="7" xfId="0" applyNumberFormat="1" applyFont="1" applyFill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1" fontId="0" fillId="0" borderId="24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2" borderId="15" xfId="0" applyNumberFormat="1" applyFont="1" applyFill="1" applyBorder="1" applyAlignment="1">
      <alignment horizontal="center" vertical="center"/>
    </xf>
    <xf numFmtId="0" fontId="22" fillId="0" borderId="11" xfId="0" applyFont="1" applyBorder="1" applyAlignment="1">
      <alignment horizontal="center"/>
    </xf>
    <xf numFmtId="0" fontId="0" fillId="4" borderId="11" xfId="0" applyFont="1" applyFill="1" applyBorder="1"/>
    <xf numFmtId="0" fontId="16" fillId="4" borderId="11" xfId="0" applyFont="1" applyFill="1" applyBorder="1" applyAlignment="1">
      <alignment horizontal="center" vertical="center"/>
    </xf>
    <xf numFmtId="2" fontId="0" fillId="4" borderId="11" xfId="0" applyNumberFormat="1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2" fontId="16" fillId="4" borderId="11" xfId="0" applyNumberFormat="1" applyFont="1" applyFill="1" applyBorder="1" applyAlignment="1">
      <alignment horizontal="center" vertical="center"/>
    </xf>
    <xf numFmtId="2" fontId="0" fillId="2" borderId="7" xfId="0" applyNumberFormat="1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2" fontId="0" fillId="5" borderId="11" xfId="0" applyNumberFormat="1" applyFont="1" applyFill="1" applyBorder="1" applyAlignment="1">
      <alignment horizontal="center" vertical="center"/>
    </xf>
    <xf numFmtId="0" fontId="0" fillId="5" borderId="11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2" fontId="16" fillId="5" borderId="11" xfId="0" applyNumberFormat="1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31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left" vertical="center" wrapText="1"/>
    </xf>
    <xf numFmtId="0" fontId="28" fillId="0" borderId="10" xfId="0" applyFont="1" applyBorder="1" applyAlignment="1">
      <alignment horizontal="left" vertical="center" wrapText="1"/>
    </xf>
    <xf numFmtId="0" fontId="29" fillId="0" borderId="12" xfId="0" applyFont="1" applyBorder="1" applyAlignment="1">
      <alignment horizontal="left" vertical="center" wrapText="1"/>
    </xf>
    <xf numFmtId="0" fontId="29" fillId="0" borderId="1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28" fillId="0" borderId="22" xfId="0" applyFont="1" applyBorder="1" applyAlignment="1">
      <alignment horizontal="left" vertical="center" wrapText="1"/>
    </xf>
    <xf numFmtId="0" fontId="28" fillId="0" borderId="23" xfId="0" applyFont="1" applyBorder="1" applyAlignment="1">
      <alignment horizontal="left" vertical="center" wrapText="1"/>
    </xf>
    <xf numFmtId="0" fontId="28" fillId="0" borderId="22" xfId="0" applyFont="1" applyBorder="1" applyAlignment="1">
      <alignment horizontal="center" vertical="center" wrapText="1"/>
    </xf>
    <xf numFmtId="0" fontId="28" fillId="0" borderId="23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29" fillId="0" borderId="8" xfId="0" applyFont="1" applyBorder="1" applyAlignment="1">
      <alignment horizontal="left" vertical="center" wrapText="1"/>
    </xf>
    <xf numFmtId="0" fontId="29" fillId="0" borderId="1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wrapText="1"/>
    </xf>
    <xf numFmtId="0" fontId="17" fillId="0" borderId="8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29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 wrapText="1"/>
    </xf>
    <xf numFmtId="0" fontId="28" fillId="4" borderId="8" xfId="0" applyFont="1" applyFill="1" applyBorder="1" applyAlignment="1">
      <alignment horizontal="left" vertical="center" wrapText="1"/>
    </xf>
    <xf numFmtId="0" fontId="28" fillId="4" borderId="8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17" fillId="0" borderId="8" xfId="0" applyFont="1" applyBorder="1" applyAlignment="1">
      <alignment vertical="center"/>
    </xf>
    <xf numFmtId="0" fontId="17" fillId="0" borderId="8" xfId="0" applyFont="1" applyBorder="1" applyAlignment="1">
      <alignment vertical="center" wrapText="1"/>
    </xf>
    <xf numFmtId="0" fontId="29" fillId="0" borderId="12" xfId="0" applyFont="1" applyBorder="1" applyAlignment="1">
      <alignment horizontal="center" vertical="center" wrapText="1"/>
    </xf>
    <xf numFmtId="0" fontId="28" fillId="0" borderId="8" xfId="0" applyFont="1" applyBorder="1" applyAlignment="1">
      <alignment vertical="center" wrapText="1"/>
    </xf>
    <xf numFmtId="0" fontId="28" fillId="0" borderId="10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/>
    </xf>
    <xf numFmtId="0" fontId="28" fillId="0" borderId="22" xfId="0" applyFont="1" applyBorder="1" applyAlignment="1">
      <alignment vertical="center" wrapText="1"/>
    </xf>
    <xf numFmtId="0" fontId="28" fillId="0" borderId="23" xfId="0" applyFont="1" applyBorder="1" applyAlignment="1">
      <alignment vertical="center" wrapText="1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17" fillId="0" borderId="1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44"/>
  <sheetViews>
    <sheetView workbookViewId="0">
      <selection activeCell="B6" sqref="B6:B170"/>
    </sheetView>
  </sheetViews>
  <sheetFormatPr defaultRowHeight="15" x14ac:dyDescent="0.25"/>
  <cols>
    <col min="1" max="1" width="4" customWidth="1"/>
    <col min="2" max="2" width="35.28515625" customWidth="1"/>
    <col min="3" max="4" width="4.140625" style="9" customWidth="1"/>
    <col min="6" max="6" width="6" customWidth="1"/>
    <col min="7" max="7" width="7" customWidth="1"/>
    <col min="8" max="10" width="6.28515625" customWidth="1"/>
    <col min="11" max="11" width="5.85546875" customWidth="1"/>
    <col min="12" max="12" width="6.5703125" customWidth="1"/>
    <col min="13" max="13" width="5.5703125" customWidth="1"/>
    <col min="14" max="14" width="6.7109375" customWidth="1"/>
    <col min="15" max="15" width="6.140625" customWidth="1"/>
    <col min="16" max="18" width="6.28515625" customWidth="1"/>
    <col min="19" max="19" width="7.7109375" customWidth="1"/>
    <col min="20" max="20" width="6.140625" customWidth="1"/>
    <col min="21" max="21" width="6" customWidth="1"/>
    <col min="22" max="23" width="5" style="28" customWidth="1"/>
    <col min="24" max="24" width="4.7109375" customWidth="1"/>
    <col min="25" max="25" width="30.85546875" customWidth="1"/>
    <col min="26" max="26" width="3.85546875" customWidth="1"/>
    <col min="27" max="27" width="3.7109375" customWidth="1"/>
  </cols>
  <sheetData>
    <row r="1" spans="1:26" ht="20.25" x14ac:dyDescent="0.25">
      <c r="A1" s="222" t="s">
        <v>56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4"/>
    </row>
    <row r="2" spans="1:26" ht="18.75" customHeight="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87"/>
      <c r="R2" s="187"/>
      <c r="S2" s="2"/>
      <c r="T2" s="2"/>
      <c r="U2" s="2"/>
      <c r="V2" s="26"/>
      <c r="W2" s="27"/>
    </row>
    <row r="3" spans="1:26" x14ac:dyDescent="0.25">
      <c r="A3" s="225" t="s">
        <v>29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3"/>
      <c r="Y3" s="3"/>
      <c r="Z3" s="3"/>
    </row>
    <row r="4" spans="1:26" ht="3" customHeight="1" thickBo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3"/>
      <c r="Y4" s="3"/>
      <c r="Z4" s="3"/>
    </row>
    <row r="5" spans="1:26" ht="66.75" customHeight="1" thickBot="1" x14ac:dyDescent="0.3">
      <c r="A5" s="61" t="s">
        <v>28</v>
      </c>
      <c r="B5" s="61" t="s">
        <v>1</v>
      </c>
      <c r="C5" s="65" t="s">
        <v>2</v>
      </c>
      <c r="D5" s="65" t="s">
        <v>3</v>
      </c>
      <c r="E5" s="17" t="s">
        <v>25</v>
      </c>
      <c r="F5" s="53" t="s">
        <v>4</v>
      </c>
      <c r="G5" s="53" t="s">
        <v>5</v>
      </c>
      <c r="H5" s="53" t="s">
        <v>6</v>
      </c>
      <c r="I5" s="53" t="s">
        <v>7</v>
      </c>
      <c r="J5" s="53" t="s">
        <v>8</v>
      </c>
      <c r="K5" s="53" t="s">
        <v>9</v>
      </c>
      <c r="L5" s="53" t="s">
        <v>11</v>
      </c>
      <c r="M5" s="53" t="s">
        <v>10</v>
      </c>
      <c r="N5" s="55" t="s">
        <v>69</v>
      </c>
      <c r="O5" s="55" t="s">
        <v>13</v>
      </c>
      <c r="P5" s="55" t="s">
        <v>65</v>
      </c>
      <c r="Q5" s="53" t="s">
        <v>14</v>
      </c>
      <c r="R5" s="53" t="s">
        <v>66</v>
      </c>
      <c r="S5" s="19" t="s">
        <v>15</v>
      </c>
      <c r="T5" s="17" t="s">
        <v>16</v>
      </c>
      <c r="U5" s="17" t="s">
        <v>17</v>
      </c>
      <c r="V5" s="17" t="s">
        <v>18</v>
      </c>
      <c r="W5" s="67" t="s">
        <v>19</v>
      </c>
    </row>
    <row r="6" spans="1:26" ht="17.25" customHeight="1" thickBot="1" x14ac:dyDescent="0.3">
      <c r="A6" s="226">
        <v>1</v>
      </c>
      <c r="B6" s="219"/>
      <c r="C6" s="214">
        <v>15</v>
      </c>
      <c r="D6" s="231" t="s">
        <v>20</v>
      </c>
      <c r="E6" s="21" t="s">
        <v>21</v>
      </c>
      <c r="F6" s="22">
        <f>'9A Sem 1'!E4</f>
        <v>77</v>
      </c>
      <c r="G6" s="22">
        <f>'9A Sem 1'!F4</f>
        <v>68</v>
      </c>
      <c r="H6" s="22">
        <f>'9A Sem 1'!G4</f>
        <v>74</v>
      </c>
      <c r="I6" s="22">
        <f>'9A Sem 1'!H4</f>
        <v>62</v>
      </c>
      <c r="J6" s="22">
        <f>'9A Sem 1'!I4</f>
        <v>75</v>
      </c>
      <c r="K6" s="22">
        <f>'9A Sem 1'!J4</f>
        <v>74</v>
      </c>
      <c r="L6" s="22">
        <f>'9A Sem 1'!K4</f>
        <v>84</v>
      </c>
      <c r="M6" s="22">
        <f>'9A Sem 1'!L4</f>
        <v>62</v>
      </c>
      <c r="N6" s="22">
        <f>'9A Sem 1'!M4</f>
        <v>78</v>
      </c>
      <c r="O6" s="22">
        <f>'9A Sem 1'!N4</f>
        <v>92</v>
      </c>
      <c r="P6" s="22">
        <f>'9A Sem 1'!O4</f>
        <v>74</v>
      </c>
      <c r="Q6" s="22">
        <f>'9A Sem 1'!P4</f>
        <v>94</v>
      </c>
      <c r="R6" s="22">
        <f>'9A Sem 1'!Q4</f>
        <v>91</v>
      </c>
      <c r="S6" s="22">
        <f>'9A Sem 1'!R4</f>
        <v>1005</v>
      </c>
      <c r="T6" s="22">
        <f>'9A Sem 1'!S4</f>
        <v>77.307692307692307</v>
      </c>
      <c r="U6" s="22">
        <f>'9A Sem 1'!T4</f>
        <v>21</v>
      </c>
      <c r="V6" s="33">
        <f>'9A Sem 1'!U4</f>
        <v>0</v>
      </c>
      <c r="W6" s="34">
        <f>'9A Sem 1'!V4</f>
        <v>0</v>
      </c>
    </row>
    <row r="7" spans="1:26" ht="17.25" customHeight="1" thickBot="1" x14ac:dyDescent="0.3">
      <c r="A7" s="226"/>
      <c r="B7" s="227"/>
      <c r="C7" s="229">
        <v>15</v>
      </c>
      <c r="D7" s="232" t="s">
        <v>20</v>
      </c>
      <c r="E7" s="21" t="s">
        <v>22</v>
      </c>
      <c r="F7" s="29">
        <f>'9A Sem 2'!E4</f>
        <v>82</v>
      </c>
      <c r="G7" s="29">
        <f>'9A Sem 2'!F4</f>
        <v>53</v>
      </c>
      <c r="H7" s="29">
        <f>'9A Sem 2'!G4</f>
        <v>71</v>
      </c>
      <c r="I7" s="29">
        <f>'9A Sem 2'!H4</f>
        <v>62</v>
      </c>
      <c r="J7" s="29">
        <f>'9A Sem 2'!I4</f>
        <v>60</v>
      </c>
      <c r="K7" s="29">
        <f>'9A Sem 2'!J4</f>
        <v>76</v>
      </c>
      <c r="L7" s="29">
        <f>'9A Sem 2'!K4</f>
        <v>67</v>
      </c>
      <c r="M7" s="29">
        <f>'9A Sem 2'!L4</f>
        <v>73</v>
      </c>
      <c r="N7" s="29">
        <f>'9A Sem 2'!M4</f>
        <v>71</v>
      </c>
      <c r="O7" s="29">
        <f>'9A Sem 2'!N4</f>
        <v>82</v>
      </c>
      <c r="P7" s="29">
        <f>'9A Sem 2'!O4</f>
        <v>80</v>
      </c>
      <c r="Q7" s="29">
        <f>'9A Sem 2'!P4</f>
        <v>87</v>
      </c>
      <c r="R7" s="29">
        <f>'9A Sem 2'!Q4</f>
        <v>60</v>
      </c>
      <c r="S7" s="22">
        <f>'9A Sem 2'!R4</f>
        <v>924</v>
      </c>
      <c r="T7" s="22">
        <f>'9A Sem 2'!S4</f>
        <v>71.07692307692308</v>
      </c>
      <c r="U7" s="22">
        <f>'9A Sem 2'!T4</f>
        <v>40</v>
      </c>
      <c r="V7" s="32">
        <f>'9A Sem 2'!U4</f>
        <v>0</v>
      </c>
      <c r="W7" s="35">
        <f>'9A Sem 2'!V4</f>
        <v>0</v>
      </c>
    </row>
    <row r="8" spans="1:26" ht="17.25" customHeight="1" thickBot="1" x14ac:dyDescent="0.3">
      <c r="A8" s="226"/>
      <c r="B8" s="228"/>
      <c r="C8" s="230">
        <v>15</v>
      </c>
      <c r="D8" s="233" t="s">
        <v>20</v>
      </c>
      <c r="E8" s="21" t="s">
        <v>16</v>
      </c>
      <c r="F8" s="22">
        <f>AVERAGE(F6:F7)</f>
        <v>79.5</v>
      </c>
      <c r="G8" s="22">
        <f t="shared" ref="G8:W8" si="0">AVERAGE(G6:G7)</f>
        <v>60.5</v>
      </c>
      <c r="H8" s="22">
        <f t="shared" si="0"/>
        <v>72.5</v>
      </c>
      <c r="I8" s="22">
        <f t="shared" si="0"/>
        <v>62</v>
      </c>
      <c r="J8" s="22">
        <f t="shared" si="0"/>
        <v>67.5</v>
      </c>
      <c r="K8" s="22">
        <f t="shared" si="0"/>
        <v>75</v>
      </c>
      <c r="L8" s="22">
        <f t="shared" si="0"/>
        <v>75.5</v>
      </c>
      <c r="M8" s="22">
        <f t="shared" si="0"/>
        <v>67.5</v>
      </c>
      <c r="N8" s="22">
        <f t="shared" si="0"/>
        <v>74.5</v>
      </c>
      <c r="O8" s="22">
        <f t="shared" si="0"/>
        <v>87</v>
      </c>
      <c r="P8" s="22">
        <f t="shared" si="0"/>
        <v>77</v>
      </c>
      <c r="Q8" s="22">
        <f t="shared" si="0"/>
        <v>90.5</v>
      </c>
      <c r="R8" s="22">
        <f t="shared" si="0"/>
        <v>75.5</v>
      </c>
      <c r="S8" s="22">
        <f t="shared" si="0"/>
        <v>964.5</v>
      </c>
      <c r="T8" s="22">
        <f t="shared" si="0"/>
        <v>74.192307692307693</v>
      </c>
      <c r="U8" s="22">
        <f>'9A Sem avr'!$H$4</f>
        <v>32</v>
      </c>
      <c r="V8" s="22">
        <f t="shared" si="0"/>
        <v>0</v>
      </c>
      <c r="W8" s="22">
        <f t="shared" si="0"/>
        <v>0</v>
      </c>
    </row>
    <row r="9" spans="1:26" ht="17.25" customHeight="1" thickBot="1" x14ac:dyDescent="0.3">
      <c r="A9" s="234">
        <v>2</v>
      </c>
      <c r="B9" s="219"/>
      <c r="C9" s="214">
        <v>14</v>
      </c>
      <c r="D9" s="231" t="s">
        <v>23</v>
      </c>
      <c r="E9" s="21" t="s">
        <v>21</v>
      </c>
      <c r="F9" s="22">
        <f>'9A Sem 1'!E5</f>
        <v>80</v>
      </c>
      <c r="G9" s="22">
        <f>'9A Sem 1'!F5</f>
        <v>83</v>
      </c>
      <c r="H9" s="22">
        <f>'9A Sem 1'!G5</f>
        <v>81</v>
      </c>
      <c r="I9" s="22">
        <f>'9A Sem 1'!H5</f>
        <v>67</v>
      </c>
      <c r="J9" s="22">
        <f>'9A Sem 1'!I5</f>
        <v>71</v>
      </c>
      <c r="K9" s="22">
        <f>'9A Sem 1'!J5</f>
        <v>70</v>
      </c>
      <c r="L9" s="22">
        <f>'9A Sem 1'!K5</f>
        <v>83</v>
      </c>
      <c r="M9" s="22">
        <f>'9A Sem 1'!L5</f>
        <v>65</v>
      </c>
      <c r="N9" s="22">
        <f>'9A Sem 1'!M5</f>
        <v>85</v>
      </c>
      <c r="O9" s="22">
        <f>'9A Sem 1'!N5</f>
        <v>84</v>
      </c>
      <c r="P9" s="22">
        <f>'9A Sem 1'!O5</f>
        <v>80</v>
      </c>
      <c r="Q9" s="22">
        <f>'9A Sem 1'!P5</f>
        <v>91</v>
      </c>
      <c r="R9" s="22">
        <f>'9A Sem 1'!Q5</f>
        <v>68</v>
      </c>
      <c r="S9" s="22">
        <f>'9A Sem 1'!R5</f>
        <v>1008</v>
      </c>
      <c r="T9" s="22">
        <f>'9A Sem 1'!S5</f>
        <v>77.538461538461533</v>
      </c>
      <c r="U9" s="22">
        <f>'9A Sem 1'!T5</f>
        <v>19</v>
      </c>
      <c r="V9" s="36">
        <f>'9A Sem 1'!U5</f>
        <v>0</v>
      </c>
      <c r="W9" s="36">
        <f>'9A Sem 1'!V5</f>
        <v>0</v>
      </c>
    </row>
    <row r="10" spans="1:26" ht="17.25" customHeight="1" thickBot="1" x14ac:dyDescent="0.3">
      <c r="A10" s="234"/>
      <c r="B10" s="227"/>
      <c r="C10" s="229">
        <v>14</v>
      </c>
      <c r="D10" s="232" t="s">
        <v>23</v>
      </c>
      <c r="E10" s="21" t="s">
        <v>22</v>
      </c>
      <c r="F10" s="22">
        <f>'9A Sem 2'!E5</f>
        <v>83</v>
      </c>
      <c r="G10" s="22">
        <f>'9A Sem 2'!F5</f>
        <v>79</v>
      </c>
      <c r="H10" s="22">
        <f>'9A Sem 2'!G5</f>
        <v>84</v>
      </c>
      <c r="I10" s="22">
        <f>'9A Sem 2'!H5</f>
        <v>70</v>
      </c>
      <c r="J10" s="22">
        <f>'9A Sem 2'!I5</f>
        <v>75</v>
      </c>
      <c r="K10" s="22">
        <f>'9A Sem 2'!J5</f>
        <v>87</v>
      </c>
      <c r="L10" s="22">
        <f>'9A Sem 2'!K5</f>
        <v>81</v>
      </c>
      <c r="M10" s="22">
        <f>'9A Sem 2'!L5</f>
        <v>89</v>
      </c>
      <c r="N10" s="22">
        <f>'9A Sem 2'!M5</f>
        <v>86</v>
      </c>
      <c r="O10" s="22">
        <f>'9A Sem 2'!N5</f>
        <v>94</v>
      </c>
      <c r="P10" s="22">
        <f>'9A Sem 2'!O5</f>
        <v>91</v>
      </c>
      <c r="Q10" s="22">
        <f>'9A Sem 2'!P5</f>
        <v>90</v>
      </c>
      <c r="R10" s="22">
        <f>'9A Sem 2'!Q5</f>
        <v>64</v>
      </c>
      <c r="S10" s="22">
        <f>'9A Sem 2'!R5</f>
        <v>1073</v>
      </c>
      <c r="T10" s="22">
        <f>'9A Sem 2'!S5</f>
        <v>82.538461538461533</v>
      </c>
      <c r="U10" s="22">
        <f>'9A Sem 2'!T5</f>
        <v>11</v>
      </c>
      <c r="V10" s="36">
        <f>'9A Sem 2'!U5</f>
        <v>0</v>
      </c>
      <c r="W10" s="36">
        <f>'9A Sem 2'!V5</f>
        <v>0</v>
      </c>
    </row>
    <row r="11" spans="1:26" ht="17.25" customHeight="1" thickBot="1" x14ac:dyDescent="0.3">
      <c r="A11" s="234"/>
      <c r="B11" s="228"/>
      <c r="C11" s="230">
        <v>14</v>
      </c>
      <c r="D11" s="233" t="s">
        <v>23</v>
      </c>
      <c r="E11" s="21" t="s">
        <v>16</v>
      </c>
      <c r="F11" s="22">
        <f>AVERAGE(F9:F10)</f>
        <v>81.5</v>
      </c>
      <c r="G11" s="22">
        <f t="shared" ref="G11:W11" si="1">AVERAGE(G9:G10)</f>
        <v>81</v>
      </c>
      <c r="H11" s="22">
        <f t="shared" si="1"/>
        <v>82.5</v>
      </c>
      <c r="I11" s="22">
        <f t="shared" si="1"/>
        <v>68.5</v>
      </c>
      <c r="J11" s="22">
        <f t="shared" si="1"/>
        <v>73</v>
      </c>
      <c r="K11" s="22">
        <f t="shared" si="1"/>
        <v>78.5</v>
      </c>
      <c r="L11" s="22">
        <f t="shared" si="1"/>
        <v>82</v>
      </c>
      <c r="M11" s="22">
        <f t="shared" si="1"/>
        <v>77</v>
      </c>
      <c r="N11" s="22">
        <f t="shared" si="1"/>
        <v>85.5</v>
      </c>
      <c r="O11" s="22">
        <f t="shared" si="1"/>
        <v>89</v>
      </c>
      <c r="P11" s="22">
        <f t="shared" si="1"/>
        <v>85.5</v>
      </c>
      <c r="Q11" s="22">
        <f t="shared" si="1"/>
        <v>90.5</v>
      </c>
      <c r="R11" s="22">
        <f t="shared" si="1"/>
        <v>66</v>
      </c>
      <c r="S11" s="22">
        <f t="shared" si="1"/>
        <v>1040.5</v>
      </c>
      <c r="T11" s="22">
        <f t="shared" si="1"/>
        <v>80.038461538461533</v>
      </c>
      <c r="U11" s="22">
        <f>'9A Sem avr'!$H$5</f>
        <v>18</v>
      </c>
      <c r="V11" s="22">
        <f t="shared" si="1"/>
        <v>0</v>
      </c>
      <c r="W11" s="22">
        <f t="shared" si="1"/>
        <v>0</v>
      </c>
    </row>
    <row r="12" spans="1:26" ht="17.25" customHeight="1" thickBot="1" x14ac:dyDescent="0.3">
      <c r="A12" s="241">
        <v>3</v>
      </c>
      <c r="B12" s="219"/>
      <c r="C12" s="214">
        <v>15</v>
      </c>
      <c r="D12" s="231" t="s">
        <v>20</v>
      </c>
      <c r="E12" s="21" t="s">
        <v>21</v>
      </c>
      <c r="F12" s="22">
        <f>'9A Sem 1'!E6</f>
        <v>89</v>
      </c>
      <c r="G12" s="22">
        <f>'9A Sem 1'!F6</f>
        <v>83</v>
      </c>
      <c r="H12" s="22">
        <f>'9A Sem 1'!G6</f>
        <v>80</v>
      </c>
      <c r="I12" s="22">
        <f>'9A Sem 1'!H6</f>
        <v>70</v>
      </c>
      <c r="J12" s="22">
        <f>'9A Sem 1'!I6</f>
        <v>71</v>
      </c>
      <c r="K12" s="22">
        <f>'9A Sem 1'!J6</f>
        <v>70</v>
      </c>
      <c r="L12" s="22">
        <f>'9A Sem 1'!K6</f>
        <v>77</v>
      </c>
      <c r="M12" s="22">
        <f>'9A Sem 1'!L6</f>
        <v>66</v>
      </c>
      <c r="N12" s="22">
        <f>'9A Sem 1'!M6</f>
        <v>91</v>
      </c>
      <c r="O12" s="22">
        <f>'9A Sem 1'!N6</f>
        <v>84</v>
      </c>
      <c r="P12" s="22">
        <f>'9A Sem 1'!O6</f>
        <v>80</v>
      </c>
      <c r="Q12" s="22">
        <f>'9A Sem 1'!P6</f>
        <v>86</v>
      </c>
      <c r="R12" s="22">
        <f>'9A Sem 1'!Q6</f>
        <v>89</v>
      </c>
      <c r="S12" s="22">
        <f>'9A Sem 1'!R6</f>
        <v>1036</v>
      </c>
      <c r="T12" s="22">
        <f>'9A Sem 1'!S6</f>
        <v>79.692307692307693</v>
      </c>
      <c r="U12" s="22">
        <f>'9A Sem 1'!T6</f>
        <v>17</v>
      </c>
      <c r="V12" s="36">
        <f>'9A Sem 1'!U6</f>
        <v>0</v>
      </c>
      <c r="W12" s="36">
        <f>'9A Sem 1'!V6</f>
        <v>0</v>
      </c>
    </row>
    <row r="13" spans="1:26" ht="17.25" customHeight="1" thickBot="1" x14ac:dyDescent="0.3">
      <c r="A13" s="241"/>
      <c r="B13" s="227"/>
      <c r="C13" s="229">
        <v>15</v>
      </c>
      <c r="D13" s="232" t="s">
        <v>20</v>
      </c>
      <c r="E13" s="21" t="s">
        <v>22</v>
      </c>
      <c r="F13" s="22">
        <f>'9A Sem 2'!E6</f>
        <v>85</v>
      </c>
      <c r="G13" s="22">
        <f>'9A Sem 2'!F6</f>
        <v>80</v>
      </c>
      <c r="H13" s="22">
        <f>'9A Sem 2'!G6</f>
        <v>72</v>
      </c>
      <c r="I13" s="22">
        <f>'9A Sem 2'!H6</f>
        <v>63</v>
      </c>
      <c r="J13" s="22">
        <f>'9A Sem 2'!I6</f>
        <v>72</v>
      </c>
      <c r="K13" s="22">
        <f>'9A Sem 2'!J6</f>
        <v>81</v>
      </c>
      <c r="L13" s="22">
        <f>'9A Sem 2'!K6</f>
        <v>72</v>
      </c>
      <c r="M13" s="22">
        <f>'9A Sem 2'!L6</f>
        <v>87</v>
      </c>
      <c r="N13" s="22">
        <f>'9A Sem 2'!M6</f>
        <v>84</v>
      </c>
      <c r="O13" s="22">
        <f>'9A Sem 2'!N6</f>
        <v>92</v>
      </c>
      <c r="P13" s="22">
        <f>'9A Sem 2'!O6</f>
        <v>77</v>
      </c>
      <c r="Q13" s="22">
        <f>'9A Sem 2'!P6</f>
        <v>91</v>
      </c>
      <c r="R13" s="22">
        <f>'9A Sem 2'!Q6</f>
        <v>68</v>
      </c>
      <c r="S13" s="22">
        <f>'9A Sem 2'!R6</f>
        <v>1024</v>
      </c>
      <c r="T13" s="22">
        <f>'9A Sem 2'!S6</f>
        <v>78.769230769230774</v>
      </c>
      <c r="U13" s="22">
        <f>'9A Sem 2'!T6</f>
        <v>22</v>
      </c>
      <c r="V13" s="36">
        <f>'9A Sem 2'!U6</f>
        <v>0</v>
      </c>
      <c r="W13" s="36">
        <f>'9A Sem 2'!V6</f>
        <v>0</v>
      </c>
    </row>
    <row r="14" spans="1:26" ht="17.25" customHeight="1" thickBot="1" x14ac:dyDescent="0.3">
      <c r="A14" s="241"/>
      <c r="B14" s="228"/>
      <c r="C14" s="230">
        <v>15</v>
      </c>
      <c r="D14" s="233" t="s">
        <v>20</v>
      </c>
      <c r="E14" s="21" t="s">
        <v>16</v>
      </c>
      <c r="F14" s="22">
        <f>AVERAGE(F12:F13)</f>
        <v>87</v>
      </c>
      <c r="G14" s="22">
        <f t="shared" ref="G14:W14" si="2">AVERAGE(G12:G13)</f>
        <v>81.5</v>
      </c>
      <c r="H14" s="22">
        <f t="shared" si="2"/>
        <v>76</v>
      </c>
      <c r="I14" s="22">
        <f t="shared" si="2"/>
        <v>66.5</v>
      </c>
      <c r="J14" s="22">
        <f t="shared" si="2"/>
        <v>71.5</v>
      </c>
      <c r="K14" s="22">
        <f t="shared" si="2"/>
        <v>75.5</v>
      </c>
      <c r="L14" s="22">
        <f t="shared" si="2"/>
        <v>74.5</v>
      </c>
      <c r="M14" s="22">
        <f t="shared" si="2"/>
        <v>76.5</v>
      </c>
      <c r="N14" s="22">
        <f t="shared" si="2"/>
        <v>87.5</v>
      </c>
      <c r="O14" s="22">
        <f t="shared" si="2"/>
        <v>88</v>
      </c>
      <c r="P14" s="22">
        <f t="shared" si="2"/>
        <v>78.5</v>
      </c>
      <c r="Q14" s="22">
        <f t="shared" si="2"/>
        <v>88.5</v>
      </c>
      <c r="R14" s="22">
        <f t="shared" si="2"/>
        <v>78.5</v>
      </c>
      <c r="S14" s="22">
        <f t="shared" si="2"/>
        <v>1030</v>
      </c>
      <c r="T14" s="22">
        <f t="shared" si="2"/>
        <v>79.230769230769226</v>
      </c>
      <c r="U14" s="22">
        <f>'9A Sem avr'!$H$6</f>
        <v>19</v>
      </c>
      <c r="V14" s="22">
        <f t="shared" si="2"/>
        <v>0</v>
      </c>
      <c r="W14" s="22">
        <f t="shared" si="2"/>
        <v>0</v>
      </c>
    </row>
    <row r="15" spans="1:26" ht="17.25" customHeight="1" thickBot="1" x14ac:dyDescent="0.3">
      <c r="A15" s="234">
        <v>4</v>
      </c>
      <c r="B15" s="219"/>
      <c r="C15" s="235">
        <v>15</v>
      </c>
      <c r="D15" s="238" t="s">
        <v>20</v>
      </c>
      <c r="E15" s="21" t="s">
        <v>21</v>
      </c>
      <c r="F15" s="22">
        <f>'9A Sem 1'!E7</f>
        <v>78</v>
      </c>
      <c r="G15" s="22">
        <f>'9A Sem 1'!F7</f>
        <v>72</v>
      </c>
      <c r="H15" s="22">
        <f>'9A Sem 1'!G7</f>
        <v>51</v>
      </c>
      <c r="I15" s="22">
        <f>'9A Sem 1'!H7</f>
        <v>50</v>
      </c>
      <c r="J15" s="22">
        <f>'9A Sem 1'!I7</f>
        <v>73</v>
      </c>
      <c r="K15" s="22">
        <f>'9A Sem 1'!J7</f>
        <v>53</v>
      </c>
      <c r="L15" s="22">
        <f>'9A Sem 1'!K7</f>
        <v>68</v>
      </c>
      <c r="M15" s="22">
        <f>'9A Sem 1'!L7</f>
        <v>64</v>
      </c>
      <c r="N15" s="22">
        <f>'9A Sem 1'!M7</f>
        <v>76</v>
      </c>
      <c r="O15" s="22">
        <f>'9A Sem 1'!N7</f>
        <v>75</v>
      </c>
      <c r="P15" s="22">
        <f>'9A Sem 1'!O7</f>
        <v>63</v>
      </c>
      <c r="Q15" s="22">
        <f>'9A Sem 1'!P7</f>
        <v>92</v>
      </c>
      <c r="R15" s="22">
        <f>'9A Sem 1'!Q7</f>
        <v>65</v>
      </c>
      <c r="S15" s="22">
        <f>'9A Sem 1'!R7</f>
        <v>880</v>
      </c>
      <c r="T15" s="22">
        <f>'9A Sem 1'!S7</f>
        <v>67.692307692307693</v>
      </c>
      <c r="U15" s="22">
        <f>'9A Sem 1'!T7</f>
        <v>44</v>
      </c>
      <c r="V15" s="36">
        <f>'9A Sem 1'!U7</f>
        <v>0</v>
      </c>
      <c r="W15" s="36">
        <f>'9A Sem 1'!V7</f>
        <v>0</v>
      </c>
    </row>
    <row r="16" spans="1:26" ht="17.25" customHeight="1" thickBot="1" x14ac:dyDescent="0.3">
      <c r="A16" s="234"/>
      <c r="B16" s="227"/>
      <c r="C16" s="236">
        <v>15</v>
      </c>
      <c r="D16" s="239" t="s">
        <v>20</v>
      </c>
      <c r="E16" s="21" t="s">
        <v>22</v>
      </c>
      <c r="F16" s="22">
        <f>'9A Sem 2'!E7</f>
        <v>81</v>
      </c>
      <c r="G16" s="22">
        <f>'9A Sem 2'!F7</f>
        <v>70</v>
      </c>
      <c r="H16" s="22">
        <f>'9A Sem 2'!G7</f>
        <v>50</v>
      </c>
      <c r="I16" s="22">
        <f>'9A Sem 2'!H7</f>
        <v>42</v>
      </c>
      <c r="J16" s="22">
        <f>'9A Sem 2'!I7</f>
        <v>47</v>
      </c>
      <c r="K16" s="22">
        <f>'9A Sem 2'!J7</f>
        <v>68</v>
      </c>
      <c r="L16" s="22">
        <f>'9A Sem 2'!K7</f>
        <v>62</v>
      </c>
      <c r="M16" s="22">
        <f>'9A Sem 2'!L7</f>
        <v>73</v>
      </c>
      <c r="N16" s="22">
        <f>'9A Sem 2'!M7</f>
        <v>72</v>
      </c>
      <c r="O16" s="22">
        <f>'9A Sem 2'!N7</f>
        <v>76</v>
      </c>
      <c r="P16" s="22">
        <f>'9A Sem 2'!O7</f>
        <v>68</v>
      </c>
      <c r="Q16" s="22">
        <f>'9A Sem 2'!P7</f>
        <v>85</v>
      </c>
      <c r="R16" s="22">
        <f>'9A Sem 2'!Q7</f>
        <v>67</v>
      </c>
      <c r="S16" s="22">
        <f>'9A Sem 2'!R7</f>
        <v>861</v>
      </c>
      <c r="T16" s="22">
        <f>'9A Sem 2'!S7</f>
        <v>66.230769230769226</v>
      </c>
      <c r="U16" s="22">
        <f>'9A Sem 2'!T7</f>
        <v>45</v>
      </c>
      <c r="V16" s="36">
        <f>'9A Sem 2'!U7</f>
        <v>0</v>
      </c>
      <c r="W16" s="36">
        <f>'9A Sem 2'!V7</f>
        <v>0</v>
      </c>
    </row>
    <row r="17" spans="1:23" ht="17.25" customHeight="1" thickBot="1" x14ac:dyDescent="0.3">
      <c r="A17" s="234"/>
      <c r="B17" s="228"/>
      <c r="C17" s="237">
        <v>15</v>
      </c>
      <c r="D17" s="240" t="s">
        <v>20</v>
      </c>
      <c r="E17" s="21" t="s">
        <v>16</v>
      </c>
      <c r="F17" s="22">
        <f>AVERAGE(F15:F16)</f>
        <v>79.5</v>
      </c>
      <c r="G17" s="22">
        <f t="shared" ref="G17:W17" si="3">AVERAGE(G15:G16)</f>
        <v>71</v>
      </c>
      <c r="H17" s="22">
        <f t="shared" si="3"/>
        <v>50.5</v>
      </c>
      <c r="I17" s="22">
        <f t="shared" si="3"/>
        <v>46</v>
      </c>
      <c r="J17" s="22">
        <f t="shared" si="3"/>
        <v>60</v>
      </c>
      <c r="K17" s="22">
        <f t="shared" si="3"/>
        <v>60.5</v>
      </c>
      <c r="L17" s="22">
        <f t="shared" si="3"/>
        <v>65</v>
      </c>
      <c r="M17" s="22">
        <f t="shared" si="3"/>
        <v>68.5</v>
      </c>
      <c r="N17" s="22">
        <f t="shared" si="3"/>
        <v>74</v>
      </c>
      <c r="O17" s="22">
        <f t="shared" si="3"/>
        <v>75.5</v>
      </c>
      <c r="P17" s="22">
        <f t="shared" si="3"/>
        <v>65.5</v>
      </c>
      <c r="Q17" s="22">
        <f t="shared" si="3"/>
        <v>88.5</v>
      </c>
      <c r="R17" s="22">
        <f t="shared" si="3"/>
        <v>66</v>
      </c>
      <c r="S17" s="22">
        <f t="shared" si="3"/>
        <v>870.5</v>
      </c>
      <c r="T17" s="22">
        <f t="shared" si="3"/>
        <v>66.961538461538453</v>
      </c>
      <c r="U17" s="22">
        <f>'9A Sem avr'!$H$7</f>
        <v>44</v>
      </c>
      <c r="V17" s="22">
        <f t="shared" si="3"/>
        <v>0</v>
      </c>
      <c r="W17" s="22">
        <f t="shared" si="3"/>
        <v>0</v>
      </c>
    </row>
    <row r="18" spans="1:23" ht="17.25" customHeight="1" thickBot="1" x14ac:dyDescent="0.3">
      <c r="A18" s="234">
        <v>5</v>
      </c>
      <c r="B18" s="219"/>
      <c r="C18" s="214">
        <v>15</v>
      </c>
      <c r="D18" s="231" t="s">
        <v>23</v>
      </c>
      <c r="E18" s="21" t="s">
        <v>21</v>
      </c>
      <c r="F18" s="22">
        <f>'9A Sem 1'!E8</f>
        <v>72</v>
      </c>
      <c r="G18" s="22">
        <f>'9A Sem 1'!F8</f>
        <v>89</v>
      </c>
      <c r="H18" s="22">
        <f>'9A Sem 1'!G8</f>
        <v>65</v>
      </c>
      <c r="I18" s="22">
        <f>'9A Sem 1'!H8</f>
        <v>69</v>
      </c>
      <c r="J18" s="22">
        <f>'9A Sem 1'!I8</f>
        <v>73</v>
      </c>
      <c r="K18" s="22">
        <f>'9A Sem 1'!J8</f>
        <v>67</v>
      </c>
      <c r="L18" s="22">
        <f>'9A Sem 1'!K8</f>
        <v>80</v>
      </c>
      <c r="M18" s="22">
        <f>'9A Sem 1'!L8</f>
        <v>65</v>
      </c>
      <c r="N18" s="22">
        <f>'9A Sem 1'!M8</f>
        <v>87</v>
      </c>
      <c r="O18" s="22">
        <f>'9A Sem 1'!N8</f>
        <v>79</v>
      </c>
      <c r="P18" s="22">
        <f>'9A Sem 1'!O8</f>
        <v>80</v>
      </c>
      <c r="Q18" s="22">
        <f>'9A Sem 1'!P8</f>
        <v>98</v>
      </c>
      <c r="R18" s="22">
        <f>'9A Sem 1'!Q8</f>
        <v>71</v>
      </c>
      <c r="S18" s="22">
        <f>'9A Sem 1'!R8</f>
        <v>995</v>
      </c>
      <c r="T18" s="22">
        <f>'9A Sem 1'!S8</f>
        <v>76.538461538461533</v>
      </c>
      <c r="U18" s="22">
        <f>'9A Sem 1'!T8</f>
        <v>23</v>
      </c>
      <c r="V18" s="36">
        <f>'9A Sem 1'!U8</f>
        <v>0</v>
      </c>
      <c r="W18" s="36">
        <f>'9A Sem 1'!V8</f>
        <v>0</v>
      </c>
    </row>
    <row r="19" spans="1:23" ht="17.25" customHeight="1" thickBot="1" x14ac:dyDescent="0.3">
      <c r="A19" s="234"/>
      <c r="B19" s="227"/>
      <c r="C19" s="229">
        <v>15</v>
      </c>
      <c r="D19" s="232" t="s">
        <v>23</v>
      </c>
      <c r="E19" s="21" t="s">
        <v>22</v>
      </c>
      <c r="F19" s="22">
        <f>'9A Sem 2'!E8</f>
        <v>79</v>
      </c>
      <c r="G19" s="22">
        <f>'9A Sem 2'!F8</f>
        <v>75</v>
      </c>
      <c r="H19" s="22">
        <f>'9A Sem 2'!G8</f>
        <v>77</v>
      </c>
      <c r="I19" s="22">
        <f>'9A Sem 2'!H8</f>
        <v>72</v>
      </c>
      <c r="J19" s="22">
        <f>'9A Sem 2'!I8</f>
        <v>78</v>
      </c>
      <c r="K19" s="22">
        <f>'9A Sem 2'!J8</f>
        <v>82</v>
      </c>
      <c r="L19" s="22">
        <f>'9A Sem 2'!K8</f>
        <v>71</v>
      </c>
      <c r="M19" s="22">
        <f>'9A Sem 2'!L8</f>
        <v>83</v>
      </c>
      <c r="N19" s="22">
        <f>'9A Sem 2'!M8</f>
        <v>76</v>
      </c>
      <c r="O19" s="22">
        <f>'9A Sem 2'!N8</f>
        <v>86</v>
      </c>
      <c r="P19" s="22">
        <f>'9A Sem 2'!O8</f>
        <v>75</v>
      </c>
      <c r="Q19" s="22">
        <f>'9A Sem 2'!P8</f>
        <v>86</v>
      </c>
      <c r="R19" s="22">
        <f>'9A Sem 2'!Q8</f>
        <v>77</v>
      </c>
      <c r="S19" s="22">
        <f>'9A Sem 2'!R8</f>
        <v>1017</v>
      </c>
      <c r="T19" s="22">
        <f>'9A Sem 2'!S8</f>
        <v>78.230769230769226</v>
      </c>
      <c r="U19" s="22">
        <f>'9A Sem 2'!T8</f>
        <v>24</v>
      </c>
      <c r="V19" s="36">
        <f>'9A Sem 2'!U8</f>
        <v>0</v>
      </c>
      <c r="W19" s="36">
        <f>'9A Sem 2'!V8</f>
        <v>0</v>
      </c>
    </row>
    <row r="20" spans="1:23" ht="17.25" customHeight="1" thickBot="1" x14ac:dyDescent="0.3">
      <c r="A20" s="234"/>
      <c r="B20" s="228"/>
      <c r="C20" s="230">
        <v>15</v>
      </c>
      <c r="D20" s="233" t="s">
        <v>23</v>
      </c>
      <c r="E20" s="21" t="s">
        <v>16</v>
      </c>
      <c r="F20" s="22">
        <f>AVERAGE(F18:F19)</f>
        <v>75.5</v>
      </c>
      <c r="G20" s="22">
        <f t="shared" ref="G20:W20" si="4">AVERAGE(G18:G19)</f>
        <v>82</v>
      </c>
      <c r="H20" s="22">
        <f t="shared" si="4"/>
        <v>71</v>
      </c>
      <c r="I20" s="22">
        <f t="shared" si="4"/>
        <v>70.5</v>
      </c>
      <c r="J20" s="22">
        <f t="shared" si="4"/>
        <v>75.5</v>
      </c>
      <c r="K20" s="22">
        <f t="shared" si="4"/>
        <v>74.5</v>
      </c>
      <c r="L20" s="22">
        <f t="shared" si="4"/>
        <v>75.5</v>
      </c>
      <c r="M20" s="22">
        <f t="shared" si="4"/>
        <v>74</v>
      </c>
      <c r="N20" s="22">
        <f t="shared" si="4"/>
        <v>81.5</v>
      </c>
      <c r="O20" s="22">
        <f t="shared" si="4"/>
        <v>82.5</v>
      </c>
      <c r="P20" s="22">
        <f t="shared" si="4"/>
        <v>77.5</v>
      </c>
      <c r="Q20" s="22">
        <f t="shared" si="4"/>
        <v>92</v>
      </c>
      <c r="R20" s="22">
        <f t="shared" si="4"/>
        <v>74</v>
      </c>
      <c r="S20" s="22">
        <f t="shared" si="4"/>
        <v>1006</v>
      </c>
      <c r="T20" s="22">
        <f t="shared" si="4"/>
        <v>77.384615384615387</v>
      </c>
      <c r="U20" s="22">
        <f>'9A Sem avr'!$H$8</f>
        <v>22</v>
      </c>
      <c r="V20" s="22">
        <f t="shared" si="4"/>
        <v>0</v>
      </c>
      <c r="W20" s="22">
        <f t="shared" si="4"/>
        <v>0</v>
      </c>
    </row>
    <row r="21" spans="1:23" ht="17.25" customHeight="1" thickBot="1" x14ac:dyDescent="0.3">
      <c r="A21" s="241">
        <v>6</v>
      </c>
      <c r="B21" s="219"/>
      <c r="C21" s="214">
        <v>14</v>
      </c>
      <c r="D21" s="231" t="s">
        <v>23</v>
      </c>
      <c r="E21" s="21" t="s">
        <v>21</v>
      </c>
      <c r="F21" s="22">
        <f>'9A Sem 1'!E9</f>
        <v>78</v>
      </c>
      <c r="G21" s="22">
        <f>'9A Sem 1'!F9</f>
        <v>71</v>
      </c>
      <c r="H21" s="22">
        <f>'9A Sem 1'!G9</f>
        <v>75</v>
      </c>
      <c r="I21" s="22">
        <f>'9A Sem 1'!H9</f>
        <v>77</v>
      </c>
      <c r="J21" s="22">
        <f>'9A Sem 1'!I9</f>
        <v>81</v>
      </c>
      <c r="K21" s="22">
        <f>'9A Sem 1'!J9</f>
        <v>75</v>
      </c>
      <c r="L21" s="22">
        <f>'9A Sem 1'!K9</f>
        <v>82</v>
      </c>
      <c r="M21" s="22">
        <f>'9A Sem 1'!L9</f>
        <v>79</v>
      </c>
      <c r="N21" s="22">
        <f>'9A Sem 1'!M9</f>
        <v>80</v>
      </c>
      <c r="O21" s="22">
        <f>'9A Sem 1'!N9</f>
        <v>81</v>
      </c>
      <c r="P21" s="22">
        <f>'9A Sem 1'!O9</f>
        <v>82</v>
      </c>
      <c r="Q21" s="22">
        <f>'9A Sem 1'!P9</f>
        <v>89</v>
      </c>
      <c r="R21" s="22">
        <f>'9A Sem 1'!Q9</f>
        <v>95</v>
      </c>
      <c r="S21" s="22">
        <f>'9A Sem 1'!R9</f>
        <v>1045</v>
      </c>
      <c r="T21" s="22">
        <f>'9A Sem 1'!S9</f>
        <v>80.384615384615387</v>
      </c>
      <c r="U21" s="22">
        <f>'9A Sem 1'!T9</f>
        <v>15</v>
      </c>
      <c r="V21" s="36">
        <f>'9A Sem 1'!U9</f>
        <v>0</v>
      </c>
      <c r="W21" s="36">
        <f>'9A Sem 1'!V9</f>
        <v>0</v>
      </c>
    </row>
    <row r="22" spans="1:23" ht="17.25" customHeight="1" thickBot="1" x14ac:dyDescent="0.3">
      <c r="A22" s="241"/>
      <c r="B22" s="227"/>
      <c r="C22" s="229">
        <v>14</v>
      </c>
      <c r="D22" s="232" t="s">
        <v>23</v>
      </c>
      <c r="E22" s="21" t="s">
        <v>22</v>
      </c>
      <c r="F22" s="22">
        <f>'9A Sem 2'!E9</f>
        <v>86</v>
      </c>
      <c r="G22" s="22">
        <f>'9A Sem 2'!F9</f>
        <v>65</v>
      </c>
      <c r="H22" s="22">
        <f>'9A Sem 2'!G9</f>
        <v>84</v>
      </c>
      <c r="I22" s="22">
        <f>'9A Sem 2'!H9</f>
        <v>76</v>
      </c>
      <c r="J22" s="22">
        <f>'9A Sem 2'!I9</f>
        <v>72</v>
      </c>
      <c r="K22" s="22">
        <f>'9A Sem 2'!J9</f>
        <v>83</v>
      </c>
      <c r="L22" s="22">
        <f>'9A Sem 2'!K9</f>
        <v>87</v>
      </c>
      <c r="M22" s="22">
        <f>'9A Sem 2'!L9</f>
        <v>81</v>
      </c>
      <c r="N22" s="22">
        <f>'9A Sem 2'!M9</f>
        <v>83</v>
      </c>
      <c r="O22" s="22">
        <f>'9A Sem 2'!N9</f>
        <v>83</v>
      </c>
      <c r="P22" s="22">
        <f>'9A Sem 2'!O9</f>
        <v>81</v>
      </c>
      <c r="Q22" s="22">
        <f>'9A Sem 2'!P9</f>
        <v>91</v>
      </c>
      <c r="R22" s="22">
        <f>'9A Sem 2'!Q9</f>
        <v>98</v>
      </c>
      <c r="S22" s="22">
        <f>'9A Sem 2'!R9</f>
        <v>1070</v>
      </c>
      <c r="T22" s="22">
        <f>'9A Sem 2'!S9</f>
        <v>82.307692307692307</v>
      </c>
      <c r="U22" s="22">
        <f>'9A Sem 2'!T9</f>
        <v>13</v>
      </c>
      <c r="V22" s="36">
        <f>'9A Sem 2'!U9</f>
        <v>0</v>
      </c>
      <c r="W22" s="36">
        <f>'9A Sem 2'!V9</f>
        <v>0</v>
      </c>
    </row>
    <row r="23" spans="1:23" ht="17.25" customHeight="1" thickBot="1" x14ac:dyDescent="0.3">
      <c r="A23" s="241"/>
      <c r="B23" s="228"/>
      <c r="C23" s="230">
        <v>14</v>
      </c>
      <c r="D23" s="233" t="s">
        <v>23</v>
      </c>
      <c r="E23" s="21" t="s">
        <v>16</v>
      </c>
      <c r="F23" s="22">
        <f>AVERAGE(F21:F22)</f>
        <v>82</v>
      </c>
      <c r="G23" s="22">
        <f t="shared" ref="G23:W23" si="5">AVERAGE(G21:G22)</f>
        <v>68</v>
      </c>
      <c r="H23" s="22">
        <f t="shared" si="5"/>
        <v>79.5</v>
      </c>
      <c r="I23" s="22">
        <f t="shared" si="5"/>
        <v>76.5</v>
      </c>
      <c r="J23" s="22">
        <f t="shared" si="5"/>
        <v>76.5</v>
      </c>
      <c r="K23" s="22">
        <f t="shared" si="5"/>
        <v>79</v>
      </c>
      <c r="L23" s="22">
        <f t="shared" si="5"/>
        <v>84.5</v>
      </c>
      <c r="M23" s="22">
        <f t="shared" si="5"/>
        <v>80</v>
      </c>
      <c r="N23" s="22">
        <f t="shared" si="5"/>
        <v>81.5</v>
      </c>
      <c r="O23" s="22">
        <f t="shared" si="5"/>
        <v>82</v>
      </c>
      <c r="P23" s="22">
        <f t="shared" si="5"/>
        <v>81.5</v>
      </c>
      <c r="Q23" s="22">
        <f t="shared" si="5"/>
        <v>90</v>
      </c>
      <c r="R23" s="22">
        <f t="shared" si="5"/>
        <v>96.5</v>
      </c>
      <c r="S23" s="22">
        <f t="shared" si="5"/>
        <v>1057.5</v>
      </c>
      <c r="T23" s="22">
        <f t="shared" si="5"/>
        <v>81.34615384615384</v>
      </c>
      <c r="U23" s="22">
        <f>'9A Sem avr'!$H$9</f>
        <v>15</v>
      </c>
      <c r="V23" s="22">
        <f t="shared" si="5"/>
        <v>0</v>
      </c>
      <c r="W23" s="22">
        <f t="shared" si="5"/>
        <v>0</v>
      </c>
    </row>
    <row r="24" spans="1:23" ht="17.25" customHeight="1" thickBot="1" x14ac:dyDescent="0.3">
      <c r="A24" s="234">
        <v>7</v>
      </c>
      <c r="B24" s="219"/>
      <c r="C24" s="214">
        <v>14</v>
      </c>
      <c r="D24" s="231" t="s">
        <v>23</v>
      </c>
      <c r="E24" s="21" t="s">
        <v>21</v>
      </c>
      <c r="F24" s="22">
        <f>'9A Sem 1'!E10</f>
        <v>65</v>
      </c>
      <c r="G24" s="22">
        <f>'9A Sem 1'!F10</f>
        <v>50</v>
      </c>
      <c r="H24" s="22">
        <f>'9A Sem 1'!G10</f>
        <v>56</v>
      </c>
      <c r="I24" s="22">
        <f>'9A Sem 1'!H10</f>
        <v>43</v>
      </c>
      <c r="J24" s="22">
        <f>'9A Sem 1'!I10</f>
        <v>48</v>
      </c>
      <c r="K24" s="22">
        <f>'9A Sem 1'!J10</f>
        <v>35</v>
      </c>
      <c r="L24" s="22">
        <f>'9A Sem 1'!K10</f>
        <v>66</v>
      </c>
      <c r="M24" s="22">
        <f>'9A Sem 1'!L10</f>
        <v>48</v>
      </c>
      <c r="N24" s="22">
        <f>'9A Sem 1'!M10</f>
        <v>57</v>
      </c>
      <c r="O24" s="22">
        <f>'9A Sem 1'!N10</f>
        <v>52</v>
      </c>
      <c r="P24" s="22">
        <f>'9A Sem 1'!O10</f>
        <v>56</v>
      </c>
      <c r="Q24" s="22">
        <f>'9A Sem 1'!P10</f>
        <v>70</v>
      </c>
      <c r="R24" s="22">
        <f>'9A Sem 1'!Q10</f>
        <v>82</v>
      </c>
      <c r="S24" s="22">
        <f>'9A Sem 1'!R10</f>
        <v>728</v>
      </c>
      <c r="T24" s="22">
        <f>'9A Sem 1'!S10</f>
        <v>56</v>
      </c>
      <c r="U24" s="22">
        <f>'9A Sem 1'!T10</f>
        <v>54</v>
      </c>
      <c r="V24" s="36">
        <f>'9A Sem 1'!U10</f>
        <v>0</v>
      </c>
      <c r="W24" s="36">
        <f>'9A Sem 1'!V10</f>
        <v>0</v>
      </c>
    </row>
    <row r="25" spans="1:23" ht="17.25" customHeight="1" thickBot="1" x14ac:dyDescent="0.3">
      <c r="A25" s="234"/>
      <c r="B25" s="227"/>
      <c r="C25" s="229">
        <v>14</v>
      </c>
      <c r="D25" s="232" t="s">
        <v>23</v>
      </c>
      <c r="E25" s="21" t="s">
        <v>22</v>
      </c>
      <c r="F25" s="22">
        <f>'9A Sem 2'!E10</f>
        <v>65</v>
      </c>
      <c r="G25" s="22">
        <f>'9A Sem 2'!F10</f>
        <v>51</v>
      </c>
      <c r="H25" s="22">
        <f>'9A Sem 2'!G10</f>
        <v>51</v>
      </c>
      <c r="I25" s="22">
        <f>'9A Sem 2'!H10</f>
        <v>52</v>
      </c>
      <c r="J25" s="22">
        <f>'9A Sem 2'!I10</f>
        <v>62</v>
      </c>
      <c r="K25" s="22">
        <f>'9A Sem 2'!J10</f>
        <v>52</v>
      </c>
      <c r="L25" s="22">
        <f>'9A Sem 2'!K10</f>
        <v>40</v>
      </c>
      <c r="M25" s="22">
        <f>'9A Sem 2'!L10</f>
        <v>69</v>
      </c>
      <c r="N25" s="22">
        <f>'9A Sem 2'!M10</f>
        <v>62</v>
      </c>
      <c r="O25" s="22">
        <f>'9A Sem 2'!N10</f>
        <v>83</v>
      </c>
      <c r="P25" s="22">
        <f>'9A Sem 2'!O10</f>
        <v>43</v>
      </c>
      <c r="Q25" s="22">
        <f>'9A Sem 2'!P10</f>
        <v>78</v>
      </c>
      <c r="R25" s="22">
        <f>'9A Sem 2'!Q10</f>
        <v>62</v>
      </c>
      <c r="S25" s="22">
        <f>'9A Sem 2'!R10</f>
        <v>770</v>
      </c>
      <c r="T25" s="22">
        <f>'9A Sem 2'!S10</f>
        <v>59.230769230769234</v>
      </c>
      <c r="U25" s="22">
        <f>'9A Sem 2'!T10</f>
        <v>51</v>
      </c>
      <c r="V25" s="36">
        <f>'9A Sem 2'!U10</f>
        <v>0</v>
      </c>
      <c r="W25" s="36">
        <f>'9A Sem 2'!V10</f>
        <v>0</v>
      </c>
    </row>
    <row r="26" spans="1:23" ht="17.25" customHeight="1" thickBot="1" x14ac:dyDescent="0.3">
      <c r="A26" s="234"/>
      <c r="B26" s="228"/>
      <c r="C26" s="230">
        <v>14</v>
      </c>
      <c r="D26" s="233" t="s">
        <v>23</v>
      </c>
      <c r="E26" s="21" t="s">
        <v>16</v>
      </c>
      <c r="F26" s="22">
        <f>AVERAGE(F24:F25)</f>
        <v>65</v>
      </c>
      <c r="G26" s="22">
        <f t="shared" ref="G26:W26" si="6">AVERAGE(G24:G25)</f>
        <v>50.5</v>
      </c>
      <c r="H26" s="22">
        <f t="shared" si="6"/>
        <v>53.5</v>
      </c>
      <c r="I26" s="22">
        <f t="shared" si="6"/>
        <v>47.5</v>
      </c>
      <c r="J26" s="22">
        <f t="shared" si="6"/>
        <v>55</v>
      </c>
      <c r="K26" s="22">
        <f t="shared" si="6"/>
        <v>43.5</v>
      </c>
      <c r="L26" s="22">
        <f t="shared" si="6"/>
        <v>53</v>
      </c>
      <c r="M26" s="22">
        <f t="shared" si="6"/>
        <v>58.5</v>
      </c>
      <c r="N26" s="22">
        <f t="shared" si="6"/>
        <v>59.5</v>
      </c>
      <c r="O26" s="22">
        <f t="shared" si="6"/>
        <v>67.5</v>
      </c>
      <c r="P26" s="22">
        <f t="shared" si="6"/>
        <v>49.5</v>
      </c>
      <c r="Q26" s="22">
        <f t="shared" si="6"/>
        <v>74</v>
      </c>
      <c r="R26" s="22">
        <f t="shared" si="6"/>
        <v>72</v>
      </c>
      <c r="S26" s="22">
        <f t="shared" si="6"/>
        <v>749</v>
      </c>
      <c r="T26" s="22">
        <f t="shared" si="6"/>
        <v>57.615384615384613</v>
      </c>
      <c r="U26" s="22">
        <f>'9A Sem avr'!$H$10</f>
        <v>52</v>
      </c>
      <c r="V26" s="22">
        <f t="shared" si="6"/>
        <v>0</v>
      </c>
      <c r="W26" s="22">
        <f t="shared" si="6"/>
        <v>0</v>
      </c>
    </row>
    <row r="27" spans="1:23" ht="17.25" customHeight="1" thickBot="1" x14ac:dyDescent="0.3">
      <c r="A27" s="234">
        <v>8</v>
      </c>
      <c r="B27" s="219"/>
      <c r="C27" s="214">
        <v>15</v>
      </c>
      <c r="D27" s="231" t="s">
        <v>23</v>
      </c>
      <c r="E27" s="21" t="s">
        <v>21</v>
      </c>
      <c r="F27" s="22">
        <f>'9A Sem 1'!E11</f>
        <v>88</v>
      </c>
      <c r="G27" s="22">
        <f>'9A Sem 1'!F11</f>
        <v>86</v>
      </c>
      <c r="H27" s="22">
        <f>'9A Sem 1'!G11</f>
        <v>75</v>
      </c>
      <c r="I27" s="22">
        <f>'9A Sem 1'!H11</f>
        <v>70</v>
      </c>
      <c r="J27" s="22">
        <f>'9A Sem 1'!I11</f>
        <v>80</v>
      </c>
      <c r="K27" s="22">
        <f>'9A Sem 1'!J11</f>
        <v>78</v>
      </c>
      <c r="L27" s="22">
        <f>'9A Sem 1'!K11</f>
        <v>78</v>
      </c>
      <c r="M27" s="22">
        <f>'9A Sem 1'!L11</f>
        <v>70</v>
      </c>
      <c r="N27" s="22">
        <f>'9A Sem 1'!M11</f>
        <v>87</v>
      </c>
      <c r="O27" s="22">
        <f>'9A Sem 1'!N11</f>
        <v>81</v>
      </c>
      <c r="P27" s="22">
        <f>'9A Sem 1'!O11</f>
        <v>82</v>
      </c>
      <c r="Q27" s="22">
        <f>'9A Sem 1'!P11</f>
        <v>90</v>
      </c>
      <c r="R27" s="22">
        <f>'9A Sem 1'!Q11</f>
        <v>81</v>
      </c>
      <c r="S27" s="22">
        <f>'9A Sem 1'!R11</f>
        <v>1046</v>
      </c>
      <c r="T27" s="22">
        <f>'9A Sem 1'!S11</f>
        <v>80.461538461538467</v>
      </c>
      <c r="U27" s="22">
        <f>'9A Sem 1'!T11</f>
        <v>14</v>
      </c>
      <c r="V27" s="36">
        <f>'9A Sem 1'!U11</f>
        <v>0</v>
      </c>
      <c r="W27" s="36">
        <f>'9A Sem 1'!V11</f>
        <v>0</v>
      </c>
    </row>
    <row r="28" spans="1:23" ht="17.25" customHeight="1" thickBot="1" x14ac:dyDescent="0.3">
      <c r="A28" s="234"/>
      <c r="B28" s="227"/>
      <c r="C28" s="229">
        <v>15</v>
      </c>
      <c r="D28" s="232" t="s">
        <v>23</v>
      </c>
      <c r="E28" s="21" t="s">
        <v>22</v>
      </c>
      <c r="F28" s="22">
        <f>'9A Sem 2'!E11</f>
        <v>89</v>
      </c>
      <c r="G28" s="22">
        <f>'9A Sem 2'!F11</f>
        <v>88</v>
      </c>
      <c r="H28" s="22">
        <f>'9A Sem 2'!G11</f>
        <v>86</v>
      </c>
      <c r="I28" s="22">
        <f>'9A Sem 2'!H11</f>
        <v>68</v>
      </c>
      <c r="J28" s="22">
        <f>'9A Sem 2'!I11</f>
        <v>71</v>
      </c>
      <c r="K28" s="22">
        <f>'9A Sem 2'!J11</f>
        <v>84</v>
      </c>
      <c r="L28" s="22">
        <f>'9A Sem 2'!K11</f>
        <v>73</v>
      </c>
      <c r="M28" s="22">
        <f>'9A Sem 2'!L11</f>
        <v>88</v>
      </c>
      <c r="N28" s="22">
        <f>'9A Sem 2'!M11</f>
        <v>85</v>
      </c>
      <c r="O28" s="22">
        <f>'9A Sem 2'!N11</f>
        <v>87</v>
      </c>
      <c r="P28" s="22">
        <f>'9A Sem 2'!O11</f>
        <v>82</v>
      </c>
      <c r="Q28" s="22">
        <f>'9A Sem 2'!P11</f>
        <v>83</v>
      </c>
      <c r="R28" s="22">
        <f>'9A Sem 2'!Q11</f>
        <v>64</v>
      </c>
      <c r="S28" s="22">
        <f>'9A Sem 2'!R11</f>
        <v>1048</v>
      </c>
      <c r="T28" s="22">
        <f>'9A Sem 2'!S11</f>
        <v>80.615384615384613</v>
      </c>
      <c r="U28" s="22">
        <f>'9A Sem 2'!T11</f>
        <v>18</v>
      </c>
      <c r="V28" s="36">
        <f>'9A Sem 2'!U11</f>
        <v>0</v>
      </c>
      <c r="W28" s="36">
        <f>'9A Sem 2'!V11</f>
        <v>0</v>
      </c>
    </row>
    <row r="29" spans="1:23" ht="17.25" customHeight="1" thickBot="1" x14ac:dyDescent="0.3">
      <c r="A29" s="234"/>
      <c r="B29" s="228"/>
      <c r="C29" s="230">
        <v>15</v>
      </c>
      <c r="D29" s="233" t="s">
        <v>23</v>
      </c>
      <c r="E29" s="21" t="s">
        <v>16</v>
      </c>
      <c r="F29" s="22">
        <f>AVERAGE(F27:F28)</f>
        <v>88.5</v>
      </c>
      <c r="G29" s="22">
        <f t="shared" ref="G29:W29" si="7">AVERAGE(G27:G28)</f>
        <v>87</v>
      </c>
      <c r="H29" s="22">
        <f t="shared" si="7"/>
        <v>80.5</v>
      </c>
      <c r="I29" s="22">
        <f t="shared" si="7"/>
        <v>69</v>
      </c>
      <c r="J29" s="22">
        <f t="shared" si="7"/>
        <v>75.5</v>
      </c>
      <c r="K29" s="22">
        <f t="shared" si="7"/>
        <v>81</v>
      </c>
      <c r="L29" s="22">
        <f t="shared" si="7"/>
        <v>75.5</v>
      </c>
      <c r="M29" s="22">
        <f t="shared" si="7"/>
        <v>79</v>
      </c>
      <c r="N29" s="22">
        <f t="shared" si="7"/>
        <v>86</v>
      </c>
      <c r="O29" s="22">
        <f t="shared" si="7"/>
        <v>84</v>
      </c>
      <c r="P29" s="22">
        <f t="shared" si="7"/>
        <v>82</v>
      </c>
      <c r="Q29" s="22">
        <f t="shared" si="7"/>
        <v>86.5</v>
      </c>
      <c r="R29" s="22">
        <f t="shared" si="7"/>
        <v>72.5</v>
      </c>
      <c r="S29" s="22">
        <f t="shared" si="7"/>
        <v>1047</v>
      </c>
      <c r="T29" s="22">
        <f t="shared" si="7"/>
        <v>80.538461538461547</v>
      </c>
      <c r="U29" s="22">
        <f>'9A Sem avr'!$H$11</f>
        <v>16</v>
      </c>
      <c r="V29" s="22">
        <f t="shared" si="7"/>
        <v>0</v>
      </c>
      <c r="W29" s="22">
        <f t="shared" si="7"/>
        <v>0</v>
      </c>
    </row>
    <row r="30" spans="1:23" ht="17.25" customHeight="1" thickBot="1" x14ac:dyDescent="0.3">
      <c r="A30" s="241">
        <v>9</v>
      </c>
      <c r="B30" s="219"/>
      <c r="C30" s="214">
        <v>15</v>
      </c>
      <c r="D30" s="231" t="s">
        <v>20</v>
      </c>
      <c r="E30" s="21" t="s">
        <v>21</v>
      </c>
      <c r="F30" s="22">
        <f>'9A Sem 1'!E12</f>
        <v>76</v>
      </c>
      <c r="G30" s="22">
        <f>'9A Sem 1'!F12</f>
        <v>73</v>
      </c>
      <c r="H30" s="22">
        <f>'9A Sem 1'!G12</f>
        <v>59</v>
      </c>
      <c r="I30" s="22">
        <f>'9A Sem 1'!H12</f>
        <v>50</v>
      </c>
      <c r="J30" s="22">
        <f>'9A Sem 1'!I12</f>
        <v>63</v>
      </c>
      <c r="K30" s="22">
        <f>'9A Sem 1'!J12</f>
        <v>50</v>
      </c>
      <c r="L30" s="22">
        <f>'9A Sem 1'!K12</f>
        <v>43</v>
      </c>
      <c r="M30" s="22">
        <f>'9A Sem 1'!L12</f>
        <v>49</v>
      </c>
      <c r="N30" s="22">
        <f>'9A Sem 1'!M12</f>
        <v>74</v>
      </c>
      <c r="O30" s="22">
        <f>'9A Sem 1'!N12</f>
        <v>81</v>
      </c>
      <c r="P30" s="22">
        <f>'9A Sem 1'!O12</f>
        <v>67</v>
      </c>
      <c r="Q30" s="22">
        <f>'9A Sem 1'!P12</f>
        <v>74</v>
      </c>
      <c r="R30" s="22">
        <f>'9A Sem 1'!Q12</f>
        <v>65</v>
      </c>
      <c r="S30" s="22">
        <f>'9A Sem 1'!R12</f>
        <v>824</v>
      </c>
      <c r="T30" s="22">
        <f>'9A Sem 1'!S12</f>
        <v>63.384615384615387</v>
      </c>
      <c r="U30" s="22">
        <f>'9A Sem 1'!T12</f>
        <v>47</v>
      </c>
      <c r="V30" s="36">
        <f>'9A Sem 1'!U12</f>
        <v>0</v>
      </c>
      <c r="W30" s="36">
        <f>'9A Sem 1'!V12</f>
        <v>0</v>
      </c>
    </row>
    <row r="31" spans="1:23" ht="17.25" customHeight="1" thickBot="1" x14ac:dyDescent="0.3">
      <c r="A31" s="241"/>
      <c r="B31" s="227"/>
      <c r="C31" s="229">
        <v>15</v>
      </c>
      <c r="D31" s="232" t="s">
        <v>20</v>
      </c>
      <c r="E31" s="21" t="s">
        <v>22</v>
      </c>
      <c r="F31" s="22">
        <f>'9A Sem 2'!E12</f>
        <v>73</v>
      </c>
      <c r="G31" s="22">
        <f>'9A Sem 2'!F12</f>
        <v>64</v>
      </c>
      <c r="H31" s="22">
        <f>'9A Sem 2'!G12</f>
        <v>45</v>
      </c>
      <c r="I31" s="22">
        <f>'9A Sem 2'!H12</f>
        <v>47</v>
      </c>
      <c r="J31" s="22">
        <f>'9A Sem 2'!I12</f>
        <v>57</v>
      </c>
      <c r="K31" s="22">
        <f>'9A Sem 2'!J12</f>
        <v>52</v>
      </c>
      <c r="L31" s="22">
        <f>'9A Sem 2'!K12</f>
        <v>43</v>
      </c>
      <c r="M31" s="22">
        <f>'9A Sem 2'!L12</f>
        <v>64</v>
      </c>
      <c r="N31" s="22">
        <f>'9A Sem 2'!M12</f>
        <v>65</v>
      </c>
      <c r="O31" s="22">
        <f>'9A Sem 2'!N12</f>
        <v>80</v>
      </c>
      <c r="P31" s="22">
        <f>'9A Sem 2'!O12</f>
        <v>66</v>
      </c>
      <c r="Q31" s="22">
        <f>'9A Sem 2'!P12</f>
        <v>82</v>
      </c>
      <c r="R31" s="22">
        <f>'9A Sem 2'!Q12</f>
        <v>60</v>
      </c>
      <c r="S31" s="22">
        <f>'9A Sem 2'!R12</f>
        <v>798</v>
      </c>
      <c r="T31" s="22">
        <f>'9A Sem 2'!S12</f>
        <v>61.384615384615387</v>
      </c>
      <c r="U31" s="22">
        <f>'9A Sem 2'!T12</f>
        <v>50</v>
      </c>
      <c r="V31" s="36">
        <f>'9A Sem 2'!U12</f>
        <v>0</v>
      </c>
      <c r="W31" s="36">
        <f>'9A Sem 2'!V12</f>
        <v>0</v>
      </c>
    </row>
    <row r="32" spans="1:23" ht="17.25" customHeight="1" thickBot="1" x14ac:dyDescent="0.3">
      <c r="A32" s="241"/>
      <c r="B32" s="228"/>
      <c r="C32" s="230">
        <v>15</v>
      </c>
      <c r="D32" s="233" t="s">
        <v>20</v>
      </c>
      <c r="E32" s="21" t="s">
        <v>16</v>
      </c>
      <c r="F32" s="22">
        <f>AVERAGE(F30:F31)</f>
        <v>74.5</v>
      </c>
      <c r="G32" s="22">
        <f t="shared" ref="G32:W32" si="8">AVERAGE(G30:G31)</f>
        <v>68.5</v>
      </c>
      <c r="H32" s="22">
        <f t="shared" si="8"/>
        <v>52</v>
      </c>
      <c r="I32" s="22">
        <f t="shared" si="8"/>
        <v>48.5</v>
      </c>
      <c r="J32" s="22">
        <f t="shared" si="8"/>
        <v>60</v>
      </c>
      <c r="K32" s="22">
        <f t="shared" si="8"/>
        <v>51</v>
      </c>
      <c r="L32" s="22">
        <f t="shared" si="8"/>
        <v>43</v>
      </c>
      <c r="M32" s="22">
        <f t="shared" si="8"/>
        <v>56.5</v>
      </c>
      <c r="N32" s="22">
        <f t="shared" si="8"/>
        <v>69.5</v>
      </c>
      <c r="O32" s="22">
        <f t="shared" si="8"/>
        <v>80.5</v>
      </c>
      <c r="P32" s="22">
        <f t="shared" si="8"/>
        <v>66.5</v>
      </c>
      <c r="Q32" s="22">
        <f t="shared" si="8"/>
        <v>78</v>
      </c>
      <c r="R32" s="22">
        <f t="shared" si="8"/>
        <v>62.5</v>
      </c>
      <c r="S32" s="22">
        <f t="shared" si="8"/>
        <v>811</v>
      </c>
      <c r="T32" s="22">
        <f t="shared" si="8"/>
        <v>62.384615384615387</v>
      </c>
      <c r="U32" s="22">
        <f>'9A Sem avr'!$H$12</f>
        <v>49</v>
      </c>
      <c r="V32" s="22">
        <f t="shared" si="8"/>
        <v>0</v>
      </c>
      <c r="W32" s="22">
        <f t="shared" si="8"/>
        <v>0</v>
      </c>
    </row>
    <row r="33" spans="1:23" ht="17.25" customHeight="1" thickBot="1" x14ac:dyDescent="0.3">
      <c r="A33" s="234">
        <v>10</v>
      </c>
      <c r="B33" s="219"/>
      <c r="C33" s="214">
        <v>15</v>
      </c>
      <c r="D33" s="231" t="s">
        <v>23</v>
      </c>
      <c r="E33" s="21" t="s">
        <v>21</v>
      </c>
      <c r="F33" s="22">
        <f>'9A Sem 1'!E13</f>
        <v>89</v>
      </c>
      <c r="G33" s="22">
        <f>'9A Sem 1'!F13</f>
        <v>66</v>
      </c>
      <c r="H33" s="22">
        <f>'9A Sem 1'!G13</f>
        <v>81</v>
      </c>
      <c r="I33" s="22">
        <f>'9A Sem 1'!H13</f>
        <v>56</v>
      </c>
      <c r="J33" s="22">
        <f>'9A Sem 1'!I13</f>
        <v>66</v>
      </c>
      <c r="K33" s="22">
        <f>'9A Sem 1'!J13</f>
        <v>50</v>
      </c>
      <c r="L33" s="22">
        <f>'9A Sem 1'!K13</f>
        <v>77</v>
      </c>
      <c r="M33" s="22">
        <f>'9A Sem 1'!L13</f>
        <v>61</v>
      </c>
      <c r="N33" s="22">
        <f>'9A Sem 1'!M13</f>
        <v>74</v>
      </c>
      <c r="O33" s="22">
        <f>'9A Sem 1'!N13</f>
        <v>76</v>
      </c>
      <c r="P33" s="22">
        <f>'9A Sem 1'!O13</f>
        <v>64</v>
      </c>
      <c r="Q33" s="22">
        <f>'9A Sem 1'!P13</f>
        <v>82</v>
      </c>
      <c r="R33" s="22">
        <f>'9A Sem 1'!Q13</f>
        <v>93</v>
      </c>
      <c r="S33" s="22">
        <f>'9A Sem 1'!R13</f>
        <v>935</v>
      </c>
      <c r="T33" s="22">
        <f>'9A Sem 1'!S13</f>
        <v>71.92307692307692</v>
      </c>
      <c r="U33" s="22">
        <f>'9A Sem 1'!T13</f>
        <v>37</v>
      </c>
      <c r="V33" s="36">
        <f>'9A Sem 1'!U13</f>
        <v>0</v>
      </c>
      <c r="W33" s="36">
        <f>'9A Sem 1'!V13</f>
        <v>0</v>
      </c>
    </row>
    <row r="34" spans="1:23" ht="17.25" customHeight="1" thickBot="1" x14ac:dyDescent="0.3">
      <c r="A34" s="234"/>
      <c r="B34" s="227"/>
      <c r="C34" s="229">
        <v>15</v>
      </c>
      <c r="D34" s="232" t="s">
        <v>23</v>
      </c>
      <c r="E34" s="21" t="s">
        <v>22</v>
      </c>
      <c r="F34" s="22">
        <f>'9A Sem 2'!E13</f>
        <v>89</v>
      </c>
      <c r="G34" s="22">
        <f>'9A Sem 2'!F13</f>
        <v>69</v>
      </c>
      <c r="H34" s="22">
        <f>'9A Sem 2'!G13</f>
        <v>93</v>
      </c>
      <c r="I34" s="22">
        <f>'9A Sem 2'!H13</f>
        <v>63</v>
      </c>
      <c r="J34" s="22">
        <f>'9A Sem 2'!I13</f>
        <v>74</v>
      </c>
      <c r="K34" s="22">
        <f>'9A Sem 2'!J13</f>
        <v>58</v>
      </c>
      <c r="L34" s="22">
        <f>'9A Sem 2'!K13</f>
        <v>78</v>
      </c>
      <c r="M34" s="22">
        <f>'9A Sem 2'!L13</f>
        <v>73</v>
      </c>
      <c r="N34" s="22">
        <f>'9A Sem 2'!M13</f>
        <v>78</v>
      </c>
      <c r="O34" s="22">
        <f>'9A Sem 2'!N13</f>
        <v>90</v>
      </c>
      <c r="P34" s="22">
        <f>'9A Sem 2'!O13</f>
        <v>70</v>
      </c>
      <c r="Q34" s="22">
        <f>'9A Sem 2'!P13</f>
        <v>87</v>
      </c>
      <c r="R34" s="22">
        <f>'9A Sem 2'!Q13</f>
        <v>83</v>
      </c>
      <c r="S34" s="22">
        <f>'9A Sem 2'!R13</f>
        <v>1005</v>
      </c>
      <c r="T34" s="22">
        <f>'9A Sem 2'!S13</f>
        <v>77.307692307692307</v>
      </c>
      <c r="U34" s="22">
        <f>'9A Sem 2'!T13</f>
        <v>27</v>
      </c>
      <c r="V34" s="36">
        <f>'9A Sem 2'!U13</f>
        <v>0</v>
      </c>
      <c r="W34" s="36">
        <f>'9A Sem 2'!V13</f>
        <v>0</v>
      </c>
    </row>
    <row r="35" spans="1:23" ht="17.25" customHeight="1" thickBot="1" x14ac:dyDescent="0.3">
      <c r="A35" s="234"/>
      <c r="B35" s="228"/>
      <c r="C35" s="230">
        <v>15</v>
      </c>
      <c r="D35" s="233" t="s">
        <v>23</v>
      </c>
      <c r="E35" s="21" t="s">
        <v>16</v>
      </c>
      <c r="F35" s="22">
        <f>AVERAGE(F33:F34)</f>
        <v>89</v>
      </c>
      <c r="G35" s="22">
        <f t="shared" ref="G35:W35" si="9">AVERAGE(G33:G34)</f>
        <v>67.5</v>
      </c>
      <c r="H35" s="22">
        <f t="shared" si="9"/>
        <v>87</v>
      </c>
      <c r="I35" s="22">
        <f t="shared" si="9"/>
        <v>59.5</v>
      </c>
      <c r="J35" s="22">
        <f t="shared" si="9"/>
        <v>70</v>
      </c>
      <c r="K35" s="22">
        <f t="shared" si="9"/>
        <v>54</v>
      </c>
      <c r="L35" s="22">
        <f t="shared" si="9"/>
        <v>77.5</v>
      </c>
      <c r="M35" s="22">
        <f t="shared" si="9"/>
        <v>67</v>
      </c>
      <c r="N35" s="22">
        <f t="shared" si="9"/>
        <v>76</v>
      </c>
      <c r="O35" s="22">
        <f t="shared" si="9"/>
        <v>83</v>
      </c>
      <c r="P35" s="22">
        <f t="shared" si="9"/>
        <v>67</v>
      </c>
      <c r="Q35" s="22">
        <f t="shared" si="9"/>
        <v>84.5</v>
      </c>
      <c r="R35" s="22">
        <f t="shared" si="9"/>
        <v>88</v>
      </c>
      <c r="S35" s="22">
        <f t="shared" si="9"/>
        <v>970</v>
      </c>
      <c r="T35" s="22">
        <f t="shared" si="9"/>
        <v>74.615384615384613</v>
      </c>
      <c r="U35" s="22">
        <f>'9A Sem avr'!$H$13</f>
        <v>30</v>
      </c>
      <c r="V35" s="22">
        <f t="shared" si="9"/>
        <v>0</v>
      </c>
      <c r="W35" s="22">
        <f t="shared" si="9"/>
        <v>0</v>
      </c>
    </row>
    <row r="36" spans="1:23" ht="17.25" customHeight="1" thickBot="1" x14ac:dyDescent="0.3">
      <c r="A36" s="241">
        <v>11</v>
      </c>
      <c r="B36" s="218"/>
      <c r="C36" s="213">
        <v>15</v>
      </c>
      <c r="D36" s="215" t="s">
        <v>20</v>
      </c>
      <c r="E36" s="21" t="s">
        <v>21</v>
      </c>
      <c r="F36" s="22">
        <f>'9A Sem 1'!E14</f>
        <v>78</v>
      </c>
      <c r="G36" s="22">
        <f>'9A Sem 1'!F14</f>
        <v>60</v>
      </c>
      <c r="H36" s="22">
        <f>'9A Sem 1'!G14</f>
        <v>65</v>
      </c>
      <c r="I36" s="22">
        <f>'9A Sem 1'!H14</f>
        <v>66</v>
      </c>
      <c r="J36" s="22">
        <f>'9A Sem 1'!I14</f>
        <v>56</v>
      </c>
      <c r="K36" s="22">
        <f>'9A Sem 1'!J14</f>
        <v>55</v>
      </c>
      <c r="L36" s="22">
        <f>'9A Sem 1'!K14</f>
        <v>77</v>
      </c>
      <c r="M36" s="22">
        <f>'9A Sem 1'!L14</f>
        <v>68</v>
      </c>
      <c r="N36" s="22">
        <f>'9A Sem 1'!M14</f>
        <v>71</v>
      </c>
      <c r="O36" s="22">
        <f>'9A Sem 1'!N14</f>
        <v>79</v>
      </c>
      <c r="P36" s="22">
        <f>'9A Sem 1'!O14</f>
        <v>72</v>
      </c>
      <c r="Q36" s="22">
        <f>'9A Sem 1'!P14</f>
        <v>87</v>
      </c>
      <c r="R36" s="22">
        <f>'9A Sem 1'!Q14</f>
        <v>85</v>
      </c>
      <c r="S36" s="22">
        <f>'9A Sem 1'!R14</f>
        <v>919</v>
      </c>
      <c r="T36" s="22">
        <f>'9A Sem 1'!S14</f>
        <v>70.692307692307693</v>
      </c>
      <c r="U36" s="22">
        <f>'9A Sem 1'!T14</f>
        <v>41</v>
      </c>
      <c r="V36" s="36">
        <f>'9A Sem 1'!U14</f>
        <v>0</v>
      </c>
      <c r="W36" s="36">
        <f>'9A Sem 1'!V14</f>
        <v>0</v>
      </c>
    </row>
    <row r="37" spans="1:23" ht="17.25" customHeight="1" thickBot="1" x14ac:dyDescent="0.3">
      <c r="A37" s="241"/>
      <c r="B37" s="218"/>
      <c r="C37" s="213">
        <v>15</v>
      </c>
      <c r="D37" s="215" t="s">
        <v>20</v>
      </c>
      <c r="E37" s="21" t="s">
        <v>22</v>
      </c>
      <c r="F37" s="22">
        <f>'9A Sem 2'!E14</f>
        <v>84</v>
      </c>
      <c r="G37" s="22">
        <f>'9A Sem 2'!F14</f>
        <v>54</v>
      </c>
      <c r="H37" s="22">
        <f>'9A Sem 2'!G14</f>
        <v>69</v>
      </c>
      <c r="I37" s="22">
        <f>'9A Sem 2'!H14</f>
        <v>62</v>
      </c>
      <c r="J37" s="22">
        <f>'9A Sem 2'!I14</f>
        <v>71</v>
      </c>
      <c r="K37" s="22">
        <f>'9A Sem 2'!J14</f>
        <v>57</v>
      </c>
      <c r="L37" s="22">
        <f>'9A Sem 2'!K14</f>
        <v>71</v>
      </c>
      <c r="M37" s="22">
        <f>'9A Sem 2'!L14</f>
        <v>76</v>
      </c>
      <c r="N37" s="22">
        <f>'9A Sem 2'!M14</f>
        <v>71</v>
      </c>
      <c r="O37" s="22">
        <f>'9A Sem 2'!N14</f>
        <v>83</v>
      </c>
      <c r="P37" s="22">
        <f>'9A Sem 2'!O14</f>
        <v>67</v>
      </c>
      <c r="Q37" s="22">
        <f>'9A Sem 2'!P14</f>
        <v>90</v>
      </c>
      <c r="R37" s="22">
        <f>'9A Sem 2'!Q14</f>
        <v>70</v>
      </c>
      <c r="S37" s="22">
        <f>'9A Sem 2'!R14</f>
        <v>925</v>
      </c>
      <c r="T37" s="22">
        <f>'9A Sem 2'!S14</f>
        <v>71.15384615384616</v>
      </c>
      <c r="U37" s="22">
        <f>'9A Sem 2'!T14</f>
        <v>39</v>
      </c>
      <c r="V37" s="36">
        <f>'9A Sem 2'!U14</f>
        <v>0</v>
      </c>
      <c r="W37" s="36">
        <f>'9A Sem 2'!V14</f>
        <v>0</v>
      </c>
    </row>
    <row r="38" spans="1:23" ht="17.25" customHeight="1" thickBot="1" x14ac:dyDescent="0.3">
      <c r="A38" s="241"/>
      <c r="B38" s="218"/>
      <c r="C38" s="213">
        <v>15</v>
      </c>
      <c r="D38" s="215" t="s">
        <v>20</v>
      </c>
      <c r="E38" s="21" t="s">
        <v>16</v>
      </c>
      <c r="F38" s="22">
        <f>AVERAGE(F36:F37)</f>
        <v>81</v>
      </c>
      <c r="G38" s="22">
        <f t="shared" ref="G38:W38" si="10">AVERAGE(G36:G37)</f>
        <v>57</v>
      </c>
      <c r="H38" s="22">
        <f t="shared" si="10"/>
        <v>67</v>
      </c>
      <c r="I38" s="22">
        <f t="shared" si="10"/>
        <v>64</v>
      </c>
      <c r="J38" s="22">
        <f t="shared" si="10"/>
        <v>63.5</v>
      </c>
      <c r="K38" s="22">
        <f t="shared" si="10"/>
        <v>56</v>
      </c>
      <c r="L38" s="22">
        <f t="shared" si="10"/>
        <v>74</v>
      </c>
      <c r="M38" s="22">
        <f t="shared" si="10"/>
        <v>72</v>
      </c>
      <c r="N38" s="22">
        <f t="shared" si="10"/>
        <v>71</v>
      </c>
      <c r="O38" s="22">
        <f t="shared" si="10"/>
        <v>81</v>
      </c>
      <c r="P38" s="22">
        <f t="shared" si="10"/>
        <v>69.5</v>
      </c>
      <c r="Q38" s="22">
        <f t="shared" si="10"/>
        <v>88.5</v>
      </c>
      <c r="R38" s="22">
        <f t="shared" si="10"/>
        <v>77.5</v>
      </c>
      <c r="S38" s="22">
        <f t="shared" si="10"/>
        <v>922</v>
      </c>
      <c r="T38" s="22">
        <f t="shared" si="10"/>
        <v>70.923076923076934</v>
      </c>
      <c r="U38" s="22">
        <f>'9A Sem avr'!$H$14</f>
        <v>40</v>
      </c>
      <c r="V38" s="22">
        <f t="shared" si="10"/>
        <v>0</v>
      </c>
      <c r="W38" s="22">
        <f t="shared" si="10"/>
        <v>0</v>
      </c>
    </row>
    <row r="39" spans="1:23" ht="17.25" customHeight="1" thickBot="1" x14ac:dyDescent="0.3">
      <c r="A39" s="241">
        <v>12</v>
      </c>
      <c r="B39" s="218"/>
      <c r="C39" s="213">
        <v>15</v>
      </c>
      <c r="D39" s="215" t="s">
        <v>20</v>
      </c>
      <c r="E39" s="21" t="s">
        <v>21</v>
      </c>
      <c r="F39" s="22">
        <f>'9A Sem 1'!E15</f>
        <v>76</v>
      </c>
      <c r="G39" s="22">
        <f>'9A Sem 1'!F15</f>
        <v>61</v>
      </c>
      <c r="H39" s="22">
        <f>'9A Sem 1'!G15</f>
        <v>59</v>
      </c>
      <c r="I39" s="22">
        <f>'9A Sem 1'!H15</f>
        <v>50</v>
      </c>
      <c r="J39" s="22">
        <f>'9A Sem 1'!I15</f>
        <v>49</v>
      </c>
      <c r="K39" s="22">
        <f>'9A Sem 1'!J15</f>
        <v>40</v>
      </c>
      <c r="L39" s="22">
        <f>'9A Sem 1'!K15</f>
        <v>56</v>
      </c>
      <c r="M39" s="22">
        <f>'9A Sem 1'!L15</f>
        <v>43</v>
      </c>
      <c r="N39" s="22">
        <f>'9A Sem 1'!M15</f>
        <v>76</v>
      </c>
      <c r="O39" s="22">
        <f>'9A Sem 1'!N15</f>
        <v>82</v>
      </c>
      <c r="P39" s="22">
        <f>'9A Sem 1'!O15</f>
        <v>72</v>
      </c>
      <c r="Q39" s="22">
        <f>'9A Sem 1'!P15</f>
        <v>79</v>
      </c>
      <c r="R39" s="22">
        <f>'9A Sem 1'!Q15</f>
        <v>67</v>
      </c>
      <c r="S39" s="22">
        <f>'9A Sem 1'!R15</f>
        <v>810</v>
      </c>
      <c r="T39" s="22">
        <f>'9A Sem 1'!S15</f>
        <v>62.307692307692307</v>
      </c>
      <c r="U39" s="22">
        <f>'9A Sem 1'!T15</f>
        <v>48</v>
      </c>
      <c r="V39" s="36">
        <f>'9A Sem 1'!U15</f>
        <v>0</v>
      </c>
      <c r="W39" s="36">
        <f>'9A Sem 1'!V15</f>
        <v>0</v>
      </c>
    </row>
    <row r="40" spans="1:23" ht="17.25" customHeight="1" thickBot="1" x14ac:dyDescent="0.3">
      <c r="A40" s="241"/>
      <c r="B40" s="218"/>
      <c r="C40" s="213">
        <v>15</v>
      </c>
      <c r="D40" s="215" t="s">
        <v>20</v>
      </c>
      <c r="E40" s="21" t="s">
        <v>22</v>
      </c>
      <c r="F40" s="22">
        <f>'9A Sem 2'!E15</f>
        <v>72</v>
      </c>
      <c r="G40" s="22">
        <f>'9A Sem 2'!F15</f>
        <v>55</v>
      </c>
      <c r="H40" s="22">
        <f>'9A Sem 2'!G15</f>
        <v>47</v>
      </c>
      <c r="I40" s="22">
        <f>'9A Sem 2'!H15</f>
        <v>37</v>
      </c>
      <c r="J40" s="22">
        <f>'9A Sem 2'!I15</f>
        <v>51</v>
      </c>
      <c r="K40" s="22">
        <f>'9A Sem 2'!J15</f>
        <v>62</v>
      </c>
      <c r="L40" s="22">
        <f>'9A Sem 2'!K15</f>
        <v>52</v>
      </c>
      <c r="M40" s="22">
        <f>'9A Sem 2'!L15</f>
        <v>70</v>
      </c>
      <c r="N40" s="22">
        <f>'9A Sem 2'!M15</f>
        <v>65</v>
      </c>
      <c r="O40" s="22">
        <f>'9A Sem 2'!N15</f>
        <v>82</v>
      </c>
      <c r="P40" s="22">
        <f>'9A Sem 2'!O15</f>
        <v>74</v>
      </c>
      <c r="Q40" s="22">
        <f>'9A Sem 2'!P15</f>
        <v>83</v>
      </c>
      <c r="R40" s="22">
        <f>'9A Sem 2'!Q15</f>
        <v>62</v>
      </c>
      <c r="S40" s="22">
        <f>'9A Sem 2'!R15</f>
        <v>812</v>
      </c>
      <c r="T40" s="22">
        <f>'9A Sem 2'!S15</f>
        <v>62.46153846153846</v>
      </c>
      <c r="U40" s="22">
        <f>'9A Sem 2'!T15</f>
        <v>49</v>
      </c>
      <c r="V40" s="36">
        <f>'9A Sem 2'!U15</f>
        <v>0</v>
      </c>
      <c r="W40" s="36">
        <f>'9A Sem 2'!V15</f>
        <v>0</v>
      </c>
    </row>
    <row r="41" spans="1:23" ht="17.25" customHeight="1" thickBot="1" x14ac:dyDescent="0.3">
      <c r="A41" s="241"/>
      <c r="B41" s="218"/>
      <c r="C41" s="213">
        <v>15</v>
      </c>
      <c r="D41" s="215" t="s">
        <v>20</v>
      </c>
      <c r="E41" s="21" t="s">
        <v>16</v>
      </c>
      <c r="F41" s="22">
        <f>AVERAGE(F39:F40)</f>
        <v>74</v>
      </c>
      <c r="G41" s="22">
        <f t="shared" ref="G41:W41" si="11">AVERAGE(G39:G40)</f>
        <v>58</v>
      </c>
      <c r="H41" s="22">
        <f t="shared" si="11"/>
        <v>53</v>
      </c>
      <c r="I41" s="22">
        <f t="shared" si="11"/>
        <v>43.5</v>
      </c>
      <c r="J41" s="22">
        <f t="shared" si="11"/>
        <v>50</v>
      </c>
      <c r="K41" s="22">
        <f t="shared" si="11"/>
        <v>51</v>
      </c>
      <c r="L41" s="22">
        <f t="shared" si="11"/>
        <v>54</v>
      </c>
      <c r="M41" s="22">
        <f t="shared" si="11"/>
        <v>56.5</v>
      </c>
      <c r="N41" s="22">
        <f t="shared" si="11"/>
        <v>70.5</v>
      </c>
      <c r="O41" s="22">
        <f t="shared" si="11"/>
        <v>82</v>
      </c>
      <c r="P41" s="22">
        <f t="shared" si="11"/>
        <v>73</v>
      </c>
      <c r="Q41" s="22">
        <f t="shared" si="11"/>
        <v>81</v>
      </c>
      <c r="R41" s="22">
        <f t="shared" si="11"/>
        <v>64.5</v>
      </c>
      <c r="S41" s="22">
        <f t="shared" si="11"/>
        <v>811</v>
      </c>
      <c r="T41" s="22">
        <f t="shared" si="11"/>
        <v>62.384615384615387</v>
      </c>
      <c r="U41" s="22">
        <f>'9A Sem avr'!$H$15</f>
        <v>49</v>
      </c>
      <c r="V41" s="22">
        <f t="shared" si="11"/>
        <v>0</v>
      </c>
      <c r="W41" s="22">
        <f t="shared" si="11"/>
        <v>0</v>
      </c>
    </row>
    <row r="42" spans="1:23" ht="17.25" customHeight="1" thickBot="1" x14ac:dyDescent="0.3">
      <c r="A42" s="241">
        <v>13</v>
      </c>
      <c r="B42" s="218"/>
      <c r="C42" s="213">
        <v>14</v>
      </c>
      <c r="D42" s="215" t="s">
        <v>23</v>
      </c>
      <c r="E42" s="21" t="s">
        <v>21</v>
      </c>
      <c r="F42" s="22">
        <f>'9A Sem 1'!E16</f>
        <v>81</v>
      </c>
      <c r="G42" s="22">
        <f>'9A Sem 1'!F16</f>
        <v>67</v>
      </c>
      <c r="H42" s="22">
        <f>'9A Sem 1'!G16</f>
        <v>65</v>
      </c>
      <c r="I42" s="22">
        <f>'9A Sem 1'!H16</f>
        <v>70</v>
      </c>
      <c r="J42" s="22">
        <f>'9A Sem 1'!I16</f>
        <v>71</v>
      </c>
      <c r="K42" s="22">
        <f>'9A Sem 1'!J16</f>
        <v>69</v>
      </c>
      <c r="L42" s="22">
        <f>'9A Sem 1'!K16</f>
        <v>84</v>
      </c>
      <c r="M42" s="22">
        <f>'9A Sem 1'!L16</f>
        <v>73</v>
      </c>
      <c r="N42" s="22">
        <f>'9A Sem 1'!M16</f>
        <v>82</v>
      </c>
      <c r="O42" s="22">
        <f>'9A Sem 1'!N16</f>
        <v>79</v>
      </c>
      <c r="P42" s="22">
        <f>'9A Sem 1'!O16</f>
        <v>79</v>
      </c>
      <c r="Q42" s="22">
        <f>'9A Sem 1'!P16</f>
        <v>94</v>
      </c>
      <c r="R42" s="22">
        <f>'9A Sem 1'!Q16</f>
        <v>88</v>
      </c>
      <c r="S42" s="22">
        <f>'9A Sem 1'!R16</f>
        <v>1002</v>
      </c>
      <c r="T42" s="22">
        <f>'9A Sem 1'!S16</f>
        <v>77.07692307692308</v>
      </c>
      <c r="U42" s="22">
        <f>'9A Sem 1'!T16</f>
        <v>22</v>
      </c>
      <c r="V42" s="36">
        <f>'9A Sem 1'!U16</f>
        <v>0</v>
      </c>
      <c r="W42" s="36">
        <f>'9A Sem 1'!V16</f>
        <v>0</v>
      </c>
    </row>
    <row r="43" spans="1:23" ht="17.25" customHeight="1" thickBot="1" x14ac:dyDescent="0.3">
      <c r="A43" s="241"/>
      <c r="B43" s="218"/>
      <c r="C43" s="213">
        <v>14</v>
      </c>
      <c r="D43" s="215" t="s">
        <v>23</v>
      </c>
      <c r="E43" s="21" t="s">
        <v>22</v>
      </c>
      <c r="F43" s="22">
        <f>'9A Sem 2'!E16</f>
        <v>84</v>
      </c>
      <c r="G43" s="22">
        <f>'9A Sem 2'!F16</f>
        <v>81</v>
      </c>
      <c r="H43" s="22">
        <f>'9A Sem 2'!G16</f>
        <v>67</v>
      </c>
      <c r="I43" s="22">
        <f>'9A Sem 2'!H16</f>
        <v>68</v>
      </c>
      <c r="J43" s="22">
        <f>'9A Sem 2'!I16</f>
        <v>67</v>
      </c>
      <c r="K43" s="22">
        <f>'9A Sem 2'!J16</f>
        <v>77</v>
      </c>
      <c r="L43" s="22">
        <f>'9A Sem 2'!K16</f>
        <v>79</v>
      </c>
      <c r="M43" s="22">
        <f>'9A Sem 2'!L16</f>
        <v>92</v>
      </c>
      <c r="N43" s="22">
        <f>'9A Sem 2'!M16</f>
        <v>74</v>
      </c>
      <c r="O43" s="22">
        <f>'9A Sem 2'!N16</f>
        <v>81</v>
      </c>
      <c r="P43" s="22">
        <f>'9A Sem 2'!O16</f>
        <v>81</v>
      </c>
      <c r="Q43" s="22">
        <f>'9A Sem 2'!P16</f>
        <v>86</v>
      </c>
      <c r="R43" s="22">
        <f>'9A Sem 2'!Q16</f>
        <v>64</v>
      </c>
      <c r="S43" s="22">
        <f>'9A Sem 2'!R16</f>
        <v>1001</v>
      </c>
      <c r="T43" s="22">
        <f>'9A Sem 2'!S16</f>
        <v>77</v>
      </c>
      <c r="U43" s="22">
        <f>'9A Sem 2'!T16</f>
        <v>28</v>
      </c>
      <c r="V43" s="36">
        <f>'9A Sem 2'!U16</f>
        <v>0</v>
      </c>
      <c r="W43" s="36">
        <f>'9A Sem 2'!V16</f>
        <v>0</v>
      </c>
    </row>
    <row r="44" spans="1:23" ht="17.25" customHeight="1" thickBot="1" x14ac:dyDescent="0.3">
      <c r="A44" s="241"/>
      <c r="B44" s="218"/>
      <c r="C44" s="213">
        <v>14</v>
      </c>
      <c r="D44" s="215" t="s">
        <v>23</v>
      </c>
      <c r="E44" s="21" t="s">
        <v>16</v>
      </c>
      <c r="F44" s="22">
        <f>AVERAGE(F42:F43)</f>
        <v>82.5</v>
      </c>
      <c r="G44" s="22">
        <f t="shared" ref="G44:W44" si="12">AVERAGE(G42:G43)</f>
        <v>74</v>
      </c>
      <c r="H44" s="22">
        <f t="shared" si="12"/>
        <v>66</v>
      </c>
      <c r="I44" s="22">
        <f t="shared" si="12"/>
        <v>69</v>
      </c>
      <c r="J44" s="22">
        <f t="shared" si="12"/>
        <v>69</v>
      </c>
      <c r="K44" s="22">
        <f t="shared" si="12"/>
        <v>73</v>
      </c>
      <c r="L44" s="22">
        <f t="shared" si="12"/>
        <v>81.5</v>
      </c>
      <c r="M44" s="22">
        <f t="shared" si="12"/>
        <v>82.5</v>
      </c>
      <c r="N44" s="22">
        <f t="shared" si="12"/>
        <v>78</v>
      </c>
      <c r="O44" s="22">
        <f t="shared" si="12"/>
        <v>80</v>
      </c>
      <c r="P44" s="22">
        <f t="shared" si="12"/>
        <v>80</v>
      </c>
      <c r="Q44" s="22">
        <f t="shared" si="12"/>
        <v>90</v>
      </c>
      <c r="R44" s="22">
        <f t="shared" si="12"/>
        <v>76</v>
      </c>
      <c r="S44" s="22">
        <f t="shared" si="12"/>
        <v>1001.5</v>
      </c>
      <c r="T44" s="22">
        <f t="shared" si="12"/>
        <v>77.038461538461547</v>
      </c>
      <c r="U44" s="22">
        <f>'9A Sem avr'!$H$16</f>
        <v>23</v>
      </c>
      <c r="V44" s="22">
        <f t="shared" si="12"/>
        <v>0</v>
      </c>
      <c r="W44" s="22">
        <f t="shared" si="12"/>
        <v>0</v>
      </c>
    </row>
    <row r="45" spans="1:23" ht="17.25" customHeight="1" thickBot="1" x14ac:dyDescent="0.3">
      <c r="A45" s="234">
        <v>14</v>
      </c>
      <c r="B45" s="218"/>
      <c r="C45" s="213">
        <v>14</v>
      </c>
      <c r="D45" s="215" t="s">
        <v>23</v>
      </c>
      <c r="E45" s="21" t="s">
        <v>21</v>
      </c>
      <c r="F45" s="22">
        <f>'9A Sem 1'!E17</f>
        <v>82</v>
      </c>
      <c r="G45" s="22">
        <f>'9A Sem 1'!F17</f>
        <v>74</v>
      </c>
      <c r="H45" s="22">
        <f>'9A Sem 1'!G17</f>
        <v>74</v>
      </c>
      <c r="I45" s="22">
        <f>'9A Sem 1'!H17</f>
        <v>61</v>
      </c>
      <c r="J45" s="22">
        <f>'9A Sem 1'!I17</f>
        <v>67</v>
      </c>
      <c r="K45" s="22">
        <f>'9A Sem 1'!J17</f>
        <v>56</v>
      </c>
      <c r="L45" s="22">
        <f>'9A Sem 1'!K17</f>
        <v>69</v>
      </c>
      <c r="M45" s="22">
        <f>'9A Sem 1'!L17</f>
        <v>63</v>
      </c>
      <c r="N45" s="22">
        <f>'9A Sem 1'!M17</f>
        <v>76</v>
      </c>
      <c r="O45" s="22">
        <f>'9A Sem 1'!N17</f>
        <v>82</v>
      </c>
      <c r="P45" s="22">
        <f>'9A Sem 1'!O17</f>
        <v>70</v>
      </c>
      <c r="Q45" s="22">
        <f>'9A Sem 1'!P17</f>
        <v>87</v>
      </c>
      <c r="R45" s="22">
        <f>'9A Sem 1'!Q17</f>
        <v>87</v>
      </c>
      <c r="S45" s="22">
        <f>'9A Sem 1'!R17</f>
        <v>948</v>
      </c>
      <c r="T45" s="22">
        <f>'9A Sem 1'!S17</f>
        <v>72.92307692307692</v>
      </c>
      <c r="U45" s="22">
        <f>'9A Sem 1'!T17</f>
        <v>31</v>
      </c>
      <c r="V45" s="36">
        <f>'9A Sem 1'!U17</f>
        <v>0</v>
      </c>
      <c r="W45" s="36">
        <f>'9A Sem 1'!V17</f>
        <v>0</v>
      </c>
    </row>
    <row r="46" spans="1:23" ht="17.25" customHeight="1" thickBot="1" x14ac:dyDescent="0.3">
      <c r="A46" s="234"/>
      <c r="B46" s="218"/>
      <c r="C46" s="213">
        <v>14</v>
      </c>
      <c r="D46" s="215" t="s">
        <v>23</v>
      </c>
      <c r="E46" s="21" t="s">
        <v>22</v>
      </c>
      <c r="F46" s="22">
        <f>'9A Sem 2'!E17</f>
        <v>70</v>
      </c>
      <c r="G46" s="22">
        <f>'9A Sem 2'!F17</f>
        <v>70</v>
      </c>
      <c r="H46" s="22">
        <f>'9A Sem 2'!G17</f>
        <v>80</v>
      </c>
      <c r="I46" s="22">
        <f>'9A Sem 2'!H17</f>
        <v>64</v>
      </c>
      <c r="J46" s="22">
        <f>'9A Sem 2'!I17</f>
        <v>71</v>
      </c>
      <c r="K46" s="22">
        <f>'9A Sem 2'!J17</f>
        <v>66</v>
      </c>
      <c r="L46" s="22">
        <f>'9A Sem 2'!K17</f>
        <v>56</v>
      </c>
      <c r="M46" s="22">
        <f>'9A Sem 2'!L17</f>
        <v>81</v>
      </c>
      <c r="N46" s="22">
        <f>'9A Sem 2'!M17</f>
        <v>68</v>
      </c>
      <c r="O46" s="22">
        <f>'9A Sem 2'!N17</f>
        <v>82</v>
      </c>
      <c r="P46" s="22">
        <f>'9A Sem 2'!O17</f>
        <v>77</v>
      </c>
      <c r="Q46" s="22">
        <f>'9A Sem 2'!P17</f>
        <v>85</v>
      </c>
      <c r="R46" s="22">
        <f>'9A Sem 2'!Q17</f>
        <v>63</v>
      </c>
      <c r="S46" s="22">
        <f>'9A Sem 2'!R17</f>
        <v>933</v>
      </c>
      <c r="T46" s="22">
        <f>'9A Sem 2'!S17</f>
        <v>71.769230769230774</v>
      </c>
      <c r="U46" s="22">
        <f>'9A Sem 2'!T17</f>
        <v>37</v>
      </c>
      <c r="V46" s="36">
        <f>'9A Sem 2'!U17</f>
        <v>0</v>
      </c>
      <c r="W46" s="36">
        <f>'9A Sem 2'!V17</f>
        <v>0</v>
      </c>
    </row>
    <row r="47" spans="1:23" ht="17.25" customHeight="1" thickBot="1" x14ac:dyDescent="0.3">
      <c r="A47" s="234"/>
      <c r="B47" s="218"/>
      <c r="C47" s="213">
        <v>14</v>
      </c>
      <c r="D47" s="215" t="s">
        <v>23</v>
      </c>
      <c r="E47" s="21" t="s">
        <v>16</v>
      </c>
      <c r="F47" s="22">
        <f>AVERAGE(F45:F46)</f>
        <v>76</v>
      </c>
      <c r="G47" s="22">
        <f t="shared" ref="G47:W47" si="13">AVERAGE(G45:G46)</f>
        <v>72</v>
      </c>
      <c r="H47" s="22">
        <f t="shared" si="13"/>
        <v>77</v>
      </c>
      <c r="I47" s="22">
        <f t="shared" si="13"/>
        <v>62.5</v>
      </c>
      <c r="J47" s="22">
        <f t="shared" si="13"/>
        <v>69</v>
      </c>
      <c r="K47" s="22">
        <f t="shared" si="13"/>
        <v>61</v>
      </c>
      <c r="L47" s="22">
        <f t="shared" si="13"/>
        <v>62.5</v>
      </c>
      <c r="M47" s="22">
        <f t="shared" si="13"/>
        <v>72</v>
      </c>
      <c r="N47" s="22">
        <f t="shared" si="13"/>
        <v>72</v>
      </c>
      <c r="O47" s="22">
        <f t="shared" si="13"/>
        <v>82</v>
      </c>
      <c r="P47" s="22">
        <f t="shared" si="13"/>
        <v>73.5</v>
      </c>
      <c r="Q47" s="22">
        <f t="shared" si="13"/>
        <v>86</v>
      </c>
      <c r="R47" s="22">
        <f t="shared" si="13"/>
        <v>75</v>
      </c>
      <c r="S47" s="22">
        <f t="shared" si="13"/>
        <v>940.5</v>
      </c>
      <c r="T47" s="22">
        <f t="shared" si="13"/>
        <v>72.34615384615384</v>
      </c>
      <c r="U47" s="22">
        <f>'9A Sem avr'!$H$17</f>
        <v>36</v>
      </c>
      <c r="V47" s="22">
        <f t="shared" si="13"/>
        <v>0</v>
      </c>
      <c r="W47" s="22">
        <f t="shared" si="13"/>
        <v>0</v>
      </c>
    </row>
    <row r="48" spans="1:23" ht="17.25" customHeight="1" thickBot="1" x14ac:dyDescent="0.3">
      <c r="A48" s="241">
        <v>15</v>
      </c>
      <c r="B48" s="218"/>
      <c r="C48" s="213">
        <v>15</v>
      </c>
      <c r="D48" s="215" t="s">
        <v>23</v>
      </c>
      <c r="E48" s="21" t="s">
        <v>21</v>
      </c>
      <c r="F48" s="22">
        <f>'9A Sem 1'!E18</f>
        <v>87</v>
      </c>
      <c r="G48" s="22">
        <f>'9A Sem 1'!F18</f>
        <v>80</v>
      </c>
      <c r="H48" s="23">
        <f>'9A Sem 1'!G18</f>
        <v>86</v>
      </c>
      <c r="I48" s="22">
        <f>'9A Sem 1'!H18</f>
        <v>82</v>
      </c>
      <c r="J48" s="22">
        <f>'9A Sem 1'!I18</f>
        <v>80</v>
      </c>
      <c r="K48" s="22">
        <f>'9A Sem 1'!J18</f>
        <v>84</v>
      </c>
      <c r="L48" s="22">
        <f>'9A Sem 1'!K18</f>
        <v>82</v>
      </c>
      <c r="M48" s="22">
        <f>'9A Sem 1'!L18</f>
        <v>77</v>
      </c>
      <c r="N48" s="22">
        <f>'9A Sem 1'!M18</f>
        <v>78</v>
      </c>
      <c r="O48" s="22">
        <f>'9A Sem 1'!N18</f>
        <v>87</v>
      </c>
      <c r="P48" s="22">
        <f>'9A Sem 1'!O18</f>
        <v>87</v>
      </c>
      <c r="Q48" s="22">
        <f>'9A Sem 1'!P18</f>
        <v>94</v>
      </c>
      <c r="R48" s="22">
        <f>'9A Sem 1'!Q18</f>
        <v>86</v>
      </c>
      <c r="S48" s="22">
        <f>'9A Sem 1'!R18</f>
        <v>1090</v>
      </c>
      <c r="T48" s="22">
        <f>'9A Sem 1'!S18</f>
        <v>83.84615384615384</v>
      </c>
      <c r="U48" s="22">
        <f>'9A Sem 1'!T18</f>
        <v>9</v>
      </c>
      <c r="V48" s="36">
        <f>'9A Sem 1'!U18</f>
        <v>0</v>
      </c>
      <c r="W48" s="36">
        <f>'9A Sem 1'!V18</f>
        <v>0</v>
      </c>
    </row>
    <row r="49" spans="1:28" ht="17.25" customHeight="1" thickBot="1" x14ac:dyDescent="0.3">
      <c r="A49" s="241"/>
      <c r="B49" s="218"/>
      <c r="C49" s="213">
        <v>15</v>
      </c>
      <c r="D49" s="215" t="s">
        <v>23</v>
      </c>
      <c r="E49" s="21" t="s">
        <v>22</v>
      </c>
      <c r="F49" s="22">
        <f>'9A Sem 2'!E18</f>
        <v>88</v>
      </c>
      <c r="G49" s="22">
        <f>'9A Sem 2'!F18</f>
        <v>78</v>
      </c>
      <c r="H49" s="23">
        <f>'9A Sem 2'!G18</f>
        <v>81</v>
      </c>
      <c r="I49" s="22">
        <f>'9A Sem 2'!H18</f>
        <v>74</v>
      </c>
      <c r="J49" s="22">
        <f>'9A Sem 2'!I18</f>
        <v>82</v>
      </c>
      <c r="K49" s="22">
        <f>'9A Sem 2'!J18</f>
        <v>77</v>
      </c>
      <c r="L49" s="22">
        <f>'9A Sem 2'!K18</f>
        <v>68</v>
      </c>
      <c r="M49" s="22">
        <f>'9A Sem 2'!L18</f>
        <v>88</v>
      </c>
      <c r="N49" s="22">
        <f>'9A Sem 2'!M18</f>
        <v>83</v>
      </c>
      <c r="O49" s="22">
        <f>'9A Sem 2'!N18</f>
        <v>82</v>
      </c>
      <c r="P49" s="22">
        <f>'9A Sem 2'!O18</f>
        <v>70</v>
      </c>
      <c r="Q49" s="22">
        <f>'9A Sem 2'!P18</f>
        <v>85</v>
      </c>
      <c r="R49" s="22">
        <f>'9A Sem 2'!Q18</f>
        <v>70</v>
      </c>
      <c r="S49" s="22">
        <f>'9A Sem 2'!R18</f>
        <v>1026</v>
      </c>
      <c r="T49" s="22">
        <f>'9A Sem 2'!S18</f>
        <v>78.92307692307692</v>
      </c>
      <c r="U49" s="22">
        <f>'9A Sem 2'!T18</f>
        <v>21</v>
      </c>
      <c r="V49" s="36">
        <f>'9A Sem 2'!U18</f>
        <v>0</v>
      </c>
      <c r="W49" s="36">
        <f>'9A Sem 2'!V18</f>
        <v>0</v>
      </c>
      <c r="X49" s="5"/>
      <c r="Y49" s="5"/>
      <c r="Z49" s="5"/>
      <c r="AA49" s="5"/>
      <c r="AB49" s="5"/>
    </row>
    <row r="50" spans="1:28" ht="17.25" customHeight="1" thickBot="1" x14ac:dyDescent="0.3">
      <c r="A50" s="241"/>
      <c r="B50" s="218"/>
      <c r="C50" s="213">
        <v>15</v>
      </c>
      <c r="D50" s="215" t="s">
        <v>23</v>
      </c>
      <c r="E50" s="21" t="s">
        <v>16</v>
      </c>
      <c r="F50" s="22">
        <f>AVERAGE(F48:F49)</f>
        <v>87.5</v>
      </c>
      <c r="G50" s="22">
        <f t="shared" ref="G50:W50" si="14">AVERAGE(G48:G49)</f>
        <v>79</v>
      </c>
      <c r="H50" s="22">
        <f t="shared" si="14"/>
        <v>83.5</v>
      </c>
      <c r="I50" s="22">
        <f t="shared" si="14"/>
        <v>78</v>
      </c>
      <c r="J50" s="22">
        <f t="shared" si="14"/>
        <v>81</v>
      </c>
      <c r="K50" s="22">
        <f t="shared" si="14"/>
        <v>80.5</v>
      </c>
      <c r="L50" s="22">
        <f t="shared" si="14"/>
        <v>75</v>
      </c>
      <c r="M50" s="22">
        <f t="shared" si="14"/>
        <v>82.5</v>
      </c>
      <c r="N50" s="22">
        <f t="shared" si="14"/>
        <v>80.5</v>
      </c>
      <c r="O50" s="22">
        <f t="shared" si="14"/>
        <v>84.5</v>
      </c>
      <c r="P50" s="22">
        <f t="shared" si="14"/>
        <v>78.5</v>
      </c>
      <c r="Q50" s="22">
        <f t="shared" si="14"/>
        <v>89.5</v>
      </c>
      <c r="R50" s="22">
        <f t="shared" si="14"/>
        <v>78</v>
      </c>
      <c r="S50" s="22">
        <f t="shared" si="14"/>
        <v>1058</v>
      </c>
      <c r="T50" s="22">
        <f t="shared" si="14"/>
        <v>81.384615384615387</v>
      </c>
      <c r="U50" s="22">
        <f>'9A Sem avr'!$H$18</f>
        <v>14</v>
      </c>
      <c r="V50" s="22">
        <f t="shared" si="14"/>
        <v>0</v>
      </c>
      <c r="W50" s="22">
        <f t="shared" si="14"/>
        <v>0</v>
      </c>
      <c r="X50" s="5"/>
      <c r="Y50" s="5"/>
      <c r="Z50" s="5"/>
      <c r="AA50" s="5"/>
      <c r="AB50" s="5"/>
    </row>
    <row r="51" spans="1:28" ht="17.25" customHeight="1" thickBot="1" x14ac:dyDescent="0.3">
      <c r="A51" s="234">
        <v>16</v>
      </c>
      <c r="B51" s="218"/>
      <c r="C51" s="213">
        <v>14</v>
      </c>
      <c r="D51" s="215" t="s">
        <v>20</v>
      </c>
      <c r="E51" s="21" t="s">
        <v>21</v>
      </c>
      <c r="F51" s="22">
        <f>'9A Sem 1'!E19</f>
        <v>78</v>
      </c>
      <c r="G51" s="22">
        <f>'9A Sem 1'!F19</f>
        <v>85</v>
      </c>
      <c r="H51" s="22">
        <f>'9A Sem 1'!G19</f>
        <v>54</v>
      </c>
      <c r="I51" s="22">
        <f>'9A Sem 1'!H19</f>
        <v>66</v>
      </c>
      <c r="J51" s="22">
        <f>'9A Sem 1'!I19</f>
        <v>58</v>
      </c>
      <c r="K51" s="22">
        <f>'9A Sem 1'!J19</f>
        <v>65</v>
      </c>
      <c r="L51" s="22">
        <f>'9A Sem 1'!K19</f>
        <v>79</v>
      </c>
      <c r="M51" s="22">
        <f>'9A Sem 1'!L19</f>
        <v>63</v>
      </c>
      <c r="N51" s="22">
        <f>'9A Sem 1'!M19</f>
        <v>91</v>
      </c>
      <c r="O51" s="22">
        <f>'9A Sem 1'!N19</f>
        <v>78</v>
      </c>
      <c r="P51" s="22">
        <f>'9A Sem 1'!O19</f>
        <v>82</v>
      </c>
      <c r="Q51" s="22">
        <f>'9A Sem 1'!P19</f>
        <v>87</v>
      </c>
      <c r="R51" s="22">
        <f>'9A Sem 1'!Q19</f>
        <v>74</v>
      </c>
      <c r="S51" s="22">
        <f>'9A Sem 1'!R19</f>
        <v>960</v>
      </c>
      <c r="T51" s="22">
        <f>'9A Sem 1'!S19</f>
        <v>73.84615384615384</v>
      </c>
      <c r="U51" s="22">
        <f>'9A Sem 1'!T19</f>
        <v>30</v>
      </c>
      <c r="V51" s="36">
        <f>'9A Sem 1'!U19</f>
        <v>0</v>
      </c>
      <c r="W51" s="36">
        <f>'9A Sem 1'!V19</f>
        <v>0</v>
      </c>
      <c r="X51" s="5"/>
      <c r="Y51" s="5"/>
      <c r="Z51" s="5"/>
      <c r="AA51" s="5"/>
      <c r="AB51" s="5"/>
    </row>
    <row r="52" spans="1:28" ht="17.25" customHeight="1" thickBot="1" x14ac:dyDescent="0.3">
      <c r="A52" s="234"/>
      <c r="B52" s="218"/>
      <c r="C52" s="213">
        <v>14</v>
      </c>
      <c r="D52" s="215" t="s">
        <v>20</v>
      </c>
      <c r="E52" s="21" t="s">
        <v>22</v>
      </c>
      <c r="F52" s="22">
        <f>'9A Sem 2'!E19</f>
        <v>81</v>
      </c>
      <c r="G52" s="22">
        <f>'9A Sem 2'!F19</f>
        <v>88</v>
      </c>
      <c r="H52" s="22">
        <f>'9A Sem 2'!G19</f>
        <v>67</v>
      </c>
      <c r="I52" s="22">
        <f>'9A Sem 2'!H19</f>
        <v>55</v>
      </c>
      <c r="J52" s="22">
        <f>'9A Sem 2'!I19</f>
        <v>67</v>
      </c>
      <c r="K52" s="22">
        <f>'9A Sem 2'!J19</f>
        <v>86</v>
      </c>
      <c r="L52" s="22">
        <f>'9A Sem 2'!K19</f>
        <v>88</v>
      </c>
      <c r="M52" s="22">
        <f>'9A Sem 2'!L19</f>
        <v>83</v>
      </c>
      <c r="N52" s="22">
        <f>'9A Sem 2'!M19</f>
        <v>83</v>
      </c>
      <c r="O52" s="22">
        <f>'9A Sem 2'!N19</f>
        <v>74</v>
      </c>
      <c r="P52" s="22">
        <f>'9A Sem 2'!O19</f>
        <v>85</v>
      </c>
      <c r="Q52" s="22">
        <f>'9A Sem 2'!P19</f>
        <v>92</v>
      </c>
      <c r="R52" s="22">
        <f>'9A Sem 2'!Q19</f>
        <v>62</v>
      </c>
      <c r="S52" s="22">
        <f>'9A Sem 2'!R19</f>
        <v>1011</v>
      </c>
      <c r="T52" s="22">
        <f>'9A Sem 2'!S19</f>
        <v>77.769230769230774</v>
      </c>
      <c r="U52" s="22">
        <f>'9A Sem 2'!T19</f>
        <v>25</v>
      </c>
      <c r="V52" s="36">
        <f>'9A Sem 2'!U19</f>
        <v>0</v>
      </c>
      <c r="W52" s="36">
        <f>'9A Sem 2'!V19</f>
        <v>0</v>
      </c>
      <c r="X52" s="5"/>
      <c r="Y52" s="5"/>
      <c r="Z52" s="5"/>
      <c r="AA52" s="5"/>
      <c r="AB52" s="5"/>
    </row>
    <row r="53" spans="1:28" ht="17.25" customHeight="1" thickBot="1" x14ac:dyDescent="0.3">
      <c r="A53" s="234"/>
      <c r="B53" s="218"/>
      <c r="C53" s="213">
        <v>14</v>
      </c>
      <c r="D53" s="215" t="s">
        <v>20</v>
      </c>
      <c r="E53" s="21" t="s">
        <v>16</v>
      </c>
      <c r="F53" s="22">
        <f>AVERAGE(F51:F52)</f>
        <v>79.5</v>
      </c>
      <c r="G53" s="22">
        <f t="shared" ref="G53:W53" si="15">AVERAGE(G51:G52)</f>
        <v>86.5</v>
      </c>
      <c r="H53" s="22">
        <f t="shared" si="15"/>
        <v>60.5</v>
      </c>
      <c r="I53" s="22">
        <f t="shared" si="15"/>
        <v>60.5</v>
      </c>
      <c r="J53" s="22">
        <f t="shared" si="15"/>
        <v>62.5</v>
      </c>
      <c r="K53" s="22">
        <f t="shared" si="15"/>
        <v>75.5</v>
      </c>
      <c r="L53" s="22">
        <f t="shared" si="15"/>
        <v>83.5</v>
      </c>
      <c r="M53" s="22">
        <f t="shared" si="15"/>
        <v>73</v>
      </c>
      <c r="N53" s="22">
        <f t="shared" si="15"/>
        <v>87</v>
      </c>
      <c r="O53" s="22">
        <f t="shared" si="15"/>
        <v>76</v>
      </c>
      <c r="P53" s="22">
        <f t="shared" si="15"/>
        <v>83.5</v>
      </c>
      <c r="Q53" s="22">
        <f t="shared" si="15"/>
        <v>89.5</v>
      </c>
      <c r="R53" s="22">
        <f t="shared" si="15"/>
        <v>68</v>
      </c>
      <c r="S53" s="22">
        <f t="shared" si="15"/>
        <v>985.5</v>
      </c>
      <c r="T53" s="22">
        <f t="shared" si="15"/>
        <v>75.807692307692307</v>
      </c>
      <c r="U53" s="22">
        <f>'9A Sem avr'!$H$19</f>
        <v>26</v>
      </c>
      <c r="V53" s="22">
        <f t="shared" si="15"/>
        <v>0</v>
      </c>
      <c r="W53" s="22">
        <f t="shared" si="15"/>
        <v>0</v>
      </c>
      <c r="X53" s="5"/>
      <c r="Y53" s="5"/>
      <c r="Z53" s="5"/>
      <c r="AA53" s="5"/>
      <c r="AB53" s="5"/>
    </row>
    <row r="54" spans="1:28" ht="17.25" customHeight="1" thickBot="1" x14ac:dyDescent="0.3">
      <c r="A54" s="234">
        <v>17</v>
      </c>
      <c r="B54" s="218"/>
      <c r="C54" s="213">
        <v>14</v>
      </c>
      <c r="D54" s="215" t="s">
        <v>20</v>
      </c>
      <c r="E54" s="21" t="s">
        <v>21</v>
      </c>
      <c r="F54" s="22">
        <f>'9A Sem 1'!E20</f>
        <v>62</v>
      </c>
      <c r="G54" s="22">
        <f>'9A Sem 1'!F20</f>
        <v>45</v>
      </c>
      <c r="H54" s="22">
        <f>'9A Sem 1'!G20</f>
        <v>47</v>
      </c>
      <c r="I54" s="22">
        <f>'9A Sem 1'!H20</f>
        <v>45</v>
      </c>
      <c r="J54" s="22">
        <f>'9A Sem 1'!I20</f>
        <v>50</v>
      </c>
      <c r="K54" s="22">
        <f>'9A Sem 1'!J20</f>
        <v>43</v>
      </c>
      <c r="L54" s="22">
        <f>'9A Sem 1'!K20</f>
        <v>52</v>
      </c>
      <c r="M54" s="22">
        <f>'9A Sem 1'!L20</f>
        <v>43</v>
      </c>
      <c r="N54" s="22">
        <f>'9A Sem 1'!M20</f>
        <v>57</v>
      </c>
      <c r="O54" s="22">
        <f>'9A Sem 1'!N20</f>
        <v>53</v>
      </c>
      <c r="P54" s="22">
        <f>'9A Sem 1'!O20</f>
        <v>47</v>
      </c>
      <c r="Q54" s="22">
        <f>'9A Sem 1'!P20</f>
        <v>65</v>
      </c>
      <c r="R54" s="22">
        <f>'9A Sem 1'!Q20</f>
        <v>61</v>
      </c>
      <c r="S54" s="22">
        <f>'9A Sem 1'!R20</f>
        <v>670</v>
      </c>
      <c r="T54" s="22">
        <f>'9A Sem 1'!S20</f>
        <v>51.53846153846154</v>
      </c>
      <c r="U54" s="22">
        <f>'9A Sem 1'!T20</f>
        <v>55</v>
      </c>
      <c r="V54" s="36">
        <f>'9A Sem 1'!U20</f>
        <v>0</v>
      </c>
      <c r="W54" s="36">
        <f>'9A Sem 1'!V20</f>
        <v>0</v>
      </c>
      <c r="X54" s="5"/>
      <c r="Y54" s="5"/>
      <c r="Z54" s="5"/>
      <c r="AA54" s="5"/>
      <c r="AB54" s="5"/>
    </row>
    <row r="55" spans="1:28" ht="17.25" customHeight="1" thickBot="1" x14ac:dyDescent="0.3">
      <c r="A55" s="234"/>
      <c r="B55" s="218"/>
      <c r="C55" s="213">
        <v>14</v>
      </c>
      <c r="D55" s="215" t="s">
        <v>20</v>
      </c>
      <c r="E55" s="21" t="s">
        <v>22</v>
      </c>
      <c r="F55" s="22">
        <f>'9A Sem 2'!E20</f>
        <v>52</v>
      </c>
      <c r="G55" s="22">
        <f>'9A Sem 2'!F20</f>
        <v>46</v>
      </c>
      <c r="H55" s="22">
        <f>'9A Sem 2'!G20</f>
        <v>45</v>
      </c>
      <c r="I55" s="22">
        <f>'9A Sem 2'!H20</f>
        <v>32</v>
      </c>
      <c r="J55" s="22">
        <f>'9A Sem 2'!I20</f>
        <v>39</v>
      </c>
      <c r="K55" s="22">
        <f>'9A Sem 2'!J20</f>
        <v>41</v>
      </c>
      <c r="L55" s="22">
        <f>'9A Sem 2'!K20</f>
        <v>35</v>
      </c>
      <c r="M55" s="22">
        <f>'9A Sem 2'!L20</f>
        <v>52</v>
      </c>
      <c r="N55" s="22">
        <f>'9A Sem 2'!M20</f>
        <v>54</v>
      </c>
      <c r="O55" s="22">
        <f>'9A Sem 2'!N20</f>
        <v>61</v>
      </c>
      <c r="P55" s="22">
        <f>'9A Sem 2'!O20</f>
        <v>36</v>
      </c>
      <c r="Q55" s="22">
        <f>'9A Sem 2'!P20</f>
        <v>75</v>
      </c>
      <c r="R55" s="22">
        <f>'9A Sem 2'!Q20</f>
        <v>61</v>
      </c>
      <c r="S55" s="22">
        <f>'9A Sem 2'!R20</f>
        <v>629</v>
      </c>
      <c r="T55" s="22">
        <f>'9A Sem 2'!S20</f>
        <v>48.384615384615387</v>
      </c>
      <c r="U55" s="22">
        <f>'9A Sem 2'!T20</f>
        <v>54</v>
      </c>
      <c r="V55" s="36">
        <f>'9A Sem 2'!U20</f>
        <v>0</v>
      </c>
      <c r="W55" s="36">
        <f>'9A Sem 2'!V20</f>
        <v>0</v>
      </c>
      <c r="X55" s="5"/>
      <c r="Y55" s="5"/>
      <c r="Z55" s="5"/>
      <c r="AA55" s="5"/>
      <c r="AB55" s="5"/>
    </row>
    <row r="56" spans="1:28" ht="17.25" customHeight="1" thickBot="1" x14ac:dyDescent="0.3">
      <c r="A56" s="234"/>
      <c r="B56" s="218"/>
      <c r="C56" s="213">
        <v>14</v>
      </c>
      <c r="D56" s="215" t="s">
        <v>20</v>
      </c>
      <c r="E56" s="21" t="s">
        <v>16</v>
      </c>
      <c r="F56" s="22">
        <f>AVERAGE(F54:F55)</f>
        <v>57</v>
      </c>
      <c r="G56" s="22">
        <f t="shared" ref="G56:W56" si="16">AVERAGE(G54:G55)</f>
        <v>45.5</v>
      </c>
      <c r="H56" s="22">
        <f t="shared" si="16"/>
        <v>46</v>
      </c>
      <c r="I56" s="22">
        <f t="shared" si="16"/>
        <v>38.5</v>
      </c>
      <c r="J56" s="22">
        <f t="shared" si="16"/>
        <v>44.5</v>
      </c>
      <c r="K56" s="22">
        <f t="shared" si="16"/>
        <v>42</v>
      </c>
      <c r="L56" s="22">
        <f t="shared" si="16"/>
        <v>43.5</v>
      </c>
      <c r="M56" s="22">
        <f t="shared" si="16"/>
        <v>47.5</v>
      </c>
      <c r="N56" s="22">
        <f t="shared" si="16"/>
        <v>55.5</v>
      </c>
      <c r="O56" s="22">
        <f t="shared" si="16"/>
        <v>57</v>
      </c>
      <c r="P56" s="22">
        <f t="shared" si="16"/>
        <v>41.5</v>
      </c>
      <c r="Q56" s="22">
        <f t="shared" si="16"/>
        <v>70</v>
      </c>
      <c r="R56" s="22">
        <f t="shared" si="16"/>
        <v>61</v>
      </c>
      <c r="S56" s="22">
        <f t="shared" si="16"/>
        <v>649.5</v>
      </c>
      <c r="T56" s="22">
        <f t="shared" si="16"/>
        <v>49.961538461538467</v>
      </c>
      <c r="U56" s="22">
        <f>'9A Sem avr'!$H$20</f>
        <v>54</v>
      </c>
      <c r="V56" s="22">
        <f t="shared" si="16"/>
        <v>0</v>
      </c>
      <c r="W56" s="22">
        <f t="shared" si="16"/>
        <v>0</v>
      </c>
      <c r="X56" s="5"/>
      <c r="Y56" s="5"/>
      <c r="Z56" s="5"/>
      <c r="AA56" s="5"/>
      <c r="AB56" s="5"/>
    </row>
    <row r="57" spans="1:28" ht="17.25" customHeight="1" thickBot="1" x14ac:dyDescent="0.3">
      <c r="A57" s="234">
        <v>18</v>
      </c>
      <c r="B57" s="218"/>
      <c r="C57" s="214">
        <v>15</v>
      </c>
      <c r="D57" s="231" t="s">
        <v>20</v>
      </c>
      <c r="E57" s="21" t="s">
        <v>21</v>
      </c>
      <c r="F57" s="22">
        <f>'9A Sem 1'!E21</f>
        <v>68</v>
      </c>
      <c r="G57" s="22">
        <f>'9A Sem 1'!F21</f>
        <v>65</v>
      </c>
      <c r="H57" s="23">
        <f>'9A Sem 1'!G21</f>
        <v>68</v>
      </c>
      <c r="I57" s="22">
        <f>'9A Sem 1'!H21</f>
        <v>51</v>
      </c>
      <c r="J57" s="22">
        <f>'9A Sem 1'!I21</f>
        <v>56</v>
      </c>
      <c r="K57" s="22">
        <f>'9A Sem 1'!J21</f>
        <v>54</v>
      </c>
      <c r="L57" s="22">
        <f>'9A Sem 1'!K21</f>
        <v>56</v>
      </c>
      <c r="M57" s="22">
        <f>'9A Sem 1'!L21</f>
        <v>48</v>
      </c>
      <c r="N57" s="22">
        <f>'9A Sem 1'!M21</f>
        <v>64</v>
      </c>
      <c r="O57" s="22">
        <f>'9A Sem 1'!N21</f>
        <v>69</v>
      </c>
      <c r="P57" s="22">
        <f>'9A Sem 1'!O21</f>
        <v>58</v>
      </c>
      <c r="Q57" s="22">
        <f>'9A Sem 1'!P21</f>
        <v>91</v>
      </c>
      <c r="R57" s="22">
        <f>'9A Sem 1'!Q21</f>
        <v>61</v>
      </c>
      <c r="S57" s="22">
        <f>'9A Sem 1'!R21</f>
        <v>809</v>
      </c>
      <c r="T57" s="22">
        <f>'9A Sem 1'!S21</f>
        <v>62.230769230769234</v>
      </c>
      <c r="U57" s="22">
        <f>'9A Sem 1'!T21</f>
        <v>49</v>
      </c>
      <c r="V57" s="36">
        <f>'9A Sem 1'!U21</f>
        <v>0</v>
      </c>
      <c r="W57" s="36">
        <f>'9A Sem 1'!V21</f>
        <v>0</v>
      </c>
      <c r="X57" s="5"/>
      <c r="Y57" s="5"/>
      <c r="Z57" s="5"/>
      <c r="AA57" s="5"/>
      <c r="AB57" s="5"/>
    </row>
    <row r="58" spans="1:28" ht="18.75" customHeight="1" thickBot="1" x14ac:dyDescent="0.3">
      <c r="A58" s="234"/>
      <c r="B58" s="218"/>
      <c r="C58" s="229">
        <v>15</v>
      </c>
      <c r="D58" s="232" t="s">
        <v>20</v>
      </c>
      <c r="E58" s="21" t="s">
        <v>22</v>
      </c>
      <c r="F58" s="22">
        <f>'9A Sem 2'!E21</f>
        <v>74</v>
      </c>
      <c r="G58" s="22">
        <f>'9A Sem 2'!F21</f>
        <v>65</v>
      </c>
      <c r="H58" s="23">
        <f>'9A Sem 2'!G21</f>
        <v>63</v>
      </c>
      <c r="I58" s="22">
        <f>'9A Sem 2'!H21</f>
        <v>46</v>
      </c>
      <c r="J58" s="22">
        <f>'9A Sem 2'!I21</f>
        <v>49</v>
      </c>
      <c r="K58" s="22">
        <f>'9A Sem 2'!J21</f>
        <v>59</v>
      </c>
      <c r="L58" s="22">
        <f>'9A Sem 2'!K21</f>
        <v>60</v>
      </c>
      <c r="M58" s="22">
        <f>'9A Sem 2'!L21</f>
        <v>67</v>
      </c>
      <c r="N58" s="22">
        <f>'9A Sem 2'!M21</f>
        <v>58</v>
      </c>
      <c r="O58" s="22">
        <f>'9A Sem 2'!N21</f>
        <v>75</v>
      </c>
      <c r="P58" s="22">
        <f>'9A Sem 2'!O21</f>
        <v>70</v>
      </c>
      <c r="Q58" s="22">
        <f>'9A Sem 2'!P21</f>
        <v>80</v>
      </c>
      <c r="R58" s="22">
        <f>'9A Sem 2'!Q21</f>
        <v>65</v>
      </c>
      <c r="S58" s="22">
        <f>'9A Sem 2'!R21</f>
        <v>831</v>
      </c>
      <c r="T58" s="22">
        <f>'9A Sem 2'!S21</f>
        <v>63.92307692307692</v>
      </c>
      <c r="U58" s="22">
        <f>'9A Sem 2'!T21</f>
        <v>48</v>
      </c>
      <c r="V58" s="36">
        <f>'9A Sem 2'!U21</f>
        <v>0</v>
      </c>
      <c r="W58" s="36">
        <f>'9A Sem 2'!V21</f>
        <v>0</v>
      </c>
      <c r="X58" s="5"/>
      <c r="Y58" s="5"/>
      <c r="Z58" s="5"/>
      <c r="AA58" s="5"/>
      <c r="AB58" s="5"/>
    </row>
    <row r="59" spans="1:28" ht="18.75" customHeight="1" thickBot="1" x14ac:dyDescent="0.3">
      <c r="A59" s="234"/>
      <c r="B59" s="218"/>
      <c r="C59" s="230">
        <v>15</v>
      </c>
      <c r="D59" s="233" t="s">
        <v>20</v>
      </c>
      <c r="E59" s="21" t="s">
        <v>16</v>
      </c>
      <c r="F59" s="22">
        <f>AVERAGE(F57:F58)</f>
        <v>71</v>
      </c>
      <c r="G59" s="22">
        <f t="shared" ref="G59:W59" si="17">AVERAGE(G57:G58)</f>
        <v>65</v>
      </c>
      <c r="H59" s="22">
        <f t="shared" si="17"/>
        <v>65.5</v>
      </c>
      <c r="I59" s="22">
        <f t="shared" si="17"/>
        <v>48.5</v>
      </c>
      <c r="J59" s="22">
        <f t="shared" si="17"/>
        <v>52.5</v>
      </c>
      <c r="K59" s="22">
        <f t="shared" si="17"/>
        <v>56.5</v>
      </c>
      <c r="L59" s="22">
        <f t="shared" si="17"/>
        <v>58</v>
      </c>
      <c r="M59" s="22">
        <f t="shared" si="17"/>
        <v>57.5</v>
      </c>
      <c r="N59" s="22">
        <f t="shared" si="17"/>
        <v>61</v>
      </c>
      <c r="O59" s="22">
        <f t="shared" si="17"/>
        <v>72</v>
      </c>
      <c r="P59" s="22">
        <f t="shared" si="17"/>
        <v>64</v>
      </c>
      <c r="Q59" s="22">
        <f t="shared" si="17"/>
        <v>85.5</v>
      </c>
      <c r="R59" s="22">
        <f t="shared" si="17"/>
        <v>63</v>
      </c>
      <c r="S59" s="22">
        <f t="shared" si="17"/>
        <v>820</v>
      </c>
      <c r="T59" s="22">
        <f t="shared" si="17"/>
        <v>63.07692307692308</v>
      </c>
      <c r="U59" s="22">
        <f>'9A Sem avr'!$H$21</f>
        <v>48</v>
      </c>
      <c r="V59" s="22">
        <f t="shared" si="17"/>
        <v>0</v>
      </c>
      <c r="W59" s="22">
        <f t="shared" si="17"/>
        <v>0</v>
      </c>
      <c r="X59" s="5"/>
      <c r="Y59" s="5"/>
      <c r="Z59" s="5"/>
      <c r="AA59" s="5"/>
      <c r="AB59" s="5"/>
    </row>
    <row r="60" spans="1:28" ht="18.75" customHeight="1" thickBot="1" x14ac:dyDescent="0.3">
      <c r="A60" s="241">
        <v>19</v>
      </c>
      <c r="B60" s="218"/>
      <c r="C60" s="213">
        <v>14</v>
      </c>
      <c r="D60" s="215" t="s">
        <v>20</v>
      </c>
      <c r="E60" s="21" t="s">
        <v>21</v>
      </c>
      <c r="F60" s="22">
        <f>'9A Sem 1'!E22</f>
        <v>77</v>
      </c>
      <c r="G60" s="22">
        <f>'9A Sem 1'!F22</f>
        <v>95</v>
      </c>
      <c r="H60" s="22">
        <f>'9A Sem 1'!G22</f>
        <v>83</v>
      </c>
      <c r="I60" s="22">
        <f>'9A Sem 1'!H22</f>
        <v>83</v>
      </c>
      <c r="J60" s="22">
        <f>'9A Sem 1'!I22</f>
        <v>86</v>
      </c>
      <c r="K60" s="22">
        <f>'9A Sem 1'!J22</f>
        <v>92</v>
      </c>
      <c r="L60" s="22">
        <f>'9A Sem 1'!K22</f>
        <v>84</v>
      </c>
      <c r="M60" s="22">
        <f>'9A Sem 1'!L22</f>
        <v>78</v>
      </c>
      <c r="N60" s="22">
        <f>'9A Sem 1'!M22</f>
        <v>89</v>
      </c>
      <c r="O60" s="22">
        <f>'9A Sem 1'!N22</f>
        <v>90</v>
      </c>
      <c r="P60" s="22">
        <f>'9A Sem 1'!O22</f>
        <v>85</v>
      </c>
      <c r="Q60" s="22">
        <f>'9A Sem 1'!P22</f>
        <v>95</v>
      </c>
      <c r="R60" s="22">
        <f>'9A Sem 1'!Q22</f>
        <v>89</v>
      </c>
      <c r="S60" s="22">
        <f>'9A Sem 1'!R22</f>
        <v>1126</v>
      </c>
      <c r="T60" s="22">
        <f>'9A Sem 1'!S22</f>
        <v>86.615384615384613</v>
      </c>
      <c r="U60" s="22">
        <f>'9A Sem 1'!T22</f>
        <v>6</v>
      </c>
      <c r="V60" s="36">
        <f>'9A Sem 1'!U22</f>
        <v>0</v>
      </c>
      <c r="W60" s="36">
        <f>'9A Sem 1'!V22</f>
        <v>0</v>
      </c>
      <c r="X60" s="5"/>
      <c r="Y60" s="5"/>
      <c r="Z60" s="5"/>
      <c r="AA60" s="5"/>
      <c r="AB60" s="5"/>
    </row>
    <row r="61" spans="1:28" ht="18.75" customHeight="1" thickBot="1" x14ac:dyDescent="0.3">
      <c r="A61" s="241"/>
      <c r="B61" s="218"/>
      <c r="C61" s="213">
        <v>14</v>
      </c>
      <c r="D61" s="215" t="s">
        <v>20</v>
      </c>
      <c r="E61" s="21" t="s">
        <v>22</v>
      </c>
      <c r="F61" s="22">
        <f>'9A Sem 2'!E22</f>
        <v>79</v>
      </c>
      <c r="G61" s="22">
        <f>'9A Sem 2'!F22</f>
        <v>90</v>
      </c>
      <c r="H61" s="22">
        <f>'9A Sem 2'!G22</f>
        <v>88</v>
      </c>
      <c r="I61" s="22">
        <f>'9A Sem 2'!H22</f>
        <v>86</v>
      </c>
      <c r="J61" s="22">
        <f>'9A Sem 2'!I22</f>
        <v>84</v>
      </c>
      <c r="K61" s="22">
        <f>'9A Sem 2'!J22</f>
        <v>96</v>
      </c>
      <c r="L61" s="22">
        <f>'9A Sem 2'!K22</f>
        <v>95</v>
      </c>
      <c r="M61" s="22">
        <f>'9A Sem 2'!L22</f>
        <v>95</v>
      </c>
      <c r="N61" s="22">
        <f>'9A Sem 2'!M22</f>
        <v>92</v>
      </c>
      <c r="O61" s="22">
        <f>'9A Sem 2'!N22</f>
        <v>92</v>
      </c>
      <c r="P61" s="22">
        <f>'9A Sem 2'!O22</f>
        <v>92</v>
      </c>
      <c r="Q61" s="22">
        <f>'9A Sem 2'!P22</f>
        <v>94</v>
      </c>
      <c r="R61" s="22">
        <f>'9A Sem 2'!Q22</f>
        <v>87</v>
      </c>
      <c r="S61" s="22">
        <f>'9A Sem 2'!R22</f>
        <v>1170</v>
      </c>
      <c r="T61" s="22">
        <f>'9A Sem 2'!S22</f>
        <v>90</v>
      </c>
      <c r="U61" s="22">
        <f>'9A Sem 2'!T22</f>
        <v>4</v>
      </c>
      <c r="V61" s="36">
        <f>'9A Sem 2'!U22</f>
        <v>0</v>
      </c>
      <c r="W61" s="36">
        <f>'9A Sem 2'!V22</f>
        <v>0</v>
      </c>
      <c r="X61" s="5"/>
      <c r="Y61" s="5"/>
      <c r="Z61" s="5"/>
      <c r="AA61" s="5"/>
      <c r="AB61" s="5"/>
    </row>
    <row r="62" spans="1:28" ht="18.75" customHeight="1" thickBot="1" x14ac:dyDescent="0.3">
      <c r="A62" s="241"/>
      <c r="B62" s="218"/>
      <c r="C62" s="213">
        <v>14</v>
      </c>
      <c r="D62" s="215" t="s">
        <v>20</v>
      </c>
      <c r="E62" s="21" t="s">
        <v>16</v>
      </c>
      <c r="F62" s="22">
        <f>AVERAGE(F60:F61)</f>
        <v>78</v>
      </c>
      <c r="G62" s="22">
        <f t="shared" ref="G62:W62" si="18">AVERAGE(G60:G61)</f>
        <v>92.5</v>
      </c>
      <c r="H62" s="22">
        <f t="shared" si="18"/>
        <v>85.5</v>
      </c>
      <c r="I62" s="22">
        <f t="shared" si="18"/>
        <v>84.5</v>
      </c>
      <c r="J62" s="22">
        <f t="shared" si="18"/>
        <v>85</v>
      </c>
      <c r="K62" s="22">
        <f t="shared" si="18"/>
        <v>94</v>
      </c>
      <c r="L62" s="22">
        <f t="shared" si="18"/>
        <v>89.5</v>
      </c>
      <c r="M62" s="22">
        <f t="shared" si="18"/>
        <v>86.5</v>
      </c>
      <c r="N62" s="22">
        <f t="shared" si="18"/>
        <v>90.5</v>
      </c>
      <c r="O62" s="22">
        <f t="shared" si="18"/>
        <v>91</v>
      </c>
      <c r="P62" s="22">
        <f t="shared" si="18"/>
        <v>88.5</v>
      </c>
      <c r="Q62" s="22">
        <f t="shared" si="18"/>
        <v>94.5</v>
      </c>
      <c r="R62" s="22">
        <f t="shared" si="18"/>
        <v>88</v>
      </c>
      <c r="S62" s="22">
        <f t="shared" si="18"/>
        <v>1148</v>
      </c>
      <c r="T62" s="22">
        <f t="shared" si="18"/>
        <v>88.307692307692307</v>
      </c>
      <c r="U62" s="22">
        <f>'9A Sem avr'!$H$22</f>
        <v>4</v>
      </c>
      <c r="V62" s="22">
        <f t="shared" si="18"/>
        <v>0</v>
      </c>
      <c r="W62" s="22">
        <f t="shared" si="18"/>
        <v>0</v>
      </c>
      <c r="X62" s="5"/>
      <c r="Y62" s="5"/>
      <c r="Z62" s="5"/>
      <c r="AA62" s="5"/>
      <c r="AB62" s="5"/>
    </row>
    <row r="63" spans="1:28" ht="18.75" customHeight="1" thickBot="1" x14ac:dyDescent="0.3">
      <c r="A63" s="241">
        <v>20</v>
      </c>
      <c r="B63" s="218"/>
      <c r="C63" s="213">
        <v>15</v>
      </c>
      <c r="D63" s="215" t="s">
        <v>20</v>
      </c>
      <c r="E63" s="21" t="s">
        <v>21</v>
      </c>
      <c r="F63" s="22">
        <f>'9A Sem 1'!E23</f>
        <v>86</v>
      </c>
      <c r="G63" s="22">
        <f>'9A Sem 1'!F23</f>
        <v>68</v>
      </c>
      <c r="H63" s="22">
        <f>'9A Sem 1'!G23</f>
        <v>57</v>
      </c>
      <c r="I63" s="22">
        <f>'9A Sem 1'!H23</f>
        <v>74</v>
      </c>
      <c r="J63" s="22">
        <f>'9A Sem 1'!I23</f>
        <v>65</v>
      </c>
      <c r="K63" s="22">
        <f>'9A Sem 1'!J23</f>
        <v>61</v>
      </c>
      <c r="L63" s="22">
        <f>'9A Sem 1'!K23</f>
        <v>81</v>
      </c>
      <c r="M63" s="22">
        <f>'9A Sem 1'!L23</f>
        <v>65</v>
      </c>
      <c r="N63" s="22">
        <f>'9A Sem 1'!M23</f>
        <v>82</v>
      </c>
      <c r="O63" s="22">
        <f>'9A Sem 1'!N23</f>
        <v>79</v>
      </c>
      <c r="P63" s="22">
        <f>'9A Sem 1'!O23</f>
        <v>72</v>
      </c>
      <c r="Q63" s="22">
        <f>'9A Sem 1'!P23</f>
        <v>93</v>
      </c>
      <c r="R63" s="22">
        <f>'9A Sem 1'!Q23</f>
        <v>81</v>
      </c>
      <c r="S63" s="22">
        <f>'9A Sem 1'!R23</f>
        <v>964</v>
      </c>
      <c r="T63" s="22">
        <f>'9A Sem 1'!S23</f>
        <v>74.15384615384616</v>
      </c>
      <c r="U63" s="22">
        <f>'9A Sem 1'!T23</f>
        <v>28</v>
      </c>
      <c r="V63" s="36">
        <f>'9A Sem 1'!U23</f>
        <v>0</v>
      </c>
      <c r="W63" s="36">
        <f>'9A Sem 1'!V23</f>
        <v>0</v>
      </c>
      <c r="X63" s="5"/>
      <c r="Y63" s="5"/>
      <c r="Z63" s="5"/>
      <c r="AA63" s="5"/>
      <c r="AB63" s="5"/>
    </row>
    <row r="64" spans="1:28" ht="18.75" customHeight="1" thickBot="1" x14ac:dyDescent="0.3">
      <c r="A64" s="241"/>
      <c r="B64" s="218"/>
      <c r="C64" s="213">
        <v>15</v>
      </c>
      <c r="D64" s="215" t="s">
        <v>20</v>
      </c>
      <c r="E64" s="21" t="s">
        <v>22</v>
      </c>
      <c r="F64" s="22">
        <f>'9A Sem 2'!E23</f>
        <v>83</v>
      </c>
      <c r="G64" s="22">
        <f>'9A Sem 2'!F23</f>
        <v>67</v>
      </c>
      <c r="H64" s="22">
        <f>'9A Sem 2'!G23</f>
        <v>67</v>
      </c>
      <c r="I64" s="22">
        <f>'9A Sem 2'!H23</f>
        <v>55</v>
      </c>
      <c r="J64" s="22">
        <f>'9A Sem 2'!I23</f>
        <v>59</v>
      </c>
      <c r="K64" s="22">
        <f>'9A Sem 2'!J23</f>
        <v>67</v>
      </c>
      <c r="L64" s="22">
        <f>'9A Sem 2'!K23</f>
        <v>64</v>
      </c>
      <c r="M64" s="22">
        <f>'9A Sem 2'!L23</f>
        <v>83</v>
      </c>
      <c r="N64" s="22">
        <f>'9A Sem 2'!M23</f>
        <v>64</v>
      </c>
      <c r="O64" s="22">
        <f>'9A Sem 2'!N23</f>
        <v>72</v>
      </c>
      <c r="P64" s="22">
        <f>'9A Sem 2'!O23</f>
        <v>73</v>
      </c>
      <c r="Q64" s="22">
        <f>'9A Sem 2'!P23</f>
        <v>86</v>
      </c>
      <c r="R64" s="22">
        <f>'9A Sem 2'!Q23</f>
        <v>64</v>
      </c>
      <c r="S64" s="22">
        <f>'9A Sem 2'!R23</f>
        <v>904</v>
      </c>
      <c r="T64" s="22">
        <f>'9A Sem 2'!S23</f>
        <v>69.538461538461533</v>
      </c>
      <c r="U64" s="22">
        <f>'9A Sem 2'!T23</f>
        <v>42</v>
      </c>
      <c r="V64" s="36">
        <f>'9A Sem 2'!U23</f>
        <v>0</v>
      </c>
      <c r="W64" s="36">
        <f>'9A Sem 2'!V23</f>
        <v>0</v>
      </c>
      <c r="X64" s="5"/>
      <c r="Y64" s="5"/>
      <c r="Z64" s="5"/>
      <c r="AA64" s="5"/>
      <c r="AB64" s="5"/>
    </row>
    <row r="65" spans="1:28" ht="18.75" customHeight="1" thickBot="1" x14ac:dyDescent="0.3">
      <c r="A65" s="241"/>
      <c r="B65" s="218"/>
      <c r="C65" s="213">
        <v>15</v>
      </c>
      <c r="D65" s="215" t="s">
        <v>20</v>
      </c>
      <c r="E65" s="21" t="s">
        <v>16</v>
      </c>
      <c r="F65" s="22">
        <f>AVERAGE(F63:F64)</f>
        <v>84.5</v>
      </c>
      <c r="G65" s="22">
        <f t="shared" ref="G65:W65" si="19">AVERAGE(G63:G64)</f>
        <v>67.5</v>
      </c>
      <c r="H65" s="22">
        <f t="shared" si="19"/>
        <v>62</v>
      </c>
      <c r="I65" s="22">
        <f t="shared" si="19"/>
        <v>64.5</v>
      </c>
      <c r="J65" s="22">
        <f t="shared" si="19"/>
        <v>62</v>
      </c>
      <c r="K65" s="22">
        <f t="shared" si="19"/>
        <v>64</v>
      </c>
      <c r="L65" s="22">
        <f t="shared" si="19"/>
        <v>72.5</v>
      </c>
      <c r="M65" s="22">
        <f t="shared" si="19"/>
        <v>74</v>
      </c>
      <c r="N65" s="22">
        <f t="shared" si="19"/>
        <v>73</v>
      </c>
      <c r="O65" s="22">
        <f t="shared" si="19"/>
        <v>75.5</v>
      </c>
      <c r="P65" s="22">
        <f t="shared" si="19"/>
        <v>72.5</v>
      </c>
      <c r="Q65" s="22">
        <f t="shared" si="19"/>
        <v>89.5</v>
      </c>
      <c r="R65" s="22">
        <f t="shared" si="19"/>
        <v>72.5</v>
      </c>
      <c r="S65" s="22">
        <f t="shared" si="19"/>
        <v>934</v>
      </c>
      <c r="T65" s="22">
        <f t="shared" si="19"/>
        <v>71.84615384615384</v>
      </c>
      <c r="U65" s="22">
        <f>'9A Sem avr'!$H$23</f>
        <v>37</v>
      </c>
      <c r="V65" s="22">
        <f t="shared" si="19"/>
        <v>0</v>
      </c>
      <c r="W65" s="22">
        <f t="shared" si="19"/>
        <v>0</v>
      </c>
      <c r="X65" s="5"/>
      <c r="Y65" s="5"/>
      <c r="Z65" s="5"/>
      <c r="AA65" s="5"/>
      <c r="AB65" s="5"/>
    </row>
    <row r="66" spans="1:28" ht="18.75" customHeight="1" thickBot="1" x14ac:dyDescent="0.3">
      <c r="A66" s="241">
        <v>21</v>
      </c>
      <c r="B66" s="218"/>
      <c r="C66" s="213">
        <v>14</v>
      </c>
      <c r="D66" s="215" t="s">
        <v>23</v>
      </c>
      <c r="E66" s="21" t="s">
        <v>21</v>
      </c>
      <c r="F66" s="22">
        <f>'9A Sem 1'!E24</f>
        <v>91</v>
      </c>
      <c r="G66" s="22">
        <f>'9A Sem 1'!F24</f>
        <v>86</v>
      </c>
      <c r="H66" s="22">
        <f>'9A Sem 1'!G24</f>
        <v>87</v>
      </c>
      <c r="I66" s="22">
        <f>'9A Sem 1'!H24</f>
        <v>84</v>
      </c>
      <c r="J66" s="22">
        <f>'9A Sem 1'!I24</f>
        <v>83</v>
      </c>
      <c r="K66" s="22">
        <f>'9A Sem 1'!J24</f>
        <v>83</v>
      </c>
      <c r="L66" s="22">
        <f>'9A Sem 1'!K24</f>
        <v>78</v>
      </c>
      <c r="M66" s="22">
        <f>'9A Sem 1'!L24</f>
        <v>87</v>
      </c>
      <c r="N66" s="22">
        <f>'9A Sem 1'!M24</f>
        <v>93</v>
      </c>
      <c r="O66" s="22">
        <f>'9A Sem 1'!N24</f>
        <v>92</v>
      </c>
      <c r="P66" s="22">
        <f>'9A Sem 1'!O24</f>
        <v>88</v>
      </c>
      <c r="Q66" s="22">
        <f>'9A Sem 1'!P24</f>
        <v>96</v>
      </c>
      <c r="R66" s="22">
        <f>'9A Sem 1'!Q24</f>
        <v>97</v>
      </c>
      <c r="S66" s="22">
        <f>'9A Sem 1'!R24</f>
        <v>1145</v>
      </c>
      <c r="T66" s="22">
        <f>'9A Sem 1'!S24</f>
        <v>88.07692307692308</v>
      </c>
      <c r="U66" s="22">
        <f>'9A Sem 1'!T24</f>
        <v>3</v>
      </c>
      <c r="V66" s="36">
        <f>'9A Sem 1'!U24</f>
        <v>0</v>
      </c>
      <c r="W66" s="36">
        <f>'9A Sem 1'!V24</f>
        <v>0</v>
      </c>
      <c r="X66" s="5"/>
      <c r="Y66" s="5"/>
      <c r="Z66" s="5"/>
      <c r="AA66" s="5"/>
      <c r="AB66" s="5"/>
    </row>
    <row r="67" spans="1:28" ht="18.75" customHeight="1" thickBot="1" x14ac:dyDescent="0.3">
      <c r="A67" s="241"/>
      <c r="B67" s="218"/>
      <c r="C67" s="213">
        <v>14</v>
      </c>
      <c r="D67" s="215" t="s">
        <v>23</v>
      </c>
      <c r="E67" s="21" t="s">
        <v>22</v>
      </c>
      <c r="F67" s="22">
        <f>'9A Sem 2'!E24</f>
        <v>92</v>
      </c>
      <c r="G67" s="22">
        <f>'9A Sem 2'!F24</f>
        <v>89</v>
      </c>
      <c r="H67" s="22">
        <f>'9A Sem 2'!G24</f>
        <v>95</v>
      </c>
      <c r="I67" s="22">
        <f>'9A Sem 2'!H24</f>
        <v>90</v>
      </c>
      <c r="J67" s="22">
        <f>'9A Sem 2'!I24</f>
        <v>87</v>
      </c>
      <c r="K67" s="22">
        <f>'9A Sem 2'!J24</f>
        <v>94</v>
      </c>
      <c r="L67" s="22">
        <f>'9A Sem 2'!K24</f>
        <v>92</v>
      </c>
      <c r="M67" s="22">
        <f>'9A Sem 2'!L24</f>
        <v>99</v>
      </c>
      <c r="N67" s="22">
        <f>'9A Sem 2'!M24</f>
        <v>93</v>
      </c>
      <c r="O67" s="22">
        <f>'9A Sem 2'!N24</f>
        <v>99</v>
      </c>
      <c r="P67" s="22">
        <f>'9A Sem 2'!O24</f>
        <v>98</v>
      </c>
      <c r="Q67" s="22">
        <f>'9A Sem 2'!P24</f>
        <v>92</v>
      </c>
      <c r="R67" s="22">
        <f>'9A Sem 2'!Q24</f>
        <v>100</v>
      </c>
      <c r="S67" s="22">
        <f>'9A Sem 2'!R24</f>
        <v>1220</v>
      </c>
      <c r="T67" s="22">
        <f>'9A Sem 2'!S24</f>
        <v>93.84615384615384</v>
      </c>
      <c r="U67" s="22">
        <f>'9A Sem 2'!T24</f>
        <v>3</v>
      </c>
      <c r="V67" s="36">
        <f>'9A Sem 2'!U24</f>
        <v>0</v>
      </c>
      <c r="W67" s="36">
        <f>'9A Sem 2'!V24</f>
        <v>0</v>
      </c>
      <c r="X67" s="5"/>
      <c r="Y67" s="5"/>
      <c r="Z67" s="5"/>
      <c r="AA67" s="5"/>
      <c r="AB67" s="5"/>
    </row>
    <row r="68" spans="1:28" ht="18.75" customHeight="1" thickBot="1" x14ac:dyDescent="0.3">
      <c r="A68" s="241"/>
      <c r="B68" s="218"/>
      <c r="C68" s="213">
        <v>14</v>
      </c>
      <c r="D68" s="215" t="s">
        <v>23</v>
      </c>
      <c r="E68" s="21" t="s">
        <v>16</v>
      </c>
      <c r="F68" s="22">
        <f>AVERAGE(F66:F67)</f>
        <v>91.5</v>
      </c>
      <c r="G68" s="22">
        <f t="shared" ref="G68:W68" si="20">AVERAGE(G66:G67)</f>
        <v>87.5</v>
      </c>
      <c r="H68" s="22">
        <f t="shared" si="20"/>
        <v>91</v>
      </c>
      <c r="I68" s="22">
        <f t="shared" si="20"/>
        <v>87</v>
      </c>
      <c r="J68" s="22">
        <f t="shared" si="20"/>
        <v>85</v>
      </c>
      <c r="K68" s="22">
        <f t="shared" si="20"/>
        <v>88.5</v>
      </c>
      <c r="L68" s="22">
        <f t="shared" si="20"/>
        <v>85</v>
      </c>
      <c r="M68" s="22">
        <f t="shared" si="20"/>
        <v>93</v>
      </c>
      <c r="N68" s="22">
        <f t="shared" si="20"/>
        <v>93</v>
      </c>
      <c r="O68" s="22">
        <f t="shared" si="20"/>
        <v>95.5</v>
      </c>
      <c r="P68" s="22">
        <f t="shared" si="20"/>
        <v>93</v>
      </c>
      <c r="Q68" s="22">
        <f t="shared" si="20"/>
        <v>94</v>
      </c>
      <c r="R68" s="22">
        <f t="shared" si="20"/>
        <v>98.5</v>
      </c>
      <c r="S68" s="22">
        <f t="shared" si="20"/>
        <v>1182.5</v>
      </c>
      <c r="T68" s="22">
        <f t="shared" si="20"/>
        <v>90.961538461538453</v>
      </c>
      <c r="U68" s="22">
        <f>'9A Sem avr'!$H$24</f>
        <v>3</v>
      </c>
      <c r="V68" s="22">
        <f t="shared" si="20"/>
        <v>0</v>
      </c>
      <c r="W68" s="22">
        <f t="shared" si="20"/>
        <v>0</v>
      </c>
      <c r="X68" s="5"/>
      <c r="Y68" s="5"/>
      <c r="Z68" s="5"/>
      <c r="AA68" s="5"/>
      <c r="AB68" s="5"/>
    </row>
    <row r="69" spans="1:28" ht="18.75" customHeight="1" thickBot="1" x14ac:dyDescent="0.3">
      <c r="A69" s="234">
        <v>22</v>
      </c>
      <c r="B69" s="218"/>
      <c r="C69" s="213">
        <v>14</v>
      </c>
      <c r="D69" s="215" t="s">
        <v>20</v>
      </c>
      <c r="E69" s="21" t="s">
        <v>21</v>
      </c>
      <c r="F69" s="22">
        <f>'9A Sem 1'!E25</f>
        <v>73</v>
      </c>
      <c r="G69" s="22">
        <f>'9A Sem 1'!F25</f>
        <v>84</v>
      </c>
      <c r="H69" s="22">
        <f>'9A Sem 1'!G25</f>
        <v>82</v>
      </c>
      <c r="I69" s="22">
        <f>'9A Sem 1'!H25</f>
        <v>57</v>
      </c>
      <c r="J69" s="22">
        <f>'9A Sem 1'!I25</f>
        <v>72</v>
      </c>
      <c r="K69" s="22">
        <f>'9A Sem 1'!J25</f>
        <v>59</v>
      </c>
      <c r="L69" s="22">
        <f>'9A Sem 1'!K25</f>
        <v>66</v>
      </c>
      <c r="M69" s="22">
        <f>'9A Sem 1'!L25</f>
        <v>53</v>
      </c>
      <c r="N69" s="22">
        <f>'9A Sem 1'!M25</f>
        <v>76</v>
      </c>
      <c r="O69" s="22">
        <f>'9A Sem 1'!N25</f>
        <v>79</v>
      </c>
      <c r="P69" s="22">
        <f>'9A Sem 1'!O25</f>
        <v>73</v>
      </c>
      <c r="Q69" s="22">
        <f>'9A Sem 1'!P25</f>
        <v>87</v>
      </c>
      <c r="R69" s="22">
        <f>'9A Sem 1'!Q25</f>
        <v>64</v>
      </c>
      <c r="S69" s="22">
        <f>'9A Sem 1'!R25</f>
        <v>925</v>
      </c>
      <c r="T69" s="22">
        <f>'9A Sem 1'!S25</f>
        <v>71.15384615384616</v>
      </c>
      <c r="U69" s="22">
        <f>'9A Sem 1'!T25</f>
        <v>39</v>
      </c>
      <c r="V69" s="36">
        <f>'9A Sem 1'!U25</f>
        <v>0</v>
      </c>
      <c r="W69" s="36">
        <f>'9A Sem 1'!V25</f>
        <v>0</v>
      </c>
      <c r="X69" s="5"/>
      <c r="Y69" s="5"/>
      <c r="Z69" s="5"/>
      <c r="AA69" s="5"/>
      <c r="AB69" s="5"/>
    </row>
    <row r="70" spans="1:28" ht="18.75" customHeight="1" thickBot="1" x14ac:dyDescent="0.3">
      <c r="A70" s="234"/>
      <c r="B70" s="218"/>
      <c r="C70" s="213">
        <v>14</v>
      </c>
      <c r="D70" s="215" t="s">
        <v>20</v>
      </c>
      <c r="E70" s="21" t="s">
        <v>22</v>
      </c>
      <c r="F70" s="22">
        <f>'9A Sem 2'!E25</f>
        <v>68</v>
      </c>
      <c r="G70" s="22">
        <f>'9A Sem 2'!F25</f>
        <v>81</v>
      </c>
      <c r="H70" s="22">
        <f>'9A Sem 2'!G25</f>
        <v>92</v>
      </c>
      <c r="I70" s="22">
        <f>'9A Sem 2'!H25</f>
        <v>61</v>
      </c>
      <c r="J70" s="22">
        <f>'9A Sem 2'!I25</f>
        <v>78</v>
      </c>
      <c r="K70" s="22">
        <f>'9A Sem 2'!J25</f>
        <v>59</v>
      </c>
      <c r="L70" s="22">
        <f>'9A Sem 2'!K25</f>
        <v>52</v>
      </c>
      <c r="M70" s="22">
        <f>'9A Sem 2'!L25</f>
        <v>79</v>
      </c>
      <c r="N70" s="22">
        <f>'9A Sem 2'!M25</f>
        <v>67</v>
      </c>
      <c r="O70" s="22">
        <f>'9A Sem 2'!N25</f>
        <v>86</v>
      </c>
      <c r="P70" s="22">
        <f>'9A Sem 2'!O25</f>
        <v>65</v>
      </c>
      <c r="Q70" s="22">
        <f>'9A Sem 2'!P25</f>
        <v>81</v>
      </c>
      <c r="R70" s="22">
        <f>'9A Sem 2'!Q25</f>
        <v>60</v>
      </c>
      <c r="S70" s="22">
        <f>'9A Sem 2'!R25</f>
        <v>929</v>
      </c>
      <c r="T70" s="22">
        <f>'9A Sem 2'!S25</f>
        <v>71.461538461538467</v>
      </c>
      <c r="U70" s="22">
        <f>'9A Sem 2'!T25</f>
        <v>38</v>
      </c>
      <c r="V70" s="36">
        <f>'9A Sem 2'!U25</f>
        <v>0</v>
      </c>
      <c r="W70" s="36">
        <f>'9A Sem 2'!V25</f>
        <v>0</v>
      </c>
      <c r="X70" s="5"/>
      <c r="Y70" s="5"/>
      <c r="Z70" s="5"/>
      <c r="AA70" s="5"/>
      <c r="AB70" s="5"/>
    </row>
    <row r="71" spans="1:28" ht="18.75" customHeight="1" thickBot="1" x14ac:dyDescent="0.3">
      <c r="A71" s="234"/>
      <c r="B71" s="218"/>
      <c r="C71" s="213">
        <v>14</v>
      </c>
      <c r="D71" s="215" t="s">
        <v>20</v>
      </c>
      <c r="E71" s="21" t="s">
        <v>16</v>
      </c>
      <c r="F71" s="22">
        <f>AVERAGE(F69:F70)</f>
        <v>70.5</v>
      </c>
      <c r="G71" s="22">
        <f t="shared" ref="G71:W71" si="21">AVERAGE(G69:G70)</f>
        <v>82.5</v>
      </c>
      <c r="H71" s="22">
        <f t="shared" si="21"/>
        <v>87</v>
      </c>
      <c r="I71" s="22">
        <f t="shared" si="21"/>
        <v>59</v>
      </c>
      <c r="J71" s="22">
        <f t="shared" si="21"/>
        <v>75</v>
      </c>
      <c r="K71" s="22">
        <f t="shared" si="21"/>
        <v>59</v>
      </c>
      <c r="L71" s="22">
        <f t="shared" si="21"/>
        <v>59</v>
      </c>
      <c r="M71" s="22">
        <f t="shared" si="21"/>
        <v>66</v>
      </c>
      <c r="N71" s="22">
        <f t="shared" si="21"/>
        <v>71.5</v>
      </c>
      <c r="O71" s="22">
        <f t="shared" si="21"/>
        <v>82.5</v>
      </c>
      <c r="P71" s="22">
        <f t="shared" si="21"/>
        <v>69</v>
      </c>
      <c r="Q71" s="22">
        <f t="shared" si="21"/>
        <v>84</v>
      </c>
      <c r="R71" s="22">
        <f t="shared" si="21"/>
        <v>62</v>
      </c>
      <c r="S71" s="22">
        <f t="shared" si="21"/>
        <v>927</v>
      </c>
      <c r="T71" s="22">
        <f t="shared" si="21"/>
        <v>71.307692307692321</v>
      </c>
      <c r="U71" s="22">
        <f>'9A Sem avr'!$H$25</f>
        <v>39</v>
      </c>
      <c r="V71" s="22">
        <f t="shared" si="21"/>
        <v>0</v>
      </c>
      <c r="W71" s="22">
        <f t="shared" si="21"/>
        <v>0</v>
      </c>
      <c r="X71" s="5"/>
      <c r="Y71" s="5"/>
      <c r="Z71" s="5"/>
      <c r="AA71" s="5"/>
      <c r="AB71" s="5"/>
    </row>
    <row r="72" spans="1:28" ht="18.75" customHeight="1" thickBot="1" x14ac:dyDescent="0.3">
      <c r="A72" s="234">
        <v>23</v>
      </c>
      <c r="B72" s="218"/>
      <c r="C72" s="213">
        <v>14</v>
      </c>
      <c r="D72" s="215" t="s">
        <v>20</v>
      </c>
      <c r="E72" s="21" t="s">
        <v>21</v>
      </c>
      <c r="F72" s="22">
        <f>'9A Sem 1'!E26</f>
        <v>59</v>
      </c>
      <c r="G72" s="22">
        <f>'9A Sem 1'!F26</f>
        <v>53</v>
      </c>
      <c r="H72" s="22">
        <f>'9A Sem 1'!G26</f>
        <v>62</v>
      </c>
      <c r="I72" s="22">
        <f>'9A Sem 1'!H26</f>
        <v>53</v>
      </c>
      <c r="J72" s="22">
        <f>'9A Sem 1'!I26</f>
        <v>59</v>
      </c>
      <c r="K72" s="22">
        <f>'9A Sem 1'!J26</f>
        <v>46</v>
      </c>
      <c r="L72" s="22">
        <f>'9A Sem 1'!K26</f>
        <v>66</v>
      </c>
      <c r="M72" s="22">
        <f>'9A Sem 1'!L26</f>
        <v>50</v>
      </c>
      <c r="N72" s="22">
        <f>'9A Sem 1'!M26</f>
        <v>68</v>
      </c>
      <c r="O72" s="22">
        <f>'9A Sem 1'!N26</f>
        <v>75</v>
      </c>
      <c r="P72" s="22">
        <f>'9A Sem 1'!O26</f>
        <v>62</v>
      </c>
      <c r="Q72" s="22">
        <f>'9A Sem 1'!P26</f>
        <v>84</v>
      </c>
      <c r="R72" s="22">
        <f>'9A Sem 1'!Q26</f>
        <v>68</v>
      </c>
      <c r="S72" s="22">
        <f>'9A Sem 1'!R26</f>
        <v>805</v>
      </c>
      <c r="T72" s="22">
        <f>'9A Sem 1'!S26</f>
        <v>61.92307692307692</v>
      </c>
      <c r="U72" s="22">
        <f>'9A Sem 1'!T26</f>
        <v>50</v>
      </c>
      <c r="V72" s="36">
        <f>'9A Sem 1'!U26</f>
        <v>0</v>
      </c>
      <c r="W72" s="36">
        <f>'9A Sem 1'!V26</f>
        <v>0</v>
      </c>
      <c r="X72" s="5"/>
      <c r="Y72" s="5"/>
      <c r="Z72" s="5"/>
      <c r="AA72" s="5"/>
      <c r="AB72" s="5"/>
    </row>
    <row r="73" spans="1:28" ht="18.75" customHeight="1" thickBot="1" x14ac:dyDescent="0.3">
      <c r="A73" s="234"/>
      <c r="B73" s="218"/>
      <c r="C73" s="213">
        <v>14</v>
      </c>
      <c r="D73" s="215" t="s">
        <v>20</v>
      </c>
      <c r="E73" s="21" t="s">
        <v>22</v>
      </c>
      <c r="F73" s="22">
        <f>'9A Sem 2'!E26</f>
        <v>60</v>
      </c>
      <c r="G73" s="22">
        <f>'9A Sem 2'!F26</f>
        <v>58</v>
      </c>
      <c r="H73" s="22">
        <f>'9A Sem 2'!G26</f>
        <v>58</v>
      </c>
      <c r="I73" s="22">
        <f>'9A Sem 2'!H26</f>
        <v>52</v>
      </c>
      <c r="J73" s="22">
        <f>'9A Sem 2'!I26</f>
        <v>53</v>
      </c>
      <c r="K73" s="22">
        <f>'9A Sem 2'!J26</f>
        <v>77</v>
      </c>
      <c r="L73" s="22">
        <f>'9A Sem 2'!K26</f>
        <v>67</v>
      </c>
      <c r="M73" s="22">
        <f>'9A Sem 2'!L26</f>
        <v>68</v>
      </c>
      <c r="N73" s="22">
        <f>'9A Sem 2'!M26</f>
        <v>73</v>
      </c>
      <c r="O73" s="22">
        <f>'9A Sem 2'!N26</f>
        <v>71</v>
      </c>
      <c r="P73" s="22">
        <f>'9A Sem 2'!O26</f>
        <v>61</v>
      </c>
      <c r="Q73" s="22">
        <f>'9A Sem 2'!P26</f>
        <v>81</v>
      </c>
      <c r="R73" s="22">
        <f>'9A Sem 2'!Q26</f>
        <v>66</v>
      </c>
      <c r="S73" s="22">
        <f>'9A Sem 2'!R26</f>
        <v>845</v>
      </c>
      <c r="T73" s="22">
        <f>'9A Sem 2'!S26</f>
        <v>65</v>
      </c>
      <c r="U73" s="22">
        <f>'9A Sem 2'!T26</f>
        <v>47</v>
      </c>
      <c r="V73" s="36">
        <f>'9A Sem 2'!U26</f>
        <v>0</v>
      </c>
      <c r="W73" s="36">
        <f>'9A Sem 2'!V26</f>
        <v>0</v>
      </c>
      <c r="X73" s="5"/>
      <c r="Y73" s="5"/>
      <c r="Z73" s="5"/>
      <c r="AA73" s="5"/>
      <c r="AB73" s="5"/>
    </row>
    <row r="74" spans="1:28" ht="18.75" customHeight="1" thickBot="1" x14ac:dyDescent="0.3">
      <c r="A74" s="234"/>
      <c r="B74" s="218"/>
      <c r="C74" s="213">
        <v>14</v>
      </c>
      <c r="D74" s="215" t="s">
        <v>20</v>
      </c>
      <c r="E74" s="21" t="s">
        <v>16</v>
      </c>
      <c r="F74" s="22">
        <f>AVERAGE(F72:F73)</f>
        <v>59.5</v>
      </c>
      <c r="G74" s="22">
        <f t="shared" ref="G74:W74" si="22">AVERAGE(G72:G73)</f>
        <v>55.5</v>
      </c>
      <c r="H74" s="22">
        <f t="shared" si="22"/>
        <v>60</v>
      </c>
      <c r="I74" s="22">
        <f t="shared" si="22"/>
        <v>52.5</v>
      </c>
      <c r="J74" s="22">
        <f t="shared" si="22"/>
        <v>56</v>
      </c>
      <c r="K74" s="22">
        <f t="shared" si="22"/>
        <v>61.5</v>
      </c>
      <c r="L74" s="22">
        <f t="shared" si="22"/>
        <v>66.5</v>
      </c>
      <c r="M74" s="22">
        <f t="shared" si="22"/>
        <v>59</v>
      </c>
      <c r="N74" s="22">
        <f t="shared" si="22"/>
        <v>70.5</v>
      </c>
      <c r="O74" s="22">
        <f t="shared" si="22"/>
        <v>73</v>
      </c>
      <c r="P74" s="22">
        <f t="shared" si="22"/>
        <v>61.5</v>
      </c>
      <c r="Q74" s="22">
        <f t="shared" si="22"/>
        <v>82.5</v>
      </c>
      <c r="R74" s="22">
        <f t="shared" si="22"/>
        <v>67</v>
      </c>
      <c r="S74" s="22">
        <f t="shared" si="22"/>
        <v>825</v>
      </c>
      <c r="T74" s="22">
        <f t="shared" si="22"/>
        <v>63.46153846153846</v>
      </c>
      <c r="U74" s="22">
        <f>'9A Sem avr'!$H$26</f>
        <v>47</v>
      </c>
      <c r="V74" s="22">
        <f t="shared" si="22"/>
        <v>0</v>
      </c>
      <c r="W74" s="22">
        <f t="shared" si="22"/>
        <v>0</v>
      </c>
      <c r="X74" s="5"/>
      <c r="Y74" s="5"/>
      <c r="Z74" s="5"/>
      <c r="AA74" s="5"/>
      <c r="AB74" s="5"/>
    </row>
    <row r="75" spans="1:28" ht="18.75" customHeight="1" thickBot="1" x14ac:dyDescent="0.3">
      <c r="A75" s="241">
        <v>24</v>
      </c>
      <c r="B75" s="218"/>
      <c r="C75" s="213">
        <v>16</v>
      </c>
      <c r="D75" s="215" t="s">
        <v>20</v>
      </c>
      <c r="E75" s="21" t="s">
        <v>21</v>
      </c>
      <c r="F75" s="22">
        <f>'9A Sem 1'!E27</f>
        <v>81</v>
      </c>
      <c r="G75" s="22">
        <f>'9A Sem 1'!F27</f>
        <v>68</v>
      </c>
      <c r="H75" s="23">
        <f>'9A Sem 1'!G27</f>
        <v>55</v>
      </c>
      <c r="I75" s="23">
        <f>'9A Sem 1'!H27</f>
        <v>43</v>
      </c>
      <c r="J75" s="22">
        <f>'9A Sem 1'!I27</f>
        <v>53</v>
      </c>
      <c r="K75" s="23">
        <f>'9A Sem 1'!J27</f>
        <v>53</v>
      </c>
      <c r="L75" s="22">
        <f>'9A Sem 1'!K27</f>
        <v>58</v>
      </c>
      <c r="M75" s="22">
        <f>'9A Sem 1'!L27</f>
        <v>49</v>
      </c>
      <c r="N75" s="22">
        <f>'9A Sem 1'!M27</f>
        <v>77</v>
      </c>
      <c r="O75" s="22">
        <f>'9A Sem 1'!N27</f>
        <v>72</v>
      </c>
      <c r="P75" s="22">
        <f>'9A Sem 1'!O27</f>
        <v>61</v>
      </c>
      <c r="Q75" s="22">
        <f>'9A Sem 1'!P27</f>
        <v>70</v>
      </c>
      <c r="R75" s="22">
        <f>'9A Sem 1'!Q27</f>
        <v>56</v>
      </c>
      <c r="S75" s="22">
        <f>'9A Sem 1'!R27</f>
        <v>796</v>
      </c>
      <c r="T75" s="22">
        <f>'9A Sem 1'!S27</f>
        <v>61.230769230769234</v>
      </c>
      <c r="U75" s="22">
        <f>'9A Sem 1'!T27</f>
        <v>51</v>
      </c>
      <c r="V75" s="36">
        <f>'9A Sem 1'!U27</f>
        <v>0</v>
      </c>
      <c r="W75" s="36">
        <f>'9A Sem 1'!V27</f>
        <v>0</v>
      </c>
      <c r="X75" s="5"/>
      <c r="Y75" s="5"/>
      <c r="Z75" s="5"/>
      <c r="AA75" s="5"/>
      <c r="AB75" s="5"/>
    </row>
    <row r="76" spans="1:28" ht="18.75" customHeight="1" thickBot="1" x14ac:dyDescent="0.3">
      <c r="A76" s="241"/>
      <c r="B76" s="218"/>
      <c r="C76" s="213">
        <v>16</v>
      </c>
      <c r="D76" s="215" t="s">
        <v>20</v>
      </c>
      <c r="E76" s="21" t="s">
        <v>22</v>
      </c>
      <c r="F76" s="22">
        <f>'9A Sem 2'!E27</f>
        <v>79</v>
      </c>
      <c r="G76" s="22">
        <f>'9A Sem 2'!F27</f>
        <v>63</v>
      </c>
      <c r="H76" s="23">
        <f>'9A Sem 2'!G27</f>
        <v>52</v>
      </c>
      <c r="I76" s="23">
        <f>'9A Sem 2'!H27</f>
        <v>57</v>
      </c>
      <c r="J76" s="22">
        <f>'9A Sem 2'!I27</f>
        <v>52</v>
      </c>
      <c r="K76" s="23">
        <f>'9A Sem 2'!J27</f>
        <v>61</v>
      </c>
      <c r="L76" s="22">
        <f>'9A Sem 2'!K27</f>
        <v>65</v>
      </c>
      <c r="M76" s="22">
        <f>'9A Sem 2'!L27</f>
        <v>71</v>
      </c>
      <c r="N76" s="22">
        <f>'9A Sem 2'!M27</f>
        <v>66</v>
      </c>
      <c r="O76" s="22">
        <f>'9A Sem 2'!N27</f>
        <v>79</v>
      </c>
      <c r="P76" s="22">
        <f>'9A Sem 2'!O27</f>
        <v>68</v>
      </c>
      <c r="Q76" s="22">
        <f>'9A Sem 2'!P27</f>
        <v>82</v>
      </c>
      <c r="R76" s="22">
        <f>'9A Sem 2'!Q27</f>
        <v>66</v>
      </c>
      <c r="S76" s="22">
        <f>'9A Sem 2'!R27</f>
        <v>861</v>
      </c>
      <c r="T76" s="22">
        <f>'9A Sem 2'!S27</f>
        <v>66.230769230769226</v>
      </c>
      <c r="U76" s="22">
        <f>'9A Sem 2'!T27</f>
        <v>45</v>
      </c>
      <c r="V76" s="36">
        <f>'9A Sem 2'!U27</f>
        <v>0</v>
      </c>
      <c r="W76" s="36">
        <f>'9A Sem 2'!V27</f>
        <v>0</v>
      </c>
      <c r="X76" s="5"/>
      <c r="Y76" s="5"/>
      <c r="Z76" s="5"/>
      <c r="AA76" s="5"/>
      <c r="AB76" s="5"/>
    </row>
    <row r="77" spans="1:28" ht="18.75" customHeight="1" thickBot="1" x14ac:dyDescent="0.3">
      <c r="A77" s="241"/>
      <c r="B77" s="218"/>
      <c r="C77" s="213">
        <v>16</v>
      </c>
      <c r="D77" s="215" t="s">
        <v>20</v>
      </c>
      <c r="E77" s="21" t="s">
        <v>16</v>
      </c>
      <c r="F77" s="22">
        <f>AVERAGE(F75:F76)</f>
        <v>80</v>
      </c>
      <c r="G77" s="22">
        <f t="shared" ref="G77:W77" si="23">AVERAGE(G75:G76)</f>
        <v>65.5</v>
      </c>
      <c r="H77" s="22">
        <f t="shared" si="23"/>
        <v>53.5</v>
      </c>
      <c r="I77" s="22">
        <f t="shared" si="23"/>
        <v>50</v>
      </c>
      <c r="J77" s="22">
        <f t="shared" si="23"/>
        <v>52.5</v>
      </c>
      <c r="K77" s="22">
        <f t="shared" si="23"/>
        <v>57</v>
      </c>
      <c r="L77" s="22">
        <f t="shared" si="23"/>
        <v>61.5</v>
      </c>
      <c r="M77" s="22">
        <f t="shared" si="23"/>
        <v>60</v>
      </c>
      <c r="N77" s="22">
        <f t="shared" si="23"/>
        <v>71.5</v>
      </c>
      <c r="O77" s="22">
        <f t="shared" si="23"/>
        <v>75.5</v>
      </c>
      <c r="P77" s="22">
        <f t="shared" si="23"/>
        <v>64.5</v>
      </c>
      <c r="Q77" s="22">
        <f t="shared" si="23"/>
        <v>76</v>
      </c>
      <c r="R77" s="22">
        <f t="shared" si="23"/>
        <v>61</v>
      </c>
      <c r="S77" s="22">
        <f t="shared" si="23"/>
        <v>828.5</v>
      </c>
      <c r="T77" s="22">
        <f t="shared" si="23"/>
        <v>63.730769230769226</v>
      </c>
      <c r="U77" s="22">
        <f>'9A Sem avr'!$H$27</f>
        <v>46</v>
      </c>
      <c r="V77" s="22">
        <f t="shared" si="23"/>
        <v>0</v>
      </c>
      <c r="W77" s="22">
        <f t="shared" si="23"/>
        <v>0</v>
      </c>
      <c r="X77" s="5"/>
      <c r="Y77" s="5"/>
      <c r="Z77" s="5"/>
      <c r="AA77" s="5"/>
      <c r="AB77" s="5"/>
    </row>
    <row r="78" spans="1:28" ht="18.75" customHeight="1" thickBot="1" x14ac:dyDescent="0.3">
      <c r="A78" s="234">
        <v>25</v>
      </c>
      <c r="B78" s="218"/>
      <c r="C78" s="213">
        <v>15</v>
      </c>
      <c r="D78" s="215" t="s">
        <v>23</v>
      </c>
      <c r="E78" s="21" t="s">
        <v>21</v>
      </c>
      <c r="F78" s="22">
        <f>'9A Sem 1'!E28</f>
        <v>78</v>
      </c>
      <c r="G78" s="23">
        <f>'9A Sem 1'!F28</f>
        <v>71</v>
      </c>
      <c r="H78" s="23">
        <f>'9A Sem 1'!G28</f>
        <v>51</v>
      </c>
      <c r="I78" s="22">
        <f>'9A Sem 1'!H28</f>
        <v>65</v>
      </c>
      <c r="J78" s="23">
        <f>'9A Sem 1'!I28</f>
        <v>68</v>
      </c>
      <c r="K78" s="22">
        <f>'9A Sem 1'!J28</f>
        <v>68</v>
      </c>
      <c r="L78" s="22">
        <f>'9A Sem 1'!K28</f>
        <v>78</v>
      </c>
      <c r="M78" s="22">
        <f>'9A Sem 1'!L28</f>
        <v>70</v>
      </c>
      <c r="N78" s="22">
        <f>'9A Sem 1'!M28</f>
        <v>83</v>
      </c>
      <c r="O78" s="22">
        <f>'9A Sem 1'!N28</f>
        <v>82</v>
      </c>
      <c r="P78" s="22">
        <f>'9A Sem 1'!O28</f>
        <v>82</v>
      </c>
      <c r="Q78" s="22">
        <f>'9A Sem 1'!P28</f>
        <v>76</v>
      </c>
      <c r="R78" s="22">
        <f>'9A Sem 1'!Q28</f>
        <v>75</v>
      </c>
      <c r="S78" s="22">
        <f>'9A Sem 1'!R28</f>
        <v>947</v>
      </c>
      <c r="T78" s="22">
        <f>'9A Sem 1'!S28</f>
        <v>72.84615384615384</v>
      </c>
      <c r="U78" s="22">
        <f>'9A Sem 1'!T28</f>
        <v>32</v>
      </c>
      <c r="V78" s="36">
        <f>'9A Sem 1'!U28</f>
        <v>0</v>
      </c>
      <c r="W78" s="36">
        <f>'9A Sem 1'!V28</f>
        <v>0</v>
      </c>
      <c r="X78" s="5"/>
      <c r="Y78" s="5"/>
      <c r="Z78" s="5"/>
      <c r="AA78" s="5"/>
      <c r="AB78" s="5"/>
    </row>
    <row r="79" spans="1:28" ht="18.75" customHeight="1" thickBot="1" x14ac:dyDescent="0.3">
      <c r="A79" s="234"/>
      <c r="B79" s="218"/>
      <c r="C79" s="213">
        <v>15</v>
      </c>
      <c r="D79" s="215" t="s">
        <v>23</v>
      </c>
      <c r="E79" s="21" t="s">
        <v>22</v>
      </c>
      <c r="F79" s="22">
        <f>'9A Sem 2'!E28</f>
        <v>77</v>
      </c>
      <c r="G79" s="23">
        <f>'9A Sem 2'!F28</f>
        <v>71</v>
      </c>
      <c r="H79" s="23">
        <f>'9A Sem 2'!G28</f>
        <v>75</v>
      </c>
      <c r="I79" s="22">
        <f>'9A Sem 2'!H28</f>
        <v>65</v>
      </c>
      <c r="J79" s="23">
        <f>'9A Sem 2'!I28</f>
        <v>71</v>
      </c>
      <c r="K79" s="22">
        <f>'9A Sem 2'!J28</f>
        <v>79</v>
      </c>
      <c r="L79" s="22">
        <f>'9A Sem 2'!K28</f>
        <v>69</v>
      </c>
      <c r="M79" s="22">
        <f>'9A Sem 2'!L28</f>
        <v>80</v>
      </c>
      <c r="N79" s="22">
        <f>'9A Sem 2'!M28</f>
        <v>82</v>
      </c>
      <c r="O79" s="22">
        <f>'9A Sem 2'!N28</f>
        <v>90</v>
      </c>
      <c r="P79" s="22">
        <f>'9A Sem 2'!O28</f>
        <v>81</v>
      </c>
      <c r="Q79" s="22">
        <f>'9A Sem 2'!P28</f>
        <v>89</v>
      </c>
      <c r="R79" s="22">
        <f>'9A Sem 2'!Q28</f>
        <v>60</v>
      </c>
      <c r="S79" s="22">
        <f>'9A Sem 2'!R28</f>
        <v>989</v>
      </c>
      <c r="T79" s="22">
        <f>'9A Sem 2'!S28</f>
        <v>76.07692307692308</v>
      </c>
      <c r="U79" s="22">
        <f>'9A Sem 2'!T28</f>
        <v>30</v>
      </c>
      <c r="V79" s="36">
        <f>'9A Sem 2'!U28</f>
        <v>0</v>
      </c>
      <c r="W79" s="36">
        <f>'9A Sem 2'!V28</f>
        <v>0</v>
      </c>
      <c r="X79" s="5"/>
      <c r="Y79" s="5"/>
      <c r="Z79" s="5"/>
      <c r="AA79" s="5"/>
      <c r="AB79" s="5"/>
    </row>
    <row r="80" spans="1:28" ht="18.75" customHeight="1" thickBot="1" x14ac:dyDescent="0.3">
      <c r="A80" s="234"/>
      <c r="B80" s="218"/>
      <c r="C80" s="213">
        <v>15</v>
      </c>
      <c r="D80" s="215" t="s">
        <v>23</v>
      </c>
      <c r="E80" s="21" t="s">
        <v>16</v>
      </c>
      <c r="F80" s="22">
        <f>AVERAGE(F78:F79)</f>
        <v>77.5</v>
      </c>
      <c r="G80" s="22">
        <f t="shared" ref="G80:W80" si="24">AVERAGE(G78:G79)</f>
        <v>71</v>
      </c>
      <c r="H80" s="22">
        <f t="shared" si="24"/>
        <v>63</v>
      </c>
      <c r="I80" s="22">
        <f t="shared" si="24"/>
        <v>65</v>
      </c>
      <c r="J80" s="22">
        <f t="shared" si="24"/>
        <v>69.5</v>
      </c>
      <c r="K80" s="22">
        <f t="shared" si="24"/>
        <v>73.5</v>
      </c>
      <c r="L80" s="22">
        <f t="shared" si="24"/>
        <v>73.5</v>
      </c>
      <c r="M80" s="22">
        <f t="shared" si="24"/>
        <v>75</v>
      </c>
      <c r="N80" s="22">
        <f t="shared" si="24"/>
        <v>82.5</v>
      </c>
      <c r="O80" s="22">
        <f t="shared" si="24"/>
        <v>86</v>
      </c>
      <c r="P80" s="22">
        <f t="shared" si="24"/>
        <v>81.5</v>
      </c>
      <c r="Q80" s="22">
        <f t="shared" si="24"/>
        <v>82.5</v>
      </c>
      <c r="R80" s="22">
        <f t="shared" si="24"/>
        <v>67.5</v>
      </c>
      <c r="S80" s="22">
        <f t="shared" si="24"/>
        <v>968</v>
      </c>
      <c r="T80" s="22">
        <f t="shared" si="24"/>
        <v>74.461538461538453</v>
      </c>
      <c r="U80" s="22">
        <f>'9A Sem avr'!$H$28</f>
        <v>31</v>
      </c>
      <c r="V80" s="22">
        <f t="shared" si="24"/>
        <v>0</v>
      </c>
      <c r="W80" s="22">
        <f t="shared" si="24"/>
        <v>0</v>
      </c>
      <c r="X80" s="5"/>
      <c r="Y80" s="5"/>
      <c r="Z80" s="5"/>
      <c r="AA80" s="5"/>
      <c r="AB80" s="5"/>
    </row>
    <row r="81" spans="1:28" ht="18.75" customHeight="1" thickBot="1" x14ac:dyDescent="0.3">
      <c r="A81" s="241">
        <v>26</v>
      </c>
      <c r="B81" s="218"/>
      <c r="C81" s="213">
        <v>14</v>
      </c>
      <c r="D81" s="215" t="s">
        <v>23</v>
      </c>
      <c r="E81" s="21" t="s">
        <v>21</v>
      </c>
      <c r="F81" s="22">
        <f>'9A Sem 1'!E29</f>
        <v>85</v>
      </c>
      <c r="G81" s="22">
        <f>'9A Sem 1'!F29</f>
        <v>82</v>
      </c>
      <c r="H81" s="22">
        <f>'9A Sem 1'!G29</f>
        <v>79</v>
      </c>
      <c r="I81" s="22">
        <f>'9A Sem 1'!H29</f>
        <v>82</v>
      </c>
      <c r="J81" s="22">
        <f>'9A Sem 1'!I29</f>
        <v>79</v>
      </c>
      <c r="K81" s="22">
        <f>'9A Sem 1'!J29</f>
        <v>82</v>
      </c>
      <c r="L81" s="22">
        <f>'9A Sem 1'!K29</f>
        <v>81</v>
      </c>
      <c r="M81" s="22">
        <f>'9A Sem 1'!L29</f>
        <v>71</v>
      </c>
      <c r="N81" s="22">
        <f>'9A Sem 1'!M29</f>
        <v>87</v>
      </c>
      <c r="O81" s="22">
        <f>'9A Sem 1'!N29</f>
        <v>80</v>
      </c>
      <c r="P81" s="22">
        <f>'9A Sem 1'!O29</f>
        <v>83</v>
      </c>
      <c r="Q81" s="22">
        <f>'9A Sem 1'!P29</f>
        <v>97</v>
      </c>
      <c r="R81" s="22">
        <f>'9A Sem 1'!Q29</f>
        <v>91</v>
      </c>
      <c r="S81" s="22">
        <f>'9A Sem 1'!R29</f>
        <v>1079</v>
      </c>
      <c r="T81" s="22">
        <f>'9A Sem 1'!S29</f>
        <v>83</v>
      </c>
      <c r="U81" s="22">
        <f>'9A Sem 1'!T29</f>
        <v>11</v>
      </c>
      <c r="V81" s="36">
        <f>'9A Sem 1'!U29</f>
        <v>0</v>
      </c>
      <c r="W81" s="36">
        <f>'9A Sem 1'!V29</f>
        <v>0</v>
      </c>
      <c r="X81" s="5"/>
      <c r="Y81" s="5"/>
      <c r="Z81" s="5"/>
      <c r="AA81" s="5"/>
      <c r="AB81" s="5"/>
    </row>
    <row r="82" spans="1:28" ht="18.75" customHeight="1" thickBot="1" x14ac:dyDescent="0.3">
      <c r="A82" s="241"/>
      <c r="B82" s="218"/>
      <c r="C82" s="213">
        <v>14</v>
      </c>
      <c r="D82" s="215" t="s">
        <v>23</v>
      </c>
      <c r="E82" s="21" t="s">
        <v>22</v>
      </c>
      <c r="F82" s="22">
        <f>'9A Sem 2'!E29</f>
        <v>91</v>
      </c>
      <c r="G82" s="22">
        <f>'9A Sem 2'!F29</f>
        <v>82</v>
      </c>
      <c r="H82" s="22">
        <f>'9A Sem 2'!G29</f>
        <v>88</v>
      </c>
      <c r="I82" s="22">
        <f>'9A Sem 2'!H29</f>
        <v>78</v>
      </c>
      <c r="J82" s="22">
        <f>'9A Sem 2'!I29</f>
        <v>90</v>
      </c>
      <c r="K82" s="22">
        <f>'9A Sem 2'!J29</f>
        <v>90</v>
      </c>
      <c r="L82" s="22">
        <f>'9A Sem 2'!K29</f>
        <v>66</v>
      </c>
      <c r="M82" s="22">
        <f>'9A Sem 2'!L29</f>
        <v>88</v>
      </c>
      <c r="N82" s="22">
        <f>'9A Sem 2'!M29</f>
        <v>85</v>
      </c>
      <c r="O82" s="22">
        <f>'9A Sem 2'!N29</f>
        <v>89</v>
      </c>
      <c r="P82" s="22">
        <f>'9A Sem 2'!O29</f>
        <v>83</v>
      </c>
      <c r="Q82" s="22">
        <f>'9A Sem 2'!P29</f>
        <v>81</v>
      </c>
      <c r="R82" s="22">
        <f>'9A Sem 2'!Q29</f>
        <v>70</v>
      </c>
      <c r="S82" s="22">
        <f>'9A Sem 2'!R29</f>
        <v>1081</v>
      </c>
      <c r="T82" s="22">
        <f>'9A Sem 2'!S29</f>
        <v>83.15384615384616</v>
      </c>
      <c r="U82" s="22">
        <f>'9A Sem 2'!T29</f>
        <v>9</v>
      </c>
      <c r="V82" s="36">
        <f>'9A Sem 2'!U29</f>
        <v>0</v>
      </c>
      <c r="W82" s="36">
        <f>'9A Sem 2'!V29</f>
        <v>0</v>
      </c>
      <c r="X82" s="5"/>
      <c r="Y82" s="5"/>
      <c r="Z82" s="5"/>
      <c r="AA82" s="5"/>
      <c r="AB82" s="5"/>
    </row>
    <row r="83" spans="1:28" ht="18.75" customHeight="1" thickBot="1" x14ac:dyDescent="0.3">
      <c r="A83" s="241"/>
      <c r="B83" s="218"/>
      <c r="C83" s="213">
        <v>14</v>
      </c>
      <c r="D83" s="215" t="s">
        <v>23</v>
      </c>
      <c r="E83" s="21" t="s">
        <v>16</v>
      </c>
      <c r="F83" s="22">
        <f>AVERAGE(F81:F82)</f>
        <v>88</v>
      </c>
      <c r="G83" s="22">
        <f t="shared" ref="G83:W83" si="25">AVERAGE(G81:G82)</f>
        <v>82</v>
      </c>
      <c r="H83" s="22">
        <f t="shared" si="25"/>
        <v>83.5</v>
      </c>
      <c r="I83" s="22">
        <f t="shared" si="25"/>
        <v>80</v>
      </c>
      <c r="J83" s="22">
        <f t="shared" si="25"/>
        <v>84.5</v>
      </c>
      <c r="K83" s="22">
        <f t="shared" si="25"/>
        <v>86</v>
      </c>
      <c r="L83" s="22">
        <f t="shared" si="25"/>
        <v>73.5</v>
      </c>
      <c r="M83" s="22">
        <f t="shared" si="25"/>
        <v>79.5</v>
      </c>
      <c r="N83" s="22">
        <f t="shared" si="25"/>
        <v>86</v>
      </c>
      <c r="O83" s="22">
        <f t="shared" si="25"/>
        <v>84.5</v>
      </c>
      <c r="P83" s="22">
        <f t="shared" si="25"/>
        <v>83</v>
      </c>
      <c r="Q83" s="22">
        <f t="shared" si="25"/>
        <v>89</v>
      </c>
      <c r="R83" s="22">
        <f t="shared" si="25"/>
        <v>80.5</v>
      </c>
      <c r="S83" s="22">
        <f t="shared" si="25"/>
        <v>1080</v>
      </c>
      <c r="T83" s="22">
        <f t="shared" si="25"/>
        <v>83.07692307692308</v>
      </c>
      <c r="U83" s="22">
        <f>'9A Sem avr'!$H$29</f>
        <v>9</v>
      </c>
      <c r="V83" s="22">
        <f t="shared" si="25"/>
        <v>0</v>
      </c>
      <c r="W83" s="22">
        <f t="shared" si="25"/>
        <v>0</v>
      </c>
      <c r="X83" s="5"/>
      <c r="Y83" s="5"/>
      <c r="Z83" s="5"/>
      <c r="AA83" s="5"/>
      <c r="AB83" s="5"/>
    </row>
    <row r="84" spans="1:28" ht="18.75" customHeight="1" thickBot="1" x14ac:dyDescent="0.3">
      <c r="A84" s="241">
        <v>27</v>
      </c>
      <c r="B84" s="218"/>
      <c r="C84" s="213">
        <v>15</v>
      </c>
      <c r="D84" s="215" t="s">
        <v>23</v>
      </c>
      <c r="E84" s="21" t="s">
        <v>21</v>
      </c>
      <c r="F84" s="22">
        <f>'9A Sem 1'!E30</f>
        <v>79</v>
      </c>
      <c r="G84" s="22">
        <f>'9A Sem 1'!F30</f>
        <v>62</v>
      </c>
      <c r="H84" s="23">
        <f>'9A Sem 1'!G30</f>
        <v>57</v>
      </c>
      <c r="I84" s="22">
        <f>'9A Sem 1'!H30</f>
        <v>65</v>
      </c>
      <c r="J84" s="22">
        <f>'9A Sem 1'!I30</f>
        <v>57</v>
      </c>
      <c r="K84" s="22">
        <f>'9A Sem 1'!J30</f>
        <v>50</v>
      </c>
      <c r="L84" s="22">
        <f>'9A Sem 1'!K30</f>
        <v>79</v>
      </c>
      <c r="M84" s="22">
        <f>'9A Sem 1'!L30</f>
        <v>55</v>
      </c>
      <c r="N84" s="22">
        <f>'9A Sem 1'!M30</f>
        <v>72</v>
      </c>
      <c r="O84" s="22">
        <f>'9A Sem 1'!N30</f>
        <v>68</v>
      </c>
      <c r="P84" s="22">
        <f>'9A Sem 1'!O30</f>
        <v>60</v>
      </c>
      <c r="Q84" s="22">
        <f>'9A Sem 1'!P30</f>
        <v>76</v>
      </c>
      <c r="R84" s="22">
        <f>'9A Sem 1'!Q30</f>
        <v>70</v>
      </c>
      <c r="S84" s="22">
        <f>'9A Sem 1'!R30</f>
        <v>850</v>
      </c>
      <c r="T84" s="22">
        <f>'9A Sem 1'!S30</f>
        <v>65.384615384615387</v>
      </c>
      <c r="U84" s="22">
        <f>'9A Sem 1'!T30</f>
        <v>46</v>
      </c>
      <c r="V84" s="36">
        <f>'9A Sem 1'!U30</f>
        <v>0</v>
      </c>
      <c r="W84" s="36">
        <f>'9A Sem 1'!V30</f>
        <v>0</v>
      </c>
      <c r="X84" s="5"/>
      <c r="Y84" s="5"/>
      <c r="Z84" s="5"/>
      <c r="AA84" s="5"/>
      <c r="AB84" s="5"/>
    </row>
    <row r="85" spans="1:28" ht="18.75" customHeight="1" thickBot="1" x14ac:dyDescent="0.3">
      <c r="A85" s="241"/>
      <c r="B85" s="218"/>
      <c r="C85" s="213">
        <v>15</v>
      </c>
      <c r="D85" s="215" t="s">
        <v>23</v>
      </c>
      <c r="E85" s="21" t="s">
        <v>22</v>
      </c>
      <c r="F85" s="22">
        <f>'9A Sem 2'!E30</f>
        <v>75</v>
      </c>
      <c r="G85" s="22">
        <f>'9A Sem 2'!F30</f>
        <v>48</v>
      </c>
      <c r="H85" s="23">
        <f>'9A Sem 2'!G30</f>
        <v>72</v>
      </c>
      <c r="I85" s="22">
        <f>'9A Sem 2'!H30</f>
        <v>68</v>
      </c>
      <c r="J85" s="22">
        <f>'9A Sem 2'!I30</f>
        <v>60</v>
      </c>
      <c r="K85" s="22">
        <f>'9A Sem 2'!J30</f>
        <v>58</v>
      </c>
      <c r="L85" s="22">
        <f>'9A Sem 2'!K30</f>
        <v>63</v>
      </c>
      <c r="M85" s="22">
        <f>'9A Sem 2'!L30</f>
        <v>68</v>
      </c>
      <c r="N85" s="22">
        <f>'9A Sem 2'!M30</f>
        <v>66</v>
      </c>
      <c r="O85" s="22">
        <f>'9A Sem 2'!N30</f>
        <v>87</v>
      </c>
      <c r="P85" s="22">
        <f>'9A Sem 2'!O30</f>
        <v>61</v>
      </c>
      <c r="Q85" s="22">
        <f>'9A Sem 2'!P30</f>
        <v>86</v>
      </c>
      <c r="R85" s="22">
        <f>'9A Sem 2'!Q30</f>
        <v>63</v>
      </c>
      <c r="S85" s="22">
        <f>'9A Sem 2'!R30</f>
        <v>875</v>
      </c>
      <c r="T85" s="22">
        <f>'9A Sem 2'!S30</f>
        <v>67.307692307692307</v>
      </c>
      <c r="U85" s="22">
        <f>'9A Sem 2'!T30</f>
        <v>44</v>
      </c>
      <c r="V85" s="36">
        <f>'9A Sem 2'!U30</f>
        <v>0</v>
      </c>
      <c r="W85" s="36">
        <f>'9A Sem 2'!V30</f>
        <v>0</v>
      </c>
      <c r="X85" s="5"/>
      <c r="Y85" s="5"/>
      <c r="Z85" s="5"/>
      <c r="AA85" s="5"/>
      <c r="AB85" s="5"/>
    </row>
    <row r="86" spans="1:28" ht="18.75" customHeight="1" thickBot="1" x14ac:dyDescent="0.3">
      <c r="A86" s="241"/>
      <c r="B86" s="218"/>
      <c r="C86" s="213">
        <v>15</v>
      </c>
      <c r="D86" s="215" t="s">
        <v>23</v>
      </c>
      <c r="E86" s="21" t="s">
        <v>16</v>
      </c>
      <c r="F86" s="22">
        <f>AVERAGE(F84:F85)</f>
        <v>77</v>
      </c>
      <c r="G86" s="22">
        <f t="shared" ref="G86:W86" si="26">AVERAGE(G84:G85)</f>
        <v>55</v>
      </c>
      <c r="H86" s="22">
        <f t="shared" si="26"/>
        <v>64.5</v>
      </c>
      <c r="I86" s="22">
        <f t="shared" si="26"/>
        <v>66.5</v>
      </c>
      <c r="J86" s="22">
        <f t="shared" si="26"/>
        <v>58.5</v>
      </c>
      <c r="K86" s="22">
        <f t="shared" si="26"/>
        <v>54</v>
      </c>
      <c r="L86" s="22">
        <f t="shared" si="26"/>
        <v>71</v>
      </c>
      <c r="M86" s="22">
        <f t="shared" si="26"/>
        <v>61.5</v>
      </c>
      <c r="N86" s="22">
        <f t="shared" si="26"/>
        <v>69</v>
      </c>
      <c r="O86" s="22">
        <f t="shared" si="26"/>
        <v>77.5</v>
      </c>
      <c r="P86" s="22">
        <f t="shared" si="26"/>
        <v>60.5</v>
      </c>
      <c r="Q86" s="22">
        <f t="shared" si="26"/>
        <v>81</v>
      </c>
      <c r="R86" s="22">
        <f t="shared" si="26"/>
        <v>66.5</v>
      </c>
      <c r="S86" s="22">
        <f t="shared" si="26"/>
        <v>862.5</v>
      </c>
      <c r="T86" s="22">
        <f t="shared" si="26"/>
        <v>66.34615384615384</v>
      </c>
      <c r="U86" s="22">
        <f>'9A Sem avr'!$H$30</f>
        <v>45</v>
      </c>
      <c r="V86" s="22">
        <f t="shared" si="26"/>
        <v>0</v>
      </c>
      <c r="W86" s="22">
        <f t="shared" si="26"/>
        <v>0</v>
      </c>
      <c r="X86" s="5"/>
      <c r="Y86" s="5"/>
      <c r="Z86" s="5"/>
      <c r="AA86" s="5"/>
      <c r="AB86" s="5"/>
    </row>
    <row r="87" spans="1:28" ht="18.75" customHeight="1" thickBot="1" x14ac:dyDescent="0.3">
      <c r="A87" s="241">
        <v>28</v>
      </c>
      <c r="B87" s="218"/>
      <c r="C87" s="213">
        <v>14</v>
      </c>
      <c r="D87" s="215" t="s">
        <v>20</v>
      </c>
      <c r="E87" s="21" t="s">
        <v>21</v>
      </c>
      <c r="F87" s="22">
        <f>'9A Sem 1'!E31</f>
        <v>93</v>
      </c>
      <c r="G87" s="22">
        <f>'9A Sem 1'!F31</f>
        <v>89</v>
      </c>
      <c r="H87" s="22">
        <f>'9A Sem 1'!G31</f>
        <v>85</v>
      </c>
      <c r="I87" s="22">
        <f>'9A Sem 1'!H31</f>
        <v>80</v>
      </c>
      <c r="J87" s="22">
        <f>'9A Sem 1'!I31</f>
        <v>85</v>
      </c>
      <c r="K87" s="22">
        <f>'9A Sem 1'!J31</f>
        <v>91</v>
      </c>
      <c r="L87" s="22">
        <f>'9A Sem 1'!K31</f>
        <v>93</v>
      </c>
      <c r="M87" s="22">
        <f>'9A Sem 1'!L31</f>
        <v>91</v>
      </c>
      <c r="N87" s="22">
        <f>'9A Sem 1'!M31</f>
        <v>99</v>
      </c>
      <c r="O87" s="22">
        <f>'9A Sem 1'!N31</f>
        <v>96</v>
      </c>
      <c r="P87" s="22">
        <f>'9A Sem 1'!O31</f>
        <v>90</v>
      </c>
      <c r="Q87" s="22">
        <f>'9A Sem 1'!P31</f>
        <v>91</v>
      </c>
      <c r="R87" s="22">
        <f>'9A Sem 1'!Q31</f>
        <v>92</v>
      </c>
      <c r="S87" s="22">
        <f>'9A Sem 1'!R31</f>
        <v>1175</v>
      </c>
      <c r="T87" s="22">
        <f>'9A Sem 1'!S31</f>
        <v>90.384615384615387</v>
      </c>
      <c r="U87" s="22">
        <f>'9A Sem 1'!T31</f>
        <v>2</v>
      </c>
      <c r="V87" s="36">
        <f>'9A Sem 1'!U31</f>
        <v>0</v>
      </c>
      <c r="W87" s="36">
        <f>'9A Sem 1'!V31</f>
        <v>0</v>
      </c>
      <c r="X87" s="5"/>
      <c r="Y87" s="5"/>
      <c r="Z87" s="5"/>
      <c r="AA87" s="5"/>
      <c r="AB87" s="5"/>
    </row>
    <row r="88" spans="1:28" ht="18.75" customHeight="1" thickBot="1" x14ac:dyDescent="0.3">
      <c r="A88" s="241"/>
      <c r="B88" s="218"/>
      <c r="C88" s="213">
        <v>14</v>
      </c>
      <c r="D88" s="215" t="s">
        <v>20</v>
      </c>
      <c r="E88" s="21" t="s">
        <v>22</v>
      </c>
      <c r="F88" s="22">
        <f>'9A Sem 2'!E31</f>
        <v>96</v>
      </c>
      <c r="G88" s="22">
        <f>'9A Sem 2'!F31</f>
        <v>86</v>
      </c>
      <c r="H88" s="22">
        <f>'9A Sem 2'!G31</f>
        <v>94</v>
      </c>
      <c r="I88" s="22">
        <f>'9A Sem 2'!H31</f>
        <v>88</v>
      </c>
      <c r="J88" s="22">
        <f>'9A Sem 2'!I31</f>
        <v>88</v>
      </c>
      <c r="K88" s="22">
        <f>'9A Sem 2'!J31</f>
        <v>98</v>
      </c>
      <c r="L88" s="22">
        <f>'9A Sem 2'!K31</f>
        <v>99</v>
      </c>
      <c r="M88" s="22">
        <f>'9A Sem 2'!L31</f>
        <v>100</v>
      </c>
      <c r="N88" s="22">
        <f>'9A Sem 2'!M31</f>
        <v>91</v>
      </c>
      <c r="O88" s="22">
        <f>'9A Sem 2'!N31</f>
        <v>100</v>
      </c>
      <c r="P88" s="22">
        <f>'9A Sem 2'!O31</f>
        <v>99</v>
      </c>
      <c r="Q88" s="22">
        <f>'9A Sem 2'!P31</f>
        <v>88</v>
      </c>
      <c r="R88" s="22">
        <f>'9A Sem 2'!Q31</f>
        <v>100</v>
      </c>
      <c r="S88" s="22">
        <f>'9A Sem 2'!R31</f>
        <v>1227</v>
      </c>
      <c r="T88" s="22">
        <f>'9A Sem 2'!S31</f>
        <v>94.384615384615387</v>
      </c>
      <c r="U88" s="22">
        <f>'9A Sem 2'!T31</f>
        <v>2</v>
      </c>
      <c r="V88" s="36">
        <f>'9A Sem 2'!U31</f>
        <v>0</v>
      </c>
      <c r="W88" s="36">
        <f>'9A Sem 2'!V31</f>
        <v>0</v>
      </c>
      <c r="X88" s="5"/>
      <c r="Y88" s="5"/>
      <c r="Z88" s="5"/>
      <c r="AA88" s="5"/>
      <c r="AB88" s="5"/>
    </row>
    <row r="89" spans="1:28" ht="18.75" customHeight="1" thickBot="1" x14ac:dyDescent="0.3">
      <c r="A89" s="241"/>
      <c r="B89" s="218"/>
      <c r="C89" s="213">
        <v>14</v>
      </c>
      <c r="D89" s="215" t="s">
        <v>20</v>
      </c>
      <c r="E89" s="21" t="s">
        <v>16</v>
      </c>
      <c r="F89" s="22">
        <f>AVERAGE(F87:F88)</f>
        <v>94.5</v>
      </c>
      <c r="G89" s="22">
        <f t="shared" ref="G89:W89" si="27">AVERAGE(G87:G88)</f>
        <v>87.5</v>
      </c>
      <c r="H89" s="22">
        <f t="shared" si="27"/>
        <v>89.5</v>
      </c>
      <c r="I89" s="22">
        <f t="shared" si="27"/>
        <v>84</v>
      </c>
      <c r="J89" s="22">
        <f t="shared" si="27"/>
        <v>86.5</v>
      </c>
      <c r="K89" s="22">
        <f t="shared" si="27"/>
        <v>94.5</v>
      </c>
      <c r="L89" s="22">
        <f t="shared" si="27"/>
        <v>96</v>
      </c>
      <c r="M89" s="22">
        <f t="shared" si="27"/>
        <v>95.5</v>
      </c>
      <c r="N89" s="22">
        <f t="shared" si="27"/>
        <v>95</v>
      </c>
      <c r="O89" s="22">
        <f t="shared" si="27"/>
        <v>98</v>
      </c>
      <c r="P89" s="22">
        <f t="shared" si="27"/>
        <v>94.5</v>
      </c>
      <c r="Q89" s="22">
        <f t="shared" si="27"/>
        <v>89.5</v>
      </c>
      <c r="R89" s="22">
        <f t="shared" si="27"/>
        <v>96</v>
      </c>
      <c r="S89" s="22">
        <f t="shared" si="27"/>
        <v>1201</v>
      </c>
      <c r="T89" s="22">
        <f t="shared" si="27"/>
        <v>92.384615384615387</v>
      </c>
      <c r="U89" s="22">
        <f>'9A Sem avr'!$H$31</f>
        <v>2</v>
      </c>
      <c r="V89" s="22">
        <f t="shared" si="27"/>
        <v>0</v>
      </c>
      <c r="W89" s="22">
        <f t="shared" si="27"/>
        <v>0</v>
      </c>
      <c r="X89" s="5"/>
      <c r="Y89" s="5"/>
      <c r="Z89" s="5"/>
      <c r="AA89" s="5"/>
      <c r="AB89" s="5"/>
    </row>
    <row r="90" spans="1:28" ht="18.75" customHeight="1" thickBot="1" x14ac:dyDescent="0.3">
      <c r="A90" s="234">
        <v>29</v>
      </c>
      <c r="B90" s="218"/>
      <c r="C90" s="213">
        <v>15</v>
      </c>
      <c r="D90" s="215" t="s">
        <v>23</v>
      </c>
      <c r="E90" s="21" t="s">
        <v>21</v>
      </c>
      <c r="F90" s="22">
        <f>'9A Sem 1'!E32</f>
        <v>91</v>
      </c>
      <c r="G90" s="22">
        <f>'9A Sem 1'!F32</f>
        <v>64</v>
      </c>
      <c r="H90" s="22">
        <f>'9A Sem 1'!G32</f>
        <v>55</v>
      </c>
      <c r="I90" s="22">
        <f>'9A Sem 1'!H32</f>
        <v>70</v>
      </c>
      <c r="J90" s="22">
        <f>'9A Sem 1'!I32</f>
        <v>63</v>
      </c>
      <c r="K90" s="22">
        <f>'9A Sem 1'!J32</f>
        <v>58</v>
      </c>
      <c r="L90" s="22">
        <f>'9A Sem 1'!K32</f>
        <v>80</v>
      </c>
      <c r="M90" s="22">
        <f>'9A Sem 1'!L32</f>
        <v>72</v>
      </c>
      <c r="N90" s="22">
        <f>'9A Sem 1'!M32</f>
        <v>80</v>
      </c>
      <c r="O90" s="22">
        <f>'9A Sem 1'!N32</f>
        <v>73</v>
      </c>
      <c r="P90" s="22">
        <f>'9A Sem 1'!O32</f>
        <v>74</v>
      </c>
      <c r="Q90" s="22">
        <f>'9A Sem 1'!P32</f>
        <v>86</v>
      </c>
      <c r="R90" s="22">
        <f>'9A Sem 1'!Q32</f>
        <v>81</v>
      </c>
      <c r="S90" s="22">
        <f>'9A Sem 1'!R32</f>
        <v>947</v>
      </c>
      <c r="T90" s="22">
        <f>'9A Sem 1'!S32</f>
        <v>72.84615384615384</v>
      </c>
      <c r="U90" s="22">
        <f>'9A Sem 1'!T32</f>
        <v>32</v>
      </c>
      <c r="V90" s="36">
        <f>'9A Sem 1'!U32</f>
        <v>0</v>
      </c>
      <c r="W90" s="36">
        <f>'9A Sem 1'!V32</f>
        <v>0</v>
      </c>
      <c r="X90" s="5"/>
      <c r="Y90" s="5"/>
      <c r="Z90" s="5"/>
      <c r="AA90" s="5"/>
      <c r="AB90" s="5"/>
    </row>
    <row r="91" spans="1:28" ht="18.75" customHeight="1" thickBot="1" x14ac:dyDescent="0.3">
      <c r="A91" s="234"/>
      <c r="B91" s="218"/>
      <c r="C91" s="213">
        <v>15</v>
      </c>
      <c r="D91" s="215" t="s">
        <v>23</v>
      </c>
      <c r="E91" s="21" t="s">
        <v>22</v>
      </c>
      <c r="F91" s="22">
        <f>'9A Sem 2'!E32</f>
        <v>79</v>
      </c>
      <c r="G91" s="22">
        <f>'9A Sem 2'!F32</f>
        <v>61</v>
      </c>
      <c r="H91" s="22">
        <f>'9A Sem 2'!G32</f>
        <v>70</v>
      </c>
      <c r="I91" s="22">
        <f>'9A Sem 2'!H32</f>
        <v>70</v>
      </c>
      <c r="J91" s="22">
        <f>'9A Sem 2'!I32</f>
        <v>68</v>
      </c>
      <c r="K91" s="22">
        <f>'9A Sem 2'!J32</f>
        <v>78</v>
      </c>
      <c r="L91" s="22">
        <f>'9A Sem 2'!K32</f>
        <v>82</v>
      </c>
      <c r="M91" s="22">
        <f>'9A Sem 2'!L32</f>
        <v>82</v>
      </c>
      <c r="N91" s="22">
        <f>'9A Sem 2'!M32</f>
        <v>81</v>
      </c>
      <c r="O91" s="22">
        <f>'9A Sem 2'!N32</f>
        <v>88</v>
      </c>
      <c r="P91" s="22">
        <f>'9A Sem 2'!O32</f>
        <v>84</v>
      </c>
      <c r="Q91" s="22">
        <f>'9A Sem 2'!P32</f>
        <v>89</v>
      </c>
      <c r="R91" s="22">
        <f>'9A Sem 2'!Q32</f>
        <v>79</v>
      </c>
      <c r="S91" s="22">
        <f>'9A Sem 2'!R32</f>
        <v>1011</v>
      </c>
      <c r="T91" s="22">
        <f>'9A Sem 2'!S32</f>
        <v>77.769230769230774</v>
      </c>
      <c r="U91" s="22">
        <f>'9A Sem 2'!T32</f>
        <v>25</v>
      </c>
      <c r="V91" s="36">
        <f>'9A Sem 2'!U32</f>
        <v>0</v>
      </c>
      <c r="W91" s="36">
        <f>'9A Sem 2'!V32</f>
        <v>0</v>
      </c>
      <c r="X91" s="5"/>
      <c r="Y91" s="5"/>
      <c r="Z91" s="5"/>
      <c r="AA91" s="5"/>
      <c r="AB91" s="5"/>
    </row>
    <row r="92" spans="1:28" ht="18.75" customHeight="1" thickBot="1" x14ac:dyDescent="0.3">
      <c r="A92" s="234"/>
      <c r="B92" s="218"/>
      <c r="C92" s="213">
        <v>15</v>
      </c>
      <c r="D92" s="215" t="s">
        <v>23</v>
      </c>
      <c r="E92" s="21" t="s">
        <v>16</v>
      </c>
      <c r="F92" s="22">
        <f>AVERAGE(F90:F91)</f>
        <v>85</v>
      </c>
      <c r="G92" s="22">
        <f t="shared" ref="G92:W92" si="28">AVERAGE(G90:G91)</f>
        <v>62.5</v>
      </c>
      <c r="H92" s="22">
        <f t="shared" si="28"/>
        <v>62.5</v>
      </c>
      <c r="I92" s="22">
        <f t="shared" si="28"/>
        <v>70</v>
      </c>
      <c r="J92" s="22">
        <f t="shared" si="28"/>
        <v>65.5</v>
      </c>
      <c r="K92" s="22">
        <f t="shared" si="28"/>
        <v>68</v>
      </c>
      <c r="L92" s="22">
        <f t="shared" si="28"/>
        <v>81</v>
      </c>
      <c r="M92" s="22">
        <f t="shared" si="28"/>
        <v>77</v>
      </c>
      <c r="N92" s="22">
        <f t="shared" si="28"/>
        <v>80.5</v>
      </c>
      <c r="O92" s="22">
        <f t="shared" si="28"/>
        <v>80.5</v>
      </c>
      <c r="P92" s="22">
        <f t="shared" si="28"/>
        <v>79</v>
      </c>
      <c r="Q92" s="22">
        <f t="shared" si="28"/>
        <v>87.5</v>
      </c>
      <c r="R92" s="22">
        <f t="shared" si="28"/>
        <v>80</v>
      </c>
      <c r="S92" s="22">
        <f t="shared" si="28"/>
        <v>979</v>
      </c>
      <c r="T92" s="22">
        <f t="shared" si="28"/>
        <v>75.307692307692307</v>
      </c>
      <c r="U92" s="22">
        <f>'9A Sem avr'!$H$32</f>
        <v>28</v>
      </c>
      <c r="V92" s="22">
        <f t="shared" si="28"/>
        <v>0</v>
      </c>
      <c r="W92" s="22">
        <f t="shared" si="28"/>
        <v>0</v>
      </c>
      <c r="X92" s="5"/>
      <c r="Y92" s="5"/>
      <c r="Z92" s="5"/>
      <c r="AA92" s="5"/>
      <c r="AB92" s="5"/>
    </row>
    <row r="93" spans="1:28" ht="18.75" customHeight="1" thickBot="1" x14ac:dyDescent="0.3">
      <c r="A93" s="241">
        <v>30</v>
      </c>
      <c r="B93" s="218"/>
      <c r="C93" s="213">
        <v>14</v>
      </c>
      <c r="D93" s="215" t="s">
        <v>23</v>
      </c>
      <c r="E93" s="21" t="s">
        <v>21</v>
      </c>
      <c r="F93" s="22">
        <f>'9A Sem 1'!E33</f>
        <v>85</v>
      </c>
      <c r="G93" s="23">
        <f>'9A Sem 1'!F33</f>
        <v>76</v>
      </c>
      <c r="H93" s="23">
        <f>'9A Sem 1'!G33</f>
        <v>58</v>
      </c>
      <c r="I93" s="23">
        <f>'9A Sem 1'!H33</f>
        <v>70</v>
      </c>
      <c r="J93" s="22">
        <f>'9A Sem 1'!I33</f>
        <v>70</v>
      </c>
      <c r="K93" s="22">
        <f>'9A Sem 1'!J33</f>
        <v>68</v>
      </c>
      <c r="L93" s="22">
        <f>'9A Sem 1'!K33</f>
        <v>75</v>
      </c>
      <c r="M93" s="22">
        <f>'9A Sem 1'!L33</f>
        <v>57</v>
      </c>
      <c r="N93" s="22">
        <f>'9A Sem 1'!M33</f>
        <v>79</v>
      </c>
      <c r="O93" s="22">
        <f>'9A Sem 1'!N33</f>
        <v>75</v>
      </c>
      <c r="P93" s="23">
        <f>'9A Sem 1'!O33</f>
        <v>79</v>
      </c>
      <c r="Q93" s="23">
        <f>'9A Sem 1'!P33</f>
        <v>88</v>
      </c>
      <c r="R93" s="23">
        <f>'9A Sem 1'!Q33</f>
        <v>84</v>
      </c>
      <c r="S93" s="22">
        <f>'9A Sem 1'!R33</f>
        <v>964</v>
      </c>
      <c r="T93" s="22">
        <f>'9A Sem 1'!S33</f>
        <v>74.15384615384616</v>
      </c>
      <c r="U93" s="22">
        <f>'9A Sem 1'!T33</f>
        <v>28</v>
      </c>
      <c r="V93" s="36">
        <f>'9A Sem 1'!U33</f>
        <v>0</v>
      </c>
      <c r="W93" s="36">
        <f>'9A Sem 1'!V33</f>
        <v>0</v>
      </c>
      <c r="X93" s="5"/>
      <c r="Y93" s="5"/>
      <c r="Z93" s="5"/>
      <c r="AA93" s="5"/>
      <c r="AB93" s="5"/>
    </row>
    <row r="94" spans="1:28" ht="18.75" customHeight="1" thickBot="1" x14ac:dyDescent="0.3">
      <c r="A94" s="241"/>
      <c r="B94" s="218"/>
      <c r="C94" s="213">
        <v>14</v>
      </c>
      <c r="D94" s="215" t="s">
        <v>23</v>
      </c>
      <c r="E94" s="21" t="s">
        <v>22</v>
      </c>
      <c r="F94" s="22">
        <f>'9A Sem 2'!E33</f>
        <v>86</v>
      </c>
      <c r="G94" s="23">
        <f>'9A Sem 2'!F33</f>
        <v>70</v>
      </c>
      <c r="H94" s="23">
        <f>'9A Sem 2'!G33</f>
        <v>72</v>
      </c>
      <c r="I94" s="23">
        <f>'9A Sem 2'!H33</f>
        <v>69</v>
      </c>
      <c r="J94" s="22">
        <f>'9A Sem 2'!I33</f>
        <v>67</v>
      </c>
      <c r="K94" s="22">
        <f>'9A Sem 2'!J33</f>
        <v>81</v>
      </c>
      <c r="L94" s="22">
        <f>'9A Sem 2'!K33</f>
        <v>80</v>
      </c>
      <c r="M94" s="22">
        <f>'9A Sem 2'!L33</f>
        <v>88</v>
      </c>
      <c r="N94" s="22">
        <f>'9A Sem 2'!M33</f>
        <v>84</v>
      </c>
      <c r="O94" s="22">
        <f>'9A Sem 2'!N33</f>
        <v>86</v>
      </c>
      <c r="P94" s="23">
        <f>'9A Sem 2'!O33</f>
        <v>86</v>
      </c>
      <c r="Q94" s="23">
        <f>'9A Sem 2'!P33</f>
        <v>89</v>
      </c>
      <c r="R94" s="23">
        <f>'9A Sem 2'!Q33</f>
        <v>63</v>
      </c>
      <c r="S94" s="22">
        <f>'9A Sem 2'!R33</f>
        <v>1021</v>
      </c>
      <c r="T94" s="22">
        <f>'9A Sem 2'!S33</f>
        <v>78.538461538461533</v>
      </c>
      <c r="U94" s="22">
        <f>'9A Sem 2'!T33</f>
        <v>23</v>
      </c>
      <c r="V94" s="36">
        <f>'9A Sem 2'!U33</f>
        <v>0</v>
      </c>
      <c r="W94" s="36">
        <f>'9A Sem 2'!V33</f>
        <v>0</v>
      </c>
      <c r="X94" s="5"/>
      <c r="Y94" s="5"/>
      <c r="Z94" s="5"/>
      <c r="AA94" s="5"/>
      <c r="AB94" s="5"/>
    </row>
    <row r="95" spans="1:28" ht="18.75" customHeight="1" thickBot="1" x14ac:dyDescent="0.3">
      <c r="A95" s="241"/>
      <c r="B95" s="218"/>
      <c r="C95" s="213">
        <v>14</v>
      </c>
      <c r="D95" s="215" t="s">
        <v>23</v>
      </c>
      <c r="E95" s="21" t="s">
        <v>16</v>
      </c>
      <c r="F95" s="22">
        <f>AVERAGE(F93:F94)</f>
        <v>85.5</v>
      </c>
      <c r="G95" s="22">
        <f t="shared" ref="G95:W95" si="29">AVERAGE(G93:G94)</f>
        <v>73</v>
      </c>
      <c r="H95" s="22">
        <f t="shared" si="29"/>
        <v>65</v>
      </c>
      <c r="I95" s="22">
        <f t="shared" si="29"/>
        <v>69.5</v>
      </c>
      <c r="J95" s="22">
        <f t="shared" si="29"/>
        <v>68.5</v>
      </c>
      <c r="K95" s="22">
        <f t="shared" si="29"/>
        <v>74.5</v>
      </c>
      <c r="L95" s="22">
        <f t="shared" si="29"/>
        <v>77.5</v>
      </c>
      <c r="M95" s="22">
        <f t="shared" si="29"/>
        <v>72.5</v>
      </c>
      <c r="N95" s="22">
        <f t="shared" si="29"/>
        <v>81.5</v>
      </c>
      <c r="O95" s="22">
        <f t="shared" si="29"/>
        <v>80.5</v>
      </c>
      <c r="P95" s="22">
        <f t="shared" si="29"/>
        <v>82.5</v>
      </c>
      <c r="Q95" s="22">
        <f t="shared" si="29"/>
        <v>88.5</v>
      </c>
      <c r="R95" s="22">
        <f t="shared" si="29"/>
        <v>73.5</v>
      </c>
      <c r="S95" s="22">
        <f t="shared" si="29"/>
        <v>992.5</v>
      </c>
      <c r="T95" s="22">
        <f t="shared" si="29"/>
        <v>76.34615384615384</v>
      </c>
      <c r="U95" s="22">
        <f>'9A Sem avr'!$H$33</f>
        <v>25</v>
      </c>
      <c r="V95" s="22">
        <f t="shared" si="29"/>
        <v>0</v>
      </c>
      <c r="W95" s="22">
        <f t="shared" si="29"/>
        <v>0</v>
      </c>
      <c r="X95" s="5"/>
      <c r="Y95" s="5"/>
      <c r="Z95" s="5"/>
      <c r="AA95" s="5"/>
      <c r="AB95" s="5"/>
    </row>
    <row r="96" spans="1:28" ht="18.75" customHeight="1" thickBot="1" x14ac:dyDescent="0.3">
      <c r="A96" s="234">
        <v>31</v>
      </c>
      <c r="B96" s="218"/>
      <c r="C96" s="213">
        <v>16</v>
      </c>
      <c r="D96" s="215" t="s">
        <v>23</v>
      </c>
      <c r="E96" s="21" t="s">
        <v>21</v>
      </c>
      <c r="F96" s="22">
        <f>'9A Sem 1'!E34</f>
        <v>80</v>
      </c>
      <c r="G96" s="22">
        <f>'9A Sem 1'!F34</f>
        <v>59</v>
      </c>
      <c r="H96" s="23">
        <f>'9A Sem 1'!G34</f>
        <v>51</v>
      </c>
      <c r="I96" s="22">
        <f>'9A Sem 1'!H34</f>
        <v>66</v>
      </c>
      <c r="J96" s="22">
        <f>'9A Sem 1'!I34</f>
        <v>74</v>
      </c>
      <c r="K96" s="22">
        <f>'9A Sem 1'!J34</f>
        <v>74</v>
      </c>
      <c r="L96" s="23">
        <f>'9A Sem 1'!K34</f>
        <v>77</v>
      </c>
      <c r="M96" s="22">
        <f>'9A Sem 1'!L34</f>
        <v>73</v>
      </c>
      <c r="N96" s="22">
        <f>'9A Sem 1'!M34</f>
        <v>84</v>
      </c>
      <c r="O96" s="22">
        <f>'9A Sem 1'!N34</f>
        <v>75</v>
      </c>
      <c r="P96" s="22">
        <f>'9A Sem 1'!O34</f>
        <v>78</v>
      </c>
      <c r="Q96" s="22">
        <f>'9A Sem 1'!P34</f>
        <v>98</v>
      </c>
      <c r="R96" s="22">
        <f>'9A Sem 1'!Q34</f>
        <v>93</v>
      </c>
      <c r="S96" s="22">
        <f>'9A Sem 1'!R34</f>
        <v>982</v>
      </c>
      <c r="T96" s="22">
        <f>'9A Sem 1'!S34</f>
        <v>75.538461538461533</v>
      </c>
      <c r="U96" s="22">
        <f>'9A Sem 1'!T34</f>
        <v>25</v>
      </c>
      <c r="V96" s="36">
        <f>'9A Sem 1'!U34</f>
        <v>0</v>
      </c>
      <c r="W96" s="36">
        <f>'9A Sem 1'!V34</f>
        <v>0</v>
      </c>
      <c r="X96" s="5"/>
      <c r="Y96" s="5"/>
      <c r="Z96" s="5"/>
      <c r="AA96" s="5"/>
      <c r="AB96" s="5"/>
    </row>
    <row r="97" spans="1:28" ht="18.75" customHeight="1" thickBot="1" x14ac:dyDescent="0.3">
      <c r="A97" s="234"/>
      <c r="B97" s="218"/>
      <c r="C97" s="213">
        <v>16</v>
      </c>
      <c r="D97" s="215" t="s">
        <v>23</v>
      </c>
      <c r="E97" s="21" t="s">
        <v>22</v>
      </c>
      <c r="F97" s="22">
        <f>'9A Sem 2'!E34</f>
        <v>0</v>
      </c>
      <c r="G97" s="22">
        <f>'9A Sem 2'!F34</f>
        <v>0</v>
      </c>
      <c r="H97" s="23">
        <f>'9A Sem 2'!G34</f>
        <v>0</v>
      </c>
      <c r="I97" s="22">
        <f>'9A Sem 2'!H34</f>
        <v>0</v>
      </c>
      <c r="J97" s="22">
        <f>'9A Sem 2'!I34</f>
        <v>0</v>
      </c>
      <c r="K97" s="22">
        <f>'9A Sem 2'!J34</f>
        <v>0</v>
      </c>
      <c r="L97" s="23">
        <f>'9A Sem 2'!K34</f>
        <v>0</v>
      </c>
      <c r="M97" s="22">
        <f>'9A Sem 2'!L34</f>
        <v>0</v>
      </c>
      <c r="N97" s="22">
        <f>'9A Sem 2'!M34</f>
        <v>0</v>
      </c>
      <c r="O97" s="22">
        <f>'9A Sem 2'!N34</f>
        <v>0</v>
      </c>
      <c r="P97" s="22">
        <f>'9A Sem 2'!O34</f>
        <v>0</v>
      </c>
      <c r="Q97" s="22">
        <f>'9A Sem 2'!P34</f>
        <v>0</v>
      </c>
      <c r="R97" s="22">
        <f>'9A Sem 2'!Q34</f>
        <v>0</v>
      </c>
      <c r="S97" s="22">
        <f>'9A Sem 2'!R34</f>
        <v>0</v>
      </c>
      <c r="T97" s="22">
        <f>'9A Sem 2'!S34</f>
        <v>0</v>
      </c>
      <c r="U97" s="22">
        <f>'9A Sem 2'!T34</f>
        <v>55</v>
      </c>
      <c r="V97" s="36">
        <f>'9A Sem 2'!U34</f>
        <v>0</v>
      </c>
      <c r="W97" s="36">
        <f>'9A Sem 2'!V34</f>
        <v>0</v>
      </c>
      <c r="X97" s="5"/>
      <c r="Y97" s="5"/>
      <c r="Z97" s="5"/>
      <c r="AA97" s="5"/>
      <c r="AB97" s="5"/>
    </row>
    <row r="98" spans="1:28" ht="18.75" customHeight="1" thickBot="1" x14ac:dyDescent="0.3">
      <c r="A98" s="234"/>
      <c r="B98" s="218"/>
      <c r="C98" s="213">
        <v>16</v>
      </c>
      <c r="D98" s="215" t="s">
        <v>23</v>
      </c>
      <c r="E98" s="21" t="s">
        <v>16</v>
      </c>
      <c r="F98" s="22">
        <f>AVERAGE(F96:F97)</f>
        <v>40</v>
      </c>
      <c r="G98" s="22">
        <f t="shared" ref="G98:W98" si="30">AVERAGE(G96:G97)</f>
        <v>29.5</v>
      </c>
      <c r="H98" s="22">
        <f t="shared" si="30"/>
        <v>25.5</v>
      </c>
      <c r="I98" s="22">
        <f t="shared" si="30"/>
        <v>33</v>
      </c>
      <c r="J98" s="22">
        <f t="shared" si="30"/>
        <v>37</v>
      </c>
      <c r="K98" s="22">
        <f t="shared" si="30"/>
        <v>37</v>
      </c>
      <c r="L98" s="22">
        <f t="shared" si="30"/>
        <v>38.5</v>
      </c>
      <c r="M98" s="22">
        <f t="shared" si="30"/>
        <v>36.5</v>
      </c>
      <c r="N98" s="22">
        <f t="shared" si="30"/>
        <v>42</v>
      </c>
      <c r="O98" s="22">
        <f t="shared" si="30"/>
        <v>37.5</v>
      </c>
      <c r="P98" s="22">
        <f t="shared" si="30"/>
        <v>39</v>
      </c>
      <c r="Q98" s="22">
        <f t="shared" si="30"/>
        <v>49</v>
      </c>
      <c r="R98" s="22">
        <f t="shared" si="30"/>
        <v>46.5</v>
      </c>
      <c r="S98" s="22">
        <f t="shared" si="30"/>
        <v>491</v>
      </c>
      <c r="T98" s="22">
        <f t="shared" si="30"/>
        <v>37.769230769230766</v>
      </c>
      <c r="U98" s="22">
        <f>'9A Sem avr'!$H$34</f>
        <v>55</v>
      </c>
      <c r="V98" s="22">
        <f t="shared" si="30"/>
        <v>0</v>
      </c>
      <c r="W98" s="22">
        <f t="shared" si="30"/>
        <v>0</v>
      </c>
      <c r="X98" s="5"/>
      <c r="Y98" s="5"/>
      <c r="Z98" s="5"/>
      <c r="AA98" s="5"/>
      <c r="AB98" s="5"/>
    </row>
    <row r="99" spans="1:28" ht="18.75" customHeight="1" thickBot="1" x14ac:dyDescent="0.3">
      <c r="A99" s="234">
        <v>32</v>
      </c>
      <c r="B99" s="218"/>
      <c r="C99" s="213">
        <v>15</v>
      </c>
      <c r="D99" s="215" t="s">
        <v>20</v>
      </c>
      <c r="E99" s="21" t="s">
        <v>21</v>
      </c>
      <c r="F99" s="22">
        <f>'9A Sem 1'!E35</f>
        <v>78</v>
      </c>
      <c r="G99" s="22">
        <f>'9A Sem 1'!F35</f>
        <v>67</v>
      </c>
      <c r="H99" s="22">
        <f>'9A Sem 1'!G35</f>
        <v>43</v>
      </c>
      <c r="I99" s="22">
        <f>'9A Sem 1'!H35</f>
        <v>41</v>
      </c>
      <c r="J99" s="22">
        <f>'9A Sem 1'!I35</f>
        <v>43</v>
      </c>
      <c r="K99" s="22">
        <f>'9A Sem 1'!J35</f>
        <v>50</v>
      </c>
      <c r="L99" s="22">
        <f>'9A Sem 1'!K35</f>
        <v>54</v>
      </c>
      <c r="M99" s="22">
        <f>'9A Sem 1'!L35</f>
        <v>52</v>
      </c>
      <c r="N99" s="22">
        <f>'9A Sem 1'!M35</f>
        <v>60</v>
      </c>
      <c r="O99" s="22">
        <f>'9A Sem 1'!N35</f>
        <v>69</v>
      </c>
      <c r="P99" s="22">
        <f>'9A Sem 1'!O35</f>
        <v>57</v>
      </c>
      <c r="Q99" s="22">
        <f>'9A Sem 1'!P35</f>
        <v>86</v>
      </c>
      <c r="R99" s="22">
        <f>'9A Sem 1'!Q35</f>
        <v>51</v>
      </c>
      <c r="S99" s="22">
        <f>'9A Sem 1'!R35</f>
        <v>751</v>
      </c>
      <c r="T99" s="22">
        <f>'9A Sem 1'!S35</f>
        <v>57.769230769230766</v>
      </c>
      <c r="U99" s="22">
        <f>'9A Sem 1'!T35</f>
        <v>53</v>
      </c>
      <c r="V99" s="36">
        <f>'9A Sem 1'!U35</f>
        <v>0</v>
      </c>
      <c r="W99" s="36">
        <f>'9A Sem 1'!V35</f>
        <v>0</v>
      </c>
      <c r="X99" s="5"/>
      <c r="Y99" s="5"/>
      <c r="Z99" s="5"/>
      <c r="AA99" s="5"/>
      <c r="AB99" s="5"/>
    </row>
    <row r="100" spans="1:28" ht="17.25" customHeight="1" thickBot="1" x14ac:dyDescent="0.3">
      <c r="A100" s="234"/>
      <c r="B100" s="218"/>
      <c r="C100" s="213">
        <v>15</v>
      </c>
      <c r="D100" s="215" t="s">
        <v>20</v>
      </c>
      <c r="E100" s="21" t="s">
        <v>22</v>
      </c>
      <c r="F100" s="22">
        <f>'9A Sem 2'!E35</f>
        <v>68</v>
      </c>
      <c r="G100" s="22">
        <f>'9A Sem 2'!F35</f>
        <v>60</v>
      </c>
      <c r="H100" s="22">
        <f>'9A Sem 2'!G35</f>
        <v>41</v>
      </c>
      <c r="I100" s="22">
        <f>'9A Sem 2'!H35</f>
        <v>46</v>
      </c>
      <c r="J100" s="22">
        <f>'9A Sem 2'!I35</f>
        <v>41</v>
      </c>
      <c r="K100" s="22">
        <f>'9A Sem 2'!J35</f>
        <v>57</v>
      </c>
      <c r="L100" s="22">
        <f>'9A Sem 2'!K35</f>
        <v>41</v>
      </c>
      <c r="M100" s="22">
        <f>'9A Sem 2'!L35</f>
        <v>58</v>
      </c>
      <c r="N100" s="22">
        <f>'9A Sem 2'!M35</f>
        <v>66</v>
      </c>
      <c r="O100" s="22">
        <f>'9A Sem 2'!N35</f>
        <v>79</v>
      </c>
      <c r="P100" s="22">
        <f>'9A Sem 2'!O35</f>
        <v>56</v>
      </c>
      <c r="Q100" s="22">
        <f>'9A Sem 2'!P35</f>
        <v>82</v>
      </c>
      <c r="R100" s="22">
        <f>'9A Sem 2'!Q35</f>
        <v>62</v>
      </c>
      <c r="S100" s="22">
        <f>'9A Sem 2'!R35</f>
        <v>757</v>
      </c>
      <c r="T100" s="22">
        <f>'9A Sem 2'!S35</f>
        <v>58.230769230769234</v>
      </c>
      <c r="U100" s="22">
        <f>'9A Sem 2'!T35</f>
        <v>52</v>
      </c>
      <c r="V100" s="36">
        <f>'9A Sem 2'!U35</f>
        <v>0</v>
      </c>
      <c r="W100" s="36">
        <f>'9A Sem 2'!V35</f>
        <v>0</v>
      </c>
      <c r="X100" s="5"/>
      <c r="Y100" s="5"/>
      <c r="Z100" s="5"/>
      <c r="AA100" s="5"/>
      <c r="AB100" s="5"/>
    </row>
    <row r="101" spans="1:28" ht="17.25" customHeight="1" thickBot="1" x14ac:dyDescent="0.3">
      <c r="A101" s="234"/>
      <c r="B101" s="218"/>
      <c r="C101" s="213">
        <v>15</v>
      </c>
      <c r="D101" s="215" t="s">
        <v>20</v>
      </c>
      <c r="E101" s="21" t="s">
        <v>16</v>
      </c>
      <c r="F101" s="22">
        <f>AVERAGE(F99:F100)</f>
        <v>73</v>
      </c>
      <c r="G101" s="22">
        <f t="shared" ref="G101:W101" si="31">AVERAGE(G99:G100)</f>
        <v>63.5</v>
      </c>
      <c r="H101" s="22">
        <f t="shared" si="31"/>
        <v>42</v>
      </c>
      <c r="I101" s="22">
        <f t="shared" si="31"/>
        <v>43.5</v>
      </c>
      <c r="J101" s="22">
        <f t="shared" si="31"/>
        <v>42</v>
      </c>
      <c r="K101" s="22">
        <f t="shared" si="31"/>
        <v>53.5</v>
      </c>
      <c r="L101" s="22">
        <f t="shared" si="31"/>
        <v>47.5</v>
      </c>
      <c r="M101" s="22">
        <f t="shared" si="31"/>
        <v>55</v>
      </c>
      <c r="N101" s="22">
        <f t="shared" si="31"/>
        <v>63</v>
      </c>
      <c r="O101" s="22">
        <f t="shared" si="31"/>
        <v>74</v>
      </c>
      <c r="P101" s="22">
        <f t="shared" si="31"/>
        <v>56.5</v>
      </c>
      <c r="Q101" s="22">
        <f t="shared" si="31"/>
        <v>84</v>
      </c>
      <c r="R101" s="22">
        <f t="shared" si="31"/>
        <v>56.5</v>
      </c>
      <c r="S101" s="22">
        <f t="shared" si="31"/>
        <v>754</v>
      </c>
      <c r="T101" s="22">
        <f t="shared" si="31"/>
        <v>58</v>
      </c>
      <c r="U101" s="22">
        <f>'9A Sem avr'!$H$35</f>
        <v>51</v>
      </c>
      <c r="V101" s="22">
        <f t="shared" si="31"/>
        <v>0</v>
      </c>
      <c r="W101" s="22">
        <f t="shared" si="31"/>
        <v>0</v>
      </c>
      <c r="X101" s="5"/>
      <c r="Y101" s="5"/>
      <c r="Z101" s="5"/>
      <c r="AA101" s="5"/>
      <c r="AB101" s="5"/>
    </row>
    <row r="102" spans="1:28" ht="17.25" customHeight="1" thickBot="1" x14ac:dyDescent="0.3">
      <c r="A102" s="234">
        <v>33</v>
      </c>
      <c r="B102" s="218"/>
      <c r="C102" s="213">
        <v>14</v>
      </c>
      <c r="D102" s="215" t="s">
        <v>20</v>
      </c>
      <c r="E102" s="21" t="s">
        <v>21</v>
      </c>
      <c r="F102" s="22">
        <f>'9A Sem 1'!E36</f>
        <v>85</v>
      </c>
      <c r="G102" s="22">
        <f>'9A Sem 1'!F36</f>
        <v>84</v>
      </c>
      <c r="H102" s="23">
        <f>'9A Sem 1'!G36</f>
        <v>87</v>
      </c>
      <c r="I102" s="22">
        <f>'9A Sem 1'!H36</f>
        <v>83</v>
      </c>
      <c r="J102" s="22">
        <f>'9A Sem 1'!I36</f>
        <v>95</v>
      </c>
      <c r="K102" s="22">
        <f>'9A Sem 1'!J36</f>
        <v>86</v>
      </c>
      <c r="L102" s="22">
        <f>'9A Sem 1'!K36</f>
        <v>84</v>
      </c>
      <c r="M102" s="22">
        <f>'9A Sem 1'!L36</f>
        <v>82</v>
      </c>
      <c r="N102" s="22">
        <f>'9A Sem 1'!M36</f>
        <v>90</v>
      </c>
      <c r="O102" s="22">
        <f>'9A Sem 1'!N36</f>
        <v>87</v>
      </c>
      <c r="P102" s="22">
        <f>'9A Sem 1'!O36</f>
        <v>90</v>
      </c>
      <c r="Q102" s="22">
        <f>'9A Sem 1'!P36</f>
        <v>95</v>
      </c>
      <c r="R102" s="22">
        <f>'9A Sem 1'!Q36</f>
        <v>88</v>
      </c>
      <c r="S102" s="22">
        <f>'9A Sem 1'!R36</f>
        <v>1136</v>
      </c>
      <c r="T102" s="22">
        <f>'9A Sem 1'!S36</f>
        <v>87.384615384615387</v>
      </c>
      <c r="U102" s="22">
        <f>'9A Sem 1'!T36</f>
        <v>4</v>
      </c>
      <c r="V102" s="36">
        <f>'9A Sem 1'!U36</f>
        <v>0</v>
      </c>
      <c r="W102" s="36">
        <f>'9A Sem 1'!V36</f>
        <v>0</v>
      </c>
      <c r="X102" s="5"/>
      <c r="Y102" s="5"/>
      <c r="Z102" s="5"/>
      <c r="AA102" s="5"/>
      <c r="AB102" s="5"/>
    </row>
    <row r="103" spans="1:28" ht="17.25" customHeight="1" thickBot="1" x14ac:dyDescent="0.3">
      <c r="A103" s="234"/>
      <c r="B103" s="218"/>
      <c r="C103" s="213">
        <v>14</v>
      </c>
      <c r="D103" s="215" t="s">
        <v>20</v>
      </c>
      <c r="E103" s="21" t="s">
        <v>22</v>
      </c>
      <c r="F103" s="22">
        <f>'9A Sem 2'!E36</f>
        <v>83</v>
      </c>
      <c r="G103" s="22">
        <f>'9A Sem 2'!F36</f>
        <v>79</v>
      </c>
      <c r="H103" s="23">
        <f>'9A Sem 2'!G36</f>
        <v>93</v>
      </c>
      <c r="I103" s="22">
        <f>'9A Sem 2'!H36</f>
        <v>85</v>
      </c>
      <c r="J103" s="22">
        <f>'9A Sem 2'!I36</f>
        <v>93</v>
      </c>
      <c r="K103" s="22">
        <f>'9A Sem 2'!J36</f>
        <v>91</v>
      </c>
      <c r="L103" s="22">
        <f>'9A Sem 2'!K36</f>
        <v>85</v>
      </c>
      <c r="M103" s="22">
        <f>'9A Sem 2'!L36</f>
        <v>91</v>
      </c>
      <c r="N103" s="22">
        <f>'9A Sem 2'!M36</f>
        <v>88</v>
      </c>
      <c r="O103" s="22">
        <f>'9A Sem 2'!N36</f>
        <v>92</v>
      </c>
      <c r="P103" s="22">
        <f>'9A Sem 2'!O36</f>
        <v>92</v>
      </c>
      <c r="Q103" s="22">
        <f>'9A Sem 2'!P36</f>
        <v>91</v>
      </c>
      <c r="R103" s="22">
        <f>'9A Sem 2'!Q36</f>
        <v>69</v>
      </c>
      <c r="S103" s="22">
        <f>'9A Sem 2'!R36</f>
        <v>1132</v>
      </c>
      <c r="T103" s="22">
        <f>'9A Sem 2'!S36</f>
        <v>87.07692307692308</v>
      </c>
      <c r="U103" s="22">
        <f>'9A Sem 2'!T36</f>
        <v>5</v>
      </c>
      <c r="V103" s="36">
        <f>'9A Sem 2'!U36</f>
        <v>0</v>
      </c>
      <c r="W103" s="36">
        <f>'9A Sem 2'!V36</f>
        <v>0</v>
      </c>
      <c r="X103" s="5"/>
      <c r="Y103" s="5"/>
      <c r="Z103" s="5"/>
      <c r="AA103" s="5"/>
      <c r="AB103" s="5"/>
    </row>
    <row r="104" spans="1:28" ht="17.25" customHeight="1" thickBot="1" x14ac:dyDescent="0.3">
      <c r="A104" s="234"/>
      <c r="B104" s="218"/>
      <c r="C104" s="213">
        <v>14</v>
      </c>
      <c r="D104" s="215" t="s">
        <v>20</v>
      </c>
      <c r="E104" s="21" t="s">
        <v>16</v>
      </c>
      <c r="F104" s="22">
        <f>AVERAGE(F102:F103)</f>
        <v>84</v>
      </c>
      <c r="G104" s="22">
        <f t="shared" ref="G104:W104" si="32">AVERAGE(G102:G103)</f>
        <v>81.5</v>
      </c>
      <c r="H104" s="22">
        <f t="shared" si="32"/>
        <v>90</v>
      </c>
      <c r="I104" s="22">
        <f t="shared" si="32"/>
        <v>84</v>
      </c>
      <c r="J104" s="22">
        <f t="shared" si="32"/>
        <v>94</v>
      </c>
      <c r="K104" s="22">
        <f t="shared" si="32"/>
        <v>88.5</v>
      </c>
      <c r="L104" s="22">
        <f t="shared" si="32"/>
        <v>84.5</v>
      </c>
      <c r="M104" s="22">
        <f t="shared" si="32"/>
        <v>86.5</v>
      </c>
      <c r="N104" s="22">
        <f t="shared" si="32"/>
        <v>89</v>
      </c>
      <c r="O104" s="22">
        <f t="shared" si="32"/>
        <v>89.5</v>
      </c>
      <c r="P104" s="22">
        <f t="shared" si="32"/>
        <v>91</v>
      </c>
      <c r="Q104" s="22">
        <f t="shared" si="32"/>
        <v>93</v>
      </c>
      <c r="R104" s="22">
        <f t="shared" si="32"/>
        <v>78.5</v>
      </c>
      <c r="S104" s="22">
        <f t="shared" si="32"/>
        <v>1134</v>
      </c>
      <c r="T104" s="22">
        <f t="shared" si="32"/>
        <v>87.230769230769226</v>
      </c>
      <c r="U104" s="22">
        <f>'9A Sem avr'!$H$36</f>
        <v>5</v>
      </c>
      <c r="V104" s="22">
        <f t="shared" si="32"/>
        <v>0</v>
      </c>
      <c r="W104" s="22">
        <f t="shared" si="32"/>
        <v>0</v>
      </c>
      <c r="X104" s="5"/>
      <c r="Y104" s="5"/>
      <c r="Z104" s="5"/>
      <c r="AA104" s="5"/>
      <c r="AB104" s="5"/>
    </row>
    <row r="105" spans="1:28" ht="17.25" customHeight="1" thickBot="1" x14ac:dyDescent="0.3">
      <c r="A105" s="241">
        <v>34</v>
      </c>
      <c r="B105" s="218"/>
      <c r="C105" s="213">
        <v>15</v>
      </c>
      <c r="D105" s="215" t="s">
        <v>20</v>
      </c>
      <c r="E105" s="21" t="s">
        <v>21</v>
      </c>
      <c r="F105" s="22">
        <f>'9A Sem 1'!E37</f>
        <v>72</v>
      </c>
      <c r="G105" s="22">
        <f>'9A Sem 1'!F37</f>
        <v>82</v>
      </c>
      <c r="H105" s="22">
        <f>'9A Sem 1'!G37</f>
        <v>90</v>
      </c>
      <c r="I105" s="22">
        <f>'9A Sem 1'!H37</f>
        <v>82</v>
      </c>
      <c r="J105" s="22">
        <f>'9A Sem 1'!I37</f>
        <v>75</v>
      </c>
      <c r="K105" s="22">
        <f>'9A Sem 1'!J37</f>
        <v>87</v>
      </c>
      <c r="L105" s="22">
        <f>'9A Sem 1'!K37</f>
        <v>84</v>
      </c>
      <c r="M105" s="22">
        <f>'9A Sem 1'!L37</f>
        <v>84</v>
      </c>
      <c r="N105" s="22">
        <f>'9A Sem 1'!M37</f>
        <v>94</v>
      </c>
      <c r="O105" s="22">
        <f>'9A Sem 1'!N37</f>
        <v>79</v>
      </c>
      <c r="P105" s="22">
        <f>'9A Sem 1'!O37</f>
        <v>88</v>
      </c>
      <c r="Q105" s="22">
        <f>'9A Sem 1'!P37</f>
        <v>90</v>
      </c>
      <c r="R105" s="22">
        <f>'9A Sem 1'!Q37</f>
        <v>91</v>
      </c>
      <c r="S105" s="22">
        <f>'9A Sem 1'!R37</f>
        <v>1098</v>
      </c>
      <c r="T105" s="22">
        <f>'9A Sem 1'!S37</f>
        <v>84.461538461538467</v>
      </c>
      <c r="U105" s="22">
        <f>'9A Sem 1'!T37</f>
        <v>7</v>
      </c>
      <c r="V105" s="36">
        <f>'9A Sem 1'!U37</f>
        <v>0</v>
      </c>
      <c r="W105" s="36">
        <f>'9A Sem 1'!V37</f>
        <v>0</v>
      </c>
      <c r="X105" s="5"/>
      <c r="Y105" s="5"/>
      <c r="Z105" s="5"/>
      <c r="AA105" s="5"/>
      <c r="AB105" s="5"/>
    </row>
    <row r="106" spans="1:28" ht="17.25" customHeight="1" thickBot="1" x14ac:dyDescent="0.3">
      <c r="A106" s="241"/>
      <c r="B106" s="218"/>
      <c r="C106" s="213">
        <v>15</v>
      </c>
      <c r="D106" s="215" t="s">
        <v>20</v>
      </c>
      <c r="E106" s="21" t="s">
        <v>22</v>
      </c>
      <c r="F106" s="22">
        <f>'9A Sem 2'!E37</f>
        <v>71</v>
      </c>
      <c r="G106" s="22">
        <f>'9A Sem 2'!F37</f>
        <v>65</v>
      </c>
      <c r="H106" s="22">
        <f>'9A Sem 2'!G37</f>
        <v>86</v>
      </c>
      <c r="I106" s="22">
        <f>'9A Sem 2'!H37</f>
        <v>77</v>
      </c>
      <c r="J106" s="22">
        <f>'9A Sem 2'!I37</f>
        <v>84</v>
      </c>
      <c r="K106" s="22">
        <f>'9A Sem 2'!J37</f>
        <v>86</v>
      </c>
      <c r="L106" s="22">
        <f>'9A Sem 2'!K37</f>
        <v>84</v>
      </c>
      <c r="M106" s="22">
        <f>'9A Sem 2'!L37</f>
        <v>96</v>
      </c>
      <c r="N106" s="22">
        <f>'9A Sem 2'!M37</f>
        <v>90</v>
      </c>
      <c r="O106" s="22">
        <f>'9A Sem 2'!N37</f>
        <v>85</v>
      </c>
      <c r="P106" s="22">
        <f>'9A Sem 2'!O37</f>
        <v>83</v>
      </c>
      <c r="Q106" s="22">
        <f>'9A Sem 2'!P37</f>
        <v>91</v>
      </c>
      <c r="R106" s="22">
        <f>'9A Sem 2'!Q37</f>
        <v>61</v>
      </c>
      <c r="S106" s="22">
        <f>'9A Sem 2'!R37</f>
        <v>1059</v>
      </c>
      <c r="T106" s="22">
        <f>'9A Sem 2'!S37</f>
        <v>81.461538461538467</v>
      </c>
      <c r="U106" s="22">
        <f>'9A Sem 2'!T37</f>
        <v>14</v>
      </c>
      <c r="V106" s="36">
        <f>'9A Sem 2'!U37</f>
        <v>0</v>
      </c>
      <c r="W106" s="36">
        <f>'9A Sem 2'!V37</f>
        <v>0</v>
      </c>
      <c r="X106" s="5"/>
      <c r="Y106" s="5"/>
      <c r="Z106" s="5"/>
      <c r="AA106" s="5"/>
      <c r="AB106" s="5"/>
    </row>
    <row r="107" spans="1:28" ht="17.25" customHeight="1" thickBot="1" x14ac:dyDescent="0.3">
      <c r="A107" s="241"/>
      <c r="B107" s="218"/>
      <c r="C107" s="213">
        <v>15</v>
      </c>
      <c r="D107" s="215" t="s">
        <v>20</v>
      </c>
      <c r="E107" s="21" t="s">
        <v>16</v>
      </c>
      <c r="F107" s="22">
        <f>AVERAGE(F105:F106)</f>
        <v>71.5</v>
      </c>
      <c r="G107" s="22">
        <f t="shared" ref="G107:W107" si="33">AVERAGE(G105:G106)</f>
        <v>73.5</v>
      </c>
      <c r="H107" s="22">
        <f t="shared" si="33"/>
        <v>88</v>
      </c>
      <c r="I107" s="22">
        <f t="shared" si="33"/>
        <v>79.5</v>
      </c>
      <c r="J107" s="22">
        <f t="shared" si="33"/>
        <v>79.5</v>
      </c>
      <c r="K107" s="22">
        <f t="shared" si="33"/>
        <v>86.5</v>
      </c>
      <c r="L107" s="22">
        <f t="shared" si="33"/>
        <v>84</v>
      </c>
      <c r="M107" s="22">
        <f t="shared" si="33"/>
        <v>90</v>
      </c>
      <c r="N107" s="22">
        <f t="shared" si="33"/>
        <v>92</v>
      </c>
      <c r="O107" s="22">
        <f t="shared" si="33"/>
        <v>82</v>
      </c>
      <c r="P107" s="22">
        <f t="shared" si="33"/>
        <v>85.5</v>
      </c>
      <c r="Q107" s="22">
        <f t="shared" si="33"/>
        <v>90.5</v>
      </c>
      <c r="R107" s="22">
        <f t="shared" si="33"/>
        <v>76</v>
      </c>
      <c r="S107" s="22">
        <f t="shared" si="33"/>
        <v>1078.5</v>
      </c>
      <c r="T107" s="22">
        <f t="shared" si="33"/>
        <v>82.961538461538467</v>
      </c>
      <c r="U107" s="22">
        <f>'9A Sem avr'!$H$37</f>
        <v>10</v>
      </c>
      <c r="V107" s="22">
        <f t="shared" si="33"/>
        <v>0</v>
      </c>
      <c r="W107" s="22">
        <f t="shared" si="33"/>
        <v>0</v>
      </c>
      <c r="X107" s="5"/>
      <c r="Y107" s="5"/>
      <c r="Z107" s="5"/>
      <c r="AA107" s="5"/>
      <c r="AB107" s="5"/>
    </row>
    <row r="108" spans="1:28" ht="17.25" customHeight="1" thickBot="1" x14ac:dyDescent="0.3">
      <c r="A108" s="241">
        <v>35</v>
      </c>
      <c r="B108" s="218"/>
      <c r="C108" s="213">
        <v>14</v>
      </c>
      <c r="D108" s="215" t="s">
        <v>20</v>
      </c>
      <c r="E108" s="21" t="s">
        <v>21</v>
      </c>
      <c r="F108" s="22">
        <f>'9A Sem 1'!E38</f>
        <v>76</v>
      </c>
      <c r="G108" s="22">
        <f>'9A Sem 1'!F38</f>
        <v>67</v>
      </c>
      <c r="H108" s="22">
        <f>'9A Sem 1'!G38</f>
        <v>58</v>
      </c>
      <c r="I108" s="22">
        <f>'9A Sem 1'!H38</f>
        <v>64</v>
      </c>
      <c r="J108" s="22">
        <f>'9A Sem 1'!I38</f>
        <v>68</v>
      </c>
      <c r="K108" s="22">
        <f>'9A Sem 1'!J38</f>
        <v>78</v>
      </c>
      <c r="L108" s="22">
        <f>'9A Sem 1'!K38</f>
        <v>86</v>
      </c>
      <c r="M108" s="22">
        <f>'9A Sem 1'!L38</f>
        <v>71</v>
      </c>
      <c r="N108" s="22">
        <f>'9A Sem 1'!M38</f>
        <v>87</v>
      </c>
      <c r="O108" s="22">
        <f>'9A Sem 1'!N38</f>
        <v>80</v>
      </c>
      <c r="P108" s="22">
        <f>'9A Sem 1'!O38</f>
        <v>77</v>
      </c>
      <c r="Q108" s="22">
        <f>'9A Sem 1'!P38</f>
        <v>90</v>
      </c>
      <c r="R108" s="22">
        <f>'9A Sem 1'!Q38</f>
        <v>78</v>
      </c>
      <c r="S108" s="22">
        <f>'9A Sem 1'!R38</f>
        <v>980</v>
      </c>
      <c r="T108" s="22">
        <f>'9A Sem 1'!S38</f>
        <v>75.384615384615387</v>
      </c>
      <c r="U108" s="22">
        <f>'9A Sem 1'!T38</f>
        <v>26</v>
      </c>
      <c r="V108" s="36">
        <f>'9A Sem 1'!U38</f>
        <v>0</v>
      </c>
      <c r="W108" s="36">
        <f>'9A Sem 1'!V38</f>
        <v>0</v>
      </c>
      <c r="X108" s="5"/>
      <c r="Y108" s="5"/>
      <c r="Z108" s="5"/>
      <c r="AA108" s="5"/>
      <c r="AB108" s="5"/>
    </row>
    <row r="109" spans="1:28" ht="17.25" customHeight="1" thickBot="1" x14ac:dyDescent="0.3">
      <c r="A109" s="241"/>
      <c r="B109" s="218"/>
      <c r="C109" s="213">
        <v>14</v>
      </c>
      <c r="D109" s="215" t="s">
        <v>20</v>
      </c>
      <c r="E109" s="21" t="s">
        <v>22</v>
      </c>
      <c r="F109" s="22">
        <f>'9A Sem 2'!E38</f>
        <v>80</v>
      </c>
      <c r="G109" s="22">
        <f>'9A Sem 2'!F38</f>
        <v>60</v>
      </c>
      <c r="H109" s="22">
        <f>'9A Sem 2'!G38</f>
        <v>71</v>
      </c>
      <c r="I109" s="22">
        <f>'9A Sem 2'!H38</f>
        <v>71</v>
      </c>
      <c r="J109" s="22">
        <f>'9A Sem 2'!I38</f>
        <v>79</v>
      </c>
      <c r="K109" s="22">
        <f>'9A Sem 2'!J38</f>
        <v>87</v>
      </c>
      <c r="L109" s="22">
        <f>'9A Sem 2'!K38</f>
        <v>97</v>
      </c>
      <c r="M109" s="22">
        <f>'9A Sem 2'!L38</f>
        <v>91</v>
      </c>
      <c r="N109" s="22">
        <f>'9A Sem 2'!M38</f>
        <v>79</v>
      </c>
      <c r="O109" s="22">
        <f>'9A Sem 2'!N38</f>
        <v>89</v>
      </c>
      <c r="P109" s="22">
        <f>'9A Sem 2'!O38</f>
        <v>91</v>
      </c>
      <c r="Q109" s="22">
        <f>'9A Sem 2'!P38</f>
        <v>95</v>
      </c>
      <c r="R109" s="22">
        <f>'9A Sem 2'!Q38</f>
        <v>68</v>
      </c>
      <c r="S109" s="22">
        <f>'9A Sem 2'!R38</f>
        <v>1058</v>
      </c>
      <c r="T109" s="22">
        <f>'9A Sem 2'!S38</f>
        <v>81.384615384615387</v>
      </c>
      <c r="U109" s="22">
        <f>'9A Sem 2'!T38</f>
        <v>16</v>
      </c>
      <c r="V109" s="36">
        <f>'9A Sem 2'!U38</f>
        <v>0</v>
      </c>
      <c r="W109" s="36">
        <f>'9A Sem 2'!V38</f>
        <v>0</v>
      </c>
      <c r="X109" s="5"/>
      <c r="Y109" s="5"/>
      <c r="Z109" s="5"/>
      <c r="AA109" s="5"/>
      <c r="AB109" s="5"/>
    </row>
    <row r="110" spans="1:28" ht="17.25" customHeight="1" thickBot="1" x14ac:dyDescent="0.3">
      <c r="A110" s="241"/>
      <c r="B110" s="218"/>
      <c r="C110" s="213">
        <v>14</v>
      </c>
      <c r="D110" s="215" t="s">
        <v>20</v>
      </c>
      <c r="E110" s="21" t="s">
        <v>16</v>
      </c>
      <c r="F110" s="22">
        <f>AVERAGE(F108:F109)</f>
        <v>78</v>
      </c>
      <c r="G110" s="22">
        <f t="shared" ref="G110:W110" si="34">AVERAGE(G108:G109)</f>
        <v>63.5</v>
      </c>
      <c r="H110" s="22">
        <f t="shared" si="34"/>
        <v>64.5</v>
      </c>
      <c r="I110" s="22">
        <f t="shared" si="34"/>
        <v>67.5</v>
      </c>
      <c r="J110" s="22">
        <f t="shared" si="34"/>
        <v>73.5</v>
      </c>
      <c r="K110" s="22">
        <f t="shared" si="34"/>
        <v>82.5</v>
      </c>
      <c r="L110" s="22">
        <f t="shared" si="34"/>
        <v>91.5</v>
      </c>
      <c r="M110" s="22">
        <f t="shared" si="34"/>
        <v>81</v>
      </c>
      <c r="N110" s="22">
        <f t="shared" si="34"/>
        <v>83</v>
      </c>
      <c r="O110" s="22">
        <f t="shared" si="34"/>
        <v>84.5</v>
      </c>
      <c r="P110" s="22">
        <f t="shared" si="34"/>
        <v>84</v>
      </c>
      <c r="Q110" s="22">
        <f t="shared" si="34"/>
        <v>92.5</v>
      </c>
      <c r="R110" s="22">
        <f t="shared" si="34"/>
        <v>73</v>
      </c>
      <c r="S110" s="22">
        <f t="shared" si="34"/>
        <v>1019</v>
      </c>
      <c r="T110" s="22">
        <f t="shared" si="34"/>
        <v>78.384615384615387</v>
      </c>
      <c r="U110" s="22">
        <f>'9A Sem avr'!$H$38</f>
        <v>21</v>
      </c>
      <c r="V110" s="22">
        <f t="shared" si="34"/>
        <v>0</v>
      </c>
      <c r="W110" s="22">
        <f t="shared" si="34"/>
        <v>0</v>
      </c>
      <c r="X110" s="5"/>
      <c r="Y110" s="5"/>
      <c r="Z110" s="5"/>
      <c r="AA110" s="5"/>
      <c r="AB110" s="5"/>
    </row>
    <row r="111" spans="1:28" ht="17.25" customHeight="1" thickBot="1" x14ac:dyDescent="0.3">
      <c r="A111" s="241">
        <v>36</v>
      </c>
      <c r="B111" s="218"/>
      <c r="C111" s="213">
        <v>14</v>
      </c>
      <c r="D111" s="215" t="s">
        <v>20</v>
      </c>
      <c r="E111" s="21" t="s">
        <v>21</v>
      </c>
      <c r="F111" s="22">
        <f>'9A Sem 1'!E39</f>
        <v>68</v>
      </c>
      <c r="G111" s="22">
        <f>'9A Sem 1'!F39</f>
        <v>69</v>
      </c>
      <c r="H111" s="23">
        <f>'9A Sem 1'!G39</f>
        <v>59</v>
      </c>
      <c r="I111" s="22">
        <f>'9A Sem 1'!H39</f>
        <v>43</v>
      </c>
      <c r="J111" s="22">
        <f>'9A Sem 1'!I39</f>
        <v>51</v>
      </c>
      <c r="K111" s="22">
        <f>'9A Sem 1'!J39</f>
        <v>40</v>
      </c>
      <c r="L111" s="22">
        <f>'9A Sem 1'!K39</f>
        <v>57</v>
      </c>
      <c r="M111" s="22">
        <f>'9A Sem 1'!L39</f>
        <v>46</v>
      </c>
      <c r="N111" s="22">
        <f>'9A Sem 1'!M39</f>
        <v>72</v>
      </c>
      <c r="O111" s="22">
        <f>'9A Sem 1'!N39</f>
        <v>73</v>
      </c>
      <c r="P111" s="22">
        <f>'9A Sem 1'!O39</f>
        <v>55</v>
      </c>
      <c r="Q111" s="22">
        <f>'9A Sem 1'!P39</f>
        <v>80</v>
      </c>
      <c r="R111" s="22">
        <f>'9A Sem 1'!Q39</f>
        <v>72</v>
      </c>
      <c r="S111" s="22">
        <f>'9A Sem 1'!R39</f>
        <v>785</v>
      </c>
      <c r="T111" s="22">
        <f>'9A Sem 1'!S39</f>
        <v>60.384615384615387</v>
      </c>
      <c r="U111" s="22">
        <f>'9A Sem 1'!T39</f>
        <v>52</v>
      </c>
      <c r="V111" s="36">
        <f>'9A Sem 1'!U39</f>
        <v>0</v>
      </c>
      <c r="W111" s="36">
        <f>'9A Sem 1'!V39</f>
        <v>0</v>
      </c>
      <c r="X111" s="5"/>
      <c r="Y111" s="5"/>
      <c r="Z111" s="5"/>
      <c r="AA111" s="5"/>
      <c r="AB111" s="5"/>
    </row>
    <row r="112" spans="1:28" ht="17.25" customHeight="1" thickBot="1" x14ac:dyDescent="0.3">
      <c r="A112" s="241"/>
      <c r="B112" s="218"/>
      <c r="C112" s="213">
        <v>14</v>
      </c>
      <c r="D112" s="215" t="s">
        <v>20</v>
      </c>
      <c r="E112" s="21" t="s">
        <v>22</v>
      </c>
      <c r="F112" s="22">
        <f>'9A Sem 2'!E39</f>
        <v>72</v>
      </c>
      <c r="G112" s="22">
        <f>'9A Sem 2'!F39</f>
        <v>52</v>
      </c>
      <c r="H112" s="23">
        <f>'9A Sem 2'!G39</f>
        <v>41</v>
      </c>
      <c r="I112" s="22">
        <f>'9A Sem 2'!H39</f>
        <v>36</v>
      </c>
      <c r="J112" s="22">
        <f>'9A Sem 2'!I39</f>
        <v>44</v>
      </c>
      <c r="K112" s="22">
        <f>'9A Sem 2'!J39</f>
        <v>37</v>
      </c>
      <c r="L112" s="22">
        <f>'9A Sem 2'!K39</f>
        <v>41</v>
      </c>
      <c r="M112" s="22">
        <f>'9A Sem 2'!L39</f>
        <v>55</v>
      </c>
      <c r="N112" s="22">
        <f>'9A Sem 2'!M39</f>
        <v>56</v>
      </c>
      <c r="O112" s="22">
        <f>'9A Sem 2'!N39</f>
        <v>79</v>
      </c>
      <c r="P112" s="22">
        <f>'9A Sem 2'!O39</f>
        <v>47</v>
      </c>
      <c r="Q112" s="22">
        <f>'9A Sem 2'!P39</f>
        <v>84</v>
      </c>
      <c r="R112" s="22">
        <f>'9A Sem 2'!Q39</f>
        <v>64</v>
      </c>
      <c r="S112" s="22">
        <f>'9A Sem 2'!R39</f>
        <v>708</v>
      </c>
      <c r="T112" s="22">
        <f>'9A Sem 2'!S39</f>
        <v>54.46153846153846</v>
      </c>
      <c r="U112" s="22">
        <f>'9A Sem 2'!T39</f>
        <v>53</v>
      </c>
      <c r="V112" s="36">
        <f>'9A Sem 2'!U39</f>
        <v>0</v>
      </c>
      <c r="W112" s="36">
        <f>'9A Sem 2'!V39</f>
        <v>0</v>
      </c>
      <c r="X112" s="5"/>
      <c r="Y112" s="5"/>
      <c r="Z112" s="5"/>
      <c r="AA112" s="5"/>
      <c r="AB112" s="5"/>
    </row>
    <row r="113" spans="1:28" ht="17.25" customHeight="1" thickBot="1" x14ac:dyDescent="0.3">
      <c r="A113" s="241"/>
      <c r="B113" s="218"/>
      <c r="C113" s="213">
        <v>14</v>
      </c>
      <c r="D113" s="215" t="s">
        <v>20</v>
      </c>
      <c r="E113" s="21" t="s">
        <v>16</v>
      </c>
      <c r="F113" s="22">
        <f>AVERAGE(F111:F112)</f>
        <v>70</v>
      </c>
      <c r="G113" s="22">
        <f t="shared" ref="G113:W113" si="35">AVERAGE(G111:G112)</f>
        <v>60.5</v>
      </c>
      <c r="H113" s="22">
        <f t="shared" si="35"/>
        <v>50</v>
      </c>
      <c r="I113" s="22">
        <f t="shared" si="35"/>
        <v>39.5</v>
      </c>
      <c r="J113" s="22">
        <f t="shared" si="35"/>
        <v>47.5</v>
      </c>
      <c r="K113" s="22">
        <f t="shared" si="35"/>
        <v>38.5</v>
      </c>
      <c r="L113" s="22">
        <f t="shared" si="35"/>
        <v>49</v>
      </c>
      <c r="M113" s="22">
        <f t="shared" si="35"/>
        <v>50.5</v>
      </c>
      <c r="N113" s="22">
        <f t="shared" si="35"/>
        <v>64</v>
      </c>
      <c r="O113" s="22">
        <f t="shared" si="35"/>
        <v>76</v>
      </c>
      <c r="P113" s="22">
        <f t="shared" si="35"/>
        <v>51</v>
      </c>
      <c r="Q113" s="22">
        <f t="shared" si="35"/>
        <v>82</v>
      </c>
      <c r="R113" s="22">
        <f t="shared" si="35"/>
        <v>68</v>
      </c>
      <c r="S113" s="22">
        <f t="shared" si="35"/>
        <v>746.5</v>
      </c>
      <c r="T113" s="22">
        <f t="shared" si="35"/>
        <v>57.42307692307692</v>
      </c>
      <c r="U113" s="22">
        <f>'9A Sem avr'!$H$39</f>
        <v>53</v>
      </c>
      <c r="V113" s="22">
        <f t="shared" si="35"/>
        <v>0</v>
      </c>
      <c r="W113" s="22">
        <f t="shared" si="35"/>
        <v>0</v>
      </c>
      <c r="X113" s="5"/>
      <c r="Y113" s="5"/>
      <c r="Z113" s="5"/>
      <c r="AA113" s="5"/>
      <c r="AB113" s="5"/>
    </row>
    <row r="114" spans="1:28" ht="17.25" customHeight="1" thickBot="1" x14ac:dyDescent="0.3">
      <c r="A114" s="234">
        <v>37</v>
      </c>
      <c r="B114" s="218"/>
      <c r="C114" s="213">
        <v>14</v>
      </c>
      <c r="D114" s="215" t="s">
        <v>20</v>
      </c>
      <c r="E114" s="21" t="s">
        <v>21</v>
      </c>
      <c r="F114" s="22">
        <f>'9A Sem 1'!E40</f>
        <v>79</v>
      </c>
      <c r="G114" s="22">
        <f>'9A Sem 1'!F40</f>
        <v>84</v>
      </c>
      <c r="H114" s="22">
        <f>'9A Sem 1'!G40</f>
        <v>56</v>
      </c>
      <c r="I114" s="22">
        <f>'9A Sem 1'!H40</f>
        <v>53</v>
      </c>
      <c r="J114" s="22">
        <f>'9A Sem 1'!I40</f>
        <v>62</v>
      </c>
      <c r="K114" s="22">
        <f>'9A Sem 1'!J40</f>
        <v>60</v>
      </c>
      <c r="L114" s="22">
        <f>'9A Sem 1'!K40</f>
        <v>66</v>
      </c>
      <c r="M114" s="22">
        <f>'9A Sem 1'!L40</f>
        <v>66</v>
      </c>
      <c r="N114" s="22">
        <f>'9A Sem 1'!M40</f>
        <v>83</v>
      </c>
      <c r="O114" s="22">
        <f>'9A Sem 1'!N40</f>
        <v>77</v>
      </c>
      <c r="P114" s="22">
        <f>'9A Sem 1'!O40</f>
        <v>80</v>
      </c>
      <c r="Q114" s="22">
        <f>'9A Sem 1'!P40</f>
        <v>74</v>
      </c>
      <c r="R114" s="22">
        <f>'9A Sem 1'!Q40</f>
        <v>65</v>
      </c>
      <c r="S114" s="22">
        <f>'9A Sem 1'!R40</f>
        <v>905</v>
      </c>
      <c r="T114" s="22">
        <f>'9A Sem 1'!S40</f>
        <v>69.615384615384613</v>
      </c>
      <c r="U114" s="22">
        <f>'9A Sem 1'!T40</f>
        <v>42</v>
      </c>
      <c r="V114" s="36">
        <f>'9A Sem 1'!U40</f>
        <v>0</v>
      </c>
      <c r="W114" s="36">
        <f>'9A Sem 1'!V40</f>
        <v>0</v>
      </c>
      <c r="X114" s="5"/>
      <c r="Y114" s="5"/>
      <c r="Z114" s="5"/>
      <c r="AA114" s="5"/>
      <c r="AB114" s="5"/>
    </row>
    <row r="115" spans="1:28" ht="17.25" customHeight="1" thickBot="1" x14ac:dyDescent="0.3">
      <c r="A115" s="234"/>
      <c r="B115" s="218"/>
      <c r="C115" s="213">
        <v>14</v>
      </c>
      <c r="D115" s="215" t="s">
        <v>20</v>
      </c>
      <c r="E115" s="21" t="s">
        <v>22</v>
      </c>
      <c r="F115" s="22">
        <f>'9A Sem 2'!E40</f>
        <v>79</v>
      </c>
      <c r="G115" s="22">
        <f>'9A Sem 2'!F40</f>
        <v>75</v>
      </c>
      <c r="H115" s="22">
        <f>'9A Sem 2'!G40</f>
        <v>73</v>
      </c>
      <c r="I115" s="22">
        <f>'9A Sem 2'!H40</f>
        <v>63</v>
      </c>
      <c r="J115" s="22">
        <f>'9A Sem 2'!I40</f>
        <v>66</v>
      </c>
      <c r="K115" s="22">
        <f>'9A Sem 2'!J40</f>
        <v>83</v>
      </c>
      <c r="L115" s="22">
        <f>'9A Sem 2'!K40</f>
        <v>78</v>
      </c>
      <c r="M115" s="22">
        <f>'9A Sem 2'!L40</f>
        <v>89</v>
      </c>
      <c r="N115" s="22">
        <f>'9A Sem 2'!M40</f>
        <v>76</v>
      </c>
      <c r="O115" s="22">
        <f>'9A Sem 2'!N40</f>
        <v>73</v>
      </c>
      <c r="P115" s="22">
        <f>'9A Sem 2'!O40</f>
        <v>66</v>
      </c>
      <c r="Q115" s="22">
        <f>'9A Sem 2'!P40</f>
        <v>77</v>
      </c>
      <c r="R115" s="22">
        <f>'9A Sem 2'!Q40</f>
        <v>64</v>
      </c>
      <c r="S115" s="22">
        <f>'9A Sem 2'!R40</f>
        <v>962</v>
      </c>
      <c r="T115" s="22">
        <f>'9A Sem 2'!S40</f>
        <v>74</v>
      </c>
      <c r="U115" s="22">
        <f>'9A Sem 2'!T40</f>
        <v>34</v>
      </c>
      <c r="V115" s="36">
        <f>'9A Sem 2'!U40</f>
        <v>0</v>
      </c>
      <c r="W115" s="36">
        <f>'9A Sem 2'!V40</f>
        <v>0</v>
      </c>
      <c r="X115" s="5"/>
      <c r="Y115" s="5"/>
      <c r="Z115" s="5"/>
      <c r="AA115" s="5"/>
      <c r="AB115" s="5"/>
    </row>
    <row r="116" spans="1:28" ht="17.25" customHeight="1" thickBot="1" x14ac:dyDescent="0.3">
      <c r="A116" s="234"/>
      <c r="B116" s="218"/>
      <c r="C116" s="213">
        <v>14</v>
      </c>
      <c r="D116" s="215" t="s">
        <v>20</v>
      </c>
      <c r="E116" s="21" t="s">
        <v>16</v>
      </c>
      <c r="F116" s="22">
        <f>AVERAGE(F114:F115)</f>
        <v>79</v>
      </c>
      <c r="G116" s="22">
        <f t="shared" ref="G116:W116" si="36">AVERAGE(G114:G115)</f>
        <v>79.5</v>
      </c>
      <c r="H116" s="22">
        <f t="shared" si="36"/>
        <v>64.5</v>
      </c>
      <c r="I116" s="22">
        <f t="shared" si="36"/>
        <v>58</v>
      </c>
      <c r="J116" s="22">
        <f t="shared" si="36"/>
        <v>64</v>
      </c>
      <c r="K116" s="22">
        <f t="shared" si="36"/>
        <v>71.5</v>
      </c>
      <c r="L116" s="22">
        <f t="shared" si="36"/>
        <v>72</v>
      </c>
      <c r="M116" s="22">
        <f t="shared" si="36"/>
        <v>77.5</v>
      </c>
      <c r="N116" s="22">
        <f t="shared" si="36"/>
        <v>79.5</v>
      </c>
      <c r="O116" s="22">
        <f t="shared" si="36"/>
        <v>75</v>
      </c>
      <c r="P116" s="22">
        <f t="shared" si="36"/>
        <v>73</v>
      </c>
      <c r="Q116" s="22">
        <f t="shared" si="36"/>
        <v>75.5</v>
      </c>
      <c r="R116" s="22">
        <f t="shared" si="36"/>
        <v>64.5</v>
      </c>
      <c r="S116" s="22">
        <f t="shared" si="36"/>
        <v>933.5</v>
      </c>
      <c r="T116" s="22">
        <f t="shared" si="36"/>
        <v>71.807692307692307</v>
      </c>
      <c r="U116" s="22">
        <f>'9A Sem avr'!$H$40</f>
        <v>38</v>
      </c>
      <c r="V116" s="22">
        <f t="shared" si="36"/>
        <v>0</v>
      </c>
      <c r="W116" s="22">
        <f t="shared" si="36"/>
        <v>0</v>
      </c>
      <c r="X116" s="5"/>
      <c r="Y116" s="5"/>
      <c r="Z116" s="5"/>
      <c r="AA116" s="5"/>
      <c r="AB116" s="5"/>
    </row>
    <row r="117" spans="1:28" ht="17.25" customHeight="1" thickBot="1" x14ac:dyDescent="0.3">
      <c r="A117" s="234">
        <v>38</v>
      </c>
      <c r="B117" s="218"/>
      <c r="C117" s="213">
        <v>15</v>
      </c>
      <c r="D117" s="215" t="s">
        <v>20</v>
      </c>
      <c r="E117" s="21" t="s">
        <v>21</v>
      </c>
      <c r="F117" s="22">
        <f>'9A Sem 1'!E41</f>
        <v>77</v>
      </c>
      <c r="G117" s="22">
        <f>'9A Sem 1'!F41</f>
        <v>68</v>
      </c>
      <c r="H117" s="22">
        <f>'9A Sem 1'!G41</f>
        <v>56</v>
      </c>
      <c r="I117" s="22">
        <f>'9A Sem 1'!H41</f>
        <v>60</v>
      </c>
      <c r="J117" s="22">
        <f>'9A Sem 1'!I41</f>
        <v>66</v>
      </c>
      <c r="K117" s="22">
        <f>'9A Sem 1'!J41</f>
        <v>71</v>
      </c>
      <c r="L117" s="22">
        <f>'9A Sem 1'!K41</f>
        <v>78</v>
      </c>
      <c r="M117" s="22">
        <f>'9A Sem 1'!L41</f>
        <v>63</v>
      </c>
      <c r="N117" s="22">
        <f>'9A Sem 1'!M41</f>
        <v>77</v>
      </c>
      <c r="O117" s="22">
        <f>'9A Sem 1'!N41</f>
        <v>72</v>
      </c>
      <c r="P117" s="22">
        <f>'9A Sem 1'!O41</f>
        <v>76</v>
      </c>
      <c r="Q117" s="22">
        <f>'9A Sem 1'!P41</f>
        <v>94</v>
      </c>
      <c r="R117" s="22">
        <f>'9A Sem 1'!Q41</f>
        <v>81</v>
      </c>
      <c r="S117" s="22">
        <f>'9A Sem 1'!R41</f>
        <v>939</v>
      </c>
      <c r="T117" s="22">
        <f>'9A Sem 1'!S41</f>
        <v>72.230769230769226</v>
      </c>
      <c r="U117" s="22">
        <f>'9A Sem 1'!T41</f>
        <v>35</v>
      </c>
      <c r="V117" s="36">
        <f>'9A Sem 1'!U41</f>
        <v>0</v>
      </c>
      <c r="W117" s="36">
        <f>'9A Sem 1'!V41</f>
        <v>0</v>
      </c>
      <c r="X117" s="5"/>
      <c r="Y117" s="5"/>
      <c r="Z117" s="5"/>
      <c r="AA117" s="5"/>
      <c r="AB117" s="5"/>
    </row>
    <row r="118" spans="1:28" ht="17.25" customHeight="1" thickBot="1" x14ac:dyDescent="0.3">
      <c r="A118" s="234"/>
      <c r="B118" s="218"/>
      <c r="C118" s="213">
        <v>15</v>
      </c>
      <c r="D118" s="215" t="s">
        <v>20</v>
      </c>
      <c r="E118" s="21" t="s">
        <v>22</v>
      </c>
      <c r="F118" s="22">
        <f>'9A Sem 2'!E41</f>
        <v>80</v>
      </c>
      <c r="G118" s="22">
        <f>'9A Sem 2'!F41</f>
        <v>70</v>
      </c>
      <c r="H118" s="22">
        <f>'9A Sem 2'!G41</f>
        <v>64</v>
      </c>
      <c r="I118" s="22">
        <f>'9A Sem 2'!H41</f>
        <v>71</v>
      </c>
      <c r="J118" s="22">
        <f>'9A Sem 2'!I41</f>
        <v>67</v>
      </c>
      <c r="K118" s="22">
        <f>'9A Sem 2'!J41</f>
        <v>77</v>
      </c>
      <c r="L118" s="22">
        <f>'9A Sem 2'!K41</f>
        <v>73</v>
      </c>
      <c r="M118" s="22">
        <f>'9A Sem 2'!L41</f>
        <v>81</v>
      </c>
      <c r="N118" s="22">
        <f>'9A Sem 2'!M41</f>
        <v>72</v>
      </c>
      <c r="O118" s="22">
        <f>'9A Sem 2'!N41</f>
        <v>75</v>
      </c>
      <c r="P118" s="22">
        <f>'9A Sem 2'!O41</f>
        <v>76</v>
      </c>
      <c r="Q118" s="22">
        <f>'9A Sem 2'!P41</f>
        <v>95</v>
      </c>
      <c r="R118" s="22">
        <f>'9A Sem 2'!Q41</f>
        <v>68</v>
      </c>
      <c r="S118" s="22">
        <f>'9A Sem 2'!R41</f>
        <v>969</v>
      </c>
      <c r="T118" s="22">
        <f>'9A Sem 2'!S41</f>
        <v>74.538461538461533</v>
      </c>
      <c r="U118" s="22">
        <f>'9A Sem 2'!T41</f>
        <v>33</v>
      </c>
      <c r="V118" s="36">
        <f>'9A Sem 2'!U41</f>
        <v>0</v>
      </c>
      <c r="W118" s="36">
        <f>'9A Sem 2'!V41</f>
        <v>0</v>
      </c>
      <c r="X118" s="5"/>
      <c r="Y118" s="5"/>
      <c r="Z118" s="5"/>
      <c r="AA118" s="5"/>
      <c r="AB118" s="5"/>
    </row>
    <row r="119" spans="1:28" ht="17.25" customHeight="1" thickBot="1" x14ac:dyDescent="0.3">
      <c r="A119" s="234"/>
      <c r="B119" s="218"/>
      <c r="C119" s="213">
        <v>15</v>
      </c>
      <c r="D119" s="215" t="s">
        <v>20</v>
      </c>
      <c r="E119" s="21" t="s">
        <v>16</v>
      </c>
      <c r="F119" s="22">
        <f>AVERAGE(F117:F118)</f>
        <v>78.5</v>
      </c>
      <c r="G119" s="22">
        <f t="shared" ref="G119:W119" si="37">AVERAGE(G117:G118)</f>
        <v>69</v>
      </c>
      <c r="H119" s="22">
        <f t="shared" si="37"/>
        <v>60</v>
      </c>
      <c r="I119" s="22">
        <f t="shared" si="37"/>
        <v>65.5</v>
      </c>
      <c r="J119" s="22">
        <f t="shared" si="37"/>
        <v>66.5</v>
      </c>
      <c r="K119" s="22">
        <f t="shared" si="37"/>
        <v>74</v>
      </c>
      <c r="L119" s="22">
        <f t="shared" si="37"/>
        <v>75.5</v>
      </c>
      <c r="M119" s="22">
        <f t="shared" si="37"/>
        <v>72</v>
      </c>
      <c r="N119" s="22">
        <f t="shared" si="37"/>
        <v>74.5</v>
      </c>
      <c r="O119" s="22">
        <f t="shared" si="37"/>
        <v>73.5</v>
      </c>
      <c r="P119" s="22">
        <f t="shared" si="37"/>
        <v>76</v>
      </c>
      <c r="Q119" s="22">
        <f t="shared" si="37"/>
        <v>94.5</v>
      </c>
      <c r="R119" s="22">
        <f t="shared" si="37"/>
        <v>74.5</v>
      </c>
      <c r="S119" s="22">
        <f t="shared" si="37"/>
        <v>954</v>
      </c>
      <c r="T119" s="22">
        <f t="shared" si="37"/>
        <v>73.384615384615387</v>
      </c>
      <c r="U119" s="22">
        <f>'9A Sem avr'!$H$41</f>
        <v>33</v>
      </c>
      <c r="V119" s="22">
        <f t="shared" si="37"/>
        <v>0</v>
      </c>
      <c r="W119" s="22">
        <f t="shared" si="37"/>
        <v>0</v>
      </c>
      <c r="X119" s="5"/>
      <c r="Y119" s="5"/>
      <c r="Z119" s="5"/>
      <c r="AA119" s="5"/>
      <c r="AB119" s="5"/>
    </row>
    <row r="120" spans="1:28" ht="17.25" customHeight="1" thickBot="1" x14ac:dyDescent="0.3">
      <c r="A120" s="241">
        <v>39</v>
      </c>
      <c r="B120" s="218"/>
      <c r="C120" s="213">
        <v>14</v>
      </c>
      <c r="D120" s="215" t="s">
        <v>20</v>
      </c>
      <c r="E120" s="21" t="s">
        <v>21</v>
      </c>
      <c r="F120" s="22">
        <f>'9A Sem 1'!E42</f>
        <v>76</v>
      </c>
      <c r="G120" s="22">
        <f>'9A Sem 1'!F42</f>
        <v>82</v>
      </c>
      <c r="H120" s="23">
        <f>'9A Sem 1'!G42</f>
        <v>62</v>
      </c>
      <c r="I120" s="22">
        <f>'9A Sem 1'!H42</f>
        <v>70</v>
      </c>
      <c r="J120" s="22">
        <f>'9A Sem 1'!I42</f>
        <v>71</v>
      </c>
      <c r="K120" s="22">
        <f>'9A Sem 1'!J42</f>
        <v>63</v>
      </c>
      <c r="L120" s="22">
        <f>'9A Sem 1'!K42</f>
        <v>85</v>
      </c>
      <c r="M120" s="22">
        <f>'9A Sem 1'!L42</f>
        <v>65</v>
      </c>
      <c r="N120" s="22">
        <f>'9A Sem 1'!M42</f>
        <v>88</v>
      </c>
      <c r="O120" s="22">
        <f>'9A Sem 1'!N42</f>
        <v>85</v>
      </c>
      <c r="P120" s="22">
        <f>'9A Sem 1'!O42</f>
        <v>85</v>
      </c>
      <c r="Q120" s="22">
        <f>'9A Sem 1'!P42</f>
        <v>95</v>
      </c>
      <c r="R120" s="22">
        <f>'9A Sem 1'!Q42</f>
        <v>81</v>
      </c>
      <c r="S120" s="22">
        <f>'9A Sem 1'!R42</f>
        <v>1008</v>
      </c>
      <c r="T120" s="22">
        <f>'9A Sem 1'!S42</f>
        <v>77.538461538461533</v>
      </c>
      <c r="U120" s="22">
        <f>'9A Sem 1'!T42</f>
        <v>19</v>
      </c>
      <c r="V120" s="36">
        <f>'9A Sem 1'!U42</f>
        <v>0</v>
      </c>
      <c r="W120" s="36">
        <f>'9A Sem 1'!V42</f>
        <v>0</v>
      </c>
      <c r="X120" s="5"/>
      <c r="Y120" s="5"/>
      <c r="Z120" s="5"/>
      <c r="AA120" s="5"/>
      <c r="AB120" s="5"/>
    </row>
    <row r="121" spans="1:28" ht="17.25" customHeight="1" thickBot="1" x14ac:dyDescent="0.3">
      <c r="A121" s="241"/>
      <c r="B121" s="218"/>
      <c r="C121" s="213">
        <v>14</v>
      </c>
      <c r="D121" s="215" t="s">
        <v>20</v>
      </c>
      <c r="E121" s="21" t="s">
        <v>22</v>
      </c>
      <c r="F121" s="22">
        <f>'9A Sem 2'!E42</f>
        <v>81</v>
      </c>
      <c r="G121" s="22">
        <f>'9A Sem 2'!F42</f>
        <v>74</v>
      </c>
      <c r="H121" s="23">
        <f>'9A Sem 2'!G42</f>
        <v>69</v>
      </c>
      <c r="I121" s="22">
        <f>'9A Sem 2'!H42</f>
        <v>63</v>
      </c>
      <c r="J121" s="22">
        <f>'9A Sem 2'!I42</f>
        <v>64</v>
      </c>
      <c r="K121" s="22">
        <f>'9A Sem 2'!J42</f>
        <v>83</v>
      </c>
      <c r="L121" s="22">
        <f>'9A Sem 2'!K42</f>
        <v>68</v>
      </c>
      <c r="M121" s="22">
        <f>'9A Sem 2'!L42</f>
        <v>94</v>
      </c>
      <c r="N121" s="22">
        <f>'9A Sem 2'!M42</f>
        <v>91</v>
      </c>
      <c r="O121" s="22">
        <f>'9A Sem 2'!N42</f>
        <v>76</v>
      </c>
      <c r="P121" s="22">
        <f>'9A Sem 2'!O42</f>
        <v>82</v>
      </c>
      <c r="Q121" s="22">
        <f>'9A Sem 2'!P42</f>
        <v>90</v>
      </c>
      <c r="R121" s="22">
        <f>'9A Sem 2'!Q42</f>
        <v>55</v>
      </c>
      <c r="S121" s="22">
        <f>'9A Sem 2'!R42</f>
        <v>990</v>
      </c>
      <c r="T121" s="22">
        <f>'9A Sem 2'!S42</f>
        <v>76.15384615384616</v>
      </c>
      <c r="U121" s="22">
        <f>'9A Sem 2'!T42</f>
        <v>29</v>
      </c>
      <c r="V121" s="36">
        <f>'9A Sem 2'!U42</f>
        <v>0</v>
      </c>
      <c r="W121" s="36">
        <f>'9A Sem 2'!V42</f>
        <v>0</v>
      </c>
      <c r="X121" s="5"/>
      <c r="Y121" s="5"/>
      <c r="Z121" s="5"/>
      <c r="AA121" s="5"/>
      <c r="AB121" s="5"/>
    </row>
    <row r="122" spans="1:28" ht="17.25" customHeight="1" thickBot="1" x14ac:dyDescent="0.3">
      <c r="A122" s="241"/>
      <c r="B122" s="218"/>
      <c r="C122" s="213">
        <v>14</v>
      </c>
      <c r="D122" s="215" t="s">
        <v>20</v>
      </c>
      <c r="E122" s="21" t="s">
        <v>16</v>
      </c>
      <c r="F122" s="22">
        <f>AVERAGE(F120:F121)</f>
        <v>78.5</v>
      </c>
      <c r="G122" s="22">
        <f t="shared" ref="G122:W122" si="38">AVERAGE(G120:G121)</f>
        <v>78</v>
      </c>
      <c r="H122" s="22">
        <f t="shared" si="38"/>
        <v>65.5</v>
      </c>
      <c r="I122" s="22">
        <f t="shared" si="38"/>
        <v>66.5</v>
      </c>
      <c r="J122" s="22">
        <f t="shared" si="38"/>
        <v>67.5</v>
      </c>
      <c r="K122" s="22">
        <f t="shared" si="38"/>
        <v>73</v>
      </c>
      <c r="L122" s="22">
        <f t="shared" si="38"/>
        <v>76.5</v>
      </c>
      <c r="M122" s="22">
        <f t="shared" si="38"/>
        <v>79.5</v>
      </c>
      <c r="N122" s="22">
        <f t="shared" si="38"/>
        <v>89.5</v>
      </c>
      <c r="O122" s="22">
        <f t="shared" si="38"/>
        <v>80.5</v>
      </c>
      <c r="P122" s="22">
        <f t="shared" si="38"/>
        <v>83.5</v>
      </c>
      <c r="Q122" s="22">
        <f t="shared" si="38"/>
        <v>92.5</v>
      </c>
      <c r="R122" s="22">
        <f t="shared" si="38"/>
        <v>68</v>
      </c>
      <c r="S122" s="22">
        <f t="shared" si="38"/>
        <v>999</v>
      </c>
      <c r="T122" s="22">
        <f t="shared" si="38"/>
        <v>76.84615384615384</v>
      </c>
      <c r="U122" s="22">
        <f>'9A Sem avr'!$H$42</f>
        <v>24</v>
      </c>
      <c r="V122" s="22">
        <f t="shared" si="38"/>
        <v>0</v>
      </c>
      <c r="W122" s="22">
        <f t="shared" si="38"/>
        <v>0</v>
      </c>
      <c r="X122" s="5"/>
      <c r="Y122" s="5"/>
      <c r="Z122" s="5"/>
      <c r="AA122" s="5"/>
      <c r="AB122" s="5"/>
    </row>
    <row r="123" spans="1:28" ht="17.25" customHeight="1" thickBot="1" x14ac:dyDescent="0.3">
      <c r="A123" s="234">
        <v>40</v>
      </c>
      <c r="B123" s="218"/>
      <c r="C123" s="213">
        <v>15</v>
      </c>
      <c r="D123" s="215" t="s">
        <v>20</v>
      </c>
      <c r="E123" s="21" t="s">
        <v>21</v>
      </c>
      <c r="F123" s="22">
        <f>'9A Sem 1'!E43</f>
        <v>81</v>
      </c>
      <c r="G123" s="22">
        <f>'9A Sem 1'!F43</f>
        <v>85</v>
      </c>
      <c r="H123" s="22">
        <f>'9A Sem 1'!G43</f>
        <v>77</v>
      </c>
      <c r="I123" s="22">
        <f>'9A Sem 1'!H43</f>
        <v>77</v>
      </c>
      <c r="J123" s="22">
        <f>'9A Sem 1'!I43</f>
        <v>81</v>
      </c>
      <c r="K123" s="22">
        <f>'9A Sem 1'!J43</f>
        <v>86</v>
      </c>
      <c r="L123" s="23">
        <f>'9A Sem 1'!K43</f>
        <v>81</v>
      </c>
      <c r="M123" s="22">
        <f>'9A Sem 1'!L43</f>
        <v>76</v>
      </c>
      <c r="N123" s="22">
        <f>'9A Sem 1'!M43</f>
        <v>91</v>
      </c>
      <c r="O123" s="22">
        <f>'9A Sem 1'!N43</f>
        <v>87</v>
      </c>
      <c r="P123" s="22">
        <f>'9A Sem 1'!O43</f>
        <v>88</v>
      </c>
      <c r="Q123" s="22">
        <f>'9A Sem 1'!P43</f>
        <v>91</v>
      </c>
      <c r="R123" s="22">
        <f>'9A Sem 1'!Q43</f>
        <v>89</v>
      </c>
      <c r="S123" s="22">
        <f>'9A Sem 1'!R43</f>
        <v>1090</v>
      </c>
      <c r="T123" s="22">
        <f>'9A Sem 1'!S43</f>
        <v>83.84615384615384</v>
      </c>
      <c r="U123" s="22">
        <f>'9A Sem 1'!T43</f>
        <v>9</v>
      </c>
      <c r="V123" s="36">
        <f>'9A Sem 1'!U43</f>
        <v>0</v>
      </c>
      <c r="W123" s="36">
        <f>'9A Sem 1'!V43</f>
        <v>0</v>
      </c>
      <c r="X123" s="5"/>
      <c r="Y123" s="5"/>
      <c r="Z123" s="5"/>
      <c r="AA123" s="5"/>
      <c r="AB123" s="5"/>
    </row>
    <row r="124" spans="1:28" ht="17.25" customHeight="1" thickBot="1" x14ac:dyDescent="0.3">
      <c r="A124" s="234"/>
      <c r="B124" s="218"/>
      <c r="C124" s="213">
        <v>15</v>
      </c>
      <c r="D124" s="215" t="s">
        <v>20</v>
      </c>
      <c r="E124" s="21" t="s">
        <v>22</v>
      </c>
      <c r="F124" s="22">
        <f>'9A Sem 2'!E43</f>
        <v>76</v>
      </c>
      <c r="G124" s="22">
        <f>'9A Sem 2'!F43</f>
        <v>74</v>
      </c>
      <c r="H124" s="22">
        <f>'9A Sem 2'!G43</f>
        <v>76</v>
      </c>
      <c r="I124" s="22">
        <f>'9A Sem 2'!H43</f>
        <v>73</v>
      </c>
      <c r="J124" s="22">
        <f>'9A Sem 2'!I43</f>
        <v>86</v>
      </c>
      <c r="K124" s="22">
        <f>'9A Sem 2'!J43</f>
        <v>88</v>
      </c>
      <c r="L124" s="23">
        <f>'9A Sem 2'!K43</f>
        <v>75</v>
      </c>
      <c r="M124" s="22">
        <f>'9A Sem 2'!L43</f>
        <v>85</v>
      </c>
      <c r="N124" s="22">
        <f>'9A Sem 2'!M43</f>
        <v>84</v>
      </c>
      <c r="O124" s="22">
        <f>'9A Sem 2'!N43</f>
        <v>85</v>
      </c>
      <c r="P124" s="22">
        <f>'9A Sem 2'!O43</f>
        <v>86</v>
      </c>
      <c r="Q124" s="22">
        <f>'9A Sem 2'!P43</f>
        <v>93</v>
      </c>
      <c r="R124" s="22">
        <f>'9A Sem 2'!Q43</f>
        <v>66</v>
      </c>
      <c r="S124" s="22">
        <f>'9A Sem 2'!R43</f>
        <v>1047</v>
      </c>
      <c r="T124" s="22">
        <f>'9A Sem 2'!S43</f>
        <v>80.538461538461533</v>
      </c>
      <c r="U124" s="22">
        <f>'9A Sem 2'!T43</f>
        <v>19</v>
      </c>
      <c r="V124" s="36">
        <f>'9A Sem 2'!U43</f>
        <v>0</v>
      </c>
      <c r="W124" s="36">
        <f>'9A Sem 2'!V43</f>
        <v>0</v>
      </c>
      <c r="X124" s="5"/>
      <c r="Y124" s="5"/>
      <c r="Z124" s="5"/>
      <c r="AA124" s="5"/>
      <c r="AB124" s="5"/>
    </row>
    <row r="125" spans="1:28" ht="17.25" customHeight="1" thickBot="1" x14ac:dyDescent="0.3">
      <c r="A125" s="234"/>
      <c r="B125" s="218"/>
      <c r="C125" s="213">
        <v>15</v>
      </c>
      <c r="D125" s="215" t="s">
        <v>20</v>
      </c>
      <c r="E125" s="21" t="s">
        <v>16</v>
      </c>
      <c r="F125" s="22">
        <f>AVERAGE(F123:F124)</f>
        <v>78.5</v>
      </c>
      <c r="G125" s="22">
        <f t="shared" ref="G125:W125" si="39">AVERAGE(G123:G124)</f>
        <v>79.5</v>
      </c>
      <c r="H125" s="22">
        <f t="shared" si="39"/>
        <v>76.5</v>
      </c>
      <c r="I125" s="22">
        <f t="shared" si="39"/>
        <v>75</v>
      </c>
      <c r="J125" s="22">
        <f t="shared" si="39"/>
        <v>83.5</v>
      </c>
      <c r="K125" s="22">
        <f t="shared" si="39"/>
        <v>87</v>
      </c>
      <c r="L125" s="22">
        <f t="shared" si="39"/>
        <v>78</v>
      </c>
      <c r="M125" s="22">
        <f t="shared" si="39"/>
        <v>80.5</v>
      </c>
      <c r="N125" s="22">
        <f t="shared" si="39"/>
        <v>87.5</v>
      </c>
      <c r="O125" s="22">
        <f t="shared" si="39"/>
        <v>86</v>
      </c>
      <c r="P125" s="22">
        <f t="shared" si="39"/>
        <v>87</v>
      </c>
      <c r="Q125" s="22">
        <f t="shared" si="39"/>
        <v>92</v>
      </c>
      <c r="R125" s="22">
        <f t="shared" si="39"/>
        <v>77.5</v>
      </c>
      <c r="S125" s="22">
        <f t="shared" si="39"/>
        <v>1068.5</v>
      </c>
      <c r="T125" s="22">
        <f t="shared" si="39"/>
        <v>82.192307692307679</v>
      </c>
      <c r="U125" s="22">
        <f>'9A Sem avr'!$H$43</f>
        <v>12</v>
      </c>
      <c r="V125" s="22">
        <f t="shared" si="39"/>
        <v>0</v>
      </c>
      <c r="W125" s="22">
        <f t="shared" si="39"/>
        <v>0</v>
      </c>
      <c r="X125" s="5"/>
      <c r="Y125" s="5"/>
      <c r="Z125" s="5"/>
      <c r="AA125" s="5"/>
      <c r="AB125" s="5"/>
    </row>
    <row r="126" spans="1:28" ht="17.25" customHeight="1" thickBot="1" x14ac:dyDescent="0.3">
      <c r="A126" s="241">
        <v>41</v>
      </c>
      <c r="B126" s="218"/>
      <c r="C126" s="213">
        <v>14</v>
      </c>
      <c r="D126" s="215" t="s">
        <v>23</v>
      </c>
      <c r="E126" s="21" t="s">
        <v>21</v>
      </c>
      <c r="F126" s="22">
        <f>'9A Sem 1'!E44</f>
        <v>90</v>
      </c>
      <c r="G126" s="22">
        <f>'9A Sem 1'!F44</f>
        <v>93</v>
      </c>
      <c r="H126" s="22">
        <f>'9A Sem 1'!G44</f>
        <v>95</v>
      </c>
      <c r="I126" s="22">
        <f>'9A Sem 1'!H44</f>
        <v>77</v>
      </c>
      <c r="J126" s="22">
        <f>'9A Sem 1'!I44</f>
        <v>91</v>
      </c>
      <c r="K126" s="22">
        <f>'9A Sem 1'!J44</f>
        <v>72</v>
      </c>
      <c r="L126" s="22">
        <f>'9A Sem 1'!K44</f>
        <v>81</v>
      </c>
      <c r="M126" s="22">
        <f>'9A Sem 1'!L44</f>
        <v>82</v>
      </c>
      <c r="N126" s="22">
        <f>'9A Sem 1'!M44</f>
        <v>94</v>
      </c>
      <c r="O126" s="22">
        <f>'9A Sem 1'!N44</f>
        <v>87</v>
      </c>
      <c r="P126" s="22">
        <f>'9A Sem 1'!O44</f>
        <v>87</v>
      </c>
      <c r="Q126" s="22">
        <f>'9A Sem 1'!P44</f>
        <v>94</v>
      </c>
      <c r="R126" s="22">
        <f>'9A Sem 1'!Q44</f>
        <v>88</v>
      </c>
      <c r="S126" s="22">
        <f>'9A Sem 1'!R44</f>
        <v>1131</v>
      </c>
      <c r="T126" s="22">
        <f>'9A Sem 1'!S44</f>
        <v>87</v>
      </c>
      <c r="U126" s="22">
        <f>'9A Sem 1'!T44</f>
        <v>5</v>
      </c>
      <c r="V126" s="36">
        <f>'9A Sem 1'!U44</f>
        <v>0</v>
      </c>
      <c r="W126" s="36">
        <f>'9A Sem 1'!V44</f>
        <v>0</v>
      </c>
      <c r="X126" s="5"/>
      <c r="Y126" s="5"/>
      <c r="Z126" s="5"/>
      <c r="AA126" s="5"/>
      <c r="AB126" s="5"/>
    </row>
    <row r="127" spans="1:28" ht="17.25" customHeight="1" thickBot="1" x14ac:dyDescent="0.3">
      <c r="A127" s="241"/>
      <c r="B127" s="218"/>
      <c r="C127" s="213">
        <v>14</v>
      </c>
      <c r="D127" s="215" t="s">
        <v>23</v>
      </c>
      <c r="E127" s="21" t="s">
        <v>22</v>
      </c>
      <c r="F127" s="22">
        <f>'9A Sem 2'!E44</f>
        <v>90</v>
      </c>
      <c r="G127" s="22">
        <f>'9A Sem 2'!F44</f>
        <v>82</v>
      </c>
      <c r="H127" s="22">
        <f>'9A Sem 2'!G44</f>
        <v>96</v>
      </c>
      <c r="I127" s="22">
        <f>'9A Sem 2'!H44</f>
        <v>76</v>
      </c>
      <c r="J127" s="22">
        <f>'9A Sem 2'!I44</f>
        <v>86</v>
      </c>
      <c r="K127" s="22">
        <f>'9A Sem 2'!J44</f>
        <v>83</v>
      </c>
      <c r="L127" s="22">
        <f>'9A Sem 2'!K44</f>
        <v>71</v>
      </c>
      <c r="M127" s="22">
        <f>'9A Sem 2'!L44</f>
        <v>90</v>
      </c>
      <c r="N127" s="22">
        <f>'9A Sem 2'!M44</f>
        <v>88</v>
      </c>
      <c r="O127" s="22">
        <f>'9A Sem 2'!N44</f>
        <v>82</v>
      </c>
      <c r="P127" s="22">
        <f>'9A Sem 2'!O44</f>
        <v>79</v>
      </c>
      <c r="Q127" s="22">
        <f>'9A Sem 2'!P44</f>
        <v>93</v>
      </c>
      <c r="R127" s="22">
        <f>'9A Sem 2'!Q44</f>
        <v>87</v>
      </c>
      <c r="S127" s="22">
        <f>'9A Sem 2'!R44</f>
        <v>1103</v>
      </c>
      <c r="T127" s="22">
        <f>'9A Sem 2'!S44</f>
        <v>84.84615384615384</v>
      </c>
      <c r="U127" s="22">
        <f>'9A Sem 2'!T44</f>
        <v>8</v>
      </c>
      <c r="V127" s="36">
        <f>'9A Sem 2'!U44</f>
        <v>0</v>
      </c>
      <c r="W127" s="36">
        <f>'9A Sem 2'!V44</f>
        <v>0</v>
      </c>
      <c r="X127" s="5"/>
      <c r="Y127" s="5"/>
      <c r="Z127" s="5"/>
      <c r="AA127" s="5"/>
      <c r="AB127" s="5"/>
    </row>
    <row r="128" spans="1:28" ht="17.25" customHeight="1" thickBot="1" x14ac:dyDescent="0.3">
      <c r="A128" s="241"/>
      <c r="B128" s="218"/>
      <c r="C128" s="213">
        <v>14</v>
      </c>
      <c r="D128" s="215" t="s">
        <v>23</v>
      </c>
      <c r="E128" s="21" t="s">
        <v>16</v>
      </c>
      <c r="F128" s="22">
        <f>AVERAGE(F126:F127)</f>
        <v>90</v>
      </c>
      <c r="G128" s="22">
        <f t="shared" ref="G128:W128" si="40">AVERAGE(G126:G127)</f>
        <v>87.5</v>
      </c>
      <c r="H128" s="22">
        <f t="shared" si="40"/>
        <v>95.5</v>
      </c>
      <c r="I128" s="22">
        <f t="shared" si="40"/>
        <v>76.5</v>
      </c>
      <c r="J128" s="22">
        <f t="shared" si="40"/>
        <v>88.5</v>
      </c>
      <c r="K128" s="22">
        <f t="shared" si="40"/>
        <v>77.5</v>
      </c>
      <c r="L128" s="22">
        <f t="shared" si="40"/>
        <v>76</v>
      </c>
      <c r="M128" s="22">
        <f t="shared" si="40"/>
        <v>86</v>
      </c>
      <c r="N128" s="22">
        <f t="shared" si="40"/>
        <v>91</v>
      </c>
      <c r="O128" s="22">
        <f t="shared" si="40"/>
        <v>84.5</v>
      </c>
      <c r="P128" s="22">
        <f t="shared" si="40"/>
        <v>83</v>
      </c>
      <c r="Q128" s="22">
        <f t="shared" si="40"/>
        <v>93.5</v>
      </c>
      <c r="R128" s="22">
        <f t="shared" si="40"/>
        <v>87.5</v>
      </c>
      <c r="S128" s="22">
        <f t="shared" si="40"/>
        <v>1117</v>
      </c>
      <c r="T128" s="22">
        <f t="shared" si="40"/>
        <v>85.92307692307692</v>
      </c>
      <c r="U128" s="22">
        <f>'9A Sem avr'!$H$44</f>
        <v>6</v>
      </c>
      <c r="V128" s="22">
        <f t="shared" si="40"/>
        <v>0</v>
      </c>
      <c r="W128" s="22">
        <f t="shared" si="40"/>
        <v>0</v>
      </c>
      <c r="X128" s="5"/>
      <c r="Y128" s="5"/>
      <c r="Z128" s="5"/>
      <c r="AA128" s="5"/>
      <c r="AB128" s="5"/>
    </row>
    <row r="129" spans="1:28" ht="17.25" customHeight="1" thickBot="1" x14ac:dyDescent="0.3">
      <c r="A129" s="241">
        <v>42</v>
      </c>
      <c r="B129" s="218"/>
      <c r="C129" s="213">
        <v>14</v>
      </c>
      <c r="D129" s="215" t="s">
        <v>20</v>
      </c>
      <c r="E129" s="21" t="s">
        <v>21</v>
      </c>
      <c r="F129" s="22">
        <f>'9A Sem 1'!E45</f>
        <v>74</v>
      </c>
      <c r="G129" s="23">
        <f>'9A Sem 1'!F45</f>
        <v>79</v>
      </c>
      <c r="H129" s="23">
        <f>'9A Sem 1'!G45</f>
        <v>79</v>
      </c>
      <c r="I129" s="23">
        <f>'9A Sem 1'!H45</f>
        <v>64</v>
      </c>
      <c r="J129" s="22">
        <f>'9A Sem 1'!I45</f>
        <v>66</v>
      </c>
      <c r="K129" s="22">
        <f>'9A Sem 1'!J45</f>
        <v>70</v>
      </c>
      <c r="L129" s="22">
        <f>'9A Sem 1'!K45</f>
        <v>68</v>
      </c>
      <c r="M129" s="22">
        <f>'9A Sem 1'!L45</f>
        <v>58</v>
      </c>
      <c r="N129" s="22">
        <f>'9A Sem 1'!M45</f>
        <v>77</v>
      </c>
      <c r="O129" s="23">
        <f>'9A Sem 1'!N45</f>
        <v>87</v>
      </c>
      <c r="P129" s="22">
        <f>'9A Sem 1'!O45</f>
        <v>69</v>
      </c>
      <c r="Q129" s="22">
        <f>'9A Sem 1'!P45</f>
        <v>91</v>
      </c>
      <c r="R129" s="22">
        <f>'9A Sem 1'!Q45</f>
        <v>57</v>
      </c>
      <c r="S129" s="22">
        <f>'9A Sem 1'!R45</f>
        <v>939</v>
      </c>
      <c r="T129" s="22">
        <f>'9A Sem 1'!S45</f>
        <v>72.230769230769226</v>
      </c>
      <c r="U129" s="22">
        <f>'9A Sem 1'!T45</f>
        <v>35</v>
      </c>
      <c r="V129" s="36">
        <f>'9A Sem 1'!U45</f>
        <v>0</v>
      </c>
      <c r="W129" s="36">
        <f>'9A Sem 1'!V45</f>
        <v>0</v>
      </c>
      <c r="X129" s="5"/>
      <c r="Y129" s="5"/>
      <c r="Z129" s="5"/>
      <c r="AA129" s="5"/>
      <c r="AB129" s="5"/>
    </row>
    <row r="130" spans="1:28" ht="17.25" customHeight="1" thickBot="1" x14ac:dyDescent="0.3">
      <c r="A130" s="241"/>
      <c r="B130" s="218"/>
      <c r="C130" s="213">
        <v>14</v>
      </c>
      <c r="D130" s="215" t="s">
        <v>20</v>
      </c>
      <c r="E130" s="21" t="s">
        <v>22</v>
      </c>
      <c r="F130" s="22">
        <f>'9A Sem 2'!E45</f>
        <v>76</v>
      </c>
      <c r="G130" s="23">
        <f>'9A Sem 2'!F45</f>
        <v>74</v>
      </c>
      <c r="H130" s="23">
        <f>'9A Sem 2'!G45</f>
        <v>78</v>
      </c>
      <c r="I130" s="23">
        <f>'9A Sem 2'!H45</f>
        <v>57</v>
      </c>
      <c r="J130" s="22">
        <f>'9A Sem 2'!I45</f>
        <v>65</v>
      </c>
      <c r="K130" s="22">
        <f>'9A Sem 2'!J45</f>
        <v>80</v>
      </c>
      <c r="L130" s="22">
        <f>'9A Sem 2'!K45</f>
        <v>58</v>
      </c>
      <c r="M130" s="22">
        <f>'9A Sem 2'!L45</f>
        <v>69</v>
      </c>
      <c r="N130" s="22">
        <f>'9A Sem 2'!M45</f>
        <v>58</v>
      </c>
      <c r="O130" s="23">
        <f>'9A Sem 2'!N45</f>
        <v>83</v>
      </c>
      <c r="P130" s="22">
        <f>'9A Sem 2'!O45</f>
        <v>60</v>
      </c>
      <c r="Q130" s="22">
        <f>'9A Sem 2'!P45</f>
        <v>80</v>
      </c>
      <c r="R130" s="22">
        <f>'9A Sem 2'!Q45</f>
        <v>62</v>
      </c>
      <c r="S130" s="22">
        <f>'9A Sem 2'!R45</f>
        <v>900</v>
      </c>
      <c r="T130" s="22">
        <f>'9A Sem 2'!S45</f>
        <v>69.230769230769226</v>
      </c>
      <c r="U130" s="22">
        <f>'9A Sem 2'!T45</f>
        <v>43</v>
      </c>
      <c r="V130" s="36">
        <f>'9A Sem 2'!U45</f>
        <v>0</v>
      </c>
      <c r="W130" s="36">
        <f>'9A Sem 2'!V45</f>
        <v>0</v>
      </c>
      <c r="X130" s="5"/>
      <c r="Y130" s="5"/>
      <c r="Z130" s="5"/>
      <c r="AA130" s="5"/>
      <c r="AB130" s="5"/>
    </row>
    <row r="131" spans="1:28" ht="17.25" customHeight="1" thickBot="1" x14ac:dyDescent="0.3">
      <c r="A131" s="241"/>
      <c r="B131" s="218"/>
      <c r="C131" s="213">
        <v>14</v>
      </c>
      <c r="D131" s="215" t="s">
        <v>20</v>
      </c>
      <c r="E131" s="21" t="s">
        <v>16</v>
      </c>
      <c r="F131" s="22">
        <f>AVERAGE(F129:F130)</f>
        <v>75</v>
      </c>
      <c r="G131" s="22">
        <f t="shared" ref="G131:W131" si="41">AVERAGE(G129:G130)</f>
        <v>76.5</v>
      </c>
      <c r="H131" s="22">
        <f t="shared" si="41"/>
        <v>78.5</v>
      </c>
      <c r="I131" s="22">
        <f t="shared" si="41"/>
        <v>60.5</v>
      </c>
      <c r="J131" s="22">
        <f t="shared" si="41"/>
        <v>65.5</v>
      </c>
      <c r="K131" s="22">
        <f t="shared" si="41"/>
        <v>75</v>
      </c>
      <c r="L131" s="22">
        <f t="shared" si="41"/>
        <v>63</v>
      </c>
      <c r="M131" s="22">
        <f t="shared" si="41"/>
        <v>63.5</v>
      </c>
      <c r="N131" s="22">
        <f t="shared" si="41"/>
        <v>67.5</v>
      </c>
      <c r="O131" s="22">
        <f t="shared" si="41"/>
        <v>85</v>
      </c>
      <c r="P131" s="22">
        <f t="shared" si="41"/>
        <v>64.5</v>
      </c>
      <c r="Q131" s="22">
        <f t="shared" si="41"/>
        <v>85.5</v>
      </c>
      <c r="R131" s="22">
        <f t="shared" si="41"/>
        <v>59.5</v>
      </c>
      <c r="S131" s="22">
        <f t="shared" si="41"/>
        <v>919.5</v>
      </c>
      <c r="T131" s="22">
        <f t="shared" si="41"/>
        <v>70.730769230769226</v>
      </c>
      <c r="U131" s="22">
        <f>'9A Sem avr'!$H$45</f>
        <v>41</v>
      </c>
      <c r="V131" s="22">
        <f t="shared" si="41"/>
        <v>0</v>
      </c>
      <c r="W131" s="22">
        <f t="shared" si="41"/>
        <v>0</v>
      </c>
      <c r="X131" s="5"/>
      <c r="Y131" s="5"/>
      <c r="Z131" s="5"/>
      <c r="AA131" s="5"/>
      <c r="AB131" s="5"/>
    </row>
    <row r="132" spans="1:28" ht="17.25" customHeight="1" thickBot="1" x14ac:dyDescent="0.3">
      <c r="A132" s="241">
        <v>43</v>
      </c>
      <c r="B132" s="218"/>
      <c r="C132" s="213">
        <v>15</v>
      </c>
      <c r="D132" s="215" t="s">
        <v>23</v>
      </c>
      <c r="E132" s="21" t="s">
        <v>21</v>
      </c>
      <c r="F132" s="22">
        <f>'9A Sem 1'!E46</f>
        <v>77</v>
      </c>
      <c r="G132" s="23">
        <f>'9A Sem 1'!F46</f>
        <v>70</v>
      </c>
      <c r="H132" s="23">
        <f>'9A Sem 1'!G46</f>
        <v>52</v>
      </c>
      <c r="I132" s="22">
        <f>'9A Sem 1'!H46</f>
        <v>50</v>
      </c>
      <c r="J132" s="23">
        <f>'9A Sem 1'!I46</f>
        <v>68</v>
      </c>
      <c r="K132" s="22">
        <f>'9A Sem 1'!J46</f>
        <v>70</v>
      </c>
      <c r="L132" s="23">
        <f>'9A Sem 1'!K46</f>
        <v>57</v>
      </c>
      <c r="M132" s="23">
        <f>'9A Sem 1'!L46</f>
        <v>56</v>
      </c>
      <c r="N132" s="22">
        <f>'9A Sem 1'!M46</f>
        <v>72</v>
      </c>
      <c r="O132" s="22">
        <f>'9A Sem 1'!N46</f>
        <v>74</v>
      </c>
      <c r="P132" s="23">
        <f>'9A Sem 1'!O46</f>
        <v>76</v>
      </c>
      <c r="Q132" s="23">
        <f>'9A Sem 1'!P46</f>
        <v>85</v>
      </c>
      <c r="R132" s="23">
        <f>'9A Sem 1'!Q46</f>
        <v>68</v>
      </c>
      <c r="S132" s="22">
        <f>'9A Sem 1'!R46</f>
        <v>875</v>
      </c>
      <c r="T132" s="22">
        <f>'9A Sem 1'!S46</f>
        <v>67.307692307692307</v>
      </c>
      <c r="U132" s="22">
        <f>'9A Sem 1'!T46</f>
        <v>45</v>
      </c>
      <c r="V132" s="36">
        <f>'9A Sem 1'!U46</f>
        <v>0</v>
      </c>
      <c r="W132" s="36">
        <f>'9A Sem 1'!V46</f>
        <v>0</v>
      </c>
      <c r="X132" s="5"/>
      <c r="Y132" s="5"/>
      <c r="Z132" s="5"/>
      <c r="AA132" s="5"/>
      <c r="AB132" s="5"/>
    </row>
    <row r="133" spans="1:28" ht="17.25" customHeight="1" thickBot="1" x14ac:dyDescent="0.3">
      <c r="A133" s="241"/>
      <c r="B133" s="218"/>
      <c r="C133" s="213">
        <v>15</v>
      </c>
      <c r="D133" s="215" t="s">
        <v>23</v>
      </c>
      <c r="E133" s="21" t="s">
        <v>22</v>
      </c>
      <c r="F133" s="22">
        <f>'9A Sem 2'!E46</f>
        <v>83</v>
      </c>
      <c r="G133" s="23">
        <f>'9A Sem 2'!F46</f>
        <v>72</v>
      </c>
      <c r="H133" s="23">
        <f>'9A Sem 2'!G46</f>
        <v>60</v>
      </c>
      <c r="I133" s="22">
        <f>'9A Sem 2'!H46</f>
        <v>60</v>
      </c>
      <c r="J133" s="23">
        <f>'9A Sem 2'!I46</f>
        <v>66</v>
      </c>
      <c r="K133" s="22">
        <f>'9A Sem 2'!J46</f>
        <v>73</v>
      </c>
      <c r="L133" s="23">
        <f>'9A Sem 2'!K46</f>
        <v>71</v>
      </c>
      <c r="M133" s="23">
        <f>'9A Sem 2'!L46</f>
        <v>84</v>
      </c>
      <c r="N133" s="22">
        <f>'9A Sem 2'!M46</f>
        <v>80</v>
      </c>
      <c r="O133" s="22">
        <f>'9A Sem 2'!N46</f>
        <v>81</v>
      </c>
      <c r="P133" s="23">
        <f>'9A Sem 2'!O46</f>
        <v>83</v>
      </c>
      <c r="Q133" s="23">
        <f>'9A Sem 2'!P46</f>
        <v>87</v>
      </c>
      <c r="R133" s="23">
        <f>'9A Sem 2'!Q46</f>
        <v>61</v>
      </c>
      <c r="S133" s="22">
        <f>'9A Sem 2'!R46</f>
        <v>961</v>
      </c>
      <c r="T133" s="22">
        <f>'9A Sem 2'!S46</f>
        <v>73.92307692307692</v>
      </c>
      <c r="U133" s="22">
        <f>'9A Sem 2'!T46</f>
        <v>35</v>
      </c>
      <c r="V133" s="36">
        <f>'9A Sem 2'!U46</f>
        <v>0</v>
      </c>
      <c r="W133" s="36">
        <f>'9A Sem 2'!V46</f>
        <v>0</v>
      </c>
      <c r="X133" s="5"/>
      <c r="Y133" s="5"/>
      <c r="Z133" s="5"/>
      <c r="AA133" s="5"/>
      <c r="AB133" s="5"/>
    </row>
    <row r="134" spans="1:28" ht="17.25" customHeight="1" thickBot="1" x14ac:dyDescent="0.3">
      <c r="A134" s="242"/>
      <c r="B134" s="219"/>
      <c r="C134" s="214">
        <v>15</v>
      </c>
      <c r="D134" s="216" t="s">
        <v>23</v>
      </c>
      <c r="E134" s="82" t="s">
        <v>16</v>
      </c>
      <c r="F134" s="83">
        <f>AVERAGE(F132:F133)</f>
        <v>80</v>
      </c>
      <c r="G134" s="83">
        <f t="shared" ref="G134:W134" si="42">AVERAGE(G132:G133)</f>
        <v>71</v>
      </c>
      <c r="H134" s="83">
        <f t="shared" si="42"/>
        <v>56</v>
      </c>
      <c r="I134" s="83">
        <f t="shared" si="42"/>
        <v>55</v>
      </c>
      <c r="J134" s="83">
        <f t="shared" si="42"/>
        <v>67</v>
      </c>
      <c r="K134" s="83">
        <f t="shared" si="42"/>
        <v>71.5</v>
      </c>
      <c r="L134" s="83">
        <f t="shared" si="42"/>
        <v>64</v>
      </c>
      <c r="M134" s="83">
        <f t="shared" si="42"/>
        <v>70</v>
      </c>
      <c r="N134" s="83">
        <f t="shared" si="42"/>
        <v>76</v>
      </c>
      <c r="O134" s="83">
        <f t="shared" si="42"/>
        <v>77.5</v>
      </c>
      <c r="P134" s="83">
        <f t="shared" si="42"/>
        <v>79.5</v>
      </c>
      <c r="Q134" s="83">
        <f t="shared" si="42"/>
        <v>86</v>
      </c>
      <c r="R134" s="83">
        <f t="shared" si="42"/>
        <v>64.5</v>
      </c>
      <c r="S134" s="83">
        <f t="shared" si="42"/>
        <v>918</v>
      </c>
      <c r="T134" s="83">
        <f t="shared" si="42"/>
        <v>70.615384615384613</v>
      </c>
      <c r="U134" s="83">
        <f>'9A Sem avr'!$H$46</f>
        <v>42</v>
      </c>
      <c r="V134" s="83">
        <f t="shared" si="42"/>
        <v>0</v>
      </c>
      <c r="W134" s="83">
        <f t="shared" si="42"/>
        <v>0</v>
      </c>
      <c r="X134" s="5"/>
      <c r="Y134" s="5"/>
      <c r="Z134" s="5"/>
      <c r="AA134" s="5"/>
      <c r="AB134" s="5"/>
    </row>
    <row r="135" spans="1:28" ht="17.25" customHeight="1" thickBot="1" x14ac:dyDescent="0.3">
      <c r="A135" s="220">
        <v>44</v>
      </c>
      <c r="B135" s="218"/>
      <c r="C135" s="213">
        <v>17</v>
      </c>
      <c r="D135" s="215" t="s">
        <v>20</v>
      </c>
      <c r="E135" s="21" t="s">
        <v>21</v>
      </c>
      <c r="F135" s="11">
        <f>'9A Sem 1'!E47</f>
        <v>85</v>
      </c>
      <c r="G135" s="11">
        <f>'9A Sem 1'!F47</f>
        <v>78</v>
      </c>
      <c r="H135" s="11">
        <f>'9A Sem 1'!G47</f>
        <v>71</v>
      </c>
      <c r="I135" s="11">
        <f>'9A Sem 1'!H47</f>
        <v>76</v>
      </c>
      <c r="J135" s="11">
        <f>'9A Sem 1'!I47</f>
        <v>78</v>
      </c>
      <c r="K135" s="11">
        <f>'9A Sem 1'!J47</f>
        <v>79</v>
      </c>
      <c r="L135" s="11">
        <f>'9A Sem 1'!K47</f>
        <v>92</v>
      </c>
      <c r="M135" s="11">
        <f>'9A Sem 1'!L47</f>
        <v>79</v>
      </c>
      <c r="N135" s="11">
        <f>'9A Sem 1'!M47</f>
        <v>92</v>
      </c>
      <c r="O135" s="11">
        <f>'9A Sem 1'!N47</f>
        <v>82</v>
      </c>
      <c r="P135" s="11">
        <f>'9A Sem 1'!O47</f>
        <v>84</v>
      </c>
      <c r="Q135" s="11">
        <f>'9A Sem 1'!P47</f>
        <v>95</v>
      </c>
      <c r="R135" s="11">
        <f>'9A Sem 1'!Q47</f>
        <v>77</v>
      </c>
      <c r="S135" s="11">
        <f>'9A Sem 1'!R47</f>
        <v>1068</v>
      </c>
      <c r="T135" s="11">
        <f>'9A Sem 1'!S47</f>
        <v>82.15384615384616</v>
      </c>
      <c r="U135" s="11">
        <f>'9A Sem 1'!T47</f>
        <v>13</v>
      </c>
      <c r="V135" s="11">
        <f>'9A Sem 1'!U47</f>
        <v>0</v>
      </c>
      <c r="W135" s="11">
        <f>'9A Sem 1'!V47</f>
        <v>0</v>
      </c>
      <c r="X135" s="5"/>
      <c r="Y135" s="5"/>
      <c r="Z135" s="5"/>
      <c r="AA135" s="5"/>
      <c r="AB135" s="5"/>
    </row>
    <row r="136" spans="1:28" ht="17.25" customHeight="1" thickBot="1" x14ac:dyDescent="0.3">
      <c r="A136" s="220"/>
      <c r="B136" s="218"/>
      <c r="C136" s="213">
        <v>17</v>
      </c>
      <c r="D136" s="215" t="s">
        <v>20</v>
      </c>
      <c r="E136" s="21" t="s">
        <v>22</v>
      </c>
      <c r="F136" s="11">
        <f>'9A Sem 2'!E47</f>
        <v>84</v>
      </c>
      <c r="G136" s="11">
        <f>'9A Sem 2'!F47</f>
        <v>75</v>
      </c>
      <c r="H136" s="11">
        <f>'9A Sem 2'!G47</f>
        <v>77</v>
      </c>
      <c r="I136" s="11">
        <f>'9A Sem 2'!H47</f>
        <v>76</v>
      </c>
      <c r="J136" s="11">
        <f>'9A Sem 2'!I47</f>
        <v>80</v>
      </c>
      <c r="K136" s="11">
        <f>'9A Sem 2'!J47</f>
        <v>93</v>
      </c>
      <c r="L136" s="11">
        <f>'9A Sem 2'!K47</f>
        <v>93</v>
      </c>
      <c r="M136" s="11">
        <f>'9A Sem 2'!L47</f>
        <v>97</v>
      </c>
      <c r="N136" s="11">
        <f>'9A Sem 2'!M47</f>
        <v>92</v>
      </c>
      <c r="O136" s="11">
        <f>'9A Sem 2'!N47</f>
        <v>87</v>
      </c>
      <c r="P136" s="11">
        <f>'9A Sem 2'!O47</f>
        <v>84</v>
      </c>
      <c r="Q136" s="11">
        <f>'9A Sem 2'!P47</f>
        <v>99</v>
      </c>
      <c r="R136" s="11">
        <f>'9A Sem 2'!Q47</f>
        <v>74</v>
      </c>
      <c r="S136" s="11">
        <f>'9A Sem 2'!R47</f>
        <v>1111</v>
      </c>
      <c r="T136" s="11">
        <f>'9A Sem 2'!S47</f>
        <v>85.461538461538467</v>
      </c>
      <c r="U136" s="11">
        <f>'9A Sem 2'!T47</f>
        <v>7</v>
      </c>
      <c r="V136" s="11">
        <f>'9A Sem 2'!U47</f>
        <v>0</v>
      </c>
      <c r="W136" s="11">
        <f>'9A Sem 2'!V47</f>
        <v>0</v>
      </c>
      <c r="X136" s="5"/>
      <c r="Y136" s="5"/>
      <c r="Z136" s="5"/>
      <c r="AA136" s="5"/>
      <c r="AB136" s="5"/>
    </row>
    <row r="137" spans="1:28" ht="17.25" customHeight="1" thickBot="1" x14ac:dyDescent="0.3">
      <c r="A137" s="220"/>
      <c r="B137" s="219"/>
      <c r="C137" s="214">
        <v>17</v>
      </c>
      <c r="D137" s="216" t="s">
        <v>20</v>
      </c>
      <c r="E137" s="82" t="s">
        <v>16</v>
      </c>
      <c r="F137" s="11">
        <f>AVERAGE(F135:F136)</f>
        <v>84.5</v>
      </c>
      <c r="G137" s="11">
        <f t="shared" ref="G137:W137" si="43">AVERAGE(G135:G136)</f>
        <v>76.5</v>
      </c>
      <c r="H137" s="11">
        <f t="shared" si="43"/>
        <v>74</v>
      </c>
      <c r="I137" s="11">
        <f t="shared" si="43"/>
        <v>76</v>
      </c>
      <c r="J137" s="11">
        <f t="shared" si="43"/>
        <v>79</v>
      </c>
      <c r="K137" s="11">
        <f t="shared" si="43"/>
        <v>86</v>
      </c>
      <c r="L137" s="11">
        <f t="shared" si="43"/>
        <v>92.5</v>
      </c>
      <c r="M137" s="11">
        <f t="shared" si="43"/>
        <v>88</v>
      </c>
      <c r="N137" s="11">
        <f t="shared" si="43"/>
        <v>92</v>
      </c>
      <c r="O137" s="11">
        <f t="shared" si="43"/>
        <v>84.5</v>
      </c>
      <c r="P137" s="11">
        <f t="shared" si="43"/>
        <v>84</v>
      </c>
      <c r="Q137" s="11">
        <f t="shared" si="43"/>
        <v>97</v>
      </c>
      <c r="R137" s="11">
        <f t="shared" si="43"/>
        <v>75.5</v>
      </c>
      <c r="S137" s="11">
        <f t="shared" si="43"/>
        <v>1089.5</v>
      </c>
      <c r="T137" s="11">
        <f t="shared" si="43"/>
        <v>83.807692307692321</v>
      </c>
      <c r="U137" s="11">
        <f>'9A Sem avr'!$H$47</f>
        <v>8</v>
      </c>
      <c r="V137" s="11">
        <f t="shared" si="43"/>
        <v>0</v>
      </c>
      <c r="W137" s="11">
        <f t="shared" si="43"/>
        <v>0</v>
      </c>
      <c r="X137" s="5"/>
      <c r="Y137" s="5"/>
      <c r="Z137" s="5"/>
      <c r="AA137" s="5"/>
      <c r="AB137" s="5"/>
    </row>
    <row r="138" spans="1:28" ht="17.25" customHeight="1" thickBot="1" x14ac:dyDescent="0.3">
      <c r="A138" s="220">
        <v>45</v>
      </c>
      <c r="B138" s="218"/>
      <c r="C138" s="213">
        <v>14</v>
      </c>
      <c r="D138" s="215" t="s">
        <v>20</v>
      </c>
      <c r="E138" s="21" t="s">
        <v>21</v>
      </c>
      <c r="F138" s="11">
        <f>'9A Sem 1'!E48</f>
        <v>88</v>
      </c>
      <c r="G138" s="11">
        <f>'9A Sem 1'!F48</f>
        <v>81</v>
      </c>
      <c r="H138" s="11">
        <f>'9A Sem 1'!G48</f>
        <v>73</v>
      </c>
      <c r="I138" s="11">
        <f>'9A Sem 1'!H48</f>
        <v>70</v>
      </c>
      <c r="J138" s="11">
        <f>'9A Sem 1'!I48</f>
        <v>79</v>
      </c>
      <c r="K138" s="11">
        <f>'9A Sem 1'!J48</f>
        <v>85</v>
      </c>
      <c r="L138" s="11">
        <f>'9A Sem 1'!K48</f>
        <v>86</v>
      </c>
      <c r="M138" s="11">
        <f>'9A Sem 1'!L48</f>
        <v>78</v>
      </c>
      <c r="N138" s="11">
        <f>'9A Sem 1'!M48</f>
        <v>93</v>
      </c>
      <c r="O138" s="11">
        <f>'9A Sem 1'!N48</f>
        <v>86</v>
      </c>
      <c r="P138" s="11">
        <f>'9A Sem 1'!O48</f>
        <v>90</v>
      </c>
      <c r="Q138" s="11">
        <f>'9A Sem 1'!P48</f>
        <v>95</v>
      </c>
      <c r="R138" s="11">
        <f>'9A Sem 1'!Q48</f>
        <v>88</v>
      </c>
      <c r="S138" s="11">
        <f>'9A Sem 1'!R48</f>
        <v>1092</v>
      </c>
      <c r="T138" s="11">
        <f>'9A Sem 1'!S48</f>
        <v>84</v>
      </c>
      <c r="U138" s="11">
        <f>'9A Sem 1'!T48</f>
        <v>8</v>
      </c>
      <c r="V138" s="11">
        <f>'9A Sem 1'!U48</f>
        <v>0</v>
      </c>
      <c r="W138" s="11">
        <f>'9A Sem 1'!V48</f>
        <v>0</v>
      </c>
      <c r="X138" s="5"/>
      <c r="Y138" s="5"/>
      <c r="Z138" s="5"/>
      <c r="AA138" s="5"/>
      <c r="AB138" s="5"/>
    </row>
    <row r="139" spans="1:28" ht="18" customHeight="1" thickBot="1" x14ac:dyDescent="0.3">
      <c r="A139" s="220"/>
      <c r="B139" s="218"/>
      <c r="C139" s="213">
        <v>14</v>
      </c>
      <c r="D139" s="215" t="s">
        <v>20</v>
      </c>
      <c r="E139" s="21" t="s">
        <v>22</v>
      </c>
      <c r="F139" s="11">
        <f>'9A Sem 2'!E48</f>
        <v>90</v>
      </c>
      <c r="G139" s="11">
        <f>'9A Sem 2'!F48</f>
        <v>69</v>
      </c>
      <c r="H139" s="11">
        <f>'9A Sem 2'!G48</f>
        <v>80</v>
      </c>
      <c r="I139" s="11">
        <f>'9A Sem 2'!H48</f>
        <v>71</v>
      </c>
      <c r="J139" s="11">
        <f>'9A Sem 2'!I48</f>
        <v>70</v>
      </c>
      <c r="K139" s="11">
        <f>'9A Sem 2'!J48</f>
        <v>94</v>
      </c>
      <c r="L139" s="11">
        <f>'9A Sem 2'!K48</f>
        <v>90</v>
      </c>
      <c r="M139" s="11">
        <f>'9A Sem 2'!L48</f>
        <v>80</v>
      </c>
      <c r="N139" s="11">
        <f>'9A Sem 2'!M48</f>
        <v>78</v>
      </c>
      <c r="O139" s="11">
        <f>'9A Sem 2'!N48</f>
        <v>85</v>
      </c>
      <c r="P139" s="11">
        <f>'9A Sem 2'!O48</f>
        <v>86</v>
      </c>
      <c r="Q139" s="11">
        <f>'9A Sem 2'!P48</f>
        <v>92</v>
      </c>
      <c r="R139" s="11">
        <f>'9A Sem 2'!Q48</f>
        <v>69</v>
      </c>
      <c r="S139" s="11">
        <f>'9A Sem 2'!R48</f>
        <v>1054</v>
      </c>
      <c r="T139" s="11">
        <f>'9A Sem 2'!S48</f>
        <v>81.07692307692308</v>
      </c>
      <c r="U139" s="11">
        <f>'9A Sem 2'!T48</f>
        <v>17</v>
      </c>
      <c r="V139" s="11">
        <f>'9A Sem 2'!U48</f>
        <v>0</v>
      </c>
      <c r="W139" s="11">
        <f>'9A Sem 2'!V48</f>
        <v>0</v>
      </c>
    </row>
    <row r="140" spans="1:28" ht="18" customHeight="1" thickBot="1" x14ac:dyDescent="0.3">
      <c r="A140" s="221"/>
      <c r="B140" s="219"/>
      <c r="C140" s="214">
        <v>14</v>
      </c>
      <c r="D140" s="216" t="s">
        <v>20</v>
      </c>
      <c r="E140" s="82" t="s">
        <v>16</v>
      </c>
      <c r="F140" s="11">
        <f>AVERAGE(F138:F139)</f>
        <v>89</v>
      </c>
      <c r="G140" s="11">
        <f t="shared" ref="G140:W140" si="44">AVERAGE(G138:G139)</f>
        <v>75</v>
      </c>
      <c r="H140" s="11">
        <f t="shared" si="44"/>
        <v>76.5</v>
      </c>
      <c r="I140" s="11">
        <f t="shared" si="44"/>
        <v>70.5</v>
      </c>
      <c r="J140" s="11">
        <f t="shared" si="44"/>
        <v>74.5</v>
      </c>
      <c r="K140" s="11">
        <f t="shared" si="44"/>
        <v>89.5</v>
      </c>
      <c r="L140" s="11">
        <f t="shared" si="44"/>
        <v>88</v>
      </c>
      <c r="M140" s="11">
        <f t="shared" si="44"/>
        <v>79</v>
      </c>
      <c r="N140" s="11">
        <f t="shared" si="44"/>
        <v>85.5</v>
      </c>
      <c r="O140" s="11">
        <f t="shared" si="44"/>
        <v>85.5</v>
      </c>
      <c r="P140" s="11">
        <f t="shared" si="44"/>
        <v>88</v>
      </c>
      <c r="Q140" s="11">
        <f t="shared" si="44"/>
        <v>93.5</v>
      </c>
      <c r="R140" s="11">
        <f t="shared" si="44"/>
        <v>78.5</v>
      </c>
      <c r="S140" s="11">
        <f t="shared" si="44"/>
        <v>1073</v>
      </c>
      <c r="T140" s="11">
        <f t="shared" si="44"/>
        <v>82.538461538461547</v>
      </c>
      <c r="U140" s="11">
        <f>'9A Sem avr'!$H$48</f>
        <v>11</v>
      </c>
      <c r="V140" s="11">
        <f t="shared" si="44"/>
        <v>0</v>
      </c>
      <c r="W140" s="11">
        <f t="shared" si="44"/>
        <v>0</v>
      </c>
    </row>
    <row r="141" spans="1:28" ht="18" customHeight="1" thickBot="1" x14ac:dyDescent="0.3">
      <c r="A141" s="220">
        <v>46</v>
      </c>
      <c r="B141" s="218"/>
      <c r="C141" s="213">
        <v>14</v>
      </c>
      <c r="D141" s="215" t="s">
        <v>23</v>
      </c>
      <c r="E141" s="21" t="s">
        <v>21</v>
      </c>
      <c r="F141" s="11">
        <f>'9A Sem 1'!E49</f>
        <v>86</v>
      </c>
      <c r="G141" s="11">
        <f>'9A Sem 1'!F49</f>
        <v>90</v>
      </c>
      <c r="H141" s="11">
        <f>'9A Sem 1'!G49</f>
        <v>68</v>
      </c>
      <c r="I141" s="11">
        <f>'9A Sem 1'!H49</f>
        <v>80</v>
      </c>
      <c r="J141" s="11">
        <f>'9A Sem 1'!I49</f>
        <v>74</v>
      </c>
      <c r="K141" s="11">
        <f>'9A Sem 1'!J49</f>
        <v>84</v>
      </c>
      <c r="L141" s="11">
        <f>'9A Sem 1'!K49</f>
        <v>85</v>
      </c>
      <c r="M141" s="11">
        <f>'9A Sem 1'!L49</f>
        <v>69</v>
      </c>
      <c r="N141" s="11">
        <f>'9A Sem 1'!M49</f>
        <v>88</v>
      </c>
      <c r="O141" s="11">
        <f>'9A Sem 1'!N49</f>
        <v>88</v>
      </c>
      <c r="P141" s="11">
        <f>'9A Sem 1'!O49</f>
        <v>84</v>
      </c>
      <c r="Q141" s="11">
        <f>'9A Sem 1'!P49</f>
        <v>90</v>
      </c>
      <c r="R141" s="11">
        <f>'9A Sem 1'!Q49</f>
        <v>90</v>
      </c>
      <c r="S141" s="11">
        <f>'9A Sem 1'!R49</f>
        <v>1076</v>
      </c>
      <c r="T141" s="11">
        <f>'9A Sem 1'!S49</f>
        <v>82.769230769230774</v>
      </c>
      <c r="U141" s="11">
        <f>'9A Sem 1'!T49</f>
        <v>12</v>
      </c>
      <c r="V141" s="11">
        <f>'9A Sem 1'!U49</f>
        <v>0</v>
      </c>
      <c r="W141" s="11">
        <f>'9A Sem 1'!V49</f>
        <v>0</v>
      </c>
    </row>
    <row r="142" spans="1:28" ht="18" customHeight="1" thickBot="1" x14ac:dyDescent="0.3">
      <c r="A142" s="220"/>
      <c r="B142" s="218"/>
      <c r="C142" s="213">
        <v>14</v>
      </c>
      <c r="D142" s="215" t="s">
        <v>23</v>
      </c>
      <c r="E142" s="21" t="s">
        <v>22</v>
      </c>
      <c r="F142" s="11">
        <f>'9A Sem 2'!E49</f>
        <v>90</v>
      </c>
      <c r="G142" s="11">
        <f>'9A Sem 2'!F49</f>
        <v>89</v>
      </c>
      <c r="H142" s="11">
        <f>'9A Sem 2'!G49</f>
        <v>85</v>
      </c>
      <c r="I142" s="11">
        <f>'9A Sem 2'!H49</f>
        <v>77</v>
      </c>
      <c r="J142" s="11">
        <f>'9A Sem 2'!I49</f>
        <v>86</v>
      </c>
      <c r="K142" s="11">
        <f>'9A Sem 2'!J49</f>
        <v>93</v>
      </c>
      <c r="L142" s="11">
        <f>'9A Sem 2'!K49</f>
        <v>83</v>
      </c>
      <c r="M142" s="11">
        <f>'9A Sem 2'!L49</f>
        <v>93</v>
      </c>
      <c r="N142" s="11">
        <f>'9A Sem 2'!M49</f>
        <v>91</v>
      </c>
      <c r="O142" s="11">
        <f>'9A Sem 2'!N49</f>
        <v>82</v>
      </c>
      <c r="P142" s="11">
        <f>'9A Sem 2'!O49</f>
        <v>89</v>
      </c>
      <c r="Q142" s="11">
        <f>'9A Sem 2'!P49</f>
        <v>87</v>
      </c>
      <c r="R142" s="11">
        <f>'9A Sem 2'!Q49</f>
        <v>80</v>
      </c>
      <c r="S142" s="11">
        <f>'9A Sem 2'!R49</f>
        <v>1125</v>
      </c>
      <c r="T142" s="11">
        <f>'9A Sem 2'!S49</f>
        <v>86.538461538461533</v>
      </c>
      <c r="U142" s="11">
        <f>'9A Sem 2'!T49</f>
        <v>6</v>
      </c>
      <c r="V142" s="11">
        <f>'9A Sem 2'!U49</f>
        <v>0</v>
      </c>
      <c r="W142" s="11">
        <f>'9A Sem 2'!V49</f>
        <v>0</v>
      </c>
    </row>
    <row r="143" spans="1:28" ht="18" customHeight="1" thickBot="1" x14ac:dyDescent="0.3">
      <c r="A143" s="220"/>
      <c r="B143" s="219"/>
      <c r="C143" s="214">
        <v>14</v>
      </c>
      <c r="D143" s="216" t="s">
        <v>23</v>
      </c>
      <c r="E143" s="82" t="s">
        <v>16</v>
      </c>
      <c r="F143" s="11">
        <f>AVERAGE(F141:F142)</f>
        <v>88</v>
      </c>
      <c r="G143" s="11">
        <f t="shared" ref="G143:W143" si="45">AVERAGE(G141:G142)</f>
        <v>89.5</v>
      </c>
      <c r="H143" s="11">
        <f t="shared" si="45"/>
        <v>76.5</v>
      </c>
      <c r="I143" s="11">
        <f t="shared" si="45"/>
        <v>78.5</v>
      </c>
      <c r="J143" s="11">
        <f t="shared" si="45"/>
        <v>80</v>
      </c>
      <c r="K143" s="11">
        <f t="shared" si="45"/>
        <v>88.5</v>
      </c>
      <c r="L143" s="11">
        <f t="shared" si="45"/>
        <v>84</v>
      </c>
      <c r="M143" s="11">
        <f t="shared" si="45"/>
        <v>81</v>
      </c>
      <c r="N143" s="11">
        <f t="shared" si="45"/>
        <v>89.5</v>
      </c>
      <c r="O143" s="11">
        <f t="shared" si="45"/>
        <v>85</v>
      </c>
      <c r="P143" s="11">
        <f t="shared" si="45"/>
        <v>86.5</v>
      </c>
      <c r="Q143" s="11">
        <f t="shared" si="45"/>
        <v>88.5</v>
      </c>
      <c r="R143" s="11">
        <f t="shared" si="45"/>
        <v>85</v>
      </c>
      <c r="S143" s="11">
        <f t="shared" si="45"/>
        <v>1100.5</v>
      </c>
      <c r="T143" s="11">
        <f t="shared" si="45"/>
        <v>84.65384615384616</v>
      </c>
      <c r="U143" s="11">
        <f>'9A Sem avr'!$H$49</f>
        <v>7</v>
      </c>
      <c r="V143" s="11">
        <f t="shared" si="45"/>
        <v>0</v>
      </c>
      <c r="W143" s="11">
        <f t="shared" si="45"/>
        <v>0</v>
      </c>
    </row>
    <row r="144" spans="1:28" ht="18" customHeight="1" thickBot="1" x14ac:dyDescent="0.3">
      <c r="A144" s="220">
        <v>47</v>
      </c>
      <c r="B144" s="218"/>
      <c r="C144" s="213">
        <v>14</v>
      </c>
      <c r="D144" s="215" t="s">
        <v>20</v>
      </c>
      <c r="E144" s="21" t="s">
        <v>21</v>
      </c>
      <c r="F144" s="11">
        <f>'9A Sem 1'!E50</f>
        <v>74</v>
      </c>
      <c r="G144" s="11">
        <f>'9A Sem 1'!F50</f>
        <v>85</v>
      </c>
      <c r="H144" s="11">
        <f>'9A Sem 1'!G50</f>
        <v>83</v>
      </c>
      <c r="I144" s="11">
        <f>'9A Sem 1'!H50</f>
        <v>83</v>
      </c>
      <c r="J144" s="11">
        <f>'9A Sem 1'!I50</f>
        <v>72</v>
      </c>
      <c r="K144" s="11">
        <f>'9A Sem 1'!J50</f>
        <v>60</v>
      </c>
      <c r="L144" s="11">
        <f>'9A Sem 1'!K50</f>
        <v>59</v>
      </c>
      <c r="M144" s="11">
        <f>'9A Sem 1'!L50</f>
        <v>60</v>
      </c>
      <c r="N144" s="11">
        <f>'9A Sem 1'!M50</f>
        <v>76</v>
      </c>
      <c r="O144" s="11">
        <f>'9A Sem 1'!N50</f>
        <v>83</v>
      </c>
      <c r="P144" s="11">
        <f>'9A Sem 1'!O50</f>
        <v>82</v>
      </c>
      <c r="Q144" s="11">
        <f>'9A Sem 1'!P50</f>
        <v>80</v>
      </c>
      <c r="R144" s="11">
        <f>'9A Sem 1'!Q50</f>
        <v>76</v>
      </c>
      <c r="S144" s="11">
        <f>'9A Sem 1'!R50</f>
        <v>973</v>
      </c>
      <c r="T144" s="11">
        <f>'9A Sem 1'!S50</f>
        <v>74.84615384615384</v>
      </c>
      <c r="U144" s="11">
        <f>'9A Sem 1'!T50</f>
        <v>27</v>
      </c>
      <c r="V144" s="11">
        <f>'9A Sem 1'!U50</f>
        <v>0</v>
      </c>
      <c r="W144" s="11">
        <f>'9A Sem 1'!V50</f>
        <v>0</v>
      </c>
    </row>
    <row r="145" spans="1:23" ht="18" customHeight="1" thickBot="1" x14ac:dyDescent="0.3">
      <c r="A145" s="220"/>
      <c r="B145" s="218"/>
      <c r="C145" s="213">
        <v>14</v>
      </c>
      <c r="D145" s="215" t="s">
        <v>20</v>
      </c>
      <c r="E145" s="21" t="s">
        <v>22</v>
      </c>
      <c r="F145" s="11">
        <f>'9A Sem 2'!E50</f>
        <v>76</v>
      </c>
      <c r="G145" s="11">
        <f>'9A Sem 2'!F50</f>
        <v>78</v>
      </c>
      <c r="H145" s="11">
        <f>'9A Sem 2'!G50</f>
        <v>83</v>
      </c>
      <c r="I145" s="11">
        <f>'9A Sem 2'!H50</f>
        <v>72</v>
      </c>
      <c r="J145" s="11">
        <f>'9A Sem 2'!I50</f>
        <v>82</v>
      </c>
      <c r="K145" s="11">
        <f>'9A Sem 2'!J50</f>
        <v>70</v>
      </c>
      <c r="L145" s="11">
        <f>'9A Sem 2'!K50</f>
        <v>62</v>
      </c>
      <c r="M145" s="11">
        <f>'9A Sem 2'!L50</f>
        <v>81</v>
      </c>
      <c r="N145" s="11">
        <f>'9A Sem 2'!M50</f>
        <v>79</v>
      </c>
      <c r="O145" s="11">
        <f>'9A Sem 2'!N50</f>
        <v>79</v>
      </c>
      <c r="P145" s="11">
        <f>'9A Sem 2'!O50</f>
        <v>71</v>
      </c>
      <c r="Q145" s="11">
        <f>'9A Sem 2'!P50</f>
        <v>85</v>
      </c>
      <c r="R145" s="11">
        <f>'9A Sem 2'!Q50</f>
        <v>54</v>
      </c>
      <c r="S145" s="11">
        <f>'9A Sem 2'!R50</f>
        <v>972</v>
      </c>
      <c r="T145" s="11">
        <f>'9A Sem 2'!S50</f>
        <v>74.769230769230774</v>
      </c>
      <c r="U145" s="11">
        <f>'9A Sem 2'!T50</f>
        <v>32</v>
      </c>
      <c r="V145" s="11">
        <f>'9A Sem 2'!U50</f>
        <v>0</v>
      </c>
      <c r="W145" s="11">
        <f>'9A Sem 2'!V50</f>
        <v>0</v>
      </c>
    </row>
    <row r="146" spans="1:23" ht="18" customHeight="1" thickBot="1" x14ac:dyDescent="0.3">
      <c r="A146" s="221"/>
      <c r="B146" s="219"/>
      <c r="C146" s="214">
        <v>14</v>
      </c>
      <c r="D146" s="216" t="s">
        <v>20</v>
      </c>
      <c r="E146" s="82" t="s">
        <v>16</v>
      </c>
      <c r="F146" s="11">
        <f>AVERAGE(F144:F145)</f>
        <v>75</v>
      </c>
      <c r="G146" s="11">
        <f t="shared" ref="G146:W146" si="46">AVERAGE(G144:G145)</f>
        <v>81.5</v>
      </c>
      <c r="H146" s="11">
        <f t="shared" si="46"/>
        <v>83</v>
      </c>
      <c r="I146" s="11">
        <f t="shared" si="46"/>
        <v>77.5</v>
      </c>
      <c r="J146" s="11">
        <f t="shared" si="46"/>
        <v>77</v>
      </c>
      <c r="K146" s="11">
        <f t="shared" si="46"/>
        <v>65</v>
      </c>
      <c r="L146" s="11">
        <f t="shared" si="46"/>
        <v>60.5</v>
      </c>
      <c r="M146" s="11">
        <f t="shared" si="46"/>
        <v>70.5</v>
      </c>
      <c r="N146" s="11">
        <f t="shared" si="46"/>
        <v>77.5</v>
      </c>
      <c r="O146" s="11">
        <f t="shared" si="46"/>
        <v>81</v>
      </c>
      <c r="P146" s="11">
        <f t="shared" si="46"/>
        <v>76.5</v>
      </c>
      <c r="Q146" s="11">
        <f t="shared" si="46"/>
        <v>82.5</v>
      </c>
      <c r="R146" s="11">
        <f t="shared" si="46"/>
        <v>65</v>
      </c>
      <c r="S146" s="11">
        <f t="shared" si="46"/>
        <v>972.5</v>
      </c>
      <c r="T146" s="11">
        <f t="shared" si="46"/>
        <v>74.807692307692307</v>
      </c>
      <c r="U146" s="11">
        <f>'9A Sem avr'!$H$50</f>
        <v>29</v>
      </c>
      <c r="V146" s="11">
        <f t="shared" si="46"/>
        <v>0</v>
      </c>
      <c r="W146" s="11">
        <f t="shared" si="46"/>
        <v>0</v>
      </c>
    </row>
    <row r="147" spans="1:23" ht="18" customHeight="1" thickBot="1" x14ac:dyDescent="0.3">
      <c r="A147" s="220">
        <v>48</v>
      </c>
      <c r="B147" s="218"/>
      <c r="C147" s="213">
        <v>15</v>
      </c>
      <c r="D147" s="215" t="s">
        <v>23</v>
      </c>
      <c r="E147" s="21" t="s">
        <v>21</v>
      </c>
      <c r="F147" s="11">
        <f>'9A Sem 1'!E51</f>
        <v>85</v>
      </c>
      <c r="G147" s="11">
        <f>'9A Sem 1'!F51</f>
        <v>68</v>
      </c>
      <c r="H147" s="11">
        <f>'9A Sem 1'!G51</f>
        <v>39</v>
      </c>
      <c r="I147" s="11">
        <f>'9A Sem 1'!H51</f>
        <v>47</v>
      </c>
      <c r="J147" s="11">
        <f>'9A Sem 1'!I51</f>
        <v>62</v>
      </c>
      <c r="K147" s="11">
        <f>'9A Sem 1'!J51</f>
        <v>60</v>
      </c>
      <c r="L147" s="11">
        <f>'9A Sem 1'!K51</f>
        <v>83</v>
      </c>
      <c r="M147" s="11">
        <f>'9A Sem 1'!L51</f>
        <v>57</v>
      </c>
      <c r="N147" s="11">
        <f>'9A Sem 1'!M51</f>
        <v>90</v>
      </c>
      <c r="O147" s="11">
        <f>'9A Sem 1'!N51</f>
        <v>87</v>
      </c>
      <c r="P147" s="11">
        <f>'9A Sem 1'!O51</f>
        <v>70</v>
      </c>
      <c r="Q147" s="11">
        <f>'9A Sem 1'!P51</f>
        <v>92</v>
      </c>
      <c r="R147" s="11">
        <f>'9A Sem 1'!Q51</f>
        <v>84</v>
      </c>
      <c r="S147" s="11">
        <f>'9A Sem 1'!R51</f>
        <v>924</v>
      </c>
      <c r="T147" s="11">
        <f>'9A Sem 1'!S51</f>
        <v>71.07692307692308</v>
      </c>
      <c r="U147" s="11">
        <f>'9A Sem 1'!T51</f>
        <v>40</v>
      </c>
      <c r="V147" s="11">
        <f>'9A Sem 1'!U51</f>
        <v>0</v>
      </c>
      <c r="W147" s="11">
        <f>'9A Sem 1'!V51</f>
        <v>0</v>
      </c>
    </row>
    <row r="148" spans="1:23" ht="18" customHeight="1" thickBot="1" x14ac:dyDescent="0.3">
      <c r="A148" s="220"/>
      <c r="B148" s="218"/>
      <c r="C148" s="213">
        <v>15</v>
      </c>
      <c r="D148" s="215" t="s">
        <v>23</v>
      </c>
      <c r="E148" s="21" t="s">
        <v>22</v>
      </c>
      <c r="F148" s="11">
        <f>'9A Sem 2'!E51</f>
        <v>91</v>
      </c>
      <c r="G148" s="11">
        <f>'9A Sem 2'!F51</f>
        <v>69</v>
      </c>
      <c r="H148" s="11">
        <f>'9A Sem 2'!G51</f>
        <v>66</v>
      </c>
      <c r="I148" s="11">
        <f>'9A Sem 2'!H51</f>
        <v>62</v>
      </c>
      <c r="J148" s="11">
        <f>'9A Sem 2'!I51</f>
        <v>65</v>
      </c>
      <c r="K148" s="11">
        <f>'9A Sem 2'!J51</f>
        <v>87</v>
      </c>
      <c r="L148" s="11">
        <f>'9A Sem 2'!K51</f>
        <v>85</v>
      </c>
      <c r="M148" s="11">
        <f>'9A Sem 2'!L51</f>
        <v>81</v>
      </c>
      <c r="N148" s="11">
        <f>'9A Sem 2'!M51</f>
        <v>88</v>
      </c>
      <c r="O148" s="11">
        <f>'9A Sem 2'!N51</f>
        <v>85</v>
      </c>
      <c r="P148" s="11">
        <f>'9A Sem 2'!O51</f>
        <v>89</v>
      </c>
      <c r="Q148" s="11">
        <f>'9A Sem 2'!P51</f>
        <v>89</v>
      </c>
      <c r="R148" s="11">
        <f>'9A Sem 2'!Q51</f>
        <v>86</v>
      </c>
      <c r="S148" s="11">
        <f>'9A Sem 2'!R51</f>
        <v>1043</v>
      </c>
      <c r="T148" s="11">
        <f>'9A Sem 2'!S51</f>
        <v>80.230769230769226</v>
      </c>
      <c r="U148" s="11">
        <f>'9A Sem 2'!T51</f>
        <v>20</v>
      </c>
      <c r="V148" s="11">
        <f>'9A Sem 2'!U51</f>
        <v>0</v>
      </c>
      <c r="W148" s="11">
        <f>'9A Sem 2'!V51</f>
        <v>0</v>
      </c>
    </row>
    <row r="149" spans="1:23" ht="18" customHeight="1" thickBot="1" x14ac:dyDescent="0.3">
      <c r="A149" s="220"/>
      <c r="B149" s="219"/>
      <c r="C149" s="214">
        <v>15</v>
      </c>
      <c r="D149" s="216" t="s">
        <v>23</v>
      </c>
      <c r="E149" s="82" t="s">
        <v>16</v>
      </c>
      <c r="F149" s="11">
        <f>AVERAGE(F147:F148)</f>
        <v>88</v>
      </c>
      <c r="G149" s="11">
        <f t="shared" ref="G149:W149" si="47">AVERAGE(G147:G148)</f>
        <v>68.5</v>
      </c>
      <c r="H149" s="11">
        <f t="shared" si="47"/>
        <v>52.5</v>
      </c>
      <c r="I149" s="11">
        <f t="shared" si="47"/>
        <v>54.5</v>
      </c>
      <c r="J149" s="11">
        <f t="shared" si="47"/>
        <v>63.5</v>
      </c>
      <c r="K149" s="11">
        <f t="shared" si="47"/>
        <v>73.5</v>
      </c>
      <c r="L149" s="11">
        <f t="shared" si="47"/>
        <v>84</v>
      </c>
      <c r="M149" s="11">
        <f t="shared" si="47"/>
        <v>69</v>
      </c>
      <c r="N149" s="11">
        <f t="shared" si="47"/>
        <v>89</v>
      </c>
      <c r="O149" s="11">
        <f t="shared" si="47"/>
        <v>86</v>
      </c>
      <c r="P149" s="11">
        <f t="shared" si="47"/>
        <v>79.5</v>
      </c>
      <c r="Q149" s="11">
        <f t="shared" si="47"/>
        <v>90.5</v>
      </c>
      <c r="R149" s="11">
        <f t="shared" si="47"/>
        <v>85</v>
      </c>
      <c r="S149" s="11">
        <f t="shared" si="47"/>
        <v>983.5</v>
      </c>
      <c r="T149" s="11">
        <f t="shared" si="47"/>
        <v>75.65384615384616</v>
      </c>
      <c r="U149" s="11">
        <f>'9A Sem avr'!$H$51</f>
        <v>27</v>
      </c>
      <c r="V149" s="11">
        <f t="shared" si="47"/>
        <v>0</v>
      </c>
      <c r="W149" s="11">
        <f t="shared" si="47"/>
        <v>0</v>
      </c>
    </row>
    <row r="150" spans="1:23" ht="18" customHeight="1" thickBot="1" x14ac:dyDescent="0.3">
      <c r="A150" s="220">
        <v>49</v>
      </c>
      <c r="B150" s="218"/>
      <c r="C150" s="213">
        <v>15</v>
      </c>
      <c r="D150" s="215" t="s">
        <v>23</v>
      </c>
      <c r="E150" s="21" t="s">
        <v>21</v>
      </c>
      <c r="F150" s="11">
        <f>'9A Sem 1'!E52</f>
        <v>89</v>
      </c>
      <c r="G150" s="11">
        <f>'9A Sem 1'!F52</f>
        <v>81</v>
      </c>
      <c r="H150" s="11">
        <f>'9A Sem 1'!G52</f>
        <v>43</v>
      </c>
      <c r="I150" s="11">
        <f>'9A Sem 1'!H52</f>
        <v>57</v>
      </c>
      <c r="J150" s="11">
        <f>'9A Sem 1'!I52</f>
        <v>60</v>
      </c>
      <c r="K150" s="11">
        <f>'9A Sem 1'!J52</f>
        <v>68</v>
      </c>
      <c r="L150" s="11">
        <f>'9A Sem 1'!K52</f>
        <v>70</v>
      </c>
      <c r="M150" s="11">
        <f>'9A Sem 1'!L52</f>
        <v>66</v>
      </c>
      <c r="N150" s="11">
        <f>'9A Sem 1'!M52</f>
        <v>92</v>
      </c>
      <c r="O150" s="11">
        <f>'9A Sem 1'!N52</f>
        <v>76</v>
      </c>
      <c r="P150" s="11">
        <f>'9A Sem 1'!O52</f>
        <v>79</v>
      </c>
      <c r="Q150" s="11">
        <f>'9A Sem 1'!P52</f>
        <v>83</v>
      </c>
      <c r="R150" s="11">
        <f>'9A Sem 1'!Q52</f>
        <v>65</v>
      </c>
      <c r="S150" s="11">
        <f>'9A Sem 1'!R52</f>
        <v>929</v>
      </c>
      <c r="T150" s="11">
        <f>'9A Sem 1'!S52</f>
        <v>71.461538461538467</v>
      </c>
      <c r="U150" s="11">
        <f>'9A Sem 1'!T52</f>
        <v>38</v>
      </c>
      <c r="V150" s="11">
        <f>'9A Sem 1'!U52</f>
        <v>0</v>
      </c>
      <c r="W150" s="11">
        <f>'9A Sem 1'!V52</f>
        <v>0</v>
      </c>
    </row>
    <row r="151" spans="1:23" ht="18" customHeight="1" thickBot="1" x14ac:dyDescent="0.3">
      <c r="A151" s="220"/>
      <c r="B151" s="218"/>
      <c r="C151" s="213">
        <v>15</v>
      </c>
      <c r="D151" s="215" t="s">
        <v>23</v>
      </c>
      <c r="E151" s="21" t="s">
        <v>22</v>
      </c>
      <c r="F151" s="11">
        <f>'9A Sem 2'!E52</f>
        <v>86</v>
      </c>
      <c r="G151" s="11">
        <f>'9A Sem 2'!F52</f>
        <v>83</v>
      </c>
      <c r="H151" s="11">
        <f>'9A Sem 2'!G52</f>
        <v>52</v>
      </c>
      <c r="I151" s="11">
        <f>'9A Sem 2'!H52</f>
        <v>59</v>
      </c>
      <c r="J151" s="11">
        <f>'9A Sem 2'!I52</f>
        <v>63</v>
      </c>
      <c r="K151" s="11">
        <f>'9A Sem 2'!J52</f>
        <v>74</v>
      </c>
      <c r="L151" s="11">
        <f>'9A Sem 2'!K52</f>
        <v>76</v>
      </c>
      <c r="M151" s="11">
        <f>'9A Sem 2'!L52</f>
        <v>81</v>
      </c>
      <c r="N151" s="11">
        <f>'9A Sem 2'!M52</f>
        <v>85</v>
      </c>
      <c r="O151" s="11">
        <f>'9A Sem 2'!N52</f>
        <v>87</v>
      </c>
      <c r="P151" s="11">
        <f>'9A Sem 2'!O52</f>
        <v>79</v>
      </c>
      <c r="Q151" s="11">
        <f>'9A Sem 2'!P52</f>
        <v>84</v>
      </c>
      <c r="R151" s="11">
        <f>'9A Sem 2'!Q52</f>
        <v>68</v>
      </c>
      <c r="S151" s="11">
        <f>'9A Sem 2'!R52</f>
        <v>977</v>
      </c>
      <c r="T151" s="11">
        <f>'9A Sem 2'!S52</f>
        <v>75.15384615384616</v>
      </c>
      <c r="U151" s="11">
        <f>'9A Sem 2'!T52</f>
        <v>31</v>
      </c>
      <c r="V151" s="11">
        <f>'9A Sem 2'!U52</f>
        <v>0</v>
      </c>
      <c r="W151" s="11">
        <f>'9A Sem 2'!V52</f>
        <v>0</v>
      </c>
    </row>
    <row r="152" spans="1:23" ht="18" customHeight="1" thickBot="1" x14ac:dyDescent="0.3">
      <c r="A152" s="221"/>
      <c r="B152" s="219"/>
      <c r="C152" s="214">
        <v>15</v>
      </c>
      <c r="D152" s="216" t="s">
        <v>23</v>
      </c>
      <c r="E152" s="82" t="s">
        <v>16</v>
      </c>
      <c r="F152" s="11">
        <f>AVERAGE(F150:F151)</f>
        <v>87.5</v>
      </c>
      <c r="G152" s="11">
        <f t="shared" ref="G152:W152" si="48">AVERAGE(G150:G151)</f>
        <v>82</v>
      </c>
      <c r="H152" s="11">
        <f t="shared" si="48"/>
        <v>47.5</v>
      </c>
      <c r="I152" s="11">
        <f t="shared" si="48"/>
        <v>58</v>
      </c>
      <c r="J152" s="11">
        <f t="shared" si="48"/>
        <v>61.5</v>
      </c>
      <c r="K152" s="11">
        <f t="shared" si="48"/>
        <v>71</v>
      </c>
      <c r="L152" s="11">
        <f t="shared" si="48"/>
        <v>73</v>
      </c>
      <c r="M152" s="11">
        <f t="shared" si="48"/>
        <v>73.5</v>
      </c>
      <c r="N152" s="11">
        <f t="shared" si="48"/>
        <v>88.5</v>
      </c>
      <c r="O152" s="11">
        <f t="shared" si="48"/>
        <v>81.5</v>
      </c>
      <c r="P152" s="11">
        <f t="shared" si="48"/>
        <v>79</v>
      </c>
      <c r="Q152" s="11">
        <f t="shared" si="48"/>
        <v>83.5</v>
      </c>
      <c r="R152" s="11">
        <f t="shared" si="48"/>
        <v>66.5</v>
      </c>
      <c r="S152" s="11">
        <f t="shared" si="48"/>
        <v>953</v>
      </c>
      <c r="T152" s="11">
        <f t="shared" si="48"/>
        <v>73.307692307692321</v>
      </c>
      <c r="U152" s="11">
        <f>'9A Sem avr'!$H$52</f>
        <v>34</v>
      </c>
      <c r="V152" s="11">
        <f t="shared" si="48"/>
        <v>0</v>
      </c>
      <c r="W152" s="11">
        <f t="shared" si="48"/>
        <v>0</v>
      </c>
    </row>
    <row r="153" spans="1:23" ht="18" customHeight="1" thickBot="1" x14ac:dyDescent="0.3">
      <c r="A153" s="220">
        <v>50</v>
      </c>
      <c r="B153" s="218"/>
      <c r="C153" s="213">
        <v>15</v>
      </c>
      <c r="D153" s="215" t="s">
        <v>20</v>
      </c>
      <c r="E153" s="21" t="s">
        <v>21</v>
      </c>
      <c r="F153" s="11">
        <f>'9A Sem 1'!E53</f>
        <v>81</v>
      </c>
      <c r="G153" s="11">
        <f>'9A Sem 1'!F53</f>
        <v>66</v>
      </c>
      <c r="H153" s="11">
        <f>'9A Sem 1'!G53</f>
        <v>63</v>
      </c>
      <c r="I153" s="11">
        <f>'9A Sem 1'!H53</f>
        <v>59</v>
      </c>
      <c r="J153" s="11">
        <f>'9A Sem 1'!I53</f>
        <v>69</v>
      </c>
      <c r="K153" s="11">
        <f>'9A Sem 1'!J53</f>
        <v>58</v>
      </c>
      <c r="L153" s="11">
        <f>'9A Sem 1'!K53</f>
        <v>71</v>
      </c>
      <c r="M153" s="11">
        <f>'9A Sem 1'!L53</f>
        <v>55</v>
      </c>
      <c r="N153" s="11">
        <f>'9A Sem 1'!M53</f>
        <v>77</v>
      </c>
      <c r="O153" s="11">
        <f>'9A Sem 1'!N53</f>
        <v>83</v>
      </c>
      <c r="P153" s="11">
        <f>'9A Sem 1'!O53</f>
        <v>67</v>
      </c>
      <c r="Q153" s="11">
        <f>'9A Sem 1'!P53</f>
        <v>82</v>
      </c>
      <c r="R153" s="11">
        <f>'9A Sem 1'!Q53</f>
        <v>74</v>
      </c>
      <c r="S153" s="11">
        <f>'9A Sem 1'!R53</f>
        <v>905</v>
      </c>
      <c r="T153" s="11">
        <f>'9A Sem 1'!S53</f>
        <v>69.615384615384613</v>
      </c>
      <c r="U153" s="11">
        <f>'9A Sem 1'!T53</f>
        <v>42</v>
      </c>
      <c r="V153" s="11">
        <f>'9A Sem 1'!U53</f>
        <v>0</v>
      </c>
      <c r="W153" s="11">
        <f>'9A Sem 1'!V53</f>
        <v>0</v>
      </c>
    </row>
    <row r="154" spans="1:23" ht="18" customHeight="1" thickBot="1" x14ac:dyDescent="0.3">
      <c r="A154" s="220"/>
      <c r="B154" s="218"/>
      <c r="C154" s="213">
        <v>15</v>
      </c>
      <c r="D154" s="215" t="s">
        <v>20</v>
      </c>
      <c r="E154" s="21" t="s">
        <v>22</v>
      </c>
      <c r="F154" s="11">
        <f>'9A Sem 2'!E53</f>
        <v>85</v>
      </c>
      <c r="G154" s="11">
        <f>'9A Sem 2'!F53</f>
        <v>61</v>
      </c>
      <c r="H154" s="11">
        <f>'9A Sem 2'!G53</f>
        <v>54</v>
      </c>
      <c r="I154" s="11">
        <f>'9A Sem 2'!H53</f>
        <v>63</v>
      </c>
      <c r="J154" s="11">
        <f>'9A Sem 2'!I53</f>
        <v>55</v>
      </c>
      <c r="K154" s="11">
        <f>'9A Sem 2'!J53</f>
        <v>75</v>
      </c>
      <c r="L154" s="11">
        <f>'9A Sem 2'!K53</f>
        <v>75</v>
      </c>
      <c r="M154" s="11">
        <f>'9A Sem 2'!L53</f>
        <v>76</v>
      </c>
      <c r="N154" s="11">
        <f>'9A Sem 2'!M53</f>
        <v>61</v>
      </c>
      <c r="O154" s="11">
        <f>'9A Sem 2'!N53</f>
        <v>88</v>
      </c>
      <c r="P154" s="11">
        <f>'9A Sem 2'!O53</f>
        <v>65</v>
      </c>
      <c r="Q154" s="11">
        <f>'9A Sem 2'!P53</f>
        <v>86</v>
      </c>
      <c r="R154" s="11">
        <f>'9A Sem 2'!Q53</f>
        <v>65</v>
      </c>
      <c r="S154" s="11">
        <f>'9A Sem 2'!R53</f>
        <v>909</v>
      </c>
      <c r="T154" s="11">
        <f>'9A Sem 2'!S53</f>
        <v>69.92307692307692</v>
      </c>
      <c r="U154" s="11">
        <f>'9A Sem 2'!T53</f>
        <v>41</v>
      </c>
      <c r="V154" s="11">
        <f>'9A Sem 2'!U53</f>
        <v>0</v>
      </c>
      <c r="W154" s="11">
        <f>'9A Sem 2'!V53</f>
        <v>0</v>
      </c>
    </row>
    <row r="155" spans="1:23" ht="18" customHeight="1" thickBot="1" x14ac:dyDescent="0.3">
      <c r="A155" s="220"/>
      <c r="B155" s="219"/>
      <c r="C155" s="214">
        <v>15</v>
      </c>
      <c r="D155" s="216" t="s">
        <v>20</v>
      </c>
      <c r="E155" s="82" t="s">
        <v>16</v>
      </c>
      <c r="F155" s="11">
        <f>AVERAGE(F153:F154)</f>
        <v>83</v>
      </c>
      <c r="G155" s="11">
        <f t="shared" ref="G155:W155" si="49">AVERAGE(G153:G154)</f>
        <v>63.5</v>
      </c>
      <c r="H155" s="11">
        <f t="shared" si="49"/>
        <v>58.5</v>
      </c>
      <c r="I155" s="11">
        <f t="shared" si="49"/>
        <v>61</v>
      </c>
      <c r="J155" s="11">
        <f t="shared" si="49"/>
        <v>62</v>
      </c>
      <c r="K155" s="11">
        <f t="shared" si="49"/>
        <v>66.5</v>
      </c>
      <c r="L155" s="11">
        <f t="shared" si="49"/>
        <v>73</v>
      </c>
      <c r="M155" s="11">
        <f t="shared" si="49"/>
        <v>65.5</v>
      </c>
      <c r="N155" s="11">
        <f t="shared" si="49"/>
        <v>69</v>
      </c>
      <c r="O155" s="11">
        <f t="shared" si="49"/>
        <v>85.5</v>
      </c>
      <c r="P155" s="11">
        <f t="shared" si="49"/>
        <v>66</v>
      </c>
      <c r="Q155" s="11">
        <f t="shared" si="49"/>
        <v>84</v>
      </c>
      <c r="R155" s="11">
        <f t="shared" si="49"/>
        <v>69.5</v>
      </c>
      <c r="S155" s="11">
        <f t="shared" si="49"/>
        <v>907</v>
      </c>
      <c r="T155" s="11">
        <f t="shared" si="49"/>
        <v>69.769230769230774</v>
      </c>
      <c r="U155" s="11">
        <f>'9A Sem avr'!$H$53</f>
        <v>43</v>
      </c>
      <c r="V155" s="11">
        <f t="shared" si="49"/>
        <v>0</v>
      </c>
      <c r="W155" s="11">
        <f t="shared" si="49"/>
        <v>0</v>
      </c>
    </row>
    <row r="156" spans="1:23" ht="18" customHeight="1" thickBot="1" x14ac:dyDescent="0.3">
      <c r="A156" s="220">
        <v>51</v>
      </c>
      <c r="B156" s="218"/>
      <c r="C156" s="213">
        <v>14</v>
      </c>
      <c r="D156" s="215" t="s">
        <v>23</v>
      </c>
      <c r="E156" s="21" t="s">
        <v>21</v>
      </c>
      <c r="F156" s="11">
        <f>'9A Sem 1'!E54</f>
        <v>84</v>
      </c>
      <c r="G156" s="11">
        <f>'9A Sem 1'!F54</f>
        <v>78</v>
      </c>
      <c r="H156" s="11">
        <f>'9A Sem 1'!G54</f>
        <v>72</v>
      </c>
      <c r="I156" s="11">
        <f>'9A Sem 1'!H54</f>
        <v>67</v>
      </c>
      <c r="J156" s="11">
        <f>'9A Sem 1'!I54</f>
        <v>76</v>
      </c>
      <c r="K156" s="11">
        <f>'9A Sem 1'!J54</f>
        <v>74</v>
      </c>
      <c r="L156" s="11">
        <f>'9A Sem 1'!K54</f>
        <v>88</v>
      </c>
      <c r="M156" s="11">
        <f>'9A Sem 1'!L54</f>
        <v>69</v>
      </c>
      <c r="N156" s="11">
        <f>'9A Sem 1'!M54</f>
        <v>86</v>
      </c>
      <c r="O156" s="11">
        <f>'9A Sem 1'!N54</f>
        <v>81</v>
      </c>
      <c r="P156" s="11">
        <f>'9A Sem 1'!O54</f>
        <v>84</v>
      </c>
      <c r="Q156" s="11">
        <f>'9A Sem 1'!P54</f>
        <v>97</v>
      </c>
      <c r="R156" s="11">
        <f>'9A Sem 1'!Q54</f>
        <v>89</v>
      </c>
      <c r="S156" s="11">
        <f>'9A Sem 1'!R54</f>
        <v>1045</v>
      </c>
      <c r="T156" s="11">
        <f>'9A Sem 1'!S54</f>
        <v>80.384615384615387</v>
      </c>
      <c r="U156" s="11">
        <f>'9A Sem 1'!T54</f>
        <v>15</v>
      </c>
      <c r="V156" s="11">
        <f>'9A Sem 1'!U54</f>
        <v>0</v>
      </c>
      <c r="W156" s="11">
        <f>'9A Sem 1'!V54</f>
        <v>0</v>
      </c>
    </row>
    <row r="157" spans="1:23" ht="18" customHeight="1" thickBot="1" x14ac:dyDescent="0.3">
      <c r="A157" s="220"/>
      <c r="B157" s="218"/>
      <c r="C157" s="213">
        <v>14</v>
      </c>
      <c r="D157" s="215" t="s">
        <v>23</v>
      </c>
      <c r="E157" s="21" t="s">
        <v>22</v>
      </c>
      <c r="F157" s="11">
        <f>'9A Sem 2'!E54</f>
        <v>90</v>
      </c>
      <c r="G157" s="11">
        <f>'9A Sem 2'!F54</f>
        <v>73</v>
      </c>
      <c r="H157" s="11">
        <f>'9A Sem 2'!G54</f>
        <v>73</v>
      </c>
      <c r="I157" s="11">
        <f>'9A Sem 2'!H54</f>
        <v>76</v>
      </c>
      <c r="J157" s="11">
        <f>'9A Sem 2'!I54</f>
        <v>75</v>
      </c>
      <c r="K157" s="11">
        <f>'9A Sem 2'!J54</f>
        <v>85</v>
      </c>
      <c r="L157" s="11">
        <f>'9A Sem 2'!K54</f>
        <v>83</v>
      </c>
      <c r="M157" s="11">
        <f>'9A Sem 2'!L54</f>
        <v>82</v>
      </c>
      <c r="N157" s="11">
        <f>'9A Sem 2'!M54</f>
        <v>87</v>
      </c>
      <c r="O157" s="11">
        <f>'9A Sem 2'!N54</f>
        <v>92</v>
      </c>
      <c r="P157" s="11">
        <f>'9A Sem 2'!O54</f>
        <v>90</v>
      </c>
      <c r="Q157" s="11">
        <f>'9A Sem 2'!P54</f>
        <v>93</v>
      </c>
      <c r="R157" s="11">
        <f>'9A Sem 2'!Q54</f>
        <v>74</v>
      </c>
      <c r="S157" s="11">
        <f>'9A Sem 2'!R54</f>
        <v>1073</v>
      </c>
      <c r="T157" s="11">
        <f>'9A Sem 2'!S54</f>
        <v>82.538461538461533</v>
      </c>
      <c r="U157" s="11">
        <f>'9A Sem 2'!T54</f>
        <v>11</v>
      </c>
      <c r="V157" s="11">
        <f>'9A Sem 2'!U54</f>
        <v>0</v>
      </c>
      <c r="W157" s="11">
        <f>'9A Sem 2'!V54</f>
        <v>0</v>
      </c>
    </row>
    <row r="158" spans="1:23" ht="18" customHeight="1" thickBot="1" x14ac:dyDescent="0.3">
      <c r="A158" s="221"/>
      <c r="B158" s="219"/>
      <c r="C158" s="214">
        <v>14</v>
      </c>
      <c r="D158" s="216" t="s">
        <v>23</v>
      </c>
      <c r="E158" s="82" t="s">
        <v>16</v>
      </c>
      <c r="F158" s="11">
        <f>AVERAGE(F156:F157)</f>
        <v>87</v>
      </c>
      <c r="G158" s="11">
        <f t="shared" ref="G158:W158" si="50">AVERAGE(G156:G157)</f>
        <v>75.5</v>
      </c>
      <c r="H158" s="11">
        <f t="shared" si="50"/>
        <v>72.5</v>
      </c>
      <c r="I158" s="11">
        <f t="shared" si="50"/>
        <v>71.5</v>
      </c>
      <c r="J158" s="11">
        <f t="shared" si="50"/>
        <v>75.5</v>
      </c>
      <c r="K158" s="11">
        <f t="shared" si="50"/>
        <v>79.5</v>
      </c>
      <c r="L158" s="11">
        <f t="shared" si="50"/>
        <v>85.5</v>
      </c>
      <c r="M158" s="11">
        <f t="shared" si="50"/>
        <v>75.5</v>
      </c>
      <c r="N158" s="11">
        <f t="shared" si="50"/>
        <v>86.5</v>
      </c>
      <c r="O158" s="11">
        <f t="shared" si="50"/>
        <v>86.5</v>
      </c>
      <c r="P158" s="11">
        <f t="shared" si="50"/>
        <v>87</v>
      </c>
      <c r="Q158" s="11">
        <f t="shared" si="50"/>
        <v>95</v>
      </c>
      <c r="R158" s="11">
        <f t="shared" si="50"/>
        <v>81.5</v>
      </c>
      <c r="S158" s="11">
        <f t="shared" si="50"/>
        <v>1059</v>
      </c>
      <c r="T158" s="11">
        <f t="shared" si="50"/>
        <v>81.461538461538453</v>
      </c>
      <c r="U158" s="11">
        <f>'9A Sem avr'!$H$54</f>
        <v>13</v>
      </c>
      <c r="V158" s="11">
        <f t="shared" si="50"/>
        <v>0</v>
      </c>
      <c r="W158" s="11">
        <f t="shared" si="50"/>
        <v>0</v>
      </c>
    </row>
    <row r="159" spans="1:23" ht="18" customHeight="1" thickBot="1" x14ac:dyDescent="0.3">
      <c r="A159" s="220">
        <v>52</v>
      </c>
      <c r="B159" s="218"/>
      <c r="C159" s="213">
        <v>15</v>
      </c>
      <c r="D159" s="215" t="s">
        <v>23</v>
      </c>
      <c r="E159" s="21" t="s">
        <v>21</v>
      </c>
      <c r="F159" s="11">
        <f>'9A Sem 1'!E55</f>
        <v>88</v>
      </c>
      <c r="G159" s="11">
        <f>'9A Sem 1'!F55</f>
        <v>77</v>
      </c>
      <c r="H159" s="11">
        <f>'9A Sem 1'!G55</f>
        <v>61</v>
      </c>
      <c r="I159" s="11">
        <f>'9A Sem 1'!H55</f>
        <v>61</v>
      </c>
      <c r="J159" s="11">
        <f>'9A Sem 1'!I55</f>
        <v>64</v>
      </c>
      <c r="K159" s="11">
        <f>'9A Sem 1'!J55</f>
        <v>74</v>
      </c>
      <c r="L159" s="11">
        <f>'9A Sem 1'!K55</f>
        <v>84</v>
      </c>
      <c r="M159" s="11">
        <f>'9A Sem 1'!L55</f>
        <v>64</v>
      </c>
      <c r="N159" s="11">
        <f>'9A Sem 1'!M55</f>
        <v>83</v>
      </c>
      <c r="O159" s="11">
        <f>'9A Sem 1'!N55</f>
        <v>78</v>
      </c>
      <c r="P159" s="11">
        <f>'9A Sem 1'!O55</f>
        <v>75</v>
      </c>
      <c r="Q159" s="11">
        <f>'9A Sem 1'!P55</f>
        <v>96</v>
      </c>
      <c r="R159" s="11">
        <f>'9A Sem 1'!Q55</f>
        <v>78</v>
      </c>
      <c r="S159" s="11">
        <f>'9A Sem 1'!R55</f>
        <v>983</v>
      </c>
      <c r="T159" s="11">
        <f>'9A Sem 1'!S55</f>
        <v>75.615384615384613</v>
      </c>
      <c r="U159" s="11">
        <f>'9A Sem 1'!T55</f>
        <v>24</v>
      </c>
      <c r="V159" s="11">
        <f>'9A Sem 1'!U55</f>
        <v>0</v>
      </c>
      <c r="W159" s="11">
        <f>'9A Sem 1'!V55</f>
        <v>0</v>
      </c>
    </row>
    <row r="160" spans="1:23" ht="18" customHeight="1" thickBot="1" x14ac:dyDescent="0.3">
      <c r="A160" s="220"/>
      <c r="B160" s="218"/>
      <c r="C160" s="213">
        <v>15</v>
      </c>
      <c r="D160" s="215" t="s">
        <v>23</v>
      </c>
      <c r="E160" s="21" t="s">
        <v>22</v>
      </c>
      <c r="F160" s="11">
        <f>'9A Sem 2'!E55</f>
        <v>87</v>
      </c>
      <c r="G160" s="11">
        <f>'9A Sem 2'!F55</f>
        <v>70</v>
      </c>
      <c r="H160" s="11">
        <f>'9A Sem 2'!G55</f>
        <v>81</v>
      </c>
      <c r="I160" s="11">
        <f>'9A Sem 2'!H55</f>
        <v>82</v>
      </c>
      <c r="J160" s="11">
        <f>'9A Sem 2'!I55</f>
        <v>72</v>
      </c>
      <c r="K160" s="11">
        <f>'9A Sem 2'!J55</f>
        <v>79</v>
      </c>
      <c r="L160" s="11">
        <f>'9A Sem 2'!K55</f>
        <v>84</v>
      </c>
      <c r="M160" s="11">
        <f>'9A Sem 2'!L55</f>
        <v>89</v>
      </c>
      <c r="N160" s="11">
        <f>'9A Sem 2'!M55</f>
        <v>85</v>
      </c>
      <c r="O160" s="11">
        <f>'9A Sem 2'!N55</f>
        <v>83</v>
      </c>
      <c r="P160" s="11">
        <f>'9A Sem 2'!O55</f>
        <v>81</v>
      </c>
      <c r="Q160" s="11">
        <f>'9A Sem 2'!P55</f>
        <v>88</v>
      </c>
      <c r="R160" s="11">
        <f>'9A Sem 2'!Q55</f>
        <v>78</v>
      </c>
      <c r="S160" s="11">
        <f>'9A Sem 2'!R55</f>
        <v>1059</v>
      </c>
      <c r="T160" s="11">
        <f>'9A Sem 2'!S55</f>
        <v>81.461538461538467</v>
      </c>
      <c r="U160" s="11">
        <f>'9A Sem 2'!T55</f>
        <v>14</v>
      </c>
      <c r="V160" s="11">
        <f>'9A Sem 2'!U55</f>
        <v>0</v>
      </c>
      <c r="W160" s="11">
        <f>'9A Sem 2'!V55</f>
        <v>0</v>
      </c>
    </row>
    <row r="161" spans="1:23" ht="18" customHeight="1" thickBot="1" x14ac:dyDescent="0.3">
      <c r="A161" s="220"/>
      <c r="B161" s="219"/>
      <c r="C161" s="214">
        <v>15</v>
      </c>
      <c r="D161" s="216" t="s">
        <v>23</v>
      </c>
      <c r="E161" s="82" t="s">
        <v>16</v>
      </c>
      <c r="F161" s="11">
        <f>AVERAGE(F159:F160)</f>
        <v>87.5</v>
      </c>
      <c r="G161" s="11">
        <f t="shared" ref="G161:W161" si="51">AVERAGE(G159:G160)</f>
        <v>73.5</v>
      </c>
      <c r="H161" s="11">
        <f t="shared" si="51"/>
        <v>71</v>
      </c>
      <c r="I161" s="11">
        <f t="shared" si="51"/>
        <v>71.5</v>
      </c>
      <c r="J161" s="11">
        <f t="shared" si="51"/>
        <v>68</v>
      </c>
      <c r="K161" s="11">
        <f t="shared" si="51"/>
        <v>76.5</v>
      </c>
      <c r="L161" s="11">
        <f t="shared" si="51"/>
        <v>84</v>
      </c>
      <c r="M161" s="11">
        <f t="shared" si="51"/>
        <v>76.5</v>
      </c>
      <c r="N161" s="11">
        <f t="shared" si="51"/>
        <v>84</v>
      </c>
      <c r="O161" s="11">
        <f t="shared" si="51"/>
        <v>80.5</v>
      </c>
      <c r="P161" s="11">
        <f t="shared" si="51"/>
        <v>78</v>
      </c>
      <c r="Q161" s="11">
        <f t="shared" si="51"/>
        <v>92</v>
      </c>
      <c r="R161" s="11">
        <f t="shared" si="51"/>
        <v>78</v>
      </c>
      <c r="S161" s="11">
        <f t="shared" si="51"/>
        <v>1021</v>
      </c>
      <c r="T161" s="11">
        <f t="shared" si="51"/>
        <v>78.538461538461547</v>
      </c>
      <c r="U161" s="11">
        <f>'9A Sem avr'!$H$55</f>
        <v>20</v>
      </c>
      <c r="V161" s="11">
        <f t="shared" si="51"/>
        <v>0</v>
      </c>
      <c r="W161" s="11">
        <f t="shared" si="51"/>
        <v>0</v>
      </c>
    </row>
    <row r="162" spans="1:23" ht="18" customHeight="1" thickBot="1" x14ac:dyDescent="0.3">
      <c r="A162" s="220">
        <v>53</v>
      </c>
      <c r="B162" s="218"/>
      <c r="C162" s="213">
        <v>16</v>
      </c>
      <c r="D162" s="215" t="s">
        <v>20</v>
      </c>
      <c r="E162" s="21" t="s">
        <v>21</v>
      </c>
      <c r="F162" s="11">
        <f>'9A Sem 1'!E56</f>
        <v>83</v>
      </c>
      <c r="G162" s="11">
        <f>'9A Sem 1'!F56</f>
        <v>65</v>
      </c>
      <c r="H162" s="11">
        <f>'9A Sem 1'!G56</f>
        <v>63</v>
      </c>
      <c r="I162" s="11">
        <f>'9A Sem 1'!H56</f>
        <v>66</v>
      </c>
      <c r="J162" s="11">
        <f>'9A Sem 1'!I56</f>
        <v>58</v>
      </c>
      <c r="K162" s="11">
        <f>'9A Sem 1'!J56</f>
        <v>62</v>
      </c>
      <c r="L162" s="11">
        <f>'9A Sem 1'!K56</f>
        <v>84</v>
      </c>
      <c r="M162" s="11">
        <f>'9A Sem 1'!L56</f>
        <v>67</v>
      </c>
      <c r="N162" s="11">
        <f>'9A Sem 1'!M56</f>
        <v>74</v>
      </c>
      <c r="O162" s="11">
        <f>'9A Sem 1'!N56</f>
        <v>77</v>
      </c>
      <c r="P162" s="11">
        <f>'9A Sem 1'!O56</f>
        <v>72</v>
      </c>
      <c r="Q162" s="11">
        <f>'9A Sem 1'!P56</f>
        <v>94</v>
      </c>
      <c r="R162" s="11">
        <f>'9A Sem 1'!Q56</f>
        <v>81</v>
      </c>
      <c r="S162" s="11">
        <f>'9A Sem 1'!R56</f>
        <v>946</v>
      </c>
      <c r="T162" s="11">
        <f>'9A Sem 1'!S56</f>
        <v>72.769230769230774</v>
      </c>
      <c r="U162" s="11">
        <f>'9A Sem 1'!T56</f>
        <v>34</v>
      </c>
      <c r="V162" s="11">
        <f>'9A Sem 1'!U56</f>
        <v>0</v>
      </c>
      <c r="W162" s="11">
        <f>'9A Sem 1'!V56</f>
        <v>0</v>
      </c>
    </row>
    <row r="163" spans="1:23" ht="18" customHeight="1" thickBot="1" x14ac:dyDescent="0.3">
      <c r="A163" s="220"/>
      <c r="B163" s="218"/>
      <c r="C163" s="213">
        <v>16</v>
      </c>
      <c r="D163" s="215" t="s">
        <v>20</v>
      </c>
      <c r="E163" s="21" t="s">
        <v>22</v>
      </c>
      <c r="F163" s="11">
        <f>'9A Sem 2'!E56</f>
        <v>82</v>
      </c>
      <c r="G163" s="11">
        <f>'9A Sem 2'!F56</f>
        <v>64</v>
      </c>
      <c r="H163" s="11">
        <f>'9A Sem 2'!G56</f>
        <v>70</v>
      </c>
      <c r="I163" s="11">
        <f>'9A Sem 2'!H56</f>
        <v>63</v>
      </c>
      <c r="J163" s="11">
        <f>'9A Sem 2'!I56</f>
        <v>65</v>
      </c>
      <c r="K163" s="11">
        <f>'9A Sem 2'!J56</f>
        <v>67</v>
      </c>
      <c r="L163" s="11">
        <f>'9A Sem 2'!K56</f>
        <v>84</v>
      </c>
      <c r="M163" s="11">
        <f>'9A Sem 2'!L56</f>
        <v>77</v>
      </c>
      <c r="N163" s="11">
        <f>'9A Sem 2'!M56</f>
        <v>66</v>
      </c>
      <c r="O163" s="11">
        <f>'9A Sem 2'!N56</f>
        <v>87</v>
      </c>
      <c r="P163" s="11">
        <f>'9A Sem 2'!O56</f>
        <v>62</v>
      </c>
      <c r="Q163" s="11">
        <f>'9A Sem 2'!P56</f>
        <v>90</v>
      </c>
      <c r="R163" s="11">
        <f>'9A Sem 2'!Q56</f>
        <v>68</v>
      </c>
      <c r="S163" s="11">
        <f>'9A Sem 2'!R56</f>
        <v>945</v>
      </c>
      <c r="T163" s="11">
        <f>'9A Sem 2'!S56</f>
        <v>72.692307692307693</v>
      </c>
      <c r="U163" s="11">
        <f>'9A Sem 2'!T56</f>
        <v>36</v>
      </c>
      <c r="V163" s="11">
        <f>'9A Sem 2'!U56</f>
        <v>0</v>
      </c>
      <c r="W163" s="11">
        <f>'9A Sem 2'!V56</f>
        <v>0</v>
      </c>
    </row>
    <row r="164" spans="1:23" ht="18" customHeight="1" thickBot="1" x14ac:dyDescent="0.3">
      <c r="A164" s="221"/>
      <c r="B164" s="219"/>
      <c r="C164" s="214">
        <v>16</v>
      </c>
      <c r="D164" s="216" t="s">
        <v>20</v>
      </c>
      <c r="E164" s="82" t="s">
        <v>16</v>
      </c>
      <c r="F164" s="11">
        <f>AVERAGE(F162:F163)</f>
        <v>82.5</v>
      </c>
      <c r="G164" s="11">
        <f t="shared" ref="G164:W164" si="52">AVERAGE(G162:G163)</f>
        <v>64.5</v>
      </c>
      <c r="H164" s="11">
        <f t="shared" si="52"/>
        <v>66.5</v>
      </c>
      <c r="I164" s="11">
        <f t="shared" si="52"/>
        <v>64.5</v>
      </c>
      <c r="J164" s="11">
        <f t="shared" si="52"/>
        <v>61.5</v>
      </c>
      <c r="K164" s="11">
        <f t="shared" si="52"/>
        <v>64.5</v>
      </c>
      <c r="L164" s="11">
        <f t="shared" si="52"/>
        <v>84</v>
      </c>
      <c r="M164" s="11">
        <f t="shared" si="52"/>
        <v>72</v>
      </c>
      <c r="N164" s="11">
        <f t="shared" si="52"/>
        <v>70</v>
      </c>
      <c r="O164" s="11">
        <f t="shared" si="52"/>
        <v>82</v>
      </c>
      <c r="P164" s="11">
        <f t="shared" si="52"/>
        <v>67</v>
      </c>
      <c r="Q164" s="11">
        <f t="shared" si="52"/>
        <v>92</v>
      </c>
      <c r="R164" s="11">
        <f t="shared" si="52"/>
        <v>74.5</v>
      </c>
      <c r="S164" s="11">
        <f t="shared" si="52"/>
        <v>945.5</v>
      </c>
      <c r="T164" s="11">
        <f t="shared" si="52"/>
        <v>72.730769230769226</v>
      </c>
      <c r="U164" s="11">
        <f>'9A Sem avr'!$H$56</f>
        <v>35</v>
      </c>
      <c r="V164" s="11">
        <f t="shared" si="52"/>
        <v>0</v>
      </c>
      <c r="W164" s="11">
        <f t="shared" si="52"/>
        <v>0</v>
      </c>
    </row>
    <row r="165" spans="1:23" ht="18" customHeight="1" thickBot="1" x14ac:dyDescent="0.3">
      <c r="A165" s="220">
        <v>54</v>
      </c>
      <c r="B165" s="218"/>
      <c r="C165" s="213">
        <v>15</v>
      </c>
      <c r="D165" s="215" t="s">
        <v>20</v>
      </c>
      <c r="E165" s="21" t="s">
        <v>21</v>
      </c>
      <c r="F165" s="11">
        <f>'9A Sem 1'!E57</f>
        <v>87</v>
      </c>
      <c r="G165" s="11">
        <f>'9A Sem 1'!F57</f>
        <v>75</v>
      </c>
      <c r="H165" s="11">
        <f>'9A Sem 1'!G57</f>
        <v>67</v>
      </c>
      <c r="I165" s="11">
        <f>'9A Sem 1'!H57</f>
        <v>69</v>
      </c>
      <c r="J165" s="11">
        <f>'9A Sem 1'!I57</f>
        <v>76</v>
      </c>
      <c r="K165" s="11">
        <f>'9A Sem 1'!J57</f>
        <v>67</v>
      </c>
      <c r="L165" s="11">
        <f>'9A Sem 1'!K57</f>
        <v>84</v>
      </c>
      <c r="M165" s="11">
        <f>'9A Sem 1'!L57</f>
        <v>74</v>
      </c>
      <c r="N165" s="11">
        <f>'9A Sem 1'!M57</f>
        <v>81</v>
      </c>
      <c r="O165" s="11">
        <f>'9A Sem 1'!N57</f>
        <v>82</v>
      </c>
      <c r="P165" s="11">
        <f>'9A Sem 1'!O57</f>
        <v>75</v>
      </c>
      <c r="Q165" s="11">
        <f>'9A Sem 1'!P57</f>
        <v>84</v>
      </c>
      <c r="R165" s="11">
        <f>'9A Sem 1'!Q57</f>
        <v>92</v>
      </c>
      <c r="S165" s="11">
        <f>'9A Sem 1'!R57</f>
        <v>1013</v>
      </c>
      <c r="T165" s="11">
        <f>'9A Sem 1'!S57</f>
        <v>77.92307692307692</v>
      </c>
      <c r="U165" s="11">
        <f>'9A Sem 1'!T57</f>
        <v>18</v>
      </c>
      <c r="V165" s="11">
        <f>'9A Sem 1'!U57</f>
        <v>0</v>
      </c>
      <c r="W165" s="11">
        <f>'9A Sem 1'!V57</f>
        <v>0</v>
      </c>
    </row>
    <row r="166" spans="1:23" ht="18" customHeight="1" thickBot="1" x14ac:dyDescent="0.3">
      <c r="A166" s="220"/>
      <c r="B166" s="218"/>
      <c r="C166" s="213">
        <v>15</v>
      </c>
      <c r="D166" s="215" t="s">
        <v>20</v>
      </c>
      <c r="E166" s="21" t="s">
        <v>22</v>
      </c>
      <c r="F166" s="11">
        <f>'9A Sem 2'!E57</f>
        <v>86</v>
      </c>
      <c r="G166" s="11">
        <f>'9A Sem 2'!F57</f>
        <v>71</v>
      </c>
      <c r="H166" s="11">
        <f>'9A Sem 2'!G57</f>
        <v>79</v>
      </c>
      <c r="I166" s="11">
        <f>'9A Sem 2'!H57</f>
        <v>77</v>
      </c>
      <c r="J166" s="11">
        <f>'9A Sem 2'!I57</f>
        <v>81</v>
      </c>
      <c r="K166" s="11">
        <f>'9A Sem 2'!J57</f>
        <v>95</v>
      </c>
      <c r="L166" s="11">
        <f>'9A Sem 2'!K57</f>
        <v>96</v>
      </c>
      <c r="M166" s="11">
        <f>'9A Sem 2'!L57</f>
        <v>87</v>
      </c>
      <c r="N166" s="11">
        <f>'9A Sem 2'!M57</f>
        <v>73</v>
      </c>
      <c r="O166" s="11">
        <f>'9A Sem 2'!N57</f>
        <v>83</v>
      </c>
      <c r="P166" s="11">
        <f>'9A Sem 2'!O57</f>
        <v>80</v>
      </c>
      <c r="Q166" s="11">
        <f>'9A Sem 2'!P57</f>
        <v>94</v>
      </c>
      <c r="R166" s="11">
        <f>'9A Sem 2'!Q57</f>
        <v>79</v>
      </c>
      <c r="S166" s="11">
        <f>'9A Sem 2'!R57</f>
        <v>1081</v>
      </c>
      <c r="T166" s="11">
        <f>'9A Sem 2'!S57</f>
        <v>83.15384615384616</v>
      </c>
      <c r="U166" s="11">
        <f>'9A Sem 2'!T57</f>
        <v>9</v>
      </c>
      <c r="V166" s="11">
        <f>'9A Sem 2'!U57</f>
        <v>0</v>
      </c>
      <c r="W166" s="11">
        <f>'9A Sem 2'!V57</f>
        <v>0</v>
      </c>
    </row>
    <row r="167" spans="1:23" ht="18" customHeight="1" thickBot="1" x14ac:dyDescent="0.3">
      <c r="A167" s="220"/>
      <c r="B167" s="219"/>
      <c r="C167" s="214">
        <v>15</v>
      </c>
      <c r="D167" s="216" t="s">
        <v>20</v>
      </c>
      <c r="E167" s="82" t="s">
        <v>16</v>
      </c>
      <c r="F167" s="11">
        <f>AVERAGE(F165:F166)</f>
        <v>86.5</v>
      </c>
      <c r="G167" s="11">
        <f t="shared" ref="G167:W167" si="53">AVERAGE(G165:G166)</f>
        <v>73</v>
      </c>
      <c r="H167" s="11">
        <f t="shared" si="53"/>
        <v>73</v>
      </c>
      <c r="I167" s="11">
        <f t="shared" si="53"/>
        <v>73</v>
      </c>
      <c r="J167" s="11">
        <f t="shared" si="53"/>
        <v>78.5</v>
      </c>
      <c r="K167" s="11">
        <f t="shared" si="53"/>
        <v>81</v>
      </c>
      <c r="L167" s="11">
        <f t="shared" si="53"/>
        <v>90</v>
      </c>
      <c r="M167" s="11">
        <f t="shared" si="53"/>
        <v>80.5</v>
      </c>
      <c r="N167" s="11">
        <f t="shared" si="53"/>
        <v>77</v>
      </c>
      <c r="O167" s="11">
        <f t="shared" si="53"/>
        <v>82.5</v>
      </c>
      <c r="P167" s="11">
        <f t="shared" si="53"/>
        <v>77.5</v>
      </c>
      <c r="Q167" s="11">
        <f t="shared" si="53"/>
        <v>89</v>
      </c>
      <c r="R167" s="11">
        <f t="shared" si="53"/>
        <v>85.5</v>
      </c>
      <c r="S167" s="11">
        <f t="shared" si="53"/>
        <v>1047</v>
      </c>
      <c r="T167" s="11">
        <f t="shared" si="53"/>
        <v>80.538461538461547</v>
      </c>
      <c r="U167" s="11">
        <f>'9A Sem avr'!$H$57</f>
        <v>16</v>
      </c>
      <c r="V167" s="11">
        <f t="shared" si="53"/>
        <v>0</v>
      </c>
      <c r="W167" s="11">
        <f t="shared" si="53"/>
        <v>0</v>
      </c>
    </row>
    <row r="168" spans="1:23" ht="18" customHeight="1" thickBot="1" x14ac:dyDescent="0.3">
      <c r="A168" s="220">
        <v>55</v>
      </c>
      <c r="B168" s="218"/>
      <c r="C168" s="213">
        <v>15</v>
      </c>
      <c r="D168" s="217" t="s">
        <v>23</v>
      </c>
      <c r="E168" s="21" t="s">
        <v>21</v>
      </c>
      <c r="F168" s="11">
        <f>'9A Sem 1'!E58</f>
        <v>90</v>
      </c>
      <c r="G168" s="11">
        <f>'9A Sem 1'!F58</f>
        <v>93</v>
      </c>
      <c r="H168" s="11">
        <f>'9A Sem 1'!G58</f>
        <v>95</v>
      </c>
      <c r="I168" s="11">
        <f>'9A Sem 1'!H58</f>
        <v>97</v>
      </c>
      <c r="J168" s="11">
        <f>'9A Sem 1'!I58</f>
        <v>97</v>
      </c>
      <c r="K168" s="11">
        <f>'9A Sem 1'!J58</f>
        <v>97</v>
      </c>
      <c r="L168" s="11">
        <f>'9A Sem 1'!K58</f>
        <v>92</v>
      </c>
      <c r="M168" s="11">
        <f>'9A Sem 1'!L58</f>
        <v>95</v>
      </c>
      <c r="N168" s="11">
        <f>'9A Sem 1'!M58</f>
        <v>99</v>
      </c>
      <c r="O168" s="11">
        <f>'9A Sem 1'!N58</f>
        <v>88</v>
      </c>
      <c r="P168" s="11">
        <f>'9A Sem 1'!O58</f>
        <v>95</v>
      </c>
      <c r="Q168" s="11">
        <f>'9A Sem 1'!P58</f>
        <v>98</v>
      </c>
      <c r="R168" s="11">
        <f>'9A Sem 1'!Q58</f>
        <v>93</v>
      </c>
      <c r="S168" s="11">
        <f>'9A Sem 1'!R58</f>
        <v>1229</v>
      </c>
      <c r="T168" s="11">
        <f>'9A Sem 1'!S58</f>
        <v>94.538461538461533</v>
      </c>
      <c r="U168" s="11">
        <f>'9A Sem 1'!T58</f>
        <v>1</v>
      </c>
      <c r="V168" s="11">
        <f>'9A Sem 1'!U58</f>
        <v>0</v>
      </c>
      <c r="W168" s="11">
        <f>'9A Sem 1'!V58</f>
        <v>0</v>
      </c>
    </row>
    <row r="169" spans="1:23" ht="18" customHeight="1" thickBot="1" x14ac:dyDescent="0.3">
      <c r="A169" s="220"/>
      <c r="B169" s="218"/>
      <c r="C169" s="213">
        <v>15</v>
      </c>
      <c r="D169" s="217" t="s">
        <v>23</v>
      </c>
      <c r="E169" s="21" t="s">
        <v>22</v>
      </c>
      <c r="F169" s="11">
        <f>'9A Sem 2'!E58</f>
        <v>95</v>
      </c>
      <c r="G169" s="11">
        <f>'9A Sem 2'!F58</f>
        <v>92</v>
      </c>
      <c r="H169" s="11">
        <f>'9A Sem 2'!G58</f>
        <v>99</v>
      </c>
      <c r="I169" s="11">
        <f>'9A Sem 2'!H58</f>
        <v>100</v>
      </c>
      <c r="J169" s="11">
        <f>'9A Sem 2'!I58</f>
        <v>100</v>
      </c>
      <c r="K169" s="11">
        <f>'9A Sem 2'!J58</f>
        <v>100</v>
      </c>
      <c r="L169" s="11">
        <f>'9A Sem 2'!K58</f>
        <v>96</v>
      </c>
      <c r="M169" s="11">
        <f>'9A Sem 2'!L58</f>
        <v>99</v>
      </c>
      <c r="N169" s="11">
        <f>'9A Sem 2'!M58</f>
        <v>94</v>
      </c>
      <c r="O169" s="11">
        <f>'9A Sem 2'!N58</f>
        <v>94</v>
      </c>
      <c r="P169" s="11">
        <f>'9A Sem 2'!O58</f>
        <v>99</v>
      </c>
      <c r="Q169" s="11">
        <f>'9A Sem 2'!P58</f>
        <v>89</v>
      </c>
      <c r="R169" s="11">
        <f>'9A Sem 2'!Q58</f>
        <v>89</v>
      </c>
      <c r="S169" s="11">
        <f>'9A Sem 2'!R58</f>
        <v>1246</v>
      </c>
      <c r="T169" s="11">
        <f>'9A Sem 2'!S58</f>
        <v>95.84615384615384</v>
      </c>
      <c r="U169" s="11">
        <f>'9A Sem 2'!T58</f>
        <v>1</v>
      </c>
      <c r="V169" s="11">
        <f>'9A Sem 2'!U58</f>
        <v>0</v>
      </c>
      <c r="W169" s="11">
        <f>'9A Sem 2'!V58</f>
        <v>0</v>
      </c>
    </row>
    <row r="170" spans="1:23" ht="18" customHeight="1" thickBot="1" x14ac:dyDescent="0.3">
      <c r="A170" s="220"/>
      <c r="B170" s="218"/>
      <c r="C170" s="213">
        <v>15</v>
      </c>
      <c r="D170" s="217" t="s">
        <v>23</v>
      </c>
      <c r="E170" s="21" t="s">
        <v>16</v>
      </c>
      <c r="F170" s="11">
        <f>AVERAGE(F168:F169)</f>
        <v>92.5</v>
      </c>
      <c r="G170" s="11">
        <f t="shared" ref="G170:W170" si="54">AVERAGE(G168:G169)</f>
        <v>92.5</v>
      </c>
      <c r="H170" s="11">
        <f t="shared" si="54"/>
        <v>97</v>
      </c>
      <c r="I170" s="11">
        <f t="shared" si="54"/>
        <v>98.5</v>
      </c>
      <c r="J170" s="11">
        <f t="shared" si="54"/>
        <v>98.5</v>
      </c>
      <c r="K170" s="11">
        <f t="shared" si="54"/>
        <v>98.5</v>
      </c>
      <c r="L170" s="11">
        <f t="shared" si="54"/>
        <v>94</v>
      </c>
      <c r="M170" s="11">
        <f t="shared" si="54"/>
        <v>97</v>
      </c>
      <c r="N170" s="11">
        <f t="shared" si="54"/>
        <v>96.5</v>
      </c>
      <c r="O170" s="11">
        <f t="shared" si="54"/>
        <v>91</v>
      </c>
      <c r="P170" s="11">
        <f t="shared" si="54"/>
        <v>97</v>
      </c>
      <c r="Q170" s="11">
        <f t="shared" si="54"/>
        <v>93.5</v>
      </c>
      <c r="R170" s="11">
        <f t="shared" si="54"/>
        <v>91</v>
      </c>
      <c r="S170" s="11">
        <f t="shared" si="54"/>
        <v>1237.5</v>
      </c>
      <c r="T170" s="11">
        <f t="shared" si="54"/>
        <v>95.192307692307679</v>
      </c>
      <c r="U170" s="11">
        <f>'9A Sem avr'!$H$58</f>
        <v>1</v>
      </c>
      <c r="V170" s="11">
        <f t="shared" si="54"/>
        <v>0</v>
      </c>
      <c r="W170" s="11">
        <f t="shared" si="54"/>
        <v>0</v>
      </c>
    </row>
    <row r="171" spans="1:23" ht="18" customHeight="1" x14ac:dyDescent="0.25">
      <c r="A171" s="7"/>
      <c r="C171"/>
      <c r="D171"/>
    </row>
    <row r="172" spans="1:23" ht="18" customHeight="1" x14ac:dyDescent="0.25">
      <c r="A172" s="7"/>
      <c r="C172" s="8"/>
      <c r="D172" s="8"/>
    </row>
    <row r="173" spans="1:23" ht="18" customHeight="1" x14ac:dyDescent="0.25">
      <c r="A173" s="7"/>
      <c r="B173" s="8"/>
      <c r="C173" s="8"/>
      <c r="D173" s="8"/>
    </row>
    <row r="174" spans="1:23" ht="18" customHeight="1" x14ac:dyDescent="0.25">
      <c r="A174" s="7"/>
      <c r="B174" s="8"/>
      <c r="C174" s="8"/>
      <c r="D174" s="8"/>
    </row>
    <row r="175" spans="1:23" ht="18" customHeight="1" x14ac:dyDescent="0.25">
      <c r="A175" s="7"/>
      <c r="B175" s="8"/>
      <c r="C175" s="8"/>
      <c r="D175" s="8"/>
    </row>
    <row r="176" spans="1:23" ht="19.5" customHeight="1" x14ac:dyDescent="0.25">
      <c r="A176" s="7"/>
      <c r="B176" s="8"/>
      <c r="C176" s="8"/>
      <c r="D176" s="8"/>
    </row>
    <row r="177" spans="1:5" ht="18.75" customHeight="1" x14ac:dyDescent="0.25">
      <c r="A177" s="7"/>
      <c r="B177" s="8"/>
      <c r="C177" s="8"/>
      <c r="D177" s="8"/>
    </row>
    <row r="178" spans="1:5" ht="18" customHeight="1" x14ac:dyDescent="0.25">
      <c r="A178" s="7"/>
      <c r="B178" s="8"/>
      <c r="C178" s="8"/>
      <c r="D178" s="8"/>
    </row>
    <row r="179" spans="1:5" ht="18" customHeight="1" x14ac:dyDescent="0.25">
      <c r="A179" s="7"/>
      <c r="B179" s="8"/>
      <c r="C179" s="8"/>
      <c r="D179" s="8"/>
    </row>
    <row r="180" spans="1:5" ht="18" customHeight="1" x14ac:dyDescent="0.25">
      <c r="A180" s="7"/>
      <c r="B180" s="8"/>
      <c r="C180" s="8"/>
      <c r="D180" s="8"/>
    </row>
    <row r="181" spans="1:5" ht="18" customHeight="1" x14ac:dyDescent="0.25">
      <c r="A181" s="7"/>
      <c r="B181" s="8"/>
      <c r="C181" s="8"/>
      <c r="D181" s="8"/>
    </row>
    <row r="182" spans="1:5" ht="18" customHeight="1" x14ac:dyDescent="0.25">
      <c r="A182" s="7"/>
      <c r="B182" s="8"/>
      <c r="C182" s="8"/>
      <c r="D182" s="8"/>
    </row>
    <row r="183" spans="1:5" ht="18" customHeight="1" x14ac:dyDescent="0.25">
      <c r="B183" s="8"/>
      <c r="C183" s="8"/>
      <c r="D183" s="8"/>
    </row>
    <row r="184" spans="1:5" ht="18" customHeight="1" x14ac:dyDescent="0.25">
      <c r="B184" s="8"/>
      <c r="C184" s="8"/>
      <c r="D184" s="8"/>
    </row>
    <row r="185" spans="1:5" ht="18" customHeight="1" x14ac:dyDescent="0.25">
      <c r="A185" s="6"/>
      <c r="B185" s="8"/>
      <c r="C185" s="8"/>
      <c r="D185" s="8"/>
    </row>
    <row r="186" spans="1:5" ht="18" customHeight="1" x14ac:dyDescent="0.25">
      <c r="A186" s="6"/>
      <c r="B186" s="8"/>
      <c r="C186"/>
      <c r="D186"/>
    </row>
    <row r="187" spans="1:5" ht="18" customHeight="1" x14ac:dyDescent="0.25">
      <c r="A187" s="6"/>
      <c r="C187"/>
      <c r="D187"/>
    </row>
    <row r="188" spans="1:5" ht="18" customHeight="1" x14ac:dyDescent="0.25">
      <c r="A188" s="6"/>
      <c r="C188" s="5"/>
      <c r="D188" s="5"/>
      <c r="E188" s="5"/>
    </row>
    <row r="189" spans="1:5" ht="18" customHeight="1" x14ac:dyDescent="0.25">
      <c r="A189" s="6"/>
      <c r="B189" s="5"/>
      <c r="C189" s="5"/>
      <c r="D189" s="5"/>
      <c r="E189" s="5"/>
    </row>
    <row r="190" spans="1:5" ht="18" customHeight="1" x14ac:dyDescent="0.25">
      <c r="A190" s="6"/>
      <c r="B190" s="5"/>
      <c r="C190" s="5"/>
      <c r="D190" s="5"/>
      <c r="E190" s="5"/>
    </row>
    <row r="191" spans="1:5" ht="18" customHeight="1" x14ac:dyDescent="0.25">
      <c r="A191" s="6"/>
      <c r="B191" s="5"/>
      <c r="C191" s="5"/>
      <c r="D191" s="5"/>
      <c r="E191" s="5"/>
    </row>
    <row r="192" spans="1:5" ht="18" customHeight="1" x14ac:dyDescent="0.25">
      <c r="A192" s="6"/>
      <c r="B192" s="5"/>
      <c r="C192" s="5"/>
      <c r="D192" s="5"/>
      <c r="E192" s="5"/>
    </row>
    <row r="193" spans="1:5" ht="18" customHeight="1" x14ac:dyDescent="0.25">
      <c r="A193" s="6"/>
      <c r="B193" s="5"/>
      <c r="C193" s="5"/>
      <c r="D193" s="5"/>
      <c r="E193" s="5"/>
    </row>
    <row r="194" spans="1:5" ht="18" customHeight="1" x14ac:dyDescent="0.25">
      <c r="A194" s="6"/>
      <c r="B194" s="5"/>
      <c r="C194" s="5"/>
      <c r="D194" s="5"/>
      <c r="E194" s="5"/>
    </row>
    <row r="195" spans="1:5" ht="18" customHeight="1" x14ac:dyDescent="0.25">
      <c r="A195" s="6"/>
      <c r="B195" s="5"/>
      <c r="C195" s="5"/>
      <c r="D195" s="5"/>
      <c r="E195" s="5"/>
    </row>
    <row r="196" spans="1:5" ht="18" customHeight="1" x14ac:dyDescent="0.25">
      <c r="A196" s="6"/>
      <c r="B196" s="5"/>
      <c r="C196" s="5"/>
      <c r="D196" s="5"/>
      <c r="E196" s="5"/>
    </row>
    <row r="197" spans="1:5" ht="18" customHeight="1" x14ac:dyDescent="0.25">
      <c r="A197" s="6"/>
      <c r="B197" s="5"/>
      <c r="C197" s="5"/>
      <c r="D197" s="5"/>
      <c r="E197" s="5"/>
    </row>
    <row r="198" spans="1:5" ht="18" customHeight="1" x14ac:dyDescent="0.25">
      <c r="A198" s="6"/>
      <c r="B198" s="5"/>
      <c r="C198" s="5"/>
      <c r="D198" s="5"/>
      <c r="E198" s="5"/>
    </row>
    <row r="199" spans="1:5" ht="18" customHeight="1" x14ac:dyDescent="0.25">
      <c r="A199" s="6"/>
      <c r="B199" s="5"/>
      <c r="C199" s="5"/>
      <c r="D199" s="5"/>
      <c r="E199" s="5"/>
    </row>
    <row r="200" spans="1:5" ht="18" customHeight="1" x14ac:dyDescent="0.25">
      <c r="A200" s="6"/>
      <c r="B200" s="5"/>
      <c r="C200" s="5"/>
      <c r="D200" s="5"/>
      <c r="E200" s="5"/>
    </row>
    <row r="201" spans="1:5" ht="18" customHeight="1" x14ac:dyDescent="0.25">
      <c r="A201" s="6"/>
      <c r="B201" s="5"/>
      <c r="C201" s="5"/>
      <c r="D201" s="5"/>
      <c r="E201" s="5"/>
    </row>
    <row r="202" spans="1:5" ht="18" customHeight="1" x14ac:dyDescent="0.25">
      <c r="A202" s="6"/>
      <c r="B202" s="5"/>
      <c r="C202" s="5"/>
      <c r="D202" s="5"/>
      <c r="E202" s="5"/>
    </row>
    <row r="203" spans="1:5" ht="18" customHeight="1" x14ac:dyDescent="0.25">
      <c r="A203" s="6"/>
      <c r="B203" s="5"/>
      <c r="C203" s="5"/>
      <c r="D203" s="5"/>
      <c r="E203" s="5"/>
    </row>
    <row r="204" spans="1:5" ht="18.75" customHeight="1" x14ac:dyDescent="0.25">
      <c r="A204" s="6"/>
      <c r="B204" s="5"/>
      <c r="C204" s="5"/>
      <c r="D204" s="5"/>
      <c r="E204" s="5"/>
    </row>
    <row r="205" spans="1:5" ht="18.75" customHeight="1" x14ac:dyDescent="0.25">
      <c r="A205" s="6"/>
      <c r="B205" s="5"/>
      <c r="C205" s="5"/>
      <c r="D205" s="5"/>
      <c r="E205" s="5"/>
    </row>
    <row r="206" spans="1:5" ht="18.75" customHeight="1" x14ac:dyDescent="0.25">
      <c r="A206" s="6"/>
      <c r="B206" s="5"/>
      <c r="C206" s="5"/>
      <c r="D206" s="5"/>
      <c r="E206" s="5"/>
    </row>
    <row r="207" spans="1:5" ht="18.75" customHeight="1" x14ac:dyDescent="0.25">
      <c r="A207" s="6"/>
      <c r="B207" s="5"/>
      <c r="C207" s="5"/>
      <c r="D207" s="5"/>
      <c r="E207" s="5"/>
    </row>
    <row r="208" spans="1:5" ht="18.75" customHeight="1" x14ac:dyDescent="0.25">
      <c r="A208" s="6"/>
      <c r="B208" s="5"/>
      <c r="C208" s="5"/>
      <c r="D208" s="5"/>
      <c r="E208" s="5"/>
    </row>
    <row r="209" spans="1:5" ht="18.75" customHeight="1" x14ac:dyDescent="0.25">
      <c r="A209" s="6"/>
      <c r="B209" s="5"/>
      <c r="C209" s="5"/>
      <c r="D209" s="5"/>
      <c r="E209" s="5"/>
    </row>
    <row r="210" spans="1:5" ht="18.75" customHeight="1" x14ac:dyDescent="0.25">
      <c r="B210" s="5"/>
      <c r="C210" s="5"/>
      <c r="D210" s="5"/>
      <c r="E210" s="5"/>
    </row>
    <row r="211" spans="1:5" ht="18.75" customHeight="1" x14ac:dyDescent="0.25">
      <c r="B211" s="5"/>
      <c r="C211" s="5"/>
      <c r="D211" s="5"/>
      <c r="E211" s="5"/>
    </row>
    <row r="212" spans="1:5" ht="18.75" customHeight="1" x14ac:dyDescent="0.25">
      <c r="B212" s="5"/>
      <c r="C212" s="5"/>
      <c r="D212" s="5"/>
      <c r="E212" s="5"/>
    </row>
    <row r="213" spans="1:5" ht="18.75" customHeight="1" x14ac:dyDescent="0.25">
      <c r="B213" s="5"/>
      <c r="C213"/>
      <c r="D213"/>
    </row>
    <row r="214" spans="1:5" ht="18.75" customHeight="1" x14ac:dyDescent="0.25">
      <c r="C214"/>
      <c r="D214"/>
    </row>
    <row r="215" spans="1:5" ht="18.75" customHeight="1" x14ac:dyDescent="0.25">
      <c r="C215"/>
      <c r="D215"/>
    </row>
    <row r="216" spans="1:5" ht="18.75" customHeight="1" x14ac:dyDescent="0.25">
      <c r="C216"/>
      <c r="D216"/>
    </row>
    <row r="217" spans="1:5" ht="18.75" customHeight="1" x14ac:dyDescent="0.25">
      <c r="C217"/>
      <c r="D217"/>
    </row>
    <row r="218" spans="1:5" ht="18.75" customHeight="1" x14ac:dyDescent="0.25">
      <c r="C218"/>
      <c r="D218"/>
    </row>
    <row r="219" spans="1:5" ht="18.75" customHeight="1" x14ac:dyDescent="0.25">
      <c r="C219"/>
      <c r="D219"/>
    </row>
    <row r="220" spans="1:5" ht="18.75" customHeight="1" x14ac:dyDescent="0.25">
      <c r="C220"/>
      <c r="D220"/>
    </row>
    <row r="221" spans="1:5" ht="18.75" customHeight="1" x14ac:dyDescent="0.25">
      <c r="C221"/>
      <c r="D221"/>
    </row>
    <row r="222" spans="1:5" ht="18.75" customHeight="1" x14ac:dyDescent="0.25">
      <c r="C222"/>
      <c r="D222"/>
    </row>
    <row r="223" spans="1:5" ht="18.75" customHeight="1" x14ac:dyDescent="0.25">
      <c r="C223"/>
      <c r="D223"/>
    </row>
    <row r="224" spans="1:5" ht="18.75" customHeight="1" x14ac:dyDescent="0.25">
      <c r="C224"/>
      <c r="D224"/>
    </row>
    <row r="225" spans="3:4" ht="18.75" customHeight="1" x14ac:dyDescent="0.25">
      <c r="C225"/>
      <c r="D225"/>
    </row>
    <row r="226" spans="3:4" x14ac:dyDescent="0.25">
      <c r="C226"/>
      <c r="D226"/>
    </row>
    <row r="227" spans="3:4" x14ac:dyDescent="0.25">
      <c r="C227"/>
      <c r="D227"/>
    </row>
    <row r="228" spans="3:4" x14ac:dyDescent="0.25">
      <c r="C228"/>
      <c r="D228"/>
    </row>
    <row r="229" spans="3:4" ht="19.5" customHeight="1" x14ac:dyDescent="0.25">
      <c r="C229"/>
      <c r="D229"/>
    </row>
    <row r="230" spans="3:4" x14ac:dyDescent="0.25">
      <c r="C230"/>
      <c r="D230"/>
    </row>
    <row r="231" spans="3:4" x14ac:dyDescent="0.25">
      <c r="C231"/>
      <c r="D231"/>
    </row>
    <row r="232" spans="3:4" ht="16.5" customHeight="1" x14ac:dyDescent="0.25">
      <c r="C232"/>
      <c r="D232"/>
    </row>
    <row r="233" spans="3:4" x14ac:dyDescent="0.25">
      <c r="C233"/>
      <c r="D233"/>
    </row>
    <row r="234" spans="3:4" x14ac:dyDescent="0.25">
      <c r="C234"/>
      <c r="D234"/>
    </row>
    <row r="235" spans="3:4" x14ac:dyDescent="0.25">
      <c r="C235"/>
      <c r="D235"/>
    </row>
    <row r="236" spans="3:4" x14ac:dyDescent="0.25">
      <c r="C236"/>
      <c r="D236"/>
    </row>
    <row r="237" spans="3:4" x14ac:dyDescent="0.25">
      <c r="C237"/>
      <c r="D237"/>
    </row>
    <row r="238" spans="3:4" x14ac:dyDescent="0.25">
      <c r="C238"/>
      <c r="D238"/>
    </row>
    <row r="239" spans="3:4" x14ac:dyDescent="0.25">
      <c r="C239"/>
      <c r="D239"/>
    </row>
    <row r="241" ht="17.25" customHeight="1" x14ac:dyDescent="0.25"/>
    <row r="244" ht="19.5" customHeight="1" x14ac:dyDescent="0.25"/>
  </sheetData>
  <mergeCells count="222">
    <mergeCell ref="A129:A131"/>
    <mergeCell ref="B129:B131"/>
    <mergeCell ref="C129:C131"/>
    <mergeCell ref="D129:D131"/>
    <mergeCell ref="A132:A134"/>
    <mergeCell ref="B132:B134"/>
    <mergeCell ref="C132:C134"/>
    <mergeCell ref="D132:D134"/>
    <mergeCell ref="A123:A125"/>
    <mergeCell ref="B123:B125"/>
    <mergeCell ref="C123:C125"/>
    <mergeCell ref="D123:D125"/>
    <mergeCell ref="A126:A128"/>
    <mergeCell ref="B126:B128"/>
    <mergeCell ref="C126:C128"/>
    <mergeCell ref="D126:D128"/>
    <mergeCell ref="A117:A119"/>
    <mergeCell ref="B117:B119"/>
    <mergeCell ref="C117:C119"/>
    <mergeCell ref="D117:D119"/>
    <mergeCell ref="A120:A122"/>
    <mergeCell ref="B120:B122"/>
    <mergeCell ref="C120:C122"/>
    <mergeCell ref="D120:D122"/>
    <mergeCell ref="A111:A113"/>
    <mergeCell ref="B111:B113"/>
    <mergeCell ref="C111:C113"/>
    <mergeCell ref="D111:D113"/>
    <mergeCell ref="A114:A116"/>
    <mergeCell ref="B114:B116"/>
    <mergeCell ref="C114:C116"/>
    <mergeCell ref="D114:D116"/>
    <mergeCell ref="A105:A107"/>
    <mergeCell ref="B105:B107"/>
    <mergeCell ref="C105:C107"/>
    <mergeCell ref="D105:D107"/>
    <mergeCell ref="A108:A110"/>
    <mergeCell ref="B108:B110"/>
    <mergeCell ref="C108:C110"/>
    <mergeCell ref="D108:D110"/>
    <mergeCell ref="A99:A101"/>
    <mergeCell ref="B99:B101"/>
    <mergeCell ref="C99:C101"/>
    <mergeCell ref="D99:D101"/>
    <mergeCell ref="A102:A104"/>
    <mergeCell ref="B102:B104"/>
    <mergeCell ref="C102:C104"/>
    <mergeCell ref="D102:D104"/>
    <mergeCell ref="A93:A95"/>
    <mergeCell ref="B93:B95"/>
    <mergeCell ref="C93:C95"/>
    <mergeCell ref="D93:D95"/>
    <mergeCell ref="A96:A98"/>
    <mergeCell ref="B96:B98"/>
    <mergeCell ref="C96:C98"/>
    <mergeCell ref="D96:D98"/>
    <mergeCell ref="A87:A89"/>
    <mergeCell ref="B87:B89"/>
    <mergeCell ref="C87:C89"/>
    <mergeCell ref="D87:D89"/>
    <mergeCell ref="A90:A92"/>
    <mergeCell ref="B90:B92"/>
    <mergeCell ref="C90:C92"/>
    <mergeCell ref="D90:D92"/>
    <mergeCell ref="A81:A83"/>
    <mergeCell ref="B81:B83"/>
    <mergeCell ref="C81:C83"/>
    <mergeCell ref="D81:D83"/>
    <mergeCell ref="A84:A86"/>
    <mergeCell ref="B84:B86"/>
    <mergeCell ref="C84:C86"/>
    <mergeCell ref="D84:D86"/>
    <mergeCell ref="A75:A77"/>
    <mergeCell ref="B75:B77"/>
    <mergeCell ref="C75:C77"/>
    <mergeCell ref="D75:D77"/>
    <mergeCell ref="A78:A80"/>
    <mergeCell ref="B78:B80"/>
    <mergeCell ref="C78:C80"/>
    <mergeCell ref="D78:D80"/>
    <mergeCell ref="D57:D59"/>
    <mergeCell ref="A69:A71"/>
    <mergeCell ref="B69:B71"/>
    <mergeCell ref="C69:C71"/>
    <mergeCell ref="D69:D71"/>
    <mergeCell ref="A72:A74"/>
    <mergeCell ref="B72:B74"/>
    <mergeCell ref="C72:C74"/>
    <mergeCell ref="D72:D74"/>
    <mergeCell ref="D60:D62"/>
    <mergeCell ref="A63:A65"/>
    <mergeCell ref="B63:B65"/>
    <mergeCell ref="C63:C65"/>
    <mergeCell ref="D63:D65"/>
    <mergeCell ref="A66:A68"/>
    <mergeCell ref="B66:B68"/>
    <mergeCell ref="C66:C68"/>
    <mergeCell ref="D66:D68"/>
    <mergeCell ref="A57:A59"/>
    <mergeCell ref="B57:B59"/>
    <mergeCell ref="C57:C59"/>
    <mergeCell ref="A60:A62"/>
    <mergeCell ref="B60:B62"/>
    <mergeCell ref="C60:C62"/>
    <mergeCell ref="A51:A53"/>
    <mergeCell ref="B51:B53"/>
    <mergeCell ref="C51:C53"/>
    <mergeCell ref="D51:D53"/>
    <mergeCell ref="A54:A56"/>
    <mergeCell ref="B54:B56"/>
    <mergeCell ref="C54:C56"/>
    <mergeCell ref="D54:D56"/>
    <mergeCell ref="A45:A47"/>
    <mergeCell ref="B45:B47"/>
    <mergeCell ref="C45:C47"/>
    <mergeCell ref="D45:D47"/>
    <mergeCell ref="A48:A50"/>
    <mergeCell ref="B48:B50"/>
    <mergeCell ref="C48:C50"/>
    <mergeCell ref="D48:D50"/>
    <mergeCell ref="A39:A41"/>
    <mergeCell ref="B39:B41"/>
    <mergeCell ref="C39:C41"/>
    <mergeCell ref="D39:D41"/>
    <mergeCell ref="A42:A44"/>
    <mergeCell ref="B42:B44"/>
    <mergeCell ref="C42:C44"/>
    <mergeCell ref="D42:D44"/>
    <mergeCell ref="A33:A35"/>
    <mergeCell ref="B33:B35"/>
    <mergeCell ref="C33:C35"/>
    <mergeCell ref="D33:D35"/>
    <mergeCell ref="A36:A38"/>
    <mergeCell ref="B36:B38"/>
    <mergeCell ref="C36:C38"/>
    <mergeCell ref="D36:D38"/>
    <mergeCell ref="A30:A32"/>
    <mergeCell ref="B30:B32"/>
    <mergeCell ref="C30:C32"/>
    <mergeCell ref="D30:D32"/>
    <mergeCell ref="A21:A23"/>
    <mergeCell ref="B21:B23"/>
    <mergeCell ref="C21:C23"/>
    <mergeCell ref="D21:D23"/>
    <mergeCell ref="A24:A26"/>
    <mergeCell ref="B24:B26"/>
    <mergeCell ref="C24:C26"/>
    <mergeCell ref="D24:D26"/>
    <mergeCell ref="D9:D11"/>
    <mergeCell ref="A12:A14"/>
    <mergeCell ref="B12:B14"/>
    <mergeCell ref="C12:C14"/>
    <mergeCell ref="D12:D14"/>
    <mergeCell ref="A27:A29"/>
    <mergeCell ref="B27:B29"/>
    <mergeCell ref="C27:C29"/>
    <mergeCell ref="D27:D29"/>
    <mergeCell ref="A135:A137"/>
    <mergeCell ref="A138:A140"/>
    <mergeCell ref="A141:A143"/>
    <mergeCell ref="A144:A146"/>
    <mergeCell ref="A147:A149"/>
    <mergeCell ref="A150:A152"/>
    <mergeCell ref="A153:A155"/>
    <mergeCell ref="A1:W1"/>
    <mergeCell ref="A3:W3"/>
    <mergeCell ref="A6:A8"/>
    <mergeCell ref="B6:B8"/>
    <mergeCell ref="C6:C8"/>
    <mergeCell ref="D6:D8"/>
    <mergeCell ref="A15:A17"/>
    <mergeCell ref="B15:B17"/>
    <mergeCell ref="C15:C17"/>
    <mergeCell ref="D15:D17"/>
    <mergeCell ref="A18:A20"/>
    <mergeCell ref="B18:B20"/>
    <mergeCell ref="C18:C20"/>
    <mergeCell ref="D18:D20"/>
    <mergeCell ref="A9:A11"/>
    <mergeCell ref="B9:B11"/>
    <mergeCell ref="C9:C11"/>
    <mergeCell ref="B159:B161"/>
    <mergeCell ref="B162:B164"/>
    <mergeCell ref="B165:B167"/>
    <mergeCell ref="B168:B170"/>
    <mergeCell ref="A156:A158"/>
    <mergeCell ref="A159:A161"/>
    <mergeCell ref="A162:A164"/>
    <mergeCell ref="A165:A167"/>
    <mergeCell ref="A168:A170"/>
    <mergeCell ref="C135:C137"/>
    <mergeCell ref="D135:D137"/>
    <mergeCell ref="C138:C140"/>
    <mergeCell ref="D138:D140"/>
    <mergeCell ref="C141:C143"/>
    <mergeCell ref="D141:D143"/>
    <mergeCell ref="C144:C146"/>
    <mergeCell ref="D144:D146"/>
    <mergeCell ref="B156:B158"/>
    <mergeCell ref="B135:B137"/>
    <mergeCell ref="B138:B140"/>
    <mergeCell ref="B141:B143"/>
    <mergeCell ref="B144:B146"/>
    <mergeCell ref="B147:B149"/>
    <mergeCell ref="B150:B152"/>
    <mergeCell ref="B153:B155"/>
    <mergeCell ref="C162:C164"/>
    <mergeCell ref="D162:D164"/>
    <mergeCell ref="C165:C167"/>
    <mergeCell ref="D165:D167"/>
    <mergeCell ref="C168:C170"/>
    <mergeCell ref="D168:D170"/>
    <mergeCell ref="C147:C149"/>
    <mergeCell ref="D147:D149"/>
    <mergeCell ref="C150:C152"/>
    <mergeCell ref="D150:D152"/>
    <mergeCell ref="C153:C155"/>
    <mergeCell ref="D153:D155"/>
    <mergeCell ref="C156:C158"/>
    <mergeCell ref="D156:D158"/>
    <mergeCell ref="C159:C161"/>
    <mergeCell ref="D159:D161"/>
  </mergeCells>
  <pageMargins left="0.7" right="0.7" top="0.75" bottom="0.75" header="0.3" footer="0.3"/>
  <pageSetup paperSize="9" scale="78" fitToHeight="0" orientation="landscape" verticalDpi="4294967295" r:id="rId1"/>
  <rowBreaks count="3" manualBreakCount="3">
    <brk id="26" max="16383" man="1"/>
    <brk id="83" max="16383" man="1"/>
    <brk id="110" max="16383" man="1"/>
  </rowBreaks>
  <ignoredErrors>
    <ignoredError sqref="U8:U17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zoomScaleNormal="100" workbookViewId="0">
      <selection activeCell="B4" sqref="B4:B58"/>
    </sheetView>
  </sheetViews>
  <sheetFormatPr defaultRowHeight="15" x14ac:dyDescent="0.25"/>
  <cols>
    <col min="1" max="1" width="6.7109375" style="10" customWidth="1"/>
    <col min="2" max="2" width="35.140625" bestFit="1" customWidth="1"/>
    <col min="3" max="3" width="4.7109375" customWidth="1"/>
    <col min="4" max="4" width="4.140625" customWidth="1"/>
    <col min="5" max="17" width="6.7109375" customWidth="1"/>
    <col min="18" max="22" width="6.7109375" style="10" customWidth="1"/>
  </cols>
  <sheetData>
    <row r="1" spans="1:22" ht="20.25" x14ac:dyDescent="0.25">
      <c r="A1" s="222" t="s">
        <v>56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4"/>
    </row>
    <row r="2" spans="1:22" ht="18" thickBot="1" x14ac:dyDescent="0.3">
      <c r="A2" s="225" t="s">
        <v>30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</row>
    <row r="3" spans="1:22" ht="67.5" customHeight="1" thickBot="1" x14ac:dyDescent="0.3">
      <c r="A3" s="50" t="s">
        <v>24</v>
      </c>
      <c r="B3" s="51" t="s">
        <v>1</v>
      </c>
      <c r="C3" s="52" t="s">
        <v>2</v>
      </c>
      <c r="D3" s="51" t="s">
        <v>3</v>
      </c>
      <c r="E3" s="53" t="s">
        <v>4</v>
      </c>
      <c r="F3" s="53" t="s">
        <v>5</v>
      </c>
      <c r="G3" s="53" t="s">
        <v>6</v>
      </c>
      <c r="H3" s="53" t="s">
        <v>7</v>
      </c>
      <c r="I3" s="53" t="s">
        <v>8</v>
      </c>
      <c r="J3" s="53" t="s">
        <v>9</v>
      </c>
      <c r="K3" s="53" t="s">
        <v>11</v>
      </c>
      <c r="L3" s="53" t="s">
        <v>10</v>
      </c>
      <c r="M3" s="55" t="s">
        <v>70</v>
      </c>
      <c r="N3" s="55" t="s">
        <v>13</v>
      </c>
      <c r="O3" s="55" t="s">
        <v>65</v>
      </c>
      <c r="P3" s="53" t="s">
        <v>14</v>
      </c>
      <c r="Q3" s="53" t="s">
        <v>66</v>
      </c>
      <c r="R3" s="55" t="s">
        <v>15</v>
      </c>
      <c r="S3" s="53" t="s">
        <v>16</v>
      </c>
      <c r="T3" s="53" t="s">
        <v>17</v>
      </c>
      <c r="U3" s="53" t="s">
        <v>18</v>
      </c>
      <c r="V3" s="67" t="s">
        <v>19</v>
      </c>
    </row>
    <row r="4" spans="1:22" ht="20.100000000000001" customHeight="1" x14ac:dyDescent="0.25">
      <c r="A4" s="154">
        <v>1</v>
      </c>
      <c r="B4" s="134"/>
      <c r="C4" s="144">
        <v>15</v>
      </c>
      <c r="D4" s="144" t="s">
        <v>20</v>
      </c>
      <c r="E4" s="101">
        <v>77</v>
      </c>
      <c r="F4" s="60">
        <v>68</v>
      </c>
      <c r="G4" s="60">
        <v>74</v>
      </c>
      <c r="H4" s="60">
        <v>62</v>
      </c>
      <c r="I4" s="60">
        <v>75</v>
      </c>
      <c r="J4" s="60">
        <v>74</v>
      </c>
      <c r="K4" s="60">
        <v>84</v>
      </c>
      <c r="L4" s="60">
        <v>62</v>
      </c>
      <c r="M4" s="60">
        <v>78</v>
      </c>
      <c r="N4" s="60">
        <v>92</v>
      </c>
      <c r="O4" s="60">
        <v>74</v>
      </c>
      <c r="P4" s="60">
        <v>94</v>
      </c>
      <c r="Q4" s="60">
        <v>91</v>
      </c>
      <c r="R4" s="46">
        <f>SUM(E4:Q4)</f>
        <v>1005</v>
      </c>
      <c r="S4" s="49">
        <f>AVERAGE(E4:Q4)</f>
        <v>77.307692307692307</v>
      </c>
      <c r="T4" s="46">
        <f>RANK(S4,$S$4:$S$58)</f>
        <v>21</v>
      </c>
      <c r="U4" s="46"/>
      <c r="V4" s="16"/>
    </row>
    <row r="5" spans="1:22" ht="20.100000000000001" customHeight="1" x14ac:dyDescent="0.25">
      <c r="A5" s="155">
        <v>2</v>
      </c>
      <c r="B5" s="135"/>
      <c r="C5" s="136">
        <v>14</v>
      </c>
      <c r="D5" s="136" t="s">
        <v>23</v>
      </c>
      <c r="E5" s="100">
        <v>80</v>
      </c>
      <c r="F5" s="22">
        <v>83</v>
      </c>
      <c r="G5" s="22">
        <v>81</v>
      </c>
      <c r="H5" s="22">
        <v>67</v>
      </c>
      <c r="I5" s="22">
        <v>71</v>
      </c>
      <c r="J5" s="22">
        <v>70</v>
      </c>
      <c r="K5" s="22">
        <v>83</v>
      </c>
      <c r="L5" s="22">
        <v>65</v>
      </c>
      <c r="M5" s="22">
        <v>85</v>
      </c>
      <c r="N5" s="22">
        <v>84</v>
      </c>
      <c r="O5" s="22">
        <v>80</v>
      </c>
      <c r="P5" s="22">
        <v>91</v>
      </c>
      <c r="Q5" s="22">
        <v>68</v>
      </c>
      <c r="R5" s="46">
        <f t="shared" ref="R5:R58" si="0">SUM(E5:Q5)</f>
        <v>1008</v>
      </c>
      <c r="S5" s="49">
        <f t="shared" ref="S5:S58" si="1">AVERAGE(E5:Q5)</f>
        <v>77.538461538461533</v>
      </c>
      <c r="T5" s="46">
        <f t="shared" ref="T5:T58" si="2">RANK(S5,$S$4:$S$58)</f>
        <v>19</v>
      </c>
      <c r="U5" s="11"/>
      <c r="V5" s="11"/>
    </row>
    <row r="6" spans="1:22" ht="20.100000000000001" customHeight="1" x14ac:dyDescent="0.25">
      <c r="A6" s="156">
        <v>3</v>
      </c>
      <c r="B6" s="135"/>
      <c r="C6" s="136">
        <v>15</v>
      </c>
      <c r="D6" s="136" t="s">
        <v>20</v>
      </c>
      <c r="E6" s="100">
        <v>89</v>
      </c>
      <c r="F6" s="22">
        <v>83</v>
      </c>
      <c r="G6" s="22">
        <v>80</v>
      </c>
      <c r="H6" s="22">
        <v>70</v>
      </c>
      <c r="I6" s="22">
        <v>71</v>
      </c>
      <c r="J6" s="22">
        <v>70</v>
      </c>
      <c r="K6" s="22">
        <v>77</v>
      </c>
      <c r="L6" s="22">
        <v>66</v>
      </c>
      <c r="M6" s="22">
        <v>91</v>
      </c>
      <c r="N6" s="22">
        <v>84</v>
      </c>
      <c r="O6" s="22">
        <v>80</v>
      </c>
      <c r="P6" s="22">
        <v>86</v>
      </c>
      <c r="Q6" s="22">
        <v>89</v>
      </c>
      <c r="R6" s="46">
        <f t="shared" si="0"/>
        <v>1036</v>
      </c>
      <c r="S6" s="49">
        <f t="shared" si="1"/>
        <v>79.692307692307693</v>
      </c>
      <c r="T6" s="46">
        <f t="shared" si="2"/>
        <v>17</v>
      </c>
      <c r="U6" s="11"/>
      <c r="V6" s="11"/>
    </row>
    <row r="7" spans="1:22" ht="20.100000000000001" customHeight="1" x14ac:dyDescent="0.25">
      <c r="A7" s="155">
        <v>4</v>
      </c>
      <c r="B7" s="135"/>
      <c r="C7" s="136">
        <v>15</v>
      </c>
      <c r="D7" s="136" t="s">
        <v>20</v>
      </c>
      <c r="E7" s="100">
        <v>78</v>
      </c>
      <c r="F7" s="22">
        <v>72</v>
      </c>
      <c r="G7" s="22">
        <v>51</v>
      </c>
      <c r="H7" s="22">
        <v>50</v>
      </c>
      <c r="I7" s="22">
        <v>73</v>
      </c>
      <c r="J7" s="22">
        <v>53</v>
      </c>
      <c r="K7" s="22">
        <v>68</v>
      </c>
      <c r="L7" s="22">
        <v>64</v>
      </c>
      <c r="M7" s="22">
        <v>76</v>
      </c>
      <c r="N7" s="22">
        <v>75</v>
      </c>
      <c r="O7" s="22">
        <v>63</v>
      </c>
      <c r="P7" s="22">
        <v>92</v>
      </c>
      <c r="Q7" s="22">
        <v>65</v>
      </c>
      <c r="R7" s="46">
        <f t="shared" si="0"/>
        <v>880</v>
      </c>
      <c r="S7" s="49">
        <f t="shared" si="1"/>
        <v>67.692307692307693</v>
      </c>
      <c r="T7" s="46">
        <f t="shared" si="2"/>
        <v>44</v>
      </c>
      <c r="U7" s="11"/>
      <c r="V7" s="11"/>
    </row>
    <row r="8" spans="1:22" ht="20.100000000000001" customHeight="1" x14ac:dyDescent="0.25">
      <c r="A8" s="155">
        <v>5</v>
      </c>
      <c r="B8" s="135"/>
      <c r="C8" s="136">
        <v>15</v>
      </c>
      <c r="D8" s="136" t="s">
        <v>23</v>
      </c>
      <c r="E8" s="100">
        <v>72</v>
      </c>
      <c r="F8" s="22">
        <v>89</v>
      </c>
      <c r="G8" s="22">
        <v>65</v>
      </c>
      <c r="H8" s="22">
        <v>69</v>
      </c>
      <c r="I8" s="22">
        <v>73</v>
      </c>
      <c r="J8" s="22">
        <v>67</v>
      </c>
      <c r="K8" s="22">
        <v>80</v>
      </c>
      <c r="L8" s="22">
        <v>65</v>
      </c>
      <c r="M8" s="22">
        <v>87</v>
      </c>
      <c r="N8" s="22">
        <v>79</v>
      </c>
      <c r="O8" s="22">
        <v>80</v>
      </c>
      <c r="P8" s="22">
        <v>98</v>
      </c>
      <c r="Q8" s="22">
        <v>71</v>
      </c>
      <c r="R8" s="46">
        <f t="shared" si="0"/>
        <v>995</v>
      </c>
      <c r="S8" s="49">
        <f t="shared" si="1"/>
        <v>76.538461538461533</v>
      </c>
      <c r="T8" s="46">
        <f t="shared" si="2"/>
        <v>23</v>
      </c>
      <c r="U8" s="11"/>
      <c r="V8" s="11"/>
    </row>
    <row r="9" spans="1:22" ht="20.100000000000001" customHeight="1" x14ac:dyDescent="0.25">
      <c r="A9" s="156">
        <v>6</v>
      </c>
      <c r="B9" s="135"/>
      <c r="C9" s="136">
        <v>14</v>
      </c>
      <c r="D9" s="136" t="s">
        <v>23</v>
      </c>
      <c r="E9" s="100">
        <v>78</v>
      </c>
      <c r="F9" s="22">
        <v>71</v>
      </c>
      <c r="G9" s="22">
        <v>75</v>
      </c>
      <c r="H9" s="22">
        <v>77</v>
      </c>
      <c r="I9" s="22">
        <v>81</v>
      </c>
      <c r="J9" s="22">
        <v>75</v>
      </c>
      <c r="K9" s="22">
        <v>82</v>
      </c>
      <c r="L9" s="22">
        <v>79</v>
      </c>
      <c r="M9" s="22">
        <v>80</v>
      </c>
      <c r="N9" s="22">
        <v>81</v>
      </c>
      <c r="O9" s="22">
        <v>82</v>
      </c>
      <c r="P9" s="22">
        <v>89</v>
      </c>
      <c r="Q9" s="22">
        <v>95</v>
      </c>
      <c r="R9" s="46">
        <f t="shared" si="0"/>
        <v>1045</v>
      </c>
      <c r="S9" s="49">
        <f t="shared" si="1"/>
        <v>80.384615384615387</v>
      </c>
      <c r="T9" s="46">
        <f t="shared" si="2"/>
        <v>15</v>
      </c>
      <c r="U9" s="11"/>
      <c r="V9" s="11"/>
    </row>
    <row r="10" spans="1:22" ht="20.100000000000001" customHeight="1" x14ac:dyDescent="0.25">
      <c r="A10" s="155">
        <v>7</v>
      </c>
      <c r="B10" s="135"/>
      <c r="C10" s="136">
        <v>14</v>
      </c>
      <c r="D10" s="136" t="s">
        <v>23</v>
      </c>
      <c r="E10" s="100">
        <v>65</v>
      </c>
      <c r="F10" s="22">
        <v>50</v>
      </c>
      <c r="G10" s="22">
        <v>56</v>
      </c>
      <c r="H10" s="22">
        <v>43</v>
      </c>
      <c r="I10" s="22">
        <v>48</v>
      </c>
      <c r="J10" s="22">
        <v>35</v>
      </c>
      <c r="K10" s="22">
        <v>66</v>
      </c>
      <c r="L10" s="22">
        <v>48</v>
      </c>
      <c r="M10" s="22">
        <v>57</v>
      </c>
      <c r="N10" s="22">
        <v>52</v>
      </c>
      <c r="O10" s="22">
        <v>56</v>
      </c>
      <c r="P10" s="22">
        <v>70</v>
      </c>
      <c r="Q10" s="22">
        <v>82</v>
      </c>
      <c r="R10" s="46">
        <f t="shared" si="0"/>
        <v>728</v>
      </c>
      <c r="S10" s="49">
        <f t="shared" si="1"/>
        <v>56</v>
      </c>
      <c r="T10" s="46">
        <f t="shared" si="2"/>
        <v>54</v>
      </c>
      <c r="U10" s="11"/>
      <c r="V10" s="11"/>
    </row>
    <row r="11" spans="1:22" ht="20.100000000000001" customHeight="1" x14ac:dyDescent="0.25">
      <c r="A11" s="155">
        <v>8</v>
      </c>
      <c r="B11" s="135"/>
      <c r="C11" s="136">
        <v>15</v>
      </c>
      <c r="D11" s="136" t="s">
        <v>23</v>
      </c>
      <c r="E11" s="100">
        <v>88</v>
      </c>
      <c r="F11" s="22">
        <v>86</v>
      </c>
      <c r="G11" s="22">
        <v>75</v>
      </c>
      <c r="H11" s="22">
        <v>70</v>
      </c>
      <c r="I11" s="22">
        <v>80</v>
      </c>
      <c r="J11" s="22">
        <v>78</v>
      </c>
      <c r="K11" s="22">
        <v>78</v>
      </c>
      <c r="L11" s="22">
        <v>70</v>
      </c>
      <c r="M11" s="22">
        <v>87</v>
      </c>
      <c r="N11" s="22">
        <v>81</v>
      </c>
      <c r="O11" s="22">
        <v>82</v>
      </c>
      <c r="P11" s="22">
        <v>90</v>
      </c>
      <c r="Q11" s="22">
        <v>81</v>
      </c>
      <c r="R11" s="46">
        <f t="shared" si="0"/>
        <v>1046</v>
      </c>
      <c r="S11" s="49">
        <f t="shared" si="1"/>
        <v>80.461538461538467</v>
      </c>
      <c r="T11" s="46">
        <f t="shared" si="2"/>
        <v>14</v>
      </c>
      <c r="U11" s="11"/>
      <c r="V11" s="11"/>
    </row>
    <row r="12" spans="1:22" ht="20.100000000000001" customHeight="1" x14ac:dyDescent="0.25">
      <c r="A12" s="156">
        <v>9</v>
      </c>
      <c r="B12" s="137"/>
      <c r="C12" s="136">
        <v>15</v>
      </c>
      <c r="D12" s="136" t="s">
        <v>20</v>
      </c>
      <c r="E12" s="100">
        <v>76</v>
      </c>
      <c r="F12" s="22">
        <v>73</v>
      </c>
      <c r="G12" s="22">
        <v>59</v>
      </c>
      <c r="H12" s="22">
        <v>50</v>
      </c>
      <c r="I12" s="22">
        <v>63</v>
      </c>
      <c r="J12" s="22">
        <v>50</v>
      </c>
      <c r="K12" s="22">
        <v>43</v>
      </c>
      <c r="L12" s="22">
        <v>49</v>
      </c>
      <c r="M12" s="22">
        <v>74</v>
      </c>
      <c r="N12" s="22">
        <v>81</v>
      </c>
      <c r="O12" s="22">
        <v>67</v>
      </c>
      <c r="P12" s="22">
        <v>74</v>
      </c>
      <c r="Q12" s="22">
        <v>65</v>
      </c>
      <c r="R12" s="46">
        <f t="shared" si="0"/>
        <v>824</v>
      </c>
      <c r="S12" s="49">
        <f t="shared" si="1"/>
        <v>63.384615384615387</v>
      </c>
      <c r="T12" s="46">
        <f t="shared" si="2"/>
        <v>47</v>
      </c>
      <c r="U12" s="11"/>
      <c r="V12" s="11"/>
    </row>
    <row r="13" spans="1:22" ht="20.100000000000001" customHeight="1" x14ac:dyDescent="0.25">
      <c r="A13" s="155">
        <v>10</v>
      </c>
      <c r="B13" s="135"/>
      <c r="C13" s="136">
        <v>15</v>
      </c>
      <c r="D13" s="136" t="s">
        <v>23</v>
      </c>
      <c r="E13" s="100">
        <v>89</v>
      </c>
      <c r="F13" s="22">
        <v>66</v>
      </c>
      <c r="G13" s="22">
        <v>81</v>
      </c>
      <c r="H13" s="22">
        <v>56</v>
      </c>
      <c r="I13" s="22">
        <v>66</v>
      </c>
      <c r="J13" s="22">
        <v>50</v>
      </c>
      <c r="K13" s="22">
        <v>77</v>
      </c>
      <c r="L13" s="22">
        <v>61</v>
      </c>
      <c r="M13" s="22">
        <v>74</v>
      </c>
      <c r="N13" s="22">
        <v>76</v>
      </c>
      <c r="O13" s="22">
        <v>64</v>
      </c>
      <c r="P13" s="22">
        <v>82</v>
      </c>
      <c r="Q13" s="22">
        <v>93</v>
      </c>
      <c r="R13" s="46">
        <f t="shared" si="0"/>
        <v>935</v>
      </c>
      <c r="S13" s="49">
        <f t="shared" si="1"/>
        <v>71.92307692307692</v>
      </c>
      <c r="T13" s="46">
        <f t="shared" si="2"/>
        <v>37</v>
      </c>
      <c r="U13" s="11"/>
      <c r="V13" s="11"/>
    </row>
    <row r="14" spans="1:22" ht="20.100000000000001" customHeight="1" x14ac:dyDescent="0.25">
      <c r="A14" s="156">
        <v>11</v>
      </c>
      <c r="B14" s="135"/>
      <c r="C14" s="136">
        <v>15</v>
      </c>
      <c r="D14" s="136" t="s">
        <v>20</v>
      </c>
      <c r="E14" s="100">
        <v>78</v>
      </c>
      <c r="F14" s="22">
        <v>60</v>
      </c>
      <c r="G14" s="22">
        <v>65</v>
      </c>
      <c r="H14" s="22">
        <v>66</v>
      </c>
      <c r="I14" s="22">
        <v>56</v>
      </c>
      <c r="J14" s="22">
        <v>55</v>
      </c>
      <c r="K14" s="22">
        <v>77</v>
      </c>
      <c r="L14" s="22">
        <v>68</v>
      </c>
      <c r="M14" s="22">
        <v>71</v>
      </c>
      <c r="N14" s="22">
        <v>79</v>
      </c>
      <c r="O14" s="22">
        <v>72</v>
      </c>
      <c r="P14" s="22">
        <v>87</v>
      </c>
      <c r="Q14" s="22">
        <v>85</v>
      </c>
      <c r="R14" s="46">
        <f t="shared" si="0"/>
        <v>919</v>
      </c>
      <c r="S14" s="49">
        <f t="shared" si="1"/>
        <v>70.692307692307693</v>
      </c>
      <c r="T14" s="46">
        <f t="shared" si="2"/>
        <v>41</v>
      </c>
      <c r="U14" s="11"/>
      <c r="V14" s="11"/>
    </row>
    <row r="15" spans="1:22" ht="20.100000000000001" customHeight="1" x14ac:dyDescent="0.25">
      <c r="A15" s="156">
        <v>12</v>
      </c>
      <c r="B15" s="135"/>
      <c r="C15" s="136">
        <v>15</v>
      </c>
      <c r="D15" s="136" t="s">
        <v>20</v>
      </c>
      <c r="E15" s="100">
        <v>76</v>
      </c>
      <c r="F15" s="22">
        <v>61</v>
      </c>
      <c r="G15" s="22">
        <v>59</v>
      </c>
      <c r="H15" s="22">
        <v>50</v>
      </c>
      <c r="I15" s="22">
        <v>49</v>
      </c>
      <c r="J15" s="22">
        <v>40</v>
      </c>
      <c r="K15" s="22">
        <v>56</v>
      </c>
      <c r="L15" s="22">
        <v>43</v>
      </c>
      <c r="M15" s="22">
        <v>76</v>
      </c>
      <c r="N15" s="22">
        <v>82</v>
      </c>
      <c r="O15" s="22">
        <v>72</v>
      </c>
      <c r="P15" s="22">
        <v>79</v>
      </c>
      <c r="Q15" s="22">
        <v>67</v>
      </c>
      <c r="R15" s="46">
        <f t="shared" si="0"/>
        <v>810</v>
      </c>
      <c r="S15" s="49">
        <f t="shared" si="1"/>
        <v>62.307692307692307</v>
      </c>
      <c r="T15" s="46">
        <f t="shared" si="2"/>
        <v>48</v>
      </c>
      <c r="U15" s="11"/>
      <c r="V15" s="11"/>
    </row>
    <row r="16" spans="1:22" ht="20.100000000000001" customHeight="1" x14ac:dyDescent="0.25">
      <c r="A16" s="156">
        <v>13</v>
      </c>
      <c r="B16" s="135"/>
      <c r="C16" s="136">
        <v>14</v>
      </c>
      <c r="D16" s="136" t="s">
        <v>23</v>
      </c>
      <c r="E16" s="100">
        <v>81</v>
      </c>
      <c r="F16" s="22">
        <v>67</v>
      </c>
      <c r="G16" s="22">
        <v>65</v>
      </c>
      <c r="H16" s="22">
        <v>70</v>
      </c>
      <c r="I16" s="22">
        <v>71</v>
      </c>
      <c r="J16" s="22">
        <v>69</v>
      </c>
      <c r="K16" s="22">
        <v>84</v>
      </c>
      <c r="L16" s="22">
        <v>73</v>
      </c>
      <c r="M16" s="22">
        <v>82</v>
      </c>
      <c r="N16" s="22">
        <v>79</v>
      </c>
      <c r="O16" s="22">
        <v>79</v>
      </c>
      <c r="P16" s="22">
        <v>94</v>
      </c>
      <c r="Q16" s="22">
        <v>88</v>
      </c>
      <c r="R16" s="46">
        <f t="shared" si="0"/>
        <v>1002</v>
      </c>
      <c r="S16" s="49">
        <f t="shared" si="1"/>
        <v>77.07692307692308</v>
      </c>
      <c r="T16" s="46">
        <f t="shared" si="2"/>
        <v>22</v>
      </c>
      <c r="U16" s="11"/>
      <c r="V16" s="11"/>
    </row>
    <row r="17" spans="1:22" ht="20.100000000000001" customHeight="1" x14ac:dyDescent="0.25">
      <c r="A17" s="155">
        <v>14</v>
      </c>
      <c r="B17" s="135"/>
      <c r="C17" s="136">
        <v>14</v>
      </c>
      <c r="D17" s="136" t="s">
        <v>23</v>
      </c>
      <c r="E17" s="100">
        <v>82</v>
      </c>
      <c r="F17" s="22">
        <v>74</v>
      </c>
      <c r="G17" s="22">
        <v>74</v>
      </c>
      <c r="H17" s="22">
        <v>61</v>
      </c>
      <c r="I17" s="22">
        <v>67</v>
      </c>
      <c r="J17" s="22">
        <v>56</v>
      </c>
      <c r="K17" s="22">
        <v>69</v>
      </c>
      <c r="L17" s="22">
        <v>63</v>
      </c>
      <c r="M17" s="22">
        <v>76</v>
      </c>
      <c r="N17" s="22">
        <v>82</v>
      </c>
      <c r="O17" s="22">
        <v>70</v>
      </c>
      <c r="P17" s="22">
        <v>87</v>
      </c>
      <c r="Q17" s="22">
        <v>87</v>
      </c>
      <c r="R17" s="46">
        <f t="shared" si="0"/>
        <v>948</v>
      </c>
      <c r="S17" s="49">
        <f t="shared" si="1"/>
        <v>72.92307692307692</v>
      </c>
      <c r="T17" s="46">
        <f t="shared" si="2"/>
        <v>31</v>
      </c>
      <c r="U17" s="11"/>
      <c r="V17" s="11"/>
    </row>
    <row r="18" spans="1:22" ht="20.100000000000001" customHeight="1" x14ac:dyDescent="0.25">
      <c r="A18" s="156">
        <v>15</v>
      </c>
      <c r="B18" s="135"/>
      <c r="C18" s="136">
        <v>15</v>
      </c>
      <c r="D18" s="136" t="s">
        <v>23</v>
      </c>
      <c r="E18" s="100">
        <v>87</v>
      </c>
      <c r="F18" s="22">
        <v>80</v>
      </c>
      <c r="G18" s="23">
        <v>86</v>
      </c>
      <c r="H18" s="22">
        <v>82</v>
      </c>
      <c r="I18" s="22">
        <v>80</v>
      </c>
      <c r="J18" s="22">
        <v>84</v>
      </c>
      <c r="K18" s="22">
        <v>82</v>
      </c>
      <c r="L18" s="22">
        <v>77</v>
      </c>
      <c r="M18" s="22">
        <v>78</v>
      </c>
      <c r="N18" s="22">
        <v>87</v>
      </c>
      <c r="O18" s="22">
        <v>87</v>
      </c>
      <c r="P18" s="22">
        <v>94</v>
      </c>
      <c r="Q18" s="22">
        <v>86</v>
      </c>
      <c r="R18" s="46">
        <f t="shared" si="0"/>
        <v>1090</v>
      </c>
      <c r="S18" s="49">
        <f t="shared" si="1"/>
        <v>83.84615384615384</v>
      </c>
      <c r="T18" s="46">
        <f t="shared" si="2"/>
        <v>9</v>
      </c>
      <c r="U18" s="11"/>
      <c r="V18" s="11"/>
    </row>
    <row r="19" spans="1:22" ht="20.100000000000001" customHeight="1" x14ac:dyDescent="0.25">
      <c r="A19" s="155">
        <v>16</v>
      </c>
      <c r="B19" s="135"/>
      <c r="C19" s="136">
        <v>14</v>
      </c>
      <c r="D19" s="136" t="s">
        <v>20</v>
      </c>
      <c r="E19" s="100">
        <v>78</v>
      </c>
      <c r="F19" s="22">
        <v>85</v>
      </c>
      <c r="G19" s="22">
        <v>54</v>
      </c>
      <c r="H19" s="22">
        <v>66</v>
      </c>
      <c r="I19" s="22">
        <v>58</v>
      </c>
      <c r="J19" s="22">
        <v>65</v>
      </c>
      <c r="K19" s="22">
        <v>79</v>
      </c>
      <c r="L19" s="22">
        <v>63</v>
      </c>
      <c r="M19" s="22">
        <v>91</v>
      </c>
      <c r="N19" s="22">
        <v>78</v>
      </c>
      <c r="O19" s="22">
        <v>82</v>
      </c>
      <c r="P19" s="22">
        <v>87</v>
      </c>
      <c r="Q19" s="22">
        <v>74</v>
      </c>
      <c r="R19" s="46">
        <f t="shared" si="0"/>
        <v>960</v>
      </c>
      <c r="S19" s="49">
        <f t="shared" si="1"/>
        <v>73.84615384615384</v>
      </c>
      <c r="T19" s="46">
        <f t="shared" si="2"/>
        <v>30</v>
      </c>
      <c r="U19" s="11"/>
      <c r="V19" s="11"/>
    </row>
    <row r="20" spans="1:22" ht="20.100000000000001" customHeight="1" x14ac:dyDescent="0.25">
      <c r="A20" s="155">
        <v>17</v>
      </c>
      <c r="B20" s="135"/>
      <c r="C20" s="136">
        <v>14</v>
      </c>
      <c r="D20" s="136" t="s">
        <v>20</v>
      </c>
      <c r="E20" s="100">
        <v>62</v>
      </c>
      <c r="F20" s="22">
        <v>45</v>
      </c>
      <c r="G20" s="22">
        <v>47</v>
      </c>
      <c r="H20" s="22">
        <v>45</v>
      </c>
      <c r="I20" s="22">
        <v>50</v>
      </c>
      <c r="J20" s="22">
        <v>43</v>
      </c>
      <c r="K20" s="22">
        <v>52</v>
      </c>
      <c r="L20" s="22">
        <v>43</v>
      </c>
      <c r="M20" s="22">
        <v>57</v>
      </c>
      <c r="N20" s="22">
        <v>53</v>
      </c>
      <c r="O20" s="22">
        <v>47</v>
      </c>
      <c r="P20" s="22">
        <v>65</v>
      </c>
      <c r="Q20" s="22">
        <v>61</v>
      </c>
      <c r="R20" s="46">
        <f t="shared" si="0"/>
        <v>670</v>
      </c>
      <c r="S20" s="49">
        <f t="shared" si="1"/>
        <v>51.53846153846154</v>
      </c>
      <c r="T20" s="46">
        <f t="shared" si="2"/>
        <v>55</v>
      </c>
      <c r="U20" s="11"/>
      <c r="V20" s="11"/>
    </row>
    <row r="21" spans="1:22" ht="20.100000000000001" customHeight="1" x14ac:dyDescent="0.25">
      <c r="A21" s="155">
        <v>18</v>
      </c>
      <c r="B21" s="135"/>
      <c r="C21" s="136">
        <v>15</v>
      </c>
      <c r="D21" s="136" t="s">
        <v>20</v>
      </c>
      <c r="E21" s="100">
        <v>68</v>
      </c>
      <c r="F21" s="22">
        <v>65</v>
      </c>
      <c r="G21" s="23">
        <v>68</v>
      </c>
      <c r="H21" s="22">
        <v>51</v>
      </c>
      <c r="I21" s="22">
        <v>56</v>
      </c>
      <c r="J21" s="22">
        <v>54</v>
      </c>
      <c r="K21" s="22">
        <v>56</v>
      </c>
      <c r="L21" s="22">
        <v>48</v>
      </c>
      <c r="M21" s="22">
        <v>64</v>
      </c>
      <c r="N21" s="22">
        <v>69</v>
      </c>
      <c r="O21" s="22">
        <v>58</v>
      </c>
      <c r="P21" s="22">
        <v>91</v>
      </c>
      <c r="Q21" s="22">
        <v>61</v>
      </c>
      <c r="R21" s="46">
        <f t="shared" si="0"/>
        <v>809</v>
      </c>
      <c r="S21" s="49">
        <f t="shared" si="1"/>
        <v>62.230769230769234</v>
      </c>
      <c r="T21" s="46">
        <f t="shared" si="2"/>
        <v>49</v>
      </c>
      <c r="U21" s="11"/>
      <c r="V21" s="11"/>
    </row>
    <row r="22" spans="1:22" ht="20.100000000000001" customHeight="1" x14ac:dyDescent="0.25">
      <c r="A22" s="156">
        <v>19</v>
      </c>
      <c r="B22" s="135"/>
      <c r="C22" s="136">
        <v>14</v>
      </c>
      <c r="D22" s="136" t="s">
        <v>20</v>
      </c>
      <c r="E22" s="100">
        <v>77</v>
      </c>
      <c r="F22" s="22">
        <v>95</v>
      </c>
      <c r="G22" s="22">
        <v>83</v>
      </c>
      <c r="H22" s="22">
        <v>83</v>
      </c>
      <c r="I22" s="22">
        <v>86</v>
      </c>
      <c r="J22" s="22">
        <v>92</v>
      </c>
      <c r="K22" s="22">
        <v>84</v>
      </c>
      <c r="L22" s="22">
        <v>78</v>
      </c>
      <c r="M22" s="22">
        <v>89</v>
      </c>
      <c r="N22" s="22">
        <v>90</v>
      </c>
      <c r="O22" s="22">
        <v>85</v>
      </c>
      <c r="P22" s="22">
        <v>95</v>
      </c>
      <c r="Q22" s="22">
        <v>89</v>
      </c>
      <c r="R22" s="46">
        <f t="shared" si="0"/>
        <v>1126</v>
      </c>
      <c r="S22" s="49">
        <f t="shared" si="1"/>
        <v>86.615384615384613</v>
      </c>
      <c r="T22" s="46">
        <f t="shared" si="2"/>
        <v>6</v>
      </c>
      <c r="U22" s="11"/>
      <c r="V22" s="11"/>
    </row>
    <row r="23" spans="1:22" ht="20.100000000000001" customHeight="1" x14ac:dyDescent="0.25">
      <c r="A23" s="156">
        <v>20</v>
      </c>
      <c r="B23" s="135"/>
      <c r="C23" s="136">
        <v>15</v>
      </c>
      <c r="D23" s="136" t="s">
        <v>20</v>
      </c>
      <c r="E23" s="100">
        <v>86</v>
      </c>
      <c r="F23" s="22">
        <v>68</v>
      </c>
      <c r="G23" s="22">
        <v>57</v>
      </c>
      <c r="H23" s="22">
        <v>74</v>
      </c>
      <c r="I23" s="22">
        <v>65</v>
      </c>
      <c r="J23" s="22">
        <v>61</v>
      </c>
      <c r="K23" s="22">
        <v>81</v>
      </c>
      <c r="L23" s="22">
        <v>65</v>
      </c>
      <c r="M23" s="22">
        <v>82</v>
      </c>
      <c r="N23" s="22">
        <v>79</v>
      </c>
      <c r="O23" s="22">
        <v>72</v>
      </c>
      <c r="P23" s="22">
        <v>93</v>
      </c>
      <c r="Q23" s="22">
        <v>81</v>
      </c>
      <c r="R23" s="46">
        <f t="shared" si="0"/>
        <v>964</v>
      </c>
      <c r="S23" s="49">
        <f t="shared" si="1"/>
        <v>74.15384615384616</v>
      </c>
      <c r="T23" s="46">
        <f t="shared" si="2"/>
        <v>28</v>
      </c>
      <c r="U23" s="11"/>
      <c r="V23" s="11"/>
    </row>
    <row r="24" spans="1:22" ht="20.100000000000001" customHeight="1" x14ac:dyDescent="0.25">
      <c r="A24" s="156">
        <v>21</v>
      </c>
      <c r="B24" s="135"/>
      <c r="C24" s="136">
        <v>14</v>
      </c>
      <c r="D24" s="136" t="s">
        <v>23</v>
      </c>
      <c r="E24" s="100">
        <v>91</v>
      </c>
      <c r="F24" s="22">
        <v>86</v>
      </c>
      <c r="G24" s="22">
        <v>87</v>
      </c>
      <c r="H24" s="22">
        <v>84</v>
      </c>
      <c r="I24" s="22">
        <v>83</v>
      </c>
      <c r="J24" s="22">
        <v>83</v>
      </c>
      <c r="K24" s="22">
        <v>78</v>
      </c>
      <c r="L24" s="22">
        <v>87</v>
      </c>
      <c r="M24" s="22">
        <v>93</v>
      </c>
      <c r="N24" s="22">
        <v>92</v>
      </c>
      <c r="O24" s="22">
        <v>88</v>
      </c>
      <c r="P24" s="22">
        <v>96</v>
      </c>
      <c r="Q24" s="22">
        <v>97</v>
      </c>
      <c r="R24" s="46">
        <f t="shared" si="0"/>
        <v>1145</v>
      </c>
      <c r="S24" s="49">
        <f t="shared" si="1"/>
        <v>88.07692307692308</v>
      </c>
      <c r="T24" s="46">
        <f t="shared" si="2"/>
        <v>3</v>
      </c>
      <c r="U24" s="11"/>
      <c r="V24" s="11"/>
    </row>
    <row r="25" spans="1:22" ht="20.100000000000001" customHeight="1" x14ac:dyDescent="0.25">
      <c r="A25" s="155">
        <v>22</v>
      </c>
      <c r="B25" s="135"/>
      <c r="C25" s="136">
        <v>14</v>
      </c>
      <c r="D25" s="136" t="s">
        <v>20</v>
      </c>
      <c r="E25" s="100">
        <v>73</v>
      </c>
      <c r="F25" s="22">
        <v>84</v>
      </c>
      <c r="G25" s="22">
        <v>82</v>
      </c>
      <c r="H25" s="22">
        <v>57</v>
      </c>
      <c r="I25" s="22">
        <v>72</v>
      </c>
      <c r="J25" s="22">
        <v>59</v>
      </c>
      <c r="K25" s="22">
        <v>66</v>
      </c>
      <c r="L25" s="22">
        <v>53</v>
      </c>
      <c r="M25" s="22">
        <v>76</v>
      </c>
      <c r="N25" s="22">
        <v>79</v>
      </c>
      <c r="O25" s="22">
        <v>73</v>
      </c>
      <c r="P25" s="22">
        <v>87</v>
      </c>
      <c r="Q25" s="22">
        <v>64</v>
      </c>
      <c r="R25" s="46">
        <f t="shared" si="0"/>
        <v>925</v>
      </c>
      <c r="S25" s="49">
        <f t="shared" si="1"/>
        <v>71.15384615384616</v>
      </c>
      <c r="T25" s="46">
        <f t="shared" si="2"/>
        <v>39</v>
      </c>
      <c r="U25" s="11"/>
      <c r="V25" s="11"/>
    </row>
    <row r="26" spans="1:22" ht="20.100000000000001" customHeight="1" x14ac:dyDescent="0.25">
      <c r="A26" s="155">
        <v>23</v>
      </c>
      <c r="B26" s="135"/>
      <c r="C26" s="136">
        <v>14</v>
      </c>
      <c r="D26" s="136" t="s">
        <v>20</v>
      </c>
      <c r="E26" s="100">
        <v>59</v>
      </c>
      <c r="F26" s="22">
        <v>53</v>
      </c>
      <c r="G26" s="22">
        <v>62</v>
      </c>
      <c r="H26" s="22">
        <v>53</v>
      </c>
      <c r="I26" s="22">
        <v>59</v>
      </c>
      <c r="J26" s="22">
        <v>46</v>
      </c>
      <c r="K26" s="22">
        <v>66</v>
      </c>
      <c r="L26" s="22">
        <v>50</v>
      </c>
      <c r="M26" s="22">
        <v>68</v>
      </c>
      <c r="N26" s="22">
        <v>75</v>
      </c>
      <c r="O26" s="22">
        <v>62</v>
      </c>
      <c r="P26" s="22">
        <v>84</v>
      </c>
      <c r="Q26" s="22">
        <v>68</v>
      </c>
      <c r="R26" s="46">
        <f t="shared" si="0"/>
        <v>805</v>
      </c>
      <c r="S26" s="49">
        <f t="shared" si="1"/>
        <v>61.92307692307692</v>
      </c>
      <c r="T26" s="46">
        <f t="shared" si="2"/>
        <v>50</v>
      </c>
      <c r="U26" s="11"/>
      <c r="V26" s="11"/>
    </row>
    <row r="27" spans="1:22" ht="20.100000000000001" customHeight="1" x14ac:dyDescent="0.25">
      <c r="A27" s="156">
        <v>24</v>
      </c>
      <c r="B27" s="135"/>
      <c r="C27" s="136">
        <v>16</v>
      </c>
      <c r="D27" s="136" t="s">
        <v>20</v>
      </c>
      <c r="E27" s="100">
        <v>81</v>
      </c>
      <c r="F27" s="22">
        <v>68</v>
      </c>
      <c r="G27" s="23">
        <v>55</v>
      </c>
      <c r="H27" s="23">
        <v>43</v>
      </c>
      <c r="I27" s="22">
        <v>53</v>
      </c>
      <c r="J27" s="23">
        <v>53</v>
      </c>
      <c r="K27" s="22">
        <v>58</v>
      </c>
      <c r="L27" s="22">
        <v>49</v>
      </c>
      <c r="M27" s="22">
        <v>77</v>
      </c>
      <c r="N27" s="22">
        <v>72</v>
      </c>
      <c r="O27" s="22">
        <v>61</v>
      </c>
      <c r="P27" s="22">
        <v>70</v>
      </c>
      <c r="Q27" s="22">
        <v>56</v>
      </c>
      <c r="R27" s="46">
        <f t="shared" si="0"/>
        <v>796</v>
      </c>
      <c r="S27" s="49">
        <f t="shared" si="1"/>
        <v>61.230769230769234</v>
      </c>
      <c r="T27" s="46">
        <f t="shared" si="2"/>
        <v>51</v>
      </c>
      <c r="U27" s="11"/>
      <c r="V27" s="11"/>
    </row>
    <row r="28" spans="1:22" ht="20.100000000000001" customHeight="1" x14ac:dyDescent="0.25">
      <c r="A28" s="155">
        <v>25</v>
      </c>
      <c r="B28" s="135"/>
      <c r="C28" s="136">
        <v>15</v>
      </c>
      <c r="D28" s="136" t="s">
        <v>23</v>
      </c>
      <c r="E28" s="100">
        <v>78</v>
      </c>
      <c r="F28" s="23">
        <v>71</v>
      </c>
      <c r="G28" s="23">
        <v>51</v>
      </c>
      <c r="H28" s="22">
        <v>65</v>
      </c>
      <c r="I28" s="23">
        <v>68</v>
      </c>
      <c r="J28" s="22">
        <v>68</v>
      </c>
      <c r="K28" s="22">
        <v>78</v>
      </c>
      <c r="L28" s="22">
        <v>70</v>
      </c>
      <c r="M28" s="22">
        <v>83</v>
      </c>
      <c r="N28" s="22">
        <v>82</v>
      </c>
      <c r="O28" s="22">
        <v>82</v>
      </c>
      <c r="P28" s="22">
        <v>76</v>
      </c>
      <c r="Q28" s="22">
        <v>75</v>
      </c>
      <c r="R28" s="46">
        <f t="shared" si="0"/>
        <v>947</v>
      </c>
      <c r="S28" s="49">
        <f t="shared" si="1"/>
        <v>72.84615384615384</v>
      </c>
      <c r="T28" s="46">
        <f t="shared" si="2"/>
        <v>32</v>
      </c>
      <c r="U28" s="11"/>
      <c r="V28" s="11"/>
    </row>
    <row r="29" spans="1:22" ht="20.100000000000001" customHeight="1" x14ac:dyDescent="0.25">
      <c r="A29" s="156">
        <v>26</v>
      </c>
      <c r="B29" s="135"/>
      <c r="C29" s="136">
        <v>14</v>
      </c>
      <c r="D29" s="136" t="s">
        <v>23</v>
      </c>
      <c r="E29" s="100">
        <v>85</v>
      </c>
      <c r="F29" s="22">
        <v>82</v>
      </c>
      <c r="G29" s="22">
        <v>79</v>
      </c>
      <c r="H29" s="22">
        <v>82</v>
      </c>
      <c r="I29" s="22">
        <v>79</v>
      </c>
      <c r="J29" s="22">
        <v>82</v>
      </c>
      <c r="K29" s="22">
        <v>81</v>
      </c>
      <c r="L29" s="22">
        <v>71</v>
      </c>
      <c r="M29" s="22">
        <v>87</v>
      </c>
      <c r="N29" s="22">
        <v>80</v>
      </c>
      <c r="O29" s="22">
        <v>83</v>
      </c>
      <c r="P29" s="22">
        <v>97</v>
      </c>
      <c r="Q29" s="22">
        <v>91</v>
      </c>
      <c r="R29" s="46">
        <f t="shared" si="0"/>
        <v>1079</v>
      </c>
      <c r="S29" s="49">
        <f t="shared" si="1"/>
        <v>83</v>
      </c>
      <c r="T29" s="46">
        <f t="shared" si="2"/>
        <v>11</v>
      </c>
      <c r="U29" s="11"/>
      <c r="V29" s="11"/>
    </row>
    <row r="30" spans="1:22" ht="20.100000000000001" customHeight="1" x14ac:dyDescent="0.25">
      <c r="A30" s="156">
        <v>27</v>
      </c>
      <c r="B30" s="135"/>
      <c r="C30" s="136">
        <v>15</v>
      </c>
      <c r="D30" s="136" t="s">
        <v>23</v>
      </c>
      <c r="E30" s="100">
        <v>79</v>
      </c>
      <c r="F30" s="22">
        <v>62</v>
      </c>
      <c r="G30" s="23">
        <v>57</v>
      </c>
      <c r="H30" s="22">
        <v>65</v>
      </c>
      <c r="I30" s="22">
        <v>57</v>
      </c>
      <c r="J30" s="22">
        <v>50</v>
      </c>
      <c r="K30" s="22">
        <v>79</v>
      </c>
      <c r="L30" s="22">
        <v>55</v>
      </c>
      <c r="M30" s="22">
        <v>72</v>
      </c>
      <c r="N30" s="22">
        <v>68</v>
      </c>
      <c r="O30" s="22">
        <v>60</v>
      </c>
      <c r="P30" s="22">
        <v>76</v>
      </c>
      <c r="Q30" s="22">
        <v>70</v>
      </c>
      <c r="R30" s="46">
        <f t="shared" si="0"/>
        <v>850</v>
      </c>
      <c r="S30" s="49">
        <f t="shared" si="1"/>
        <v>65.384615384615387</v>
      </c>
      <c r="T30" s="46">
        <f t="shared" si="2"/>
        <v>46</v>
      </c>
      <c r="U30" s="11"/>
      <c r="V30" s="11"/>
    </row>
    <row r="31" spans="1:22" ht="20.100000000000001" customHeight="1" x14ac:dyDescent="0.25">
      <c r="A31" s="156">
        <v>28</v>
      </c>
      <c r="B31" s="135"/>
      <c r="C31" s="136">
        <v>14</v>
      </c>
      <c r="D31" s="136" t="s">
        <v>20</v>
      </c>
      <c r="E31" s="100">
        <v>93</v>
      </c>
      <c r="F31" s="22">
        <v>89</v>
      </c>
      <c r="G31" s="22">
        <v>85</v>
      </c>
      <c r="H31" s="22">
        <v>80</v>
      </c>
      <c r="I31" s="22">
        <v>85</v>
      </c>
      <c r="J31" s="22">
        <v>91</v>
      </c>
      <c r="K31" s="22">
        <v>93</v>
      </c>
      <c r="L31" s="22">
        <v>91</v>
      </c>
      <c r="M31" s="22">
        <v>99</v>
      </c>
      <c r="N31" s="22">
        <v>96</v>
      </c>
      <c r="O31" s="22">
        <v>90</v>
      </c>
      <c r="P31" s="22">
        <v>91</v>
      </c>
      <c r="Q31" s="22">
        <v>92</v>
      </c>
      <c r="R31" s="46">
        <f t="shared" si="0"/>
        <v>1175</v>
      </c>
      <c r="S31" s="49">
        <f t="shared" si="1"/>
        <v>90.384615384615387</v>
      </c>
      <c r="T31" s="46">
        <f t="shared" si="2"/>
        <v>2</v>
      </c>
      <c r="U31" s="11"/>
      <c r="V31" s="11"/>
    </row>
    <row r="32" spans="1:22" ht="20.100000000000001" customHeight="1" x14ac:dyDescent="0.25">
      <c r="A32" s="155">
        <v>29</v>
      </c>
      <c r="B32" s="135"/>
      <c r="C32" s="136">
        <v>15</v>
      </c>
      <c r="D32" s="136" t="s">
        <v>23</v>
      </c>
      <c r="E32" s="100">
        <v>91</v>
      </c>
      <c r="F32" s="22">
        <v>64</v>
      </c>
      <c r="G32" s="22">
        <v>55</v>
      </c>
      <c r="H32" s="22">
        <v>70</v>
      </c>
      <c r="I32" s="22">
        <v>63</v>
      </c>
      <c r="J32" s="22">
        <v>58</v>
      </c>
      <c r="K32" s="22">
        <v>80</v>
      </c>
      <c r="L32" s="22">
        <v>72</v>
      </c>
      <c r="M32" s="22">
        <v>80</v>
      </c>
      <c r="N32" s="22">
        <v>73</v>
      </c>
      <c r="O32" s="22">
        <v>74</v>
      </c>
      <c r="P32" s="22">
        <v>86</v>
      </c>
      <c r="Q32" s="22">
        <v>81</v>
      </c>
      <c r="R32" s="46">
        <f t="shared" si="0"/>
        <v>947</v>
      </c>
      <c r="S32" s="49">
        <f t="shared" si="1"/>
        <v>72.84615384615384</v>
      </c>
      <c r="T32" s="46">
        <f t="shared" si="2"/>
        <v>32</v>
      </c>
      <c r="U32" s="11"/>
      <c r="V32" s="11"/>
    </row>
    <row r="33" spans="1:22" ht="20.100000000000001" customHeight="1" x14ac:dyDescent="0.25">
      <c r="A33" s="156">
        <v>30</v>
      </c>
      <c r="B33" s="135"/>
      <c r="C33" s="136">
        <v>14</v>
      </c>
      <c r="D33" s="136" t="s">
        <v>23</v>
      </c>
      <c r="E33" s="100">
        <v>85</v>
      </c>
      <c r="F33" s="23">
        <v>76</v>
      </c>
      <c r="G33" s="23">
        <v>58</v>
      </c>
      <c r="H33" s="23">
        <v>70</v>
      </c>
      <c r="I33" s="22">
        <v>70</v>
      </c>
      <c r="J33" s="22">
        <v>68</v>
      </c>
      <c r="K33" s="22">
        <v>75</v>
      </c>
      <c r="L33" s="22">
        <v>57</v>
      </c>
      <c r="M33" s="22">
        <v>79</v>
      </c>
      <c r="N33" s="22">
        <v>75</v>
      </c>
      <c r="O33" s="22">
        <v>79</v>
      </c>
      <c r="P33" s="23">
        <v>88</v>
      </c>
      <c r="Q33" s="23">
        <v>84</v>
      </c>
      <c r="R33" s="46">
        <f t="shared" si="0"/>
        <v>964</v>
      </c>
      <c r="S33" s="49">
        <f t="shared" si="1"/>
        <v>74.15384615384616</v>
      </c>
      <c r="T33" s="46">
        <f t="shared" si="2"/>
        <v>28</v>
      </c>
      <c r="U33" s="11"/>
      <c r="V33" s="11"/>
    </row>
    <row r="34" spans="1:22" ht="20.100000000000001" customHeight="1" x14ac:dyDescent="0.25">
      <c r="A34" s="155">
        <v>31</v>
      </c>
      <c r="B34" s="135"/>
      <c r="C34" s="136">
        <v>16</v>
      </c>
      <c r="D34" s="136" t="s">
        <v>23</v>
      </c>
      <c r="E34" s="100">
        <v>80</v>
      </c>
      <c r="F34" s="22">
        <v>59</v>
      </c>
      <c r="G34" s="23">
        <v>51</v>
      </c>
      <c r="H34" s="22">
        <v>66</v>
      </c>
      <c r="I34" s="22">
        <v>74</v>
      </c>
      <c r="J34" s="22">
        <v>74</v>
      </c>
      <c r="K34" s="23">
        <v>77</v>
      </c>
      <c r="L34" s="22">
        <v>73</v>
      </c>
      <c r="M34" s="22">
        <v>84</v>
      </c>
      <c r="N34" s="22">
        <v>75</v>
      </c>
      <c r="O34" s="22">
        <v>78</v>
      </c>
      <c r="P34" s="22">
        <v>98</v>
      </c>
      <c r="Q34" s="22">
        <v>93</v>
      </c>
      <c r="R34" s="46">
        <f t="shared" si="0"/>
        <v>982</v>
      </c>
      <c r="S34" s="49">
        <f t="shared" si="1"/>
        <v>75.538461538461533</v>
      </c>
      <c r="T34" s="46">
        <f t="shared" si="2"/>
        <v>25</v>
      </c>
      <c r="U34" s="11"/>
      <c r="V34" s="11"/>
    </row>
    <row r="35" spans="1:22" ht="20.100000000000001" customHeight="1" x14ac:dyDescent="0.25">
      <c r="A35" s="155">
        <v>32</v>
      </c>
      <c r="B35" s="135"/>
      <c r="C35" s="136">
        <v>15</v>
      </c>
      <c r="D35" s="136" t="s">
        <v>20</v>
      </c>
      <c r="E35" s="100">
        <v>78</v>
      </c>
      <c r="F35" s="22">
        <v>67</v>
      </c>
      <c r="G35" s="22">
        <v>43</v>
      </c>
      <c r="H35" s="22">
        <v>41</v>
      </c>
      <c r="I35" s="22">
        <v>43</v>
      </c>
      <c r="J35" s="22">
        <v>50</v>
      </c>
      <c r="K35" s="22">
        <v>54</v>
      </c>
      <c r="L35" s="22">
        <v>52</v>
      </c>
      <c r="M35" s="22">
        <v>60</v>
      </c>
      <c r="N35" s="22">
        <v>69</v>
      </c>
      <c r="O35" s="22">
        <v>57</v>
      </c>
      <c r="P35" s="22">
        <v>86</v>
      </c>
      <c r="Q35" s="22">
        <v>51</v>
      </c>
      <c r="R35" s="46">
        <f t="shared" si="0"/>
        <v>751</v>
      </c>
      <c r="S35" s="49">
        <f t="shared" si="1"/>
        <v>57.769230769230766</v>
      </c>
      <c r="T35" s="46">
        <f t="shared" si="2"/>
        <v>53</v>
      </c>
      <c r="U35" s="11"/>
      <c r="V35" s="11"/>
    </row>
    <row r="36" spans="1:22" ht="20.100000000000001" customHeight="1" x14ac:dyDescent="0.25">
      <c r="A36" s="155">
        <v>33</v>
      </c>
      <c r="B36" s="135"/>
      <c r="C36" s="136">
        <v>14</v>
      </c>
      <c r="D36" s="136" t="s">
        <v>20</v>
      </c>
      <c r="E36" s="100">
        <v>85</v>
      </c>
      <c r="F36" s="22">
        <v>84</v>
      </c>
      <c r="G36" s="23">
        <v>87</v>
      </c>
      <c r="H36" s="22">
        <v>83</v>
      </c>
      <c r="I36" s="22">
        <v>95</v>
      </c>
      <c r="J36" s="22">
        <v>86</v>
      </c>
      <c r="K36" s="22">
        <v>84</v>
      </c>
      <c r="L36" s="22">
        <v>82</v>
      </c>
      <c r="M36" s="22">
        <v>90</v>
      </c>
      <c r="N36" s="22">
        <v>87</v>
      </c>
      <c r="O36" s="22">
        <v>90</v>
      </c>
      <c r="P36" s="22">
        <v>95</v>
      </c>
      <c r="Q36" s="22">
        <v>88</v>
      </c>
      <c r="R36" s="46">
        <f t="shared" si="0"/>
        <v>1136</v>
      </c>
      <c r="S36" s="49">
        <f t="shared" si="1"/>
        <v>87.384615384615387</v>
      </c>
      <c r="T36" s="46">
        <f t="shared" si="2"/>
        <v>4</v>
      </c>
      <c r="U36" s="11"/>
      <c r="V36" s="11"/>
    </row>
    <row r="37" spans="1:22" ht="20.100000000000001" customHeight="1" x14ac:dyDescent="0.25">
      <c r="A37" s="156">
        <v>34</v>
      </c>
      <c r="B37" s="135"/>
      <c r="C37" s="136">
        <v>15</v>
      </c>
      <c r="D37" s="136" t="s">
        <v>20</v>
      </c>
      <c r="E37" s="100">
        <v>72</v>
      </c>
      <c r="F37" s="22">
        <v>82</v>
      </c>
      <c r="G37" s="22">
        <v>90</v>
      </c>
      <c r="H37" s="22">
        <v>82</v>
      </c>
      <c r="I37" s="22">
        <v>75</v>
      </c>
      <c r="J37" s="22">
        <v>87</v>
      </c>
      <c r="K37" s="22">
        <v>84</v>
      </c>
      <c r="L37" s="22">
        <v>84</v>
      </c>
      <c r="M37" s="22">
        <v>94</v>
      </c>
      <c r="N37" s="22">
        <v>79</v>
      </c>
      <c r="O37" s="22">
        <v>88</v>
      </c>
      <c r="P37" s="22">
        <v>90</v>
      </c>
      <c r="Q37" s="22">
        <v>91</v>
      </c>
      <c r="R37" s="46">
        <f t="shared" si="0"/>
        <v>1098</v>
      </c>
      <c r="S37" s="49">
        <f t="shared" si="1"/>
        <v>84.461538461538467</v>
      </c>
      <c r="T37" s="46">
        <f t="shared" si="2"/>
        <v>7</v>
      </c>
      <c r="U37" s="11"/>
      <c r="V37" s="11"/>
    </row>
    <row r="38" spans="1:22" ht="20.100000000000001" customHeight="1" x14ac:dyDescent="0.25">
      <c r="A38" s="156">
        <v>35</v>
      </c>
      <c r="B38" s="135"/>
      <c r="C38" s="136">
        <v>14</v>
      </c>
      <c r="D38" s="136" t="s">
        <v>20</v>
      </c>
      <c r="E38" s="100">
        <v>76</v>
      </c>
      <c r="F38" s="22">
        <v>67</v>
      </c>
      <c r="G38" s="22">
        <v>58</v>
      </c>
      <c r="H38" s="22">
        <v>64</v>
      </c>
      <c r="I38" s="22">
        <v>68</v>
      </c>
      <c r="J38" s="22">
        <v>78</v>
      </c>
      <c r="K38" s="22">
        <v>86</v>
      </c>
      <c r="L38" s="22">
        <v>71</v>
      </c>
      <c r="M38" s="22">
        <v>87</v>
      </c>
      <c r="N38" s="22">
        <v>80</v>
      </c>
      <c r="O38" s="22">
        <v>77</v>
      </c>
      <c r="P38" s="22">
        <v>90</v>
      </c>
      <c r="Q38" s="22">
        <v>78</v>
      </c>
      <c r="R38" s="46">
        <f t="shared" si="0"/>
        <v>980</v>
      </c>
      <c r="S38" s="49">
        <f t="shared" si="1"/>
        <v>75.384615384615387</v>
      </c>
      <c r="T38" s="46">
        <f t="shared" si="2"/>
        <v>26</v>
      </c>
      <c r="U38" s="11"/>
      <c r="V38" s="11"/>
    </row>
    <row r="39" spans="1:22" ht="20.100000000000001" customHeight="1" x14ac:dyDescent="0.25">
      <c r="A39" s="156">
        <v>36</v>
      </c>
      <c r="B39" s="135"/>
      <c r="C39" s="136">
        <v>14</v>
      </c>
      <c r="D39" s="136" t="s">
        <v>20</v>
      </c>
      <c r="E39" s="100">
        <v>68</v>
      </c>
      <c r="F39" s="22">
        <v>69</v>
      </c>
      <c r="G39" s="23">
        <v>59</v>
      </c>
      <c r="H39" s="22">
        <v>43</v>
      </c>
      <c r="I39" s="22">
        <v>51</v>
      </c>
      <c r="J39" s="22">
        <v>40</v>
      </c>
      <c r="K39" s="22">
        <v>57</v>
      </c>
      <c r="L39" s="22">
        <v>46</v>
      </c>
      <c r="M39" s="22">
        <v>72</v>
      </c>
      <c r="N39" s="22">
        <v>73</v>
      </c>
      <c r="O39" s="22">
        <v>55</v>
      </c>
      <c r="P39" s="22">
        <v>80</v>
      </c>
      <c r="Q39" s="22">
        <v>72</v>
      </c>
      <c r="R39" s="46">
        <f t="shared" si="0"/>
        <v>785</v>
      </c>
      <c r="S39" s="49">
        <f t="shared" si="1"/>
        <v>60.384615384615387</v>
      </c>
      <c r="T39" s="46">
        <f t="shared" si="2"/>
        <v>52</v>
      </c>
      <c r="U39" s="11"/>
      <c r="V39" s="11"/>
    </row>
    <row r="40" spans="1:22" ht="20.100000000000001" customHeight="1" x14ac:dyDescent="0.25">
      <c r="A40" s="155">
        <v>37</v>
      </c>
      <c r="B40" s="135"/>
      <c r="C40" s="136">
        <v>14</v>
      </c>
      <c r="D40" s="136" t="s">
        <v>20</v>
      </c>
      <c r="E40" s="100">
        <v>79</v>
      </c>
      <c r="F40" s="22">
        <v>84</v>
      </c>
      <c r="G40" s="22">
        <v>56</v>
      </c>
      <c r="H40" s="22">
        <v>53</v>
      </c>
      <c r="I40" s="22">
        <v>62</v>
      </c>
      <c r="J40" s="22">
        <v>60</v>
      </c>
      <c r="K40" s="22">
        <v>66</v>
      </c>
      <c r="L40" s="22">
        <v>66</v>
      </c>
      <c r="M40" s="22">
        <v>83</v>
      </c>
      <c r="N40" s="22">
        <v>77</v>
      </c>
      <c r="O40" s="22">
        <v>80</v>
      </c>
      <c r="P40" s="22">
        <v>74</v>
      </c>
      <c r="Q40" s="22">
        <v>65</v>
      </c>
      <c r="R40" s="46">
        <f t="shared" si="0"/>
        <v>905</v>
      </c>
      <c r="S40" s="49">
        <f t="shared" si="1"/>
        <v>69.615384615384613</v>
      </c>
      <c r="T40" s="46">
        <f t="shared" si="2"/>
        <v>42</v>
      </c>
      <c r="U40" s="11"/>
      <c r="V40" s="11"/>
    </row>
    <row r="41" spans="1:22" ht="20.100000000000001" customHeight="1" x14ac:dyDescent="0.25">
      <c r="A41" s="155">
        <v>38</v>
      </c>
      <c r="B41" s="135"/>
      <c r="C41" s="136">
        <v>15</v>
      </c>
      <c r="D41" s="136" t="s">
        <v>20</v>
      </c>
      <c r="E41" s="100">
        <v>77</v>
      </c>
      <c r="F41" s="22">
        <v>68</v>
      </c>
      <c r="G41" s="22">
        <v>56</v>
      </c>
      <c r="H41" s="22">
        <v>60</v>
      </c>
      <c r="I41" s="22">
        <v>66</v>
      </c>
      <c r="J41" s="22">
        <v>71</v>
      </c>
      <c r="K41" s="22">
        <v>78</v>
      </c>
      <c r="L41" s="22">
        <v>63</v>
      </c>
      <c r="M41" s="22">
        <v>77</v>
      </c>
      <c r="N41" s="22">
        <v>72</v>
      </c>
      <c r="O41" s="22">
        <v>76</v>
      </c>
      <c r="P41" s="22">
        <v>94</v>
      </c>
      <c r="Q41" s="22">
        <v>81</v>
      </c>
      <c r="R41" s="46">
        <f t="shared" si="0"/>
        <v>939</v>
      </c>
      <c r="S41" s="49">
        <f t="shared" si="1"/>
        <v>72.230769230769226</v>
      </c>
      <c r="T41" s="46">
        <f t="shared" si="2"/>
        <v>35</v>
      </c>
      <c r="U41" s="11"/>
      <c r="V41" s="11"/>
    </row>
    <row r="42" spans="1:22" ht="20.100000000000001" customHeight="1" x14ac:dyDescent="0.25">
      <c r="A42" s="156">
        <v>39</v>
      </c>
      <c r="B42" s="135"/>
      <c r="C42" s="136">
        <v>14</v>
      </c>
      <c r="D42" s="136" t="s">
        <v>20</v>
      </c>
      <c r="E42" s="100">
        <v>76</v>
      </c>
      <c r="F42" s="22">
        <v>82</v>
      </c>
      <c r="G42" s="23">
        <v>62</v>
      </c>
      <c r="H42" s="22">
        <v>70</v>
      </c>
      <c r="I42" s="22">
        <v>71</v>
      </c>
      <c r="J42" s="22">
        <v>63</v>
      </c>
      <c r="K42" s="22">
        <v>85</v>
      </c>
      <c r="L42" s="22">
        <v>65</v>
      </c>
      <c r="M42" s="22">
        <v>88</v>
      </c>
      <c r="N42" s="22">
        <v>85</v>
      </c>
      <c r="O42" s="22">
        <v>85</v>
      </c>
      <c r="P42" s="22">
        <v>95</v>
      </c>
      <c r="Q42" s="22">
        <v>81</v>
      </c>
      <c r="R42" s="46">
        <f t="shared" si="0"/>
        <v>1008</v>
      </c>
      <c r="S42" s="49">
        <f t="shared" si="1"/>
        <v>77.538461538461533</v>
      </c>
      <c r="T42" s="46">
        <f t="shared" si="2"/>
        <v>19</v>
      </c>
      <c r="U42" s="11"/>
      <c r="V42" s="11"/>
    </row>
    <row r="43" spans="1:22" ht="20.100000000000001" customHeight="1" x14ac:dyDescent="0.25">
      <c r="A43" s="155">
        <v>40</v>
      </c>
      <c r="B43" s="135"/>
      <c r="C43" s="136">
        <v>15</v>
      </c>
      <c r="D43" s="136" t="s">
        <v>20</v>
      </c>
      <c r="E43" s="100">
        <v>81</v>
      </c>
      <c r="F43" s="22">
        <v>85</v>
      </c>
      <c r="G43" s="22">
        <v>77</v>
      </c>
      <c r="H43" s="22">
        <v>77</v>
      </c>
      <c r="I43" s="22">
        <v>81</v>
      </c>
      <c r="J43" s="22">
        <v>86</v>
      </c>
      <c r="K43" s="23">
        <v>81</v>
      </c>
      <c r="L43" s="22">
        <v>76</v>
      </c>
      <c r="M43" s="22">
        <v>91</v>
      </c>
      <c r="N43" s="22">
        <v>87</v>
      </c>
      <c r="O43" s="22">
        <v>88</v>
      </c>
      <c r="P43" s="22">
        <v>91</v>
      </c>
      <c r="Q43" s="22">
        <v>89</v>
      </c>
      <c r="R43" s="46">
        <f t="shared" si="0"/>
        <v>1090</v>
      </c>
      <c r="S43" s="49">
        <f t="shared" si="1"/>
        <v>83.84615384615384</v>
      </c>
      <c r="T43" s="46">
        <f t="shared" si="2"/>
        <v>9</v>
      </c>
      <c r="U43" s="11"/>
      <c r="V43" s="11"/>
    </row>
    <row r="44" spans="1:22" ht="20.100000000000001" customHeight="1" x14ac:dyDescent="0.25">
      <c r="A44" s="156">
        <v>41</v>
      </c>
      <c r="B44" s="135"/>
      <c r="C44" s="136">
        <v>14</v>
      </c>
      <c r="D44" s="136" t="s">
        <v>23</v>
      </c>
      <c r="E44" s="100">
        <v>90</v>
      </c>
      <c r="F44" s="22">
        <v>93</v>
      </c>
      <c r="G44" s="22">
        <v>95</v>
      </c>
      <c r="H44" s="22">
        <v>77</v>
      </c>
      <c r="I44" s="22">
        <v>91</v>
      </c>
      <c r="J44" s="22">
        <v>72</v>
      </c>
      <c r="K44" s="22">
        <v>81</v>
      </c>
      <c r="L44" s="22">
        <v>82</v>
      </c>
      <c r="M44" s="22">
        <v>94</v>
      </c>
      <c r="N44" s="22">
        <v>87</v>
      </c>
      <c r="O44" s="22">
        <v>87</v>
      </c>
      <c r="P44" s="22">
        <v>94</v>
      </c>
      <c r="Q44" s="22">
        <v>88</v>
      </c>
      <c r="R44" s="46">
        <f t="shared" si="0"/>
        <v>1131</v>
      </c>
      <c r="S44" s="49">
        <f t="shared" si="1"/>
        <v>87</v>
      </c>
      <c r="T44" s="46">
        <f t="shared" si="2"/>
        <v>5</v>
      </c>
      <c r="U44" s="11"/>
      <c r="V44" s="11"/>
    </row>
    <row r="45" spans="1:22" ht="20.100000000000001" customHeight="1" x14ac:dyDescent="0.25">
      <c r="A45" s="156">
        <v>42</v>
      </c>
      <c r="B45" s="135"/>
      <c r="C45" s="136">
        <v>14</v>
      </c>
      <c r="D45" s="136" t="s">
        <v>20</v>
      </c>
      <c r="E45" s="100">
        <v>74</v>
      </c>
      <c r="F45" s="23">
        <v>79</v>
      </c>
      <c r="G45" s="23">
        <v>79</v>
      </c>
      <c r="H45" s="23">
        <v>64</v>
      </c>
      <c r="I45" s="22">
        <v>66</v>
      </c>
      <c r="J45" s="22">
        <v>70</v>
      </c>
      <c r="K45" s="22">
        <v>68</v>
      </c>
      <c r="L45" s="22">
        <v>58</v>
      </c>
      <c r="M45" s="22">
        <v>77</v>
      </c>
      <c r="N45" s="23">
        <v>87</v>
      </c>
      <c r="O45" s="23">
        <v>69</v>
      </c>
      <c r="P45" s="22">
        <v>91</v>
      </c>
      <c r="Q45" s="22">
        <v>57</v>
      </c>
      <c r="R45" s="46">
        <f t="shared" si="0"/>
        <v>939</v>
      </c>
      <c r="S45" s="49">
        <f t="shared" si="1"/>
        <v>72.230769230769226</v>
      </c>
      <c r="T45" s="46">
        <f t="shared" si="2"/>
        <v>35</v>
      </c>
      <c r="U45" s="11"/>
      <c r="V45" s="11"/>
    </row>
    <row r="46" spans="1:22" ht="20.100000000000001" customHeight="1" x14ac:dyDescent="0.25">
      <c r="A46" s="156">
        <v>43</v>
      </c>
      <c r="B46" s="135"/>
      <c r="C46" s="136">
        <v>15</v>
      </c>
      <c r="D46" s="136" t="s">
        <v>23</v>
      </c>
      <c r="E46" s="100">
        <v>77</v>
      </c>
      <c r="F46" s="23">
        <v>70</v>
      </c>
      <c r="G46" s="23">
        <v>52</v>
      </c>
      <c r="H46" s="22">
        <v>50</v>
      </c>
      <c r="I46" s="23">
        <v>68</v>
      </c>
      <c r="J46" s="22">
        <v>70</v>
      </c>
      <c r="K46" s="23">
        <v>57</v>
      </c>
      <c r="L46" s="23">
        <v>56</v>
      </c>
      <c r="M46" s="22">
        <v>72</v>
      </c>
      <c r="N46" s="22">
        <v>74</v>
      </c>
      <c r="O46" s="22">
        <v>76</v>
      </c>
      <c r="P46" s="23">
        <v>85</v>
      </c>
      <c r="Q46" s="23">
        <v>68</v>
      </c>
      <c r="R46" s="46">
        <f t="shared" si="0"/>
        <v>875</v>
      </c>
      <c r="S46" s="49">
        <f t="shared" si="1"/>
        <v>67.307692307692307</v>
      </c>
      <c r="T46" s="46">
        <f t="shared" si="2"/>
        <v>45</v>
      </c>
      <c r="U46" s="11"/>
      <c r="V46" s="11"/>
    </row>
    <row r="47" spans="1:22" ht="20.100000000000001" customHeight="1" x14ac:dyDescent="0.25">
      <c r="A47" s="155">
        <v>44</v>
      </c>
      <c r="B47" s="135"/>
      <c r="C47" s="136">
        <v>17</v>
      </c>
      <c r="D47" s="136" t="s">
        <v>20</v>
      </c>
      <c r="E47" s="100">
        <v>85</v>
      </c>
      <c r="F47" s="22">
        <v>78</v>
      </c>
      <c r="G47" s="22">
        <v>71</v>
      </c>
      <c r="H47" s="22">
        <v>76</v>
      </c>
      <c r="I47" s="22">
        <v>78</v>
      </c>
      <c r="J47" s="22">
        <v>79</v>
      </c>
      <c r="K47" s="22">
        <v>92</v>
      </c>
      <c r="L47" s="22">
        <v>79</v>
      </c>
      <c r="M47" s="22">
        <v>92</v>
      </c>
      <c r="N47" s="22">
        <v>82</v>
      </c>
      <c r="O47" s="22">
        <v>84</v>
      </c>
      <c r="P47" s="22">
        <v>95</v>
      </c>
      <c r="Q47" s="22">
        <v>77</v>
      </c>
      <c r="R47" s="46">
        <f t="shared" si="0"/>
        <v>1068</v>
      </c>
      <c r="S47" s="49">
        <f t="shared" si="1"/>
        <v>82.15384615384616</v>
      </c>
      <c r="T47" s="46">
        <f t="shared" si="2"/>
        <v>13</v>
      </c>
      <c r="U47" s="11"/>
      <c r="V47" s="11"/>
    </row>
    <row r="48" spans="1:22" ht="20.100000000000001" customHeight="1" x14ac:dyDescent="0.25">
      <c r="A48" s="156">
        <v>45</v>
      </c>
      <c r="B48" s="135"/>
      <c r="C48" s="136">
        <v>14</v>
      </c>
      <c r="D48" s="136" t="s">
        <v>20</v>
      </c>
      <c r="E48" s="100">
        <v>88</v>
      </c>
      <c r="F48" s="22">
        <v>81</v>
      </c>
      <c r="G48" s="22">
        <v>73</v>
      </c>
      <c r="H48" s="22">
        <v>70</v>
      </c>
      <c r="I48" s="22">
        <v>79</v>
      </c>
      <c r="J48" s="22">
        <v>85</v>
      </c>
      <c r="K48" s="22">
        <v>86</v>
      </c>
      <c r="L48" s="22">
        <v>78</v>
      </c>
      <c r="M48" s="22">
        <v>93</v>
      </c>
      <c r="N48" s="22">
        <v>86</v>
      </c>
      <c r="O48" s="22">
        <v>90</v>
      </c>
      <c r="P48" s="22">
        <v>95</v>
      </c>
      <c r="Q48" s="22">
        <v>88</v>
      </c>
      <c r="R48" s="46">
        <f t="shared" si="0"/>
        <v>1092</v>
      </c>
      <c r="S48" s="49">
        <f t="shared" si="1"/>
        <v>84</v>
      </c>
      <c r="T48" s="46">
        <f t="shared" si="2"/>
        <v>8</v>
      </c>
      <c r="U48" s="11"/>
      <c r="V48" s="11"/>
    </row>
    <row r="49" spans="1:22" ht="20.100000000000001" customHeight="1" x14ac:dyDescent="0.25">
      <c r="A49" s="155">
        <v>46</v>
      </c>
      <c r="B49" s="135"/>
      <c r="C49" s="136">
        <v>14</v>
      </c>
      <c r="D49" s="136" t="s">
        <v>23</v>
      </c>
      <c r="E49" s="100">
        <v>86</v>
      </c>
      <c r="F49" s="22">
        <v>90</v>
      </c>
      <c r="G49" s="22">
        <v>68</v>
      </c>
      <c r="H49" s="22">
        <v>80</v>
      </c>
      <c r="I49" s="22">
        <v>74</v>
      </c>
      <c r="J49" s="22">
        <v>84</v>
      </c>
      <c r="K49" s="23">
        <v>85</v>
      </c>
      <c r="L49" s="22">
        <v>69</v>
      </c>
      <c r="M49" s="22">
        <v>88</v>
      </c>
      <c r="N49" s="22">
        <v>88</v>
      </c>
      <c r="O49" s="22">
        <v>84</v>
      </c>
      <c r="P49" s="22">
        <v>90</v>
      </c>
      <c r="Q49" s="22">
        <v>90</v>
      </c>
      <c r="R49" s="46">
        <f t="shared" si="0"/>
        <v>1076</v>
      </c>
      <c r="S49" s="49">
        <f t="shared" si="1"/>
        <v>82.769230769230774</v>
      </c>
      <c r="T49" s="46">
        <f t="shared" si="2"/>
        <v>12</v>
      </c>
      <c r="U49" s="11"/>
      <c r="V49" s="11"/>
    </row>
    <row r="50" spans="1:22" ht="20.100000000000001" customHeight="1" x14ac:dyDescent="0.25">
      <c r="A50" s="155">
        <v>47</v>
      </c>
      <c r="B50" s="135"/>
      <c r="C50" s="136">
        <v>14</v>
      </c>
      <c r="D50" s="136" t="s">
        <v>20</v>
      </c>
      <c r="E50" s="100">
        <v>74</v>
      </c>
      <c r="F50" s="22">
        <v>85</v>
      </c>
      <c r="G50" s="22">
        <v>83</v>
      </c>
      <c r="H50" s="22">
        <v>83</v>
      </c>
      <c r="I50" s="22">
        <v>72</v>
      </c>
      <c r="J50" s="22">
        <v>60</v>
      </c>
      <c r="K50" s="22">
        <v>59</v>
      </c>
      <c r="L50" s="22">
        <v>60</v>
      </c>
      <c r="M50" s="22">
        <v>76</v>
      </c>
      <c r="N50" s="22">
        <v>83</v>
      </c>
      <c r="O50" s="22">
        <v>82</v>
      </c>
      <c r="P50" s="22">
        <v>80</v>
      </c>
      <c r="Q50" s="22">
        <v>76</v>
      </c>
      <c r="R50" s="46">
        <f t="shared" si="0"/>
        <v>973</v>
      </c>
      <c r="S50" s="49">
        <f t="shared" si="1"/>
        <v>74.84615384615384</v>
      </c>
      <c r="T50" s="46">
        <f t="shared" si="2"/>
        <v>27</v>
      </c>
      <c r="U50" s="11"/>
      <c r="V50" s="11"/>
    </row>
    <row r="51" spans="1:22" ht="20.100000000000001" customHeight="1" x14ac:dyDescent="0.25">
      <c r="A51" s="155">
        <v>48</v>
      </c>
      <c r="B51" s="135"/>
      <c r="C51" s="136">
        <v>15</v>
      </c>
      <c r="D51" s="136" t="s">
        <v>23</v>
      </c>
      <c r="E51" s="100">
        <v>85</v>
      </c>
      <c r="F51" s="22">
        <v>68</v>
      </c>
      <c r="G51" s="22">
        <v>39</v>
      </c>
      <c r="H51" s="22">
        <v>47</v>
      </c>
      <c r="I51" s="22">
        <v>62</v>
      </c>
      <c r="J51" s="22">
        <v>60</v>
      </c>
      <c r="K51" s="22">
        <v>83</v>
      </c>
      <c r="L51" s="22">
        <v>57</v>
      </c>
      <c r="M51" s="22">
        <v>90</v>
      </c>
      <c r="N51" s="22">
        <v>87</v>
      </c>
      <c r="O51" s="22">
        <v>70</v>
      </c>
      <c r="P51" s="22">
        <v>92</v>
      </c>
      <c r="Q51" s="22">
        <v>84</v>
      </c>
      <c r="R51" s="46">
        <f t="shared" si="0"/>
        <v>924</v>
      </c>
      <c r="S51" s="49">
        <f t="shared" si="1"/>
        <v>71.07692307692308</v>
      </c>
      <c r="T51" s="46">
        <f t="shared" si="2"/>
        <v>40</v>
      </c>
      <c r="U51" s="11"/>
      <c r="V51" s="11"/>
    </row>
    <row r="52" spans="1:22" ht="20.100000000000001" customHeight="1" x14ac:dyDescent="0.25">
      <c r="A52" s="156">
        <v>49</v>
      </c>
      <c r="B52" s="135"/>
      <c r="C52" s="136">
        <v>15</v>
      </c>
      <c r="D52" s="136" t="s">
        <v>23</v>
      </c>
      <c r="E52" s="100">
        <v>89</v>
      </c>
      <c r="F52" s="22">
        <v>81</v>
      </c>
      <c r="G52" s="22">
        <v>43</v>
      </c>
      <c r="H52" s="22">
        <v>57</v>
      </c>
      <c r="I52" s="22">
        <v>60</v>
      </c>
      <c r="J52" s="22">
        <v>68</v>
      </c>
      <c r="K52" s="22">
        <v>70</v>
      </c>
      <c r="L52" s="22">
        <v>66</v>
      </c>
      <c r="M52" s="22">
        <v>92</v>
      </c>
      <c r="N52" s="22">
        <v>76</v>
      </c>
      <c r="O52" s="22">
        <v>79</v>
      </c>
      <c r="P52" s="22">
        <v>83</v>
      </c>
      <c r="Q52" s="22">
        <v>65</v>
      </c>
      <c r="R52" s="46">
        <f t="shared" si="0"/>
        <v>929</v>
      </c>
      <c r="S52" s="49">
        <f t="shared" si="1"/>
        <v>71.461538461538467</v>
      </c>
      <c r="T52" s="46">
        <f t="shared" si="2"/>
        <v>38</v>
      </c>
      <c r="U52" s="11"/>
      <c r="V52" s="11"/>
    </row>
    <row r="53" spans="1:22" ht="20.100000000000001" customHeight="1" x14ac:dyDescent="0.25">
      <c r="A53" s="156">
        <v>50</v>
      </c>
      <c r="B53" s="135"/>
      <c r="C53" s="136">
        <v>15</v>
      </c>
      <c r="D53" s="136" t="s">
        <v>20</v>
      </c>
      <c r="E53" s="100">
        <v>81</v>
      </c>
      <c r="F53" s="22">
        <v>66</v>
      </c>
      <c r="G53" s="22">
        <v>63</v>
      </c>
      <c r="H53" s="22">
        <v>59</v>
      </c>
      <c r="I53" s="22">
        <v>69</v>
      </c>
      <c r="J53" s="22">
        <v>58</v>
      </c>
      <c r="K53" s="22">
        <v>71</v>
      </c>
      <c r="L53" s="22">
        <v>55</v>
      </c>
      <c r="M53" s="22">
        <v>77</v>
      </c>
      <c r="N53" s="22">
        <v>83</v>
      </c>
      <c r="O53" s="22">
        <v>67</v>
      </c>
      <c r="P53" s="22">
        <v>82</v>
      </c>
      <c r="Q53" s="22">
        <v>74</v>
      </c>
      <c r="R53" s="46">
        <f t="shared" si="0"/>
        <v>905</v>
      </c>
      <c r="S53" s="49">
        <f t="shared" si="1"/>
        <v>69.615384615384613</v>
      </c>
      <c r="T53" s="46">
        <f t="shared" si="2"/>
        <v>42</v>
      </c>
      <c r="U53" s="11"/>
      <c r="V53" s="11"/>
    </row>
    <row r="54" spans="1:22" ht="19.5" customHeight="1" x14ac:dyDescent="0.25">
      <c r="A54" s="156">
        <v>51</v>
      </c>
      <c r="B54" s="139"/>
      <c r="C54" s="136">
        <v>14</v>
      </c>
      <c r="D54" s="136" t="s">
        <v>23</v>
      </c>
      <c r="E54" s="100">
        <v>84</v>
      </c>
      <c r="F54" s="22">
        <v>78</v>
      </c>
      <c r="G54" s="22">
        <v>72</v>
      </c>
      <c r="H54" s="22">
        <v>67</v>
      </c>
      <c r="I54" s="22">
        <v>76</v>
      </c>
      <c r="J54" s="22">
        <v>74</v>
      </c>
      <c r="K54" s="22">
        <v>88</v>
      </c>
      <c r="L54" s="22">
        <v>69</v>
      </c>
      <c r="M54" s="22">
        <v>86</v>
      </c>
      <c r="N54" s="22">
        <v>81</v>
      </c>
      <c r="O54" s="22">
        <v>84</v>
      </c>
      <c r="P54" s="22">
        <v>97</v>
      </c>
      <c r="Q54" s="22">
        <v>89</v>
      </c>
      <c r="R54" s="46">
        <f t="shared" si="0"/>
        <v>1045</v>
      </c>
      <c r="S54" s="49">
        <f t="shared" si="1"/>
        <v>80.384615384615387</v>
      </c>
      <c r="T54" s="46">
        <f t="shared" si="2"/>
        <v>15</v>
      </c>
      <c r="U54" s="11"/>
      <c r="V54" s="11"/>
    </row>
    <row r="55" spans="1:22" ht="19.5" customHeight="1" x14ac:dyDescent="0.25">
      <c r="A55" s="156">
        <v>52</v>
      </c>
      <c r="B55" s="139"/>
      <c r="C55" s="136">
        <v>15</v>
      </c>
      <c r="D55" s="136" t="s">
        <v>23</v>
      </c>
      <c r="E55" s="45">
        <v>88</v>
      </c>
      <c r="F55" s="11">
        <v>77</v>
      </c>
      <c r="G55" s="11">
        <v>61</v>
      </c>
      <c r="H55" s="11">
        <v>61</v>
      </c>
      <c r="I55" s="11">
        <v>64</v>
      </c>
      <c r="J55" s="11">
        <v>74</v>
      </c>
      <c r="K55" s="11">
        <v>84</v>
      </c>
      <c r="L55" s="11">
        <v>64</v>
      </c>
      <c r="M55" s="11">
        <v>83</v>
      </c>
      <c r="N55" s="11">
        <v>78</v>
      </c>
      <c r="O55" s="11">
        <v>75</v>
      </c>
      <c r="P55" s="11">
        <v>96</v>
      </c>
      <c r="Q55" s="11">
        <v>78</v>
      </c>
      <c r="R55" s="46">
        <f t="shared" si="0"/>
        <v>983</v>
      </c>
      <c r="S55" s="49">
        <f t="shared" si="1"/>
        <v>75.615384615384613</v>
      </c>
      <c r="T55" s="46">
        <f t="shared" si="2"/>
        <v>24</v>
      </c>
      <c r="U55" s="11"/>
      <c r="V55" s="11"/>
    </row>
    <row r="56" spans="1:22" ht="19.5" customHeight="1" x14ac:dyDescent="0.25">
      <c r="A56" s="157">
        <v>53</v>
      </c>
      <c r="B56" s="147"/>
      <c r="C56" s="158">
        <v>16</v>
      </c>
      <c r="D56" s="158" t="s">
        <v>20</v>
      </c>
      <c r="E56" s="11">
        <v>83</v>
      </c>
      <c r="F56" s="11">
        <v>65</v>
      </c>
      <c r="G56" s="11">
        <v>63</v>
      </c>
      <c r="H56" s="11">
        <v>66</v>
      </c>
      <c r="I56" s="11">
        <v>58</v>
      </c>
      <c r="J56" s="11">
        <v>62</v>
      </c>
      <c r="K56" s="11">
        <v>84</v>
      </c>
      <c r="L56" s="11">
        <v>67</v>
      </c>
      <c r="M56" s="11">
        <v>74</v>
      </c>
      <c r="N56" s="11">
        <v>77</v>
      </c>
      <c r="O56" s="11">
        <v>72</v>
      </c>
      <c r="P56" s="11">
        <v>94</v>
      </c>
      <c r="Q56" s="11">
        <v>81</v>
      </c>
      <c r="R56" s="46">
        <f t="shared" si="0"/>
        <v>946</v>
      </c>
      <c r="S56" s="49">
        <f t="shared" si="1"/>
        <v>72.769230769230774</v>
      </c>
      <c r="T56" s="46">
        <f t="shared" si="2"/>
        <v>34</v>
      </c>
      <c r="U56" s="11"/>
      <c r="V56" s="11"/>
    </row>
    <row r="57" spans="1:22" ht="19.5" customHeight="1" x14ac:dyDescent="0.25">
      <c r="A57" s="157">
        <v>54</v>
      </c>
      <c r="B57" s="153"/>
      <c r="C57" s="42">
        <v>15</v>
      </c>
      <c r="D57" s="42" t="s">
        <v>20</v>
      </c>
      <c r="E57" s="11">
        <v>87</v>
      </c>
      <c r="F57" s="11">
        <v>75</v>
      </c>
      <c r="G57" s="11">
        <v>67</v>
      </c>
      <c r="H57" s="11">
        <v>69</v>
      </c>
      <c r="I57" s="11">
        <v>76</v>
      </c>
      <c r="J57" s="11">
        <v>67</v>
      </c>
      <c r="K57" s="11">
        <v>84</v>
      </c>
      <c r="L57" s="11">
        <v>74</v>
      </c>
      <c r="M57" s="11">
        <v>81</v>
      </c>
      <c r="N57" s="11">
        <v>82</v>
      </c>
      <c r="O57" s="11">
        <v>75</v>
      </c>
      <c r="P57" s="11">
        <v>84</v>
      </c>
      <c r="Q57" s="11">
        <v>92</v>
      </c>
      <c r="R57" s="46">
        <f t="shared" si="0"/>
        <v>1013</v>
      </c>
      <c r="S57" s="49">
        <f t="shared" si="1"/>
        <v>77.92307692307692</v>
      </c>
      <c r="T57" s="46">
        <f t="shared" si="2"/>
        <v>18</v>
      </c>
      <c r="U57" s="11"/>
      <c r="V57" s="11"/>
    </row>
    <row r="58" spans="1:22" ht="19.5" customHeight="1" x14ac:dyDescent="0.25">
      <c r="A58" s="157">
        <v>55</v>
      </c>
      <c r="B58" s="153"/>
      <c r="C58" s="42">
        <v>15</v>
      </c>
      <c r="D58" s="42" t="s">
        <v>23</v>
      </c>
      <c r="E58" s="11">
        <v>90</v>
      </c>
      <c r="F58" s="11">
        <v>93</v>
      </c>
      <c r="G58" s="11">
        <v>95</v>
      </c>
      <c r="H58" s="11">
        <v>97</v>
      </c>
      <c r="I58" s="11">
        <v>97</v>
      </c>
      <c r="J58" s="11">
        <v>97</v>
      </c>
      <c r="K58" s="11">
        <v>92</v>
      </c>
      <c r="L58" s="11">
        <v>95</v>
      </c>
      <c r="M58" s="11">
        <v>99</v>
      </c>
      <c r="N58" s="11">
        <v>88</v>
      </c>
      <c r="O58" s="11">
        <v>95</v>
      </c>
      <c r="P58" s="11">
        <v>98</v>
      </c>
      <c r="Q58" s="11">
        <v>93</v>
      </c>
      <c r="R58" s="46">
        <f t="shared" si="0"/>
        <v>1229</v>
      </c>
      <c r="S58" s="49">
        <f t="shared" si="1"/>
        <v>94.538461538461533</v>
      </c>
      <c r="T58" s="46">
        <f t="shared" si="2"/>
        <v>1</v>
      </c>
      <c r="U58" s="11"/>
      <c r="V58" s="11"/>
    </row>
  </sheetData>
  <mergeCells count="2">
    <mergeCell ref="A1:V1"/>
    <mergeCell ref="A2:V2"/>
  </mergeCells>
  <pageMargins left="0.7" right="0.7" top="0.75" bottom="0.75" header="0.3" footer="0.3"/>
  <pageSetup paperSize="9" scale="7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8"/>
  <sheetViews>
    <sheetView workbookViewId="0">
      <selection activeCell="B4" sqref="B4:B58"/>
    </sheetView>
  </sheetViews>
  <sheetFormatPr defaultRowHeight="15" x14ac:dyDescent="0.25"/>
  <cols>
    <col min="1" max="1" width="6.7109375" style="10" customWidth="1"/>
    <col min="2" max="2" width="35.140625" bestFit="1" customWidth="1"/>
    <col min="3" max="3" width="4.7109375" customWidth="1"/>
    <col min="4" max="4" width="4.140625" customWidth="1"/>
    <col min="5" max="22" width="6.7109375" customWidth="1"/>
  </cols>
  <sheetData>
    <row r="1" spans="1:22" ht="20.25" x14ac:dyDescent="0.25">
      <c r="A1" s="222" t="s">
        <v>56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4"/>
    </row>
    <row r="2" spans="1:22" ht="18" thickBot="1" x14ac:dyDescent="0.3">
      <c r="A2" s="225" t="s">
        <v>31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</row>
    <row r="3" spans="1:22" ht="67.5" customHeight="1" thickBot="1" x14ac:dyDescent="0.3">
      <c r="A3" s="50" t="s">
        <v>24</v>
      </c>
      <c r="B3" s="51" t="s">
        <v>1</v>
      </c>
      <c r="C3" s="52" t="s">
        <v>2</v>
      </c>
      <c r="D3" s="51" t="s">
        <v>3</v>
      </c>
      <c r="E3" s="53" t="s">
        <v>4</v>
      </c>
      <c r="F3" s="53" t="s">
        <v>5</v>
      </c>
      <c r="G3" s="53" t="s">
        <v>6</v>
      </c>
      <c r="H3" s="53" t="s">
        <v>7</v>
      </c>
      <c r="I3" s="53" t="s">
        <v>8</v>
      </c>
      <c r="J3" s="53" t="s">
        <v>9</v>
      </c>
      <c r="K3" s="53" t="s">
        <v>11</v>
      </c>
      <c r="L3" s="53" t="s">
        <v>10</v>
      </c>
      <c r="M3" s="55" t="s">
        <v>69</v>
      </c>
      <c r="N3" s="55" t="s">
        <v>13</v>
      </c>
      <c r="O3" s="55" t="s">
        <v>65</v>
      </c>
      <c r="P3" s="53" t="s">
        <v>14</v>
      </c>
      <c r="Q3" s="53" t="s">
        <v>66</v>
      </c>
      <c r="R3" s="55" t="s">
        <v>15</v>
      </c>
      <c r="S3" s="53" t="s">
        <v>16</v>
      </c>
      <c r="T3" s="17" t="s">
        <v>17</v>
      </c>
      <c r="U3" s="18" t="s">
        <v>18</v>
      </c>
      <c r="V3" s="20" t="s">
        <v>19</v>
      </c>
    </row>
    <row r="4" spans="1:22" ht="20.100000000000001" customHeight="1" thickBot="1" x14ac:dyDescent="0.3">
      <c r="A4" s="158">
        <v>1</v>
      </c>
      <c r="B4" s="134"/>
      <c r="C4" s="144">
        <v>15</v>
      </c>
      <c r="D4" s="144" t="s">
        <v>20</v>
      </c>
      <c r="E4" s="119">
        <v>82</v>
      </c>
      <c r="F4" s="119">
        <v>53</v>
      </c>
      <c r="G4" s="119">
        <v>71</v>
      </c>
      <c r="H4" s="119">
        <v>62</v>
      </c>
      <c r="I4" s="119">
        <v>60</v>
      </c>
      <c r="J4" s="119">
        <v>76</v>
      </c>
      <c r="K4" s="119">
        <v>67</v>
      </c>
      <c r="L4" s="119">
        <v>73</v>
      </c>
      <c r="M4" s="119">
        <v>71</v>
      </c>
      <c r="N4" s="119">
        <v>82</v>
      </c>
      <c r="O4" s="119">
        <v>80</v>
      </c>
      <c r="P4" s="119">
        <v>87</v>
      </c>
      <c r="Q4" s="196">
        <v>60</v>
      </c>
      <c r="R4" s="196">
        <f>SUM(E4:Q4)</f>
        <v>924</v>
      </c>
      <c r="S4" s="120">
        <f>AVERAGE(E4:Q4)</f>
        <v>71.07692307692308</v>
      </c>
      <c r="T4" s="119">
        <f>RANK(S4,$S$4:$S$58)</f>
        <v>40</v>
      </c>
      <c r="U4" s="119"/>
      <c r="V4" s="119"/>
    </row>
    <row r="5" spans="1:22" ht="20.100000000000001" customHeight="1" thickBot="1" x14ac:dyDescent="0.3">
      <c r="A5" s="145">
        <v>2</v>
      </c>
      <c r="B5" s="135"/>
      <c r="C5" s="136">
        <v>14</v>
      </c>
      <c r="D5" s="136" t="s">
        <v>23</v>
      </c>
      <c r="E5" s="11">
        <v>83</v>
      </c>
      <c r="F5" s="11">
        <v>79</v>
      </c>
      <c r="G5" s="11">
        <v>84</v>
      </c>
      <c r="H5" s="11">
        <v>70</v>
      </c>
      <c r="I5" s="11">
        <v>75</v>
      </c>
      <c r="J5" s="11">
        <v>87</v>
      </c>
      <c r="K5" s="11">
        <v>81</v>
      </c>
      <c r="L5" s="11">
        <v>89</v>
      </c>
      <c r="M5" s="11">
        <v>86</v>
      </c>
      <c r="N5" s="11">
        <v>94</v>
      </c>
      <c r="O5" s="11">
        <v>91</v>
      </c>
      <c r="P5" s="11">
        <v>90</v>
      </c>
      <c r="Q5" s="81">
        <v>64</v>
      </c>
      <c r="R5" s="196">
        <f t="shared" ref="R5:R58" si="0">SUM(E5:Q5)</f>
        <v>1073</v>
      </c>
      <c r="S5" s="120">
        <f t="shared" ref="S5:S58" si="1">AVERAGE(E5:Q5)</f>
        <v>82.538461538461533</v>
      </c>
      <c r="T5" s="119">
        <f t="shared" ref="T5:T58" si="2">RANK(S5,$S$4:$S$58)</f>
        <v>11</v>
      </c>
      <c r="U5" s="11"/>
      <c r="V5" s="11"/>
    </row>
    <row r="6" spans="1:22" ht="20.100000000000001" customHeight="1" thickBot="1" x14ac:dyDescent="0.3">
      <c r="A6" s="157">
        <v>3</v>
      </c>
      <c r="B6" s="135"/>
      <c r="C6" s="136">
        <v>15</v>
      </c>
      <c r="D6" s="136" t="s">
        <v>20</v>
      </c>
      <c r="E6" s="11">
        <v>85</v>
      </c>
      <c r="F6" s="11">
        <v>80</v>
      </c>
      <c r="G6" s="11">
        <v>72</v>
      </c>
      <c r="H6" s="11">
        <v>63</v>
      </c>
      <c r="I6" s="11">
        <v>72</v>
      </c>
      <c r="J6" s="11">
        <v>81</v>
      </c>
      <c r="K6" s="11">
        <v>72</v>
      </c>
      <c r="L6" s="11">
        <v>87</v>
      </c>
      <c r="M6" s="11">
        <v>84</v>
      </c>
      <c r="N6" s="11">
        <v>92</v>
      </c>
      <c r="O6" s="11">
        <v>77</v>
      </c>
      <c r="P6" s="11">
        <v>91</v>
      </c>
      <c r="Q6" s="81">
        <v>68</v>
      </c>
      <c r="R6" s="196">
        <f t="shared" si="0"/>
        <v>1024</v>
      </c>
      <c r="S6" s="120">
        <f t="shared" si="1"/>
        <v>78.769230769230774</v>
      </c>
      <c r="T6" s="119">
        <f t="shared" si="2"/>
        <v>22</v>
      </c>
      <c r="U6" s="11"/>
      <c r="V6" s="11"/>
    </row>
    <row r="7" spans="1:22" ht="20.100000000000001" customHeight="1" thickBot="1" x14ac:dyDescent="0.3">
      <c r="A7" s="145">
        <v>4</v>
      </c>
      <c r="B7" s="135"/>
      <c r="C7" s="136">
        <v>15</v>
      </c>
      <c r="D7" s="136" t="s">
        <v>20</v>
      </c>
      <c r="E7" s="11">
        <v>81</v>
      </c>
      <c r="F7" s="11">
        <v>70</v>
      </c>
      <c r="G7" s="11">
        <v>50</v>
      </c>
      <c r="H7" s="11">
        <v>42</v>
      </c>
      <c r="I7" s="11">
        <v>47</v>
      </c>
      <c r="J7" s="11">
        <v>68</v>
      </c>
      <c r="K7" s="11">
        <v>62</v>
      </c>
      <c r="L7" s="11">
        <v>73</v>
      </c>
      <c r="M7" s="11">
        <v>72</v>
      </c>
      <c r="N7" s="11">
        <v>76</v>
      </c>
      <c r="O7" s="11">
        <v>68</v>
      </c>
      <c r="P7" s="11">
        <v>85</v>
      </c>
      <c r="Q7" s="81">
        <v>67</v>
      </c>
      <c r="R7" s="196">
        <f t="shared" si="0"/>
        <v>861</v>
      </c>
      <c r="S7" s="120">
        <f t="shared" si="1"/>
        <v>66.230769230769226</v>
      </c>
      <c r="T7" s="119">
        <f t="shared" si="2"/>
        <v>45</v>
      </c>
      <c r="U7" s="11"/>
      <c r="V7" s="11"/>
    </row>
    <row r="8" spans="1:22" ht="20.100000000000001" customHeight="1" thickBot="1" x14ac:dyDescent="0.3">
      <c r="A8" s="145">
        <v>5</v>
      </c>
      <c r="B8" s="135"/>
      <c r="C8" s="136">
        <v>15</v>
      </c>
      <c r="D8" s="136" t="s">
        <v>23</v>
      </c>
      <c r="E8" s="11">
        <v>79</v>
      </c>
      <c r="F8" s="11">
        <v>75</v>
      </c>
      <c r="G8" s="11">
        <v>77</v>
      </c>
      <c r="H8" s="11">
        <v>72</v>
      </c>
      <c r="I8" s="11">
        <v>78</v>
      </c>
      <c r="J8" s="11">
        <v>82</v>
      </c>
      <c r="K8" s="11">
        <v>71</v>
      </c>
      <c r="L8" s="11">
        <v>83</v>
      </c>
      <c r="M8" s="11">
        <v>76</v>
      </c>
      <c r="N8" s="11">
        <v>86</v>
      </c>
      <c r="O8" s="11">
        <v>75</v>
      </c>
      <c r="P8" s="11">
        <v>86</v>
      </c>
      <c r="Q8" s="81">
        <v>77</v>
      </c>
      <c r="R8" s="196">
        <f t="shared" si="0"/>
        <v>1017</v>
      </c>
      <c r="S8" s="120">
        <f t="shared" si="1"/>
        <v>78.230769230769226</v>
      </c>
      <c r="T8" s="119">
        <f t="shared" si="2"/>
        <v>24</v>
      </c>
      <c r="U8" s="11"/>
      <c r="V8" s="11"/>
    </row>
    <row r="9" spans="1:22" ht="20.100000000000001" customHeight="1" thickBot="1" x14ac:dyDescent="0.3">
      <c r="A9" s="157">
        <v>6</v>
      </c>
      <c r="B9" s="135"/>
      <c r="C9" s="136">
        <v>14</v>
      </c>
      <c r="D9" s="136" t="s">
        <v>23</v>
      </c>
      <c r="E9" s="11">
        <v>86</v>
      </c>
      <c r="F9" s="11">
        <v>65</v>
      </c>
      <c r="G9" s="11">
        <v>84</v>
      </c>
      <c r="H9" s="11">
        <v>76</v>
      </c>
      <c r="I9" s="11">
        <v>72</v>
      </c>
      <c r="J9" s="11">
        <v>83</v>
      </c>
      <c r="K9" s="11">
        <v>87</v>
      </c>
      <c r="L9" s="11">
        <v>81</v>
      </c>
      <c r="M9" s="11">
        <v>83</v>
      </c>
      <c r="N9" s="11">
        <v>83</v>
      </c>
      <c r="O9" s="11">
        <v>81</v>
      </c>
      <c r="P9" s="11">
        <v>91</v>
      </c>
      <c r="Q9" s="81">
        <v>98</v>
      </c>
      <c r="R9" s="196">
        <f t="shared" si="0"/>
        <v>1070</v>
      </c>
      <c r="S9" s="120">
        <f t="shared" si="1"/>
        <v>82.307692307692307</v>
      </c>
      <c r="T9" s="119">
        <f t="shared" si="2"/>
        <v>13</v>
      </c>
      <c r="U9" s="11"/>
      <c r="V9" s="11"/>
    </row>
    <row r="10" spans="1:22" ht="20.100000000000001" customHeight="1" thickBot="1" x14ac:dyDescent="0.3">
      <c r="A10" s="145">
        <v>7</v>
      </c>
      <c r="B10" s="135"/>
      <c r="C10" s="136">
        <v>14</v>
      </c>
      <c r="D10" s="136" t="s">
        <v>23</v>
      </c>
      <c r="E10" s="11">
        <v>65</v>
      </c>
      <c r="F10" s="11">
        <v>51</v>
      </c>
      <c r="G10" s="11">
        <v>51</v>
      </c>
      <c r="H10" s="11">
        <v>52</v>
      </c>
      <c r="I10" s="11">
        <v>62</v>
      </c>
      <c r="J10" s="11">
        <v>52</v>
      </c>
      <c r="K10" s="11">
        <v>40</v>
      </c>
      <c r="L10" s="11">
        <v>69</v>
      </c>
      <c r="M10" s="11">
        <v>62</v>
      </c>
      <c r="N10" s="11">
        <v>83</v>
      </c>
      <c r="O10" s="11">
        <v>43</v>
      </c>
      <c r="P10" s="11">
        <v>78</v>
      </c>
      <c r="Q10" s="81">
        <v>62</v>
      </c>
      <c r="R10" s="196">
        <f t="shared" si="0"/>
        <v>770</v>
      </c>
      <c r="S10" s="120">
        <f t="shared" si="1"/>
        <v>59.230769230769234</v>
      </c>
      <c r="T10" s="119">
        <f t="shared" si="2"/>
        <v>51</v>
      </c>
      <c r="U10" s="11"/>
      <c r="V10" s="11"/>
    </row>
    <row r="11" spans="1:22" ht="20.100000000000001" customHeight="1" thickBot="1" x14ac:dyDescent="0.3">
      <c r="A11" s="145">
        <v>8</v>
      </c>
      <c r="B11" s="135"/>
      <c r="C11" s="136">
        <v>15</v>
      </c>
      <c r="D11" s="136" t="s">
        <v>23</v>
      </c>
      <c r="E11" s="11">
        <v>89</v>
      </c>
      <c r="F11" s="11">
        <v>88</v>
      </c>
      <c r="G11" s="11">
        <v>86</v>
      </c>
      <c r="H11" s="11">
        <v>68</v>
      </c>
      <c r="I11" s="11">
        <v>71</v>
      </c>
      <c r="J11" s="11">
        <v>84</v>
      </c>
      <c r="K11" s="11">
        <v>73</v>
      </c>
      <c r="L11" s="11">
        <v>88</v>
      </c>
      <c r="M11" s="11">
        <v>85</v>
      </c>
      <c r="N11" s="11">
        <v>87</v>
      </c>
      <c r="O11" s="11">
        <v>82</v>
      </c>
      <c r="P11" s="11">
        <v>83</v>
      </c>
      <c r="Q11" s="81">
        <v>64</v>
      </c>
      <c r="R11" s="196">
        <f t="shared" si="0"/>
        <v>1048</v>
      </c>
      <c r="S11" s="120">
        <f t="shared" si="1"/>
        <v>80.615384615384613</v>
      </c>
      <c r="T11" s="119">
        <f t="shared" si="2"/>
        <v>18</v>
      </c>
      <c r="U11" s="11"/>
      <c r="V11" s="11"/>
    </row>
    <row r="12" spans="1:22" ht="20.100000000000001" customHeight="1" thickBot="1" x14ac:dyDescent="0.3">
      <c r="A12" s="157">
        <v>9</v>
      </c>
      <c r="B12" s="137"/>
      <c r="C12" s="136">
        <v>15</v>
      </c>
      <c r="D12" s="136" t="s">
        <v>20</v>
      </c>
      <c r="E12" s="11">
        <v>73</v>
      </c>
      <c r="F12" s="11">
        <v>64</v>
      </c>
      <c r="G12" s="11">
        <v>45</v>
      </c>
      <c r="H12" s="11">
        <v>47</v>
      </c>
      <c r="I12" s="11">
        <v>57</v>
      </c>
      <c r="J12" s="11">
        <v>52</v>
      </c>
      <c r="K12" s="11">
        <v>43</v>
      </c>
      <c r="L12" s="11">
        <v>64</v>
      </c>
      <c r="M12" s="11">
        <v>65</v>
      </c>
      <c r="N12" s="11">
        <v>80</v>
      </c>
      <c r="O12" s="11">
        <v>66</v>
      </c>
      <c r="P12" s="11">
        <v>82</v>
      </c>
      <c r="Q12" s="81">
        <v>60</v>
      </c>
      <c r="R12" s="196">
        <f t="shared" si="0"/>
        <v>798</v>
      </c>
      <c r="S12" s="120">
        <f t="shared" si="1"/>
        <v>61.384615384615387</v>
      </c>
      <c r="T12" s="119">
        <f t="shared" si="2"/>
        <v>50</v>
      </c>
      <c r="U12" s="11"/>
      <c r="V12" s="11"/>
    </row>
    <row r="13" spans="1:22" ht="20.100000000000001" customHeight="1" thickBot="1" x14ac:dyDescent="0.3">
      <c r="A13" s="145">
        <v>10</v>
      </c>
      <c r="B13" s="135"/>
      <c r="C13" s="136">
        <v>15</v>
      </c>
      <c r="D13" s="136" t="s">
        <v>23</v>
      </c>
      <c r="E13" s="11">
        <v>89</v>
      </c>
      <c r="F13" s="11">
        <v>69</v>
      </c>
      <c r="G13" s="11">
        <v>93</v>
      </c>
      <c r="H13" s="11">
        <v>63</v>
      </c>
      <c r="I13" s="11">
        <v>74</v>
      </c>
      <c r="J13" s="11">
        <v>58</v>
      </c>
      <c r="K13" s="11">
        <v>78</v>
      </c>
      <c r="L13" s="11">
        <v>73</v>
      </c>
      <c r="M13" s="11">
        <v>78</v>
      </c>
      <c r="N13" s="11">
        <v>90</v>
      </c>
      <c r="O13" s="11">
        <v>70</v>
      </c>
      <c r="P13" s="11">
        <v>87</v>
      </c>
      <c r="Q13" s="81">
        <v>83</v>
      </c>
      <c r="R13" s="196">
        <f t="shared" si="0"/>
        <v>1005</v>
      </c>
      <c r="S13" s="120">
        <f t="shared" si="1"/>
        <v>77.307692307692307</v>
      </c>
      <c r="T13" s="119">
        <f t="shared" si="2"/>
        <v>27</v>
      </c>
      <c r="U13" s="11"/>
      <c r="V13" s="11"/>
    </row>
    <row r="14" spans="1:22" ht="20.100000000000001" customHeight="1" thickBot="1" x14ac:dyDescent="0.3">
      <c r="A14" s="157">
        <v>11</v>
      </c>
      <c r="B14" s="135"/>
      <c r="C14" s="136">
        <v>15</v>
      </c>
      <c r="D14" s="136" t="s">
        <v>20</v>
      </c>
      <c r="E14" s="11">
        <v>84</v>
      </c>
      <c r="F14" s="11">
        <v>54</v>
      </c>
      <c r="G14" s="11">
        <v>69</v>
      </c>
      <c r="H14" s="11">
        <v>62</v>
      </c>
      <c r="I14" s="11">
        <v>71</v>
      </c>
      <c r="J14" s="11">
        <v>57</v>
      </c>
      <c r="K14" s="11">
        <v>71</v>
      </c>
      <c r="L14" s="11">
        <v>76</v>
      </c>
      <c r="M14" s="11">
        <v>71</v>
      </c>
      <c r="N14" s="11">
        <v>83</v>
      </c>
      <c r="O14" s="11">
        <v>67</v>
      </c>
      <c r="P14" s="11">
        <v>90</v>
      </c>
      <c r="Q14" s="81">
        <v>70</v>
      </c>
      <c r="R14" s="196">
        <f t="shared" si="0"/>
        <v>925</v>
      </c>
      <c r="S14" s="120">
        <f t="shared" si="1"/>
        <v>71.15384615384616</v>
      </c>
      <c r="T14" s="119">
        <f t="shared" si="2"/>
        <v>39</v>
      </c>
      <c r="U14" s="11"/>
      <c r="V14" s="11"/>
    </row>
    <row r="15" spans="1:22" ht="20.100000000000001" customHeight="1" thickBot="1" x14ac:dyDescent="0.3">
      <c r="A15" s="157">
        <v>12</v>
      </c>
      <c r="B15" s="135"/>
      <c r="C15" s="136">
        <v>15</v>
      </c>
      <c r="D15" s="136" t="s">
        <v>20</v>
      </c>
      <c r="E15" s="11">
        <v>72</v>
      </c>
      <c r="F15" s="11">
        <v>55</v>
      </c>
      <c r="G15" s="11">
        <v>47</v>
      </c>
      <c r="H15" s="11">
        <v>37</v>
      </c>
      <c r="I15" s="11">
        <v>51</v>
      </c>
      <c r="J15" s="11">
        <v>62</v>
      </c>
      <c r="K15" s="11">
        <v>52</v>
      </c>
      <c r="L15" s="11">
        <v>70</v>
      </c>
      <c r="M15" s="11">
        <v>65</v>
      </c>
      <c r="N15" s="11">
        <v>82</v>
      </c>
      <c r="O15" s="11">
        <v>74</v>
      </c>
      <c r="P15" s="11">
        <v>83</v>
      </c>
      <c r="Q15" s="81">
        <v>62</v>
      </c>
      <c r="R15" s="196">
        <f t="shared" si="0"/>
        <v>812</v>
      </c>
      <c r="S15" s="120">
        <f t="shared" si="1"/>
        <v>62.46153846153846</v>
      </c>
      <c r="T15" s="119">
        <f t="shared" si="2"/>
        <v>49</v>
      </c>
      <c r="U15" s="11"/>
      <c r="V15" s="11"/>
    </row>
    <row r="16" spans="1:22" ht="20.100000000000001" customHeight="1" thickBot="1" x14ac:dyDescent="0.3">
      <c r="A16" s="157">
        <v>13</v>
      </c>
      <c r="B16" s="135"/>
      <c r="C16" s="136">
        <v>14</v>
      </c>
      <c r="D16" s="136" t="s">
        <v>23</v>
      </c>
      <c r="E16" s="11">
        <v>84</v>
      </c>
      <c r="F16" s="11">
        <v>81</v>
      </c>
      <c r="G16" s="11">
        <v>67</v>
      </c>
      <c r="H16" s="11">
        <v>68</v>
      </c>
      <c r="I16" s="11">
        <v>67</v>
      </c>
      <c r="J16" s="11">
        <v>77</v>
      </c>
      <c r="K16" s="11">
        <v>79</v>
      </c>
      <c r="L16" s="11">
        <v>92</v>
      </c>
      <c r="M16" s="11">
        <v>74</v>
      </c>
      <c r="N16" s="11">
        <v>81</v>
      </c>
      <c r="O16" s="11">
        <v>81</v>
      </c>
      <c r="P16" s="11">
        <v>86</v>
      </c>
      <c r="Q16" s="81">
        <v>64</v>
      </c>
      <c r="R16" s="196">
        <f t="shared" si="0"/>
        <v>1001</v>
      </c>
      <c r="S16" s="120">
        <f t="shared" si="1"/>
        <v>77</v>
      </c>
      <c r="T16" s="119">
        <f t="shared" si="2"/>
        <v>28</v>
      </c>
      <c r="U16" s="11"/>
      <c r="V16" s="11"/>
    </row>
    <row r="17" spans="1:22" ht="20.100000000000001" customHeight="1" thickBot="1" x14ac:dyDescent="0.3">
      <c r="A17" s="145">
        <v>14</v>
      </c>
      <c r="B17" s="135"/>
      <c r="C17" s="136">
        <v>14</v>
      </c>
      <c r="D17" s="136" t="s">
        <v>23</v>
      </c>
      <c r="E17" s="11">
        <v>70</v>
      </c>
      <c r="F17" s="11">
        <v>70</v>
      </c>
      <c r="G17" s="11">
        <v>80</v>
      </c>
      <c r="H17" s="11">
        <v>64</v>
      </c>
      <c r="I17" s="11">
        <v>71</v>
      </c>
      <c r="J17" s="11">
        <v>66</v>
      </c>
      <c r="K17" s="11">
        <v>56</v>
      </c>
      <c r="L17" s="11">
        <v>81</v>
      </c>
      <c r="M17" s="11">
        <v>68</v>
      </c>
      <c r="N17" s="11">
        <v>82</v>
      </c>
      <c r="O17" s="11">
        <v>77</v>
      </c>
      <c r="P17" s="11">
        <v>85</v>
      </c>
      <c r="Q17" s="81">
        <v>63</v>
      </c>
      <c r="R17" s="196">
        <f t="shared" si="0"/>
        <v>933</v>
      </c>
      <c r="S17" s="120">
        <f t="shared" si="1"/>
        <v>71.769230769230774</v>
      </c>
      <c r="T17" s="119">
        <f t="shared" si="2"/>
        <v>37</v>
      </c>
      <c r="U17" s="11"/>
      <c r="V17" s="11"/>
    </row>
    <row r="18" spans="1:22" ht="20.100000000000001" customHeight="1" thickBot="1" x14ac:dyDescent="0.3">
      <c r="A18" s="157">
        <v>15</v>
      </c>
      <c r="B18" s="135"/>
      <c r="C18" s="136">
        <v>15</v>
      </c>
      <c r="D18" s="136" t="s">
        <v>23</v>
      </c>
      <c r="E18" s="11">
        <v>88</v>
      </c>
      <c r="F18" s="11">
        <v>78</v>
      </c>
      <c r="G18" s="11">
        <v>81</v>
      </c>
      <c r="H18" s="11">
        <v>74</v>
      </c>
      <c r="I18" s="11">
        <v>82</v>
      </c>
      <c r="J18" s="11">
        <v>77</v>
      </c>
      <c r="K18" s="11">
        <v>68</v>
      </c>
      <c r="L18" s="11">
        <v>88</v>
      </c>
      <c r="M18" s="11">
        <v>83</v>
      </c>
      <c r="N18" s="11">
        <v>82</v>
      </c>
      <c r="O18" s="11">
        <v>70</v>
      </c>
      <c r="P18" s="11">
        <v>85</v>
      </c>
      <c r="Q18" s="81">
        <v>70</v>
      </c>
      <c r="R18" s="196">
        <f t="shared" si="0"/>
        <v>1026</v>
      </c>
      <c r="S18" s="120">
        <f t="shared" si="1"/>
        <v>78.92307692307692</v>
      </c>
      <c r="T18" s="119">
        <f t="shared" si="2"/>
        <v>21</v>
      </c>
      <c r="U18" s="11"/>
      <c r="V18" s="11"/>
    </row>
    <row r="19" spans="1:22" ht="20.100000000000001" customHeight="1" thickBot="1" x14ac:dyDescent="0.3">
      <c r="A19" s="145">
        <v>16</v>
      </c>
      <c r="B19" s="135"/>
      <c r="C19" s="136">
        <v>14</v>
      </c>
      <c r="D19" s="136" t="s">
        <v>20</v>
      </c>
      <c r="E19" s="11">
        <v>81</v>
      </c>
      <c r="F19" s="11">
        <v>88</v>
      </c>
      <c r="G19" s="11">
        <v>67</v>
      </c>
      <c r="H19" s="11">
        <v>55</v>
      </c>
      <c r="I19" s="11">
        <v>67</v>
      </c>
      <c r="J19" s="11">
        <v>86</v>
      </c>
      <c r="K19" s="11">
        <v>88</v>
      </c>
      <c r="L19" s="11">
        <v>83</v>
      </c>
      <c r="M19" s="11">
        <v>83</v>
      </c>
      <c r="N19" s="11">
        <v>74</v>
      </c>
      <c r="O19" s="11">
        <v>85</v>
      </c>
      <c r="P19" s="11">
        <v>92</v>
      </c>
      <c r="Q19" s="81">
        <v>62</v>
      </c>
      <c r="R19" s="196">
        <f t="shared" si="0"/>
        <v>1011</v>
      </c>
      <c r="S19" s="120">
        <f t="shared" si="1"/>
        <v>77.769230769230774</v>
      </c>
      <c r="T19" s="119">
        <f t="shared" si="2"/>
        <v>25</v>
      </c>
      <c r="U19" s="11"/>
      <c r="V19" s="11"/>
    </row>
    <row r="20" spans="1:22" ht="20.100000000000001" customHeight="1" thickBot="1" x14ac:dyDescent="0.3">
      <c r="A20" s="145">
        <v>17</v>
      </c>
      <c r="B20" s="135"/>
      <c r="C20" s="136">
        <v>14</v>
      </c>
      <c r="D20" s="136" t="s">
        <v>20</v>
      </c>
      <c r="E20" s="11">
        <v>52</v>
      </c>
      <c r="F20" s="11">
        <v>46</v>
      </c>
      <c r="G20" s="11">
        <v>45</v>
      </c>
      <c r="H20" s="11">
        <v>32</v>
      </c>
      <c r="I20" s="11">
        <v>39</v>
      </c>
      <c r="J20" s="11">
        <v>41</v>
      </c>
      <c r="K20" s="11">
        <v>35</v>
      </c>
      <c r="L20" s="11">
        <v>52</v>
      </c>
      <c r="M20" s="11">
        <v>54</v>
      </c>
      <c r="N20" s="11">
        <v>61</v>
      </c>
      <c r="O20" s="11">
        <v>36</v>
      </c>
      <c r="P20" s="11">
        <v>75</v>
      </c>
      <c r="Q20" s="81">
        <v>61</v>
      </c>
      <c r="R20" s="196">
        <f t="shared" si="0"/>
        <v>629</v>
      </c>
      <c r="S20" s="120">
        <f t="shared" si="1"/>
        <v>48.384615384615387</v>
      </c>
      <c r="T20" s="119">
        <f t="shared" si="2"/>
        <v>54</v>
      </c>
      <c r="U20" s="11"/>
      <c r="V20" s="11"/>
    </row>
    <row r="21" spans="1:22" ht="20.100000000000001" customHeight="1" thickBot="1" x14ac:dyDescent="0.3">
      <c r="A21" s="145">
        <v>18</v>
      </c>
      <c r="B21" s="135"/>
      <c r="C21" s="136">
        <v>15</v>
      </c>
      <c r="D21" s="136" t="s">
        <v>20</v>
      </c>
      <c r="E21" s="11">
        <v>74</v>
      </c>
      <c r="F21" s="11">
        <v>65</v>
      </c>
      <c r="G21" s="11">
        <v>63</v>
      </c>
      <c r="H21" s="11">
        <v>46</v>
      </c>
      <c r="I21" s="11">
        <v>49</v>
      </c>
      <c r="J21" s="11">
        <v>59</v>
      </c>
      <c r="K21" s="11">
        <v>60</v>
      </c>
      <c r="L21" s="11">
        <v>67</v>
      </c>
      <c r="M21" s="11">
        <v>58</v>
      </c>
      <c r="N21" s="11">
        <v>75</v>
      </c>
      <c r="O21" s="11">
        <v>70</v>
      </c>
      <c r="P21" s="11">
        <v>80</v>
      </c>
      <c r="Q21" s="81">
        <v>65</v>
      </c>
      <c r="R21" s="196">
        <f t="shared" si="0"/>
        <v>831</v>
      </c>
      <c r="S21" s="120">
        <f t="shared" si="1"/>
        <v>63.92307692307692</v>
      </c>
      <c r="T21" s="119">
        <f t="shared" si="2"/>
        <v>48</v>
      </c>
      <c r="U21" s="11"/>
      <c r="V21" s="11"/>
    </row>
    <row r="22" spans="1:22" ht="20.100000000000001" customHeight="1" thickBot="1" x14ac:dyDescent="0.3">
      <c r="A22" s="157">
        <v>19</v>
      </c>
      <c r="B22" s="135"/>
      <c r="C22" s="136">
        <v>14</v>
      </c>
      <c r="D22" s="136" t="s">
        <v>20</v>
      </c>
      <c r="E22" s="11">
        <v>79</v>
      </c>
      <c r="F22" s="11">
        <v>90</v>
      </c>
      <c r="G22" s="11">
        <v>88</v>
      </c>
      <c r="H22" s="11">
        <v>86</v>
      </c>
      <c r="I22" s="11">
        <v>84</v>
      </c>
      <c r="J22" s="11">
        <v>96</v>
      </c>
      <c r="K22" s="11">
        <v>95</v>
      </c>
      <c r="L22" s="11">
        <v>95</v>
      </c>
      <c r="M22" s="11">
        <v>92</v>
      </c>
      <c r="N22" s="11">
        <v>92</v>
      </c>
      <c r="O22" s="11">
        <v>92</v>
      </c>
      <c r="P22" s="11">
        <v>94</v>
      </c>
      <c r="Q22" s="81">
        <v>87</v>
      </c>
      <c r="R22" s="196">
        <f t="shared" si="0"/>
        <v>1170</v>
      </c>
      <c r="S22" s="120">
        <f t="shared" si="1"/>
        <v>90</v>
      </c>
      <c r="T22" s="119">
        <f t="shared" si="2"/>
        <v>4</v>
      </c>
      <c r="U22" s="11"/>
      <c r="V22" s="11"/>
    </row>
    <row r="23" spans="1:22" ht="20.100000000000001" customHeight="1" thickBot="1" x14ac:dyDescent="0.3">
      <c r="A23" s="157">
        <v>20</v>
      </c>
      <c r="B23" s="135"/>
      <c r="C23" s="136">
        <v>15</v>
      </c>
      <c r="D23" s="136" t="s">
        <v>20</v>
      </c>
      <c r="E23" s="11">
        <v>83</v>
      </c>
      <c r="F23" s="11">
        <v>67</v>
      </c>
      <c r="G23" s="11">
        <v>67</v>
      </c>
      <c r="H23" s="11">
        <v>55</v>
      </c>
      <c r="I23" s="11">
        <v>59</v>
      </c>
      <c r="J23" s="11">
        <v>67</v>
      </c>
      <c r="K23" s="11">
        <v>64</v>
      </c>
      <c r="L23" s="11">
        <v>83</v>
      </c>
      <c r="M23" s="11">
        <v>64</v>
      </c>
      <c r="N23" s="11">
        <v>72</v>
      </c>
      <c r="O23" s="11">
        <v>73</v>
      </c>
      <c r="P23" s="11">
        <v>86</v>
      </c>
      <c r="Q23" s="81">
        <v>64</v>
      </c>
      <c r="R23" s="196">
        <f t="shared" si="0"/>
        <v>904</v>
      </c>
      <c r="S23" s="120">
        <f t="shared" si="1"/>
        <v>69.538461538461533</v>
      </c>
      <c r="T23" s="119">
        <f t="shared" si="2"/>
        <v>42</v>
      </c>
      <c r="U23" s="11"/>
      <c r="V23" s="11"/>
    </row>
    <row r="24" spans="1:22" ht="20.100000000000001" customHeight="1" thickBot="1" x14ac:dyDescent="0.3">
      <c r="A24" s="157">
        <v>21</v>
      </c>
      <c r="B24" s="135"/>
      <c r="C24" s="136">
        <v>14</v>
      </c>
      <c r="D24" s="136" t="s">
        <v>23</v>
      </c>
      <c r="E24" s="11">
        <v>92</v>
      </c>
      <c r="F24" s="11">
        <v>89</v>
      </c>
      <c r="G24" s="11">
        <v>95</v>
      </c>
      <c r="H24" s="11">
        <v>90</v>
      </c>
      <c r="I24" s="11">
        <v>87</v>
      </c>
      <c r="J24" s="11">
        <v>94</v>
      </c>
      <c r="K24" s="11">
        <v>92</v>
      </c>
      <c r="L24" s="11">
        <v>99</v>
      </c>
      <c r="M24" s="11">
        <v>93</v>
      </c>
      <c r="N24" s="11">
        <v>99</v>
      </c>
      <c r="O24" s="11">
        <v>98</v>
      </c>
      <c r="P24" s="11">
        <v>92</v>
      </c>
      <c r="Q24" s="81">
        <v>100</v>
      </c>
      <c r="R24" s="196">
        <f t="shared" si="0"/>
        <v>1220</v>
      </c>
      <c r="S24" s="120">
        <f t="shared" si="1"/>
        <v>93.84615384615384</v>
      </c>
      <c r="T24" s="119">
        <f t="shared" si="2"/>
        <v>3</v>
      </c>
      <c r="U24" s="11"/>
      <c r="V24" s="11"/>
    </row>
    <row r="25" spans="1:22" ht="20.100000000000001" customHeight="1" thickBot="1" x14ac:dyDescent="0.3">
      <c r="A25" s="145">
        <v>22</v>
      </c>
      <c r="B25" s="135"/>
      <c r="C25" s="136">
        <v>14</v>
      </c>
      <c r="D25" s="136" t="s">
        <v>20</v>
      </c>
      <c r="E25" s="11">
        <v>68</v>
      </c>
      <c r="F25" s="11">
        <v>81</v>
      </c>
      <c r="G25" s="11">
        <v>92</v>
      </c>
      <c r="H25" s="11">
        <v>61</v>
      </c>
      <c r="I25" s="11">
        <v>78</v>
      </c>
      <c r="J25" s="11">
        <v>59</v>
      </c>
      <c r="K25" s="11">
        <v>52</v>
      </c>
      <c r="L25" s="11">
        <v>79</v>
      </c>
      <c r="M25" s="11">
        <v>67</v>
      </c>
      <c r="N25" s="11">
        <v>86</v>
      </c>
      <c r="O25" s="11">
        <v>65</v>
      </c>
      <c r="P25" s="11">
        <v>81</v>
      </c>
      <c r="Q25" s="81">
        <v>60</v>
      </c>
      <c r="R25" s="196">
        <f t="shared" si="0"/>
        <v>929</v>
      </c>
      <c r="S25" s="120">
        <f t="shared" si="1"/>
        <v>71.461538461538467</v>
      </c>
      <c r="T25" s="119">
        <f t="shared" si="2"/>
        <v>38</v>
      </c>
      <c r="U25" s="11"/>
      <c r="V25" s="11"/>
    </row>
    <row r="26" spans="1:22" ht="20.100000000000001" customHeight="1" thickBot="1" x14ac:dyDescent="0.3">
      <c r="A26" s="145">
        <v>23</v>
      </c>
      <c r="B26" s="135"/>
      <c r="C26" s="136">
        <v>14</v>
      </c>
      <c r="D26" s="136" t="s">
        <v>20</v>
      </c>
      <c r="E26" s="11">
        <v>60</v>
      </c>
      <c r="F26" s="11">
        <v>58</v>
      </c>
      <c r="G26" s="11">
        <v>58</v>
      </c>
      <c r="H26" s="11">
        <v>52</v>
      </c>
      <c r="I26" s="11">
        <v>53</v>
      </c>
      <c r="J26" s="11">
        <v>77</v>
      </c>
      <c r="K26" s="11">
        <v>67</v>
      </c>
      <c r="L26" s="11">
        <v>68</v>
      </c>
      <c r="M26" s="11">
        <v>73</v>
      </c>
      <c r="N26" s="11">
        <v>71</v>
      </c>
      <c r="O26" s="11">
        <v>61</v>
      </c>
      <c r="P26" s="11">
        <v>81</v>
      </c>
      <c r="Q26" s="81">
        <v>66</v>
      </c>
      <c r="R26" s="196">
        <f t="shared" si="0"/>
        <v>845</v>
      </c>
      <c r="S26" s="120">
        <f t="shared" si="1"/>
        <v>65</v>
      </c>
      <c r="T26" s="119">
        <f t="shared" si="2"/>
        <v>47</v>
      </c>
      <c r="U26" s="11"/>
      <c r="V26" s="11"/>
    </row>
    <row r="27" spans="1:22" ht="20.100000000000001" customHeight="1" thickBot="1" x14ac:dyDescent="0.3">
      <c r="A27" s="157">
        <v>24</v>
      </c>
      <c r="B27" s="135"/>
      <c r="C27" s="136">
        <v>16</v>
      </c>
      <c r="D27" s="136" t="s">
        <v>20</v>
      </c>
      <c r="E27" s="11">
        <v>79</v>
      </c>
      <c r="F27" s="11">
        <v>63</v>
      </c>
      <c r="G27" s="11">
        <v>52</v>
      </c>
      <c r="H27" s="11">
        <v>57</v>
      </c>
      <c r="I27" s="11">
        <v>52</v>
      </c>
      <c r="J27" s="11">
        <v>61</v>
      </c>
      <c r="K27" s="11">
        <v>65</v>
      </c>
      <c r="L27" s="11">
        <v>71</v>
      </c>
      <c r="M27" s="11">
        <v>66</v>
      </c>
      <c r="N27" s="11">
        <v>79</v>
      </c>
      <c r="O27" s="11">
        <v>68</v>
      </c>
      <c r="P27" s="11">
        <v>82</v>
      </c>
      <c r="Q27" s="81">
        <v>66</v>
      </c>
      <c r="R27" s="196">
        <f t="shared" si="0"/>
        <v>861</v>
      </c>
      <c r="S27" s="120">
        <f t="shared" si="1"/>
        <v>66.230769230769226</v>
      </c>
      <c r="T27" s="119">
        <f t="shared" si="2"/>
        <v>45</v>
      </c>
      <c r="U27" s="11"/>
      <c r="V27" s="11"/>
    </row>
    <row r="28" spans="1:22" ht="20.100000000000001" customHeight="1" thickBot="1" x14ac:dyDescent="0.3">
      <c r="A28" s="145">
        <v>25</v>
      </c>
      <c r="B28" s="135"/>
      <c r="C28" s="136">
        <v>15</v>
      </c>
      <c r="D28" s="136" t="s">
        <v>23</v>
      </c>
      <c r="E28" s="11">
        <v>77</v>
      </c>
      <c r="F28" s="11">
        <v>71</v>
      </c>
      <c r="G28" s="11">
        <v>75</v>
      </c>
      <c r="H28" s="11">
        <v>65</v>
      </c>
      <c r="I28" s="11">
        <v>71</v>
      </c>
      <c r="J28" s="11">
        <v>79</v>
      </c>
      <c r="K28" s="11">
        <v>69</v>
      </c>
      <c r="L28" s="11">
        <v>80</v>
      </c>
      <c r="M28" s="11">
        <v>82</v>
      </c>
      <c r="N28" s="11">
        <v>90</v>
      </c>
      <c r="O28" s="11">
        <v>81</v>
      </c>
      <c r="P28" s="11">
        <v>89</v>
      </c>
      <c r="Q28" s="81">
        <v>60</v>
      </c>
      <c r="R28" s="196">
        <f t="shared" si="0"/>
        <v>989</v>
      </c>
      <c r="S28" s="120">
        <f t="shared" si="1"/>
        <v>76.07692307692308</v>
      </c>
      <c r="T28" s="119">
        <f t="shared" si="2"/>
        <v>30</v>
      </c>
      <c r="U28" s="11"/>
      <c r="V28" s="11"/>
    </row>
    <row r="29" spans="1:22" ht="20.100000000000001" customHeight="1" thickBot="1" x14ac:dyDescent="0.3">
      <c r="A29" s="157">
        <v>26</v>
      </c>
      <c r="B29" s="135"/>
      <c r="C29" s="136">
        <v>14</v>
      </c>
      <c r="D29" s="136" t="s">
        <v>23</v>
      </c>
      <c r="E29" s="11">
        <v>91</v>
      </c>
      <c r="F29" s="11">
        <v>82</v>
      </c>
      <c r="G29" s="11">
        <v>88</v>
      </c>
      <c r="H29" s="11">
        <v>78</v>
      </c>
      <c r="I29" s="11">
        <v>90</v>
      </c>
      <c r="J29" s="11">
        <v>90</v>
      </c>
      <c r="K29" s="11">
        <v>66</v>
      </c>
      <c r="L29" s="11">
        <v>88</v>
      </c>
      <c r="M29" s="11">
        <v>85</v>
      </c>
      <c r="N29" s="11">
        <v>89</v>
      </c>
      <c r="O29" s="11">
        <v>83</v>
      </c>
      <c r="P29" s="11">
        <v>81</v>
      </c>
      <c r="Q29" s="81">
        <v>70</v>
      </c>
      <c r="R29" s="196">
        <f t="shared" si="0"/>
        <v>1081</v>
      </c>
      <c r="S29" s="120">
        <f t="shared" si="1"/>
        <v>83.15384615384616</v>
      </c>
      <c r="T29" s="119">
        <f t="shared" si="2"/>
        <v>9</v>
      </c>
      <c r="U29" s="11"/>
      <c r="V29" s="11"/>
    </row>
    <row r="30" spans="1:22" ht="20.100000000000001" customHeight="1" thickBot="1" x14ac:dyDescent="0.3">
      <c r="A30" s="157">
        <v>27</v>
      </c>
      <c r="B30" s="135"/>
      <c r="C30" s="136">
        <v>15</v>
      </c>
      <c r="D30" s="136" t="s">
        <v>23</v>
      </c>
      <c r="E30" s="11">
        <v>75</v>
      </c>
      <c r="F30" s="11">
        <v>48</v>
      </c>
      <c r="G30" s="11">
        <v>72</v>
      </c>
      <c r="H30" s="11">
        <v>68</v>
      </c>
      <c r="I30" s="11">
        <v>60</v>
      </c>
      <c r="J30" s="11">
        <v>58</v>
      </c>
      <c r="K30" s="11">
        <v>63</v>
      </c>
      <c r="L30" s="11">
        <v>68</v>
      </c>
      <c r="M30" s="11">
        <v>66</v>
      </c>
      <c r="N30" s="11">
        <v>87</v>
      </c>
      <c r="O30" s="11">
        <v>61</v>
      </c>
      <c r="P30" s="11">
        <v>86</v>
      </c>
      <c r="Q30" s="81">
        <v>63</v>
      </c>
      <c r="R30" s="196">
        <f t="shared" si="0"/>
        <v>875</v>
      </c>
      <c r="S30" s="120">
        <f t="shared" si="1"/>
        <v>67.307692307692307</v>
      </c>
      <c r="T30" s="119">
        <f t="shared" si="2"/>
        <v>44</v>
      </c>
      <c r="U30" s="11"/>
      <c r="V30" s="11"/>
    </row>
    <row r="31" spans="1:22" ht="20.100000000000001" customHeight="1" thickBot="1" x14ac:dyDescent="0.3">
      <c r="A31" s="157">
        <v>28</v>
      </c>
      <c r="B31" s="135"/>
      <c r="C31" s="136">
        <v>14</v>
      </c>
      <c r="D31" s="136" t="s">
        <v>20</v>
      </c>
      <c r="E31" s="11">
        <v>96</v>
      </c>
      <c r="F31" s="11">
        <v>86</v>
      </c>
      <c r="G31" s="11">
        <v>94</v>
      </c>
      <c r="H31" s="11">
        <v>88</v>
      </c>
      <c r="I31" s="11">
        <v>88</v>
      </c>
      <c r="J31" s="11">
        <v>98</v>
      </c>
      <c r="K31" s="11">
        <v>99</v>
      </c>
      <c r="L31" s="11">
        <v>100</v>
      </c>
      <c r="M31" s="11">
        <v>91</v>
      </c>
      <c r="N31" s="11">
        <v>100</v>
      </c>
      <c r="O31" s="11">
        <v>99</v>
      </c>
      <c r="P31" s="11">
        <v>88</v>
      </c>
      <c r="Q31" s="81">
        <v>100</v>
      </c>
      <c r="R31" s="196">
        <f t="shared" si="0"/>
        <v>1227</v>
      </c>
      <c r="S31" s="120">
        <f t="shared" si="1"/>
        <v>94.384615384615387</v>
      </c>
      <c r="T31" s="119">
        <f t="shared" si="2"/>
        <v>2</v>
      </c>
      <c r="U31" s="11"/>
      <c r="V31" s="11"/>
    </row>
    <row r="32" spans="1:22" ht="20.100000000000001" customHeight="1" thickBot="1" x14ac:dyDescent="0.3">
      <c r="A32" s="145">
        <v>29</v>
      </c>
      <c r="B32" s="135"/>
      <c r="C32" s="136">
        <v>15</v>
      </c>
      <c r="D32" s="136" t="s">
        <v>23</v>
      </c>
      <c r="E32" s="11">
        <v>79</v>
      </c>
      <c r="F32" s="11">
        <v>61</v>
      </c>
      <c r="G32" s="11">
        <v>70</v>
      </c>
      <c r="H32" s="11">
        <v>70</v>
      </c>
      <c r="I32" s="11">
        <v>68</v>
      </c>
      <c r="J32" s="11">
        <v>78</v>
      </c>
      <c r="K32" s="11">
        <v>82</v>
      </c>
      <c r="L32" s="11">
        <v>82</v>
      </c>
      <c r="M32" s="11">
        <v>81</v>
      </c>
      <c r="N32" s="11">
        <v>88</v>
      </c>
      <c r="O32" s="11">
        <v>84</v>
      </c>
      <c r="P32" s="11">
        <v>89</v>
      </c>
      <c r="Q32" s="81">
        <v>79</v>
      </c>
      <c r="R32" s="196">
        <f t="shared" si="0"/>
        <v>1011</v>
      </c>
      <c r="S32" s="120">
        <f t="shared" si="1"/>
        <v>77.769230769230774</v>
      </c>
      <c r="T32" s="119">
        <f t="shared" si="2"/>
        <v>25</v>
      </c>
      <c r="U32" s="11"/>
      <c r="V32" s="11"/>
    </row>
    <row r="33" spans="1:22" ht="20.100000000000001" customHeight="1" thickBot="1" x14ac:dyDescent="0.3">
      <c r="A33" s="157">
        <v>30</v>
      </c>
      <c r="B33" s="135"/>
      <c r="C33" s="136">
        <v>14</v>
      </c>
      <c r="D33" s="136" t="s">
        <v>23</v>
      </c>
      <c r="E33" s="11">
        <v>86</v>
      </c>
      <c r="F33" s="11">
        <v>70</v>
      </c>
      <c r="G33" s="11">
        <v>72</v>
      </c>
      <c r="H33" s="11">
        <v>69</v>
      </c>
      <c r="I33" s="11">
        <v>67</v>
      </c>
      <c r="J33" s="11">
        <v>81</v>
      </c>
      <c r="K33" s="11">
        <v>80</v>
      </c>
      <c r="L33" s="11">
        <v>88</v>
      </c>
      <c r="M33" s="11">
        <v>84</v>
      </c>
      <c r="N33" s="11">
        <v>86</v>
      </c>
      <c r="O33" s="11">
        <v>86</v>
      </c>
      <c r="P33" s="11">
        <v>89</v>
      </c>
      <c r="Q33" s="81">
        <v>63</v>
      </c>
      <c r="R33" s="196">
        <f t="shared" si="0"/>
        <v>1021</v>
      </c>
      <c r="S33" s="120">
        <f t="shared" si="1"/>
        <v>78.538461538461533</v>
      </c>
      <c r="T33" s="119">
        <f t="shared" si="2"/>
        <v>23</v>
      </c>
      <c r="U33" s="11"/>
      <c r="V33" s="11"/>
    </row>
    <row r="34" spans="1:22" ht="20.100000000000001" customHeight="1" thickBot="1" x14ac:dyDescent="0.3">
      <c r="A34" s="145">
        <v>31</v>
      </c>
      <c r="B34" s="135"/>
      <c r="C34" s="136">
        <v>16</v>
      </c>
      <c r="D34" s="136" t="s">
        <v>23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81">
        <v>0</v>
      </c>
      <c r="R34" s="196">
        <f t="shared" si="0"/>
        <v>0</v>
      </c>
      <c r="S34" s="120">
        <f t="shared" si="1"/>
        <v>0</v>
      </c>
      <c r="T34" s="119">
        <f t="shared" si="2"/>
        <v>55</v>
      </c>
      <c r="U34" s="11"/>
      <c r="V34" s="11"/>
    </row>
    <row r="35" spans="1:22" ht="20.100000000000001" customHeight="1" thickBot="1" x14ac:dyDescent="0.3">
      <c r="A35" s="145">
        <v>32</v>
      </c>
      <c r="B35" s="135"/>
      <c r="C35" s="136">
        <v>15</v>
      </c>
      <c r="D35" s="136" t="s">
        <v>20</v>
      </c>
      <c r="E35" s="11">
        <v>68</v>
      </c>
      <c r="F35" s="11">
        <v>60</v>
      </c>
      <c r="G35" s="11">
        <v>41</v>
      </c>
      <c r="H35" s="11">
        <v>46</v>
      </c>
      <c r="I35" s="11">
        <v>41</v>
      </c>
      <c r="J35" s="11">
        <v>57</v>
      </c>
      <c r="K35" s="11">
        <v>41</v>
      </c>
      <c r="L35" s="11">
        <v>58</v>
      </c>
      <c r="M35" s="11">
        <v>66</v>
      </c>
      <c r="N35" s="11">
        <v>79</v>
      </c>
      <c r="O35" s="11">
        <v>56</v>
      </c>
      <c r="P35" s="11">
        <v>82</v>
      </c>
      <c r="Q35" s="81">
        <v>62</v>
      </c>
      <c r="R35" s="196">
        <f t="shared" si="0"/>
        <v>757</v>
      </c>
      <c r="S35" s="120">
        <f t="shared" si="1"/>
        <v>58.230769230769234</v>
      </c>
      <c r="T35" s="119">
        <f t="shared" si="2"/>
        <v>52</v>
      </c>
      <c r="U35" s="11"/>
      <c r="V35" s="11"/>
    </row>
    <row r="36" spans="1:22" ht="20.100000000000001" customHeight="1" thickBot="1" x14ac:dyDescent="0.3">
      <c r="A36" s="145">
        <v>33</v>
      </c>
      <c r="B36" s="135"/>
      <c r="C36" s="136">
        <v>14</v>
      </c>
      <c r="D36" s="136" t="s">
        <v>20</v>
      </c>
      <c r="E36" s="11">
        <v>83</v>
      </c>
      <c r="F36" s="11">
        <v>79</v>
      </c>
      <c r="G36" s="11">
        <v>93</v>
      </c>
      <c r="H36" s="11">
        <v>85</v>
      </c>
      <c r="I36" s="11">
        <v>93</v>
      </c>
      <c r="J36" s="11">
        <v>91</v>
      </c>
      <c r="K36" s="11">
        <v>85</v>
      </c>
      <c r="L36" s="11">
        <v>91</v>
      </c>
      <c r="M36" s="11">
        <v>88</v>
      </c>
      <c r="N36" s="11">
        <v>92</v>
      </c>
      <c r="O36" s="11">
        <v>92</v>
      </c>
      <c r="P36" s="11">
        <v>91</v>
      </c>
      <c r="Q36" s="81">
        <v>69</v>
      </c>
      <c r="R36" s="196">
        <f t="shared" si="0"/>
        <v>1132</v>
      </c>
      <c r="S36" s="120">
        <f t="shared" si="1"/>
        <v>87.07692307692308</v>
      </c>
      <c r="T36" s="119">
        <f t="shared" si="2"/>
        <v>5</v>
      </c>
      <c r="U36" s="11"/>
      <c r="V36" s="11"/>
    </row>
    <row r="37" spans="1:22" ht="20.100000000000001" customHeight="1" thickBot="1" x14ac:dyDescent="0.3">
      <c r="A37" s="157">
        <v>34</v>
      </c>
      <c r="B37" s="135"/>
      <c r="C37" s="136">
        <v>15</v>
      </c>
      <c r="D37" s="136" t="s">
        <v>20</v>
      </c>
      <c r="E37" s="11">
        <v>71</v>
      </c>
      <c r="F37" s="11">
        <v>65</v>
      </c>
      <c r="G37" s="11">
        <v>86</v>
      </c>
      <c r="H37" s="11">
        <v>77</v>
      </c>
      <c r="I37" s="11">
        <v>84</v>
      </c>
      <c r="J37" s="11">
        <v>86</v>
      </c>
      <c r="K37" s="11">
        <v>84</v>
      </c>
      <c r="L37" s="11">
        <v>96</v>
      </c>
      <c r="M37" s="11">
        <v>90</v>
      </c>
      <c r="N37" s="11">
        <v>85</v>
      </c>
      <c r="O37" s="11">
        <v>83</v>
      </c>
      <c r="P37" s="11">
        <v>91</v>
      </c>
      <c r="Q37" s="81">
        <v>61</v>
      </c>
      <c r="R37" s="196">
        <f t="shared" si="0"/>
        <v>1059</v>
      </c>
      <c r="S37" s="120">
        <f t="shared" si="1"/>
        <v>81.461538461538467</v>
      </c>
      <c r="T37" s="119">
        <f t="shared" si="2"/>
        <v>14</v>
      </c>
      <c r="U37" s="11"/>
      <c r="V37" s="11"/>
    </row>
    <row r="38" spans="1:22" ht="20.100000000000001" customHeight="1" thickBot="1" x14ac:dyDescent="0.3">
      <c r="A38" s="157">
        <v>35</v>
      </c>
      <c r="B38" s="135"/>
      <c r="C38" s="136">
        <v>14</v>
      </c>
      <c r="D38" s="136" t="s">
        <v>20</v>
      </c>
      <c r="E38" s="11">
        <v>80</v>
      </c>
      <c r="F38" s="11">
        <v>60</v>
      </c>
      <c r="G38" s="11">
        <v>71</v>
      </c>
      <c r="H38" s="11">
        <v>71</v>
      </c>
      <c r="I38" s="11">
        <v>79</v>
      </c>
      <c r="J38" s="11">
        <v>87</v>
      </c>
      <c r="K38" s="11">
        <v>97</v>
      </c>
      <c r="L38" s="11">
        <v>91</v>
      </c>
      <c r="M38" s="11">
        <v>79</v>
      </c>
      <c r="N38" s="11">
        <v>89</v>
      </c>
      <c r="O38" s="11">
        <v>91</v>
      </c>
      <c r="P38" s="11">
        <v>95</v>
      </c>
      <c r="Q38" s="81">
        <v>68</v>
      </c>
      <c r="R38" s="196">
        <f t="shared" si="0"/>
        <v>1058</v>
      </c>
      <c r="S38" s="120">
        <f t="shared" si="1"/>
        <v>81.384615384615387</v>
      </c>
      <c r="T38" s="119">
        <f t="shared" si="2"/>
        <v>16</v>
      </c>
      <c r="U38" s="11"/>
      <c r="V38" s="11"/>
    </row>
    <row r="39" spans="1:22" ht="20.100000000000001" customHeight="1" thickBot="1" x14ac:dyDescent="0.3">
      <c r="A39" s="157">
        <v>36</v>
      </c>
      <c r="B39" s="135"/>
      <c r="C39" s="136">
        <v>14</v>
      </c>
      <c r="D39" s="136" t="s">
        <v>20</v>
      </c>
      <c r="E39" s="11">
        <v>72</v>
      </c>
      <c r="F39" s="11">
        <v>52</v>
      </c>
      <c r="G39" s="11">
        <v>41</v>
      </c>
      <c r="H39" s="11">
        <v>36</v>
      </c>
      <c r="I39" s="11">
        <v>44</v>
      </c>
      <c r="J39" s="11">
        <v>37</v>
      </c>
      <c r="K39" s="11">
        <v>41</v>
      </c>
      <c r="L39" s="11">
        <v>55</v>
      </c>
      <c r="M39" s="11">
        <v>56</v>
      </c>
      <c r="N39" s="11">
        <v>79</v>
      </c>
      <c r="O39" s="11">
        <v>47</v>
      </c>
      <c r="P39" s="11">
        <v>84</v>
      </c>
      <c r="Q39" s="81">
        <v>64</v>
      </c>
      <c r="R39" s="196">
        <f t="shared" si="0"/>
        <v>708</v>
      </c>
      <c r="S39" s="120">
        <f t="shared" si="1"/>
        <v>54.46153846153846</v>
      </c>
      <c r="T39" s="119">
        <f t="shared" si="2"/>
        <v>53</v>
      </c>
      <c r="U39" s="11"/>
      <c r="V39" s="11"/>
    </row>
    <row r="40" spans="1:22" ht="20.100000000000001" customHeight="1" thickBot="1" x14ac:dyDescent="0.3">
      <c r="A40" s="145">
        <v>37</v>
      </c>
      <c r="B40" s="135"/>
      <c r="C40" s="136">
        <v>14</v>
      </c>
      <c r="D40" s="136" t="s">
        <v>20</v>
      </c>
      <c r="E40" s="11">
        <v>79</v>
      </c>
      <c r="F40" s="11">
        <v>75</v>
      </c>
      <c r="G40" s="11">
        <v>73</v>
      </c>
      <c r="H40" s="11">
        <v>63</v>
      </c>
      <c r="I40" s="11">
        <v>66</v>
      </c>
      <c r="J40" s="11">
        <v>83</v>
      </c>
      <c r="K40" s="11">
        <v>78</v>
      </c>
      <c r="L40" s="11">
        <v>89</v>
      </c>
      <c r="M40" s="11">
        <v>76</v>
      </c>
      <c r="N40" s="11">
        <v>73</v>
      </c>
      <c r="O40" s="11">
        <v>66</v>
      </c>
      <c r="P40" s="11">
        <v>77</v>
      </c>
      <c r="Q40" s="81">
        <v>64</v>
      </c>
      <c r="R40" s="196">
        <f t="shared" si="0"/>
        <v>962</v>
      </c>
      <c r="S40" s="120">
        <f t="shared" si="1"/>
        <v>74</v>
      </c>
      <c r="T40" s="119">
        <f t="shared" si="2"/>
        <v>34</v>
      </c>
      <c r="U40" s="11"/>
      <c r="V40" s="11"/>
    </row>
    <row r="41" spans="1:22" ht="20.100000000000001" customHeight="1" thickBot="1" x14ac:dyDescent="0.3">
      <c r="A41" s="145">
        <v>38</v>
      </c>
      <c r="B41" s="135"/>
      <c r="C41" s="136">
        <v>15</v>
      </c>
      <c r="D41" s="136" t="s">
        <v>20</v>
      </c>
      <c r="E41" s="11">
        <v>80</v>
      </c>
      <c r="F41" s="11">
        <v>70</v>
      </c>
      <c r="G41" s="11">
        <v>64</v>
      </c>
      <c r="H41" s="11">
        <v>71</v>
      </c>
      <c r="I41" s="11">
        <v>67</v>
      </c>
      <c r="J41" s="11">
        <v>77</v>
      </c>
      <c r="K41" s="11">
        <v>73</v>
      </c>
      <c r="L41" s="11">
        <v>81</v>
      </c>
      <c r="M41" s="11">
        <v>72</v>
      </c>
      <c r="N41" s="11">
        <v>75</v>
      </c>
      <c r="O41" s="11">
        <v>76</v>
      </c>
      <c r="P41" s="11">
        <v>95</v>
      </c>
      <c r="Q41" s="81">
        <v>68</v>
      </c>
      <c r="R41" s="196">
        <f t="shared" si="0"/>
        <v>969</v>
      </c>
      <c r="S41" s="120">
        <f t="shared" si="1"/>
        <v>74.538461538461533</v>
      </c>
      <c r="T41" s="119">
        <f t="shared" si="2"/>
        <v>33</v>
      </c>
      <c r="U41" s="11"/>
      <c r="V41" s="11"/>
    </row>
    <row r="42" spans="1:22" ht="20.100000000000001" customHeight="1" thickBot="1" x14ac:dyDescent="0.3">
      <c r="A42" s="157">
        <v>39</v>
      </c>
      <c r="B42" s="135"/>
      <c r="C42" s="136">
        <v>14</v>
      </c>
      <c r="D42" s="136" t="s">
        <v>20</v>
      </c>
      <c r="E42" s="11">
        <v>81</v>
      </c>
      <c r="F42" s="11">
        <v>74</v>
      </c>
      <c r="G42" s="11">
        <v>69</v>
      </c>
      <c r="H42" s="11">
        <v>63</v>
      </c>
      <c r="I42" s="11">
        <v>64</v>
      </c>
      <c r="J42" s="11">
        <v>83</v>
      </c>
      <c r="K42" s="11">
        <v>68</v>
      </c>
      <c r="L42" s="11">
        <v>94</v>
      </c>
      <c r="M42" s="11">
        <v>91</v>
      </c>
      <c r="N42" s="11">
        <v>76</v>
      </c>
      <c r="O42" s="11">
        <v>82</v>
      </c>
      <c r="P42" s="11">
        <v>90</v>
      </c>
      <c r="Q42" s="81">
        <v>55</v>
      </c>
      <c r="R42" s="196">
        <f t="shared" si="0"/>
        <v>990</v>
      </c>
      <c r="S42" s="120">
        <f t="shared" si="1"/>
        <v>76.15384615384616</v>
      </c>
      <c r="T42" s="119">
        <f t="shared" si="2"/>
        <v>29</v>
      </c>
      <c r="U42" s="11"/>
      <c r="V42" s="11"/>
    </row>
    <row r="43" spans="1:22" ht="20.100000000000001" customHeight="1" thickBot="1" x14ac:dyDescent="0.3">
      <c r="A43" s="145">
        <v>40</v>
      </c>
      <c r="B43" s="135"/>
      <c r="C43" s="136">
        <v>15</v>
      </c>
      <c r="D43" s="136" t="s">
        <v>20</v>
      </c>
      <c r="E43" s="11">
        <v>76</v>
      </c>
      <c r="F43" s="11">
        <v>74</v>
      </c>
      <c r="G43" s="11">
        <v>76</v>
      </c>
      <c r="H43" s="11">
        <v>73</v>
      </c>
      <c r="I43" s="11">
        <v>86</v>
      </c>
      <c r="J43" s="11">
        <v>88</v>
      </c>
      <c r="K43" s="11">
        <v>75</v>
      </c>
      <c r="L43" s="11">
        <v>85</v>
      </c>
      <c r="M43" s="11">
        <v>84</v>
      </c>
      <c r="N43" s="11">
        <v>85</v>
      </c>
      <c r="O43" s="11">
        <v>86</v>
      </c>
      <c r="P43" s="11">
        <v>93</v>
      </c>
      <c r="Q43" s="81">
        <v>66</v>
      </c>
      <c r="R43" s="196">
        <f t="shared" si="0"/>
        <v>1047</v>
      </c>
      <c r="S43" s="120">
        <f t="shared" si="1"/>
        <v>80.538461538461533</v>
      </c>
      <c r="T43" s="119">
        <f t="shared" si="2"/>
        <v>19</v>
      </c>
      <c r="U43" s="11"/>
      <c r="V43" s="11"/>
    </row>
    <row r="44" spans="1:22" ht="20.100000000000001" customHeight="1" thickBot="1" x14ac:dyDescent="0.3">
      <c r="A44" s="157">
        <v>41</v>
      </c>
      <c r="B44" s="135"/>
      <c r="C44" s="136">
        <v>14</v>
      </c>
      <c r="D44" s="136" t="s">
        <v>23</v>
      </c>
      <c r="E44" s="11">
        <v>90</v>
      </c>
      <c r="F44" s="11">
        <v>82</v>
      </c>
      <c r="G44" s="11">
        <v>96</v>
      </c>
      <c r="H44" s="11">
        <v>76</v>
      </c>
      <c r="I44" s="11">
        <v>86</v>
      </c>
      <c r="J44" s="11">
        <v>83</v>
      </c>
      <c r="K44" s="11">
        <v>71</v>
      </c>
      <c r="L44" s="11">
        <v>90</v>
      </c>
      <c r="M44" s="11">
        <v>88</v>
      </c>
      <c r="N44" s="11">
        <v>82</v>
      </c>
      <c r="O44" s="11">
        <v>79</v>
      </c>
      <c r="P44" s="11">
        <v>93</v>
      </c>
      <c r="Q44" s="81">
        <v>87</v>
      </c>
      <c r="R44" s="196">
        <f t="shared" si="0"/>
        <v>1103</v>
      </c>
      <c r="S44" s="120">
        <f t="shared" si="1"/>
        <v>84.84615384615384</v>
      </c>
      <c r="T44" s="119">
        <f t="shared" si="2"/>
        <v>8</v>
      </c>
      <c r="U44" s="11"/>
      <c r="V44" s="11"/>
    </row>
    <row r="45" spans="1:22" ht="20.100000000000001" customHeight="1" thickBot="1" x14ac:dyDescent="0.3">
      <c r="A45" s="157">
        <v>42</v>
      </c>
      <c r="B45" s="135"/>
      <c r="C45" s="136">
        <v>14</v>
      </c>
      <c r="D45" s="136" t="s">
        <v>20</v>
      </c>
      <c r="E45" s="11">
        <v>76</v>
      </c>
      <c r="F45" s="11">
        <v>74</v>
      </c>
      <c r="G45" s="11">
        <v>78</v>
      </c>
      <c r="H45" s="11">
        <v>57</v>
      </c>
      <c r="I45" s="11">
        <v>65</v>
      </c>
      <c r="J45" s="11">
        <v>80</v>
      </c>
      <c r="K45" s="11">
        <v>58</v>
      </c>
      <c r="L45" s="11">
        <v>69</v>
      </c>
      <c r="M45" s="11">
        <v>58</v>
      </c>
      <c r="N45" s="11">
        <v>83</v>
      </c>
      <c r="O45" s="11">
        <v>60</v>
      </c>
      <c r="P45" s="11">
        <v>80</v>
      </c>
      <c r="Q45" s="81">
        <v>62</v>
      </c>
      <c r="R45" s="196">
        <f t="shared" si="0"/>
        <v>900</v>
      </c>
      <c r="S45" s="120">
        <f t="shared" si="1"/>
        <v>69.230769230769226</v>
      </c>
      <c r="T45" s="119">
        <f t="shared" si="2"/>
        <v>43</v>
      </c>
      <c r="U45" s="11"/>
      <c r="V45" s="11"/>
    </row>
    <row r="46" spans="1:22" ht="20.100000000000001" customHeight="1" thickBot="1" x14ac:dyDescent="0.3">
      <c r="A46" s="157">
        <v>43</v>
      </c>
      <c r="B46" s="135"/>
      <c r="C46" s="136">
        <v>15</v>
      </c>
      <c r="D46" s="136" t="s">
        <v>23</v>
      </c>
      <c r="E46" s="11">
        <v>83</v>
      </c>
      <c r="F46" s="11">
        <v>72</v>
      </c>
      <c r="G46" s="11">
        <v>60</v>
      </c>
      <c r="H46" s="11">
        <v>60</v>
      </c>
      <c r="I46" s="11">
        <v>66</v>
      </c>
      <c r="J46" s="11">
        <v>73</v>
      </c>
      <c r="K46" s="11">
        <v>71</v>
      </c>
      <c r="L46" s="11">
        <v>84</v>
      </c>
      <c r="M46" s="11">
        <v>80</v>
      </c>
      <c r="N46" s="11">
        <v>81</v>
      </c>
      <c r="O46" s="11">
        <v>83</v>
      </c>
      <c r="P46" s="184">
        <v>87</v>
      </c>
      <c r="Q46" s="197">
        <v>61</v>
      </c>
      <c r="R46" s="196">
        <f t="shared" si="0"/>
        <v>961</v>
      </c>
      <c r="S46" s="120">
        <f t="shared" si="1"/>
        <v>73.92307692307692</v>
      </c>
      <c r="T46" s="119">
        <f t="shared" si="2"/>
        <v>35</v>
      </c>
      <c r="U46" s="11"/>
      <c r="V46" s="11"/>
    </row>
    <row r="47" spans="1:22" ht="20.100000000000001" customHeight="1" thickBot="1" x14ac:dyDescent="0.3">
      <c r="A47" s="145">
        <v>44</v>
      </c>
      <c r="B47" s="135"/>
      <c r="C47" s="136">
        <v>17</v>
      </c>
      <c r="D47" s="136" t="s">
        <v>20</v>
      </c>
      <c r="E47" s="11">
        <v>84</v>
      </c>
      <c r="F47" s="11">
        <v>75</v>
      </c>
      <c r="G47" s="11">
        <v>77</v>
      </c>
      <c r="H47" s="11">
        <v>76</v>
      </c>
      <c r="I47" s="11">
        <v>80</v>
      </c>
      <c r="J47" s="11">
        <v>93</v>
      </c>
      <c r="K47" s="11">
        <v>93</v>
      </c>
      <c r="L47" s="11">
        <v>97</v>
      </c>
      <c r="M47" s="11">
        <v>92</v>
      </c>
      <c r="N47" s="11">
        <v>87</v>
      </c>
      <c r="O47" s="11">
        <v>84</v>
      </c>
      <c r="P47" s="11">
        <v>99</v>
      </c>
      <c r="Q47" s="81">
        <v>74</v>
      </c>
      <c r="R47" s="196">
        <f t="shared" si="0"/>
        <v>1111</v>
      </c>
      <c r="S47" s="120">
        <f t="shared" si="1"/>
        <v>85.461538461538467</v>
      </c>
      <c r="T47" s="119">
        <f t="shared" si="2"/>
        <v>7</v>
      </c>
      <c r="U47" s="11"/>
      <c r="V47" s="11"/>
    </row>
    <row r="48" spans="1:22" ht="20.100000000000001" customHeight="1" thickBot="1" x14ac:dyDescent="0.3">
      <c r="A48" s="157">
        <v>45</v>
      </c>
      <c r="B48" s="135"/>
      <c r="C48" s="136">
        <v>14</v>
      </c>
      <c r="D48" s="136" t="s">
        <v>20</v>
      </c>
      <c r="E48" s="11">
        <v>90</v>
      </c>
      <c r="F48" s="11">
        <v>69</v>
      </c>
      <c r="G48" s="11">
        <v>80</v>
      </c>
      <c r="H48" s="11">
        <v>71</v>
      </c>
      <c r="I48" s="11">
        <v>70</v>
      </c>
      <c r="J48" s="11">
        <v>94</v>
      </c>
      <c r="K48" s="11">
        <v>90</v>
      </c>
      <c r="L48" s="11">
        <v>80</v>
      </c>
      <c r="M48" s="11">
        <v>78</v>
      </c>
      <c r="N48" s="11">
        <v>85</v>
      </c>
      <c r="O48" s="11">
        <v>86</v>
      </c>
      <c r="P48" s="11">
        <v>92</v>
      </c>
      <c r="Q48" s="81">
        <v>69</v>
      </c>
      <c r="R48" s="196">
        <f t="shared" si="0"/>
        <v>1054</v>
      </c>
      <c r="S48" s="120">
        <f t="shared" si="1"/>
        <v>81.07692307692308</v>
      </c>
      <c r="T48" s="119">
        <f t="shared" si="2"/>
        <v>17</v>
      </c>
      <c r="U48" s="11"/>
      <c r="V48" s="11"/>
    </row>
    <row r="49" spans="1:22" ht="20.100000000000001" customHeight="1" thickBot="1" x14ac:dyDescent="0.3">
      <c r="A49" s="145">
        <v>46</v>
      </c>
      <c r="B49" s="135"/>
      <c r="C49" s="136">
        <v>14</v>
      </c>
      <c r="D49" s="136" t="s">
        <v>23</v>
      </c>
      <c r="E49" s="11">
        <v>90</v>
      </c>
      <c r="F49" s="11">
        <v>89</v>
      </c>
      <c r="G49" s="11">
        <v>85</v>
      </c>
      <c r="H49" s="11">
        <v>77</v>
      </c>
      <c r="I49" s="11">
        <v>86</v>
      </c>
      <c r="J49" s="11">
        <v>93</v>
      </c>
      <c r="K49" s="11">
        <v>83</v>
      </c>
      <c r="L49" s="11">
        <v>93</v>
      </c>
      <c r="M49" s="11">
        <v>91</v>
      </c>
      <c r="N49" s="11">
        <v>82</v>
      </c>
      <c r="O49" s="11">
        <v>89</v>
      </c>
      <c r="P49" s="11">
        <v>87</v>
      </c>
      <c r="Q49" s="81">
        <v>80</v>
      </c>
      <c r="R49" s="196">
        <f t="shared" si="0"/>
        <v>1125</v>
      </c>
      <c r="S49" s="120">
        <f t="shared" si="1"/>
        <v>86.538461538461533</v>
      </c>
      <c r="T49" s="119">
        <f t="shared" si="2"/>
        <v>6</v>
      </c>
      <c r="U49" s="11"/>
      <c r="V49" s="11"/>
    </row>
    <row r="50" spans="1:22" ht="20.100000000000001" customHeight="1" thickBot="1" x14ac:dyDescent="0.3">
      <c r="A50" s="145">
        <v>47</v>
      </c>
      <c r="B50" s="135"/>
      <c r="C50" s="136">
        <v>14</v>
      </c>
      <c r="D50" s="136" t="s">
        <v>20</v>
      </c>
      <c r="E50" s="11">
        <v>76</v>
      </c>
      <c r="F50" s="11">
        <v>78</v>
      </c>
      <c r="G50" s="11">
        <v>83</v>
      </c>
      <c r="H50" s="11">
        <v>72</v>
      </c>
      <c r="I50" s="11">
        <v>82</v>
      </c>
      <c r="J50" s="11">
        <v>70</v>
      </c>
      <c r="K50" s="11">
        <v>62</v>
      </c>
      <c r="L50" s="11">
        <v>81</v>
      </c>
      <c r="M50" s="11">
        <v>79</v>
      </c>
      <c r="N50" s="11">
        <v>79</v>
      </c>
      <c r="O50" s="11">
        <v>71</v>
      </c>
      <c r="P50" s="11">
        <v>85</v>
      </c>
      <c r="Q50" s="81">
        <v>54</v>
      </c>
      <c r="R50" s="196">
        <f t="shared" si="0"/>
        <v>972</v>
      </c>
      <c r="S50" s="120">
        <f t="shared" si="1"/>
        <v>74.769230769230774</v>
      </c>
      <c r="T50" s="119">
        <f t="shared" si="2"/>
        <v>32</v>
      </c>
      <c r="U50" s="11"/>
      <c r="V50" s="11"/>
    </row>
    <row r="51" spans="1:22" ht="20.100000000000001" customHeight="1" thickBot="1" x14ac:dyDescent="0.3">
      <c r="A51" s="145">
        <v>48</v>
      </c>
      <c r="B51" s="135"/>
      <c r="C51" s="136">
        <v>15</v>
      </c>
      <c r="D51" s="136" t="s">
        <v>23</v>
      </c>
      <c r="E51" s="11">
        <v>91</v>
      </c>
      <c r="F51" s="11">
        <v>69</v>
      </c>
      <c r="G51" s="11">
        <v>66</v>
      </c>
      <c r="H51" s="11">
        <v>62</v>
      </c>
      <c r="I51" s="11">
        <v>65</v>
      </c>
      <c r="J51" s="11">
        <v>87</v>
      </c>
      <c r="K51" s="11">
        <v>85</v>
      </c>
      <c r="L51" s="11">
        <v>81</v>
      </c>
      <c r="M51" s="11">
        <v>88</v>
      </c>
      <c r="N51" s="11">
        <v>85</v>
      </c>
      <c r="O51" s="11">
        <v>89</v>
      </c>
      <c r="P51" s="11">
        <v>89</v>
      </c>
      <c r="Q51" s="81">
        <v>86</v>
      </c>
      <c r="R51" s="196">
        <f t="shared" si="0"/>
        <v>1043</v>
      </c>
      <c r="S51" s="120">
        <f t="shared" si="1"/>
        <v>80.230769230769226</v>
      </c>
      <c r="T51" s="119">
        <f t="shared" si="2"/>
        <v>20</v>
      </c>
      <c r="U51" s="11"/>
      <c r="V51" s="11"/>
    </row>
    <row r="52" spans="1:22" ht="20.100000000000001" customHeight="1" thickBot="1" x14ac:dyDescent="0.3">
      <c r="A52" s="157">
        <v>49</v>
      </c>
      <c r="B52" s="135"/>
      <c r="C52" s="136">
        <v>15</v>
      </c>
      <c r="D52" s="136" t="s">
        <v>23</v>
      </c>
      <c r="E52" s="11">
        <v>86</v>
      </c>
      <c r="F52" s="11">
        <v>83</v>
      </c>
      <c r="G52" s="11">
        <v>52</v>
      </c>
      <c r="H52" s="11">
        <v>59</v>
      </c>
      <c r="I52" s="11">
        <v>63</v>
      </c>
      <c r="J52" s="11">
        <v>74</v>
      </c>
      <c r="K52" s="11">
        <v>76</v>
      </c>
      <c r="L52" s="11">
        <v>81</v>
      </c>
      <c r="M52" s="11">
        <v>85</v>
      </c>
      <c r="N52" s="11">
        <v>87</v>
      </c>
      <c r="O52" s="11">
        <v>79</v>
      </c>
      <c r="P52" s="11">
        <v>84</v>
      </c>
      <c r="Q52" s="81">
        <v>68</v>
      </c>
      <c r="R52" s="196">
        <f t="shared" si="0"/>
        <v>977</v>
      </c>
      <c r="S52" s="120">
        <f t="shared" si="1"/>
        <v>75.15384615384616</v>
      </c>
      <c r="T52" s="119">
        <f t="shared" si="2"/>
        <v>31</v>
      </c>
      <c r="U52" s="11"/>
      <c r="V52" s="11"/>
    </row>
    <row r="53" spans="1:22" ht="20.100000000000001" customHeight="1" thickBot="1" x14ac:dyDescent="0.3">
      <c r="A53" s="157">
        <v>50</v>
      </c>
      <c r="B53" s="135"/>
      <c r="C53" s="136">
        <v>15</v>
      </c>
      <c r="D53" s="136" t="s">
        <v>20</v>
      </c>
      <c r="E53" s="11">
        <v>85</v>
      </c>
      <c r="F53" s="11">
        <v>61</v>
      </c>
      <c r="G53" s="11">
        <v>54</v>
      </c>
      <c r="H53" s="11">
        <v>63</v>
      </c>
      <c r="I53" s="11">
        <v>55</v>
      </c>
      <c r="J53" s="11">
        <v>75</v>
      </c>
      <c r="K53" s="11">
        <v>75</v>
      </c>
      <c r="L53" s="11">
        <v>76</v>
      </c>
      <c r="M53" s="11">
        <v>61</v>
      </c>
      <c r="N53" s="11">
        <v>88</v>
      </c>
      <c r="O53" s="11">
        <v>65</v>
      </c>
      <c r="P53" s="11">
        <v>86</v>
      </c>
      <c r="Q53" s="81">
        <v>65</v>
      </c>
      <c r="R53" s="196">
        <f t="shared" si="0"/>
        <v>909</v>
      </c>
      <c r="S53" s="120">
        <f t="shared" si="1"/>
        <v>69.92307692307692</v>
      </c>
      <c r="T53" s="119">
        <f t="shared" si="2"/>
        <v>41</v>
      </c>
      <c r="U53" s="11"/>
      <c r="V53" s="11"/>
    </row>
    <row r="54" spans="1:22" ht="19.5" customHeight="1" thickBot="1" x14ac:dyDescent="0.3">
      <c r="A54" s="157">
        <v>51</v>
      </c>
      <c r="B54" s="135"/>
      <c r="C54" s="136">
        <v>14</v>
      </c>
      <c r="D54" s="136" t="s">
        <v>23</v>
      </c>
      <c r="E54" s="11">
        <v>90</v>
      </c>
      <c r="F54" s="11">
        <v>73</v>
      </c>
      <c r="G54" s="11">
        <v>73</v>
      </c>
      <c r="H54" s="11">
        <v>76</v>
      </c>
      <c r="I54" s="11">
        <v>75</v>
      </c>
      <c r="J54" s="11">
        <v>85</v>
      </c>
      <c r="K54" s="11">
        <v>83</v>
      </c>
      <c r="L54" s="11">
        <v>82</v>
      </c>
      <c r="M54" s="11">
        <v>87</v>
      </c>
      <c r="N54" s="11">
        <v>92</v>
      </c>
      <c r="O54" s="11">
        <v>90</v>
      </c>
      <c r="P54" s="11">
        <v>93</v>
      </c>
      <c r="Q54" s="81">
        <v>74</v>
      </c>
      <c r="R54" s="196">
        <f t="shared" si="0"/>
        <v>1073</v>
      </c>
      <c r="S54" s="120">
        <f t="shared" si="1"/>
        <v>82.538461538461533</v>
      </c>
      <c r="T54" s="119">
        <f t="shared" si="2"/>
        <v>11</v>
      </c>
      <c r="U54" s="11"/>
      <c r="V54" s="11"/>
    </row>
    <row r="55" spans="1:22" ht="19.5" customHeight="1" thickBot="1" x14ac:dyDescent="0.3">
      <c r="A55" s="157">
        <v>52</v>
      </c>
      <c r="B55" s="135"/>
      <c r="C55" s="136">
        <v>15</v>
      </c>
      <c r="D55" s="136" t="s">
        <v>23</v>
      </c>
      <c r="E55" s="11">
        <v>87</v>
      </c>
      <c r="F55" s="11">
        <v>70</v>
      </c>
      <c r="G55" s="11">
        <v>81</v>
      </c>
      <c r="H55" s="11">
        <v>82</v>
      </c>
      <c r="I55" s="11">
        <v>72</v>
      </c>
      <c r="J55" s="11">
        <v>79</v>
      </c>
      <c r="K55" s="11">
        <v>84</v>
      </c>
      <c r="L55" s="11">
        <v>89</v>
      </c>
      <c r="M55" s="11">
        <v>85</v>
      </c>
      <c r="N55" s="11">
        <v>83</v>
      </c>
      <c r="O55" s="11">
        <v>81</v>
      </c>
      <c r="P55" s="11">
        <v>88</v>
      </c>
      <c r="Q55" s="81">
        <v>78</v>
      </c>
      <c r="R55" s="196">
        <f t="shared" si="0"/>
        <v>1059</v>
      </c>
      <c r="S55" s="120">
        <f t="shared" si="1"/>
        <v>81.461538461538467</v>
      </c>
      <c r="T55" s="119">
        <f t="shared" si="2"/>
        <v>14</v>
      </c>
      <c r="U55" s="11"/>
      <c r="V55" s="11"/>
    </row>
    <row r="56" spans="1:22" ht="19.5" customHeight="1" thickBot="1" x14ac:dyDescent="0.3">
      <c r="A56" s="157">
        <v>53</v>
      </c>
      <c r="B56" s="159"/>
      <c r="C56" s="158">
        <v>16</v>
      </c>
      <c r="D56" s="158" t="s">
        <v>20</v>
      </c>
      <c r="E56" s="11">
        <v>82</v>
      </c>
      <c r="F56" s="11">
        <v>64</v>
      </c>
      <c r="G56" s="11">
        <v>70</v>
      </c>
      <c r="H56" s="11">
        <v>63</v>
      </c>
      <c r="I56" s="11">
        <v>65</v>
      </c>
      <c r="J56" s="11">
        <v>67</v>
      </c>
      <c r="K56" s="11">
        <v>84</v>
      </c>
      <c r="L56" s="11">
        <v>77</v>
      </c>
      <c r="M56" s="11">
        <v>66</v>
      </c>
      <c r="N56" s="11">
        <v>87</v>
      </c>
      <c r="O56" s="11">
        <v>62</v>
      </c>
      <c r="P56" s="11">
        <v>90</v>
      </c>
      <c r="Q56" s="81">
        <v>68</v>
      </c>
      <c r="R56" s="196">
        <f t="shared" si="0"/>
        <v>945</v>
      </c>
      <c r="S56" s="120">
        <f t="shared" si="1"/>
        <v>72.692307692307693</v>
      </c>
      <c r="T56" s="119">
        <f t="shared" si="2"/>
        <v>36</v>
      </c>
      <c r="U56" s="11"/>
      <c r="V56" s="11"/>
    </row>
    <row r="57" spans="1:22" ht="19.5" customHeight="1" thickBot="1" x14ac:dyDescent="0.3">
      <c r="A57" s="157">
        <v>54</v>
      </c>
      <c r="B57" s="160"/>
      <c r="C57" s="42">
        <v>15</v>
      </c>
      <c r="D57" s="42" t="s">
        <v>20</v>
      </c>
      <c r="E57" s="11">
        <v>86</v>
      </c>
      <c r="F57" s="11">
        <v>71</v>
      </c>
      <c r="G57" s="11">
        <v>79</v>
      </c>
      <c r="H57" s="11">
        <v>77</v>
      </c>
      <c r="I57" s="11">
        <v>81</v>
      </c>
      <c r="J57" s="11">
        <v>95</v>
      </c>
      <c r="K57" s="11">
        <v>96</v>
      </c>
      <c r="L57" s="11">
        <v>87</v>
      </c>
      <c r="M57" s="11">
        <v>73</v>
      </c>
      <c r="N57" s="11">
        <v>83</v>
      </c>
      <c r="O57" s="11">
        <v>80</v>
      </c>
      <c r="P57" s="11">
        <v>94</v>
      </c>
      <c r="Q57" s="81">
        <v>79</v>
      </c>
      <c r="R57" s="196">
        <f t="shared" si="0"/>
        <v>1081</v>
      </c>
      <c r="S57" s="120">
        <f t="shared" si="1"/>
        <v>83.15384615384616</v>
      </c>
      <c r="T57" s="119">
        <f t="shared" si="2"/>
        <v>9</v>
      </c>
      <c r="U57" s="11"/>
      <c r="V57" s="11"/>
    </row>
    <row r="58" spans="1:22" ht="19.5" customHeight="1" x14ac:dyDescent="0.25">
      <c r="A58" s="157">
        <v>55</v>
      </c>
      <c r="B58" s="160"/>
      <c r="C58" s="42">
        <v>15</v>
      </c>
      <c r="D58" s="42" t="s">
        <v>23</v>
      </c>
      <c r="E58" s="11">
        <v>95</v>
      </c>
      <c r="F58" s="11">
        <v>92</v>
      </c>
      <c r="G58" s="11">
        <v>99</v>
      </c>
      <c r="H58" s="11">
        <v>100</v>
      </c>
      <c r="I58" s="11">
        <v>100</v>
      </c>
      <c r="J58" s="11">
        <v>100</v>
      </c>
      <c r="K58" s="11">
        <v>96</v>
      </c>
      <c r="L58" s="11">
        <v>99</v>
      </c>
      <c r="M58" s="11">
        <v>94</v>
      </c>
      <c r="N58" s="11">
        <v>94</v>
      </c>
      <c r="O58" s="11">
        <v>99</v>
      </c>
      <c r="P58" s="11">
        <v>89</v>
      </c>
      <c r="Q58" s="81">
        <v>89</v>
      </c>
      <c r="R58" s="198">
        <f t="shared" si="0"/>
        <v>1246</v>
      </c>
      <c r="S58" s="199">
        <f t="shared" si="1"/>
        <v>95.84615384615384</v>
      </c>
      <c r="T58" s="16">
        <f t="shared" si="2"/>
        <v>1</v>
      </c>
      <c r="U58" s="11"/>
      <c r="V58" s="11"/>
    </row>
  </sheetData>
  <mergeCells count="2">
    <mergeCell ref="A1:V1"/>
    <mergeCell ref="A2:V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workbookViewId="0">
      <selection activeCell="B4" sqref="B4:B58"/>
    </sheetView>
  </sheetViews>
  <sheetFormatPr defaultRowHeight="15" x14ac:dyDescent="0.25"/>
  <cols>
    <col min="1" max="1" width="6.7109375" style="10" customWidth="1"/>
    <col min="2" max="2" width="35.140625" bestFit="1" customWidth="1"/>
    <col min="3" max="3" width="4.7109375" customWidth="1"/>
    <col min="4" max="4" width="4.140625" customWidth="1"/>
    <col min="5" max="5" width="12" style="10" customWidth="1"/>
    <col min="6" max="7" width="10.5703125" style="10" customWidth="1"/>
  </cols>
  <sheetData>
    <row r="1" spans="1:8" ht="20.25" x14ac:dyDescent="0.25">
      <c r="A1" s="243" t="s">
        <v>57</v>
      </c>
      <c r="B1" s="244"/>
      <c r="C1" s="244"/>
      <c r="D1" s="244"/>
      <c r="E1" s="244"/>
      <c r="F1" s="244"/>
      <c r="G1" s="244"/>
      <c r="H1" s="244"/>
    </row>
    <row r="2" spans="1:8" x14ac:dyDescent="0.25">
      <c r="A2" s="245" t="s">
        <v>32</v>
      </c>
      <c r="B2" s="246"/>
      <c r="C2" s="246"/>
      <c r="D2" s="246"/>
      <c r="E2" s="246"/>
      <c r="F2" s="246"/>
      <c r="G2" s="246"/>
      <c r="H2" s="246"/>
    </row>
    <row r="3" spans="1:8" ht="67.5" customHeight="1" x14ac:dyDescent="0.25">
      <c r="A3" s="102" t="s">
        <v>24</v>
      </c>
      <c r="B3" s="74" t="s">
        <v>1</v>
      </c>
      <c r="C3" s="75" t="s">
        <v>2</v>
      </c>
      <c r="D3" s="74" t="s">
        <v>3</v>
      </c>
      <c r="E3" s="30" t="s">
        <v>26</v>
      </c>
      <c r="F3" s="57" t="s">
        <v>27</v>
      </c>
      <c r="G3" s="57" t="s">
        <v>16</v>
      </c>
      <c r="H3" s="91" t="s">
        <v>17</v>
      </c>
    </row>
    <row r="4" spans="1:8" ht="20.100000000000001" customHeight="1" x14ac:dyDescent="0.25">
      <c r="A4" s="158">
        <v>1</v>
      </c>
      <c r="B4" s="134"/>
      <c r="C4" s="144">
        <v>15</v>
      </c>
      <c r="D4" s="144" t="s">
        <v>20</v>
      </c>
      <c r="E4" s="49">
        <f>'9A Sem 1'!S4</f>
        <v>77.307692307692307</v>
      </c>
      <c r="F4" s="25">
        <f>'9A Sem 2'!S4</f>
        <v>71.07692307692308</v>
      </c>
      <c r="G4" s="25">
        <f>AVERAGE(E4:F4)</f>
        <v>74.192307692307693</v>
      </c>
      <c r="H4" s="11">
        <f>RANK(G4,$G$4:$G$58)</f>
        <v>32</v>
      </c>
    </row>
    <row r="5" spans="1:8" ht="20.100000000000001" customHeight="1" x14ac:dyDescent="0.25">
      <c r="A5" s="145">
        <v>2</v>
      </c>
      <c r="B5" s="135"/>
      <c r="C5" s="136">
        <v>14</v>
      </c>
      <c r="D5" s="136" t="s">
        <v>23</v>
      </c>
      <c r="E5" s="25">
        <f>'9A Sem 1'!S5</f>
        <v>77.538461538461533</v>
      </c>
      <c r="F5" s="25">
        <f>'9A Sem 2'!S5</f>
        <v>82.538461538461533</v>
      </c>
      <c r="G5" s="25">
        <f t="shared" ref="G5:G58" si="0">AVERAGE(E5:F5)</f>
        <v>80.038461538461533</v>
      </c>
      <c r="H5" s="11">
        <f t="shared" ref="H5:H58" si="1">RANK(G5,$G$4:$G$58)</f>
        <v>18</v>
      </c>
    </row>
    <row r="6" spans="1:8" ht="20.100000000000001" customHeight="1" x14ac:dyDescent="0.25">
      <c r="A6" s="157">
        <v>3</v>
      </c>
      <c r="B6" s="135"/>
      <c r="C6" s="136">
        <v>15</v>
      </c>
      <c r="D6" s="136" t="s">
        <v>20</v>
      </c>
      <c r="E6" s="25">
        <f>'9A Sem 1'!S6</f>
        <v>79.692307692307693</v>
      </c>
      <c r="F6" s="25">
        <f>'9A Sem 2'!S6</f>
        <v>78.769230769230774</v>
      </c>
      <c r="G6" s="25">
        <f t="shared" si="0"/>
        <v>79.230769230769226</v>
      </c>
      <c r="H6" s="11">
        <f t="shared" si="1"/>
        <v>19</v>
      </c>
    </row>
    <row r="7" spans="1:8" ht="20.100000000000001" customHeight="1" x14ac:dyDescent="0.25">
      <c r="A7" s="145">
        <v>4</v>
      </c>
      <c r="B7" s="135"/>
      <c r="C7" s="136">
        <v>15</v>
      </c>
      <c r="D7" s="136" t="s">
        <v>20</v>
      </c>
      <c r="E7" s="25">
        <f>'9A Sem 1'!S7</f>
        <v>67.692307692307693</v>
      </c>
      <c r="F7" s="25">
        <f>'9A Sem 2'!S7</f>
        <v>66.230769230769226</v>
      </c>
      <c r="G7" s="25">
        <f t="shared" si="0"/>
        <v>66.961538461538453</v>
      </c>
      <c r="H7" s="11">
        <f t="shared" si="1"/>
        <v>44</v>
      </c>
    </row>
    <row r="8" spans="1:8" ht="20.100000000000001" customHeight="1" x14ac:dyDescent="0.25">
      <c r="A8" s="145">
        <v>5</v>
      </c>
      <c r="B8" s="135"/>
      <c r="C8" s="136">
        <v>15</v>
      </c>
      <c r="D8" s="136" t="s">
        <v>23</v>
      </c>
      <c r="E8" s="25">
        <f>'9A Sem 1'!S8</f>
        <v>76.538461538461533</v>
      </c>
      <c r="F8" s="25">
        <f>'9A Sem 2'!S8</f>
        <v>78.230769230769226</v>
      </c>
      <c r="G8" s="25">
        <f t="shared" si="0"/>
        <v>77.384615384615387</v>
      </c>
      <c r="H8" s="11">
        <f t="shared" si="1"/>
        <v>22</v>
      </c>
    </row>
    <row r="9" spans="1:8" ht="20.100000000000001" customHeight="1" x14ac:dyDescent="0.25">
      <c r="A9" s="157">
        <v>6</v>
      </c>
      <c r="B9" s="135"/>
      <c r="C9" s="136">
        <v>14</v>
      </c>
      <c r="D9" s="136" t="s">
        <v>23</v>
      </c>
      <c r="E9" s="25">
        <f>'9A Sem 1'!S9</f>
        <v>80.384615384615387</v>
      </c>
      <c r="F9" s="25">
        <f>'9A Sem 2'!S9</f>
        <v>82.307692307692307</v>
      </c>
      <c r="G9" s="25">
        <f t="shared" si="0"/>
        <v>81.34615384615384</v>
      </c>
      <c r="H9" s="11">
        <f t="shared" si="1"/>
        <v>15</v>
      </c>
    </row>
    <row r="10" spans="1:8" ht="20.100000000000001" customHeight="1" x14ac:dyDescent="0.25">
      <c r="A10" s="145">
        <v>7</v>
      </c>
      <c r="B10" s="135"/>
      <c r="C10" s="136">
        <v>14</v>
      </c>
      <c r="D10" s="136" t="s">
        <v>23</v>
      </c>
      <c r="E10" s="25">
        <f>'9A Sem 1'!S10</f>
        <v>56</v>
      </c>
      <c r="F10" s="25">
        <f>'9A Sem 2'!S10</f>
        <v>59.230769230769234</v>
      </c>
      <c r="G10" s="25">
        <f t="shared" si="0"/>
        <v>57.615384615384613</v>
      </c>
      <c r="H10" s="11">
        <f t="shared" si="1"/>
        <v>52</v>
      </c>
    </row>
    <row r="11" spans="1:8" ht="20.100000000000001" customHeight="1" x14ac:dyDescent="0.25">
      <c r="A11" s="145">
        <v>8</v>
      </c>
      <c r="B11" s="135"/>
      <c r="C11" s="136">
        <v>15</v>
      </c>
      <c r="D11" s="136" t="s">
        <v>23</v>
      </c>
      <c r="E11" s="25">
        <f>'9A Sem 1'!S11</f>
        <v>80.461538461538467</v>
      </c>
      <c r="F11" s="25">
        <f>'9A Sem 2'!S11</f>
        <v>80.615384615384613</v>
      </c>
      <c r="G11" s="25">
        <f t="shared" si="0"/>
        <v>80.538461538461547</v>
      </c>
      <c r="H11" s="11">
        <f t="shared" si="1"/>
        <v>16</v>
      </c>
    </row>
    <row r="12" spans="1:8" ht="20.100000000000001" customHeight="1" x14ac:dyDescent="0.25">
      <c r="A12" s="157">
        <v>9</v>
      </c>
      <c r="B12" s="137"/>
      <c r="C12" s="136">
        <v>15</v>
      </c>
      <c r="D12" s="136" t="s">
        <v>20</v>
      </c>
      <c r="E12" s="25">
        <f>'9A Sem 1'!S12</f>
        <v>63.384615384615387</v>
      </c>
      <c r="F12" s="25">
        <f>'9A Sem 2'!S12</f>
        <v>61.384615384615387</v>
      </c>
      <c r="G12" s="25">
        <f t="shared" si="0"/>
        <v>62.384615384615387</v>
      </c>
      <c r="H12" s="11">
        <f t="shared" si="1"/>
        <v>49</v>
      </c>
    </row>
    <row r="13" spans="1:8" ht="20.100000000000001" customHeight="1" x14ac:dyDescent="0.25">
      <c r="A13" s="145">
        <v>10</v>
      </c>
      <c r="B13" s="135"/>
      <c r="C13" s="136">
        <v>15</v>
      </c>
      <c r="D13" s="136" t="s">
        <v>23</v>
      </c>
      <c r="E13" s="25">
        <f>'9A Sem 1'!S13</f>
        <v>71.92307692307692</v>
      </c>
      <c r="F13" s="25">
        <f>'9A Sem 2'!S13</f>
        <v>77.307692307692307</v>
      </c>
      <c r="G13" s="25">
        <f t="shared" si="0"/>
        <v>74.615384615384613</v>
      </c>
      <c r="H13" s="11">
        <f t="shared" si="1"/>
        <v>30</v>
      </c>
    </row>
    <row r="14" spans="1:8" ht="20.100000000000001" customHeight="1" x14ac:dyDescent="0.25">
      <c r="A14" s="157">
        <v>11</v>
      </c>
      <c r="B14" s="135"/>
      <c r="C14" s="136">
        <v>15</v>
      </c>
      <c r="D14" s="136" t="s">
        <v>20</v>
      </c>
      <c r="E14" s="25">
        <f>'9A Sem 1'!S14</f>
        <v>70.692307692307693</v>
      </c>
      <c r="F14" s="25">
        <f>'9A Sem 2'!S14</f>
        <v>71.15384615384616</v>
      </c>
      <c r="G14" s="25">
        <f t="shared" si="0"/>
        <v>70.923076923076934</v>
      </c>
      <c r="H14" s="11">
        <f t="shared" si="1"/>
        <v>40</v>
      </c>
    </row>
    <row r="15" spans="1:8" ht="20.100000000000001" customHeight="1" x14ac:dyDescent="0.25">
      <c r="A15" s="157">
        <v>12</v>
      </c>
      <c r="B15" s="135"/>
      <c r="C15" s="136">
        <v>15</v>
      </c>
      <c r="D15" s="136" t="s">
        <v>20</v>
      </c>
      <c r="E15" s="25">
        <f>'9A Sem 1'!S15</f>
        <v>62.307692307692307</v>
      </c>
      <c r="F15" s="25">
        <f>'9A Sem 2'!S15</f>
        <v>62.46153846153846</v>
      </c>
      <c r="G15" s="25">
        <f t="shared" si="0"/>
        <v>62.384615384615387</v>
      </c>
      <c r="H15" s="11">
        <f t="shared" si="1"/>
        <v>49</v>
      </c>
    </row>
    <row r="16" spans="1:8" ht="20.100000000000001" customHeight="1" x14ac:dyDescent="0.25">
      <c r="A16" s="157">
        <v>13</v>
      </c>
      <c r="B16" s="135"/>
      <c r="C16" s="136">
        <v>14</v>
      </c>
      <c r="D16" s="136" t="s">
        <v>23</v>
      </c>
      <c r="E16" s="25">
        <f>'9A Sem 1'!S16</f>
        <v>77.07692307692308</v>
      </c>
      <c r="F16" s="25">
        <f>'9A Sem 2'!S16</f>
        <v>77</v>
      </c>
      <c r="G16" s="25">
        <f t="shared" si="0"/>
        <v>77.038461538461547</v>
      </c>
      <c r="H16" s="11">
        <f t="shared" si="1"/>
        <v>23</v>
      </c>
    </row>
    <row r="17" spans="1:8" ht="20.100000000000001" customHeight="1" x14ac:dyDescent="0.25">
      <c r="A17" s="145">
        <v>14</v>
      </c>
      <c r="B17" s="135"/>
      <c r="C17" s="136">
        <v>14</v>
      </c>
      <c r="D17" s="136" t="s">
        <v>23</v>
      </c>
      <c r="E17" s="25">
        <f>'9A Sem 1'!S17</f>
        <v>72.92307692307692</v>
      </c>
      <c r="F17" s="25">
        <f>'9A Sem 2'!S17</f>
        <v>71.769230769230774</v>
      </c>
      <c r="G17" s="25">
        <f t="shared" si="0"/>
        <v>72.34615384615384</v>
      </c>
      <c r="H17" s="11">
        <f t="shared" si="1"/>
        <v>36</v>
      </c>
    </row>
    <row r="18" spans="1:8" ht="20.100000000000001" customHeight="1" x14ac:dyDescent="0.25">
      <c r="A18" s="157">
        <v>15</v>
      </c>
      <c r="B18" s="135"/>
      <c r="C18" s="136">
        <v>15</v>
      </c>
      <c r="D18" s="136" t="s">
        <v>23</v>
      </c>
      <c r="E18" s="25">
        <f>'9A Sem 1'!S18</f>
        <v>83.84615384615384</v>
      </c>
      <c r="F18" s="25">
        <f>'9A Sem 2'!S18</f>
        <v>78.92307692307692</v>
      </c>
      <c r="G18" s="25">
        <f t="shared" si="0"/>
        <v>81.384615384615387</v>
      </c>
      <c r="H18" s="11">
        <f t="shared" si="1"/>
        <v>14</v>
      </c>
    </row>
    <row r="19" spans="1:8" ht="20.100000000000001" customHeight="1" x14ac:dyDescent="0.25">
      <c r="A19" s="145">
        <v>16</v>
      </c>
      <c r="B19" s="135"/>
      <c r="C19" s="136">
        <v>14</v>
      </c>
      <c r="D19" s="136" t="s">
        <v>20</v>
      </c>
      <c r="E19" s="25">
        <f>'9A Sem 1'!S19</f>
        <v>73.84615384615384</v>
      </c>
      <c r="F19" s="25">
        <f>'9A Sem 2'!S19</f>
        <v>77.769230769230774</v>
      </c>
      <c r="G19" s="25">
        <f t="shared" si="0"/>
        <v>75.807692307692307</v>
      </c>
      <c r="H19" s="11">
        <f t="shared" si="1"/>
        <v>26</v>
      </c>
    </row>
    <row r="20" spans="1:8" ht="20.100000000000001" customHeight="1" x14ac:dyDescent="0.25">
      <c r="A20" s="145">
        <v>17</v>
      </c>
      <c r="B20" s="135"/>
      <c r="C20" s="136">
        <v>14</v>
      </c>
      <c r="D20" s="136" t="s">
        <v>20</v>
      </c>
      <c r="E20" s="25">
        <f>'9A Sem 1'!S20</f>
        <v>51.53846153846154</v>
      </c>
      <c r="F20" s="25">
        <f>'9A Sem 2'!S20</f>
        <v>48.384615384615387</v>
      </c>
      <c r="G20" s="25">
        <f t="shared" si="0"/>
        <v>49.961538461538467</v>
      </c>
      <c r="H20" s="11">
        <f t="shared" si="1"/>
        <v>54</v>
      </c>
    </row>
    <row r="21" spans="1:8" ht="20.100000000000001" customHeight="1" x14ac:dyDescent="0.25">
      <c r="A21" s="145">
        <v>18</v>
      </c>
      <c r="B21" s="135"/>
      <c r="C21" s="136">
        <v>15</v>
      </c>
      <c r="D21" s="136" t="s">
        <v>20</v>
      </c>
      <c r="E21" s="25">
        <f>'9A Sem 1'!S21</f>
        <v>62.230769230769234</v>
      </c>
      <c r="F21" s="25">
        <f>'9A Sem 2'!S21</f>
        <v>63.92307692307692</v>
      </c>
      <c r="G21" s="25">
        <f t="shared" si="0"/>
        <v>63.07692307692308</v>
      </c>
      <c r="H21" s="11">
        <f t="shared" si="1"/>
        <v>48</v>
      </c>
    </row>
    <row r="22" spans="1:8" ht="20.100000000000001" customHeight="1" x14ac:dyDescent="0.25">
      <c r="A22" s="157">
        <v>19</v>
      </c>
      <c r="B22" s="135"/>
      <c r="C22" s="136">
        <v>14</v>
      </c>
      <c r="D22" s="136" t="s">
        <v>20</v>
      </c>
      <c r="E22" s="25">
        <f>'9A Sem 1'!S22</f>
        <v>86.615384615384613</v>
      </c>
      <c r="F22" s="25">
        <f>'9A Sem 2'!S22</f>
        <v>90</v>
      </c>
      <c r="G22" s="25">
        <f t="shared" si="0"/>
        <v>88.307692307692307</v>
      </c>
      <c r="H22" s="11">
        <f t="shared" si="1"/>
        <v>4</v>
      </c>
    </row>
    <row r="23" spans="1:8" ht="20.100000000000001" customHeight="1" x14ac:dyDescent="0.25">
      <c r="A23" s="157">
        <v>20</v>
      </c>
      <c r="B23" s="135"/>
      <c r="C23" s="136">
        <v>15</v>
      </c>
      <c r="D23" s="136" t="s">
        <v>20</v>
      </c>
      <c r="E23" s="25">
        <f>'9A Sem 1'!S23</f>
        <v>74.15384615384616</v>
      </c>
      <c r="F23" s="25">
        <f>'9A Sem 2'!S23</f>
        <v>69.538461538461533</v>
      </c>
      <c r="G23" s="25">
        <f t="shared" si="0"/>
        <v>71.84615384615384</v>
      </c>
      <c r="H23" s="11">
        <f t="shared" si="1"/>
        <v>37</v>
      </c>
    </row>
    <row r="24" spans="1:8" ht="20.100000000000001" customHeight="1" x14ac:dyDescent="0.25">
      <c r="A24" s="157">
        <v>21</v>
      </c>
      <c r="B24" s="135"/>
      <c r="C24" s="136">
        <v>14</v>
      </c>
      <c r="D24" s="136" t="s">
        <v>23</v>
      </c>
      <c r="E24" s="25">
        <f>'9A Sem 1'!S24</f>
        <v>88.07692307692308</v>
      </c>
      <c r="F24" s="25">
        <f>'9A Sem 2'!S24</f>
        <v>93.84615384615384</v>
      </c>
      <c r="G24" s="25">
        <f t="shared" si="0"/>
        <v>90.961538461538453</v>
      </c>
      <c r="H24" s="11">
        <f t="shared" si="1"/>
        <v>3</v>
      </c>
    </row>
    <row r="25" spans="1:8" ht="20.100000000000001" customHeight="1" x14ac:dyDescent="0.25">
      <c r="A25" s="145">
        <v>22</v>
      </c>
      <c r="B25" s="135"/>
      <c r="C25" s="136">
        <v>14</v>
      </c>
      <c r="D25" s="136" t="s">
        <v>20</v>
      </c>
      <c r="E25" s="25">
        <f>'9A Sem 1'!S25</f>
        <v>71.15384615384616</v>
      </c>
      <c r="F25" s="25">
        <f>'9A Sem 2'!S25</f>
        <v>71.461538461538467</v>
      </c>
      <c r="G25" s="25">
        <f t="shared" si="0"/>
        <v>71.307692307692321</v>
      </c>
      <c r="H25" s="11">
        <f t="shared" si="1"/>
        <v>39</v>
      </c>
    </row>
    <row r="26" spans="1:8" ht="20.100000000000001" customHeight="1" x14ac:dyDescent="0.25">
      <c r="A26" s="145">
        <v>23</v>
      </c>
      <c r="B26" s="135"/>
      <c r="C26" s="136">
        <v>14</v>
      </c>
      <c r="D26" s="136" t="s">
        <v>20</v>
      </c>
      <c r="E26" s="25">
        <f>'9A Sem 1'!S26</f>
        <v>61.92307692307692</v>
      </c>
      <c r="F26" s="25">
        <f>'9A Sem 2'!S26</f>
        <v>65</v>
      </c>
      <c r="G26" s="25">
        <f t="shared" si="0"/>
        <v>63.46153846153846</v>
      </c>
      <c r="H26" s="11">
        <f t="shared" si="1"/>
        <v>47</v>
      </c>
    </row>
    <row r="27" spans="1:8" ht="20.100000000000001" customHeight="1" x14ac:dyDescent="0.25">
      <c r="A27" s="157">
        <v>24</v>
      </c>
      <c r="B27" s="135"/>
      <c r="C27" s="136">
        <v>16</v>
      </c>
      <c r="D27" s="136" t="s">
        <v>20</v>
      </c>
      <c r="E27" s="25">
        <f>'9A Sem 1'!S27</f>
        <v>61.230769230769234</v>
      </c>
      <c r="F27" s="25">
        <f>'9A Sem 2'!S27</f>
        <v>66.230769230769226</v>
      </c>
      <c r="G27" s="25">
        <f t="shared" si="0"/>
        <v>63.730769230769226</v>
      </c>
      <c r="H27" s="11">
        <f t="shared" si="1"/>
        <v>46</v>
      </c>
    </row>
    <row r="28" spans="1:8" ht="20.100000000000001" customHeight="1" x14ac:dyDescent="0.25">
      <c r="A28" s="145">
        <v>25</v>
      </c>
      <c r="B28" s="135"/>
      <c r="C28" s="136">
        <v>15</v>
      </c>
      <c r="D28" s="136" t="s">
        <v>23</v>
      </c>
      <c r="E28" s="25">
        <f>'9A Sem 1'!S28</f>
        <v>72.84615384615384</v>
      </c>
      <c r="F28" s="25">
        <f>'9A Sem 2'!S28</f>
        <v>76.07692307692308</v>
      </c>
      <c r="G28" s="25">
        <f t="shared" si="0"/>
        <v>74.461538461538453</v>
      </c>
      <c r="H28" s="11">
        <f t="shared" si="1"/>
        <v>31</v>
      </c>
    </row>
    <row r="29" spans="1:8" ht="20.100000000000001" customHeight="1" x14ac:dyDescent="0.25">
      <c r="A29" s="157">
        <v>26</v>
      </c>
      <c r="B29" s="135"/>
      <c r="C29" s="136">
        <v>14</v>
      </c>
      <c r="D29" s="136" t="s">
        <v>23</v>
      </c>
      <c r="E29" s="25">
        <f>'9A Sem 1'!S29</f>
        <v>83</v>
      </c>
      <c r="F29" s="25">
        <f>'9A Sem 2'!S29</f>
        <v>83.15384615384616</v>
      </c>
      <c r="G29" s="25">
        <f t="shared" si="0"/>
        <v>83.07692307692308</v>
      </c>
      <c r="H29" s="11">
        <f t="shared" si="1"/>
        <v>9</v>
      </c>
    </row>
    <row r="30" spans="1:8" ht="20.100000000000001" customHeight="1" x14ac:dyDescent="0.25">
      <c r="A30" s="157">
        <v>27</v>
      </c>
      <c r="B30" s="135"/>
      <c r="C30" s="136">
        <v>15</v>
      </c>
      <c r="D30" s="136" t="s">
        <v>23</v>
      </c>
      <c r="E30" s="25">
        <f>'9A Sem 1'!S30</f>
        <v>65.384615384615387</v>
      </c>
      <c r="F30" s="25">
        <f>'9A Sem 2'!S30</f>
        <v>67.307692307692307</v>
      </c>
      <c r="G30" s="25">
        <f t="shared" si="0"/>
        <v>66.34615384615384</v>
      </c>
      <c r="H30" s="11">
        <f t="shared" si="1"/>
        <v>45</v>
      </c>
    </row>
    <row r="31" spans="1:8" ht="20.100000000000001" customHeight="1" x14ac:dyDescent="0.25">
      <c r="A31" s="157">
        <v>28</v>
      </c>
      <c r="B31" s="135"/>
      <c r="C31" s="136">
        <v>14</v>
      </c>
      <c r="D31" s="136" t="s">
        <v>20</v>
      </c>
      <c r="E31" s="25">
        <f>'9A Sem 1'!S31</f>
        <v>90.384615384615387</v>
      </c>
      <c r="F31" s="25">
        <f>'9A Sem 2'!S31</f>
        <v>94.384615384615387</v>
      </c>
      <c r="G31" s="25">
        <f t="shared" si="0"/>
        <v>92.384615384615387</v>
      </c>
      <c r="H31" s="11">
        <f t="shared" si="1"/>
        <v>2</v>
      </c>
    </row>
    <row r="32" spans="1:8" ht="20.100000000000001" customHeight="1" x14ac:dyDescent="0.25">
      <c r="A32" s="145">
        <v>29</v>
      </c>
      <c r="B32" s="135"/>
      <c r="C32" s="136">
        <v>15</v>
      </c>
      <c r="D32" s="136" t="s">
        <v>23</v>
      </c>
      <c r="E32" s="25">
        <f>'9A Sem 1'!S32</f>
        <v>72.84615384615384</v>
      </c>
      <c r="F32" s="25">
        <f>'9A Sem 2'!S32</f>
        <v>77.769230769230774</v>
      </c>
      <c r="G32" s="25">
        <f t="shared" si="0"/>
        <v>75.307692307692307</v>
      </c>
      <c r="H32" s="11">
        <f t="shared" si="1"/>
        <v>28</v>
      </c>
    </row>
    <row r="33" spans="1:8" ht="20.100000000000001" customHeight="1" x14ac:dyDescent="0.25">
      <c r="A33" s="157">
        <v>30</v>
      </c>
      <c r="B33" s="135"/>
      <c r="C33" s="136">
        <v>14</v>
      </c>
      <c r="D33" s="136" t="s">
        <v>23</v>
      </c>
      <c r="E33" s="25">
        <f>'9A Sem 1'!S33</f>
        <v>74.15384615384616</v>
      </c>
      <c r="F33" s="25">
        <f>'9A Sem 2'!S33</f>
        <v>78.538461538461533</v>
      </c>
      <c r="G33" s="25">
        <f t="shared" si="0"/>
        <v>76.34615384615384</v>
      </c>
      <c r="H33" s="11">
        <f t="shared" si="1"/>
        <v>25</v>
      </c>
    </row>
    <row r="34" spans="1:8" ht="20.100000000000001" customHeight="1" x14ac:dyDescent="0.25">
      <c r="A34" s="145">
        <v>31</v>
      </c>
      <c r="B34" s="135"/>
      <c r="C34" s="136">
        <v>16</v>
      </c>
      <c r="D34" s="136" t="s">
        <v>23</v>
      </c>
      <c r="E34" s="25">
        <f>'9A Sem 1'!S34</f>
        <v>75.538461538461533</v>
      </c>
      <c r="F34" s="25">
        <f>'9A Sem 2'!S34</f>
        <v>0</v>
      </c>
      <c r="G34" s="25">
        <f t="shared" si="0"/>
        <v>37.769230769230766</v>
      </c>
      <c r="H34" s="11">
        <f t="shared" si="1"/>
        <v>55</v>
      </c>
    </row>
    <row r="35" spans="1:8" ht="20.100000000000001" customHeight="1" x14ac:dyDescent="0.25">
      <c r="A35" s="145">
        <v>32</v>
      </c>
      <c r="B35" s="135"/>
      <c r="C35" s="136">
        <v>15</v>
      </c>
      <c r="D35" s="136" t="s">
        <v>20</v>
      </c>
      <c r="E35" s="25">
        <f>'9A Sem 1'!S35</f>
        <v>57.769230769230766</v>
      </c>
      <c r="F35" s="25">
        <f>'9A Sem 2'!S35</f>
        <v>58.230769230769234</v>
      </c>
      <c r="G35" s="25">
        <f t="shared" si="0"/>
        <v>58</v>
      </c>
      <c r="H35" s="11">
        <f t="shared" si="1"/>
        <v>51</v>
      </c>
    </row>
    <row r="36" spans="1:8" ht="20.100000000000001" customHeight="1" x14ac:dyDescent="0.25">
      <c r="A36" s="145">
        <v>33</v>
      </c>
      <c r="B36" s="135"/>
      <c r="C36" s="136">
        <v>14</v>
      </c>
      <c r="D36" s="136" t="s">
        <v>20</v>
      </c>
      <c r="E36" s="25">
        <f>'9A Sem 1'!S36</f>
        <v>87.384615384615387</v>
      </c>
      <c r="F36" s="25">
        <f>'9A Sem 2'!S36</f>
        <v>87.07692307692308</v>
      </c>
      <c r="G36" s="25">
        <f t="shared" si="0"/>
        <v>87.230769230769226</v>
      </c>
      <c r="H36" s="11">
        <f t="shared" si="1"/>
        <v>5</v>
      </c>
    </row>
    <row r="37" spans="1:8" ht="20.100000000000001" customHeight="1" x14ac:dyDescent="0.25">
      <c r="A37" s="157">
        <v>34</v>
      </c>
      <c r="B37" s="135"/>
      <c r="C37" s="136">
        <v>15</v>
      </c>
      <c r="D37" s="136" t="s">
        <v>20</v>
      </c>
      <c r="E37" s="25">
        <f>'9A Sem 1'!S37</f>
        <v>84.461538461538467</v>
      </c>
      <c r="F37" s="25">
        <f>'9A Sem 2'!S37</f>
        <v>81.461538461538467</v>
      </c>
      <c r="G37" s="25">
        <f t="shared" si="0"/>
        <v>82.961538461538467</v>
      </c>
      <c r="H37" s="11">
        <f t="shared" si="1"/>
        <v>10</v>
      </c>
    </row>
    <row r="38" spans="1:8" ht="20.100000000000001" customHeight="1" x14ac:dyDescent="0.25">
      <c r="A38" s="157">
        <v>35</v>
      </c>
      <c r="B38" s="135"/>
      <c r="C38" s="136">
        <v>14</v>
      </c>
      <c r="D38" s="136" t="s">
        <v>20</v>
      </c>
      <c r="E38" s="25">
        <f>'9A Sem 1'!S38</f>
        <v>75.384615384615387</v>
      </c>
      <c r="F38" s="25">
        <f>'9A Sem 2'!S38</f>
        <v>81.384615384615387</v>
      </c>
      <c r="G38" s="25">
        <f t="shared" si="0"/>
        <v>78.384615384615387</v>
      </c>
      <c r="H38" s="11">
        <f t="shared" si="1"/>
        <v>21</v>
      </c>
    </row>
    <row r="39" spans="1:8" ht="20.100000000000001" customHeight="1" x14ac:dyDescent="0.25">
      <c r="A39" s="157">
        <v>36</v>
      </c>
      <c r="B39" s="135"/>
      <c r="C39" s="136">
        <v>14</v>
      </c>
      <c r="D39" s="136" t="s">
        <v>20</v>
      </c>
      <c r="E39" s="25">
        <f>'9A Sem 1'!S39</f>
        <v>60.384615384615387</v>
      </c>
      <c r="F39" s="25">
        <f>'9A Sem 2'!S39</f>
        <v>54.46153846153846</v>
      </c>
      <c r="G39" s="25">
        <f t="shared" si="0"/>
        <v>57.42307692307692</v>
      </c>
      <c r="H39" s="11">
        <f t="shared" si="1"/>
        <v>53</v>
      </c>
    </row>
    <row r="40" spans="1:8" ht="20.100000000000001" customHeight="1" x14ac:dyDescent="0.25">
      <c r="A40" s="145">
        <v>37</v>
      </c>
      <c r="B40" s="135"/>
      <c r="C40" s="136">
        <v>14</v>
      </c>
      <c r="D40" s="136" t="s">
        <v>20</v>
      </c>
      <c r="E40" s="25">
        <f>'9A Sem 1'!S40</f>
        <v>69.615384615384613</v>
      </c>
      <c r="F40" s="25">
        <f>'9A Sem 2'!S40</f>
        <v>74</v>
      </c>
      <c r="G40" s="25">
        <f t="shared" si="0"/>
        <v>71.807692307692307</v>
      </c>
      <c r="H40" s="11">
        <f t="shared" si="1"/>
        <v>38</v>
      </c>
    </row>
    <row r="41" spans="1:8" ht="20.100000000000001" customHeight="1" x14ac:dyDescent="0.25">
      <c r="A41" s="145">
        <v>38</v>
      </c>
      <c r="B41" s="135"/>
      <c r="C41" s="136">
        <v>15</v>
      </c>
      <c r="D41" s="136" t="s">
        <v>20</v>
      </c>
      <c r="E41" s="25">
        <f>'9A Sem 1'!S41</f>
        <v>72.230769230769226</v>
      </c>
      <c r="F41" s="25">
        <f>'9A Sem 2'!S41</f>
        <v>74.538461538461533</v>
      </c>
      <c r="G41" s="25">
        <f t="shared" si="0"/>
        <v>73.384615384615387</v>
      </c>
      <c r="H41" s="11">
        <f t="shared" si="1"/>
        <v>33</v>
      </c>
    </row>
    <row r="42" spans="1:8" ht="20.100000000000001" customHeight="1" x14ac:dyDescent="0.25">
      <c r="A42" s="157">
        <v>39</v>
      </c>
      <c r="B42" s="135"/>
      <c r="C42" s="136">
        <v>14</v>
      </c>
      <c r="D42" s="136" t="s">
        <v>20</v>
      </c>
      <c r="E42" s="25">
        <f>'9A Sem 1'!S42</f>
        <v>77.538461538461533</v>
      </c>
      <c r="F42" s="25">
        <f>'9A Sem 2'!S42</f>
        <v>76.15384615384616</v>
      </c>
      <c r="G42" s="25">
        <f t="shared" si="0"/>
        <v>76.84615384615384</v>
      </c>
      <c r="H42" s="11">
        <f t="shared" si="1"/>
        <v>24</v>
      </c>
    </row>
    <row r="43" spans="1:8" ht="20.100000000000001" customHeight="1" x14ac:dyDescent="0.25">
      <c r="A43" s="145">
        <v>40</v>
      </c>
      <c r="B43" s="135"/>
      <c r="C43" s="136">
        <v>15</v>
      </c>
      <c r="D43" s="136" t="s">
        <v>20</v>
      </c>
      <c r="E43" s="25">
        <f>'9A Sem 1'!S43</f>
        <v>83.84615384615384</v>
      </c>
      <c r="F43" s="25">
        <f>'9A Sem 2'!S43</f>
        <v>80.538461538461533</v>
      </c>
      <c r="G43" s="25">
        <f t="shared" si="0"/>
        <v>82.192307692307679</v>
      </c>
      <c r="H43" s="11">
        <f t="shared" si="1"/>
        <v>12</v>
      </c>
    </row>
    <row r="44" spans="1:8" ht="20.100000000000001" customHeight="1" x14ac:dyDescent="0.25">
      <c r="A44" s="157">
        <v>41</v>
      </c>
      <c r="B44" s="135"/>
      <c r="C44" s="136">
        <v>14</v>
      </c>
      <c r="D44" s="136" t="s">
        <v>23</v>
      </c>
      <c r="E44" s="25">
        <f>'9A Sem 1'!S44</f>
        <v>87</v>
      </c>
      <c r="F44" s="25">
        <f>'9A Sem 2'!S44</f>
        <v>84.84615384615384</v>
      </c>
      <c r="G44" s="25">
        <f t="shared" si="0"/>
        <v>85.92307692307692</v>
      </c>
      <c r="H44" s="11">
        <f t="shared" si="1"/>
        <v>6</v>
      </c>
    </row>
    <row r="45" spans="1:8" ht="20.100000000000001" customHeight="1" x14ac:dyDescent="0.25">
      <c r="A45" s="157">
        <v>42</v>
      </c>
      <c r="B45" s="135"/>
      <c r="C45" s="136">
        <v>14</v>
      </c>
      <c r="D45" s="136" t="s">
        <v>20</v>
      </c>
      <c r="E45" s="25">
        <f>'9A Sem 1'!S45</f>
        <v>72.230769230769226</v>
      </c>
      <c r="F45" s="25">
        <f>'9A Sem 2'!S45</f>
        <v>69.230769230769226</v>
      </c>
      <c r="G45" s="25">
        <f t="shared" si="0"/>
        <v>70.730769230769226</v>
      </c>
      <c r="H45" s="11">
        <f t="shared" si="1"/>
        <v>41</v>
      </c>
    </row>
    <row r="46" spans="1:8" ht="20.100000000000001" customHeight="1" x14ac:dyDescent="0.25">
      <c r="A46" s="157">
        <v>43</v>
      </c>
      <c r="B46" s="135"/>
      <c r="C46" s="136">
        <v>15</v>
      </c>
      <c r="D46" s="136" t="s">
        <v>23</v>
      </c>
      <c r="E46" s="25">
        <f>'9A Sem 1'!S46</f>
        <v>67.307692307692307</v>
      </c>
      <c r="F46" s="25">
        <f>'9A Sem 2'!S46</f>
        <v>73.92307692307692</v>
      </c>
      <c r="G46" s="25">
        <f t="shared" si="0"/>
        <v>70.615384615384613</v>
      </c>
      <c r="H46" s="11">
        <f t="shared" si="1"/>
        <v>42</v>
      </c>
    </row>
    <row r="47" spans="1:8" ht="20.100000000000001" customHeight="1" x14ac:dyDescent="0.25">
      <c r="A47" s="145">
        <v>44</v>
      </c>
      <c r="B47" s="135"/>
      <c r="C47" s="136">
        <v>17</v>
      </c>
      <c r="D47" s="136" t="s">
        <v>20</v>
      </c>
      <c r="E47" s="25">
        <f>'9A Sem 1'!S47</f>
        <v>82.15384615384616</v>
      </c>
      <c r="F47" s="25">
        <f>'9A Sem 2'!S47</f>
        <v>85.461538461538467</v>
      </c>
      <c r="G47" s="25">
        <f t="shared" si="0"/>
        <v>83.807692307692321</v>
      </c>
      <c r="H47" s="11">
        <f t="shared" si="1"/>
        <v>8</v>
      </c>
    </row>
    <row r="48" spans="1:8" ht="20.100000000000001" customHeight="1" x14ac:dyDescent="0.25">
      <c r="A48" s="157">
        <v>45</v>
      </c>
      <c r="B48" s="135"/>
      <c r="C48" s="136">
        <v>14</v>
      </c>
      <c r="D48" s="136" t="s">
        <v>20</v>
      </c>
      <c r="E48" s="25">
        <f>'9A Sem 1'!S48</f>
        <v>84</v>
      </c>
      <c r="F48" s="25">
        <f>'9A Sem 2'!S48</f>
        <v>81.07692307692308</v>
      </c>
      <c r="G48" s="25">
        <f t="shared" si="0"/>
        <v>82.538461538461547</v>
      </c>
      <c r="H48" s="11">
        <f t="shared" si="1"/>
        <v>11</v>
      </c>
    </row>
    <row r="49" spans="1:8" ht="20.100000000000001" customHeight="1" x14ac:dyDescent="0.25">
      <c r="A49" s="145">
        <v>46</v>
      </c>
      <c r="B49" s="135"/>
      <c r="C49" s="136">
        <v>14</v>
      </c>
      <c r="D49" s="136" t="s">
        <v>23</v>
      </c>
      <c r="E49" s="25">
        <f>'9A Sem 1'!S49</f>
        <v>82.769230769230774</v>
      </c>
      <c r="F49" s="25">
        <f>'9A Sem 2'!S49</f>
        <v>86.538461538461533</v>
      </c>
      <c r="G49" s="25">
        <f t="shared" si="0"/>
        <v>84.65384615384616</v>
      </c>
      <c r="H49" s="11">
        <f t="shared" si="1"/>
        <v>7</v>
      </c>
    </row>
    <row r="50" spans="1:8" ht="20.100000000000001" customHeight="1" x14ac:dyDescent="0.25">
      <c r="A50" s="145">
        <v>47</v>
      </c>
      <c r="B50" s="135"/>
      <c r="C50" s="136">
        <v>14</v>
      </c>
      <c r="D50" s="136" t="s">
        <v>20</v>
      </c>
      <c r="E50" s="25">
        <f>'9A Sem 1'!S50</f>
        <v>74.84615384615384</v>
      </c>
      <c r="F50" s="25">
        <f>'9A Sem 2'!S50</f>
        <v>74.769230769230774</v>
      </c>
      <c r="G50" s="25">
        <f t="shared" si="0"/>
        <v>74.807692307692307</v>
      </c>
      <c r="H50" s="11">
        <f t="shared" si="1"/>
        <v>29</v>
      </c>
    </row>
    <row r="51" spans="1:8" ht="20.100000000000001" customHeight="1" x14ac:dyDescent="0.25">
      <c r="A51" s="145">
        <v>48</v>
      </c>
      <c r="B51" s="135"/>
      <c r="C51" s="136">
        <v>15</v>
      </c>
      <c r="D51" s="136" t="s">
        <v>23</v>
      </c>
      <c r="E51" s="25">
        <f>'9A Sem 1'!S51</f>
        <v>71.07692307692308</v>
      </c>
      <c r="F51" s="25">
        <f>'9A Sem 2'!S51</f>
        <v>80.230769230769226</v>
      </c>
      <c r="G51" s="25">
        <f t="shared" si="0"/>
        <v>75.65384615384616</v>
      </c>
      <c r="H51" s="11">
        <f t="shared" si="1"/>
        <v>27</v>
      </c>
    </row>
    <row r="52" spans="1:8" ht="20.100000000000001" customHeight="1" x14ac:dyDescent="0.25">
      <c r="A52" s="157">
        <v>49</v>
      </c>
      <c r="B52" s="135"/>
      <c r="C52" s="136">
        <v>15</v>
      </c>
      <c r="D52" s="136" t="s">
        <v>23</v>
      </c>
      <c r="E52" s="25">
        <f>'9A Sem 1'!S52</f>
        <v>71.461538461538467</v>
      </c>
      <c r="F52" s="25">
        <f>'9A Sem 2'!S52</f>
        <v>75.15384615384616</v>
      </c>
      <c r="G52" s="25">
        <f t="shared" si="0"/>
        <v>73.307692307692321</v>
      </c>
      <c r="H52" s="11">
        <f t="shared" si="1"/>
        <v>34</v>
      </c>
    </row>
    <row r="53" spans="1:8" ht="20.100000000000001" customHeight="1" x14ac:dyDescent="0.25">
      <c r="A53" s="157">
        <v>50</v>
      </c>
      <c r="B53" s="135"/>
      <c r="C53" s="136">
        <v>15</v>
      </c>
      <c r="D53" s="136" t="s">
        <v>20</v>
      </c>
      <c r="E53" s="25">
        <f>'9A Sem 1'!S53</f>
        <v>69.615384615384613</v>
      </c>
      <c r="F53" s="25">
        <f>'9A Sem 2'!S53</f>
        <v>69.92307692307692</v>
      </c>
      <c r="G53" s="25">
        <f t="shared" si="0"/>
        <v>69.769230769230774</v>
      </c>
      <c r="H53" s="11">
        <f t="shared" si="1"/>
        <v>43</v>
      </c>
    </row>
    <row r="54" spans="1:8" ht="19.5" customHeight="1" x14ac:dyDescent="0.25">
      <c r="A54" s="157">
        <v>51</v>
      </c>
      <c r="B54" s="135"/>
      <c r="C54" s="136">
        <v>14</v>
      </c>
      <c r="D54" s="136" t="s">
        <v>23</v>
      </c>
      <c r="E54" s="25">
        <f>'9A Sem 1'!S54</f>
        <v>80.384615384615387</v>
      </c>
      <c r="F54" s="25">
        <f>'9A Sem 2'!S54</f>
        <v>82.538461538461533</v>
      </c>
      <c r="G54" s="25">
        <f t="shared" si="0"/>
        <v>81.461538461538453</v>
      </c>
      <c r="H54" s="11">
        <f t="shared" si="1"/>
        <v>13</v>
      </c>
    </row>
    <row r="55" spans="1:8" ht="19.5" customHeight="1" x14ac:dyDescent="0.25">
      <c r="A55" s="157">
        <v>52</v>
      </c>
      <c r="B55" s="135"/>
      <c r="C55" s="136">
        <v>15</v>
      </c>
      <c r="D55" s="136" t="s">
        <v>23</v>
      </c>
      <c r="E55" s="25">
        <f>'9A Sem 1'!S55</f>
        <v>75.615384615384613</v>
      </c>
      <c r="F55" s="25">
        <f>'9A Sem 2'!S55</f>
        <v>81.461538461538467</v>
      </c>
      <c r="G55" s="25">
        <f t="shared" si="0"/>
        <v>78.538461538461547</v>
      </c>
      <c r="H55" s="11">
        <f t="shared" si="1"/>
        <v>20</v>
      </c>
    </row>
    <row r="56" spans="1:8" ht="19.5" customHeight="1" x14ac:dyDescent="0.25">
      <c r="A56" s="157">
        <v>53</v>
      </c>
      <c r="B56" s="159"/>
      <c r="C56" s="158">
        <v>16</v>
      </c>
      <c r="D56" s="158" t="s">
        <v>20</v>
      </c>
      <c r="E56" s="25">
        <f>'9A Sem 1'!S56</f>
        <v>72.769230769230774</v>
      </c>
      <c r="F56" s="25">
        <f>'9A Sem 2'!S56</f>
        <v>72.692307692307693</v>
      </c>
      <c r="G56" s="25">
        <f t="shared" si="0"/>
        <v>72.730769230769226</v>
      </c>
      <c r="H56" s="11">
        <f t="shared" si="1"/>
        <v>35</v>
      </c>
    </row>
    <row r="57" spans="1:8" ht="19.5" customHeight="1" x14ac:dyDescent="0.25">
      <c r="A57" s="157">
        <v>54</v>
      </c>
      <c r="B57" s="160"/>
      <c r="C57" s="42">
        <v>15</v>
      </c>
      <c r="D57" s="42" t="s">
        <v>20</v>
      </c>
      <c r="E57" s="25">
        <f>'9A Sem 1'!S57</f>
        <v>77.92307692307692</v>
      </c>
      <c r="F57" s="25">
        <f>'9A Sem 2'!S57</f>
        <v>83.15384615384616</v>
      </c>
      <c r="G57" s="25">
        <f t="shared" si="0"/>
        <v>80.538461538461547</v>
      </c>
      <c r="H57" s="11">
        <f t="shared" si="1"/>
        <v>16</v>
      </c>
    </row>
    <row r="58" spans="1:8" ht="19.5" customHeight="1" x14ac:dyDescent="0.25">
      <c r="A58" s="157">
        <v>55</v>
      </c>
      <c r="B58" s="160"/>
      <c r="C58" s="42">
        <v>15</v>
      </c>
      <c r="D58" s="42" t="s">
        <v>23</v>
      </c>
      <c r="E58" s="25">
        <f>'9A Sem 1'!S58</f>
        <v>94.538461538461533</v>
      </c>
      <c r="F58" s="25">
        <f>'9A Sem 2'!S58</f>
        <v>95.84615384615384</v>
      </c>
      <c r="G58" s="25">
        <f t="shared" si="0"/>
        <v>95.192307692307679</v>
      </c>
      <c r="H58" s="11">
        <f t="shared" si="1"/>
        <v>1</v>
      </c>
    </row>
  </sheetData>
  <mergeCells count="2">
    <mergeCell ref="A1:H1"/>
    <mergeCell ref="A2:H2"/>
  </mergeCells>
  <pageMargins left="0.7" right="0.7" top="0.75" bottom="0.75" header="0.3" footer="0.3"/>
  <pageSetup scale="9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59"/>
  <sheetViews>
    <sheetView workbookViewId="0">
      <selection activeCell="B6" sqref="B6:B173"/>
    </sheetView>
  </sheetViews>
  <sheetFormatPr defaultRowHeight="15" x14ac:dyDescent="0.25"/>
  <cols>
    <col min="1" max="1" width="4" customWidth="1"/>
    <col min="2" max="2" width="37.28515625" customWidth="1"/>
    <col min="3" max="4" width="4.140625" style="9" customWidth="1"/>
    <col min="6" max="6" width="6.42578125" customWidth="1"/>
    <col min="7" max="7" width="7.140625" customWidth="1"/>
    <col min="8" max="8" width="6.5703125" customWidth="1"/>
    <col min="9" max="9" width="7.140625" customWidth="1"/>
    <col min="10" max="10" width="7" customWidth="1"/>
    <col min="11" max="11" width="7.140625" customWidth="1"/>
    <col min="12" max="12" width="4.85546875" customWidth="1"/>
    <col min="13" max="13" width="6.28515625" customWidth="1"/>
    <col min="14" max="14" width="6.85546875" customWidth="1"/>
    <col min="15" max="15" width="7" customWidth="1"/>
    <col min="16" max="18" width="5.140625" customWidth="1"/>
    <col min="19" max="19" width="7.42578125" customWidth="1"/>
    <col min="20" max="20" width="8.42578125" customWidth="1"/>
    <col min="21" max="21" width="6.28515625" customWidth="1"/>
    <col min="22" max="23" width="5" style="28" customWidth="1"/>
    <col min="24" max="24" width="4.7109375" customWidth="1"/>
    <col min="25" max="25" width="30.85546875" customWidth="1"/>
    <col min="26" max="26" width="3.85546875" customWidth="1"/>
    <col min="27" max="27" width="3.7109375" customWidth="1"/>
  </cols>
  <sheetData>
    <row r="1" spans="1:26" ht="20.25" x14ac:dyDescent="0.25">
      <c r="A1" s="222" t="s">
        <v>58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4"/>
    </row>
    <row r="2" spans="1:26" ht="18.75" customHeight="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87"/>
      <c r="R2" s="187"/>
      <c r="S2" s="2"/>
      <c r="T2" s="2"/>
      <c r="U2" s="2"/>
      <c r="V2" s="26"/>
      <c r="W2" s="27"/>
    </row>
    <row r="3" spans="1:26" x14ac:dyDescent="0.25">
      <c r="A3" s="225" t="s">
        <v>33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3"/>
      <c r="Y3" s="3"/>
      <c r="Z3" s="3"/>
    </row>
    <row r="4" spans="1:26" ht="0.75" customHeight="1" thickBo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3"/>
      <c r="Y4" s="3"/>
      <c r="Z4" s="3"/>
    </row>
    <row r="5" spans="1:26" ht="71.25" customHeight="1" thickBot="1" x14ac:dyDescent="0.3">
      <c r="A5" s="61" t="s">
        <v>28</v>
      </c>
      <c r="B5" s="61" t="s">
        <v>1</v>
      </c>
      <c r="C5" s="65" t="s">
        <v>2</v>
      </c>
      <c r="D5" s="65" t="s">
        <v>3</v>
      </c>
      <c r="E5" s="53" t="s">
        <v>25</v>
      </c>
      <c r="F5" s="53" t="s">
        <v>4</v>
      </c>
      <c r="G5" s="53" t="s">
        <v>5</v>
      </c>
      <c r="H5" s="53" t="s">
        <v>6</v>
      </c>
      <c r="I5" s="53" t="s">
        <v>7</v>
      </c>
      <c r="J5" s="53" t="s">
        <v>8</v>
      </c>
      <c r="K5" s="53" t="s">
        <v>9</v>
      </c>
      <c r="L5" s="53" t="s">
        <v>11</v>
      </c>
      <c r="M5" s="53" t="s">
        <v>10</v>
      </c>
      <c r="N5" s="55" t="s">
        <v>69</v>
      </c>
      <c r="O5" s="55" t="s">
        <v>13</v>
      </c>
      <c r="P5" s="55" t="s">
        <v>65</v>
      </c>
      <c r="Q5" s="53" t="s">
        <v>14</v>
      </c>
      <c r="R5" s="53" t="s">
        <v>66</v>
      </c>
      <c r="S5" s="55" t="s">
        <v>15</v>
      </c>
      <c r="T5" s="53" t="s">
        <v>16</v>
      </c>
      <c r="U5" s="53" t="s">
        <v>17</v>
      </c>
      <c r="V5" s="53" t="s">
        <v>18</v>
      </c>
      <c r="W5" s="67" t="s">
        <v>19</v>
      </c>
    </row>
    <row r="6" spans="1:26" ht="18.95" customHeight="1" thickBot="1" x14ac:dyDescent="0.3">
      <c r="A6" s="226">
        <v>1</v>
      </c>
      <c r="B6" s="218"/>
      <c r="C6" s="213">
        <v>15</v>
      </c>
      <c r="D6" s="217" t="s">
        <v>20</v>
      </c>
      <c r="E6" s="68" t="s">
        <v>21</v>
      </c>
      <c r="F6" s="60">
        <f>'9B Sem 1'!E4</f>
        <v>74</v>
      </c>
      <c r="G6" s="60">
        <f>'9B Sem 1'!F4</f>
        <v>67</v>
      </c>
      <c r="H6" s="60">
        <f>'9B Sem 1'!G4</f>
        <v>78</v>
      </c>
      <c r="I6" s="60">
        <f>'9B Sem 1'!H4</f>
        <v>71</v>
      </c>
      <c r="J6" s="60">
        <f>'9B Sem 1'!I4</f>
        <v>75</v>
      </c>
      <c r="K6" s="60">
        <f>'9B Sem 1'!J4</f>
        <v>64</v>
      </c>
      <c r="L6" s="60">
        <f>'9B Sem 1'!K4</f>
        <v>75</v>
      </c>
      <c r="M6" s="60">
        <f>'9B Sem 1'!L4</f>
        <v>64</v>
      </c>
      <c r="N6" s="60">
        <f>'9B Sem 1'!M4</f>
        <v>72</v>
      </c>
      <c r="O6" s="60">
        <f>'9B Sem 1'!N4</f>
        <v>89</v>
      </c>
      <c r="P6" s="60">
        <f>'9B Sem 1'!O4</f>
        <v>70</v>
      </c>
      <c r="Q6" s="60">
        <f>'9B Sem 1'!P4</f>
        <v>81</v>
      </c>
      <c r="R6" s="60">
        <f>'9B Sem 1'!Q4</f>
        <v>54</v>
      </c>
      <c r="S6" s="60">
        <f>'9B Sem 1'!R4</f>
        <v>934</v>
      </c>
      <c r="T6" s="200">
        <f>'9B Sem 1'!S4</f>
        <v>71.84615384615384</v>
      </c>
      <c r="U6" s="60">
        <f>'9B Sem 1'!T4</f>
        <v>25</v>
      </c>
      <c r="V6" s="63">
        <f>'9B Sem 1'!U4</f>
        <v>0</v>
      </c>
      <c r="W6" s="34">
        <f>'9B Sem 1'!V4</f>
        <v>0</v>
      </c>
    </row>
    <row r="7" spans="1:26" ht="18.95" customHeight="1" thickBot="1" x14ac:dyDescent="0.3">
      <c r="A7" s="226"/>
      <c r="B7" s="218"/>
      <c r="C7" s="213">
        <v>15</v>
      </c>
      <c r="D7" s="217" t="s">
        <v>20</v>
      </c>
      <c r="E7" s="69" t="s">
        <v>22</v>
      </c>
      <c r="F7" s="29">
        <f>'9B Sem 2'!E4</f>
        <v>75</v>
      </c>
      <c r="G7" s="29">
        <f>'9B Sem 2'!F4</f>
        <v>74</v>
      </c>
      <c r="H7" s="29">
        <f>'9B Sem 2'!G4</f>
        <v>89</v>
      </c>
      <c r="I7" s="29">
        <f>'9B Sem 2'!H4</f>
        <v>77</v>
      </c>
      <c r="J7" s="29">
        <f>'9B Sem 2'!I4</f>
        <v>63</v>
      </c>
      <c r="K7" s="29">
        <f>'9B Sem 2'!J4</f>
        <v>77</v>
      </c>
      <c r="L7" s="29">
        <f>'9B Sem 2'!K4</f>
        <v>66</v>
      </c>
      <c r="M7" s="29">
        <f>'9B Sem 2'!L4</f>
        <v>81</v>
      </c>
      <c r="N7" s="29">
        <f>'9B Sem 2'!M4</f>
        <v>66</v>
      </c>
      <c r="O7" s="29">
        <f>'9B Sem 2'!N4</f>
        <v>84</v>
      </c>
      <c r="P7" s="29">
        <f>'9B Sem 2'!O4</f>
        <v>64</v>
      </c>
      <c r="Q7" s="29">
        <f>'9B Sem 2'!P4</f>
        <v>91</v>
      </c>
      <c r="R7" s="29">
        <f>'9B Sem 2'!Q4</f>
        <v>63</v>
      </c>
      <c r="S7" s="22">
        <f>'9B Sem 2'!R4</f>
        <v>970</v>
      </c>
      <c r="T7" s="192">
        <f>'9B Sem 2'!S4</f>
        <v>74.615384615384613</v>
      </c>
      <c r="U7" s="22">
        <f>'9B Sem 2'!T4</f>
        <v>24</v>
      </c>
      <c r="V7" s="32">
        <f>'9B Sem 2'!U4</f>
        <v>0</v>
      </c>
      <c r="W7" s="35">
        <f>'9B Sem 2'!V4</f>
        <v>0</v>
      </c>
    </row>
    <row r="8" spans="1:26" ht="18.95" customHeight="1" thickBot="1" x14ac:dyDescent="0.3">
      <c r="A8" s="226"/>
      <c r="B8" s="218"/>
      <c r="C8" s="213">
        <v>15</v>
      </c>
      <c r="D8" s="217" t="s">
        <v>20</v>
      </c>
      <c r="E8" s="69" t="s">
        <v>16</v>
      </c>
      <c r="F8" s="22">
        <f>AVERAGE(F6:F7)</f>
        <v>74.5</v>
      </c>
      <c r="G8" s="22">
        <f t="shared" ref="G8:W8" si="0">AVERAGE(G6:G7)</f>
        <v>70.5</v>
      </c>
      <c r="H8" s="22">
        <f t="shared" si="0"/>
        <v>83.5</v>
      </c>
      <c r="I8" s="22">
        <f t="shared" si="0"/>
        <v>74</v>
      </c>
      <c r="J8" s="22">
        <f t="shared" si="0"/>
        <v>69</v>
      </c>
      <c r="K8" s="22">
        <f t="shared" si="0"/>
        <v>70.5</v>
      </c>
      <c r="L8" s="22">
        <f t="shared" si="0"/>
        <v>70.5</v>
      </c>
      <c r="M8" s="22">
        <f t="shared" si="0"/>
        <v>72.5</v>
      </c>
      <c r="N8" s="22">
        <f t="shared" si="0"/>
        <v>69</v>
      </c>
      <c r="O8" s="22">
        <f t="shared" si="0"/>
        <v>86.5</v>
      </c>
      <c r="P8" s="22">
        <f t="shared" si="0"/>
        <v>67</v>
      </c>
      <c r="Q8" s="22">
        <f t="shared" si="0"/>
        <v>86</v>
      </c>
      <c r="R8" s="22">
        <f t="shared" si="0"/>
        <v>58.5</v>
      </c>
      <c r="S8" s="22">
        <f t="shared" si="0"/>
        <v>952</v>
      </c>
      <c r="T8" s="192">
        <f t="shared" si="0"/>
        <v>73.230769230769226</v>
      </c>
      <c r="U8" s="22">
        <f>'9B Sem avr'!$H$4</f>
        <v>25</v>
      </c>
      <c r="V8" s="22">
        <f t="shared" si="0"/>
        <v>0</v>
      </c>
      <c r="W8" s="22">
        <f t="shared" si="0"/>
        <v>0</v>
      </c>
    </row>
    <row r="9" spans="1:26" ht="18.95" customHeight="1" thickBot="1" x14ac:dyDescent="0.3">
      <c r="A9" s="234">
        <v>2</v>
      </c>
      <c r="B9" s="218"/>
      <c r="C9" s="213">
        <v>14</v>
      </c>
      <c r="D9" s="217" t="s">
        <v>20</v>
      </c>
      <c r="E9" s="69" t="s">
        <v>21</v>
      </c>
      <c r="F9" s="22">
        <f>'9B Sem 1'!E5</f>
        <v>63</v>
      </c>
      <c r="G9" s="22">
        <f>'9B Sem 1'!F5</f>
        <v>42</v>
      </c>
      <c r="H9" s="22">
        <f>'9B Sem 1'!G5</f>
        <v>47</v>
      </c>
      <c r="I9" s="22">
        <f>'9B Sem 1'!H5</f>
        <v>40</v>
      </c>
      <c r="J9" s="22">
        <f>'9B Sem 1'!I5</f>
        <v>50</v>
      </c>
      <c r="K9" s="22">
        <f>'9B Sem 1'!J5</f>
        <v>50</v>
      </c>
      <c r="L9" s="22">
        <f>'9B Sem 1'!K5</f>
        <v>42</v>
      </c>
      <c r="M9" s="22">
        <f>'9B Sem 1'!L5</f>
        <v>45</v>
      </c>
      <c r="N9" s="22">
        <f>'9B Sem 1'!M5</f>
        <v>54</v>
      </c>
      <c r="O9" s="22">
        <f>'9B Sem 1'!N5</f>
        <v>52</v>
      </c>
      <c r="P9" s="22">
        <f>'9B Sem 1'!O5</f>
        <v>51</v>
      </c>
      <c r="Q9" s="22">
        <f>'9B Sem 1'!P5</f>
        <v>70</v>
      </c>
      <c r="R9" s="22">
        <f>'9B Sem 1'!Q5</f>
        <v>61</v>
      </c>
      <c r="S9" s="22">
        <f>'9B Sem 1'!R5</f>
        <v>667</v>
      </c>
      <c r="T9" s="192">
        <f>'9B Sem 1'!S5</f>
        <v>51.307692307692307</v>
      </c>
      <c r="U9" s="22">
        <f>'9B Sem 1'!T5</f>
        <v>54</v>
      </c>
      <c r="V9" s="36">
        <f>'9B Sem 1'!U5</f>
        <v>0</v>
      </c>
      <c r="W9" s="36">
        <f>'9B Sem 1'!V5</f>
        <v>0</v>
      </c>
    </row>
    <row r="10" spans="1:26" ht="18.95" customHeight="1" thickBot="1" x14ac:dyDescent="0.3">
      <c r="A10" s="234"/>
      <c r="B10" s="218"/>
      <c r="C10" s="213">
        <v>14</v>
      </c>
      <c r="D10" s="217" t="s">
        <v>20</v>
      </c>
      <c r="E10" s="69" t="s">
        <v>22</v>
      </c>
      <c r="F10" s="22">
        <f>'9B Sem 2'!E5</f>
        <v>58</v>
      </c>
      <c r="G10" s="22">
        <f>'9B Sem 2'!F5</f>
        <v>41</v>
      </c>
      <c r="H10" s="22">
        <f>'9B Sem 2'!G5</f>
        <v>39</v>
      </c>
      <c r="I10" s="22">
        <f>'9B Sem 2'!H5</f>
        <v>58</v>
      </c>
      <c r="J10" s="22">
        <f>'9B Sem 2'!I5</f>
        <v>52</v>
      </c>
      <c r="K10" s="22">
        <f>'9B Sem 2'!J5</f>
        <v>62</v>
      </c>
      <c r="L10" s="22">
        <f>'9B Sem 2'!K5</f>
        <v>60</v>
      </c>
      <c r="M10" s="22">
        <f>'9B Sem 2'!L5</f>
        <v>62</v>
      </c>
      <c r="N10" s="22">
        <f>'9B Sem 2'!M5</f>
        <v>58</v>
      </c>
      <c r="O10" s="22">
        <f>'9B Sem 2'!N5</f>
        <v>72</v>
      </c>
      <c r="P10" s="22">
        <f>'9B Sem 2'!O5</f>
        <v>48</v>
      </c>
      <c r="Q10" s="22">
        <f>'9B Sem 2'!P5</f>
        <v>76</v>
      </c>
      <c r="R10" s="22">
        <f>'9B Sem 2'!Q5</f>
        <v>63</v>
      </c>
      <c r="S10" s="22">
        <f>'9B Sem 2'!R5</f>
        <v>749</v>
      </c>
      <c r="T10" s="192">
        <f>'9B Sem 2'!S5</f>
        <v>57.615384615384613</v>
      </c>
      <c r="U10" s="22">
        <f>'9B Sem 2'!T5</f>
        <v>46</v>
      </c>
      <c r="V10" s="36">
        <f>'9B Sem 2'!U5</f>
        <v>0</v>
      </c>
      <c r="W10" s="36">
        <f>'9B Sem 2'!V5</f>
        <v>0</v>
      </c>
    </row>
    <row r="11" spans="1:26" ht="18.95" customHeight="1" thickBot="1" x14ac:dyDescent="0.3">
      <c r="A11" s="234"/>
      <c r="B11" s="218"/>
      <c r="C11" s="213">
        <v>14</v>
      </c>
      <c r="D11" s="217" t="s">
        <v>20</v>
      </c>
      <c r="E11" s="69" t="s">
        <v>16</v>
      </c>
      <c r="F11" s="22">
        <f>AVERAGE(F9:F10)</f>
        <v>60.5</v>
      </c>
      <c r="G11" s="22">
        <f t="shared" ref="G11:W11" si="1">AVERAGE(G9:G10)</f>
        <v>41.5</v>
      </c>
      <c r="H11" s="22">
        <f t="shared" si="1"/>
        <v>43</v>
      </c>
      <c r="I11" s="22">
        <f t="shared" si="1"/>
        <v>49</v>
      </c>
      <c r="J11" s="22">
        <f t="shared" si="1"/>
        <v>51</v>
      </c>
      <c r="K11" s="22">
        <f t="shared" si="1"/>
        <v>56</v>
      </c>
      <c r="L11" s="22">
        <f t="shared" si="1"/>
        <v>51</v>
      </c>
      <c r="M11" s="22">
        <f t="shared" si="1"/>
        <v>53.5</v>
      </c>
      <c r="N11" s="22">
        <f t="shared" si="1"/>
        <v>56</v>
      </c>
      <c r="O11" s="22">
        <f t="shared" si="1"/>
        <v>62</v>
      </c>
      <c r="P11" s="22">
        <f t="shared" si="1"/>
        <v>49.5</v>
      </c>
      <c r="Q11" s="22">
        <f t="shared" si="1"/>
        <v>73</v>
      </c>
      <c r="R11" s="22">
        <f t="shared" si="1"/>
        <v>62</v>
      </c>
      <c r="S11" s="22">
        <f t="shared" si="1"/>
        <v>708</v>
      </c>
      <c r="T11" s="192">
        <f t="shared" si="1"/>
        <v>54.46153846153846</v>
      </c>
      <c r="U11" s="22">
        <f>'9B Sem avr'!$H$5</f>
        <v>50</v>
      </c>
      <c r="V11" s="22">
        <f t="shared" si="1"/>
        <v>0</v>
      </c>
      <c r="W11" s="22">
        <f t="shared" si="1"/>
        <v>0</v>
      </c>
    </row>
    <row r="12" spans="1:26" ht="18.95" customHeight="1" thickBot="1" x14ac:dyDescent="0.3">
      <c r="A12" s="241">
        <v>3</v>
      </c>
      <c r="B12" s="218"/>
      <c r="C12" s="213">
        <v>14</v>
      </c>
      <c r="D12" s="217" t="s">
        <v>23</v>
      </c>
      <c r="E12" s="69" t="s">
        <v>21</v>
      </c>
      <c r="F12" s="22">
        <f>'9B Sem 1'!E6</f>
        <v>90</v>
      </c>
      <c r="G12" s="22">
        <f>'9B Sem 1'!F6</f>
        <v>93</v>
      </c>
      <c r="H12" s="22">
        <f>'9B Sem 1'!G6</f>
        <v>71</v>
      </c>
      <c r="I12" s="22">
        <f>'9B Sem 1'!H6</f>
        <v>76</v>
      </c>
      <c r="J12" s="22">
        <f>'9B Sem 1'!I6</f>
        <v>79</v>
      </c>
      <c r="K12" s="22">
        <f>'9B Sem 1'!J6</f>
        <v>87</v>
      </c>
      <c r="L12" s="22">
        <f>'9B Sem 1'!K6</f>
        <v>87</v>
      </c>
      <c r="M12" s="22">
        <f>'9B Sem 1'!L6</f>
        <v>71</v>
      </c>
      <c r="N12" s="22">
        <f>'9B Sem 1'!M6</f>
        <v>95</v>
      </c>
      <c r="O12" s="22">
        <f>'9B Sem 1'!N6</f>
        <v>89</v>
      </c>
      <c r="P12" s="22">
        <f>'9B Sem 1'!O6</f>
        <v>84</v>
      </c>
      <c r="Q12" s="22">
        <f>'9B Sem 1'!P6</f>
        <v>96</v>
      </c>
      <c r="R12" s="22">
        <f>'9B Sem 1'!Q6</f>
        <v>78</v>
      </c>
      <c r="S12" s="22">
        <f>'9B Sem 1'!R6</f>
        <v>1096</v>
      </c>
      <c r="T12" s="192">
        <f>'9B Sem 1'!S6</f>
        <v>84.307692307692307</v>
      </c>
      <c r="U12" s="22">
        <f>'9B Sem 1'!T6</f>
        <v>7</v>
      </c>
      <c r="V12" s="36">
        <f>'9B Sem 1'!U6</f>
        <v>0</v>
      </c>
      <c r="W12" s="36">
        <f>'9B Sem 1'!V6</f>
        <v>0</v>
      </c>
    </row>
    <row r="13" spans="1:26" ht="18.95" customHeight="1" thickBot="1" x14ac:dyDescent="0.3">
      <c r="A13" s="241"/>
      <c r="B13" s="218"/>
      <c r="C13" s="213">
        <v>14</v>
      </c>
      <c r="D13" s="217" t="s">
        <v>23</v>
      </c>
      <c r="E13" s="69" t="s">
        <v>22</v>
      </c>
      <c r="F13" s="22">
        <f>'9B Sem 2'!E6</f>
        <v>91</v>
      </c>
      <c r="G13" s="22">
        <f>'9B Sem 2'!F6</f>
        <v>90</v>
      </c>
      <c r="H13" s="22">
        <f>'9B Sem 2'!G6</f>
        <v>78</v>
      </c>
      <c r="I13" s="22">
        <f>'9B Sem 2'!H6</f>
        <v>85</v>
      </c>
      <c r="J13" s="22">
        <f>'9B Sem 2'!I6</f>
        <v>85</v>
      </c>
      <c r="K13" s="22">
        <f>'9B Sem 2'!J6</f>
        <v>95</v>
      </c>
      <c r="L13" s="22">
        <f>'9B Sem 2'!K6</f>
        <v>85</v>
      </c>
      <c r="M13" s="22">
        <f>'9B Sem 2'!L6</f>
        <v>92</v>
      </c>
      <c r="N13" s="22">
        <f>'9B Sem 2'!M6</f>
        <v>93</v>
      </c>
      <c r="O13" s="22">
        <f>'9B Sem 2'!N6</f>
        <v>96</v>
      </c>
      <c r="P13" s="22">
        <f>'9B Sem 2'!O6</f>
        <v>97</v>
      </c>
      <c r="Q13" s="22">
        <f>'9B Sem 2'!P6</f>
        <v>94</v>
      </c>
      <c r="R13" s="22">
        <f>'9B Sem 2'!Q6</f>
        <v>63</v>
      </c>
      <c r="S13" s="22">
        <f>'9B Sem 2'!R6</f>
        <v>1144</v>
      </c>
      <c r="T13" s="192">
        <f>'9B Sem 2'!S6</f>
        <v>88</v>
      </c>
      <c r="U13" s="22">
        <f>'9B Sem 2'!T6</f>
        <v>3</v>
      </c>
      <c r="V13" s="36">
        <f>'9B Sem 2'!U6</f>
        <v>0</v>
      </c>
      <c r="W13" s="36">
        <f>'9B Sem 2'!V6</f>
        <v>0</v>
      </c>
    </row>
    <row r="14" spans="1:26" ht="18.95" customHeight="1" thickBot="1" x14ac:dyDescent="0.3">
      <c r="A14" s="241"/>
      <c r="B14" s="218"/>
      <c r="C14" s="213">
        <v>14</v>
      </c>
      <c r="D14" s="217" t="s">
        <v>23</v>
      </c>
      <c r="E14" s="69" t="s">
        <v>16</v>
      </c>
      <c r="F14" s="22">
        <f>AVERAGE(F12:F13)</f>
        <v>90.5</v>
      </c>
      <c r="G14" s="22">
        <f t="shared" ref="G14:W14" si="2">AVERAGE(G12:G13)</f>
        <v>91.5</v>
      </c>
      <c r="H14" s="22">
        <f t="shared" si="2"/>
        <v>74.5</v>
      </c>
      <c r="I14" s="22">
        <f t="shared" si="2"/>
        <v>80.5</v>
      </c>
      <c r="J14" s="22">
        <f t="shared" si="2"/>
        <v>82</v>
      </c>
      <c r="K14" s="22">
        <f t="shared" si="2"/>
        <v>91</v>
      </c>
      <c r="L14" s="22">
        <f t="shared" si="2"/>
        <v>86</v>
      </c>
      <c r="M14" s="22">
        <f t="shared" si="2"/>
        <v>81.5</v>
      </c>
      <c r="N14" s="22">
        <f t="shared" si="2"/>
        <v>94</v>
      </c>
      <c r="O14" s="22">
        <f t="shared" si="2"/>
        <v>92.5</v>
      </c>
      <c r="P14" s="22">
        <f t="shared" si="2"/>
        <v>90.5</v>
      </c>
      <c r="Q14" s="22">
        <f t="shared" si="2"/>
        <v>95</v>
      </c>
      <c r="R14" s="22">
        <f t="shared" si="2"/>
        <v>70.5</v>
      </c>
      <c r="S14" s="22">
        <f t="shared" si="2"/>
        <v>1120</v>
      </c>
      <c r="T14" s="192">
        <f t="shared" si="2"/>
        <v>86.15384615384616</v>
      </c>
      <c r="U14" s="22">
        <f>'9B Sem avr'!$H$6</f>
        <v>4</v>
      </c>
      <c r="V14" s="22">
        <f t="shared" si="2"/>
        <v>0</v>
      </c>
      <c r="W14" s="22">
        <f t="shared" si="2"/>
        <v>0</v>
      </c>
    </row>
    <row r="15" spans="1:26" ht="18.95" customHeight="1" thickBot="1" x14ac:dyDescent="0.3">
      <c r="A15" s="234">
        <v>4</v>
      </c>
      <c r="B15" s="218"/>
      <c r="C15" s="213">
        <v>15</v>
      </c>
      <c r="D15" s="217" t="s">
        <v>23</v>
      </c>
      <c r="E15" s="69" t="s">
        <v>21</v>
      </c>
      <c r="F15" s="22">
        <f>'9B Sem 1'!E7</f>
        <v>87</v>
      </c>
      <c r="G15" s="22">
        <f>'9B Sem 1'!F7</f>
        <v>84</v>
      </c>
      <c r="H15" s="22">
        <f>'9B Sem 1'!G7</f>
        <v>61</v>
      </c>
      <c r="I15" s="22">
        <f>'9B Sem 1'!H7</f>
        <v>62</v>
      </c>
      <c r="J15" s="22">
        <f>'9B Sem 1'!I7</f>
        <v>72</v>
      </c>
      <c r="K15" s="22">
        <f>'9B Sem 1'!J7</f>
        <v>73</v>
      </c>
      <c r="L15" s="22">
        <f>'9B Sem 1'!K7</f>
        <v>80</v>
      </c>
      <c r="M15" s="22">
        <f>'9B Sem 1'!L7</f>
        <v>86</v>
      </c>
      <c r="N15" s="22">
        <f>'9B Sem 1'!M7</f>
        <v>87</v>
      </c>
      <c r="O15" s="22">
        <f>'9B Sem 1'!N7</f>
        <v>87</v>
      </c>
      <c r="P15" s="22">
        <f>'9B Sem 1'!O7</f>
        <v>82</v>
      </c>
      <c r="Q15" s="22">
        <f>'9B Sem 1'!P7</f>
        <v>96</v>
      </c>
      <c r="R15" s="22">
        <f>'9B Sem 1'!Q7</f>
        <v>93</v>
      </c>
      <c r="S15" s="22">
        <f>'9B Sem 1'!R7</f>
        <v>1050</v>
      </c>
      <c r="T15" s="192">
        <f>'9B Sem 1'!S7</f>
        <v>80.769230769230774</v>
      </c>
      <c r="U15" s="22">
        <f>'9B Sem 1'!T7</f>
        <v>12</v>
      </c>
      <c r="V15" s="36">
        <f>'9B Sem 1'!U7</f>
        <v>0</v>
      </c>
      <c r="W15" s="36">
        <f>'9B Sem 1'!V7</f>
        <v>0</v>
      </c>
    </row>
    <row r="16" spans="1:26" ht="18.95" customHeight="1" thickBot="1" x14ac:dyDescent="0.3">
      <c r="A16" s="234"/>
      <c r="B16" s="218"/>
      <c r="C16" s="213">
        <v>15</v>
      </c>
      <c r="D16" s="217" t="s">
        <v>23</v>
      </c>
      <c r="E16" s="69" t="s">
        <v>22</v>
      </c>
      <c r="F16" s="22">
        <f>'9B Sem 2'!E7</f>
        <v>91</v>
      </c>
      <c r="G16" s="22">
        <f>'9B Sem 2'!F7</f>
        <v>78</v>
      </c>
      <c r="H16" s="22">
        <f>'9B Sem 2'!G7</f>
        <v>77</v>
      </c>
      <c r="I16" s="22">
        <f>'9B Sem 2'!H7</f>
        <v>75</v>
      </c>
      <c r="J16" s="22">
        <f>'9B Sem 2'!I7</f>
        <v>77</v>
      </c>
      <c r="K16" s="22">
        <f>'9B Sem 2'!J7</f>
        <v>80</v>
      </c>
      <c r="L16" s="22">
        <f>'9B Sem 2'!K7</f>
        <v>72</v>
      </c>
      <c r="M16" s="22">
        <f>'9B Sem 2'!L7</f>
        <v>87</v>
      </c>
      <c r="N16" s="22">
        <f>'9B Sem 2'!M7</f>
        <v>87</v>
      </c>
      <c r="O16" s="22">
        <f>'9B Sem 2'!N7</f>
        <v>85</v>
      </c>
      <c r="P16" s="22">
        <f>'9B Sem 2'!O7</f>
        <v>89</v>
      </c>
      <c r="Q16" s="22">
        <f>'9B Sem 2'!P7</f>
        <v>93</v>
      </c>
      <c r="R16" s="22">
        <f>'9B Sem 2'!Q7</f>
        <v>64</v>
      </c>
      <c r="S16" s="22">
        <f>'9B Sem 2'!R7</f>
        <v>1055</v>
      </c>
      <c r="T16" s="192">
        <f>'9B Sem 2'!S7</f>
        <v>81.15384615384616</v>
      </c>
      <c r="U16" s="22">
        <f>'9B Sem 2'!T7</f>
        <v>12</v>
      </c>
      <c r="V16" s="36">
        <f>'9B Sem 2'!U7</f>
        <v>0</v>
      </c>
      <c r="W16" s="36">
        <f>'9B Sem 2'!V7</f>
        <v>0</v>
      </c>
    </row>
    <row r="17" spans="1:23" ht="18.95" customHeight="1" thickBot="1" x14ac:dyDescent="0.3">
      <c r="A17" s="234"/>
      <c r="B17" s="218"/>
      <c r="C17" s="213">
        <v>15</v>
      </c>
      <c r="D17" s="217" t="s">
        <v>23</v>
      </c>
      <c r="E17" s="69" t="s">
        <v>16</v>
      </c>
      <c r="F17" s="22">
        <f>AVERAGE(F15:F16)</f>
        <v>89</v>
      </c>
      <c r="G17" s="22">
        <f t="shared" ref="G17:W17" si="3">AVERAGE(G15:G16)</f>
        <v>81</v>
      </c>
      <c r="H17" s="22">
        <f t="shared" si="3"/>
        <v>69</v>
      </c>
      <c r="I17" s="22">
        <f t="shared" si="3"/>
        <v>68.5</v>
      </c>
      <c r="J17" s="22">
        <f t="shared" si="3"/>
        <v>74.5</v>
      </c>
      <c r="K17" s="22">
        <f t="shared" si="3"/>
        <v>76.5</v>
      </c>
      <c r="L17" s="22">
        <f t="shared" si="3"/>
        <v>76</v>
      </c>
      <c r="M17" s="22">
        <f t="shared" si="3"/>
        <v>86.5</v>
      </c>
      <c r="N17" s="22">
        <f t="shared" si="3"/>
        <v>87</v>
      </c>
      <c r="O17" s="22">
        <f t="shared" si="3"/>
        <v>86</v>
      </c>
      <c r="P17" s="22">
        <f t="shared" si="3"/>
        <v>85.5</v>
      </c>
      <c r="Q17" s="22">
        <f t="shared" si="3"/>
        <v>94.5</v>
      </c>
      <c r="R17" s="22">
        <f t="shared" si="3"/>
        <v>78.5</v>
      </c>
      <c r="S17" s="22">
        <f t="shared" si="3"/>
        <v>1052.5</v>
      </c>
      <c r="T17" s="192">
        <f t="shared" si="3"/>
        <v>80.961538461538467</v>
      </c>
      <c r="U17" s="22">
        <f>'9B Sem avr'!$H$7</f>
        <v>11</v>
      </c>
      <c r="V17" s="22">
        <f t="shared" si="3"/>
        <v>0</v>
      </c>
      <c r="W17" s="22">
        <f t="shared" si="3"/>
        <v>0</v>
      </c>
    </row>
    <row r="18" spans="1:23" ht="18.95" customHeight="1" thickBot="1" x14ac:dyDescent="0.3">
      <c r="A18" s="234">
        <v>5</v>
      </c>
      <c r="B18" s="218"/>
      <c r="C18" s="213">
        <v>14</v>
      </c>
      <c r="D18" s="217" t="s">
        <v>23</v>
      </c>
      <c r="E18" s="69" t="s">
        <v>21</v>
      </c>
      <c r="F18" s="22">
        <f>'9B Sem 1'!E8</f>
        <v>78</v>
      </c>
      <c r="G18" s="22">
        <f>'9B Sem 1'!F8</f>
        <v>80</v>
      </c>
      <c r="H18" s="22">
        <f>'9B Sem 1'!G8</f>
        <v>53</v>
      </c>
      <c r="I18" s="22">
        <f>'9B Sem 1'!H8</f>
        <v>51</v>
      </c>
      <c r="J18" s="22">
        <f>'9B Sem 1'!I8</f>
        <v>71</v>
      </c>
      <c r="K18" s="22">
        <f>'9B Sem 1'!J8</f>
        <v>66</v>
      </c>
      <c r="L18" s="22">
        <f>'9B Sem 1'!K8</f>
        <v>79</v>
      </c>
      <c r="M18" s="22">
        <f>'9B Sem 1'!L8</f>
        <v>72</v>
      </c>
      <c r="N18" s="22">
        <f>'9B Sem 1'!M8</f>
        <v>86</v>
      </c>
      <c r="O18" s="22">
        <f>'9B Sem 1'!N8</f>
        <v>77</v>
      </c>
      <c r="P18" s="22">
        <f>'9B Sem 1'!O8</f>
        <v>75</v>
      </c>
      <c r="Q18" s="22">
        <f>'9B Sem 1'!P8</f>
        <v>92</v>
      </c>
      <c r="R18" s="22">
        <f>'9B Sem 1'!Q8</f>
        <v>90</v>
      </c>
      <c r="S18" s="22">
        <f>'9B Sem 1'!R8</f>
        <v>970</v>
      </c>
      <c r="T18" s="192">
        <f>'9B Sem 1'!S8</f>
        <v>74.615384615384613</v>
      </c>
      <c r="U18" s="22">
        <f>'9B Sem 1'!T8</f>
        <v>22</v>
      </c>
      <c r="V18" s="36">
        <f>'9B Sem 1'!U8</f>
        <v>0</v>
      </c>
      <c r="W18" s="36">
        <f>'9B Sem 1'!V8</f>
        <v>0</v>
      </c>
    </row>
    <row r="19" spans="1:23" ht="18.95" customHeight="1" thickBot="1" x14ac:dyDescent="0.3">
      <c r="A19" s="234"/>
      <c r="B19" s="218"/>
      <c r="C19" s="213">
        <v>14</v>
      </c>
      <c r="D19" s="217" t="s">
        <v>23</v>
      </c>
      <c r="E19" s="69" t="s">
        <v>22</v>
      </c>
      <c r="F19" s="22">
        <f>'9B Sem 2'!E8</f>
        <v>83</v>
      </c>
      <c r="G19" s="22">
        <f>'9B Sem 2'!F8</f>
        <v>66</v>
      </c>
      <c r="H19" s="22">
        <f>'9B Sem 2'!G8</f>
        <v>59</v>
      </c>
      <c r="I19" s="22">
        <f>'9B Sem 2'!H8</f>
        <v>61</v>
      </c>
      <c r="J19" s="22">
        <f>'9B Sem 2'!I8</f>
        <v>65</v>
      </c>
      <c r="K19" s="22">
        <f>'9B Sem 2'!J8</f>
        <v>74</v>
      </c>
      <c r="L19" s="22">
        <f>'9B Sem 2'!K8</f>
        <v>83</v>
      </c>
      <c r="M19" s="22">
        <f>'9B Sem 2'!L8</f>
        <v>61</v>
      </c>
      <c r="N19" s="22">
        <f>'9B Sem 2'!M8</f>
        <v>85</v>
      </c>
      <c r="O19" s="22">
        <f>'9B Sem 2'!N8</f>
        <v>85</v>
      </c>
      <c r="P19" s="22">
        <f>'9B Sem 2'!O8</f>
        <v>78</v>
      </c>
      <c r="Q19" s="22">
        <f>'9B Sem 2'!P8</f>
        <v>94</v>
      </c>
      <c r="R19" s="22">
        <f>'9B Sem 2'!Q8</f>
        <v>64</v>
      </c>
      <c r="S19" s="22">
        <f>'9B Sem 2'!R8</f>
        <v>958</v>
      </c>
      <c r="T19" s="192">
        <f>'9B Sem 2'!S8</f>
        <v>73.692307692307693</v>
      </c>
      <c r="U19" s="22">
        <f>'9B Sem 2'!T8</f>
        <v>25</v>
      </c>
      <c r="V19" s="36">
        <f>'9B Sem 2'!U8</f>
        <v>0</v>
      </c>
      <c r="W19" s="36">
        <f>'9B Sem 2'!V8</f>
        <v>0</v>
      </c>
    </row>
    <row r="20" spans="1:23" ht="18.95" customHeight="1" thickBot="1" x14ac:dyDescent="0.3">
      <c r="A20" s="234"/>
      <c r="B20" s="218"/>
      <c r="C20" s="213">
        <v>14</v>
      </c>
      <c r="D20" s="217" t="s">
        <v>23</v>
      </c>
      <c r="E20" s="69" t="s">
        <v>16</v>
      </c>
      <c r="F20" s="22">
        <f>AVERAGE(F18:F19)</f>
        <v>80.5</v>
      </c>
      <c r="G20" s="22">
        <f t="shared" ref="G20:W20" si="4">AVERAGE(G18:G19)</f>
        <v>73</v>
      </c>
      <c r="H20" s="22">
        <f t="shared" si="4"/>
        <v>56</v>
      </c>
      <c r="I20" s="22">
        <f t="shared" si="4"/>
        <v>56</v>
      </c>
      <c r="J20" s="22">
        <f t="shared" si="4"/>
        <v>68</v>
      </c>
      <c r="K20" s="22">
        <f t="shared" si="4"/>
        <v>70</v>
      </c>
      <c r="L20" s="22">
        <f t="shared" si="4"/>
        <v>81</v>
      </c>
      <c r="M20" s="22">
        <f t="shared" si="4"/>
        <v>66.5</v>
      </c>
      <c r="N20" s="22">
        <f t="shared" si="4"/>
        <v>85.5</v>
      </c>
      <c r="O20" s="22">
        <f t="shared" si="4"/>
        <v>81</v>
      </c>
      <c r="P20" s="22">
        <f t="shared" si="4"/>
        <v>76.5</v>
      </c>
      <c r="Q20" s="22">
        <f t="shared" si="4"/>
        <v>93</v>
      </c>
      <c r="R20" s="22">
        <f t="shared" si="4"/>
        <v>77</v>
      </c>
      <c r="S20" s="22">
        <f t="shared" si="4"/>
        <v>964</v>
      </c>
      <c r="T20" s="192">
        <f t="shared" si="4"/>
        <v>74.15384615384616</v>
      </c>
      <c r="U20" s="22">
        <f>'9B Sem avr'!$H$8</f>
        <v>22</v>
      </c>
      <c r="V20" s="22">
        <f t="shared" si="4"/>
        <v>0</v>
      </c>
      <c r="W20" s="22">
        <f t="shared" si="4"/>
        <v>0</v>
      </c>
    </row>
    <row r="21" spans="1:23" ht="18.95" customHeight="1" thickBot="1" x14ac:dyDescent="0.3">
      <c r="A21" s="241">
        <v>6</v>
      </c>
      <c r="B21" s="218"/>
      <c r="C21" s="213">
        <v>15</v>
      </c>
      <c r="D21" s="217" t="s">
        <v>20</v>
      </c>
      <c r="E21" s="69" t="s">
        <v>21</v>
      </c>
      <c r="F21" s="22">
        <f>'9B Sem 1'!E9</f>
        <v>75</v>
      </c>
      <c r="G21" s="22">
        <f>'9B Sem 1'!F9</f>
        <v>73</v>
      </c>
      <c r="H21" s="22">
        <f>'9B Sem 1'!G9</f>
        <v>43</v>
      </c>
      <c r="I21" s="22">
        <f>'9B Sem 1'!H9</f>
        <v>37</v>
      </c>
      <c r="J21" s="22">
        <f>'9B Sem 1'!I9</f>
        <v>44</v>
      </c>
      <c r="K21" s="22">
        <f>'9B Sem 1'!J9</f>
        <v>48</v>
      </c>
      <c r="L21" s="22">
        <f>'9B Sem 1'!K9</f>
        <v>55</v>
      </c>
      <c r="M21" s="22">
        <f>'9B Sem 1'!L9</f>
        <v>55</v>
      </c>
      <c r="N21" s="22">
        <f>'9B Sem 1'!M9</f>
        <v>70</v>
      </c>
      <c r="O21" s="22">
        <f>'9B Sem 1'!N9</f>
        <v>77</v>
      </c>
      <c r="P21" s="22">
        <f>'9B Sem 1'!O9</f>
        <v>65</v>
      </c>
      <c r="Q21" s="22">
        <f>'9B Sem 1'!P9</f>
        <v>80</v>
      </c>
      <c r="R21" s="22">
        <f>'9B Sem 1'!Q9</f>
        <v>55</v>
      </c>
      <c r="S21" s="22">
        <f>'9B Sem 1'!R9</f>
        <v>777</v>
      </c>
      <c r="T21" s="192">
        <f>'9B Sem 1'!S9</f>
        <v>59.769230769230766</v>
      </c>
      <c r="U21" s="22">
        <f>'9B Sem 1'!T9</f>
        <v>44</v>
      </c>
      <c r="V21" s="36">
        <f>'9B Sem 1'!U9</f>
        <v>0</v>
      </c>
      <c r="W21" s="36">
        <f>'9B Sem 1'!V9</f>
        <v>0</v>
      </c>
    </row>
    <row r="22" spans="1:23" ht="18.95" customHeight="1" thickBot="1" x14ac:dyDescent="0.3">
      <c r="A22" s="241"/>
      <c r="B22" s="218"/>
      <c r="C22" s="213">
        <v>15</v>
      </c>
      <c r="D22" s="217" t="s">
        <v>20</v>
      </c>
      <c r="E22" s="69" t="s">
        <v>22</v>
      </c>
      <c r="F22" s="22">
        <f>'9B Sem 2'!E9</f>
        <v>82</v>
      </c>
      <c r="G22" s="22">
        <f>'9B Sem 2'!F9</f>
        <v>67</v>
      </c>
      <c r="H22" s="22">
        <f>'9B Sem 2'!G9</f>
        <v>44</v>
      </c>
      <c r="I22" s="22">
        <f>'9B Sem 2'!H9</f>
        <v>38</v>
      </c>
      <c r="J22" s="22">
        <f>'9B Sem 2'!I9</f>
        <v>38</v>
      </c>
      <c r="K22" s="22">
        <f>'9B Sem 2'!J9</f>
        <v>50</v>
      </c>
      <c r="L22" s="22">
        <f>'9B Sem 2'!K9</f>
        <v>46</v>
      </c>
      <c r="M22" s="22">
        <f>'9B Sem 2'!L9</f>
        <v>58</v>
      </c>
      <c r="N22" s="22">
        <f>'9B Sem 2'!M9</f>
        <v>68</v>
      </c>
      <c r="O22" s="22">
        <f>'9B Sem 2'!N9</f>
        <v>70</v>
      </c>
      <c r="P22" s="22">
        <f>'9B Sem 2'!O9</f>
        <v>54</v>
      </c>
      <c r="Q22" s="22">
        <f>'9B Sem 2'!P9</f>
        <v>73</v>
      </c>
      <c r="R22" s="22">
        <f>'9B Sem 2'!Q9</f>
        <v>66</v>
      </c>
      <c r="S22" s="22">
        <f>'9B Sem 2'!R9</f>
        <v>754</v>
      </c>
      <c r="T22" s="192">
        <f>'9B Sem 2'!S9</f>
        <v>58</v>
      </c>
      <c r="U22" s="22">
        <f>'9B Sem 2'!T9</f>
        <v>45</v>
      </c>
      <c r="V22" s="36">
        <f>'9B Sem 2'!U9</f>
        <v>0</v>
      </c>
      <c r="W22" s="36">
        <f>'9B Sem 2'!V9</f>
        <v>0</v>
      </c>
    </row>
    <row r="23" spans="1:23" ht="18.95" customHeight="1" thickBot="1" x14ac:dyDescent="0.3">
      <c r="A23" s="241"/>
      <c r="B23" s="218"/>
      <c r="C23" s="213">
        <v>15</v>
      </c>
      <c r="D23" s="217" t="s">
        <v>20</v>
      </c>
      <c r="E23" s="69" t="s">
        <v>16</v>
      </c>
      <c r="F23" s="22">
        <f>AVERAGE(F21:F22)</f>
        <v>78.5</v>
      </c>
      <c r="G23" s="22">
        <f t="shared" ref="G23:W23" si="5">AVERAGE(G21:G22)</f>
        <v>70</v>
      </c>
      <c r="H23" s="22">
        <f t="shared" si="5"/>
        <v>43.5</v>
      </c>
      <c r="I23" s="22">
        <f t="shared" si="5"/>
        <v>37.5</v>
      </c>
      <c r="J23" s="22">
        <f t="shared" si="5"/>
        <v>41</v>
      </c>
      <c r="K23" s="22">
        <f t="shared" si="5"/>
        <v>49</v>
      </c>
      <c r="L23" s="22">
        <f t="shared" si="5"/>
        <v>50.5</v>
      </c>
      <c r="M23" s="22">
        <f t="shared" si="5"/>
        <v>56.5</v>
      </c>
      <c r="N23" s="22">
        <f t="shared" si="5"/>
        <v>69</v>
      </c>
      <c r="O23" s="22">
        <f t="shared" si="5"/>
        <v>73.5</v>
      </c>
      <c r="P23" s="22">
        <f t="shared" si="5"/>
        <v>59.5</v>
      </c>
      <c r="Q23" s="22">
        <f t="shared" si="5"/>
        <v>76.5</v>
      </c>
      <c r="R23" s="22">
        <f t="shared" si="5"/>
        <v>60.5</v>
      </c>
      <c r="S23" s="22">
        <f t="shared" si="5"/>
        <v>765.5</v>
      </c>
      <c r="T23" s="192">
        <f t="shared" si="5"/>
        <v>58.884615384615387</v>
      </c>
      <c r="U23" s="22">
        <f>'9B Sem avr'!$H$9</f>
        <v>43</v>
      </c>
      <c r="V23" s="22">
        <f t="shared" si="5"/>
        <v>0</v>
      </c>
      <c r="W23" s="22">
        <f t="shared" si="5"/>
        <v>0</v>
      </c>
    </row>
    <row r="24" spans="1:23" ht="18.95" customHeight="1" thickBot="1" x14ac:dyDescent="0.3">
      <c r="A24" s="234">
        <v>7</v>
      </c>
      <c r="B24" s="218"/>
      <c r="C24" s="247">
        <v>15</v>
      </c>
      <c r="D24" s="248" t="s">
        <v>20</v>
      </c>
      <c r="E24" s="69" t="s">
        <v>21</v>
      </c>
      <c r="F24" s="22">
        <f>'9B Sem 1'!E10</f>
        <v>72</v>
      </c>
      <c r="G24" s="22">
        <f>'9B Sem 1'!F10</f>
        <v>59</v>
      </c>
      <c r="H24" s="22">
        <f>'9B Sem 1'!G10</f>
        <v>47</v>
      </c>
      <c r="I24" s="22">
        <f>'9B Sem 1'!H10</f>
        <v>46</v>
      </c>
      <c r="J24" s="22">
        <f>'9B Sem 1'!I10</f>
        <v>57</v>
      </c>
      <c r="K24" s="22">
        <f>'9B Sem 1'!J10</f>
        <v>53</v>
      </c>
      <c r="L24" s="22">
        <f>'9B Sem 1'!K10</f>
        <v>53</v>
      </c>
      <c r="M24" s="22">
        <f>'9B Sem 1'!L10</f>
        <v>61</v>
      </c>
      <c r="N24" s="22">
        <f>'9B Sem 1'!M10</f>
        <v>56</v>
      </c>
      <c r="O24" s="22">
        <f>'9B Sem 1'!N10</f>
        <v>56</v>
      </c>
      <c r="P24" s="22">
        <f>'9B Sem 1'!O10</f>
        <v>55</v>
      </c>
      <c r="Q24" s="22">
        <f>'9B Sem 1'!P10</f>
        <v>85</v>
      </c>
      <c r="R24" s="22">
        <f>'9B Sem 1'!Q10</f>
        <v>50</v>
      </c>
      <c r="S24" s="22">
        <f>'9B Sem 1'!R10</f>
        <v>750</v>
      </c>
      <c r="T24" s="192">
        <f>'9B Sem 1'!S10</f>
        <v>57.692307692307693</v>
      </c>
      <c r="U24" s="22">
        <f>'9B Sem 1'!T10</f>
        <v>48</v>
      </c>
      <c r="V24" s="36">
        <f>'9B Sem 1'!U10</f>
        <v>0</v>
      </c>
      <c r="W24" s="36">
        <f>'9B Sem 1'!V10</f>
        <v>0</v>
      </c>
    </row>
    <row r="25" spans="1:23" ht="18.95" customHeight="1" thickBot="1" x14ac:dyDescent="0.3">
      <c r="A25" s="234"/>
      <c r="B25" s="218"/>
      <c r="C25" s="247">
        <v>15</v>
      </c>
      <c r="D25" s="248" t="s">
        <v>20</v>
      </c>
      <c r="E25" s="69" t="s">
        <v>22</v>
      </c>
      <c r="F25" s="22">
        <f>'9B Sem 2'!E10</f>
        <v>63</v>
      </c>
      <c r="G25" s="22">
        <f>'9B Sem 2'!F10</f>
        <v>58</v>
      </c>
      <c r="H25" s="22">
        <f>'9B Sem 2'!G10</f>
        <v>54</v>
      </c>
      <c r="I25" s="22">
        <f>'9B Sem 2'!H10</f>
        <v>52</v>
      </c>
      <c r="J25" s="22">
        <f>'9B Sem 2'!I10</f>
        <v>41</v>
      </c>
      <c r="K25" s="22">
        <f>'9B Sem 2'!J10</f>
        <v>52</v>
      </c>
      <c r="L25" s="22">
        <f>'9B Sem 2'!K10</f>
        <v>46</v>
      </c>
      <c r="M25" s="22">
        <f>'9B Sem 2'!L10</f>
        <v>50</v>
      </c>
      <c r="N25" s="22">
        <f>'9B Sem 2'!M10</f>
        <v>54</v>
      </c>
      <c r="O25" s="22">
        <f>'9B Sem 2'!N10</f>
        <v>66</v>
      </c>
      <c r="P25" s="22">
        <f>'9B Sem 2'!O10</f>
        <v>48</v>
      </c>
      <c r="Q25" s="22">
        <f>'9B Sem 2'!P10</f>
        <v>76</v>
      </c>
      <c r="R25" s="22">
        <f>'9B Sem 2'!Q10</f>
        <v>69</v>
      </c>
      <c r="S25" s="22">
        <f>'9B Sem 2'!R10</f>
        <v>729</v>
      </c>
      <c r="T25" s="192">
        <f>'9B Sem 2'!S10</f>
        <v>56.07692307692308</v>
      </c>
      <c r="U25" s="22">
        <f>'9B Sem 2'!T10</f>
        <v>48</v>
      </c>
      <c r="V25" s="36">
        <f>'9B Sem 2'!U10</f>
        <v>0</v>
      </c>
      <c r="W25" s="36">
        <f>'9B Sem 2'!V10</f>
        <v>0</v>
      </c>
    </row>
    <row r="26" spans="1:23" ht="18.95" customHeight="1" thickBot="1" x14ac:dyDescent="0.3">
      <c r="A26" s="234"/>
      <c r="B26" s="218"/>
      <c r="C26" s="247">
        <v>15</v>
      </c>
      <c r="D26" s="248" t="s">
        <v>20</v>
      </c>
      <c r="E26" s="69" t="s">
        <v>16</v>
      </c>
      <c r="F26" s="22">
        <f>AVERAGE(F24:F25)</f>
        <v>67.5</v>
      </c>
      <c r="G26" s="22">
        <f t="shared" ref="G26:W26" si="6">AVERAGE(G24:G25)</f>
        <v>58.5</v>
      </c>
      <c r="H26" s="22">
        <f t="shared" si="6"/>
        <v>50.5</v>
      </c>
      <c r="I26" s="22">
        <f t="shared" si="6"/>
        <v>49</v>
      </c>
      <c r="J26" s="22">
        <f t="shared" si="6"/>
        <v>49</v>
      </c>
      <c r="K26" s="22">
        <f t="shared" si="6"/>
        <v>52.5</v>
      </c>
      <c r="L26" s="22">
        <f t="shared" si="6"/>
        <v>49.5</v>
      </c>
      <c r="M26" s="22">
        <f t="shared" si="6"/>
        <v>55.5</v>
      </c>
      <c r="N26" s="22">
        <f t="shared" si="6"/>
        <v>55</v>
      </c>
      <c r="O26" s="22">
        <f t="shared" si="6"/>
        <v>61</v>
      </c>
      <c r="P26" s="22">
        <f t="shared" si="6"/>
        <v>51.5</v>
      </c>
      <c r="Q26" s="22">
        <f t="shared" si="6"/>
        <v>80.5</v>
      </c>
      <c r="R26" s="22">
        <f t="shared" si="6"/>
        <v>59.5</v>
      </c>
      <c r="S26" s="22">
        <f t="shared" si="6"/>
        <v>739.5</v>
      </c>
      <c r="T26" s="192">
        <f t="shared" si="6"/>
        <v>56.884615384615387</v>
      </c>
      <c r="U26" s="22">
        <f>'9B Sem avr'!$H$10</f>
        <v>46</v>
      </c>
      <c r="V26" s="22">
        <f t="shared" si="6"/>
        <v>0</v>
      </c>
      <c r="W26" s="22">
        <f t="shared" si="6"/>
        <v>0</v>
      </c>
    </row>
    <row r="27" spans="1:23" ht="18.95" customHeight="1" thickBot="1" x14ac:dyDescent="0.3">
      <c r="A27" s="234">
        <v>8</v>
      </c>
      <c r="B27" s="218"/>
      <c r="C27" s="213">
        <v>14</v>
      </c>
      <c r="D27" s="217" t="s">
        <v>20</v>
      </c>
      <c r="E27" s="69" t="s">
        <v>21</v>
      </c>
      <c r="F27" s="22">
        <f>'9B Sem 1'!E11</f>
        <v>64</v>
      </c>
      <c r="G27" s="22">
        <f>'9B Sem 1'!F11</f>
        <v>59</v>
      </c>
      <c r="H27" s="22">
        <f>'9B Sem 1'!G11</f>
        <v>54</v>
      </c>
      <c r="I27" s="22">
        <f>'9B Sem 1'!H11</f>
        <v>34</v>
      </c>
      <c r="J27" s="22">
        <f>'9B Sem 1'!I11</f>
        <v>37</v>
      </c>
      <c r="K27" s="22">
        <f>'9B Sem 1'!J11</f>
        <v>50</v>
      </c>
      <c r="L27" s="22">
        <f>'9B Sem 1'!K11</f>
        <v>49</v>
      </c>
      <c r="M27" s="22">
        <f>'9B Sem 1'!L11</f>
        <v>51</v>
      </c>
      <c r="N27" s="22">
        <f>'9B Sem 1'!M11</f>
        <v>60</v>
      </c>
      <c r="O27" s="22">
        <f>'9B Sem 1'!N11</f>
        <v>49</v>
      </c>
      <c r="P27" s="22">
        <f>'9B Sem 1'!O11</f>
        <v>44</v>
      </c>
      <c r="Q27" s="22">
        <f>'9B Sem 1'!P11</f>
        <v>80</v>
      </c>
      <c r="R27" s="22">
        <f>'9B Sem 1'!Q11</f>
        <v>51</v>
      </c>
      <c r="S27" s="22">
        <f>'9B Sem 1'!R11</f>
        <v>682</v>
      </c>
      <c r="T27" s="192">
        <f>'9B Sem 1'!S11</f>
        <v>52.46153846153846</v>
      </c>
      <c r="U27" s="22">
        <f>'9B Sem 1'!T11</f>
        <v>53</v>
      </c>
      <c r="V27" s="36">
        <f>'9B Sem 1'!U11</f>
        <v>0</v>
      </c>
      <c r="W27" s="36">
        <f>'9B Sem 1'!V11</f>
        <v>0</v>
      </c>
    </row>
    <row r="28" spans="1:23" ht="18.95" customHeight="1" thickBot="1" x14ac:dyDescent="0.3">
      <c r="A28" s="234"/>
      <c r="B28" s="218"/>
      <c r="C28" s="213">
        <v>14</v>
      </c>
      <c r="D28" s="217" t="s">
        <v>20</v>
      </c>
      <c r="E28" s="69" t="s">
        <v>22</v>
      </c>
      <c r="F28" s="22">
        <f>'9B Sem 2'!E11</f>
        <v>58</v>
      </c>
      <c r="G28" s="22">
        <f>'9B Sem 2'!F11</f>
        <v>52</v>
      </c>
      <c r="H28" s="22">
        <f>'9B Sem 2'!G11</f>
        <v>45</v>
      </c>
      <c r="I28" s="22">
        <f>'9B Sem 2'!H11</f>
        <v>51</v>
      </c>
      <c r="J28" s="22">
        <f>'9B Sem 2'!I11</f>
        <v>32</v>
      </c>
      <c r="K28" s="22">
        <f>'9B Sem 2'!J11</f>
        <v>41</v>
      </c>
      <c r="L28" s="22">
        <f>'9B Sem 2'!K11</f>
        <v>45</v>
      </c>
      <c r="M28" s="22">
        <f>'9B Sem 2'!L11</f>
        <v>55</v>
      </c>
      <c r="N28" s="22">
        <f>'9B Sem 2'!M11</f>
        <v>57</v>
      </c>
      <c r="O28" s="22">
        <f>'9B Sem 2'!N11</f>
        <v>63</v>
      </c>
      <c r="P28" s="22">
        <f>'9B Sem 2'!O11</f>
        <v>68</v>
      </c>
      <c r="Q28" s="22">
        <f>'9B Sem 2'!P11</f>
        <v>73</v>
      </c>
      <c r="R28" s="22">
        <f>'9B Sem 2'!Q11</f>
        <v>69</v>
      </c>
      <c r="S28" s="22">
        <f>'9B Sem 2'!R11</f>
        <v>709</v>
      </c>
      <c r="T28" s="192">
        <f>'9B Sem 2'!S11</f>
        <v>54.53846153846154</v>
      </c>
      <c r="U28" s="22">
        <f>'9B Sem 2'!T11</f>
        <v>49</v>
      </c>
      <c r="V28" s="36">
        <f>'9B Sem 2'!U11</f>
        <v>0</v>
      </c>
      <c r="W28" s="36">
        <f>'9B Sem 2'!V11</f>
        <v>0</v>
      </c>
    </row>
    <row r="29" spans="1:23" ht="18.95" customHeight="1" thickBot="1" x14ac:dyDescent="0.3">
      <c r="A29" s="234"/>
      <c r="B29" s="218"/>
      <c r="C29" s="213">
        <v>14</v>
      </c>
      <c r="D29" s="217" t="s">
        <v>20</v>
      </c>
      <c r="E29" s="69" t="s">
        <v>16</v>
      </c>
      <c r="F29" s="22">
        <f>AVERAGE(F27:F28)</f>
        <v>61</v>
      </c>
      <c r="G29" s="22">
        <f t="shared" ref="G29:W29" si="7">AVERAGE(G27:G28)</f>
        <v>55.5</v>
      </c>
      <c r="H29" s="22">
        <f t="shared" si="7"/>
        <v>49.5</v>
      </c>
      <c r="I29" s="22">
        <f t="shared" si="7"/>
        <v>42.5</v>
      </c>
      <c r="J29" s="22">
        <f t="shared" si="7"/>
        <v>34.5</v>
      </c>
      <c r="K29" s="22">
        <f t="shared" si="7"/>
        <v>45.5</v>
      </c>
      <c r="L29" s="22">
        <f t="shared" si="7"/>
        <v>47</v>
      </c>
      <c r="M29" s="22">
        <f t="shared" si="7"/>
        <v>53</v>
      </c>
      <c r="N29" s="22">
        <f t="shared" si="7"/>
        <v>58.5</v>
      </c>
      <c r="O29" s="22">
        <f t="shared" si="7"/>
        <v>56</v>
      </c>
      <c r="P29" s="22">
        <f t="shared" si="7"/>
        <v>56</v>
      </c>
      <c r="Q29" s="22">
        <f t="shared" si="7"/>
        <v>76.5</v>
      </c>
      <c r="R29" s="22">
        <f t="shared" si="7"/>
        <v>60</v>
      </c>
      <c r="S29" s="22">
        <f t="shared" si="7"/>
        <v>695.5</v>
      </c>
      <c r="T29" s="192">
        <f t="shared" si="7"/>
        <v>53.5</v>
      </c>
      <c r="U29" s="22">
        <f>'9B Sem avr'!$H$11</f>
        <v>52</v>
      </c>
      <c r="V29" s="22">
        <f t="shared" si="7"/>
        <v>0</v>
      </c>
      <c r="W29" s="22">
        <f t="shared" si="7"/>
        <v>0</v>
      </c>
    </row>
    <row r="30" spans="1:23" ht="18.95" customHeight="1" thickBot="1" x14ac:dyDescent="0.3">
      <c r="A30" s="241">
        <v>9</v>
      </c>
      <c r="B30" s="218"/>
      <c r="C30" s="213">
        <v>14</v>
      </c>
      <c r="D30" s="217" t="s">
        <v>20</v>
      </c>
      <c r="E30" s="69" t="s">
        <v>21</v>
      </c>
      <c r="F30" s="22">
        <f>'9B Sem 1'!E12</f>
        <v>73</v>
      </c>
      <c r="G30" s="22">
        <f>'9B Sem 1'!F12</f>
        <v>78</v>
      </c>
      <c r="H30" s="22">
        <f>'9B Sem 1'!G12</f>
        <v>70</v>
      </c>
      <c r="I30" s="22">
        <f>'9B Sem 1'!H12</f>
        <v>74</v>
      </c>
      <c r="J30" s="22">
        <f>'9B Sem 1'!I12</f>
        <v>69</v>
      </c>
      <c r="K30" s="22">
        <f>'9B Sem 1'!J12</f>
        <v>66</v>
      </c>
      <c r="L30" s="22">
        <f>'9B Sem 1'!K12</f>
        <v>79</v>
      </c>
      <c r="M30" s="22">
        <f>'9B Sem 1'!L12</f>
        <v>74</v>
      </c>
      <c r="N30" s="22">
        <f>'9B Sem 1'!M12</f>
        <v>79</v>
      </c>
      <c r="O30" s="22">
        <f>'9B Sem 1'!N12</f>
        <v>76</v>
      </c>
      <c r="P30" s="22">
        <f>'9B Sem 1'!O12</f>
        <v>77</v>
      </c>
      <c r="Q30" s="22">
        <f>'9B Sem 1'!P12</f>
        <v>90</v>
      </c>
      <c r="R30" s="22">
        <f>'9B Sem 1'!Q12</f>
        <v>72</v>
      </c>
      <c r="S30" s="22">
        <f>'9B Sem 1'!R12</f>
        <v>977</v>
      </c>
      <c r="T30" s="192">
        <f>'9B Sem 1'!S12</f>
        <v>75.15384615384616</v>
      </c>
      <c r="U30" s="22">
        <f>'9B Sem 1'!T12</f>
        <v>20</v>
      </c>
      <c r="V30" s="36">
        <f>'9B Sem 1'!U12</f>
        <v>0</v>
      </c>
      <c r="W30" s="36">
        <f>'9B Sem 1'!V12</f>
        <v>0</v>
      </c>
    </row>
    <row r="31" spans="1:23" ht="18.95" customHeight="1" thickBot="1" x14ac:dyDescent="0.3">
      <c r="A31" s="241"/>
      <c r="B31" s="218"/>
      <c r="C31" s="213">
        <v>14</v>
      </c>
      <c r="D31" s="217" t="s">
        <v>20</v>
      </c>
      <c r="E31" s="69" t="s">
        <v>22</v>
      </c>
      <c r="F31" s="22">
        <f>'9B Sem 2'!E12</f>
        <v>76</v>
      </c>
      <c r="G31" s="22">
        <f>'9B Sem 2'!F12</f>
        <v>64</v>
      </c>
      <c r="H31" s="22">
        <f>'9B Sem 2'!G12</f>
        <v>82</v>
      </c>
      <c r="I31" s="22">
        <f>'9B Sem 2'!H12</f>
        <v>67</v>
      </c>
      <c r="J31" s="22">
        <f>'9B Sem 2'!I12</f>
        <v>70</v>
      </c>
      <c r="K31" s="22">
        <f>'9B Sem 2'!J12</f>
        <v>76</v>
      </c>
      <c r="L31" s="22">
        <f>'9B Sem 2'!K12</f>
        <v>87</v>
      </c>
      <c r="M31" s="22">
        <f>'9B Sem 2'!L12</f>
        <v>83</v>
      </c>
      <c r="N31" s="22">
        <f>'9B Sem 2'!M12</f>
        <v>73</v>
      </c>
      <c r="O31" s="22">
        <f>'9B Sem 2'!N12</f>
        <v>84</v>
      </c>
      <c r="P31" s="22">
        <f>'9B Sem 2'!O12</f>
        <v>76</v>
      </c>
      <c r="Q31" s="22">
        <f>'9B Sem 2'!P12</f>
        <v>94</v>
      </c>
      <c r="R31" s="22">
        <f>'9B Sem 2'!Q12</f>
        <v>70</v>
      </c>
      <c r="S31" s="22">
        <f>'9B Sem 2'!R12</f>
        <v>1002</v>
      </c>
      <c r="T31" s="192">
        <f>'9B Sem 2'!S12</f>
        <v>77.07692307692308</v>
      </c>
      <c r="U31" s="22">
        <f>'9B Sem 2'!T12</f>
        <v>20</v>
      </c>
      <c r="V31" s="36">
        <f>'9B Sem 2'!U12</f>
        <v>0</v>
      </c>
      <c r="W31" s="36">
        <f>'9B Sem 2'!V12</f>
        <v>0</v>
      </c>
    </row>
    <row r="32" spans="1:23" ht="18.95" customHeight="1" thickBot="1" x14ac:dyDescent="0.3">
      <c r="A32" s="241"/>
      <c r="B32" s="218"/>
      <c r="C32" s="213">
        <v>14</v>
      </c>
      <c r="D32" s="217" t="s">
        <v>20</v>
      </c>
      <c r="E32" s="69" t="s">
        <v>16</v>
      </c>
      <c r="F32" s="22">
        <f>AVERAGE(F30:F31)</f>
        <v>74.5</v>
      </c>
      <c r="G32" s="22">
        <f t="shared" ref="G32:W32" si="8">AVERAGE(G30:G31)</f>
        <v>71</v>
      </c>
      <c r="H32" s="22">
        <f t="shared" si="8"/>
        <v>76</v>
      </c>
      <c r="I32" s="22">
        <f t="shared" si="8"/>
        <v>70.5</v>
      </c>
      <c r="J32" s="22">
        <f t="shared" si="8"/>
        <v>69.5</v>
      </c>
      <c r="K32" s="22">
        <f t="shared" si="8"/>
        <v>71</v>
      </c>
      <c r="L32" s="22">
        <f t="shared" si="8"/>
        <v>83</v>
      </c>
      <c r="M32" s="22">
        <f t="shared" si="8"/>
        <v>78.5</v>
      </c>
      <c r="N32" s="22">
        <f t="shared" si="8"/>
        <v>76</v>
      </c>
      <c r="O32" s="22">
        <f t="shared" si="8"/>
        <v>80</v>
      </c>
      <c r="P32" s="22">
        <f t="shared" si="8"/>
        <v>76.5</v>
      </c>
      <c r="Q32" s="22">
        <f t="shared" si="8"/>
        <v>92</v>
      </c>
      <c r="R32" s="22">
        <f t="shared" si="8"/>
        <v>71</v>
      </c>
      <c r="S32" s="22">
        <f t="shared" si="8"/>
        <v>989.5</v>
      </c>
      <c r="T32" s="192">
        <f t="shared" si="8"/>
        <v>76.115384615384613</v>
      </c>
      <c r="U32" s="22">
        <f>'9B Sem avr'!$H$12</f>
        <v>21</v>
      </c>
      <c r="V32" s="22">
        <f t="shared" si="8"/>
        <v>0</v>
      </c>
      <c r="W32" s="22">
        <f t="shared" si="8"/>
        <v>0</v>
      </c>
    </row>
    <row r="33" spans="1:23" ht="18.95" customHeight="1" thickBot="1" x14ac:dyDescent="0.3">
      <c r="A33" s="234">
        <v>10</v>
      </c>
      <c r="B33" s="218"/>
      <c r="C33" s="213">
        <v>14</v>
      </c>
      <c r="D33" s="217" t="s">
        <v>23</v>
      </c>
      <c r="E33" s="69" t="s">
        <v>21</v>
      </c>
      <c r="F33" s="22">
        <f>'9B Sem 1'!E13</f>
        <v>78</v>
      </c>
      <c r="G33" s="22">
        <f>'9B Sem 1'!F13</f>
        <v>87</v>
      </c>
      <c r="H33" s="22">
        <f>'9B Sem 1'!G13</f>
        <v>55</v>
      </c>
      <c r="I33" s="22">
        <f>'9B Sem 1'!H13</f>
        <v>54</v>
      </c>
      <c r="J33" s="22">
        <f>'9B Sem 1'!I13</f>
        <v>65</v>
      </c>
      <c r="K33" s="22">
        <f>'9B Sem 1'!J13</f>
        <v>55</v>
      </c>
      <c r="L33" s="22">
        <f>'9B Sem 1'!K13</f>
        <v>78</v>
      </c>
      <c r="M33" s="22">
        <f>'9B Sem 1'!L13</f>
        <v>58</v>
      </c>
      <c r="N33" s="22">
        <f>'9B Sem 1'!M13</f>
        <v>80</v>
      </c>
      <c r="O33" s="22">
        <f>'9B Sem 1'!N13</f>
        <v>66</v>
      </c>
      <c r="P33" s="22">
        <f>'9B Sem 1'!O13</f>
        <v>77</v>
      </c>
      <c r="Q33" s="22">
        <f>'9B Sem 1'!P13</f>
        <v>84</v>
      </c>
      <c r="R33" s="22">
        <f>'9B Sem 1'!Q13</f>
        <v>66</v>
      </c>
      <c r="S33" s="22">
        <f>'9B Sem 1'!R13</f>
        <v>903</v>
      </c>
      <c r="T33" s="192">
        <f>'9B Sem 1'!S13</f>
        <v>69.461538461538467</v>
      </c>
      <c r="U33" s="22">
        <f>'9B Sem 1'!T13</f>
        <v>28</v>
      </c>
      <c r="V33" s="36">
        <f>'9B Sem 1'!U13</f>
        <v>0</v>
      </c>
      <c r="W33" s="36">
        <f>'9B Sem 1'!V13</f>
        <v>0</v>
      </c>
    </row>
    <row r="34" spans="1:23" ht="18.95" customHeight="1" thickBot="1" x14ac:dyDescent="0.3">
      <c r="A34" s="234"/>
      <c r="B34" s="218"/>
      <c r="C34" s="213">
        <v>14</v>
      </c>
      <c r="D34" s="217" t="s">
        <v>23</v>
      </c>
      <c r="E34" s="69" t="s">
        <v>22</v>
      </c>
      <c r="F34" s="22">
        <f>'9B Sem 2'!E13</f>
        <v>64</v>
      </c>
      <c r="G34" s="22">
        <f>'9B Sem 2'!F13</f>
        <v>82</v>
      </c>
      <c r="H34" s="22">
        <f>'9B Sem 2'!G13</f>
        <v>78</v>
      </c>
      <c r="I34" s="22">
        <f>'9B Sem 2'!H13</f>
        <v>53</v>
      </c>
      <c r="J34" s="22">
        <f>'9B Sem 2'!I13</f>
        <v>63</v>
      </c>
      <c r="K34" s="22">
        <f>'9B Sem 2'!J13</f>
        <v>71</v>
      </c>
      <c r="L34" s="22">
        <f>'9B Sem 2'!K13</f>
        <v>69</v>
      </c>
      <c r="M34" s="22">
        <f>'9B Sem 2'!L13</f>
        <v>76</v>
      </c>
      <c r="N34" s="22">
        <f>'9B Sem 2'!M13</f>
        <v>76</v>
      </c>
      <c r="O34" s="22">
        <f>'9B Sem 2'!N13</f>
        <v>77</v>
      </c>
      <c r="P34" s="22">
        <f>'9B Sem 2'!O13</f>
        <v>85</v>
      </c>
      <c r="Q34" s="22">
        <f>'9B Sem 2'!P13</f>
        <v>90</v>
      </c>
      <c r="R34" s="22">
        <f>'9B Sem 2'!Q13</f>
        <v>61</v>
      </c>
      <c r="S34" s="22">
        <f>'9B Sem 2'!R13</f>
        <v>945</v>
      </c>
      <c r="T34" s="192">
        <f>'9B Sem 2'!S13</f>
        <v>72.692307692307693</v>
      </c>
      <c r="U34" s="22">
        <f>'9B Sem 2'!T13</f>
        <v>28</v>
      </c>
      <c r="V34" s="36">
        <f>'9B Sem 2'!U13</f>
        <v>0</v>
      </c>
      <c r="W34" s="36">
        <f>'9B Sem 2'!V13</f>
        <v>0</v>
      </c>
    </row>
    <row r="35" spans="1:23" ht="18.95" customHeight="1" thickBot="1" x14ac:dyDescent="0.3">
      <c r="A35" s="234"/>
      <c r="B35" s="218"/>
      <c r="C35" s="213">
        <v>14</v>
      </c>
      <c r="D35" s="217" t="s">
        <v>23</v>
      </c>
      <c r="E35" s="69" t="s">
        <v>16</v>
      </c>
      <c r="F35" s="22">
        <f>AVERAGE(F33:F34)</f>
        <v>71</v>
      </c>
      <c r="G35" s="22">
        <f t="shared" ref="G35:W35" si="9">AVERAGE(G33:G34)</f>
        <v>84.5</v>
      </c>
      <c r="H35" s="22">
        <f t="shared" si="9"/>
        <v>66.5</v>
      </c>
      <c r="I35" s="22">
        <f t="shared" si="9"/>
        <v>53.5</v>
      </c>
      <c r="J35" s="22">
        <f t="shared" si="9"/>
        <v>64</v>
      </c>
      <c r="K35" s="22">
        <f t="shared" si="9"/>
        <v>63</v>
      </c>
      <c r="L35" s="22">
        <f t="shared" si="9"/>
        <v>73.5</v>
      </c>
      <c r="M35" s="22">
        <f t="shared" si="9"/>
        <v>67</v>
      </c>
      <c r="N35" s="22">
        <f t="shared" si="9"/>
        <v>78</v>
      </c>
      <c r="O35" s="22">
        <f t="shared" si="9"/>
        <v>71.5</v>
      </c>
      <c r="P35" s="22">
        <f t="shared" si="9"/>
        <v>81</v>
      </c>
      <c r="Q35" s="22">
        <f t="shared" si="9"/>
        <v>87</v>
      </c>
      <c r="R35" s="22">
        <f t="shared" si="9"/>
        <v>63.5</v>
      </c>
      <c r="S35" s="22">
        <f t="shared" si="9"/>
        <v>924</v>
      </c>
      <c r="T35" s="192">
        <f t="shared" si="9"/>
        <v>71.07692307692308</v>
      </c>
      <c r="U35" s="22">
        <f>'9B Sem avr'!$H$13</f>
        <v>27</v>
      </c>
      <c r="V35" s="22">
        <f t="shared" si="9"/>
        <v>0</v>
      </c>
      <c r="W35" s="22">
        <f t="shared" si="9"/>
        <v>0</v>
      </c>
    </row>
    <row r="36" spans="1:23" ht="18.95" customHeight="1" thickBot="1" x14ac:dyDescent="0.3">
      <c r="A36" s="241">
        <v>11</v>
      </c>
      <c r="B36" s="218"/>
      <c r="C36" s="213">
        <v>15</v>
      </c>
      <c r="D36" s="217" t="s">
        <v>23</v>
      </c>
      <c r="E36" s="69" t="s">
        <v>21</v>
      </c>
      <c r="F36" s="22">
        <f>'9B Sem 1'!E14</f>
        <v>83</v>
      </c>
      <c r="G36" s="22">
        <f>'9B Sem 1'!F14</f>
        <v>87</v>
      </c>
      <c r="H36" s="22">
        <f>'9B Sem 1'!G14</f>
        <v>81</v>
      </c>
      <c r="I36" s="22">
        <f>'9B Sem 1'!H14</f>
        <v>67</v>
      </c>
      <c r="J36" s="22">
        <f>'9B Sem 1'!I14</f>
        <v>72</v>
      </c>
      <c r="K36" s="22">
        <f>'9B Sem 1'!J14</f>
        <v>72</v>
      </c>
      <c r="L36" s="22">
        <f>'9B Sem 1'!K14</f>
        <v>79</v>
      </c>
      <c r="M36" s="22">
        <f>'9B Sem 1'!L14</f>
        <v>64</v>
      </c>
      <c r="N36" s="22">
        <f>'9B Sem 1'!M14</f>
        <v>90</v>
      </c>
      <c r="O36" s="22">
        <f>'9B Sem 1'!N14</f>
        <v>81</v>
      </c>
      <c r="P36" s="22">
        <f>'9B Sem 1'!O14</f>
        <v>79</v>
      </c>
      <c r="Q36" s="22">
        <f>'9B Sem 1'!P14</f>
        <v>84</v>
      </c>
      <c r="R36" s="22">
        <f>'9B Sem 1'!Q14</f>
        <v>69</v>
      </c>
      <c r="S36" s="22">
        <f>'9B Sem 1'!R14</f>
        <v>1008</v>
      </c>
      <c r="T36" s="192">
        <f>'9B Sem 1'!S14</f>
        <v>77.538461538461533</v>
      </c>
      <c r="U36" s="22">
        <f>'9B Sem 1'!T14</f>
        <v>18</v>
      </c>
      <c r="V36" s="36">
        <f>'9B Sem 1'!U14</f>
        <v>0</v>
      </c>
      <c r="W36" s="36">
        <f>'9B Sem 1'!V14</f>
        <v>0</v>
      </c>
    </row>
    <row r="37" spans="1:23" ht="18.95" customHeight="1" thickBot="1" x14ac:dyDescent="0.3">
      <c r="A37" s="241"/>
      <c r="B37" s="218"/>
      <c r="C37" s="213">
        <v>15</v>
      </c>
      <c r="D37" s="217" t="s">
        <v>23</v>
      </c>
      <c r="E37" s="69" t="s">
        <v>22</v>
      </c>
      <c r="F37" s="22">
        <f>'9B Sem 2'!E14</f>
        <v>78</v>
      </c>
      <c r="G37" s="22">
        <f>'9B Sem 2'!F14</f>
        <v>82</v>
      </c>
      <c r="H37" s="22">
        <f>'9B Sem 2'!G14</f>
        <v>81</v>
      </c>
      <c r="I37" s="22">
        <f>'9B Sem 2'!H14</f>
        <v>72</v>
      </c>
      <c r="J37" s="22">
        <f>'9B Sem 2'!I14</f>
        <v>81</v>
      </c>
      <c r="K37" s="22">
        <f>'9B Sem 2'!J14</f>
        <v>81</v>
      </c>
      <c r="L37" s="22">
        <f>'9B Sem 2'!K14</f>
        <v>71</v>
      </c>
      <c r="M37" s="22">
        <f>'9B Sem 2'!L14</f>
        <v>85</v>
      </c>
      <c r="N37" s="22">
        <f>'9B Sem 2'!M14</f>
        <v>84</v>
      </c>
      <c r="O37" s="22">
        <f>'9B Sem 2'!N14</f>
        <v>91</v>
      </c>
      <c r="P37" s="22">
        <f>'9B Sem 2'!O14</f>
        <v>81</v>
      </c>
      <c r="Q37" s="22">
        <f>'9B Sem 2'!P14</f>
        <v>87</v>
      </c>
      <c r="R37" s="22">
        <f>'9B Sem 2'!Q14</f>
        <v>75</v>
      </c>
      <c r="S37" s="22">
        <f>'9B Sem 2'!R14</f>
        <v>1049</v>
      </c>
      <c r="T37" s="192">
        <f>'9B Sem 2'!S14</f>
        <v>80.692307692307693</v>
      </c>
      <c r="U37" s="22">
        <f>'9B Sem 2'!T14</f>
        <v>14</v>
      </c>
      <c r="V37" s="36">
        <f>'9B Sem 2'!U14</f>
        <v>0</v>
      </c>
      <c r="W37" s="36">
        <f>'9B Sem 2'!V14</f>
        <v>0</v>
      </c>
    </row>
    <row r="38" spans="1:23" ht="18.95" customHeight="1" thickBot="1" x14ac:dyDescent="0.3">
      <c r="A38" s="241"/>
      <c r="B38" s="218"/>
      <c r="C38" s="213">
        <v>15</v>
      </c>
      <c r="D38" s="217" t="s">
        <v>23</v>
      </c>
      <c r="E38" s="69" t="s">
        <v>16</v>
      </c>
      <c r="F38" s="22">
        <f>AVERAGE(F36:F37)</f>
        <v>80.5</v>
      </c>
      <c r="G38" s="22">
        <f t="shared" ref="G38:W38" si="10">AVERAGE(G36:G37)</f>
        <v>84.5</v>
      </c>
      <c r="H38" s="22">
        <f t="shared" si="10"/>
        <v>81</v>
      </c>
      <c r="I38" s="22">
        <f t="shared" si="10"/>
        <v>69.5</v>
      </c>
      <c r="J38" s="22">
        <f t="shared" si="10"/>
        <v>76.5</v>
      </c>
      <c r="K38" s="22">
        <f t="shared" si="10"/>
        <v>76.5</v>
      </c>
      <c r="L38" s="22">
        <f t="shared" si="10"/>
        <v>75</v>
      </c>
      <c r="M38" s="22">
        <f t="shared" si="10"/>
        <v>74.5</v>
      </c>
      <c r="N38" s="22">
        <f t="shared" si="10"/>
        <v>87</v>
      </c>
      <c r="O38" s="22">
        <f t="shared" si="10"/>
        <v>86</v>
      </c>
      <c r="P38" s="22">
        <f t="shared" si="10"/>
        <v>80</v>
      </c>
      <c r="Q38" s="22">
        <f t="shared" si="10"/>
        <v>85.5</v>
      </c>
      <c r="R38" s="22">
        <f t="shared" si="10"/>
        <v>72</v>
      </c>
      <c r="S38" s="22">
        <f t="shared" si="10"/>
        <v>1028.5</v>
      </c>
      <c r="T38" s="192">
        <f t="shared" si="10"/>
        <v>79.115384615384613</v>
      </c>
      <c r="U38" s="22">
        <f>'9B Sem avr'!$H$14</f>
        <v>15</v>
      </c>
      <c r="V38" s="22">
        <f t="shared" si="10"/>
        <v>0</v>
      </c>
      <c r="W38" s="22">
        <f t="shared" si="10"/>
        <v>0</v>
      </c>
    </row>
    <row r="39" spans="1:23" ht="18.95" customHeight="1" thickBot="1" x14ac:dyDescent="0.3">
      <c r="A39" s="241">
        <v>12</v>
      </c>
      <c r="B39" s="218"/>
      <c r="C39" s="213">
        <v>15</v>
      </c>
      <c r="D39" s="217" t="s">
        <v>23</v>
      </c>
      <c r="E39" s="69" t="s">
        <v>21</v>
      </c>
      <c r="F39" s="22">
        <f>'9B Sem 1'!E15</f>
        <v>88</v>
      </c>
      <c r="G39" s="22">
        <f>'9B Sem 1'!F15</f>
        <v>82</v>
      </c>
      <c r="H39" s="22">
        <f>'9B Sem 1'!G15</f>
        <v>77</v>
      </c>
      <c r="I39" s="22">
        <f>'9B Sem 1'!H15</f>
        <v>73</v>
      </c>
      <c r="J39" s="22">
        <f>'9B Sem 1'!I15</f>
        <v>78</v>
      </c>
      <c r="K39" s="22">
        <f>'9B Sem 1'!J15</f>
        <v>87</v>
      </c>
      <c r="L39" s="22">
        <f>'9B Sem 1'!K15</f>
        <v>90</v>
      </c>
      <c r="M39" s="22">
        <f>'9B Sem 1'!L15</f>
        <v>82</v>
      </c>
      <c r="N39" s="22">
        <f>'9B Sem 1'!M15</f>
        <v>95</v>
      </c>
      <c r="O39" s="22">
        <f>'9B Sem 1'!N15</f>
        <v>88</v>
      </c>
      <c r="P39" s="22">
        <f>'9B Sem 1'!O15</f>
        <v>80</v>
      </c>
      <c r="Q39" s="22">
        <f>'9B Sem 1'!P15</f>
        <v>96</v>
      </c>
      <c r="R39" s="22">
        <f>'9B Sem 1'!Q15</f>
        <v>91</v>
      </c>
      <c r="S39" s="22">
        <f>'9B Sem 1'!R15</f>
        <v>1107</v>
      </c>
      <c r="T39" s="192">
        <f>'9B Sem 1'!S15</f>
        <v>85.15384615384616</v>
      </c>
      <c r="U39" s="22">
        <f>'9B Sem 1'!T15</f>
        <v>6</v>
      </c>
      <c r="V39" s="36">
        <f>'9B Sem 1'!U15</f>
        <v>0</v>
      </c>
      <c r="W39" s="36">
        <f>'9B Sem 1'!V15</f>
        <v>0</v>
      </c>
    </row>
    <row r="40" spans="1:23" ht="18.95" customHeight="1" thickBot="1" x14ac:dyDescent="0.3">
      <c r="A40" s="241"/>
      <c r="B40" s="218"/>
      <c r="C40" s="213">
        <v>15</v>
      </c>
      <c r="D40" s="217" t="s">
        <v>23</v>
      </c>
      <c r="E40" s="69" t="s">
        <v>22</v>
      </c>
      <c r="F40" s="22">
        <f>'9B Sem 2'!E15</f>
        <v>85</v>
      </c>
      <c r="G40" s="22">
        <f>'9B Sem 2'!F15</f>
        <v>76</v>
      </c>
      <c r="H40" s="22">
        <f>'9B Sem 2'!G15</f>
        <v>76</v>
      </c>
      <c r="I40" s="22">
        <f>'9B Sem 2'!H15</f>
        <v>72</v>
      </c>
      <c r="J40" s="22">
        <f>'9B Sem 2'!I15</f>
        <v>76</v>
      </c>
      <c r="K40" s="22">
        <f>'9B Sem 2'!J15</f>
        <v>84</v>
      </c>
      <c r="L40" s="22">
        <f>'9B Sem 2'!K15</f>
        <v>85</v>
      </c>
      <c r="M40" s="22">
        <f>'9B Sem 2'!L15</f>
        <v>91</v>
      </c>
      <c r="N40" s="22">
        <f>'9B Sem 2'!M15</f>
        <v>85</v>
      </c>
      <c r="O40" s="22">
        <f>'9B Sem 2'!N15</f>
        <v>94</v>
      </c>
      <c r="P40" s="22">
        <f>'9B Sem 2'!O15</f>
        <v>87</v>
      </c>
      <c r="Q40" s="22">
        <f>'9B Sem 2'!P15</f>
        <v>90</v>
      </c>
      <c r="R40" s="22">
        <f>'9B Sem 2'!Q15</f>
        <v>71</v>
      </c>
      <c r="S40" s="22">
        <f>'9B Sem 2'!R15</f>
        <v>1072</v>
      </c>
      <c r="T40" s="192">
        <f>'9B Sem 2'!S15</f>
        <v>82.461538461538467</v>
      </c>
      <c r="U40" s="22">
        <f>'9B Sem 2'!T15</f>
        <v>9</v>
      </c>
      <c r="V40" s="36">
        <f>'9B Sem 2'!U15</f>
        <v>0</v>
      </c>
      <c r="W40" s="36">
        <f>'9B Sem 2'!V15</f>
        <v>0</v>
      </c>
    </row>
    <row r="41" spans="1:23" ht="18.95" customHeight="1" thickBot="1" x14ac:dyDescent="0.3">
      <c r="A41" s="241"/>
      <c r="B41" s="218"/>
      <c r="C41" s="213">
        <v>15</v>
      </c>
      <c r="D41" s="217" t="s">
        <v>23</v>
      </c>
      <c r="E41" s="69" t="s">
        <v>16</v>
      </c>
      <c r="F41" s="22">
        <f>AVERAGE(F39:F40)</f>
        <v>86.5</v>
      </c>
      <c r="G41" s="22">
        <f t="shared" ref="G41:W41" si="11">AVERAGE(G39:G40)</f>
        <v>79</v>
      </c>
      <c r="H41" s="22">
        <f t="shared" si="11"/>
        <v>76.5</v>
      </c>
      <c r="I41" s="22">
        <f t="shared" si="11"/>
        <v>72.5</v>
      </c>
      <c r="J41" s="22">
        <f t="shared" si="11"/>
        <v>77</v>
      </c>
      <c r="K41" s="22">
        <f t="shared" si="11"/>
        <v>85.5</v>
      </c>
      <c r="L41" s="22">
        <f t="shared" si="11"/>
        <v>87.5</v>
      </c>
      <c r="M41" s="22">
        <f t="shared" si="11"/>
        <v>86.5</v>
      </c>
      <c r="N41" s="22">
        <f t="shared" si="11"/>
        <v>90</v>
      </c>
      <c r="O41" s="22">
        <f t="shared" si="11"/>
        <v>91</v>
      </c>
      <c r="P41" s="22">
        <f t="shared" si="11"/>
        <v>83.5</v>
      </c>
      <c r="Q41" s="22">
        <f t="shared" si="11"/>
        <v>93</v>
      </c>
      <c r="R41" s="22">
        <f t="shared" si="11"/>
        <v>81</v>
      </c>
      <c r="S41" s="22">
        <f t="shared" si="11"/>
        <v>1089.5</v>
      </c>
      <c r="T41" s="192">
        <f t="shared" si="11"/>
        <v>83.807692307692321</v>
      </c>
      <c r="U41" s="22">
        <f>'9B Sem avr'!$H$15</f>
        <v>7</v>
      </c>
      <c r="V41" s="22">
        <f t="shared" si="11"/>
        <v>0</v>
      </c>
      <c r="W41" s="22">
        <f t="shared" si="11"/>
        <v>0</v>
      </c>
    </row>
    <row r="42" spans="1:23" ht="18.95" customHeight="1" thickBot="1" x14ac:dyDescent="0.3">
      <c r="A42" s="241">
        <v>13</v>
      </c>
      <c r="B42" s="218"/>
      <c r="C42" s="213">
        <v>14</v>
      </c>
      <c r="D42" s="217" t="s">
        <v>23</v>
      </c>
      <c r="E42" s="69" t="s">
        <v>21</v>
      </c>
      <c r="F42" s="22">
        <f>'9B Sem 1'!E16</f>
        <v>89</v>
      </c>
      <c r="G42" s="22">
        <f>'9B Sem 1'!F16</f>
        <v>99</v>
      </c>
      <c r="H42" s="22">
        <f>'9B Sem 1'!G16</f>
        <v>99</v>
      </c>
      <c r="I42" s="22">
        <f>'9B Sem 1'!H16</f>
        <v>93</v>
      </c>
      <c r="J42" s="22">
        <f>'9B Sem 1'!I16</f>
        <v>100</v>
      </c>
      <c r="K42" s="22">
        <f>'9B Sem 1'!J16</f>
        <v>97</v>
      </c>
      <c r="L42" s="22">
        <f>'9B Sem 1'!K16</f>
        <v>96</v>
      </c>
      <c r="M42" s="22">
        <f>'9B Sem 1'!L16</f>
        <v>99</v>
      </c>
      <c r="N42" s="22">
        <f>'9B Sem 1'!M16</f>
        <v>99</v>
      </c>
      <c r="O42" s="22">
        <f>'9B Sem 1'!N16</f>
        <v>96</v>
      </c>
      <c r="P42" s="22">
        <f>'9B Sem 1'!O16</f>
        <v>93</v>
      </c>
      <c r="Q42" s="22">
        <f>'9B Sem 1'!P16</f>
        <v>100</v>
      </c>
      <c r="R42" s="22">
        <f>'9B Sem 1'!Q16</f>
        <v>96</v>
      </c>
      <c r="S42" s="22">
        <f>'9B Sem 1'!R16</f>
        <v>1256</v>
      </c>
      <c r="T42" s="192">
        <f>'9B Sem 1'!S16</f>
        <v>96.615384615384613</v>
      </c>
      <c r="U42" s="22">
        <f>'9B Sem 1'!T16</f>
        <v>1</v>
      </c>
      <c r="V42" s="36">
        <f>'9B Sem 1'!U16</f>
        <v>0</v>
      </c>
      <c r="W42" s="36">
        <f>'9B Sem 1'!V16</f>
        <v>0</v>
      </c>
    </row>
    <row r="43" spans="1:23" ht="18.95" customHeight="1" thickBot="1" x14ac:dyDescent="0.3">
      <c r="A43" s="241"/>
      <c r="B43" s="218"/>
      <c r="C43" s="213">
        <v>14</v>
      </c>
      <c r="D43" s="217" t="s">
        <v>23</v>
      </c>
      <c r="E43" s="69" t="s">
        <v>22</v>
      </c>
      <c r="F43" s="22">
        <f>'9B Sem 2'!E16</f>
        <v>93</v>
      </c>
      <c r="G43" s="22">
        <f>'9B Sem 2'!F16</f>
        <v>92</v>
      </c>
      <c r="H43" s="22">
        <f>'9B Sem 2'!G16</f>
        <v>100</v>
      </c>
      <c r="I43" s="22">
        <f>'9B Sem 2'!H16</f>
        <v>93</v>
      </c>
      <c r="J43" s="22">
        <f>'9B Sem 2'!I16</f>
        <v>100</v>
      </c>
      <c r="K43" s="22">
        <f>'9B Sem 2'!J16</f>
        <v>99</v>
      </c>
      <c r="L43" s="22">
        <f>'9B Sem 2'!K16</f>
        <v>95</v>
      </c>
      <c r="M43" s="22">
        <f>'9B Sem 2'!L16</f>
        <v>100</v>
      </c>
      <c r="N43" s="22">
        <f>'9B Sem 2'!M16</f>
        <v>98</v>
      </c>
      <c r="O43" s="22">
        <f>'9B Sem 2'!N16</f>
        <v>97</v>
      </c>
      <c r="P43" s="22">
        <f>'9B Sem 2'!O16</f>
        <v>100</v>
      </c>
      <c r="Q43" s="22">
        <f>'9B Sem 2'!P16</f>
        <v>97</v>
      </c>
      <c r="R43" s="22">
        <f>'9B Sem 2'!Q16</f>
        <v>98</v>
      </c>
      <c r="S43" s="22">
        <f>'9B Sem 2'!R16</f>
        <v>1262</v>
      </c>
      <c r="T43" s="192">
        <f>'9B Sem 2'!S16</f>
        <v>97.07692307692308</v>
      </c>
      <c r="U43" s="22">
        <f>'9B Sem 2'!T16</f>
        <v>1</v>
      </c>
      <c r="V43" s="36">
        <f>'9B Sem 2'!U16</f>
        <v>0</v>
      </c>
      <c r="W43" s="36">
        <f>'9B Sem 2'!V16</f>
        <v>0</v>
      </c>
    </row>
    <row r="44" spans="1:23" ht="18.95" customHeight="1" thickBot="1" x14ac:dyDescent="0.3">
      <c r="A44" s="241"/>
      <c r="B44" s="218"/>
      <c r="C44" s="213">
        <v>14</v>
      </c>
      <c r="D44" s="217" t="s">
        <v>23</v>
      </c>
      <c r="E44" s="69" t="s">
        <v>16</v>
      </c>
      <c r="F44" s="22">
        <f>AVERAGE(F42:F43)</f>
        <v>91</v>
      </c>
      <c r="G44" s="22">
        <f t="shared" ref="G44:W44" si="12">AVERAGE(G42:G43)</f>
        <v>95.5</v>
      </c>
      <c r="H44" s="22">
        <f t="shared" si="12"/>
        <v>99.5</v>
      </c>
      <c r="I44" s="22">
        <f t="shared" si="12"/>
        <v>93</v>
      </c>
      <c r="J44" s="22">
        <f t="shared" si="12"/>
        <v>100</v>
      </c>
      <c r="K44" s="22">
        <f t="shared" si="12"/>
        <v>98</v>
      </c>
      <c r="L44" s="22">
        <f t="shared" si="12"/>
        <v>95.5</v>
      </c>
      <c r="M44" s="22">
        <f t="shared" si="12"/>
        <v>99.5</v>
      </c>
      <c r="N44" s="22">
        <f t="shared" si="12"/>
        <v>98.5</v>
      </c>
      <c r="O44" s="22">
        <f t="shared" si="12"/>
        <v>96.5</v>
      </c>
      <c r="P44" s="22">
        <f t="shared" si="12"/>
        <v>96.5</v>
      </c>
      <c r="Q44" s="22">
        <f t="shared" si="12"/>
        <v>98.5</v>
      </c>
      <c r="R44" s="22">
        <f t="shared" si="12"/>
        <v>97</v>
      </c>
      <c r="S44" s="22">
        <f t="shared" si="12"/>
        <v>1259</v>
      </c>
      <c r="T44" s="192">
        <f t="shared" si="12"/>
        <v>96.84615384615384</v>
      </c>
      <c r="U44" s="22">
        <f>'9B Sem avr'!$H$16</f>
        <v>1</v>
      </c>
      <c r="V44" s="22">
        <f t="shared" si="12"/>
        <v>0</v>
      </c>
      <c r="W44" s="22">
        <f t="shared" si="12"/>
        <v>0</v>
      </c>
    </row>
    <row r="45" spans="1:23" ht="18.95" customHeight="1" thickBot="1" x14ac:dyDescent="0.3">
      <c r="A45" s="234">
        <v>14</v>
      </c>
      <c r="B45" s="218"/>
      <c r="C45" s="213">
        <v>15</v>
      </c>
      <c r="D45" s="217" t="s">
        <v>23</v>
      </c>
      <c r="E45" s="69" t="s">
        <v>21</v>
      </c>
      <c r="F45" s="22">
        <f>'9B Sem 1'!E17</f>
        <v>94</v>
      </c>
      <c r="G45" s="22">
        <f>'9B Sem 1'!F17</f>
        <v>74</v>
      </c>
      <c r="H45" s="22">
        <f>'9B Sem 1'!G17</f>
        <v>78</v>
      </c>
      <c r="I45" s="22">
        <f>'9B Sem 1'!H17</f>
        <v>70</v>
      </c>
      <c r="J45" s="22">
        <f>'9B Sem 1'!I17</f>
        <v>77</v>
      </c>
      <c r="K45" s="22">
        <f>'9B Sem 1'!J17</f>
        <v>73</v>
      </c>
      <c r="L45" s="22">
        <f>'9B Sem 1'!K17</f>
        <v>82</v>
      </c>
      <c r="M45" s="22">
        <f>'9B Sem 1'!L17</f>
        <v>67</v>
      </c>
      <c r="N45" s="22">
        <f>'9B Sem 1'!M17</f>
        <v>86</v>
      </c>
      <c r="O45" s="22">
        <f>'9B Sem 1'!N17</f>
        <v>81</v>
      </c>
      <c r="P45" s="22">
        <f>'9B Sem 1'!O17</f>
        <v>83</v>
      </c>
      <c r="Q45" s="22">
        <f>'9B Sem 1'!P17</f>
        <v>97</v>
      </c>
      <c r="R45" s="22">
        <f>'9B Sem 1'!Q17</f>
        <v>91</v>
      </c>
      <c r="S45" s="22">
        <f>'9B Sem 1'!R17</f>
        <v>1053</v>
      </c>
      <c r="T45" s="192">
        <f>'9B Sem 1'!S17</f>
        <v>81</v>
      </c>
      <c r="U45" s="22">
        <f>'9B Sem 1'!T17</f>
        <v>11</v>
      </c>
      <c r="V45" s="36">
        <f>'9B Sem 1'!U17</f>
        <v>0</v>
      </c>
      <c r="W45" s="36">
        <f>'9B Sem 1'!V17</f>
        <v>0</v>
      </c>
    </row>
    <row r="46" spans="1:23" ht="18.95" customHeight="1" thickBot="1" x14ac:dyDescent="0.3">
      <c r="A46" s="234"/>
      <c r="B46" s="218"/>
      <c r="C46" s="213">
        <v>15</v>
      </c>
      <c r="D46" s="217" t="s">
        <v>23</v>
      </c>
      <c r="E46" s="69" t="s">
        <v>22</v>
      </c>
      <c r="F46" s="22">
        <f>'9B Sem 2'!E17</f>
        <v>91</v>
      </c>
      <c r="G46" s="22">
        <f>'9B Sem 2'!F17</f>
        <v>71</v>
      </c>
      <c r="H46" s="22">
        <f>'9B Sem 2'!G17</f>
        <v>85</v>
      </c>
      <c r="I46" s="22">
        <f>'9B Sem 2'!H17</f>
        <v>77</v>
      </c>
      <c r="J46" s="22">
        <f>'9B Sem 2'!I17</f>
        <v>72</v>
      </c>
      <c r="K46" s="22">
        <f>'9B Sem 2'!J17</f>
        <v>75</v>
      </c>
      <c r="L46" s="22">
        <f>'9B Sem 2'!K17</f>
        <v>72</v>
      </c>
      <c r="M46" s="22">
        <f>'9B Sem 2'!L17</f>
        <v>87</v>
      </c>
      <c r="N46" s="22">
        <f>'9B Sem 2'!M17</f>
        <v>82</v>
      </c>
      <c r="O46" s="22">
        <f>'9B Sem 2'!N17</f>
        <v>91</v>
      </c>
      <c r="P46" s="22">
        <f>'9B Sem 2'!O17</f>
        <v>80</v>
      </c>
      <c r="Q46" s="22">
        <f>'9B Sem 2'!P17</f>
        <v>87</v>
      </c>
      <c r="R46" s="22">
        <f>'9B Sem 2'!Q17</f>
        <v>73</v>
      </c>
      <c r="S46" s="22">
        <f>'9B Sem 2'!R17</f>
        <v>1043</v>
      </c>
      <c r="T46" s="192">
        <f>'9B Sem 2'!S17</f>
        <v>80.230769230769226</v>
      </c>
      <c r="U46" s="22">
        <f>'9B Sem 2'!T17</f>
        <v>16</v>
      </c>
      <c r="V46" s="36">
        <f>'9B Sem 2'!U17</f>
        <v>0</v>
      </c>
      <c r="W46" s="36">
        <f>'9B Sem 2'!V17</f>
        <v>0</v>
      </c>
    </row>
    <row r="47" spans="1:23" ht="18.95" customHeight="1" thickBot="1" x14ac:dyDescent="0.3">
      <c r="A47" s="234"/>
      <c r="B47" s="218"/>
      <c r="C47" s="213">
        <v>15</v>
      </c>
      <c r="D47" s="217" t="s">
        <v>23</v>
      </c>
      <c r="E47" s="69" t="s">
        <v>16</v>
      </c>
      <c r="F47" s="22">
        <f>AVERAGE(F45:F46)</f>
        <v>92.5</v>
      </c>
      <c r="G47" s="22">
        <f t="shared" ref="G47:W47" si="13">AVERAGE(G45:G46)</f>
        <v>72.5</v>
      </c>
      <c r="H47" s="22">
        <f t="shared" si="13"/>
        <v>81.5</v>
      </c>
      <c r="I47" s="22">
        <f t="shared" si="13"/>
        <v>73.5</v>
      </c>
      <c r="J47" s="22">
        <f t="shared" si="13"/>
        <v>74.5</v>
      </c>
      <c r="K47" s="22">
        <f t="shared" si="13"/>
        <v>74</v>
      </c>
      <c r="L47" s="22">
        <f t="shared" si="13"/>
        <v>77</v>
      </c>
      <c r="M47" s="22">
        <f t="shared" si="13"/>
        <v>77</v>
      </c>
      <c r="N47" s="22">
        <f t="shared" si="13"/>
        <v>84</v>
      </c>
      <c r="O47" s="22">
        <f t="shared" si="13"/>
        <v>86</v>
      </c>
      <c r="P47" s="22">
        <f t="shared" si="13"/>
        <v>81.5</v>
      </c>
      <c r="Q47" s="22">
        <f t="shared" si="13"/>
        <v>92</v>
      </c>
      <c r="R47" s="22">
        <f t="shared" si="13"/>
        <v>82</v>
      </c>
      <c r="S47" s="22">
        <f t="shared" si="13"/>
        <v>1048</v>
      </c>
      <c r="T47" s="192">
        <f t="shared" si="13"/>
        <v>80.615384615384613</v>
      </c>
      <c r="U47" s="22">
        <f>'9B Sem avr'!$H$17</f>
        <v>12</v>
      </c>
      <c r="V47" s="22">
        <f t="shared" si="13"/>
        <v>0</v>
      </c>
      <c r="W47" s="22">
        <f t="shared" si="13"/>
        <v>0</v>
      </c>
    </row>
    <row r="48" spans="1:23" ht="18.95" customHeight="1" thickBot="1" x14ac:dyDescent="0.3">
      <c r="A48" s="241">
        <v>15</v>
      </c>
      <c r="B48" s="218"/>
      <c r="C48" s="213">
        <v>15</v>
      </c>
      <c r="D48" s="217" t="s">
        <v>23</v>
      </c>
      <c r="E48" s="69" t="s">
        <v>21</v>
      </c>
      <c r="F48" s="22">
        <f>'9B Sem 1'!E18</f>
        <v>83</v>
      </c>
      <c r="G48" s="22">
        <f>'9B Sem 1'!F18</f>
        <v>90</v>
      </c>
      <c r="H48" s="23">
        <f>'9B Sem 1'!G18</f>
        <v>78</v>
      </c>
      <c r="I48" s="22">
        <f>'9B Sem 1'!H18</f>
        <v>74</v>
      </c>
      <c r="J48" s="22">
        <f>'9B Sem 1'!I18</f>
        <v>79</v>
      </c>
      <c r="K48" s="22">
        <f>'9B Sem 1'!J18</f>
        <v>84</v>
      </c>
      <c r="L48" s="22">
        <f>'9B Sem 1'!K18</f>
        <v>80</v>
      </c>
      <c r="M48" s="22">
        <f>'9B Sem 1'!L18</f>
        <v>74</v>
      </c>
      <c r="N48" s="22">
        <f>'9B Sem 1'!M18</f>
        <v>92</v>
      </c>
      <c r="O48" s="22">
        <f>'9B Sem 1'!N18</f>
        <v>83</v>
      </c>
      <c r="P48" s="22">
        <f>'9B Sem 1'!O18</f>
        <v>83</v>
      </c>
      <c r="Q48" s="22">
        <f>'9B Sem 1'!P18</f>
        <v>97</v>
      </c>
      <c r="R48" s="22">
        <f>'9B Sem 1'!Q18</f>
        <v>67</v>
      </c>
      <c r="S48" s="22">
        <f>'9B Sem 1'!R18</f>
        <v>1064</v>
      </c>
      <c r="T48" s="192">
        <f>'9B Sem 1'!S18</f>
        <v>81.84615384615384</v>
      </c>
      <c r="U48" s="22">
        <f>'9B Sem 1'!T18</f>
        <v>10</v>
      </c>
      <c r="V48" s="36">
        <f>'9B Sem 1'!U18</f>
        <v>0</v>
      </c>
      <c r="W48" s="36">
        <f>'9B Sem 1'!V18</f>
        <v>0</v>
      </c>
    </row>
    <row r="49" spans="1:28" ht="18.95" customHeight="1" thickBot="1" x14ac:dyDescent="0.3">
      <c r="A49" s="241"/>
      <c r="B49" s="218"/>
      <c r="C49" s="213">
        <v>15</v>
      </c>
      <c r="D49" s="217" t="s">
        <v>23</v>
      </c>
      <c r="E49" s="69" t="s">
        <v>22</v>
      </c>
      <c r="F49" s="22">
        <f>'9B Sem 2'!E18</f>
        <v>90</v>
      </c>
      <c r="G49" s="22">
        <f>'9B Sem 2'!F18</f>
        <v>77</v>
      </c>
      <c r="H49" s="23">
        <f>'9B Sem 2'!G18</f>
        <v>82</v>
      </c>
      <c r="I49" s="22">
        <f>'9B Sem 2'!H18</f>
        <v>73</v>
      </c>
      <c r="J49" s="22">
        <f>'9B Sem 2'!I18</f>
        <v>85</v>
      </c>
      <c r="K49" s="22">
        <f>'9B Sem 2'!J18</f>
        <v>87</v>
      </c>
      <c r="L49" s="22">
        <f>'9B Sem 2'!K18</f>
        <v>85</v>
      </c>
      <c r="M49" s="22">
        <f>'9B Sem 2'!L18</f>
        <v>91</v>
      </c>
      <c r="N49" s="22">
        <f>'9B Sem 2'!M18</f>
        <v>91</v>
      </c>
      <c r="O49" s="22">
        <f>'9B Sem 2'!N18</f>
        <v>99</v>
      </c>
      <c r="P49" s="22">
        <f>'9B Sem 2'!O18</f>
        <v>91</v>
      </c>
      <c r="Q49" s="22">
        <f>'9B Sem 2'!P18</f>
        <v>93</v>
      </c>
      <c r="R49" s="22">
        <f>'9B Sem 2'!Q18</f>
        <v>76</v>
      </c>
      <c r="S49" s="22">
        <f>'9B Sem 2'!R18</f>
        <v>1120</v>
      </c>
      <c r="T49" s="192">
        <f>'9B Sem 2'!S18</f>
        <v>86.15384615384616</v>
      </c>
      <c r="U49" s="22">
        <f>'9B Sem 2'!T18</f>
        <v>5</v>
      </c>
      <c r="V49" s="36">
        <f>'9B Sem 2'!U18</f>
        <v>0</v>
      </c>
      <c r="W49" s="36">
        <f>'9B Sem 2'!V18</f>
        <v>0</v>
      </c>
      <c r="X49" s="5"/>
      <c r="Y49" s="5"/>
      <c r="Z49" s="5"/>
      <c r="AA49" s="5"/>
      <c r="AB49" s="5"/>
    </row>
    <row r="50" spans="1:28" ht="18.95" customHeight="1" thickBot="1" x14ac:dyDescent="0.3">
      <c r="A50" s="241"/>
      <c r="B50" s="218"/>
      <c r="C50" s="213">
        <v>15</v>
      </c>
      <c r="D50" s="217" t="s">
        <v>23</v>
      </c>
      <c r="E50" s="69" t="s">
        <v>16</v>
      </c>
      <c r="F50" s="22">
        <f>AVERAGE(F48:F49)</f>
        <v>86.5</v>
      </c>
      <c r="G50" s="22">
        <f t="shared" ref="G50:W50" si="14">AVERAGE(G48:G49)</f>
        <v>83.5</v>
      </c>
      <c r="H50" s="22">
        <f t="shared" si="14"/>
        <v>80</v>
      </c>
      <c r="I50" s="22">
        <f t="shared" si="14"/>
        <v>73.5</v>
      </c>
      <c r="J50" s="22">
        <f t="shared" si="14"/>
        <v>82</v>
      </c>
      <c r="K50" s="22">
        <f t="shared" si="14"/>
        <v>85.5</v>
      </c>
      <c r="L50" s="22">
        <f t="shared" si="14"/>
        <v>82.5</v>
      </c>
      <c r="M50" s="22">
        <f t="shared" si="14"/>
        <v>82.5</v>
      </c>
      <c r="N50" s="22">
        <f t="shared" si="14"/>
        <v>91.5</v>
      </c>
      <c r="O50" s="22">
        <f t="shared" si="14"/>
        <v>91</v>
      </c>
      <c r="P50" s="22">
        <f t="shared" si="14"/>
        <v>87</v>
      </c>
      <c r="Q50" s="22">
        <f t="shared" si="14"/>
        <v>95</v>
      </c>
      <c r="R50" s="22">
        <f t="shared" si="14"/>
        <v>71.5</v>
      </c>
      <c r="S50" s="22">
        <f t="shared" si="14"/>
        <v>1092</v>
      </c>
      <c r="T50" s="192">
        <f t="shared" si="14"/>
        <v>84</v>
      </c>
      <c r="U50" s="22">
        <f>'9B Sem avr'!$H$18</f>
        <v>6</v>
      </c>
      <c r="V50" s="22">
        <f t="shared" si="14"/>
        <v>0</v>
      </c>
      <c r="W50" s="22">
        <f t="shared" si="14"/>
        <v>0</v>
      </c>
      <c r="X50" s="5"/>
      <c r="Y50" s="5"/>
      <c r="Z50" s="5"/>
      <c r="AA50" s="5"/>
      <c r="AB50" s="5"/>
    </row>
    <row r="51" spans="1:28" ht="18.95" customHeight="1" thickBot="1" x14ac:dyDescent="0.3">
      <c r="A51" s="234">
        <v>16</v>
      </c>
      <c r="B51" s="218"/>
      <c r="C51" s="213">
        <v>15</v>
      </c>
      <c r="D51" s="217" t="s">
        <v>20</v>
      </c>
      <c r="E51" s="69" t="s">
        <v>21</v>
      </c>
      <c r="F51" s="22">
        <f>'9B Sem 1'!E19</f>
        <v>83</v>
      </c>
      <c r="G51" s="22">
        <f>'9B Sem 1'!F19</f>
        <v>79</v>
      </c>
      <c r="H51" s="22">
        <f>'9B Sem 1'!G19</f>
        <v>66</v>
      </c>
      <c r="I51" s="22">
        <f>'9B Sem 1'!H19</f>
        <v>48</v>
      </c>
      <c r="J51" s="22">
        <f>'9B Sem 1'!I19</f>
        <v>58</v>
      </c>
      <c r="K51" s="22">
        <f>'9B Sem 1'!J19</f>
        <v>62</v>
      </c>
      <c r="L51" s="22">
        <f>'9B Sem 1'!K19</f>
        <v>65</v>
      </c>
      <c r="M51" s="22">
        <f>'9B Sem 1'!L19</f>
        <v>59</v>
      </c>
      <c r="N51" s="22">
        <f>'9B Sem 1'!M19</f>
        <v>73</v>
      </c>
      <c r="O51" s="22">
        <f>'9B Sem 1'!N19</f>
        <v>76</v>
      </c>
      <c r="P51" s="22">
        <f>'9B Sem 1'!O19</f>
        <v>70</v>
      </c>
      <c r="Q51" s="22">
        <f>'9B Sem 1'!P19</f>
        <v>83</v>
      </c>
      <c r="R51" s="22">
        <f>'9B Sem 1'!Q19</f>
        <v>59</v>
      </c>
      <c r="S51" s="22">
        <f>'9B Sem 1'!R19</f>
        <v>881</v>
      </c>
      <c r="T51" s="192">
        <f>'9B Sem 1'!S19</f>
        <v>67.769230769230774</v>
      </c>
      <c r="U51" s="22">
        <f>'9B Sem 1'!T19</f>
        <v>32</v>
      </c>
      <c r="V51" s="36">
        <f>'9B Sem 1'!U19</f>
        <v>0</v>
      </c>
      <c r="W51" s="36">
        <f>'9B Sem 1'!V19</f>
        <v>0</v>
      </c>
      <c r="X51" s="5"/>
      <c r="Y51" s="5"/>
      <c r="Z51" s="5"/>
      <c r="AA51" s="5"/>
      <c r="AB51" s="5"/>
    </row>
    <row r="52" spans="1:28" ht="18.95" customHeight="1" thickBot="1" x14ac:dyDescent="0.3">
      <c r="A52" s="234"/>
      <c r="B52" s="218"/>
      <c r="C52" s="213">
        <v>15</v>
      </c>
      <c r="D52" s="217" t="s">
        <v>20</v>
      </c>
      <c r="E52" s="69" t="s">
        <v>22</v>
      </c>
      <c r="F52" s="22">
        <f>'9B Sem 2'!E19</f>
        <v>78</v>
      </c>
      <c r="G52" s="22">
        <f>'9B Sem 2'!F19</f>
        <v>71</v>
      </c>
      <c r="H52" s="22">
        <f>'9B Sem 2'!G19</f>
        <v>69</v>
      </c>
      <c r="I52" s="22">
        <f>'9B Sem 2'!H19</f>
        <v>63</v>
      </c>
      <c r="J52" s="22">
        <f>'9B Sem 2'!I19</f>
        <v>59</v>
      </c>
      <c r="K52" s="22">
        <f>'9B Sem 2'!J19</f>
        <v>74</v>
      </c>
      <c r="L52" s="22">
        <f>'9B Sem 2'!K19</f>
        <v>72</v>
      </c>
      <c r="M52" s="22">
        <f>'9B Sem 2'!L19</f>
        <v>80</v>
      </c>
      <c r="N52" s="22">
        <f>'9B Sem 2'!M19</f>
        <v>79</v>
      </c>
      <c r="O52" s="22">
        <f>'9B Sem 2'!N19</f>
        <v>77</v>
      </c>
      <c r="P52" s="22">
        <f>'9B Sem 2'!O19</f>
        <v>69</v>
      </c>
      <c r="Q52" s="22">
        <f>'9B Sem 2'!P19</f>
        <v>82</v>
      </c>
      <c r="R52" s="22">
        <f>'9B Sem 2'!Q19</f>
        <v>68</v>
      </c>
      <c r="S52" s="22">
        <f>'9B Sem 2'!R19</f>
        <v>941</v>
      </c>
      <c r="T52" s="192">
        <f>'9B Sem 2'!S19</f>
        <v>72.384615384615387</v>
      </c>
      <c r="U52" s="22">
        <f>'9B Sem 2'!T19</f>
        <v>29</v>
      </c>
      <c r="V52" s="36">
        <f>'9B Sem 2'!U19</f>
        <v>0</v>
      </c>
      <c r="W52" s="36">
        <f>'9B Sem 2'!V19</f>
        <v>0</v>
      </c>
      <c r="X52" s="5"/>
      <c r="Y52" s="5"/>
      <c r="Z52" s="5"/>
      <c r="AA52" s="5"/>
      <c r="AB52" s="5"/>
    </row>
    <row r="53" spans="1:28" ht="18.95" customHeight="1" thickBot="1" x14ac:dyDescent="0.3">
      <c r="A53" s="234"/>
      <c r="B53" s="218"/>
      <c r="C53" s="213">
        <v>15</v>
      </c>
      <c r="D53" s="217" t="s">
        <v>20</v>
      </c>
      <c r="E53" s="69" t="s">
        <v>16</v>
      </c>
      <c r="F53" s="22">
        <f>AVERAGE(F51:F52)</f>
        <v>80.5</v>
      </c>
      <c r="G53" s="22">
        <f t="shared" ref="G53:W53" si="15">AVERAGE(G51:G52)</f>
        <v>75</v>
      </c>
      <c r="H53" s="22">
        <f t="shared" si="15"/>
        <v>67.5</v>
      </c>
      <c r="I53" s="22">
        <f t="shared" si="15"/>
        <v>55.5</v>
      </c>
      <c r="J53" s="22">
        <f t="shared" si="15"/>
        <v>58.5</v>
      </c>
      <c r="K53" s="22">
        <f t="shared" si="15"/>
        <v>68</v>
      </c>
      <c r="L53" s="22">
        <f t="shared" si="15"/>
        <v>68.5</v>
      </c>
      <c r="M53" s="22">
        <f t="shared" si="15"/>
        <v>69.5</v>
      </c>
      <c r="N53" s="22">
        <f t="shared" si="15"/>
        <v>76</v>
      </c>
      <c r="O53" s="22">
        <f t="shared" si="15"/>
        <v>76.5</v>
      </c>
      <c r="P53" s="22">
        <f t="shared" si="15"/>
        <v>69.5</v>
      </c>
      <c r="Q53" s="22">
        <f t="shared" si="15"/>
        <v>82.5</v>
      </c>
      <c r="R53" s="22">
        <f t="shared" si="15"/>
        <v>63.5</v>
      </c>
      <c r="S53" s="22">
        <f t="shared" si="15"/>
        <v>911</v>
      </c>
      <c r="T53" s="192">
        <f t="shared" si="15"/>
        <v>70.07692307692308</v>
      </c>
      <c r="U53" s="22">
        <f>'9B Sem avr'!$H$19</f>
        <v>28</v>
      </c>
      <c r="V53" s="22">
        <f t="shared" si="15"/>
        <v>0</v>
      </c>
      <c r="W53" s="22">
        <f t="shared" si="15"/>
        <v>0</v>
      </c>
      <c r="X53" s="5"/>
      <c r="Y53" s="5"/>
      <c r="Z53" s="5"/>
      <c r="AA53" s="5"/>
      <c r="AB53" s="5"/>
    </row>
    <row r="54" spans="1:28" ht="18.95" customHeight="1" thickBot="1" x14ac:dyDescent="0.3">
      <c r="A54" s="234">
        <v>17</v>
      </c>
      <c r="B54" s="218"/>
      <c r="C54" s="213">
        <v>16</v>
      </c>
      <c r="D54" s="217" t="s">
        <v>20</v>
      </c>
      <c r="E54" s="69" t="s">
        <v>21</v>
      </c>
      <c r="F54" s="22">
        <f>'9B Sem 1'!E20</f>
        <v>79</v>
      </c>
      <c r="G54" s="22">
        <f>'9B Sem 1'!F20</f>
        <v>66</v>
      </c>
      <c r="H54" s="22">
        <f>'9B Sem 1'!G20</f>
        <v>43</v>
      </c>
      <c r="I54" s="22">
        <f>'9B Sem 1'!H20</f>
        <v>48</v>
      </c>
      <c r="J54" s="22">
        <f>'9B Sem 1'!I20</f>
        <v>48</v>
      </c>
      <c r="K54" s="22">
        <f>'9B Sem 1'!J20</f>
        <v>50</v>
      </c>
      <c r="L54" s="22">
        <f>'9B Sem 1'!K20</f>
        <v>53</v>
      </c>
      <c r="M54" s="22">
        <f>'9B Sem 1'!L20</f>
        <v>50</v>
      </c>
      <c r="N54" s="22">
        <f>'9B Sem 1'!M20</f>
        <v>57</v>
      </c>
      <c r="O54" s="22">
        <f>'9B Sem 1'!N20</f>
        <v>71</v>
      </c>
      <c r="P54" s="22">
        <f>'9B Sem 1'!O20</f>
        <v>61</v>
      </c>
      <c r="Q54" s="22">
        <f>'9B Sem 1'!P20</f>
        <v>80</v>
      </c>
      <c r="R54" s="22">
        <f>'9B Sem 1'!Q20</f>
        <v>58</v>
      </c>
      <c r="S54" s="22">
        <f>'9B Sem 1'!R20</f>
        <v>764</v>
      </c>
      <c r="T54" s="192">
        <f>'9B Sem 1'!S20</f>
        <v>58.769230769230766</v>
      </c>
      <c r="U54" s="22">
        <f>'9B Sem 1'!T20</f>
        <v>46</v>
      </c>
      <c r="V54" s="36">
        <f>'9B Sem 1'!U20</f>
        <v>0</v>
      </c>
      <c r="W54" s="36">
        <f>'9B Sem 1'!V20</f>
        <v>0</v>
      </c>
      <c r="X54" s="5"/>
      <c r="Y54" s="5"/>
      <c r="Z54" s="5"/>
      <c r="AA54" s="5"/>
      <c r="AB54" s="5"/>
    </row>
    <row r="55" spans="1:28" ht="18.95" customHeight="1" thickBot="1" x14ac:dyDescent="0.3">
      <c r="A55" s="234"/>
      <c r="B55" s="218"/>
      <c r="C55" s="213">
        <v>16</v>
      </c>
      <c r="D55" s="217" t="s">
        <v>20</v>
      </c>
      <c r="E55" s="69" t="s">
        <v>22</v>
      </c>
      <c r="F55" s="22">
        <f>'9B Sem 2'!E20</f>
        <v>72</v>
      </c>
      <c r="G55" s="22">
        <f>'9B Sem 2'!F20</f>
        <v>43</v>
      </c>
      <c r="H55" s="22">
        <f>'9B Sem 2'!G20</f>
        <v>49</v>
      </c>
      <c r="I55" s="22">
        <f>'9B Sem 2'!H20</f>
        <v>43</v>
      </c>
      <c r="J55" s="22">
        <f>'9B Sem 2'!I20</f>
        <v>37</v>
      </c>
      <c r="K55" s="22">
        <f>'9B Sem 2'!J20</f>
        <v>43</v>
      </c>
      <c r="L55" s="22">
        <f>'9B Sem 2'!K20</f>
        <v>45</v>
      </c>
      <c r="M55" s="22">
        <f>'9B Sem 2'!L20</f>
        <v>55</v>
      </c>
      <c r="N55" s="22">
        <f>'9B Sem 2'!M20</f>
        <v>55</v>
      </c>
      <c r="O55" s="22">
        <f>'9B Sem 2'!N20</f>
        <v>71</v>
      </c>
      <c r="P55" s="22">
        <f>'9B Sem 2'!O20</f>
        <v>45</v>
      </c>
      <c r="Q55" s="22">
        <f>'9B Sem 2'!P20</f>
        <v>84</v>
      </c>
      <c r="R55" s="22">
        <f>'9B Sem 2'!Q20</f>
        <v>55</v>
      </c>
      <c r="S55" s="22">
        <f>'9B Sem 2'!R20</f>
        <v>697</v>
      </c>
      <c r="T55" s="192">
        <f>'9B Sem 2'!S20</f>
        <v>53.615384615384613</v>
      </c>
      <c r="U55" s="22">
        <f>'9B Sem 2'!T20</f>
        <v>54</v>
      </c>
      <c r="V55" s="36">
        <f>'9B Sem 2'!U20</f>
        <v>0</v>
      </c>
      <c r="W55" s="36">
        <f>'9B Sem 2'!V20</f>
        <v>0</v>
      </c>
      <c r="X55" s="5"/>
      <c r="Y55" s="5"/>
      <c r="Z55" s="5"/>
      <c r="AA55" s="5"/>
      <c r="AB55" s="5"/>
    </row>
    <row r="56" spans="1:28" ht="18.95" customHeight="1" thickBot="1" x14ac:dyDescent="0.3">
      <c r="A56" s="234"/>
      <c r="B56" s="218"/>
      <c r="C56" s="213">
        <v>16</v>
      </c>
      <c r="D56" s="217" t="s">
        <v>20</v>
      </c>
      <c r="E56" s="69" t="s">
        <v>16</v>
      </c>
      <c r="F56" s="22">
        <f>AVERAGE(F54:F55)</f>
        <v>75.5</v>
      </c>
      <c r="G56" s="22">
        <f t="shared" ref="G56:W56" si="16">AVERAGE(G54:G55)</f>
        <v>54.5</v>
      </c>
      <c r="H56" s="22">
        <f t="shared" si="16"/>
        <v>46</v>
      </c>
      <c r="I56" s="22">
        <f t="shared" si="16"/>
        <v>45.5</v>
      </c>
      <c r="J56" s="22">
        <f t="shared" si="16"/>
        <v>42.5</v>
      </c>
      <c r="K56" s="22">
        <f t="shared" si="16"/>
        <v>46.5</v>
      </c>
      <c r="L56" s="22">
        <f t="shared" si="16"/>
        <v>49</v>
      </c>
      <c r="M56" s="22">
        <f t="shared" si="16"/>
        <v>52.5</v>
      </c>
      <c r="N56" s="22">
        <f t="shared" si="16"/>
        <v>56</v>
      </c>
      <c r="O56" s="22">
        <f t="shared" si="16"/>
        <v>71</v>
      </c>
      <c r="P56" s="22">
        <f t="shared" si="16"/>
        <v>53</v>
      </c>
      <c r="Q56" s="22">
        <f t="shared" si="16"/>
        <v>82</v>
      </c>
      <c r="R56" s="22">
        <f t="shared" si="16"/>
        <v>56.5</v>
      </c>
      <c r="S56" s="22">
        <f t="shared" si="16"/>
        <v>730.5</v>
      </c>
      <c r="T56" s="192">
        <f t="shared" si="16"/>
        <v>56.192307692307693</v>
      </c>
      <c r="U56" s="22">
        <f>'9B Sem avr'!$H$20</f>
        <v>47</v>
      </c>
      <c r="V56" s="22">
        <f t="shared" si="16"/>
        <v>0</v>
      </c>
      <c r="W56" s="22">
        <f t="shared" si="16"/>
        <v>0</v>
      </c>
      <c r="X56" s="5"/>
      <c r="Y56" s="5"/>
      <c r="Z56" s="5"/>
      <c r="AA56" s="5"/>
      <c r="AB56" s="5"/>
    </row>
    <row r="57" spans="1:28" ht="18.95" customHeight="1" thickBot="1" x14ac:dyDescent="0.3">
      <c r="A57" s="234">
        <v>18</v>
      </c>
      <c r="B57" s="218"/>
      <c r="C57" s="213">
        <v>15</v>
      </c>
      <c r="D57" s="217" t="s">
        <v>20</v>
      </c>
      <c r="E57" s="69" t="s">
        <v>21</v>
      </c>
      <c r="F57" s="22">
        <f>'9B Sem 1'!E21</f>
        <v>85</v>
      </c>
      <c r="G57" s="22">
        <f>'9B Sem 1'!F21</f>
        <v>58</v>
      </c>
      <c r="H57" s="23">
        <f>'9B Sem 1'!G21</f>
        <v>66</v>
      </c>
      <c r="I57" s="22">
        <f>'9B Sem 1'!H21</f>
        <v>54</v>
      </c>
      <c r="J57" s="22">
        <f>'9B Sem 1'!I21</f>
        <v>52</v>
      </c>
      <c r="K57" s="22">
        <f>'9B Sem 1'!J21</f>
        <v>41</v>
      </c>
      <c r="L57" s="22">
        <f>'9B Sem 1'!K21</f>
        <v>56</v>
      </c>
      <c r="M57" s="22">
        <f>'9B Sem 1'!L21</f>
        <v>51</v>
      </c>
      <c r="N57" s="22">
        <f>'9B Sem 1'!M21</f>
        <v>58</v>
      </c>
      <c r="O57" s="22">
        <f>'9B Sem 1'!N21</f>
        <v>74</v>
      </c>
      <c r="P57" s="22">
        <f>'9B Sem 1'!O21</f>
        <v>48</v>
      </c>
      <c r="Q57" s="22">
        <f>'9B Sem 1'!P21</f>
        <v>87</v>
      </c>
      <c r="R57" s="22">
        <f>'9B Sem 1'!Q21</f>
        <v>61</v>
      </c>
      <c r="S57" s="22">
        <f>'9B Sem 1'!R21</f>
        <v>791</v>
      </c>
      <c r="T57" s="192">
        <f>'9B Sem 1'!S21</f>
        <v>60.846153846153847</v>
      </c>
      <c r="U57" s="22">
        <f>'9B Sem 1'!T21</f>
        <v>41</v>
      </c>
      <c r="V57" s="36">
        <f>'9B Sem 1'!U21</f>
        <v>0</v>
      </c>
      <c r="W57" s="36">
        <f>'9B Sem 1'!V21</f>
        <v>0</v>
      </c>
      <c r="X57" s="5"/>
      <c r="Y57" s="5"/>
      <c r="Z57" s="5"/>
      <c r="AA57" s="5"/>
      <c r="AB57" s="5"/>
    </row>
    <row r="58" spans="1:28" ht="18.95" customHeight="1" thickBot="1" x14ac:dyDescent="0.3">
      <c r="A58" s="234"/>
      <c r="B58" s="218"/>
      <c r="C58" s="213">
        <v>15</v>
      </c>
      <c r="D58" s="217" t="s">
        <v>20</v>
      </c>
      <c r="E58" s="69" t="s">
        <v>22</v>
      </c>
      <c r="F58" s="22">
        <f>'9B Sem 2'!E21</f>
        <v>83</v>
      </c>
      <c r="G58" s="22">
        <f>'9B Sem 2'!F21</f>
        <v>49</v>
      </c>
      <c r="H58" s="23">
        <f>'9B Sem 2'!G21</f>
        <v>60</v>
      </c>
      <c r="I58" s="22">
        <f>'9B Sem 2'!H21</f>
        <v>48</v>
      </c>
      <c r="J58" s="22">
        <f>'9B Sem 2'!I21</f>
        <v>52</v>
      </c>
      <c r="K58" s="22">
        <f>'9B Sem 2'!J21</f>
        <v>45</v>
      </c>
      <c r="L58" s="22">
        <f>'9B Sem 2'!K21</f>
        <v>63</v>
      </c>
      <c r="M58" s="22">
        <f>'9B Sem 2'!L21</f>
        <v>69</v>
      </c>
      <c r="N58" s="22">
        <f>'9B Sem 2'!M21</f>
        <v>62</v>
      </c>
      <c r="O58" s="22">
        <f>'9B Sem 2'!N21</f>
        <v>73</v>
      </c>
      <c r="P58" s="22">
        <f>'9B Sem 2'!O21</f>
        <v>57</v>
      </c>
      <c r="Q58" s="22">
        <f>'9B Sem 2'!P21</f>
        <v>87</v>
      </c>
      <c r="R58" s="22">
        <f>'9B Sem 2'!Q21</f>
        <v>63</v>
      </c>
      <c r="S58" s="22">
        <f>'9B Sem 2'!R21</f>
        <v>811</v>
      </c>
      <c r="T58" s="192">
        <f>'9B Sem 2'!S21</f>
        <v>62.384615384615387</v>
      </c>
      <c r="U58" s="22">
        <f>'9B Sem 2'!T21</f>
        <v>40</v>
      </c>
      <c r="V58" s="36">
        <f>'9B Sem 2'!U21</f>
        <v>0</v>
      </c>
      <c r="W58" s="36">
        <f>'9B Sem 2'!V21</f>
        <v>0</v>
      </c>
      <c r="X58" s="5"/>
      <c r="Y58" s="5"/>
      <c r="Z58" s="5"/>
      <c r="AA58" s="5"/>
      <c r="AB58" s="5"/>
    </row>
    <row r="59" spans="1:28" ht="18.95" customHeight="1" thickBot="1" x14ac:dyDescent="0.3">
      <c r="A59" s="234"/>
      <c r="B59" s="218"/>
      <c r="C59" s="213">
        <v>15</v>
      </c>
      <c r="D59" s="217" t="s">
        <v>20</v>
      </c>
      <c r="E59" s="69" t="s">
        <v>16</v>
      </c>
      <c r="F59" s="22">
        <f>AVERAGE(F57:F58)</f>
        <v>84</v>
      </c>
      <c r="G59" s="22">
        <f t="shared" ref="G59:W59" si="17">AVERAGE(G57:G58)</f>
        <v>53.5</v>
      </c>
      <c r="H59" s="22">
        <f t="shared" si="17"/>
        <v>63</v>
      </c>
      <c r="I59" s="22">
        <f t="shared" si="17"/>
        <v>51</v>
      </c>
      <c r="J59" s="22">
        <f t="shared" si="17"/>
        <v>52</v>
      </c>
      <c r="K59" s="22">
        <f t="shared" si="17"/>
        <v>43</v>
      </c>
      <c r="L59" s="22">
        <f t="shared" si="17"/>
        <v>59.5</v>
      </c>
      <c r="M59" s="22">
        <f t="shared" si="17"/>
        <v>60</v>
      </c>
      <c r="N59" s="22">
        <f t="shared" si="17"/>
        <v>60</v>
      </c>
      <c r="O59" s="22">
        <f t="shared" si="17"/>
        <v>73.5</v>
      </c>
      <c r="P59" s="22">
        <f t="shared" si="17"/>
        <v>52.5</v>
      </c>
      <c r="Q59" s="22">
        <f t="shared" si="17"/>
        <v>87</v>
      </c>
      <c r="R59" s="22">
        <f t="shared" si="17"/>
        <v>62</v>
      </c>
      <c r="S59" s="22">
        <f t="shared" si="17"/>
        <v>801</v>
      </c>
      <c r="T59" s="192">
        <f t="shared" si="17"/>
        <v>61.615384615384613</v>
      </c>
      <c r="U59" s="22">
        <f>'9B Sem avr'!$H$21</f>
        <v>41</v>
      </c>
      <c r="V59" s="22">
        <f t="shared" si="17"/>
        <v>0</v>
      </c>
      <c r="W59" s="22">
        <f t="shared" si="17"/>
        <v>0</v>
      </c>
      <c r="X59" s="5"/>
      <c r="Y59" s="5"/>
      <c r="Z59" s="5"/>
      <c r="AA59" s="5"/>
      <c r="AB59" s="5"/>
    </row>
    <row r="60" spans="1:28" ht="18.95" customHeight="1" thickBot="1" x14ac:dyDescent="0.3">
      <c r="A60" s="241">
        <v>19</v>
      </c>
      <c r="B60" s="218"/>
      <c r="C60" s="213">
        <v>14</v>
      </c>
      <c r="D60" s="217" t="s">
        <v>23</v>
      </c>
      <c r="E60" s="69" t="s">
        <v>21</v>
      </c>
      <c r="F60" s="22">
        <f>'9B Sem 1'!E22</f>
        <v>84</v>
      </c>
      <c r="G60" s="22">
        <f>'9B Sem 1'!F22</f>
        <v>76</v>
      </c>
      <c r="H60" s="22">
        <f>'9B Sem 1'!G22</f>
        <v>62</v>
      </c>
      <c r="I60" s="22">
        <f>'9B Sem 1'!H22</f>
        <v>65</v>
      </c>
      <c r="J60" s="22">
        <f>'9B Sem 1'!I22</f>
        <v>62</v>
      </c>
      <c r="K60" s="22">
        <f>'9B Sem 1'!J22</f>
        <v>60</v>
      </c>
      <c r="L60" s="22">
        <f>'9B Sem 1'!K22</f>
        <v>66</v>
      </c>
      <c r="M60" s="22">
        <f>'9B Sem 1'!L22</f>
        <v>60</v>
      </c>
      <c r="N60" s="22">
        <f>'9B Sem 1'!M22</f>
        <v>81</v>
      </c>
      <c r="O60" s="22">
        <f>'9B Sem 1'!N22</f>
        <v>76</v>
      </c>
      <c r="P60" s="22">
        <f>'9B Sem 1'!O22</f>
        <v>73</v>
      </c>
      <c r="Q60" s="22">
        <f>'9B Sem 1'!P22</f>
        <v>92</v>
      </c>
      <c r="R60" s="22">
        <f>'9B Sem 1'!Q22</f>
        <v>77</v>
      </c>
      <c r="S60" s="22">
        <f>'9B Sem 1'!R22</f>
        <v>934</v>
      </c>
      <c r="T60" s="192">
        <f>'9B Sem 1'!S22</f>
        <v>71.84615384615384</v>
      </c>
      <c r="U60" s="22">
        <f>'9B Sem 1'!T22</f>
        <v>25</v>
      </c>
      <c r="V60" s="36">
        <f>'9B Sem 1'!U22</f>
        <v>0</v>
      </c>
      <c r="W60" s="36">
        <f>'9B Sem 1'!V22</f>
        <v>0</v>
      </c>
      <c r="X60" s="5"/>
      <c r="Y60" s="5"/>
      <c r="Z60" s="5"/>
      <c r="AA60" s="5"/>
      <c r="AB60" s="5"/>
    </row>
    <row r="61" spans="1:28" ht="18.95" customHeight="1" thickBot="1" x14ac:dyDescent="0.3">
      <c r="A61" s="241"/>
      <c r="B61" s="218"/>
      <c r="C61" s="213">
        <v>14</v>
      </c>
      <c r="D61" s="217" t="s">
        <v>23</v>
      </c>
      <c r="E61" s="69" t="s">
        <v>22</v>
      </c>
      <c r="F61" s="22">
        <f>'9B Sem 2'!E22</f>
        <v>84</v>
      </c>
      <c r="G61" s="22">
        <f>'9B Sem 2'!F22</f>
        <v>75</v>
      </c>
      <c r="H61" s="22">
        <f>'9B Sem 2'!G22</f>
        <v>72</v>
      </c>
      <c r="I61" s="22">
        <f>'9B Sem 2'!H22</f>
        <v>65</v>
      </c>
      <c r="J61" s="22">
        <f>'9B Sem 2'!I22</f>
        <v>65</v>
      </c>
      <c r="K61" s="22">
        <f>'9B Sem 2'!J22</f>
        <v>78</v>
      </c>
      <c r="L61" s="22">
        <f>'9B Sem 2'!K22</f>
        <v>62</v>
      </c>
      <c r="M61" s="22">
        <f>'9B Sem 2'!L22</f>
        <v>81</v>
      </c>
      <c r="N61" s="22">
        <f>'9B Sem 2'!M22</f>
        <v>80</v>
      </c>
      <c r="O61" s="22">
        <f>'9B Sem 2'!N22</f>
        <v>91</v>
      </c>
      <c r="P61" s="22">
        <f>'9B Sem 2'!O22</f>
        <v>61</v>
      </c>
      <c r="Q61" s="22">
        <f>'9B Sem 2'!P22</f>
        <v>90</v>
      </c>
      <c r="R61" s="22">
        <f>'9B Sem 2'!Q22</f>
        <v>67</v>
      </c>
      <c r="S61" s="22">
        <f>'9B Sem 2'!R22</f>
        <v>971</v>
      </c>
      <c r="T61" s="192">
        <f>'9B Sem 2'!S22</f>
        <v>74.692307692307693</v>
      </c>
      <c r="U61" s="22">
        <f>'9B Sem 2'!T22</f>
        <v>23</v>
      </c>
      <c r="V61" s="36">
        <f>'9B Sem 2'!U22</f>
        <v>0</v>
      </c>
      <c r="W61" s="36">
        <f>'9B Sem 2'!V22</f>
        <v>0</v>
      </c>
      <c r="X61" s="5"/>
      <c r="Y61" s="5"/>
      <c r="Z61" s="5"/>
      <c r="AA61" s="5"/>
      <c r="AB61" s="5"/>
    </row>
    <row r="62" spans="1:28" ht="18.95" customHeight="1" thickBot="1" x14ac:dyDescent="0.3">
      <c r="A62" s="241"/>
      <c r="B62" s="218"/>
      <c r="C62" s="213">
        <v>14</v>
      </c>
      <c r="D62" s="217" t="s">
        <v>23</v>
      </c>
      <c r="E62" s="69" t="s">
        <v>16</v>
      </c>
      <c r="F62" s="22">
        <f>AVERAGE(F60:F61)</f>
        <v>84</v>
      </c>
      <c r="G62" s="22">
        <f t="shared" ref="G62:W62" si="18">AVERAGE(G60:G61)</f>
        <v>75.5</v>
      </c>
      <c r="H62" s="22">
        <f t="shared" si="18"/>
        <v>67</v>
      </c>
      <c r="I62" s="22">
        <f t="shared" si="18"/>
        <v>65</v>
      </c>
      <c r="J62" s="22">
        <f t="shared" si="18"/>
        <v>63.5</v>
      </c>
      <c r="K62" s="22">
        <f t="shared" si="18"/>
        <v>69</v>
      </c>
      <c r="L62" s="22">
        <f t="shared" si="18"/>
        <v>64</v>
      </c>
      <c r="M62" s="22">
        <f t="shared" si="18"/>
        <v>70.5</v>
      </c>
      <c r="N62" s="22">
        <f t="shared" si="18"/>
        <v>80.5</v>
      </c>
      <c r="O62" s="22">
        <f t="shared" si="18"/>
        <v>83.5</v>
      </c>
      <c r="P62" s="22">
        <f t="shared" si="18"/>
        <v>67</v>
      </c>
      <c r="Q62" s="22">
        <f t="shared" si="18"/>
        <v>91</v>
      </c>
      <c r="R62" s="22">
        <f t="shared" si="18"/>
        <v>72</v>
      </c>
      <c r="S62" s="22">
        <f t="shared" si="18"/>
        <v>952.5</v>
      </c>
      <c r="T62" s="192">
        <f t="shared" si="18"/>
        <v>73.269230769230774</v>
      </c>
      <c r="U62" s="22">
        <f>'9B Sem avr'!$H$22</f>
        <v>24</v>
      </c>
      <c r="V62" s="22">
        <f t="shared" si="18"/>
        <v>0</v>
      </c>
      <c r="W62" s="22">
        <f t="shared" si="18"/>
        <v>0</v>
      </c>
      <c r="X62" s="5"/>
      <c r="Y62" s="5"/>
      <c r="Z62" s="5"/>
      <c r="AA62" s="5"/>
      <c r="AB62" s="5"/>
    </row>
    <row r="63" spans="1:28" ht="18.95" customHeight="1" thickBot="1" x14ac:dyDescent="0.3">
      <c r="A63" s="241">
        <v>20</v>
      </c>
      <c r="B63" s="218"/>
      <c r="C63" s="213">
        <v>14</v>
      </c>
      <c r="D63" s="217" t="s">
        <v>23</v>
      </c>
      <c r="E63" s="69" t="s">
        <v>21</v>
      </c>
      <c r="F63" s="22">
        <f>'9B Sem 1'!E23</f>
        <v>76</v>
      </c>
      <c r="G63" s="22">
        <f>'9B Sem 1'!F23</f>
        <v>92</v>
      </c>
      <c r="H63" s="22">
        <f>'9B Sem 1'!G23</f>
        <v>52</v>
      </c>
      <c r="I63" s="22">
        <f>'9B Sem 1'!H23</f>
        <v>61</v>
      </c>
      <c r="J63" s="22">
        <f>'9B Sem 1'!I23</f>
        <v>62</v>
      </c>
      <c r="K63" s="22">
        <f>'9B Sem 1'!J23</f>
        <v>57</v>
      </c>
      <c r="L63" s="22">
        <f>'9B Sem 1'!K23</f>
        <v>67</v>
      </c>
      <c r="M63" s="22">
        <f>'9B Sem 1'!L23</f>
        <v>55</v>
      </c>
      <c r="N63" s="22">
        <f>'9B Sem 1'!M23</f>
        <v>76</v>
      </c>
      <c r="O63" s="22">
        <f>'9B Sem 1'!N23</f>
        <v>74</v>
      </c>
      <c r="P63" s="22">
        <f>'9B Sem 1'!O23</f>
        <v>69</v>
      </c>
      <c r="Q63" s="22">
        <f>'9B Sem 1'!P23</f>
        <v>86</v>
      </c>
      <c r="R63" s="22">
        <f>'9B Sem 1'!Q23</f>
        <v>65</v>
      </c>
      <c r="S63" s="22">
        <f>'9B Sem 1'!R23</f>
        <v>892</v>
      </c>
      <c r="T63" s="192">
        <f>'9B Sem 1'!S23</f>
        <v>68.615384615384613</v>
      </c>
      <c r="U63" s="22">
        <f>'9B Sem 1'!T23</f>
        <v>30</v>
      </c>
      <c r="V63" s="36">
        <f>'9B Sem 1'!U23</f>
        <v>0</v>
      </c>
      <c r="W63" s="36">
        <f>'9B Sem 1'!V23</f>
        <v>0</v>
      </c>
      <c r="X63" s="5"/>
      <c r="Y63" s="5"/>
      <c r="Z63" s="5"/>
      <c r="AA63" s="5"/>
      <c r="AB63" s="5"/>
    </row>
    <row r="64" spans="1:28" ht="18.95" customHeight="1" thickBot="1" x14ac:dyDescent="0.3">
      <c r="A64" s="241"/>
      <c r="B64" s="218"/>
      <c r="C64" s="213">
        <v>14</v>
      </c>
      <c r="D64" s="217" t="s">
        <v>23</v>
      </c>
      <c r="E64" s="69" t="s">
        <v>22</v>
      </c>
      <c r="F64" s="22">
        <f>'9B Sem 2'!E23</f>
        <v>76</v>
      </c>
      <c r="G64" s="22">
        <f>'9B Sem 2'!F23</f>
        <v>85</v>
      </c>
      <c r="H64" s="22">
        <f>'9B Sem 2'!G23</f>
        <v>63</v>
      </c>
      <c r="I64" s="22">
        <f>'9B Sem 2'!H23</f>
        <v>54</v>
      </c>
      <c r="J64" s="22">
        <f>'9B Sem 2'!I23</f>
        <v>62</v>
      </c>
      <c r="K64" s="22">
        <f>'9B Sem 2'!J23</f>
        <v>68</v>
      </c>
      <c r="L64" s="22">
        <f>'9B Sem 2'!K23</f>
        <v>48</v>
      </c>
      <c r="M64" s="22">
        <f>'9B Sem 2'!L23</f>
        <v>65</v>
      </c>
      <c r="N64" s="22">
        <f>'9B Sem 2'!M23</f>
        <v>70</v>
      </c>
      <c r="O64" s="22">
        <f>'9B Sem 2'!N23</f>
        <v>81</v>
      </c>
      <c r="P64" s="22">
        <f>'9B Sem 2'!O23</f>
        <v>73</v>
      </c>
      <c r="Q64" s="22">
        <f>'9B Sem 2'!P23</f>
        <v>81</v>
      </c>
      <c r="R64" s="22">
        <f>'9B Sem 2'!Q23</f>
        <v>59</v>
      </c>
      <c r="S64" s="22">
        <f>'9B Sem 2'!R23</f>
        <v>885</v>
      </c>
      <c r="T64" s="192">
        <f>'9B Sem 2'!S23</f>
        <v>68.07692307692308</v>
      </c>
      <c r="U64" s="22">
        <f>'9B Sem 2'!T23</f>
        <v>32</v>
      </c>
      <c r="V64" s="36">
        <f>'9B Sem 2'!U23</f>
        <v>0</v>
      </c>
      <c r="W64" s="36">
        <f>'9B Sem 2'!V23</f>
        <v>0</v>
      </c>
      <c r="X64" s="5"/>
      <c r="Y64" s="5"/>
      <c r="Z64" s="5"/>
      <c r="AA64" s="5"/>
      <c r="AB64" s="5"/>
    </row>
    <row r="65" spans="1:28" ht="18.95" customHeight="1" thickBot="1" x14ac:dyDescent="0.3">
      <c r="A65" s="241"/>
      <c r="B65" s="218"/>
      <c r="C65" s="213">
        <v>14</v>
      </c>
      <c r="D65" s="217" t="s">
        <v>23</v>
      </c>
      <c r="E65" s="69" t="s">
        <v>16</v>
      </c>
      <c r="F65" s="22">
        <f>AVERAGE(F63:F64)</f>
        <v>76</v>
      </c>
      <c r="G65" s="22">
        <f t="shared" ref="G65:W65" si="19">AVERAGE(G63:G64)</f>
        <v>88.5</v>
      </c>
      <c r="H65" s="22">
        <f t="shared" si="19"/>
        <v>57.5</v>
      </c>
      <c r="I65" s="22">
        <f t="shared" si="19"/>
        <v>57.5</v>
      </c>
      <c r="J65" s="22">
        <f t="shared" si="19"/>
        <v>62</v>
      </c>
      <c r="K65" s="22">
        <f t="shared" si="19"/>
        <v>62.5</v>
      </c>
      <c r="L65" s="22">
        <f t="shared" si="19"/>
        <v>57.5</v>
      </c>
      <c r="M65" s="22">
        <f t="shared" si="19"/>
        <v>60</v>
      </c>
      <c r="N65" s="22">
        <f t="shared" si="19"/>
        <v>73</v>
      </c>
      <c r="O65" s="22">
        <f t="shared" si="19"/>
        <v>77.5</v>
      </c>
      <c r="P65" s="22">
        <f t="shared" si="19"/>
        <v>71</v>
      </c>
      <c r="Q65" s="22">
        <f t="shared" si="19"/>
        <v>83.5</v>
      </c>
      <c r="R65" s="22">
        <f t="shared" si="19"/>
        <v>62</v>
      </c>
      <c r="S65" s="22">
        <f t="shared" si="19"/>
        <v>888.5</v>
      </c>
      <c r="T65" s="192">
        <f t="shared" si="19"/>
        <v>68.34615384615384</v>
      </c>
      <c r="U65" s="22">
        <f>'9B Sem avr'!$H$23</f>
        <v>33</v>
      </c>
      <c r="V65" s="22">
        <f t="shared" si="19"/>
        <v>0</v>
      </c>
      <c r="W65" s="22">
        <f t="shared" si="19"/>
        <v>0</v>
      </c>
      <c r="X65" s="5"/>
      <c r="Y65" s="5"/>
      <c r="Z65" s="5"/>
      <c r="AA65" s="5"/>
      <c r="AB65" s="5"/>
    </row>
    <row r="66" spans="1:28" ht="18.95" customHeight="1" thickBot="1" x14ac:dyDescent="0.3">
      <c r="A66" s="241">
        <v>21</v>
      </c>
      <c r="B66" s="218"/>
      <c r="C66" s="213">
        <v>15</v>
      </c>
      <c r="D66" s="217" t="s">
        <v>23</v>
      </c>
      <c r="E66" s="69" t="s">
        <v>21</v>
      </c>
      <c r="F66" s="22">
        <f>'9B Sem 1'!E24</f>
        <v>76</v>
      </c>
      <c r="G66" s="22">
        <f>'9B Sem 1'!F24</f>
        <v>59</v>
      </c>
      <c r="H66" s="22">
        <f>'9B Sem 1'!G24</f>
        <v>66</v>
      </c>
      <c r="I66" s="22">
        <f>'9B Sem 1'!H24</f>
        <v>57</v>
      </c>
      <c r="J66" s="22">
        <f>'9B Sem 1'!I24</f>
        <v>59</v>
      </c>
      <c r="K66" s="22">
        <f>'9B Sem 1'!J24</f>
        <v>55</v>
      </c>
      <c r="L66" s="22">
        <f>'9B Sem 1'!K24</f>
        <v>67</v>
      </c>
      <c r="M66" s="22">
        <f>'9B Sem 1'!L24</f>
        <v>60</v>
      </c>
      <c r="N66" s="22">
        <f>'9B Sem 1'!M24</f>
        <v>72</v>
      </c>
      <c r="O66" s="22">
        <f>'9B Sem 1'!N24</f>
        <v>77</v>
      </c>
      <c r="P66" s="22">
        <f>'9B Sem 1'!O24</f>
        <v>71</v>
      </c>
      <c r="Q66" s="22">
        <f>'9B Sem 1'!P24</f>
        <v>87</v>
      </c>
      <c r="R66" s="22">
        <f>'9B Sem 1'!Q24</f>
        <v>64</v>
      </c>
      <c r="S66" s="22">
        <f>'9B Sem 1'!R24</f>
        <v>870</v>
      </c>
      <c r="T66" s="192">
        <f>'9B Sem 1'!S24</f>
        <v>66.92307692307692</v>
      </c>
      <c r="U66" s="22">
        <f>'9B Sem 1'!T24</f>
        <v>33</v>
      </c>
      <c r="V66" s="36">
        <f>'9B Sem 1'!U24</f>
        <v>0</v>
      </c>
      <c r="W66" s="36">
        <f>'9B Sem 1'!V24</f>
        <v>0</v>
      </c>
      <c r="X66" s="5"/>
      <c r="Y66" s="5"/>
      <c r="Z66" s="5"/>
      <c r="AA66" s="5"/>
      <c r="AB66" s="5"/>
    </row>
    <row r="67" spans="1:28" ht="18.95" customHeight="1" thickBot="1" x14ac:dyDescent="0.3">
      <c r="A67" s="241"/>
      <c r="B67" s="218"/>
      <c r="C67" s="213">
        <v>15</v>
      </c>
      <c r="D67" s="217" t="s">
        <v>23</v>
      </c>
      <c r="E67" s="69" t="s">
        <v>22</v>
      </c>
      <c r="F67" s="22">
        <f>'9B Sem 2'!E24</f>
        <v>79</v>
      </c>
      <c r="G67" s="22">
        <f>'9B Sem 2'!F24</f>
        <v>60</v>
      </c>
      <c r="H67" s="22">
        <f>'9B Sem 2'!G24</f>
        <v>72</v>
      </c>
      <c r="I67" s="22">
        <f>'9B Sem 2'!H24</f>
        <v>60</v>
      </c>
      <c r="J67" s="22">
        <f>'9B Sem 2'!I24</f>
        <v>71</v>
      </c>
      <c r="K67" s="22">
        <f>'9B Sem 2'!J24</f>
        <v>74</v>
      </c>
      <c r="L67" s="22">
        <f>'9B Sem 2'!K24</f>
        <v>66</v>
      </c>
      <c r="M67" s="22">
        <f>'9B Sem 2'!L24</f>
        <v>81</v>
      </c>
      <c r="N67" s="22">
        <f>'9B Sem 2'!M24</f>
        <v>72</v>
      </c>
      <c r="O67" s="22">
        <f>'9B Sem 2'!N24</f>
        <v>81</v>
      </c>
      <c r="P67" s="22">
        <f>'9B Sem 2'!O24</f>
        <v>80</v>
      </c>
      <c r="Q67" s="22">
        <f>'9B Sem 2'!P24</f>
        <v>91</v>
      </c>
      <c r="R67" s="22">
        <f>'9B Sem 2'!Q24</f>
        <v>65</v>
      </c>
      <c r="S67" s="22">
        <f>'9B Sem 2'!R24</f>
        <v>952</v>
      </c>
      <c r="T67" s="192">
        <f>'9B Sem 2'!S24</f>
        <v>73.230769230769226</v>
      </c>
      <c r="U67" s="22">
        <f>'9B Sem 2'!T24</f>
        <v>27</v>
      </c>
      <c r="V67" s="36">
        <f>'9B Sem 2'!U24</f>
        <v>0</v>
      </c>
      <c r="W67" s="36">
        <f>'9B Sem 2'!V24</f>
        <v>0</v>
      </c>
      <c r="X67" s="5"/>
      <c r="Y67" s="5"/>
      <c r="Z67" s="5"/>
      <c r="AA67" s="5"/>
      <c r="AB67" s="5"/>
    </row>
    <row r="68" spans="1:28" ht="18.95" customHeight="1" thickBot="1" x14ac:dyDescent="0.3">
      <c r="A68" s="241"/>
      <c r="B68" s="218"/>
      <c r="C68" s="213">
        <v>15</v>
      </c>
      <c r="D68" s="217" t="s">
        <v>23</v>
      </c>
      <c r="E68" s="69" t="s">
        <v>16</v>
      </c>
      <c r="F68" s="22">
        <f>AVERAGE(F66:F67)</f>
        <v>77.5</v>
      </c>
      <c r="G68" s="22">
        <f t="shared" ref="G68:W68" si="20">AVERAGE(G66:G67)</f>
        <v>59.5</v>
      </c>
      <c r="H68" s="22">
        <f t="shared" si="20"/>
        <v>69</v>
      </c>
      <c r="I68" s="22">
        <f t="shared" si="20"/>
        <v>58.5</v>
      </c>
      <c r="J68" s="22">
        <f t="shared" si="20"/>
        <v>65</v>
      </c>
      <c r="K68" s="22">
        <f t="shared" si="20"/>
        <v>64.5</v>
      </c>
      <c r="L68" s="22">
        <f t="shared" si="20"/>
        <v>66.5</v>
      </c>
      <c r="M68" s="22">
        <f t="shared" si="20"/>
        <v>70.5</v>
      </c>
      <c r="N68" s="22">
        <f t="shared" si="20"/>
        <v>72</v>
      </c>
      <c r="O68" s="22">
        <f t="shared" si="20"/>
        <v>79</v>
      </c>
      <c r="P68" s="22">
        <f t="shared" si="20"/>
        <v>75.5</v>
      </c>
      <c r="Q68" s="22">
        <f t="shared" si="20"/>
        <v>89</v>
      </c>
      <c r="R68" s="22">
        <f t="shared" si="20"/>
        <v>64.5</v>
      </c>
      <c r="S68" s="22">
        <f t="shared" si="20"/>
        <v>911</v>
      </c>
      <c r="T68" s="192">
        <f t="shared" si="20"/>
        <v>70.076923076923066</v>
      </c>
      <c r="U68" s="22">
        <f>'9B Sem avr'!$H$24</f>
        <v>29</v>
      </c>
      <c r="V68" s="22">
        <f t="shared" si="20"/>
        <v>0</v>
      </c>
      <c r="W68" s="22">
        <f t="shared" si="20"/>
        <v>0</v>
      </c>
      <c r="X68" s="5"/>
      <c r="Y68" s="5"/>
      <c r="Z68" s="5"/>
      <c r="AA68" s="5"/>
      <c r="AB68" s="5"/>
    </row>
    <row r="69" spans="1:28" ht="18.95" customHeight="1" thickBot="1" x14ac:dyDescent="0.3">
      <c r="A69" s="234">
        <v>22</v>
      </c>
      <c r="B69" s="218"/>
      <c r="C69" s="213">
        <v>15</v>
      </c>
      <c r="D69" s="217" t="s">
        <v>23</v>
      </c>
      <c r="E69" s="69" t="s">
        <v>21</v>
      </c>
      <c r="F69" s="22">
        <f>'9B Sem 1'!E25</f>
        <v>66</v>
      </c>
      <c r="G69" s="22">
        <f>'9B Sem 1'!F25</f>
        <v>58</v>
      </c>
      <c r="H69" s="22">
        <f>'9B Sem 1'!G25</f>
        <v>46</v>
      </c>
      <c r="I69" s="22">
        <f>'9B Sem 1'!H25</f>
        <v>41</v>
      </c>
      <c r="J69" s="22">
        <f>'9B Sem 1'!I25</f>
        <v>47</v>
      </c>
      <c r="K69" s="22">
        <f>'9B Sem 1'!J25</f>
        <v>43</v>
      </c>
      <c r="L69" s="22">
        <f>'9B Sem 1'!K25</f>
        <v>58</v>
      </c>
      <c r="M69" s="22">
        <f>'9B Sem 1'!L25</f>
        <v>44</v>
      </c>
      <c r="N69" s="22">
        <f>'9B Sem 1'!M25</f>
        <v>56</v>
      </c>
      <c r="O69" s="22">
        <f>'9B Sem 1'!N25</f>
        <v>63</v>
      </c>
      <c r="P69" s="22">
        <f>'9B Sem 1'!O25</f>
        <v>54</v>
      </c>
      <c r="Q69" s="22">
        <f>'9B Sem 1'!P25</f>
        <v>81</v>
      </c>
      <c r="R69" s="22">
        <f>'9B Sem 1'!Q25</f>
        <v>54</v>
      </c>
      <c r="S69" s="22">
        <f>'9B Sem 1'!R25</f>
        <v>711</v>
      </c>
      <c r="T69" s="192">
        <f>'9B Sem 1'!S25</f>
        <v>54.692307692307693</v>
      </c>
      <c r="U69" s="22">
        <f>'9B Sem 1'!T25</f>
        <v>50</v>
      </c>
      <c r="V69" s="36">
        <f>'9B Sem 1'!U25</f>
        <v>0</v>
      </c>
      <c r="W69" s="36">
        <f>'9B Sem 1'!V25</f>
        <v>0</v>
      </c>
      <c r="X69" s="5"/>
      <c r="Y69" s="5"/>
      <c r="Z69" s="5"/>
      <c r="AA69" s="5"/>
      <c r="AB69" s="5"/>
    </row>
    <row r="70" spans="1:28" ht="18.95" customHeight="1" thickBot="1" x14ac:dyDescent="0.3">
      <c r="A70" s="234"/>
      <c r="B70" s="218"/>
      <c r="C70" s="213">
        <v>15</v>
      </c>
      <c r="D70" s="217" t="s">
        <v>23</v>
      </c>
      <c r="E70" s="69" t="s">
        <v>22</v>
      </c>
      <c r="F70" s="22">
        <f>'9B Sem 2'!E25</f>
        <v>72</v>
      </c>
      <c r="G70" s="22">
        <f>'9B Sem 2'!F25</f>
        <v>53</v>
      </c>
      <c r="H70" s="22">
        <f>'9B Sem 2'!G25</f>
        <v>40</v>
      </c>
      <c r="I70" s="22">
        <f>'9B Sem 2'!H25</f>
        <v>50</v>
      </c>
      <c r="J70" s="22">
        <f>'9B Sem 2'!I25</f>
        <v>40</v>
      </c>
      <c r="K70" s="22">
        <f>'9B Sem 2'!J25</f>
        <v>44</v>
      </c>
      <c r="L70" s="22">
        <f>'9B Sem 2'!K25</f>
        <v>44</v>
      </c>
      <c r="M70" s="22">
        <f>'9B Sem 2'!L25</f>
        <v>53</v>
      </c>
      <c r="N70" s="22">
        <f>'9B Sem 2'!M25</f>
        <v>56</v>
      </c>
      <c r="O70" s="22">
        <f>'9B Sem 2'!N25</f>
        <v>64</v>
      </c>
      <c r="P70" s="22">
        <f>'9B Sem 2'!O25</f>
        <v>51</v>
      </c>
      <c r="Q70" s="22">
        <f>'9B Sem 2'!P25</f>
        <v>77</v>
      </c>
      <c r="R70" s="22">
        <f>'9B Sem 2'!Q25</f>
        <v>62</v>
      </c>
      <c r="S70" s="22">
        <f>'9B Sem 2'!R25</f>
        <v>706</v>
      </c>
      <c r="T70" s="192">
        <f>'9B Sem 2'!S25</f>
        <v>54.307692307692307</v>
      </c>
      <c r="U70" s="22">
        <f>'9B Sem 2'!T25</f>
        <v>51</v>
      </c>
      <c r="V70" s="36">
        <f>'9B Sem 2'!U25</f>
        <v>0</v>
      </c>
      <c r="W70" s="36">
        <f>'9B Sem 2'!V25</f>
        <v>0</v>
      </c>
      <c r="X70" s="5"/>
      <c r="Y70" s="5"/>
      <c r="Z70" s="5"/>
      <c r="AA70" s="5"/>
      <c r="AB70" s="5"/>
    </row>
    <row r="71" spans="1:28" ht="18.95" customHeight="1" thickBot="1" x14ac:dyDescent="0.3">
      <c r="A71" s="234"/>
      <c r="B71" s="218"/>
      <c r="C71" s="213">
        <v>15</v>
      </c>
      <c r="D71" s="217" t="s">
        <v>23</v>
      </c>
      <c r="E71" s="69" t="s">
        <v>16</v>
      </c>
      <c r="F71" s="22">
        <f>AVERAGE(F69:F70)</f>
        <v>69</v>
      </c>
      <c r="G71" s="22">
        <f t="shared" ref="G71:W71" si="21">AVERAGE(G69:G70)</f>
        <v>55.5</v>
      </c>
      <c r="H71" s="22">
        <f t="shared" si="21"/>
        <v>43</v>
      </c>
      <c r="I71" s="22">
        <f t="shared" si="21"/>
        <v>45.5</v>
      </c>
      <c r="J71" s="22">
        <f t="shared" si="21"/>
        <v>43.5</v>
      </c>
      <c r="K71" s="22">
        <f t="shared" si="21"/>
        <v>43.5</v>
      </c>
      <c r="L71" s="22">
        <f t="shared" si="21"/>
        <v>51</v>
      </c>
      <c r="M71" s="22">
        <f t="shared" si="21"/>
        <v>48.5</v>
      </c>
      <c r="N71" s="22">
        <f t="shared" si="21"/>
        <v>56</v>
      </c>
      <c r="O71" s="22">
        <f t="shared" si="21"/>
        <v>63.5</v>
      </c>
      <c r="P71" s="22">
        <f t="shared" si="21"/>
        <v>52.5</v>
      </c>
      <c r="Q71" s="22">
        <f t="shared" si="21"/>
        <v>79</v>
      </c>
      <c r="R71" s="22">
        <f t="shared" si="21"/>
        <v>58</v>
      </c>
      <c r="S71" s="22">
        <f t="shared" si="21"/>
        <v>708.5</v>
      </c>
      <c r="T71" s="192">
        <f t="shared" si="21"/>
        <v>54.5</v>
      </c>
      <c r="U71" s="22">
        <f>'9B Sem avr'!$H$25</f>
        <v>49</v>
      </c>
      <c r="V71" s="22">
        <f t="shared" si="21"/>
        <v>0</v>
      </c>
      <c r="W71" s="22">
        <f t="shared" si="21"/>
        <v>0</v>
      </c>
      <c r="X71" s="5"/>
      <c r="Y71" s="5"/>
      <c r="Z71" s="5"/>
      <c r="AA71" s="5"/>
      <c r="AB71" s="5"/>
    </row>
    <row r="72" spans="1:28" ht="18.95" customHeight="1" thickBot="1" x14ac:dyDescent="0.3">
      <c r="A72" s="234">
        <v>23</v>
      </c>
      <c r="B72" s="218"/>
      <c r="C72" s="213">
        <v>15</v>
      </c>
      <c r="D72" s="217" t="s">
        <v>20</v>
      </c>
      <c r="E72" s="69" t="s">
        <v>21</v>
      </c>
      <c r="F72" s="22">
        <f>'9B Sem 1'!E26</f>
        <v>85</v>
      </c>
      <c r="G72" s="22">
        <f>'9B Sem 1'!F26</f>
        <v>82</v>
      </c>
      <c r="H72" s="22">
        <f>'9B Sem 1'!G26</f>
        <v>69</v>
      </c>
      <c r="I72" s="22">
        <f>'9B Sem 1'!H26</f>
        <v>82</v>
      </c>
      <c r="J72" s="22">
        <f>'9B Sem 1'!I26</f>
        <v>80</v>
      </c>
      <c r="K72" s="22">
        <f>'9B Sem 1'!J26</f>
        <v>80</v>
      </c>
      <c r="L72" s="22">
        <f>'9B Sem 1'!K26</f>
        <v>92</v>
      </c>
      <c r="M72" s="22">
        <f>'9B Sem 1'!L26</f>
        <v>79</v>
      </c>
      <c r="N72" s="22">
        <f>'9B Sem 1'!M26</f>
        <v>95</v>
      </c>
      <c r="O72" s="22">
        <f>'9B Sem 1'!N26</f>
        <v>89</v>
      </c>
      <c r="P72" s="22">
        <f>'9B Sem 1'!O26</f>
        <v>85</v>
      </c>
      <c r="Q72" s="22">
        <f>'9B Sem 1'!P26</f>
        <v>87</v>
      </c>
      <c r="R72" s="22">
        <f>'9B Sem 1'!Q26</f>
        <v>71</v>
      </c>
      <c r="S72" s="22">
        <f>'9B Sem 1'!R26</f>
        <v>1076</v>
      </c>
      <c r="T72" s="192">
        <f>'9B Sem 1'!S26</f>
        <v>82.769230769230774</v>
      </c>
      <c r="U72" s="22">
        <f>'9B Sem 1'!T26</f>
        <v>9</v>
      </c>
      <c r="V72" s="36">
        <f>'9B Sem 1'!U26</f>
        <v>0</v>
      </c>
      <c r="W72" s="36">
        <f>'9B Sem 1'!V26</f>
        <v>0</v>
      </c>
      <c r="X72" s="5"/>
      <c r="Y72" s="5"/>
      <c r="Z72" s="5"/>
      <c r="AA72" s="5"/>
      <c r="AB72" s="5"/>
    </row>
    <row r="73" spans="1:28" ht="18.95" customHeight="1" thickBot="1" x14ac:dyDescent="0.3">
      <c r="A73" s="234"/>
      <c r="B73" s="218"/>
      <c r="C73" s="213">
        <v>15</v>
      </c>
      <c r="D73" s="217" t="s">
        <v>20</v>
      </c>
      <c r="E73" s="69" t="s">
        <v>22</v>
      </c>
      <c r="F73" s="22">
        <f>'9B Sem 2'!E26</f>
        <v>81</v>
      </c>
      <c r="G73" s="22">
        <f>'9B Sem 2'!F26</f>
        <v>80</v>
      </c>
      <c r="H73" s="22">
        <f>'9B Sem 2'!G26</f>
        <v>79</v>
      </c>
      <c r="I73" s="22">
        <f>'9B Sem 2'!H26</f>
        <v>79</v>
      </c>
      <c r="J73" s="22">
        <f>'9B Sem 2'!I26</f>
        <v>75</v>
      </c>
      <c r="K73" s="22">
        <f>'9B Sem 2'!J26</f>
        <v>91</v>
      </c>
      <c r="L73" s="22">
        <f>'9B Sem 2'!K26</f>
        <v>84</v>
      </c>
      <c r="M73" s="22">
        <f>'9B Sem 2'!L26</f>
        <v>91</v>
      </c>
      <c r="N73" s="22">
        <f>'9B Sem 2'!M26</f>
        <v>94</v>
      </c>
      <c r="O73" s="22">
        <f>'9B Sem 2'!N26</f>
        <v>88</v>
      </c>
      <c r="P73" s="22">
        <f>'9B Sem 2'!O26</f>
        <v>86</v>
      </c>
      <c r="Q73" s="22">
        <f>'9B Sem 2'!P26</f>
        <v>91</v>
      </c>
      <c r="R73" s="22">
        <f>'9B Sem 2'!Q26</f>
        <v>70</v>
      </c>
      <c r="S73" s="22">
        <f>'9B Sem 2'!R26</f>
        <v>1089</v>
      </c>
      <c r="T73" s="192">
        <f>'9B Sem 2'!S26</f>
        <v>83.769230769230774</v>
      </c>
      <c r="U73" s="22">
        <f>'9B Sem 2'!T26</f>
        <v>7</v>
      </c>
      <c r="V73" s="36">
        <f>'9B Sem 2'!U26</f>
        <v>0</v>
      </c>
      <c r="W73" s="36">
        <f>'9B Sem 2'!V26</f>
        <v>0</v>
      </c>
      <c r="X73" s="5"/>
      <c r="Y73" s="5"/>
      <c r="Z73" s="5"/>
      <c r="AA73" s="5"/>
      <c r="AB73" s="5"/>
    </row>
    <row r="74" spans="1:28" ht="18.95" customHeight="1" thickBot="1" x14ac:dyDescent="0.3">
      <c r="A74" s="234"/>
      <c r="B74" s="218"/>
      <c r="C74" s="213">
        <v>15</v>
      </c>
      <c r="D74" s="217" t="s">
        <v>20</v>
      </c>
      <c r="E74" s="69" t="s">
        <v>16</v>
      </c>
      <c r="F74" s="22">
        <f>AVERAGE(F72:F73)</f>
        <v>83</v>
      </c>
      <c r="G74" s="22">
        <f t="shared" ref="G74:W74" si="22">AVERAGE(G72:G73)</f>
        <v>81</v>
      </c>
      <c r="H74" s="22">
        <f t="shared" si="22"/>
        <v>74</v>
      </c>
      <c r="I74" s="22">
        <f t="shared" si="22"/>
        <v>80.5</v>
      </c>
      <c r="J74" s="22">
        <f t="shared" si="22"/>
        <v>77.5</v>
      </c>
      <c r="K74" s="22">
        <f t="shared" si="22"/>
        <v>85.5</v>
      </c>
      <c r="L74" s="22">
        <f t="shared" si="22"/>
        <v>88</v>
      </c>
      <c r="M74" s="22">
        <f t="shared" si="22"/>
        <v>85</v>
      </c>
      <c r="N74" s="22">
        <f t="shared" si="22"/>
        <v>94.5</v>
      </c>
      <c r="O74" s="22">
        <f t="shared" si="22"/>
        <v>88.5</v>
      </c>
      <c r="P74" s="22">
        <f t="shared" si="22"/>
        <v>85.5</v>
      </c>
      <c r="Q74" s="22">
        <f t="shared" si="22"/>
        <v>89</v>
      </c>
      <c r="R74" s="22">
        <f t="shared" si="22"/>
        <v>70.5</v>
      </c>
      <c r="S74" s="22">
        <f t="shared" si="22"/>
        <v>1082.5</v>
      </c>
      <c r="T74" s="192">
        <f t="shared" si="22"/>
        <v>83.269230769230774</v>
      </c>
      <c r="U74" s="22">
        <f>'9B Sem avr'!$H$26</f>
        <v>9</v>
      </c>
      <c r="V74" s="22">
        <f t="shared" si="22"/>
        <v>0</v>
      </c>
      <c r="W74" s="22">
        <f t="shared" si="22"/>
        <v>0</v>
      </c>
      <c r="X74" s="5"/>
      <c r="Y74" s="5"/>
      <c r="Z74" s="5"/>
      <c r="AA74" s="5"/>
      <c r="AB74" s="5"/>
    </row>
    <row r="75" spans="1:28" ht="18.95" customHeight="1" thickBot="1" x14ac:dyDescent="0.3">
      <c r="A75" s="241">
        <v>24</v>
      </c>
      <c r="B75" s="218"/>
      <c r="C75" s="213">
        <v>17</v>
      </c>
      <c r="D75" s="217" t="s">
        <v>23</v>
      </c>
      <c r="E75" s="69" t="s">
        <v>21</v>
      </c>
      <c r="F75" s="22">
        <f>'9B Sem 1'!E27</f>
        <v>61</v>
      </c>
      <c r="G75" s="22">
        <f>'9B Sem 1'!F27</f>
        <v>52</v>
      </c>
      <c r="H75" s="23">
        <f>'9B Sem 1'!G27</f>
        <v>47</v>
      </c>
      <c r="I75" s="23">
        <f>'9B Sem 1'!H27</f>
        <v>41</v>
      </c>
      <c r="J75" s="22">
        <f>'9B Sem 1'!I27</f>
        <v>41</v>
      </c>
      <c r="K75" s="23">
        <f>'9B Sem 1'!J27</f>
        <v>35</v>
      </c>
      <c r="L75" s="22">
        <f>'9B Sem 1'!K27</f>
        <v>48</v>
      </c>
      <c r="M75" s="22">
        <f>'9B Sem 1'!L27</f>
        <v>42</v>
      </c>
      <c r="N75" s="22">
        <f>'9B Sem 1'!M27</f>
        <v>50</v>
      </c>
      <c r="O75" s="22">
        <f>'9B Sem 1'!N27</f>
        <v>66</v>
      </c>
      <c r="P75" s="22">
        <f>'9B Sem 1'!O27</f>
        <v>60</v>
      </c>
      <c r="Q75" s="22">
        <f>'9B Sem 1'!P27</f>
        <v>85</v>
      </c>
      <c r="R75" s="22">
        <f>'9B Sem 1'!Q27</f>
        <v>94</v>
      </c>
      <c r="S75" s="22">
        <f>'9B Sem 1'!R27</f>
        <v>722</v>
      </c>
      <c r="T75" s="192">
        <f>'9B Sem 1'!S27</f>
        <v>55.53846153846154</v>
      </c>
      <c r="U75" s="22">
        <f>'9B Sem 1'!T27</f>
        <v>49</v>
      </c>
      <c r="V75" s="36">
        <f>'9B Sem 1'!U27</f>
        <v>0</v>
      </c>
      <c r="W75" s="36">
        <f>'9B Sem 1'!V27</f>
        <v>0</v>
      </c>
      <c r="X75" s="5"/>
      <c r="Y75" s="5"/>
      <c r="Z75" s="5"/>
      <c r="AA75" s="5"/>
      <c r="AB75" s="5"/>
    </row>
    <row r="76" spans="1:28" ht="18.95" customHeight="1" thickBot="1" x14ac:dyDescent="0.3">
      <c r="A76" s="241"/>
      <c r="B76" s="218"/>
      <c r="C76" s="213">
        <v>17</v>
      </c>
      <c r="D76" s="217" t="s">
        <v>23</v>
      </c>
      <c r="E76" s="69" t="s">
        <v>22</v>
      </c>
      <c r="F76" s="22">
        <f>'9B Sem 2'!E27</f>
        <v>59</v>
      </c>
      <c r="G76" s="22">
        <f>'9B Sem 2'!F27</f>
        <v>49</v>
      </c>
      <c r="H76" s="23">
        <f>'9B Sem 2'!G27</f>
        <v>44</v>
      </c>
      <c r="I76" s="23">
        <f>'9B Sem 2'!H27</f>
        <v>46</v>
      </c>
      <c r="J76" s="22">
        <f>'9B Sem 2'!I27</f>
        <v>38</v>
      </c>
      <c r="K76" s="23">
        <f>'9B Sem 2'!J27</f>
        <v>38</v>
      </c>
      <c r="L76" s="22">
        <f>'9B Sem 2'!K27</f>
        <v>31</v>
      </c>
      <c r="M76" s="22">
        <f>'9B Sem 2'!L27</f>
        <v>50</v>
      </c>
      <c r="N76" s="22">
        <f>'9B Sem 2'!M27</f>
        <v>56</v>
      </c>
      <c r="O76" s="22">
        <f>'9B Sem 2'!N27</f>
        <v>68</v>
      </c>
      <c r="P76" s="22">
        <f>'9B Sem 2'!O27</f>
        <v>53</v>
      </c>
      <c r="Q76" s="22">
        <f>'9B Sem 2'!P27</f>
        <v>78</v>
      </c>
      <c r="R76" s="22">
        <f>'9B Sem 2'!Q27</f>
        <v>98</v>
      </c>
      <c r="S76" s="22">
        <f>'9B Sem 2'!R27</f>
        <v>708</v>
      </c>
      <c r="T76" s="192">
        <f>'9B Sem 2'!S27</f>
        <v>54.46153846153846</v>
      </c>
      <c r="U76" s="22">
        <f>'9B Sem 2'!T27</f>
        <v>50</v>
      </c>
      <c r="V76" s="36">
        <f>'9B Sem 2'!U27</f>
        <v>0</v>
      </c>
      <c r="W76" s="36">
        <f>'9B Sem 2'!V27</f>
        <v>0</v>
      </c>
      <c r="X76" s="5"/>
      <c r="Y76" s="5"/>
      <c r="Z76" s="5"/>
      <c r="AA76" s="5"/>
      <c r="AB76" s="5"/>
    </row>
    <row r="77" spans="1:28" ht="18.95" customHeight="1" thickBot="1" x14ac:dyDescent="0.3">
      <c r="A77" s="241"/>
      <c r="B77" s="218"/>
      <c r="C77" s="213">
        <v>17</v>
      </c>
      <c r="D77" s="217" t="s">
        <v>23</v>
      </c>
      <c r="E77" s="69" t="s">
        <v>16</v>
      </c>
      <c r="F77" s="22">
        <f>AVERAGE(F75:F76)</f>
        <v>60</v>
      </c>
      <c r="G77" s="22">
        <f t="shared" ref="G77:W77" si="23">AVERAGE(G75:G76)</f>
        <v>50.5</v>
      </c>
      <c r="H77" s="22">
        <f t="shared" si="23"/>
        <v>45.5</v>
      </c>
      <c r="I77" s="22">
        <f t="shared" si="23"/>
        <v>43.5</v>
      </c>
      <c r="J77" s="22">
        <f t="shared" si="23"/>
        <v>39.5</v>
      </c>
      <c r="K77" s="22">
        <f t="shared" si="23"/>
        <v>36.5</v>
      </c>
      <c r="L77" s="22">
        <f t="shared" si="23"/>
        <v>39.5</v>
      </c>
      <c r="M77" s="22">
        <f t="shared" si="23"/>
        <v>46</v>
      </c>
      <c r="N77" s="22">
        <f t="shared" si="23"/>
        <v>53</v>
      </c>
      <c r="O77" s="22">
        <f t="shared" si="23"/>
        <v>67</v>
      </c>
      <c r="P77" s="22">
        <f t="shared" si="23"/>
        <v>56.5</v>
      </c>
      <c r="Q77" s="22">
        <f t="shared" si="23"/>
        <v>81.5</v>
      </c>
      <c r="R77" s="22">
        <f t="shared" si="23"/>
        <v>96</v>
      </c>
      <c r="S77" s="22">
        <f t="shared" si="23"/>
        <v>715</v>
      </c>
      <c r="T77" s="192">
        <f t="shared" si="23"/>
        <v>55</v>
      </c>
      <c r="U77" s="22">
        <f>'9B Sem avr'!$H$27</f>
        <v>48</v>
      </c>
      <c r="V77" s="22">
        <f t="shared" si="23"/>
        <v>0</v>
      </c>
      <c r="W77" s="22">
        <f t="shared" si="23"/>
        <v>0</v>
      </c>
      <c r="X77" s="5"/>
      <c r="Y77" s="5"/>
      <c r="Z77" s="5"/>
      <c r="AA77" s="5"/>
      <c r="AB77" s="5"/>
    </row>
    <row r="78" spans="1:28" ht="18.95" customHeight="1" thickBot="1" x14ac:dyDescent="0.3">
      <c r="A78" s="234">
        <v>25</v>
      </c>
      <c r="B78" s="218"/>
      <c r="C78" s="213">
        <v>15</v>
      </c>
      <c r="D78" s="217" t="s">
        <v>20</v>
      </c>
      <c r="E78" s="69" t="s">
        <v>21</v>
      </c>
      <c r="F78" s="22">
        <f>'9B Sem 1'!E28</f>
        <v>70</v>
      </c>
      <c r="G78" s="23">
        <f>'9B Sem 1'!F28</f>
        <v>62</v>
      </c>
      <c r="H78" s="23">
        <f>'9B Sem 1'!G28</f>
        <v>62</v>
      </c>
      <c r="I78" s="22">
        <f>'9B Sem 1'!H28</f>
        <v>49</v>
      </c>
      <c r="J78" s="23">
        <f>'9B Sem 1'!I28</f>
        <v>61</v>
      </c>
      <c r="K78" s="22">
        <f>'9B Sem 1'!J28</f>
        <v>55</v>
      </c>
      <c r="L78" s="22">
        <f>'9B Sem 1'!K28</f>
        <v>67</v>
      </c>
      <c r="M78" s="22">
        <f>'9B Sem 1'!L28</f>
        <v>57</v>
      </c>
      <c r="N78" s="22">
        <f>'9B Sem 1'!M28</f>
        <v>67</v>
      </c>
      <c r="O78" s="22">
        <f>'9B Sem 1'!N28</f>
        <v>69</v>
      </c>
      <c r="P78" s="22">
        <f>'9B Sem 1'!O28</f>
        <v>72</v>
      </c>
      <c r="Q78" s="22">
        <f>'9B Sem 1'!P28</f>
        <v>86</v>
      </c>
      <c r="R78" s="22">
        <f>'9B Sem 1'!Q28</f>
        <v>65</v>
      </c>
      <c r="S78" s="22">
        <f>'9B Sem 1'!R28</f>
        <v>842</v>
      </c>
      <c r="T78" s="192">
        <f>'9B Sem 1'!S28</f>
        <v>64.769230769230774</v>
      </c>
      <c r="U78" s="22">
        <f>'9B Sem 1'!T28</f>
        <v>35</v>
      </c>
      <c r="V78" s="36">
        <f>'9B Sem 1'!U28</f>
        <v>0</v>
      </c>
      <c r="W78" s="36">
        <f>'9B Sem 1'!V28</f>
        <v>0</v>
      </c>
      <c r="X78" s="5"/>
      <c r="Y78" s="5"/>
      <c r="Z78" s="5"/>
      <c r="AA78" s="5"/>
      <c r="AB78" s="5"/>
    </row>
    <row r="79" spans="1:28" ht="18.95" customHeight="1" thickBot="1" x14ac:dyDescent="0.3">
      <c r="A79" s="234"/>
      <c r="B79" s="218"/>
      <c r="C79" s="213">
        <v>15</v>
      </c>
      <c r="D79" s="217" t="s">
        <v>20</v>
      </c>
      <c r="E79" s="69" t="s">
        <v>22</v>
      </c>
      <c r="F79" s="22">
        <f>'9B Sem 2'!E28</f>
        <v>60</v>
      </c>
      <c r="G79" s="23">
        <f>'9B Sem 2'!F28</f>
        <v>58</v>
      </c>
      <c r="H79" s="23">
        <f>'9B Sem 2'!G28</f>
        <v>65</v>
      </c>
      <c r="I79" s="22">
        <f>'9B Sem 2'!H28</f>
        <v>53</v>
      </c>
      <c r="J79" s="23">
        <f>'9B Sem 2'!I28</f>
        <v>62</v>
      </c>
      <c r="K79" s="22">
        <f>'9B Sem 2'!J28</f>
        <v>66</v>
      </c>
      <c r="L79" s="22">
        <f>'9B Sem 2'!K28</f>
        <v>51</v>
      </c>
      <c r="M79" s="22">
        <f>'9B Sem 2'!L28</f>
        <v>65</v>
      </c>
      <c r="N79" s="22">
        <f>'9B Sem 2'!M28</f>
        <v>53</v>
      </c>
      <c r="O79" s="22">
        <f>'9B Sem 2'!N28</f>
        <v>74</v>
      </c>
      <c r="P79" s="22">
        <f>'9B Sem 2'!O28</f>
        <v>59</v>
      </c>
      <c r="Q79" s="22">
        <f>'9B Sem 2'!P28</f>
        <v>73</v>
      </c>
      <c r="R79" s="22">
        <f>'9B Sem 2'!Q28</f>
        <v>61</v>
      </c>
      <c r="S79" s="22">
        <f>'9B Sem 2'!R28</f>
        <v>800</v>
      </c>
      <c r="T79" s="192">
        <f>'9B Sem 2'!S28</f>
        <v>61.53846153846154</v>
      </c>
      <c r="U79" s="22">
        <f>'9B Sem 2'!T28</f>
        <v>42</v>
      </c>
      <c r="V79" s="36">
        <f>'9B Sem 2'!U28</f>
        <v>0</v>
      </c>
      <c r="W79" s="36">
        <f>'9B Sem 2'!V28</f>
        <v>0</v>
      </c>
      <c r="X79" s="5"/>
      <c r="Y79" s="5"/>
      <c r="Z79" s="5"/>
      <c r="AA79" s="5"/>
      <c r="AB79" s="5"/>
    </row>
    <row r="80" spans="1:28" ht="18.95" customHeight="1" thickBot="1" x14ac:dyDescent="0.3">
      <c r="A80" s="234"/>
      <c r="B80" s="218"/>
      <c r="C80" s="213">
        <v>15</v>
      </c>
      <c r="D80" s="217" t="s">
        <v>20</v>
      </c>
      <c r="E80" s="69" t="s">
        <v>16</v>
      </c>
      <c r="F80" s="22">
        <f>AVERAGE(F78:F79)</f>
        <v>65</v>
      </c>
      <c r="G80" s="22">
        <f t="shared" ref="G80:W80" si="24">AVERAGE(G78:G79)</f>
        <v>60</v>
      </c>
      <c r="H80" s="22">
        <f t="shared" si="24"/>
        <v>63.5</v>
      </c>
      <c r="I80" s="22">
        <f t="shared" si="24"/>
        <v>51</v>
      </c>
      <c r="J80" s="22">
        <f t="shared" si="24"/>
        <v>61.5</v>
      </c>
      <c r="K80" s="22">
        <f t="shared" si="24"/>
        <v>60.5</v>
      </c>
      <c r="L80" s="22">
        <f t="shared" si="24"/>
        <v>59</v>
      </c>
      <c r="M80" s="22">
        <f t="shared" si="24"/>
        <v>61</v>
      </c>
      <c r="N80" s="22">
        <f t="shared" si="24"/>
        <v>60</v>
      </c>
      <c r="O80" s="22">
        <f t="shared" si="24"/>
        <v>71.5</v>
      </c>
      <c r="P80" s="22">
        <f t="shared" si="24"/>
        <v>65.5</v>
      </c>
      <c r="Q80" s="22">
        <f t="shared" si="24"/>
        <v>79.5</v>
      </c>
      <c r="R80" s="22">
        <f t="shared" si="24"/>
        <v>63</v>
      </c>
      <c r="S80" s="22">
        <f t="shared" si="24"/>
        <v>821</v>
      </c>
      <c r="T80" s="192">
        <f t="shared" si="24"/>
        <v>63.15384615384616</v>
      </c>
      <c r="U80" s="22">
        <f>'9B Sem avr'!$H$28</f>
        <v>37</v>
      </c>
      <c r="V80" s="22">
        <f t="shared" si="24"/>
        <v>0</v>
      </c>
      <c r="W80" s="22">
        <f t="shared" si="24"/>
        <v>0</v>
      </c>
      <c r="X80" s="5"/>
      <c r="Y80" s="5"/>
      <c r="Z80" s="5"/>
      <c r="AA80" s="5"/>
      <c r="AB80" s="5"/>
    </row>
    <row r="81" spans="1:28" ht="18.95" customHeight="1" thickBot="1" x14ac:dyDescent="0.3">
      <c r="A81" s="241">
        <v>26</v>
      </c>
      <c r="B81" s="218"/>
      <c r="C81" s="247">
        <v>14</v>
      </c>
      <c r="D81" s="248" t="s">
        <v>20</v>
      </c>
      <c r="E81" s="69" t="s">
        <v>21</v>
      </c>
      <c r="F81" s="22">
        <f>'9B Sem 1'!E29</f>
        <v>72</v>
      </c>
      <c r="G81" s="22">
        <f>'9B Sem 1'!F29</f>
        <v>74</v>
      </c>
      <c r="H81" s="22">
        <f>'9B Sem 1'!G29</f>
        <v>66</v>
      </c>
      <c r="I81" s="22">
        <f>'9B Sem 1'!H29</f>
        <v>62</v>
      </c>
      <c r="J81" s="22">
        <f>'9B Sem 1'!I29</f>
        <v>60</v>
      </c>
      <c r="K81" s="22">
        <f>'9B Sem 1'!J29</f>
        <v>59</v>
      </c>
      <c r="L81" s="22">
        <f>'9B Sem 1'!K29</f>
        <v>60</v>
      </c>
      <c r="M81" s="22">
        <f>'9B Sem 1'!L29</f>
        <v>58</v>
      </c>
      <c r="N81" s="22">
        <f>'9B Sem 1'!M29</f>
        <v>71</v>
      </c>
      <c r="O81" s="22">
        <f>'9B Sem 1'!N29</f>
        <v>60</v>
      </c>
      <c r="P81" s="22">
        <f>'9B Sem 1'!O29</f>
        <v>60</v>
      </c>
      <c r="Q81" s="22">
        <f>'9B Sem 1'!P29</f>
        <v>87</v>
      </c>
      <c r="R81" s="22">
        <f>'9B Sem 1'!Q29</f>
        <v>63</v>
      </c>
      <c r="S81" s="22">
        <f>'9B Sem 1'!R29</f>
        <v>852</v>
      </c>
      <c r="T81" s="192">
        <f>'9B Sem 1'!S29</f>
        <v>65.538461538461533</v>
      </c>
      <c r="U81" s="22">
        <f>'9B Sem 1'!T29</f>
        <v>34</v>
      </c>
      <c r="V81" s="36">
        <f>'9B Sem 1'!U29</f>
        <v>0</v>
      </c>
      <c r="W81" s="36">
        <f>'9B Sem 1'!V29</f>
        <v>0</v>
      </c>
      <c r="X81" s="5"/>
      <c r="Y81" s="5"/>
      <c r="Z81" s="5"/>
      <c r="AA81" s="5"/>
      <c r="AB81" s="5"/>
    </row>
    <row r="82" spans="1:28" ht="18.95" customHeight="1" thickBot="1" x14ac:dyDescent="0.3">
      <c r="A82" s="241"/>
      <c r="B82" s="218"/>
      <c r="C82" s="247">
        <v>14</v>
      </c>
      <c r="D82" s="248" t="s">
        <v>20</v>
      </c>
      <c r="E82" s="69" t="s">
        <v>22</v>
      </c>
      <c r="F82" s="22">
        <f>'9B Sem 2'!E29</f>
        <v>75</v>
      </c>
      <c r="G82" s="22">
        <f>'9B Sem 2'!F29</f>
        <v>67</v>
      </c>
      <c r="H82" s="22">
        <f>'9B Sem 2'!G29</f>
        <v>61</v>
      </c>
      <c r="I82" s="22">
        <f>'9B Sem 2'!H29</f>
        <v>65</v>
      </c>
      <c r="J82" s="22">
        <f>'9B Sem 2'!I29</f>
        <v>49</v>
      </c>
      <c r="K82" s="22">
        <f>'9B Sem 2'!J29</f>
        <v>61</v>
      </c>
      <c r="L82" s="22">
        <f>'9B Sem 2'!K29</f>
        <v>54</v>
      </c>
      <c r="M82" s="22">
        <f>'9B Sem 2'!L29</f>
        <v>70</v>
      </c>
      <c r="N82" s="22">
        <f>'9B Sem 2'!M29</f>
        <v>71</v>
      </c>
      <c r="O82" s="22">
        <f>'9B Sem 2'!N29</f>
        <v>72</v>
      </c>
      <c r="P82" s="22">
        <f>'9B Sem 2'!O29</f>
        <v>50</v>
      </c>
      <c r="Q82" s="22">
        <f>'9B Sem 2'!P29</f>
        <v>90</v>
      </c>
      <c r="R82" s="22">
        <f>'9B Sem 2'!Q29</f>
        <v>66</v>
      </c>
      <c r="S82" s="22">
        <f>'9B Sem 2'!R29</f>
        <v>851</v>
      </c>
      <c r="T82" s="192">
        <f>'9B Sem 2'!S29</f>
        <v>65.461538461538467</v>
      </c>
      <c r="U82" s="22">
        <f>'9B Sem 2'!T29</f>
        <v>36</v>
      </c>
      <c r="V82" s="36">
        <f>'9B Sem 2'!U29</f>
        <v>0</v>
      </c>
      <c r="W82" s="36">
        <f>'9B Sem 2'!V29</f>
        <v>0</v>
      </c>
      <c r="X82" s="5"/>
      <c r="Y82" s="5"/>
      <c r="Z82" s="5"/>
      <c r="AA82" s="5"/>
      <c r="AB82" s="5"/>
    </row>
    <row r="83" spans="1:28" ht="18.95" customHeight="1" thickBot="1" x14ac:dyDescent="0.3">
      <c r="A83" s="241"/>
      <c r="B83" s="218"/>
      <c r="C83" s="247">
        <v>14</v>
      </c>
      <c r="D83" s="248" t="s">
        <v>20</v>
      </c>
      <c r="E83" s="69" t="s">
        <v>16</v>
      </c>
      <c r="F83" s="22">
        <f>AVERAGE(F81:F82)</f>
        <v>73.5</v>
      </c>
      <c r="G83" s="22">
        <f t="shared" ref="G83:W83" si="25">AVERAGE(G81:G82)</f>
        <v>70.5</v>
      </c>
      <c r="H83" s="22">
        <f t="shared" si="25"/>
        <v>63.5</v>
      </c>
      <c r="I83" s="22">
        <f t="shared" si="25"/>
        <v>63.5</v>
      </c>
      <c r="J83" s="22">
        <f t="shared" si="25"/>
        <v>54.5</v>
      </c>
      <c r="K83" s="22">
        <f t="shared" si="25"/>
        <v>60</v>
      </c>
      <c r="L83" s="22">
        <f t="shared" si="25"/>
        <v>57</v>
      </c>
      <c r="M83" s="22">
        <f t="shared" si="25"/>
        <v>64</v>
      </c>
      <c r="N83" s="22">
        <f t="shared" si="25"/>
        <v>71</v>
      </c>
      <c r="O83" s="22">
        <f t="shared" si="25"/>
        <v>66</v>
      </c>
      <c r="P83" s="22">
        <f t="shared" si="25"/>
        <v>55</v>
      </c>
      <c r="Q83" s="22">
        <f t="shared" si="25"/>
        <v>88.5</v>
      </c>
      <c r="R83" s="22">
        <f t="shared" si="25"/>
        <v>64.5</v>
      </c>
      <c r="S83" s="22">
        <f t="shared" si="25"/>
        <v>851.5</v>
      </c>
      <c r="T83" s="192">
        <f t="shared" si="25"/>
        <v>65.5</v>
      </c>
      <c r="U83" s="22">
        <f>'9B Sem avr'!$H$29</f>
        <v>34</v>
      </c>
      <c r="V83" s="22">
        <f t="shared" si="25"/>
        <v>0</v>
      </c>
      <c r="W83" s="22">
        <f t="shared" si="25"/>
        <v>0</v>
      </c>
      <c r="X83" s="5"/>
      <c r="Y83" s="5"/>
      <c r="Z83" s="5"/>
      <c r="AA83" s="5"/>
      <c r="AB83" s="5"/>
    </row>
    <row r="84" spans="1:28" ht="18.95" customHeight="1" thickBot="1" x14ac:dyDescent="0.3">
      <c r="A84" s="241">
        <v>27</v>
      </c>
      <c r="B84" s="218"/>
      <c r="C84" s="213">
        <v>14</v>
      </c>
      <c r="D84" s="217" t="s">
        <v>20</v>
      </c>
      <c r="E84" s="69" t="s">
        <v>21</v>
      </c>
      <c r="F84" s="22">
        <f>'9B Sem 1'!E30</f>
        <v>90</v>
      </c>
      <c r="G84" s="22">
        <f>'9B Sem 1'!F30</f>
        <v>94</v>
      </c>
      <c r="H84" s="23">
        <f>'9B Sem 1'!G30</f>
        <v>99</v>
      </c>
      <c r="I84" s="22">
        <f>'9B Sem 1'!H30</f>
        <v>99</v>
      </c>
      <c r="J84" s="22">
        <f>'9B Sem 1'!I30</f>
        <v>97</v>
      </c>
      <c r="K84" s="22">
        <f>'9B Sem 1'!J30</f>
        <v>98</v>
      </c>
      <c r="L84" s="22">
        <f>'9B Sem 1'!K30</f>
        <v>95</v>
      </c>
      <c r="M84" s="22">
        <f>'9B Sem 1'!L30</f>
        <v>97</v>
      </c>
      <c r="N84" s="22">
        <f>'9B Sem 1'!M30</f>
        <v>97</v>
      </c>
      <c r="O84" s="22">
        <f>'9B Sem 1'!N30</f>
        <v>100</v>
      </c>
      <c r="P84" s="22">
        <f>'9B Sem 1'!O30</f>
        <v>94</v>
      </c>
      <c r="Q84" s="22">
        <f>'9B Sem 1'!P30</f>
        <v>93</v>
      </c>
      <c r="R84" s="22">
        <f>'9B Sem 1'!Q30</f>
        <v>98</v>
      </c>
      <c r="S84" s="22">
        <f>'9B Sem 1'!R30</f>
        <v>1251</v>
      </c>
      <c r="T84" s="192">
        <f>'9B Sem 1'!S30</f>
        <v>96.230769230769226</v>
      </c>
      <c r="U84" s="22">
        <f>'9B Sem 1'!T30</f>
        <v>2</v>
      </c>
      <c r="V84" s="36">
        <f>'9B Sem 1'!U30</f>
        <v>0</v>
      </c>
      <c r="W84" s="36">
        <f>'9B Sem 1'!V30</f>
        <v>0</v>
      </c>
      <c r="X84" s="5"/>
      <c r="Y84" s="5"/>
      <c r="Z84" s="5"/>
      <c r="AA84" s="5"/>
      <c r="AB84" s="5"/>
    </row>
    <row r="85" spans="1:28" ht="18.95" customHeight="1" thickBot="1" x14ac:dyDescent="0.3">
      <c r="A85" s="241"/>
      <c r="B85" s="218"/>
      <c r="C85" s="213">
        <v>14</v>
      </c>
      <c r="D85" s="217" t="s">
        <v>20</v>
      </c>
      <c r="E85" s="69" t="s">
        <v>22</v>
      </c>
      <c r="F85" s="22">
        <f>'9B Sem 2'!E30</f>
        <v>93</v>
      </c>
      <c r="G85" s="22">
        <f>'9B Sem 2'!F30</f>
        <v>94</v>
      </c>
      <c r="H85" s="23">
        <f>'9B Sem 2'!G30</f>
        <v>99</v>
      </c>
      <c r="I85" s="22">
        <f>'9B Sem 2'!H30</f>
        <v>95</v>
      </c>
      <c r="J85" s="22">
        <f>'9B Sem 2'!I30</f>
        <v>100</v>
      </c>
      <c r="K85" s="22">
        <f>'9B Sem 2'!J30</f>
        <v>100</v>
      </c>
      <c r="L85" s="22">
        <f>'9B Sem 2'!K30</f>
        <v>91</v>
      </c>
      <c r="M85" s="22">
        <f>'9B Sem 2'!L30</f>
        <v>99</v>
      </c>
      <c r="N85" s="22">
        <f>'9B Sem 2'!M30</f>
        <v>96</v>
      </c>
      <c r="O85" s="22">
        <f>'9B Sem 2'!N30</f>
        <v>93</v>
      </c>
      <c r="P85" s="22">
        <f>'9B Sem 2'!O30</f>
        <v>96</v>
      </c>
      <c r="Q85" s="22">
        <f>'9B Sem 2'!P30</f>
        <v>100</v>
      </c>
      <c r="R85" s="22">
        <f>'9B Sem 2'!Q30</f>
        <v>88</v>
      </c>
      <c r="S85" s="22">
        <f>'9B Sem 2'!R30</f>
        <v>1244</v>
      </c>
      <c r="T85" s="192">
        <f>'9B Sem 2'!S30</f>
        <v>95.692307692307693</v>
      </c>
      <c r="U85" s="22">
        <f>'9B Sem 2'!T30</f>
        <v>2</v>
      </c>
      <c r="V85" s="36">
        <f>'9B Sem 2'!U30</f>
        <v>0</v>
      </c>
      <c r="W85" s="36">
        <f>'9B Sem 2'!V30</f>
        <v>0</v>
      </c>
      <c r="X85" s="5"/>
      <c r="Y85" s="5"/>
      <c r="Z85" s="5"/>
      <c r="AA85" s="5"/>
      <c r="AB85" s="5"/>
    </row>
    <row r="86" spans="1:28" ht="18.95" customHeight="1" thickBot="1" x14ac:dyDescent="0.3">
      <c r="A86" s="241"/>
      <c r="B86" s="218"/>
      <c r="C86" s="213">
        <v>14</v>
      </c>
      <c r="D86" s="217" t="s">
        <v>20</v>
      </c>
      <c r="E86" s="69" t="s">
        <v>16</v>
      </c>
      <c r="F86" s="22">
        <f>AVERAGE(F84:F85)</f>
        <v>91.5</v>
      </c>
      <c r="G86" s="22">
        <f t="shared" ref="G86:W86" si="26">AVERAGE(G84:G85)</f>
        <v>94</v>
      </c>
      <c r="H86" s="22">
        <f t="shared" si="26"/>
        <v>99</v>
      </c>
      <c r="I86" s="22">
        <f t="shared" si="26"/>
        <v>97</v>
      </c>
      <c r="J86" s="22">
        <f t="shared" si="26"/>
        <v>98.5</v>
      </c>
      <c r="K86" s="22">
        <f t="shared" si="26"/>
        <v>99</v>
      </c>
      <c r="L86" s="22">
        <f t="shared" si="26"/>
        <v>93</v>
      </c>
      <c r="M86" s="22">
        <f t="shared" si="26"/>
        <v>98</v>
      </c>
      <c r="N86" s="22">
        <f t="shared" si="26"/>
        <v>96.5</v>
      </c>
      <c r="O86" s="22">
        <f t="shared" si="26"/>
        <v>96.5</v>
      </c>
      <c r="P86" s="22">
        <f t="shared" si="26"/>
        <v>95</v>
      </c>
      <c r="Q86" s="22">
        <f t="shared" si="26"/>
        <v>96.5</v>
      </c>
      <c r="R86" s="22">
        <f t="shared" si="26"/>
        <v>93</v>
      </c>
      <c r="S86" s="22">
        <f t="shared" si="26"/>
        <v>1247.5</v>
      </c>
      <c r="T86" s="192">
        <f t="shared" si="26"/>
        <v>95.961538461538453</v>
      </c>
      <c r="U86" s="22">
        <f>'9B Sem avr'!$H$30</f>
        <v>2</v>
      </c>
      <c r="V86" s="22">
        <f t="shared" si="26"/>
        <v>0</v>
      </c>
      <c r="W86" s="22">
        <f t="shared" si="26"/>
        <v>0</v>
      </c>
      <c r="X86" s="5"/>
      <c r="Y86" s="5"/>
      <c r="Z86" s="5"/>
      <c r="AA86" s="5"/>
      <c r="AB86" s="5"/>
    </row>
    <row r="87" spans="1:28" ht="18.95" customHeight="1" thickBot="1" x14ac:dyDescent="0.3">
      <c r="A87" s="241">
        <v>28</v>
      </c>
      <c r="B87" s="234"/>
      <c r="C87" s="247">
        <v>15</v>
      </c>
      <c r="D87" s="248" t="s">
        <v>23</v>
      </c>
      <c r="E87" s="69" t="s">
        <v>21</v>
      </c>
      <c r="F87" s="22">
        <f>'9B Sem 1'!E31</f>
        <v>83</v>
      </c>
      <c r="G87" s="22">
        <f>'9B Sem 1'!F31</f>
        <v>41</v>
      </c>
      <c r="H87" s="22">
        <f>'9B Sem 1'!G31</f>
        <v>58</v>
      </c>
      <c r="I87" s="22">
        <f>'9B Sem 1'!H31</f>
        <v>40</v>
      </c>
      <c r="J87" s="22">
        <f>'9B Sem 1'!I31</f>
        <v>59</v>
      </c>
      <c r="K87" s="22">
        <f>'9B Sem 1'!J31</f>
        <v>50</v>
      </c>
      <c r="L87" s="22">
        <f>'9B Sem 1'!K31</f>
        <v>65</v>
      </c>
      <c r="M87" s="22">
        <f>'9B Sem 1'!L31</f>
        <v>60</v>
      </c>
      <c r="N87" s="22">
        <f>'9B Sem 1'!M31</f>
        <v>67</v>
      </c>
      <c r="O87" s="22">
        <f>'9B Sem 1'!N31</f>
        <v>64</v>
      </c>
      <c r="P87" s="22">
        <f>'9B Sem 1'!O31</f>
        <v>68</v>
      </c>
      <c r="Q87" s="22">
        <f>'9B Sem 1'!P31</f>
        <v>82</v>
      </c>
      <c r="R87" s="22">
        <f>'9B Sem 1'!Q31</f>
        <v>52</v>
      </c>
      <c r="S87" s="22">
        <f>'9B Sem 1'!R31</f>
        <v>789</v>
      </c>
      <c r="T87" s="192">
        <f>'9B Sem 1'!S31</f>
        <v>60.692307692307693</v>
      </c>
      <c r="U87" s="22">
        <f>'9B Sem 1'!T31</f>
        <v>42</v>
      </c>
      <c r="V87" s="36">
        <f>'9B Sem 1'!U31</f>
        <v>0</v>
      </c>
      <c r="W87" s="36">
        <f>'9B Sem 1'!V31</f>
        <v>0</v>
      </c>
      <c r="X87" s="5"/>
      <c r="Y87" s="5"/>
      <c r="Z87" s="5"/>
      <c r="AA87" s="5"/>
      <c r="AB87" s="5"/>
    </row>
    <row r="88" spans="1:28" ht="18.95" customHeight="1" thickBot="1" x14ac:dyDescent="0.3">
      <c r="A88" s="241"/>
      <c r="B88" s="234"/>
      <c r="C88" s="247">
        <v>15</v>
      </c>
      <c r="D88" s="248" t="s">
        <v>23</v>
      </c>
      <c r="E88" s="69" t="s">
        <v>22</v>
      </c>
      <c r="F88" s="22">
        <f>'9B Sem 2'!E31</f>
        <v>82</v>
      </c>
      <c r="G88" s="22">
        <f>'9B Sem 2'!F31</f>
        <v>49</v>
      </c>
      <c r="H88" s="22">
        <f>'9B Sem 2'!G31</f>
        <v>57</v>
      </c>
      <c r="I88" s="22">
        <f>'9B Sem 2'!H31</f>
        <v>55</v>
      </c>
      <c r="J88" s="22">
        <f>'9B Sem 2'!I31</f>
        <v>54</v>
      </c>
      <c r="K88" s="22">
        <f>'9B Sem 2'!J31</f>
        <v>67</v>
      </c>
      <c r="L88" s="22">
        <f>'9B Sem 2'!K31</f>
        <v>65</v>
      </c>
      <c r="M88" s="22">
        <f>'9B Sem 2'!L31</f>
        <v>72</v>
      </c>
      <c r="N88" s="22">
        <f>'9B Sem 2'!M31</f>
        <v>69</v>
      </c>
      <c r="O88" s="22">
        <f>'9B Sem 2'!N31</f>
        <v>76</v>
      </c>
      <c r="P88" s="22">
        <f>'9B Sem 2'!O31</f>
        <v>65</v>
      </c>
      <c r="Q88" s="22">
        <f>'9B Sem 2'!P31</f>
        <v>86</v>
      </c>
      <c r="R88" s="22">
        <f>'9B Sem 2'!Q31</f>
        <v>50</v>
      </c>
      <c r="S88" s="22">
        <f>'9B Sem 2'!R31</f>
        <v>847</v>
      </c>
      <c r="T88" s="192">
        <f>'9B Sem 2'!S31</f>
        <v>65.15384615384616</v>
      </c>
      <c r="U88" s="22">
        <f>'9B Sem 2'!T31</f>
        <v>37</v>
      </c>
      <c r="V88" s="36">
        <f>'9B Sem 2'!U31</f>
        <v>0</v>
      </c>
      <c r="W88" s="36">
        <f>'9B Sem 2'!V31</f>
        <v>0</v>
      </c>
      <c r="X88" s="5"/>
      <c r="Y88" s="5"/>
      <c r="Z88" s="5"/>
      <c r="AA88" s="5"/>
      <c r="AB88" s="5"/>
    </row>
    <row r="89" spans="1:28" ht="18.95" customHeight="1" thickBot="1" x14ac:dyDescent="0.3">
      <c r="A89" s="241"/>
      <c r="B89" s="234"/>
      <c r="C89" s="247">
        <v>15</v>
      </c>
      <c r="D89" s="248" t="s">
        <v>23</v>
      </c>
      <c r="E89" s="69" t="s">
        <v>16</v>
      </c>
      <c r="F89" s="22">
        <f>AVERAGE(F87:F88)</f>
        <v>82.5</v>
      </c>
      <c r="G89" s="22">
        <f t="shared" ref="G89:W89" si="27">AVERAGE(G87:G88)</f>
        <v>45</v>
      </c>
      <c r="H89" s="22">
        <f t="shared" si="27"/>
        <v>57.5</v>
      </c>
      <c r="I89" s="22">
        <f t="shared" si="27"/>
        <v>47.5</v>
      </c>
      <c r="J89" s="22">
        <f t="shared" si="27"/>
        <v>56.5</v>
      </c>
      <c r="K89" s="22">
        <f t="shared" si="27"/>
        <v>58.5</v>
      </c>
      <c r="L89" s="22">
        <f t="shared" si="27"/>
        <v>65</v>
      </c>
      <c r="M89" s="22">
        <f t="shared" si="27"/>
        <v>66</v>
      </c>
      <c r="N89" s="22">
        <f t="shared" si="27"/>
        <v>68</v>
      </c>
      <c r="O89" s="22">
        <f t="shared" si="27"/>
        <v>70</v>
      </c>
      <c r="P89" s="22">
        <f t="shared" si="27"/>
        <v>66.5</v>
      </c>
      <c r="Q89" s="22">
        <f t="shared" si="27"/>
        <v>84</v>
      </c>
      <c r="R89" s="22">
        <f t="shared" si="27"/>
        <v>51</v>
      </c>
      <c r="S89" s="22">
        <f t="shared" si="27"/>
        <v>818</v>
      </c>
      <c r="T89" s="192">
        <f t="shared" si="27"/>
        <v>62.923076923076927</v>
      </c>
      <c r="U89" s="22">
        <f>'9B Sem avr'!$H$31</f>
        <v>38</v>
      </c>
      <c r="V89" s="22">
        <f t="shared" si="27"/>
        <v>0</v>
      </c>
      <c r="W89" s="22">
        <f t="shared" si="27"/>
        <v>0</v>
      </c>
      <c r="X89" s="5"/>
      <c r="Y89" s="5"/>
      <c r="Z89" s="5"/>
      <c r="AA89" s="5"/>
      <c r="AB89" s="5"/>
    </row>
    <row r="90" spans="1:28" ht="18.95" customHeight="1" thickBot="1" x14ac:dyDescent="0.3">
      <c r="A90" s="234">
        <v>29</v>
      </c>
      <c r="B90" s="218"/>
      <c r="C90" s="213">
        <v>14</v>
      </c>
      <c r="D90" s="217" t="s">
        <v>23</v>
      </c>
      <c r="E90" s="69" t="s">
        <v>21</v>
      </c>
      <c r="F90" s="22">
        <f>'9B Sem 1'!E32</f>
        <v>69</v>
      </c>
      <c r="G90" s="22">
        <f>'9B Sem 1'!F32</f>
        <v>60</v>
      </c>
      <c r="H90" s="22">
        <f>'9B Sem 1'!G32</f>
        <v>54</v>
      </c>
      <c r="I90" s="22">
        <f>'9B Sem 1'!H32</f>
        <v>51</v>
      </c>
      <c r="J90" s="22">
        <f>'9B Sem 1'!I32</f>
        <v>49</v>
      </c>
      <c r="K90" s="22">
        <f>'9B Sem 1'!J32</f>
        <v>44</v>
      </c>
      <c r="L90" s="22">
        <f>'9B Sem 1'!K32</f>
        <v>62</v>
      </c>
      <c r="M90" s="22">
        <f>'9B Sem 1'!L32</f>
        <v>48</v>
      </c>
      <c r="N90" s="22">
        <f>'9B Sem 1'!M32</f>
        <v>61</v>
      </c>
      <c r="O90" s="22">
        <f>'9B Sem 1'!N32</f>
        <v>66</v>
      </c>
      <c r="P90" s="22">
        <f>'9B Sem 1'!O32</f>
        <v>62</v>
      </c>
      <c r="Q90" s="22">
        <f>'9B Sem 1'!P32</f>
        <v>89</v>
      </c>
      <c r="R90" s="22">
        <f>'9B Sem 1'!Q32</f>
        <v>66</v>
      </c>
      <c r="S90" s="22">
        <f>'9B Sem 1'!R32</f>
        <v>781</v>
      </c>
      <c r="T90" s="192">
        <f>'9B Sem 1'!S32</f>
        <v>60.07692307692308</v>
      </c>
      <c r="U90" s="22">
        <f>'9B Sem 1'!T32</f>
        <v>43</v>
      </c>
      <c r="V90" s="36">
        <f>'9B Sem 1'!U32</f>
        <v>0</v>
      </c>
      <c r="W90" s="36">
        <f>'9B Sem 1'!V32</f>
        <v>0</v>
      </c>
      <c r="X90" s="5"/>
      <c r="Y90" s="5"/>
      <c r="Z90" s="5"/>
      <c r="AA90" s="5"/>
      <c r="AB90" s="5"/>
    </row>
    <row r="91" spans="1:28" ht="18.95" customHeight="1" thickBot="1" x14ac:dyDescent="0.3">
      <c r="A91" s="234"/>
      <c r="B91" s="218"/>
      <c r="C91" s="213">
        <v>14</v>
      </c>
      <c r="D91" s="217" t="s">
        <v>23</v>
      </c>
      <c r="E91" s="69" t="s">
        <v>22</v>
      </c>
      <c r="F91" s="22">
        <f>'9B Sem 2'!E32</f>
        <v>84</v>
      </c>
      <c r="G91" s="22">
        <f>'9B Sem 2'!F32</f>
        <v>58</v>
      </c>
      <c r="H91" s="22">
        <f>'9B Sem 2'!G32</f>
        <v>62</v>
      </c>
      <c r="I91" s="22">
        <f>'9B Sem 2'!H32</f>
        <v>52</v>
      </c>
      <c r="J91" s="22">
        <f>'9B Sem 2'!I32</f>
        <v>53</v>
      </c>
      <c r="K91" s="22">
        <f>'9B Sem 2'!J32</f>
        <v>50</v>
      </c>
      <c r="L91" s="22">
        <f>'9B Sem 2'!K32</f>
        <v>54</v>
      </c>
      <c r="M91" s="22">
        <f>'9B Sem 2'!L32</f>
        <v>55</v>
      </c>
      <c r="N91" s="22">
        <f>'9B Sem 2'!M32</f>
        <v>60</v>
      </c>
      <c r="O91" s="22">
        <f>'9B Sem 2'!N32</f>
        <v>69</v>
      </c>
      <c r="P91" s="22">
        <f>'9B Sem 2'!O32</f>
        <v>69</v>
      </c>
      <c r="Q91" s="22">
        <f>'9B Sem 2'!P32</f>
        <v>78</v>
      </c>
      <c r="R91" s="22">
        <f>'9B Sem 2'!Q32</f>
        <v>58</v>
      </c>
      <c r="S91" s="22">
        <f>'9B Sem 2'!R32</f>
        <v>802</v>
      </c>
      <c r="T91" s="192">
        <f>'9B Sem 2'!S32</f>
        <v>61.692307692307693</v>
      </c>
      <c r="U91" s="22">
        <f>'9B Sem 2'!T32</f>
        <v>41</v>
      </c>
      <c r="V91" s="36">
        <f>'9B Sem 2'!U32</f>
        <v>0</v>
      </c>
      <c r="W91" s="36">
        <f>'9B Sem 2'!V32</f>
        <v>0</v>
      </c>
      <c r="X91" s="5"/>
      <c r="Y91" s="5"/>
      <c r="Z91" s="5"/>
      <c r="AA91" s="5"/>
      <c r="AB91" s="5"/>
    </row>
    <row r="92" spans="1:28" ht="18.95" customHeight="1" thickBot="1" x14ac:dyDescent="0.3">
      <c r="A92" s="234"/>
      <c r="B92" s="218"/>
      <c r="C92" s="213">
        <v>14</v>
      </c>
      <c r="D92" s="217" t="s">
        <v>23</v>
      </c>
      <c r="E92" s="69" t="s">
        <v>16</v>
      </c>
      <c r="F92" s="22">
        <f>AVERAGE(F90:F91)</f>
        <v>76.5</v>
      </c>
      <c r="G92" s="22">
        <f t="shared" ref="G92:W92" si="28">AVERAGE(G90:G91)</f>
        <v>59</v>
      </c>
      <c r="H92" s="22">
        <f t="shared" si="28"/>
        <v>58</v>
      </c>
      <c r="I92" s="22">
        <f t="shared" si="28"/>
        <v>51.5</v>
      </c>
      <c r="J92" s="22">
        <f t="shared" si="28"/>
        <v>51</v>
      </c>
      <c r="K92" s="22">
        <f t="shared" si="28"/>
        <v>47</v>
      </c>
      <c r="L92" s="22">
        <f t="shared" si="28"/>
        <v>58</v>
      </c>
      <c r="M92" s="22">
        <f t="shared" si="28"/>
        <v>51.5</v>
      </c>
      <c r="N92" s="22">
        <f t="shared" si="28"/>
        <v>60.5</v>
      </c>
      <c r="O92" s="22">
        <f t="shared" si="28"/>
        <v>67.5</v>
      </c>
      <c r="P92" s="22">
        <f t="shared" si="28"/>
        <v>65.5</v>
      </c>
      <c r="Q92" s="22">
        <f t="shared" si="28"/>
        <v>83.5</v>
      </c>
      <c r="R92" s="22">
        <f t="shared" si="28"/>
        <v>62</v>
      </c>
      <c r="S92" s="22">
        <f t="shared" si="28"/>
        <v>791.5</v>
      </c>
      <c r="T92" s="192">
        <f t="shared" si="28"/>
        <v>60.884615384615387</v>
      </c>
      <c r="U92" s="22">
        <f>'9B Sem avr'!$H$32</f>
        <v>42</v>
      </c>
      <c r="V92" s="22">
        <f t="shared" si="28"/>
        <v>0</v>
      </c>
      <c r="W92" s="22">
        <f t="shared" si="28"/>
        <v>0</v>
      </c>
      <c r="X92" s="5"/>
      <c r="Y92" s="5"/>
      <c r="Z92" s="5"/>
      <c r="AA92" s="5"/>
      <c r="AB92" s="5"/>
    </row>
    <row r="93" spans="1:28" ht="18.95" customHeight="1" thickBot="1" x14ac:dyDescent="0.3">
      <c r="A93" s="241">
        <v>30</v>
      </c>
      <c r="B93" s="218"/>
      <c r="C93" s="213">
        <v>14</v>
      </c>
      <c r="D93" s="217" t="s">
        <v>23</v>
      </c>
      <c r="E93" s="69" t="s">
        <v>21</v>
      </c>
      <c r="F93" s="22">
        <f>'9B Sem 1'!E33</f>
        <v>79</v>
      </c>
      <c r="G93" s="23">
        <f>'9B Sem 1'!F33</f>
        <v>61</v>
      </c>
      <c r="H93" s="23">
        <f>'9B Sem 1'!G33</f>
        <v>56</v>
      </c>
      <c r="I93" s="23">
        <f>'9B Sem 1'!H33</f>
        <v>53</v>
      </c>
      <c r="J93" s="22">
        <f>'9B Sem 1'!I33</f>
        <v>47</v>
      </c>
      <c r="K93" s="22">
        <f>'9B Sem 1'!J33</f>
        <v>50</v>
      </c>
      <c r="L93" s="22">
        <f>'9B Sem 1'!K33</f>
        <v>66</v>
      </c>
      <c r="M93" s="22">
        <f>'9B Sem 1'!L33</f>
        <v>52</v>
      </c>
      <c r="N93" s="22">
        <f>'9B Sem 1'!M33</f>
        <v>68</v>
      </c>
      <c r="O93" s="22">
        <f>'9B Sem 1'!N33</f>
        <v>72</v>
      </c>
      <c r="P93" s="23">
        <f>'9B Sem 1'!O33</f>
        <v>56</v>
      </c>
      <c r="Q93" s="23">
        <f>'9B Sem 1'!P33</f>
        <v>92</v>
      </c>
      <c r="R93" s="23">
        <f>'9B Sem 1'!Q33</f>
        <v>57</v>
      </c>
      <c r="S93" s="22">
        <f>'9B Sem 1'!R33</f>
        <v>809</v>
      </c>
      <c r="T93" s="192">
        <f>'9B Sem 1'!S33</f>
        <v>62.230769230769234</v>
      </c>
      <c r="U93" s="22">
        <f>'9B Sem 1'!T33</f>
        <v>37</v>
      </c>
      <c r="V93" s="36">
        <f>'9B Sem 1'!U33</f>
        <v>0</v>
      </c>
      <c r="W93" s="36">
        <f>'9B Sem 1'!V33</f>
        <v>0</v>
      </c>
      <c r="X93" s="5"/>
      <c r="Y93" s="5"/>
      <c r="Z93" s="5"/>
      <c r="AA93" s="5"/>
      <c r="AB93" s="5"/>
    </row>
    <row r="94" spans="1:28" ht="18.95" customHeight="1" thickBot="1" x14ac:dyDescent="0.3">
      <c r="A94" s="241"/>
      <c r="B94" s="218"/>
      <c r="C94" s="213">
        <v>14</v>
      </c>
      <c r="D94" s="217" t="s">
        <v>23</v>
      </c>
      <c r="E94" s="69" t="s">
        <v>22</v>
      </c>
      <c r="F94" s="22">
        <f>'9B Sem 2'!E33</f>
        <v>81</v>
      </c>
      <c r="G94" s="23">
        <f>'9B Sem 2'!F33</f>
        <v>59</v>
      </c>
      <c r="H94" s="23">
        <f>'9B Sem 2'!G33</f>
        <v>62</v>
      </c>
      <c r="I94" s="23">
        <f>'9B Sem 2'!H33</f>
        <v>50</v>
      </c>
      <c r="J94" s="22">
        <f>'9B Sem 2'!I33</f>
        <v>48</v>
      </c>
      <c r="K94" s="22">
        <f>'9B Sem 2'!J33</f>
        <v>53</v>
      </c>
      <c r="L94" s="22">
        <f>'9B Sem 2'!K33</f>
        <v>57</v>
      </c>
      <c r="M94" s="22">
        <f>'9B Sem 2'!L33</f>
        <v>59</v>
      </c>
      <c r="N94" s="22">
        <f>'9B Sem 2'!M33</f>
        <v>68</v>
      </c>
      <c r="O94" s="22">
        <f>'9B Sem 2'!N33</f>
        <v>70</v>
      </c>
      <c r="P94" s="23">
        <f>'9B Sem 2'!O33</f>
        <v>64</v>
      </c>
      <c r="Q94" s="23">
        <f>'9B Sem 2'!P33</f>
        <v>74</v>
      </c>
      <c r="R94" s="23">
        <f>'9B Sem 2'!Q33</f>
        <v>50</v>
      </c>
      <c r="S94" s="22">
        <f>'9B Sem 2'!R33</f>
        <v>795</v>
      </c>
      <c r="T94" s="192">
        <f>'9B Sem 2'!S33</f>
        <v>61.153846153846153</v>
      </c>
      <c r="U94" s="22">
        <f>'9B Sem 2'!T33</f>
        <v>43</v>
      </c>
      <c r="V94" s="36">
        <f>'9B Sem 2'!U33</f>
        <v>0</v>
      </c>
      <c r="W94" s="36">
        <f>'9B Sem 2'!V33</f>
        <v>0</v>
      </c>
      <c r="X94" s="5"/>
      <c r="Y94" s="5"/>
      <c r="Z94" s="5"/>
      <c r="AA94" s="5"/>
      <c r="AB94" s="5"/>
    </row>
    <row r="95" spans="1:28" ht="18.95" customHeight="1" thickBot="1" x14ac:dyDescent="0.3">
      <c r="A95" s="241"/>
      <c r="B95" s="218"/>
      <c r="C95" s="213">
        <v>14</v>
      </c>
      <c r="D95" s="217" t="s">
        <v>23</v>
      </c>
      <c r="E95" s="69" t="s">
        <v>16</v>
      </c>
      <c r="F95" s="22">
        <f>AVERAGE(F93:F94)</f>
        <v>80</v>
      </c>
      <c r="G95" s="22">
        <f t="shared" ref="G95:W95" si="29">AVERAGE(G93:G94)</f>
        <v>60</v>
      </c>
      <c r="H95" s="22">
        <f t="shared" si="29"/>
        <v>59</v>
      </c>
      <c r="I95" s="22">
        <f t="shared" si="29"/>
        <v>51.5</v>
      </c>
      <c r="J95" s="22">
        <f t="shared" si="29"/>
        <v>47.5</v>
      </c>
      <c r="K95" s="22">
        <f t="shared" si="29"/>
        <v>51.5</v>
      </c>
      <c r="L95" s="22">
        <f t="shared" si="29"/>
        <v>61.5</v>
      </c>
      <c r="M95" s="22">
        <f t="shared" si="29"/>
        <v>55.5</v>
      </c>
      <c r="N95" s="22">
        <f t="shared" si="29"/>
        <v>68</v>
      </c>
      <c r="O95" s="22">
        <f t="shared" si="29"/>
        <v>71</v>
      </c>
      <c r="P95" s="22">
        <f t="shared" si="29"/>
        <v>60</v>
      </c>
      <c r="Q95" s="22">
        <f t="shared" si="29"/>
        <v>83</v>
      </c>
      <c r="R95" s="22">
        <f t="shared" si="29"/>
        <v>53.5</v>
      </c>
      <c r="S95" s="22">
        <f t="shared" si="29"/>
        <v>802</v>
      </c>
      <c r="T95" s="192">
        <f t="shared" si="29"/>
        <v>61.692307692307693</v>
      </c>
      <c r="U95" s="22">
        <f>'9B Sem avr'!$H$33</f>
        <v>40</v>
      </c>
      <c r="V95" s="22">
        <f t="shared" si="29"/>
        <v>0</v>
      </c>
      <c r="W95" s="22">
        <f t="shared" si="29"/>
        <v>0</v>
      </c>
      <c r="X95" s="5"/>
      <c r="Y95" s="5"/>
      <c r="Z95" s="5"/>
      <c r="AA95" s="5"/>
      <c r="AB95" s="5"/>
    </row>
    <row r="96" spans="1:28" ht="18.95" customHeight="1" thickBot="1" x14ac:dyDescent="0.3">
      <c r="A96" s="234">
        <v>31</v>
      </c>
      <c r="B96" s="218"/>
      <c r="C96" s="213">
        <v>15</v>
      </c>
      <c r="D96" s="217" t="s">
        <v>23</v>
      </c>
      <c r="E96" s="69" t="s">
        <v>21</v>
      </c>
      <c r="F96" s="22">
        <f>'9B Sem 1'!E34</f>
        <v>88</v>
      </c>
      <c r="G96" s="22">
        <f>'9B Sem 1'!F34</f>
        <v>75</v>
      </c>
      <c r="H96" s="23">
        <f>'9B Sem 1'!G34</f>
        <v>70</v>
      </c>
      <c r="I96" s="22">
        <f>'9B Sem 1'!H34</f>
        <v>64</v>
      </c>
      <c r="J96" s="22">
        <f>'9B Sem 1'!I34</f>
        <v>72</v>
      </c>
      <c r="K96" s="22">
        <f>'9B Sem 1'!J34</f>
        <v>72</v>
      </c>
      <c r="L96" s="23">
        <f>'9B Sem 1'!K34</f>
        <v>88</v>
      </c>
      <c r="M96" s="22">
        <f>'9B Sem 1'!L34</f>
        <v>77</v>
      </c>
      <c r="N96" s="22">
        <f>'9B Sem 1'!M34</f>
        <v>90</v>
      </c>
      <c r="O96" s="22">
        <f>'9B Sem 1'!N34</f>
        <v>76</v>
      </c>
      <c r="P96" s="22">
        <f>'9B Sem 1'!O34</f>
        <v>81</v>
      </c>
      <c r="Q96" s="22">
        <f>'9B Sem 1'!P34</f>
        <v>95</v>
      </c>
      <c r="R96" s="22">
        <f>'9B Sem 1'!Q34</f>
        <v>84</v>
      </c>
      <c r="S96" s="22">
        <f>'9B Sem 1'!R34</f>
        <v>1032</v>
      </c>
      <c r="T96" s="192">
        <f>'9B Sem 1'!S34</f>
        <v>79.384615384615387</v>
      </c>
      <c r="U96" s="22">
        <f>'9B Sem 1'!T34</f>
        <v>14</v>
      </c>
      <c r="V96" s="36">
        <f>'9B Sem 1'!U34</f>
        <v>0</v>
      </c>
      <c r="W96" s="36">
        <f>'9B Sem 1'!V34</f>
        <v>0</v>
      </c>
      <c r="X96" s="5"/>
      <c r="Y96" s="5"/>
      <c r="Z96" s="5"/>
      <c r="AA96" s="5"/>
      <c r="AB96" s="5"/>
    </row>
    <row r="97" spans="1:28" ht="18.95" customHeight="1" thickBot="1" x14ac:dyDescent="0.3">
      <c r="A97" s="234"/>
      <c r="B97" s="218"/>
      <c r="C97" s="213">
        <v>15</v>
      </c>
      <c r="D97" s="217" t="s">
        <v>23</v>
      </c>
      <c r="E97" s="69" t="s">
        <v>22</v>
      </c>
      <c r="F97" s="22">
        <f>'9B Sem 2'!E34</f>
        <v>91</v>
      </c>
      <c r="G97" s="22">
        <f>'9B Sem 2'!F34</f>
        <v>66</v>
      </c>
      <c r="H97" s="23">
        <f>'9B Sem 2'!G34</f>
        <v>73</v>
      </c>
      <c r="I97" s="22">
        <f>'9B Sem 2'!H34</f>
        <v>68</v>
      </c>
      <c r="J97" s="22">
        <f>'9B Sem 2'!I34</f>
        <v>74</v>
      </c>
      <c r="K97" s="22">
        <f>'9B Sem 2'!J34</f>
        <v>80</v>
      </c>
      <c r="L97" s="23">
        <f>'9B Sem 2'!K34</f>
        <v>76</v>
      </c>
      <c r="M97" s="22">
        <f>'9B Sem 2'!L34</f>
        <v>87</v>
      </c>
      <c r="N97" s="22">
        <f>'9B Sem 2'!M34</f>
        <v>79</v>
      </c>
      <c r="O97" s="22">
        <f>'9B Sem 2'!N34</f>
        <v>80</v>
      </c>
      <c r="P97" s="22">
        <f>'9B Sem 2'!O34</f>
        <v>78</v>
      </c>
      <c r="Q97" s="22">
        <f>'9B Sem 2'!P34</f>
        <v>87</v>
      </c>
      <c r="R97" s="22">
        <f>'9B Sem 2'!Q34</f>
        <v>73</v>
      </c>
      <c r="S97" s="22">
        <f>'9B Sem 2'!R34</f>
        <v>1012</v>
      </c>
      <c r="T97" s="192">
        <f>'9B Sem 2'!S34</f>
        <v>77.84615384615384</v>
      </c>
      <c r="U97" s="22">
        <f>'9B Sem 2'!T34</f>
        <v>17</v>
      </c>
      <c r="V97" s="36">
        <f>'9B Sem 2'!U34</f>
        <v>0</v>
      </c>
      <c r="W97" s="36">
        <f>'9B Sem 2'!V34</f>
        <v>0</v>
      </c>
      <c r="X97" s="5"/>
      <c r="Y97" s="5"/>
      <c r="Z97" s="5"/>
      <c r="AA97" s="5"/>
      <c r="AB97" s="5"/>
    </row>
    <row r="98" spans="1:28" ht="18.95" customHeight="1" thickBot="1" x14ac:dyDescent="0.3">
      <c r="A98" s="234"/>
      <c r="B98" s="218"/>
      <c r="C98" s="213">
        <v>15</v>
      </c>
      <c r="D98" s="217" t="s">
        <v>23</v>
      </c>
      <c r="E98" s="69" t="s">
        <v>16</v>
      </c>
      <c r="F98" s="22">
        <f>AVERAGE(F96:F97)</f>
        <v>89.5</v>
      </c>
      <c r="G98" s="22">
        <f t="shared" ref="G98:W98" si="30">AVERAGE(G96:G97)</f>
        <v>70.5</v>
      </c>
      <c r="H98" s="22">
        <f t="shared" si="30"/>
        <v>71.5</v>
      </c>
      <c r="I98" s="22">
        <f t="shared" si="30"/>
        <v>66</v>
      </c>
      <c r="J98" s="22">
        <f t="shared" si="30"/>
        <v>73</v>
      </c>
      <c r="K98" s="22">
        <f t="shared" si="30"/>
        <v>76</v>
      </c>
      <c r="L98" s="22">
        <f t="shared" si="30"/>
        <v>82</v>
      </c>
      <c r="M98" s="22">
        <f t="shared" si="30"/>
        <v>82</v>
      </c>
      <c r="N98" s="22">
        <f t="shared" si="30"/>
        <v>84.5</v>
      </c>
      <c r="O98" s="22">
        <f t="shared" si="30"/>
        <v>78</v>
      </c>
      <c r="P98" s="22">
        <f t="shared" si="30"/>
        <v>79.5</v>
      </c>
      <c r="Q98" s="22">
        <f t="shared" si="30"/>
        <v>91</v>
      </c>
      <c r="R98" s="22">
        <f t="shared" si="30"/>
        <v>78.5</v>
      </c>
      <c r="S98" s="22">
        <f t="shared" si="30"/>
        <v>1022</v>
      </c>
      <c r="T98" s="192">
        <f t="shared" si="30"/>
        <v>78.615384615384613</v>
      </c>
      <c r="U98" s="22">
        <f>'9B Sem avr'!$H$34</f>
        <v>16</v>
      </c>
      <c r="V98" s="22">
        <f t="shared" si="30"/>
        <v>0</v>
      </c>
      <c r="W98" s="22">
        <f t="shared" si="30"/>
        <v>0</v>
      </c>
      <c r="X98" s="5"/>
      <c r="Y98" s="5"/>
      <c r="Z98" s="5"/>
      <c r="AA98" s="5"/>
      <c r="AB98" s="5"/>
    </row>
    <row r="99" spans="1:28" ht="18.95" customHeight="1" thickBot="1" x14ac:dyDescent="0.3">
      <c r="A99" s="234">
        <v>32</v>
      </c>
      <c r="B99" s="218"/>
      <c r="C99" s="213">
        <v>15</v>
      </c>
      <c r="D99" s="217" t="s">
        <v>20</v>
      </c>
      <c r="E99" s="69" t="s">
        <v>21</v>
      </c>
      <c r="F99" s="22">
        <f>'9B Sem 1'!E35</f>
        <v>79</v>
      </c>
      <c r="G99" s="22">
        <f>'9B Sem 1'!F35</f>
        <v>54</v>
      </c>
      <c r="H99" s="22">
        <f>'9B Sem 1'!G35</f>
        <v>84</v>
      </c>
      <c r="I99" s="22">
        <f>'9B Sem 1'!H35</f>
        <v>62</v>
      </c>
      <c r="J99" s="22">
        <f>'9B Sem 1'!I35</f>
        <v>67</v>
      </c>
      <c r="K99" s="22">
        <f>'9B Sem 1'!J35</f>
        <v>73</v>
      </c>
      <c r="L99" s="22">
        <f>'9B Sem 1'!K35</f>
        <v>81</v>
      </c>
      <c r="M99" s="22">
        <f>'9B Sem 1'!L35</f>
        <v>71</v>
      </c>
      <c r="N99" s="22">
        <f>'9B Sem 1'!M35</f>
        <v>76</v>
      </c>
      <c r="O99" s="22">
        <f>'9B Sem 1'!N35</f>
        <v>71</v>
      </c>
      <c r="P99" s="22">
        <f>'9B Sem 1'!O35</f>
        <v>71</v>
      </c>
      <c r="Q99" s="22">
        <f>'9B Sem 1'!P35</f>
        <v>92</v>
      </c>
      <c r="R99" s="22">
        <f>'9B Sem 1'!Q35</f>
        <v>59</v>
      </c>
      <c r="S99" s="22">
        <f>'9B Sem 1'!R35</f>
        <v>940</v>
      </c>
      <c r="T99" s="192">
        <f>'9B Sem 1'!S35</f>
        <v>72.307692307692307</v>
      </c>
      <c r="U99" s="22">
        <f>'9B Sem 1'!T35</f>
        <v>24</v>
      </c>
      <c r="V99" s="36">
        <f>'9B Sem 1'!U35</f>
        <v>0</v>
      </c>
      <c r="W99" s="36">
        <f>'9B Sem 1'!V35</f>
        <v>0</v>
      </c>
      <c r="X99" s="5"/>
      <c r="Y99" s="5"/>
      <c r="Z99" s="5"/>
      <c r="AA99" s="5"/>
      <c r="AB99" s="5"/>
    </row>
    <row r="100" spans="1:28" ht="18.95" customHeight="1" thickBot="1" x14ac:dyDescent="0.3">
      <c r="A100" s="234"/>
      <c r="B100" s="218"/>
      <c r="C100" s="213">
        <v>15</v>
      </c>
      <c r="D100" s="217" t="s">
        <v>20</v>
      </c>
      <c r="E100" s="69" t="s">
        <v>22</v>
      </c>
      <c r="F100" s="22">
        <f>'9B Sem 2'!E35</f>
        <v>68</v>
      </c>
      <c r="G100" s="22">
        <f>'9B Sem 2'!F35</f>
        <v>61</v>
      </c>
      <c r="H100" s="22">
        <f>'9B Sem 2'!G35</f>
        <v>74</v>
      </c>
      <c r="I100" s="22">
        <f>'9B Sem 2'!H35</f>
        <v>64</v>
      </c>
      <c r="J100" s="22">
        <f>'9B Sem 2'!I35</f>
        <v>71</v>
      </c>
      <c r="K100" s="22">
        <f>'9B Sem 2'!J35</f>
        <v>60</v>
      </c>
      <c r="L100" s="22">
        <f>'9B Sem 2'!K35</f>
        <v>74</v>
      </c>
      <c r="M100" s="22">
        <f>'9B Sem 2'!L35</f>
        <v>72</v>
      </c>
      <c r="N100" s="22">
        <f>'9B Sem 2'!M35</f>
        <v>61</v>
      </c>
      <c r="O100" s="22">
        <f>'9B Sem 2'!N35</f>
        <v>76</v>
      </c>
      <c r="P100" s="22">
        <f>'9B Sem 2'!O35</f>
        <v>57</v>
      </c>
      <c r="Q100" s="22">
        <f>'9B Sem 2'!P35</f>
        <v>90</v>
      </c>
      <c r="R100" s="22">
        <f>'9B Sem 2'!Q35</f>
        <v>50</v>
      </c>
      <c r="S100" s="22">
        <f>'9B Sem 2'!R35</f>
        <v>878</v>
      </c>
      <c r="T100" s="192">
        <f>'9B Sem 2'!S35</f>
        <v>67.538461538461533</v>
      </c>
      <c r="U100" s="22">
        <f>'9B Sem 2'!T35</f>
        <v>33</v>
      </c>
      <c r="V100" s="36">
        <f>'9B Sem 2'!U35</f>
        <v>0</v>
      </c>
      <c r="W100" s="36">
        <f>'9B Sem 2'!V35</f>
        <v>0</v>
      </c>
      <c r="X100" s="5"/>
      <c r="Y100" s="5"/>
      <c r="Z100" s="5"/>
      <c r="AA100" s="5"/>
      <c r="AB100" s="5"/>
    </row>
    <row r="101" spans="1:28" ht="18.95" customHeight="1" thickBot="1" x14ac:dyDescent="0.3">
      <c r="A101" s="234"/>
      <c r="B101" s="218"/>
      <c r="C101" s="213">
        <v>15</v>
      </c>
      <c r="D101" s="217" t="s">
        <v>20</v>
      </c>
      <c r="E101" s="69" t="s">
        <v>16</v>
      </c>
      <c r="F101" s="22">
        <f>AVERAGE(F99:F100)</f>
        <v>73.5</v>
      </c>
      <c r="G101" s="22">
        <f t="shared" ref="G101:W101" si="31">AVERAGE(G99:G100)</f>
        <v>57.5</v>
      </c>
      <c r="H101" s="22">
        <f t="shared" si="31"/>
        <v>79</v>
      </c>
      <c r="I101" s="22">
        <f t="shared" si="31"/>
        <v>63</v>
      </c>
      <c r="J101" s="22">
        <f t="shared" si="31"/>
        <v>69</v>
      </c>
      <c r="K101" s="22">
        <f t="shared" si="31"/>
        <v>66.5</v>
      </c>
      <c r="L101" s="22">
        <f t="shared" si="31"/>
        <v>77.5</v>
      </c>
      <c r="M101" s="22">
        <f t="shared" si="31"/>
        <v>71.5</v>
      </c>
      <c r="N101" s="22">
        <f t="shared" si="31"/>
        <v>68.5</v>
      </c>
      <c r="O101" s="22">
        <f t="shared" si="31"/>
        <v>73.5</v>
      </c>
      <c r="P101" s="22">
        <f t="shared" si="31"/>
        <v>64</v>
      </c>
      <c r="Q101" s="22">
        <f t="shared" si="31"/>
        <v>91</v>
      </c>
      <c r="R101" s="22">
        <f t="shared" si="31"/>
        <v>54.5</v>
      </c>
      <c r="S101" s="22">
        <f t="shared" si="31"/>
        <v>909</v>
      </c>
      <c r="T101" s="192">
        <f t="shared" si="31"/>
        <v>69.92307692307692</v>
      </c>
      <c r="U101" s="22">
        <f>'9B Sem avr'!$H$35</f>
        <v>30</v>
      </c>
      <c r="V101" s="22">
        <f t="shared" si="31"/>
        <v>0</v>
      </c>
      <c r="W101" s="22">
        <f t="shared" si="31"/>
        <v>0</v>
      </c>
      <c r="X101" s="5"/>
      <c r="Y101" s="5"/>
      <c r="Z101" s="5"/>
      <c r="AA101" s="5"/>
      <c r="AB101" s="5"/>
    </row>
    <row r="102" spans="1:28" ht="18.95" customHeight="1" thickBot="1" x14ac:dyDescent="0.3">
      <c r="A102" s="234">
        <v>33</v>
      </c>
      <c r="B102" s="218"/>
      <c r="C102" s="213">
        <v>15</v>
      </c>
      <c r="D102" s="217" t="s">
        <v>23</v>
      </c>
      <c r="E102" s="69" t="s">
        <v>21</v>
      </c>
      <c r="F102" s="22">
        <f>'9B Sem 1'!E36</f>
        <v>85</v>
      </c>
      <c r="G102" s="22">
        <f>'9B Sem 1'!F36</f>
        <v>86</v>
      </c>
      <c r="H102" s="23">
        <f>'9B Sem 1'!G36</f>
        <v>63</v>
      </c>
      <c r="I102" s="22">
        <f>'9B Sem 1'!H36</f>
        <v>72</v>
      </c>
      <c r="J102" s="22">
        <f>'9B Sem 1'!I36</f>
        <v>67</v>
      </c>
      <c r="K102" s="22">
        <f>'9B Sem 1'!J36</f>
        <v>73</v>
      </c>
      <c r="L102" s="22">
        <f>'9B Sem 1'!K36</f>
        <v>86</v>
      </c>
      <c r="M102" s="22">
        <f>'9B Sem 1'!L36</f>
        <v>76</v>
      </c>
      <c r="N102" s="22">
        <f>'9B Sem 1'!M36</f>
        <v>87</v>
      </c>
      <c r="O102" s="22">
        <f>'9B Sem 1'!N36</f>
        <v>77</v>
      </c>
      <c r="P102" s="22">
        <f>'9B Sem 1'!O36</f>
        <v>75</v>
      </c>
      <c r="Q102" s="22">
        <f>'9B Sem 1'!P36</f>
        <v>86</v>
      </c>
      <c r="R102" s="22">
        <f>'9B Sem 1'!Q36</f>
        <v>80</v>
      </c>
      <c r="S102" s="22">
        <f>'9B Sem 1'!R36</f>
        <v>1013</v>
      </c>
      <c r="T102" s="192">
        <f>'9B Sem 1'!S36</f>
        <v>77.92307692307692</v>
      </c>
      <c r="U102" s="22">
        <f>'9B Sem 1'!T36</f>
        <v>16</v>
      </c>
      <c r="V102" s="36">
        <f>'9B Sem 1'!U36</f>
        <v>0</v>
      </c>
      <c r="W102" s="36">
        <f>'9B Sem 1'!V36</f>
        <v>0</v>
      </c>
      <c r="X102" s="5"/>
      <c r="Y102" s="5"/>
      <c r="Z102" s="5"/>
      <c r="AA102" s="5"/>
      <c r="AB102" s="5"/>
    </row>
    <row r="103" spans="1:28" ht="18.95" customHeight="1" thickBot="1" x14ac:dyDescent="0.3">
      <c r="A103" s="234"/>
      <c r="B103" s="218"/>
      <c r="C103" s="213">
        <v>15</v>
      </c>
      <c r="D103" s="217" t="s">
        <v>23</v>
      </c>
      <c r="E103" s="69" t="s">
        <v>22</v>
      </c>
      <c r="F103" s="22">
        <f>'9B Sem 2'!E36</f>
        <v>85</v>
      </c>
      <c r="G103" s="22">
        <f>'9B Sem 2'!F36</f>
        <v>82</v>
      </c>
      <c r="H103" s="23">
        <f>'9B Sem 2'!G36</f>
        <v>63</v>
      </c>
      <c r="I103" s="22">
        <f>'9B Sem 2'!H36</f>
        <v>66</v>
      </c>
      <c r="J103" s="22">
        <f>'9B Sem 2'!I36</f>
        <v>57</v>
      </c>
      <c r="K103" s="22">
        <f>'9B Sem 2'!J36</f>
        <v>79</v>
      </c>
      <c r="L103" s="22">
        <f>'9B Sem 2'!K36</f>
        <v>82</v>
      </c>
      <c r="M103" s="22">
        <f>'9B Sem 2'!L36</f>
        <v>90</v>
      </c>
      <c r="N103" s="22">
        <f>'9B Sem 2'!M36</f>
        <v>77</v>
      </c>
      <c r="O103" s="22">
        <f>'9B Sem 2'!N36</f>
        <v>84</v>
      </c>
      <c r="P103" s="22">
        <f>'9B Sem 2'!O36</f>
        <v>86</v>
      </c>
      <c r="Q103" s="22">
        <f>'9B Sem 2'!P36</f>
        <v>88</v>
      </c>
      <c r="R103" s="22">
        <f>'9B Sem 2'!Q36</f>
        <v>68</v>
      </c>
      <c r="S103" s="22">
        <f>'9B Sem 2'!R36</f>
        <v>1007</v>
      </c>
      <c r="T103" s="192">
        <f>'9B Sem 2'!S36</f>
        <v>77.461538461538467</v>
      </c>
      <c r="U103" s="22">
        <f>'9B Sem 2'!T36</f>
        <v>19</v>
      </c>
      <c r="V103" s="36">
        <f>'9B Sem 2'!U36</f>
        <v>0</v>
      </c>
      <c r="W103" s="36">
        <f>'9B Sem 2'!V36</f>
        <v>0</v>
      </c>
      <c r="X103" s="5"/>
      <c r="Y103" s="5"/>
      <c r="Z103" s="5"/>
      <c r="AA103" s="5"/>
      <c r="AB103" s="5"/>
    </row>
    <row r="104" spans="1:28" ht="18.95" customHeight="1" thickBot="1" x14ac:dyDescent="0.3">
      <c r="A104" s="234"/>
      <c r="B104" s="218"/>
      <c r="C104" s="213">
        <v>15</v>
      </c>
      <c r="D104" s="217" t="s">
        <v>23</v>
      </c>
      <c r="E104" s="69" t="s">
        <v>16</v>
      </c>
      <c r="F104" s="22">
        <f>AVERAGE(F102:F103)</f>
        <v>85</v>
      </c>
      <c r="G104" s="22">
        <f t="shared" ref="G104:W104" si="32">AVERAGE(G102:G103)</f>
        <v>84</v>
      </c>
      <c r="H104" s="22">
        <f t="shared" si="32"/>
        <v>63</v>
      </c>
      <c r="I104" s="22">
        <f t="shared" si="32"/>
        <v>69</v>
      </c>
      <c r="J104" s="22">
        <f t="shared" si="32"/>
        <v>62</v>
      </c>
      <c r="K104" s="22">
        <f t="shared" si="32"/>
        <v>76</v>
      </c>
      <c r="L104" s="22">
        <f t="shared" si="32"/>
        <v>84</v>
      </c>
      <c r="M104" s="22">
        <f t="shared" si="32"/>
        <v>83</v>
      </c>
      <c r="N104" s="22">
        <f t="shared" si="32"/>
        <v>82</v>
      </c>
      <c r="O104" s="22">
        <f t="shared" si="32"/>
        <v>80.5</v>
      </c>
      <c r="P104" s="22">
        <f t="shared" si="32"/>
        <v>80.5</v>
      </c>
      <c r="Q104" s="22">
        <f t="shared" si="32"/>
        <v>87</v>
      </c>
      <c r="R104" s="22">
        <f t="shared" si="32"/>
        <v>74</v>
      </c>
      <c r="S104" s="22">
        <f t="shared" si="32"/>
        <v>1010</v>
      </c>
      <c r="T104" s="192">
        <f t="shared" si="32"/>
        <v>77.692307692307693</v>
      </c>
      <c r="U104" s="22">
        <f>'9B Sem avr'!$H$36</f>
        <v>18</v>
      </c>
      <c r="V104" s="22">
        <f t="shared" si="32"/>
        <v>0</v>
      </c>
      <c r="W104" s="22">
        <f t="shared" si="32"/>
        <v>0</v>
      </c>
      <c r="X104" s="5"/>
      <c r="Y104" s="5"/>
      <c r="Z104" s="5"/>
      <c r="AA104" s="5"/>
      <c r="AB104" s="5"/>
    </row>
    <row r="105" spans="1:28" ht="18.95" customHeight="1" thickBot="1" x14ac:dyDescent="0.3">
      <c r="A105" s="241">
        <v>34</v>
      </c>
      <c r="B105" s="218"/>
      <c r="C105" s="213">
        <v>15</v>
      </c>
      <c r="D105" s="217" t="s">
        <v>20</v>
      </c>
      <c r="E105" s="69" t="s">
        <v>21</v>
      </c>
      <c r="F105" s="22">
        <f>'9B Sem 1'!E37</f>
        <v>77</v>
      </c>
      <c r="G105" s="22">
        <f>'9B Sem 1'!F37</f>
        <v>88</v>
      </c>
      <c r="H105" s="22">
        <f>'9B Sem 1'!G37</f>
        <v>71</v>
      </c>
      <c r="I105" s="22">
        <f>'9B Sem 1'!H37</f>
        <v>66</v>
      </c>
      <c r="J105" s="22">
        <f>'9B Sem 1'!I37</f>
        <v>62</v>
      </c>
      <c r="K105" s="22">
        <f>'9B Sem 1'!J37</f>
        <v>68</v>
      </c>
      <c r="L105" s="22">
        <f>'9B Sem 1'!K37</f>
        <v>84</v>
      </c>
      <c r="M105" s="22">
        <f>'9B Sem 1'!L37</f>
        <v>61</v>
      </c>
      <c r="N105" s="22">
        <f>'9B Sem 1'!M37</f>
        <v>91</v>
      </c>
      <c r="O105" s="22">
        <f>'9B Sem 1'!N37</f>
        <v>78</v>
      </c>
      <c r="P105" s="22">
        <f>'9B Sem 1'!O37</f>
        <v>76</v>
      </c>
      <c r="Q105" s="22">
        <f>'9B Sem 1'!P37</f>
        <v>95</v>
      </c>
      <c r="R105" s="22">
        <f>'9B Sem 1'!Q37</f>
        <v>67</v>
      </c>
      <c r="S105" s="22">
        <f>'9B Sem 1'!R37</f>
        <v>984</v>
      </c>
      <c r="T105" s="192">
        <f>'9B Sem 1'!S37</f>
        <v>75.692307692307693</v>
      </c>
      <c r="U105" s="22">
        <f>'9B Sem 1'!T37</f>
        <v>19</v>
      </c>
      <c r="V105" s="36">
        <f>'9B Sem 1'!U37</f>
        <v>0</v>
      </c>
      <c r="W105" s="36">
        <f>'9B Sem 1'!V37</f>
        <v>0</v>
      </c>
      <c r="X105" s="5"/>
      <c r="Y105" s="5"/>
      <c r="Z105" s="5"/>
      <c r="AA105" s="5"/>
      <c r="AB105" s="5"/>
    </row>
    <row r="106" spans="1:28" ht="18.95" customHeight="1" thickBot="1" x14ac:dyDescent="0.3">
      <c r="A106" s="241"/>
      <c r="B106" s="218"/>
      <c r="C106" s="213">
        <v>15</v>
      </c>
      <c r="D106" s="217" t="s">
        <v>20</v>
      </c>
      <c r="E106" s="69" t="s">
        <v>22</v>
      </c>
      <c r="F106" s="22">
        <f>'9B Sem 2'!E37</f>
        <v>71</v>
      </c>
      <c r="G106" s="22">
        <f>'9B Sem 2'!F37</f>
        <v>82</v>
      </c>
      <c r="H106" s="22">
        <f>'9B Sem 2'!G37</f>
        <v>80</v>
      </c>
      <c r="I106" s="22">
        <f>'9B Sem 2'!H37</f>
        <v>64</v>
      </c>
      <c r="J106" s="22">
        <f>'9B Sem 2'!I37</f>
        <v>75</v>
      </c>
      <c r="K106" s="22">
        <f>'9B Sem 2'!J37</f>
        <v>78</v>
      </c>
      <c r="L106" s="22">
        <f>'9B Sem 2'!K37</f>
        <v>67</v>
      </c>
      <c r="M106" s="22">
        <f>'9B Sem 2'!L37</f>
        <v>87</v>
      </c>
      <c r="N106" s="22">
        <f>'9B Sem 2'!M37</f>
        <v>83</v>
      </c>
      <c r="O106" s="22">
        <f>'9B Sem 2'!N37</f>
        <v>85</v>
      </c>
      <c r="P106" s="22">
        <f>'9B Sem 2'!O37</f>
        <v>82</v>
      </c>
      <c r="Q106" s="22">
        <f>'9B Sem 2'!P37</f>
        <v>90</v>
      </c>
      <c r="R106" s="22">
        <f>'9B Sem 2'!Q37</f>
        <v>68</v>
      </c>
      <c r="S106" s="22">
        <f>'9B Sem 2'!R37</f>
        <v>1012</v>
      </c>
      <c r="T106" s="192">
        <f>'9B Sem 2'!S37</f>
        <v>77.84615384615384</v>
      </c>
      <c r="U106" s="22">
        <f>'9B Sem 2'!T37</f>
        <v>17</v>
      </c>
      <c r="V106" s="36">
        <f>'9B Sem 2'!U37</f>
        <v>0</v>
      </c>
      <c r="W106" s="36">
        <f>'9B Sem 2'!V37</f>
        <v>0</v>
      </c>
      <c r="X106" s="5"/>
      <c r="Y106" s="5"/>
      <c r="Z106" s="5"/>
      <c r="AA106" s="5"/>
      <c r="AB106" s="5"/>
    </row>
    <row r="107" spans="1:28" ht="18.95" customHeight="1" thickBot="1" x14ac:dyDescent="0.3">
      <c r="A107" s="241"/>
      <c r="B107" s="218"/>
      <c r="C107" s="213">
        <v>15</v>
      </c>
      <c r="D107" s="217" t="s">
        <v>20</v>
      </c>
      <c r="E107" s="69" t="s">
        <v>16</v>
      </c>
      <c r="F107" s="22">
        <f>AVERAGE(F105:F106)</f>
        <v>74</v>
      </c>
      <c r="G107" s="22">
        <f t="shared" ref="G107:W107" si="33">AVERAGE(G105:G106)</f>
        <v>85</v>
      </c>
      <c r="H107" s="22">
        <f t="shared" si="33"/>
        <v>75.5</v>
      </c>
      <c r="I107" s="22">
        <f t="shared" si="33"/>
        <v>65</v>
      </c>
      <c r="J107" s="22">
        <f t="shared" si="33"/>
        <v>68.5</v>
      </c>
      <c r="K107" s="22">
        <f t="shared" si="33"/>
        <v>73</v>
      </c>
      <c r="L107" s="22">
        <f t="shared" si="33"/>
        <v>75.5</v>
      </c>
      <c r="M107" s="22">
        <f t="shared" si="33"/>
        <v>74</v>
      </c>
      <c r="N107" s="22">
        <f t="shared" si="33"/>
        <v>87</v>
      </c>
      <c r="O107" s="22">
        <f t="shared" si="33"/>
        <v>81.5</v>
      </c>
      <c r="P107" s="22">
        <f t="shared" si="33"/>
        <v>79</v>
      </c>
      <c r="Q107" s="22">
        <f t="shared" si="33"/>
        <v>92.5</v>
      </c>
      <c r="R107" s="22">
        <f t="shared" si="33"/>
        <v>67.5</v>
      </c>
      <c r="S107" s="22">
        <f t="shared" si="33"/>
        <v>998</v>
      </c>
      <c r="T107" s="192">
        <f t="shared" si="33"/>
        <v>76.769230769230774</v>
      </c>
      <c r="U107" s="22">
        <f>'9B Sem avr'!$H$37</f>
        <v>20</v>
      </c>
      <c r="V107" s="22">
        <f t="shared" si="33"/>
        <v>0</v>
      </c>
      <c r="W107" s="22">
        <f t="shared" si="33"/>
        <v>0</v>
      </c>
      <c r="X107" s="5"/>
      <c r="Y107" s="5"/>
      <c r="Z107" s="5"/>
      <c r="AA107" s="5"/>
      <c r="AB107" s="5"/>
    </row>
    <row r="108" spans="1:28" ht="18.95" customHeight="1" thickBot="1" x14ac:dyDescent="0.3">
      <c r="A108" s="241">
        <v>35</v>
      </c>
      <c r="B108" s="218"/>
      <c r="C108" s="213">
        <v>15</v>
      </c>
      <c r="D108" s="217" t="s">
        <v>20</v>
      </c>
      <c r="E108" s="69" t="s">
        <v>21</v>
      </c>
      <c r="F108" s="22">
        <f>'9B Sem 1'!E38</f>
        <v>58</v>
      </c>
      <c r="G108" s="22">
        <f>'9B Sem 1'!F38</f>
        <v>51</v>
      </c>
      <c r="H108" s="22">
        <f>'9B Sem 1'!G38</f>
        <v>53</v>
      </c>
      <c r="I108" s="22">
        <f>'9B Sem 1'!H38</f>
        <v>34</v>
      </c>
      <c r="J108" s="22">
        <f>'9B Sem 1'!I38</f>
        <v>41</v>
      </c>
      <c r="K108" s="22">
        <f>'9B Sem 1'!J38</f>
        <v>41</v>
      </c>
      <c r="L108" s="22">
        <f>'9B Sem 1'!K38</f>
        <v>56</v>
      </c>
      <c r="M108" s="22">
        <f>'9B Sem 1'!L38</f>
        <v>47</v>
      </c>
      <c r="N108" s="22">
        <f>'9B Sem 1'!M38</f>
        <v>57</v>
      </c>
      <c r="O108" s="22">
        <f>'9B Sem 1'!N38</f>
        <v>67</v>
      </c>
      <c r="P108" s="22">
        <f>'9B Sem 1'!O38</f>
        <v>45</v>
      </c>
      <c r="Q108" s="22">
        <f>'9B Sem 1'!P38</f>
        <v>84</v>
      </c>
      <c r="R108" s="22">
        <f>'9B Sem 1'!Q38</f>
        <v>58</v>
      </c>
      <c r="S108" s="22">
        <f>'9B Sem 1'!R38</f>
        <v>692</v>
      </c>
      <c r="T108" s="192">
        <f>'9B Sem 1'!S38</f>
        <v>53.230769230769234</v>
      </c>
      <c r="U108" s="22">
        <f>'9B Sem 1'!T38</f>
        <v>52</v>
      </c>
      <c r="V108" s="36">
        <f>'9B Sem 1'!U38</f>
        <v>0</v>
      </c>
      <c r="W108" s="36">
        <f>'9B Sem 1'!V38</f>
        <v>0</v>
      </c>
      <c r="X108" s="5"/>
      <c r="Y108" s="5"/>
      <c r="Z108" s="5"/>
      <c r="AA108" s="5"/>
      <c r="AB108" s="5"/>
    </row>
    <row r="109" spans="1:28" ht="18.95" customHeight="1" thickBot="1" x14ac:dyDescent="0.3">
      <c r="A109" s="241"/>
      <c r="B109" s="218"/>
      <c r="C109" s="213">
        <v>15</v>
      </c>
      <c r="D109" s="217" t="s">
        <v>20</v>
      </c>
      <c r="E109" s="69" t="s">
        <v>22</v>
      </c>
      <c r="F109" s="22">
        <f>'9B Sem 2'!E38</f>
        <v>73</v>
      </c>
      <c r="G109" s="22">
        <f>'9B Sem 2'!F38</f>
        <v>52</v>
      </c>
      <c r="H109" s="22">
        <f>'9B Sem 2'!G38</f>
        <v>38</v>
      </c>
      <c r="I109" s="22">
        <f>'9B Sem 2'!H38</f>
        <v>41</v>
      </c>
      <c r="J109" s="22">
        <f>'9B Sem 2'!I38</f>
        <v>29</v>
      </c>
      <c r="K109" s="22">
        <f>'9B Sem 2'!J38</f>
        <v>44</v>
      </c>
      <c r="L109" s="22">
        <f>'9B Sem 2'!K38</f>
        <v>45</v>
      </c>
      <c r="M109" s="22">
        <f>'9B Sem 2'!L38</f>
        <v>60</v>
      </c>
      <c r="N109" s="22">
        <f>'9B Sem 2'!M38</f>
        <v>58</v>
      </c>
      <c r="O109" s="22">
        <f>'9B Sem 2'!N38</f>
        <v>81</v>
      </c>
      <c r="P109" s="22">
        <f>'9B Sem 2'!O38</f>
        <v>44</v>
      </c>
      <c r="Q109" s="22">
        <f>'9B Sem 2'!P38</f>
        <v>78</v>
      </c>
      <c r="R109" s="22">
        <f>'9B Sem 2'!Q38</f>
        <v>57</v>
      </c>
      <c r="S109" s="22">
        <f>'9B Sem 2'!R38</f>
        <v>700</v>
      </c>
      <c r="T109" s="192">
        <f>'9B Sem 2'!S38</f>
        <v>53.846153846153847</v>
      </c>
      <c r="U109" s="22">
        <f>'9B Sem 2'!T38</f>
        <v>52</v>
      </c>
      <c r="V109" s="36">
        <f>'9B Sem 2'!U38</f>
        <v>0</v>
      </c>
      <c r="W109" s="36">
        <f>'9B Sem 2'!V38</f>
        <v>0</v>
      </c>
      <c r="X109" s="5"/>
      <c r="Y109" s="5"/>
      <c r="Z109" s="5"/>
      <c r="AA109" s="5"/>
      <c r="AB109" s="5"/>
    </row>
    <row r="110" spans="1:28" ht="18.95" customHeight="1" thickBot="1" x14ac:dyDescent="0.3">
      <c r="A110" s="241"/>
      <c r="B110" s="218"/>
      <c r="C110" s="213">
        <v>15</v>
      </c>
      <c r="D110" s="217" t="s">
        <v>20</v>
      </c>
      <c r="E110" s="69" t="s">
        <v>16</v>
      </c>
      <c r="F110" s="22">
        <f>AVERAGE(F108:F109)</f>
        <v>65.5</v>
      </c>
      <c r="G110" s="22">
        <f t="shared" ref="G110:W110" si="34">AVERAGE(G108:G109)</f>
        <v>51.5</v>
      </c>
      <c r="H110" s="22">
        <f t="shared" si="34"/>
        <v>45.5</v>
      </c>
      <c r="I110" s="22">
        <f t="shared" si="34"/>
        <v>37.5</v>
      </c>
      <c r="J110" s="22">
        <f t="shared" si="34"/>
        <v>35</v>
      </c>
      <c r="K110" s="22">
        <f t="shared" si="34"/>
        <v>42.5</v>
      </c>
      <c r="L110" s="22">
        <f t="shared" si="34"/>
        <v>50.5</v>
      </c>
      <c r="M110" s="22">
        <f t="shared" si="34"/>
        <v>53.5</v>
      </c>
      <c r="N110" s="22">
        <f t="shared" si="34"/>
        <v>57.5</v>
      </c>
      <c r="O110" s="22">
        <f t="shared" si="34"/>
        <v>74</v>
      </c>
      <c r="P110" s="22">
        <f t="shared" si="34"/>
        <v>44.5</v>
      </c>
      <c r="Q110" s="22">
        <f t="shared" si="34"/>
        <v>81</v>
      </c>
      <c r="R110" s="22">
        <f t="shared" si="34"/>
        <v>57.5</v>
      </c>
      <c r="S110" s="22">
        <f t="shared" si="34"/>
        <v>696</v>
      </c>
      <c r="T110" s="192">
        <f t="shared" si="34"/>
        <v>53.53846153846154</v>
      </c>
      <c r="U110" s="22">
        <f>'9B Sem avr'!$H$38</f>
        <v>51</v>
      </c>
      <c r="V110" s="22">
        <f t="shared" si="34"/>
        <v>0</v>
      </c>
      <c r="W110" s="22">
        <f t="shared" si="34"/>
        <v>0</v>
      </c>
      <c r="X110" s="5"/>
      <c r="Y110" s="5"/>
      <c r="Z110" s="5"/>
      <c r="AA110" s="5"/>
      <c r="AB110" s="5"/>
    </row>
    <row r="111" spans="1:28" ht="18.95" customHeight="1" thickBot="1" x14ac:dyDescent="0.3">
      <c r="A111" s="241">
        <v>36</v>
      </c>
      <c r="B111" s="218"/>
      <c r="C111" s="213">
        <v>16</v>
      </c>
      <c r="D111" s="217" t="s">
        <v>20</v>
      </c>
      <c r="E111" s="69" t="s">
        <v>21</v>
      </c>
      <c r="F111" s="22">
        <f>'9B Sem 1'!E39</f>
        <v>87</v>
      </c>
      <c r="G111" s="22">
        <f>'9B Sem 1'!F39</f>
        <v>89</v>
      </c>
      <c r="H111" s="23">
        <f>'9B Sem 1'!G39</f>
        <v>66</v>
      </c>
      <c r="I111" s="22">
        <f>'9B Sem 1'!H39</f>
        <v>87</v>
      </c>
      <c r="J111" s="22">
        <f>'9B Sem 1'!I39</f>
        <v>91</v>
      </c>
      <c r="K111" s="22">
        <f>'9B Sem 1'!J39</f>
        <v>93</v>
      </c>
      <c r="L111" s="22">
        <f>'9B Sem 1'!K39</f>
        <v>95</v>
      </c>
      <c r="M111" s="22">
        <f>'9B Sem 1'!L39</f>
        <v>92</v>
      </c>
      <c r="N111" s="22">
        <f>'9B Sem 1'!M39</f>
        <v>98</v>
      </c>
      <c r="O111" s="22">
        <f>'9B Sem 1'!N39</f>
        <v>98</v>
      </c>
      <c r="P111" s="22">
        <f>'9B Sem 1'!O39</f>
        <v>82</v>
      </c>
      <c r="Q111" s="22">
        <f>'9B Sem 1'!P39</f>
        <v>97</v>
      </c>
      <c r="R111" s="22">
        <f>'9B Sem 1'!Q39</f>
        <v>96</v>
      </c>
      <c r="S111" s="22">
        <f>'9B Sem 1'!R39</f>
        <v>1171</v>
      </c>
      <c r="T111" s="192">
        <f>'9B Sem 1'!S39</f>
        <v>90.07692307692308</v>
      </c>
      <c r="U111" s="22">
        <f>'9B Sem 1'!T39</f>
        <v>3</v>
      </c>
      <c r="V111" s="36">
        <f>'9B Sem 1'!U39</f>
        <v>0</v>
      </c>
      <c r="W111" s="36">
        <f>'9B Sem 1'!V39</f>
        <v>0</v>
      </c>
      <c r="X111" s="5"/>
      <c r="Y111" s="5"/>
      <c r="Z111" s="5"/>
      <c r="AA111" s="5"/>
      <c r="AB111" s="5"/>
    </row>
    <row r="112" spans="1:28" ht="18.95" customHeight="1" thickBot="1" x14ac:dyDescent="0.3">
      <c r="A112" s="241"/>
      <c r="B112" s="218"/>
      <c r="C112" s="213">
        <v>16</v>
      </c>
      <c r="D112" s="217" t="s">
        <v>20</v>
      </c>
      <c r="E112" s="69" t="s">
        <v>22</v>
      </c>
      <c r="F112" s="22">
        <f>'9B Sem 2'!E39</f>
        <v>88</v>
      </c>
      <c r="G112" s="22">
        <f>'9B Sem 2'!F39</f>
        <v>79</v>
      </c>
      <c r="H112" s="23">
        <f>'9B Sem 2'!G39</f>
        <v>72</v>
      </c>
      <c r="I112" s="22">
        <f>'9B Sem 2'!H39</f>
        <v>76</v>
      </c>
      <c r="J112" s="22">
        <f>'9B Sem 2'!I39</f>
        <v>88</v>
      </c>
      <c r="K112" s="22">
        <f>'9B Sem 2'!J39</f>
        <v>90</v>
      </c>
      <c r="L112" s="22">
        <f>'9B Sem 2'!K39</f>
        <v>89</v>
      </c>
      <c r="M112" s="22">
        <f>'9B Sem 2'!L39</f>
        <v>84</v>
      </c>
      <c r="N112" s="22">
        <f>'9B Sem 2'!M39</f>
        <v>85</v>
      </c>
      <c r="O112" s="22">
        <f>'9B Sem 2'!N39</f>
        <v>96</v>
      </c>
      <c r="P112" s="22">
        <f>'9B Sem 2'!O39</f>
        <v>92</v>
      </c>
      <c r="Q112" s="22">
        <f>'9B Sem 2'!P39</f>
        <v>99</v>
      </c>
      <c r="R112" s="22">
        <f>'9B Sem 2'!Q39</f>
        <v>100</v>
      </c>
      <c r="S112" s="22">
        <f>'9B Sem 2'!R39</f>
        <v>1138</v>
      </c>
      <c r="T112" s="192">
        <f>'9B Sem 2'!S39</f>
        <v>87.538461538461533</v>
      </c>
      <c r="U112" s="22">
        <f>'9B Sem 2'!T39</f>
        <v>4</v>
      </c>
      <c r="V112" s="36">
        <f>'9B Sem 2'!U39</f>
        <v>0</v>
      </c>
      <c r="W112" s="36">
        <f>'9B Sem 2'!V39</f>
        <v>0</v>
      </c>
      <c r="X112" s="5"/>
      <c r="Y112" s="5"/>
      <c r="Z112" s="5"/>
      <c r="AA112" s="5"/>
      <c r="AB112" s="5"/>
    </row>
    <row r="113" spans="1:28" ht="18.95" customHeight="1" thickBot="1" x14ac:dyDescent="0.3">
      <c r="A113" s="241"/>
      <c r="B113" s="218"/>
      <c r="C113" s="213">
        <v>16</v>
      </c>
      <c r="D113" s="217" t="s">
        <v>20</v>
      </c>
      <c r="E113" s="69" t="s">
        <v>16</v>
      </c>
      <c r="F113" s="22">
        <f>AVERAGE(F111:F112)</f>
        <v>87.5</v>
      </c>
      <c r="G113" s="22">
        <f t="shared" ref="G113:W113" si="35">AVERAGE(G111:G112)</f>
        <v>84</v>
      </c>
      <c r="H113" s="22">
        <f t="shared" si="35"/>
        <v>69</v>
      </c>
      <c r="I113" s="22">
        <f t="shared" si="35"/>
        <v>81.5</v>
      </c>
      <c r="J113" s="22">
        <f t="shared" si="35"/>
        <v>89.5</v>
      </c>
      <c r="K113" s="22">
        <f t="shared" si="35"/>
        <v>91.5</v>
      </c>
      <c r="L113" s="22">
        <f t="shared" si="35"/>
        <v>92</v>
      </c>
      <c r="M113" s="22">
        <f t="shared" si="35"/>
        <v>88</v>
      </c>
      <c r="N113" s="22">
        <f t="shared" si="35"/>
        <v>91.5</v>
      </c>
      <c r="O113" s="22">
        <f t="shared" si="35"/>
        <v>97</v>
      </c>
      <c r="P113" s="22">
        <f t="shared" si="35"/>
        <v>87</v>
      </c>
      <c r="Q113" s="22">
        <f t="shared" si="35"/>
        <v>98</v>
      </c>
      <c r="R113" s="22">
        <f t="shared" si="35"/>
        <v>98</v>
      </c>
      <c r="S113" s="22">
        <f t="shared" si="35"/>
        <v>1154.5</v>
      </c>
      <c r="T113" s="192">
        <f t="shared" si="35"/>
        <v>88.807692307692307</v>
      </c>
      <c r="U113" s="22">
        <f>'9B Sem avr'!$H$39</f>
        <v>3</v>
      </c>
      <c r="V113" s="22">
        <f t="shared" si="35"/>
        <v>0</v>
      </c>
      <c r="W113" s="22">
        <f t="shared" si="35"/>
        <v>0</v>
      </c>
      <c r="X113" s="5"/>
      <c r="Y113" s="5"/>
      <c r="Z113" s="5"/>
      <c r="AA113" s="5"/>
      <c r="AB113" s="5"/>
    </row>
    <row r="114" spans="1:28" ht="18.95" customHeight="1" thickBot="1" x14ac:dyDescent="0.3">
      <c r="A114" s="234">
        <v>37</v>
      </c>
      <c r="B114" s="218"/>
      <c r="C114" s="213">
        <v>15</v>
      </c>
      <c r="D114" s="217" t="s">
        <v>20</v>
      </c>
      <c r="E114" s="69" t="s">
        <v>21</v>
      </c>
      <c r="F114" s="22">
        <f>'9B Sem 1'!E40</f>
        <v>83</v>
      </c>
      <c r="G114" s="22">
        <f>'9B Sem 1'!F40</f>
        <v>71</v>
      </c>
      <c r="H114" s="22">
        <f>'9B Sem 1'!G40</f>
        <v>73</v>
      </c>
      <c r="I114" s="22">
        <f>'9B Sem 1'!H40</f>
        <v>70</v>
      </c>
      <c r="J114" s="22">
        <f>'9B Sem 1'!I40</f>
        <v>65</v>
      </c>
      <c r="K114" s="22">
        <f>'9B Sem 1'!J40</f>
        <v>56</v>
      </c>
      <c r="L114" s="22">
        <f>'9B Sem 1'!K40</f>
        <v>64</v>
      </c>
      <c r="M114" s="22">
        <f>'9B Sem 1'!L40</f>
        <v>59</v>
      </c>
      <c r="N114" s="22">
        <f>'9B Sem 1'!M40</f>
        <v>72</v>
      </c>
      <c r="O114" s="22">
        <f>'9B Sem 1'!N40</f>
        <v>74</v>
      </c>
      <c r="P114" s="22">
        <f>'9B Sem 1'!O40</f>
        <v>62</v>
      </c>
      <c r="Q114" s="22">
        <f>'9B Sem 1'!P40</f>
        <v>82</v>
      </c>
      <c r="R114" s="22">
        <f>'9B Sem 1'!Q40</f>
        <v>56</v>
      </c>
      <c r="S114" s="22">
        <f>'9B Sem 1'!R40</f>
        <v>887</v>
      </c>
      <c r="T114" s="192">
        <f>'9B Sem 1'!S40</f>
        <v>68.230769230769226</v>
      </c>
      <c r="U114" s="22">
        <f>'9B Sem 1'!T40</f>
        <v>31</v>
      </c>
      <c r="V114" s="36">
        <f>'9B Sem 1'!U40</f>
        <v>0</v>
      </c>
      <c r="W114" s="36">
        <f>'9B Sem 1'!V40</f>
        <v>0</v>
      </c>
      <c r="X114" s="5"/>
      <c r="Y114" s="5"/>
      <c r="Z114" s="5"/>
      <c r="AA114" s="5"/>
      <c r="AB114" s="5"/>
    </row>
    <row r="115" spans="1:28" ht="18.95" customHeight="1" thickBot="1" x14ac:dyDescent="0.3">
      <c r="A115" s="234"/>
      <c r="B115" s="218"/>
      <c r="C115" s="213">
        <v>15</v>
      </c>
      <c r="D115" s="217" t="s">
        <v>20</v>
      </c>
      <c r="E115" s="69" t="s">
        <v>22</v>
      </c>
      <c r="F115" s="22">
        <f>'9B Sem 2'!E40</f>
        <v>75</v>
      </c>
      <c r="G115" s="22">
        <f>'9B Sem 2'!F40</f>
        <v>75</v>
      </c>
      <c r="H115" s="22">
        <f>'9B Sem 2'!G40</f>
        <v>75</v>
      </c>
      <c r="I115" s="22">
        <f>'9B Sem 2'!H40</f>
        <v>64</v>
      </c>
      <c r="J115" s="22">
        <f>'9B Sem 2'!I40</f>
        <v>67</v>
      </c>
      <c r="K115" s="22">
        <f>'9B Sem 2'!J40</f>
        <v>69</v>
      </c>
      <c r="L115" s="22">
        <f>'9B Sem 2'!K40</f>
        <v>61</v>
      </c>
      <c r="M115" s="22">
        <f>'9B Sem 2'!L40</f>
        <v>78</v>
      </c>
      <c r="N115" s="22">
        <f>'9B Sem 2'!M40</f>
        <v>52</v>
      </c>
      <c r="O115" s="22">
        <f>'9B Sem 2'!N40</f>
        <v>79</v>
      </c>
      <c r="P115" s="22">
        <f>'9B Sem 2'!O40</f>
        <v>77</v>
      </c>
      <c r="Q115" s="22">
        <f>'9B Sem 2'!P40</f>
        <v>78</v>
      </c>
      <c r="R115" s="22">
        <f>'9B Sem 2'!Q40</f>
        <v>54</v>
      </c>
      <c r="S115" s="22">
        <f>'9B Sem 2'!R40</f>
        <v>904</v>
      </c>
      <c r="T115" s="192">
        <f>'9B Sem 2'!S40</f>
        <v>69.538461538461533</v>
      </c>
      <c r="U115" s="22">
        <f>'9B Sem 2'!T40</f>
        <v>30</v>
      </c>
      <c r="V115" s="36">
        <f>'9B Sem 2'!U40</f>
        <v>0</v>
      </c>
      <c r="W115" s="36">
        <f>'9B Sem 2'!V40</f>
        <v>0</v>
      </c>
      <c r="X115" s="5"/>
      <c r="Y115" s="5"/>
      <c r="Z115" s="5"/>
      <c r="AA115" s="5"/>
      <c r="AB115" s="5"/>
    </row>
    <row r="116" spans="1:28" ht="18.95" customHeight="1" thickBot="1" x14ac:dyDescent="0.3">
      <c r="A116" s="234"/>
      <c r="B116" s="218"/>
      <c r="C116" s="213">
        <v>15</v>
      </c>
      <c r="D116" s="217" t="s">
        <v>20</v>
      </c>
      <c r="E116" s="69" t="s">
        <v>16</v>
      </c>
      <c r="F116" s="22">
        <f>AVERAGE(F114:F115)</f>
        <v>79</v>
      </c>
      <c r="G116" s="22">
        <f t="shared" ref="G116:W116" si="36">AVERAGE(G114:G115)</f>
        <v>73</v>
      </c>
      <c r="H116" s="22">
        <f t="shared" si="36"/>
        <v>74</v>
      </c>
      <c r="I116" s="22">
        <f t="shared" si="36"/>
        <v>67</v>
      </c>
      <c r="J116" s="22">
        <f t="shared" si="36"/>
        <v>66</v>
      </c>
      <c r="K116" s="22">
        <f t="shared" si="36"/>
        <v>62.5</v>
      </c>
      <c r="L116" s="22">
        <f t="shared" si="36"/>
        <v>62.5</v>
      </c>
      <c r="M116" s="22">
        <f t="shared" si="36"/>
        <v>68.5</v>
      </c>
      <c r="N116" s="22">
        <f t="shared" si="36"/>
        <v>62</v>
      </c>
      <c r="O116" s="22">
        <f t="shared" si="36"/>
        <v>76.5</v>
      </c>
      <c r="P116" s="22">
        <f t="shared" si="36"/>
        <v>69.5</v>
      </c>
      <c r="Q116" s="22">
        <f t="shared" si="36"/>
        <v>80</v>
      </c>
      <c r="R116" s="22">
        <f t="shared" si="36"/>
        <v>55</v>
      </c>
      <c r="S116" s="22">
        <f t="shared" si="36"/>
        <v>895.5</v>
      </c>
      <c r="T116" s="192">
        <f t="shared" si="36"/>
        <v>68.884615384615387</v>
      </c>
      <c r="U116" s="22">
        <f>'9B Sem avr'!$H$40</f>
        <v>32</v>
      </c>
      <c r="V116" s="22">
        <f t="shared" si="36"/>
        <v>0</v>
      </c>
      <c r="W116" s="22">
        <f t="shared" si="36"/>
        <v>0</v>
      </c>
      <c r="X116" s="5"/>
      <c r="Y116" s="5"/>
      <c r="Z116" s="5"/>
      <c r="AA116" s="5"/>
      <c r="AB116" s="5"/>
    </row>
    <row r="117" spans="1:28" ht="18.95" customHeight="1" thickBot="1" x14ac:dyDescent="0.3">
      <c r="A117" s="234">
        <v>38</v>
      </c>
      <c r="B117" s="218"/>
      <c r="C117" s="213">
        <v>15</v>
      </c>
      <c r="D117" s="217" t="s">
        <v>20</v>
      </c>
      <c r="E117" s="69" t="s">
        <v>21</v>
      </c>
      <c r="F117" s="22">
        <f>'9B Sem 1'!E41</f>
        <v>83</v>
      </c>
      <c r="G117" s="22">
        <f>'9B Sem 1'!F41</f>
        <v>73</v>
      </c>
      <c r="H117" s="22">
        <f>'9B Sem 1'!G41</f>
        <v>93</v>
      </c>
      <c r="I117" s="22">
        <f>'9B Sem 1'!H41</f>
        <v>75</v>
      </c>
      <c r="J117" s="22">
        <f>'9B Sem 1'!I41</f>
        <v>81</v>
      </c>
      <c r="K117" s="22">
        <f>'9B Sem 1'!J41</f>
        <v>72</v>
      </c>
      <c r="L117" s="22">
        <f>'9B Sem 1'!K41</f>
        <v>82</v>
      </c>
      <c r="M117" s="22">
        <f>'9B Sem 1'!L41</f>
        <v>73</v>
      </c>
      <c r="N117" s="22">
        <f>'9B Sem 1'!M41</f>
        <v>78</v>
      </c>
      <c r="O117" s="22">
        <f>'9B Sem 1'!N41</f>
        <v>80</v>
      </c>
      <c r="P117" s="22">
        <f>'9B Sem 1'!O41</f>
        <v>77</v>
      </c>
      <c r="Q117" s="22">
        <f>'9B Sem 1'!P41</f>
        <v>85</v>
      </c>
      <c r="R117" s="22">
        <f>'9B Sem 1'!Q41</f>
        <v>60</v>
      </c>
      <c r="S117" s="22">
        <f>'9B Sem 1'!R41</f>
        <v>1012</v>
      </c>
      <c r="T117" s="192">
        <f>'9B Sem 1'!S41</f>
        <v>77.84615384615384</v>
      </c>
      <c r="U117" s="22">
        <f>'9B Sem 1'!T41</f>
        <v>17</v>
      </c>
      <c r="V117" s="36">
        <f>'9B Sem 1'!U41</f>
        <v>0</v>
      </c>
      <c r="W117" s="36">
        <f>'9B Sem 1'!V41</f>
        <v>0</v>
      </c>
      <c r="X117" s="5"/>
      <c r="Y117" s="5"/>
      <c r="Z117" s="5"/>
      <c r="AA117" s="5"/>
      <c r="AB117" s="5"/>
    </row>
    <row r="118" spans="1:28" ht="18.95" customHeight="1" thickBot="1" x14ac:dyDescent="0.3">
      <c r="A118" s="234"/>
      <c r="B118" s="218"/>
      <c r="C118" s="213">
        <v>15</v>
      </c>
      <c r="D118" s="217" t="s">
        <v>20</v>
      </c>
      <c r="E118" s="69" t="s">
        <v>22</v>
      </c>
      <c r="F118" s="22">
        <f>'9B Sem 2'!E41</f>
        <v>82</v>
      </c>
      <c r="G118" s="22">
        <f>'9B Sem 2'!F41</f>
        <v>66</v>
      </c>
      <c r="H118" s="22">
        <f>'9B Sem 2'!G41</f>
        <v>89</v>
      </c>
      <c r="I118" s="22">
        <f>'9B Sem 2'!H41</f>
        <v>74</v>
      </c>
      <c r="J118" s="22">
        <f>'9B Sem 2'!I41</f>
        <v>77</v>
      </c>
      <c r="K118" s="22">
        <f>'9B Sem 2'!J41</f>
        <v>71</v>
      </c>
      <c r="L118" s="22">
        <f>'9B Sem 2'!K41</f>
        <v>71</v>
      </c>
      <c r="M118" s="22">
        <f>'9B Sem 2'!L41</f>
        <v>88</v>
      </c>
      <c r="N118" s="22">
        <f>'9B Sem 2'!M41</f>
        <v>72</v>
      </c>
      <c r="O118" s="22">
        <f>'9B Sem 2'!N41</f>
        <v>84</v>
      </c>
      <c r="P118" s="22">
        <f>'9B Sem 2'!O41</f>
        <v>71</v>
      </c>
      <c r="Q118" s="22">
        <f>'9B Sem 2'!P41</f>
        <v>90</v>
      </c>
      <c r="R118" s="22">
        <f>'9B Sem 2'!Q41</f>
        <v>58</v>
      </c>
      <c r="S118" s="22">
        <f>'9B Sem 2'!R41</f>
        <v>993</v>
      </c>
      <c r="T118" s="192">
        <f>'9B Sem 2'!S41</f>
        <v>76.384615384615387</v>
      </c>
      <c r="U118" s="22">
        <f>'9B Sem 2'!T41</f>
        <v>21</v>
      </c>
      <c r="V118" s="36">
        <f>'9B Sem 2'!U41</f>
        <v>0</v>
      </c>
      <c r="W118" s="36">
        <f>'9B Sem 2'!V41</f>
        <v>0</v>
      </c>
      <c r="X118" s="5"/>
      <c r="Y118" s="5"/>
      <c r="Z118" s="5"/>
      <c r="AA118" s="5"/>
      <c r="AB118" s="5"/>
    </row>
    <row r="119" spans="1:28" ht="18.95" customHeight="1" thickBot="1" x14ac:dyDescent="0.3">
      <c r="A119" s="234"/>
      <c r="B119" s="218"/>
      <c r="C119" s="213">
        <v>15</v>
      </c>
      <c r="D119" s="217" t="s">
        <v>20</v>
      </c>
      <c r="E119" s="69" t="s">
        <v>16</v>
      </c>
      <c r="F119" s="22">
        <f>AVERAGE(F117:F118)</f>
        <v>82.5</v>
      </c>
      <c r="G119" s="22">
        <f t="shared" ref="G119:W119" si="37">AVERAGE(G117:G118)</f>
        <v>69.5</v>
      </c>
      <c r="H119" s="22">
        <f t="shared" si="37"/>
        <v>91</v>
      </c>
      <c r="I119" s="22">
        <f t="shared" si="37"/>
        <v>74.5</v>
      </c>
      <c r="J119" s="22">
        <f t="shared" si="37"/>
        <v>79</v>
      </c>
      <c r="K119" s="22">
        <f t="shared" si="37"/>
        <v>71.5</v>
      </c>
      <c r="L119" s="22">
        <f t="shared" si="37"/>
        <v>76.5</v>
      </c>
      <c r="M119" s="22">
        <f t="shared" si="37"/>
        <v>80.5</v>
      </c>
      <c r="N119" s="22">
        <f t="shared" si="37"/>
        <v>75</v>
      </c>
      <c r="O119" s="22">
        <f t="shared" si="37"/>
        <v>82</v>
      </c>
      <c r="P119" s="22">
        <f t="shared" si="37"/>
        <v>74</v>
      </c>
      <c r="Q119" s="22">
        <f t="shared" si="37"/>
        <v>87.5</v>
      </c>
      <c r="R119" s="22">
        <f t="shared" si="37"/>
        <v>59</v>
      </c>
      <c r="S119" s="22">
        <f t="shared" si="37"/>
        <v>1002.5</v>
      </c>
      <c r="T119" s="192">
        <f t="shared" si="37"/>
        <v>77.115384615384613</v>
      </c>
      <c r="U119" s="22">
        <f>'9B Sem avr'!$H$41</f>
        <v>19</v>
      </c>
      <c r="V119" s="22">
        <f t="shared" si="37"/>
        <v>0</v>
      </c>
      <c r="W119" s="22">
        <f t="shared" si="37"/>
        <v>0</v>
      </c>
      <c r="X119" s="5"/>
      <c r="Y119" s="5"/>
      <c r="Z119" s="5"/>
      <c r="AA119" s="5"/>
      <c r="AB119" s="5"/>
    </row>
    <row r="120" spans="1:28" ht="18.95" customHeight="1" thickBot="1" x14ac:dyDescent="0.3">
      <c r="A120" s="241">
        <v>39</v>
      </c>
      <c r="B120" s="218"/>
      <c r="C120" s="213">
        <v>15</v>
      </c>
      <c r="D120" s="217" t="s">
        <v>20</v>
      </c>
      <c r="E120" s="69" t="s">
        <v>21</v>
      </c>
      <c r="F120" s="22">
        <f>'9B Sem 1'!E42</f>
        <v>86</v>
      </c>
      <c r="G120" s="22">
        <f>'9B Sem 1'!F42</f>
        <v>86</v>
      </c>
      <c r="H120" s="23">
        <f>'9B Sem 1'!G42</f>
        <v>88</v>
      </c>
      <c r="I120" s="22">
        <f>'9B Sem 1'!H42</f>
        <v>82</v>
      </c>
      <c r="J120" s="22">
        <f>'9B Sem 1'!I42</f>
        <v>80</v>
      </c>
      <c r="K120" s="22">
        <f>'9B Sem 1'!J42</f>
        <v>81</v>
      </c>
      <c r="L120" s="22">
        <f>'9B Sem 1'!K42</f>
        <v>95</v>
      </c>
      <c r="M120" s="22">
        <f>'9B Sem 1'!L42</f>
        <v>80</v>
      </c>
      <c r="N120" s="22">
        <f>'9B Sem 1'!M42</f>
        <v>90</v>
      </c>
      <c r="O120" s="22">
        <f>'9B Sem 1'!N42</f>
        <v>85</v>
      </c>
      <c r="P120" s="22">
        <f>'9B Sem 1'!O42</f>
        <v>81</v>
      </c>
      <c r="Q120" s="22">
        <f>'9B Sem 1'!P42</f>
        <v>94</v>
      </c>
      <c r="R120" s="22">
        <f>'9B Sem 1'!Q42</f>
        <v>84</v>
      </c>
      <c r="S120" s="22">
        <f>'9B Sem 1'!R42</f>
        <v>1112</v>
      </c>
      <c r="T120" s="192">
        <f>'9B Sem 1'!S42</f>
        <v>85.538461538461533</v>
      </c>
      <c r="U120" s="22">
        <f>'9B Sem 1'!T42</f>
        <v>5</v>
      </c>
      <c r="V120" s="36">
        <f>'9B Sem 1'!U42</f>
        <v>0</v>
      </c>
      <c r="W120" s="36">
        <f>'9B Sem 1'!V42</f>
        <v>0</v>
      </c>
      <c r="X120" s="5"/>
      <c r="Y120" s="5"/>
      <c r="Z120" s="5"/>
      <c r="AA120" s="5"/>
      <c r="AB120" s="5"/>
    </row>
    <row r="121" spans="1:28" ht="18.95" customHeight="1" thickBot="1" x14ac:dyDescent="0.3">
      <c r="A121" s="241"/>
      <c r="B121" s="218"/>
      <c r="C121" s="213">
        <v>15</v>
      </c>
      <c r="D121" s="217" t="s">
        <v>20</v>
      </c>
      <c r="E121" s="69" t="s">
        <v>22</v>
      </c>
      <c r="F121" s="22">
        <f>'9B Sem 2'!E42</f>
        <v>85</v>
      </c>
      <c r="G121" s="22">
        <f>'9B Sem 2'!F42</f>
        <v>69</v>
      </c>
      <c r="H121" s="23">
        <f>'9B Sem 2'!G42</f>
        <v>87</v>
      </c>
      <c r="I121" s="22">
        <f>'9B Sem 2'!H42</f>
        <v>78</v>
      </c>
      <c r="J121" s="22">
        <f>'9B Sem 2'!I42</f>
        <v>78</v>
      </c>
      <c r="K121" s="22">
        <f>'9B Sem 2'!J42</f>
        <v>81</v>
      </c>
      <c r="L121" s="22">
        <f>'9B Sem 2'!K42</f>
        <v>73</v>
      </c>
      <c r="M121" s="22">
        <f>'9B Sem 2'!L42</f>
        <v>89</v>
      </c>
      <c r="N121" s="22">
        <f>'9B Sem 2'!M42</f>
        <v>84</v>
      </c>
      <c r="O121" s="22">
        <f>'9B Sem 2'!N42</f>
        <v>90</v>
      </c>
      <c r="P121" s="22">
        <f>'9B Sem 2'!O42</f>
        <v>85</v>
      </c>
      <c r="Q121" s="22">
        <f>'9B Sem 2'!P42</f>
        <v>93</v>
      </c>
      <c r="R121" s="22">
        <f>'9B Sem 2'!Q42</f>
        <v>68</v>
      </c>
      <c r="S121" s="22">
        <f>'9B Sem 2'!R42</f>
        <v>1060</v>
      </c>
      <c r="T121" s="192">
        <f>'9B Sem 2'!S42</f>
        <v>81.538461538461533</v>
      </c>
      <c r="U121" s="22">
        <f>'9B Sem 2'!T42</f>
        <v>11</v>
      </c>
      <c r="V121" s="36">
        <f>'9B Sem 2'!U42</f>
        <v>0</v>
      </c>
      <c r="W121" s="36">
        <f>'9B Sem 2'!V42</f>
        <v>0</v>
      </c>
      <c r="X121" s="5"/>
      <c r="Y121" s="5"/>
      <c r="Z121" s="5"/>
      <c r="AA121" s="5"/>
      <c r="AB121" s="5"/>
    </row>
    <row r="122" spans="1:28" ht="18.95" customHeight="1" thickBot="1" x14ac:dyDescent="0.3">
      <c r="A122" s="241"/>
      <c r="B122" s="218"/>
      <c r="C122" s="213">
        <v>15</v>
      </c>
      <c r="D122" s="217" t="s">
        <v>20</v>
      </c>
      <c r="E122" s="69" t="s">
        <v>16</v>
      </c>
      <c r="F122" s="22">
        <f>AVERAGE(F120:F121)</f>
        <v>85.5</v>
      </c>
      <c r="G122" s="22">
        <f t="shared" ref="G122:W122" si="38">AVERAGE(G120:G121)</f>
        <v>77.5</v>
      </c>
      <c r="H122" s="22">
        <f t="shared" si="38"/>
        <v>87.5</v>
      </c>
      <c r="I122" s="22">
        <f t="shared" si="38"/>
        <v>80</v>
      </c>
      <c r="J122" s="22">
        <f t="shared" si="38"/>
        <v>79</v>
      </c>
      <c r="K122" s="22">
        <f t="shared" si="38"/>
        <v>81</v>
      </c>
      <c r="L122" s="22">
        <f t="shared" si="38"/>
        <v>84</v>
      </c>
      <c r="M122" s="22">
        <f t="shared" si="38"/>
        <v>84.5</v>
      </c>
      <c r="N122" s="22">
        <f t="shared" si="38"/>
        <v>87</v>
      </c>
      <c r="O122" s="22">
        <f t="shared" si="38"/>
        <v>87.5</v>
      </c>
      <c r="P122" s="22">
        <f t="shared" si="38"/>
        <v>83</v>
      </c>
      <c r="Q122" s="22">
        <f t="shared" si="38"/>
        <v>93.5</v>
      </c>
      <c r="R122" s="22">
        <f t="shared" si="38"/>
        <v>76</v>
      </c>
      <c r="S122" s="22">
        <f t="shared" si="38"/>
        <v>1086</v>
      </c>
      <c r="T122" s="192">
        <f t="shared" si="38"/>
        <v>83.538461538461533</v>
      </c>
      <c r="U122" s="22">
        <f>'9B Sem avr'!$H$42</f>
        <v>8</v>
      </c>
      <c r="V122" s="22">
        <f t="shared" si="38"/>
        <v>0</v>
      </c>
      <c r="W122" s="22">
        <f t="shared" si="38"/>
        <v>0</v>
      </c>
      <c r="X122" s="5"/>
      <c r="Y122" s="5"/>
      <c r="Z122" s="5"/>
      <c r="AA122" s="5"/>
      <c r="AB122" s="5"/>
    </row>
    <row r="123" spans="1:28" ht="18.95" customHeight="1" thickBot="1" x14ac:dyDescent="0.3">
      <c r="A123" s="234">
        <v>40</v>
      </c>
      <c r="B123" s="218"/>
      <c r="C123" s="213">
        <v>15</v>
      </c>
      <c r="D123" s="217" t="s">
        <v>23</v>
      </c>
      <c r="E123" s="69" t="s">
        <v>21</v>
      </c>
      <c r="F123" s="22">
        <f>'9B Sem 1'!E43</f>
        <v>80</v>
      </c>
      <c r="G123" s="22">
        <f>'9B Sem 1'!F43</f>
        <v>68</v>
      </c>
      <c r="H123" s="22">
        <f>'9B Sem 1'!G43</f>
        <v>60</v>
      </c>
      <c r="I123" s="22">
        <f>'9B Sem 1'!H43</f>
        <v>58</v>
      </c>
      <c r="J123" s="22">
        <f>'9B Sem 1'!I43</f>
        <v>64</v>
      </c>
      <c r="K123" s="22">
        <f>'9B Sem 1'!J43</f>
        <v>52</v>
      </c>
      <c r="L123" s="23">
        <f>'9B Sem 1'!K43</f>
        <v>73</v>
      </c>
      <c r="M123" s="22">
        <f>'9B Sem 1'!L43</f>
        <v>61</v>
      </c>
      <c r="N123" s="22">
        <f>'9B Sem 1'!M43</f>
        <v>75</v>
      </c>
      <c r="O123" s="22">
        <f>'9B Sem 1'!N43</f>
        <v>88</v>
      </c>
      <c r="P123" s="22">
        <f>'9B Sem 1'!O43</f>
        <v>73</v>
      </c>
      <c r="Q123" s="22">
        <f>'9B Sem 1'!P43</f>
        <v>87</v>
      </c>
      <c r="R123" s="22">
        <f>'9B Sem 1'!Q43</f>
        <v>61</v>
      </c>
      <c r="S123" s="22">
        <f>'9B Sem 1'!R43</f>
        <v>900</v>
      </c>
      <c r="T123" s="192">
        <f>'9B Sem 1'!S43</f>
        <v>69.230769230769226</v>
      </c>
      <c r="U123" s="22">
        <f>'9B Sem 1'!T43</f>
        <v>29</v>
      </c>
      <c r="V123" s="36">
        <f>'9B Sem 1'!U43</f>
        <v>0</v>
      </c>
      <c r="W123" s="36">
        <f>'9B Sem 1'!V43</f>
        <v>0</v>
      </c>
      <c r="X123" s="5"/>
      <c r="Y123" s="5"/>
      <c r="Z123" s="5"/>
      <c r="AA123" s="5"/>
      <c r="AB123" s="5"/>
    </row>
    <row r="124" spans="1:28" ht="18.95" customHeight="1" thickBot="1" x14ac:dyDescent="0.3">
      <c r="A124" s="234"/>
      <c r="B124" s="218"/>
      <c r="C124" s="213">
        <v>15</v>
      </c>
      <c r="D124" s="217" t="s">
        <v>23</v>
      </c>
      <c r="E124" s="69" t="s">
        <v>22</v>
      </c>
      <c r="F124" s="22">
        <f>'9B Sem 2'!E43</f>
        <v>80</v>
      </c>
      <c r="G124" s="22">
        <f>'9B Sem 2'!F43</f>
        <v>65</v>
      </c>
      <c r="H124" s="22">
        <f>'9B Sem 2'!G43</f>
        <v>69</v>
      </c>
      <c r="I124" s="22">
        <f>'9B Sem 2'!H43</f>
        <v>50</v>
      </c>
      <c r="J124" s="22">
        <f>'9B Sem 2'!I43</f>
        <v>61</v>
      </c>
      <c r="K124" s="22">
        <f>'9B Sem 2'!J43</f>
        <v>61</v>
      </c>
      <c r="L124" s="23">
        <f>'9B Sem 2'!K43</f>
        <v>66</v>
      </c>
      <c r="M124" s="22">
        <f>'9B Sem 2'!L43</f>
        <v>74</v>
      </c>
      <c r="N124" s="22">
        <f>'9B Sem 2'!M43</f>
        <v>67</v>
      </c>
      <c r="O124" s="22">
        <f>'9B Sem 2'!N43</f>
        <v>86</v>
      </c>
      <c r="P124" s="22">
        <f>'9B Sem 2'!O43</f>
        <v>79</v>
      </c>
      <c r="Q124" s="22">
        <f>'9B Sem 2'!P43</f>
        <v>91</v>
      </c>
      <c r="R124" s="22">
        <f>'9B Sem 2'!Q43</f>
        <v>51</v>
      </c>
      <c r="S124" s="22">
        <f>'9B Sem 2'!R43</f>
        <v>900</v>
      </c>
      <c r="T124" s="192">
        <f>'9B Sem 2'!S43</f>
        <v>69.230769230769226</v>
      </c>
      <c r="U124" s="22">
        <f>'9B Sem 2'!T43</f>
        <v>31</v>
      </c>
      <c r="V124" s="36">
        <f>'9B Sem 2'!U43</f>
        <v>0</v>
      </c>
      <c r="W124" s="36">
        <f>'9B Sem 2'!V43</f>
        <v>0</v>
      </c>
      <c r="X124" s="5"/>
      <c r="Y124" s="5"/>
      <c r="Z124" s="5"/>
      <c r="AA124" s="5"/>
      <c r="AB124" s="5"/>
    </row>
    <row r="125" spans="1:28" ht="18.95" customHeight="1" thickBot="1" x14ac:dyDescent="0.3">
      <c r="A125" s="234"/>
      <c r="B125" s="218"/>
      <c r="C125" s="213">
        <v>15</v>
      </c>
      <c r="D125" s="217" t="s">
        <v>23</v>
      </c>
      <c r="E125" s="69" t="s">
        <v>16</v>
      </c>
      <c r="F125" s="22">
        <f>AVERAGE(F123:F124)</f>
        <v>80</v>
      </c>
      <c r="G125" s="22">
        <f t="shared" ref="G125:W125" si="39">AVERAGE(G123:G124)</f>
        <v>66.5</v>
      </c>
      <c r="H125" s="22">
        <f t="shared" si="39"/>
        <v>64.5</v>
      </c>
      <c r="I125" s="22">
        <f t="shared" si="39"/>
        <v>54</v>
      </c>
      <c r="J125" s="22">
        <f t="shared" si="39"/>
        <v>62.5</v>
      </c>
      <c r="K125" s="22">
        <f t="shared" si="39"/>
        <v>56.5</v>
      </c>
      <c r="L125" s="22">
        <f t="shared" si="39"/>
        <v>69.5</v>
      </c>
      <c r="M125" s="22">
        <f t="shared" si="39"/>
        <v>67.5</v>
      </c>
      <c r="N125" s="22">
        <f t="shared" si="39"/>
        <v>71</v>
      </c>
      <c r="O125" s="22">
        <f t="shared" si="39"/>
        <v>87</v>
      </c>
      <c r="P125" s="22">
        <f t="shared" si="39"/>
        <v>76</v>
      </c>
      <c r="Q125" s="22">
        <f t="shared" si="39"/>
        <v>89</v>
      </c>
      <c r="R125" s="22">
        <f t="shared" si="39"/>
        <v>56</v>
      </c>
      <c r="S125" s="22">
        <f t="shared" si="39"/>
        <v>900</v>
      </c>
      <c r="T125" s="192">
        <f t="shared" si="39"/>
        <v>69.230769230769226</v>
      </c>
      <c r="U125" s="22">
        <f>'9B Sem avr'!$H$43</f>
        <v>31</v>
      </c>
      <c r="V125" s="22">
        <f t="shared" si="39"/>
        <v>0</v>
      </c>
      <c r="W125" s="22">
        <f t="shared" si="39"/>
        <v>0</v>
      </c>
      <c r="X125" s="5"/>
      <c r="Y125" s="5"/>
      <c r="Z125" s="5"/>
      <c r="AA125" s="5"/>
      <c r="AB125" s="5"/>
    </row>
    <row r="126" spans="1:28" ht="18.95" customHeight="1" thickBot="1" x14ac:dyDescent="0.3">
      <c r="A126" s="241">
        <v>41</v>
      </c>
      <c r="B126" s="218"/>
      <c r="C126" s="213">
        <v>15</v>
      </c>
      <c r="D126" s="217" t="s">
        <v>20</v>
      </c>
      <c r="E126" s="69" t="s">
        <v>21</v>
      </c>
      <c r="F126" s="22">
        <f>'9B Sem 1'!E44</f>
        <v>80</v>
      </c>
      <c r="G126" s="22">
        <f>'9B Sem 1'!F44</f>
        <v>82</v>
      </c>
      <c r="H126" s="22">
        <f>'9B Sem 1'!G44</f>
        <v>84</v>
      </c>
      <c r="I126" s="22">
        <f>'9B Sem 1'!H44</f>
        <v>73</v>
      </c>
      <c r="J126" s="22">
        <f>'9B Sem 1'!I44</f>
        <v>78</v>
      </c>
      <c r="K126" s="22">
        <f>'9B Sem 1'!J44</f>
        <v>75</v>
      </c>
      <c r="L126" s="22">
        <f>'9B Sem 1'!K44</f>
        <v>74</v>
      </c>
      <c r="M126" s="22">
        <f>'9B Sem 1'!L44</f>
        <v>67</v>
      </c>
      <c r="N126" s="22">
        <f>'9B Sem 1'!M44</f>
        <v>84</v>
      </c>
      <c r="O126" s="22">
        <f>'9B Sem 1'!N44</f>
        <v>88</v>
      </c>
      <c r="P126" s="22">
        <f>'9B Sem 1'!O44</f>
        <v>69</v>
      </c>
      <c r="Q126" s="22">
        <f>'9B Sem 1'!P44</f>
        <v>88</v>
      </c>
      <c r="R126" s="22">
        <f>'9B Sem 1'!Q44</f>
        <v>94</v>
      </c>
      <c r="S126" s="22">
        <f>'9B Sem 1'!R44</f>
        <v>1036</v>
      </c>
      <c r="T126" s="192">
        <f>'9B Sem 1'!S44</f>
        <v>79.692307692307693</v>
      </c>
      <c r="U126" s="22">
        <f>'9B Sem 1'!T44</f>
        <v>13</v>
      </c>
      <c r="V126" s="36">
        <f>'9B Sem 1'!U44</f>
        <v>0</v>
      </c>
      <c r="W126" s="36">
        <f>'9B Sem 1'!V44</f>
        <v>0</v>
      </c>
      <c r="X126" s="5"/>
      <c r="Y126" s="5"/>
      <c r="Z126" s="5"/>
      <c r="AA126" s="5"/>
      <c r="AB126" s="5"/>
    </row>
    <row r="127" spans="1:28" ht="18.95" customHeight="1" thickBot="1" x14ac:dyDescent="0.3">
      <c r="A127" s="241"/>
      <c r="B127" s="218"/>
      <c r="C127" s="213">
        <v>15</v>
      </c>
      <c r="D127" s="217" t="s">
        <v>20</v>
      </c>
      <c r="E127" s="69" t="s">
        <v>22</v>
      </c>
      <c r="F127" s="22">
        <f>'9B Sem 2'!E44</f>
        <v>84</v>
      </c>
      <c r="G127" s="22">
        <f>'9B Sem 2'!F44</f>
        <v>76</v>
      </c>
      <c r="H127" s="22">
        <f>'9B Sem 2'!G44</f>
        <v>79</v>
      </c>
      <c r="I127" s="22">
        <f>'9B Sem 2'!H44</f>
        <v>72</v>
      </c>
      <c r="J127" s="22">
        <f>'9B Sem 2'!I44</f>
        <v>71</v>
      </c>
      <c r="K127" s="22">
        <f>'9B Sem 2'!J44</f>
        <v>82</v>
      </c>
      <c r="L127" s="22">
        <f>'9B Sem 2'!K44</f>
        <v>79</v>
      </c>
      <c r="M127" s="22">
        <f>'9B Sem 2'!L44</f>
        <v>84</v>
      </c>
      <c r="N127" s="22">
        <f>'9B Sem 2'!M44</f>
        <v>83</v>
      </c>
      <c r="O127" s="22">
        <f>'9B Sem 2'!N44</f>
        <v>91</v>
      </c>
      <c r="P127" s="22">
        <f>'9B Sem 2'!O44</f>
        <v>88</v>
      </c>
      <c r="Q127" s="22">
        <f>'9B Sem 2'!P44</f>
        <v>87</v>
      </c>
      <c r="R127" s="22">
        <f>'9B Sem 2'!Q44</f>
        <v>78</v>
      </c>
      <c r="S127" s="22">
        <f>'9B Sem 2'!R44</f>
        <v>1054</v>
      </c>
      <c r="T127" s="192">
        <f>'9B Sem 2'!S44</f>
        <v>81.07692307692308</v>
      </c>
      <c r="U127" s="22">
        <f>'9B Sem 2'!T44</f>
        <v>13</v>
      </c>
      <c r="V127" s="36">
        <f>'9B Sem 2'!U44</f>
        <v>0</v>
      </c>
      <c r="W127" s="36">
        <f>'9B Sem 2'!V44</f>
        <v>0</v>
      </c>
      <c r="X127" s="5"/>
      <c r="Y127" s="5"/>
      <c r="Z127" s="5"/>
      <c r="AA127" s="5"/>
      <c r="AB127" s="5"/>
    </row>
    <row r="128" spans="1:28" ht="18.95" customHeight="1" thickBot="1" x14ac:dyDescent="0.3">
      <c r="A128" s="241"/>
      <c r="B128" s="218"/>
      <c r="C128" s="213">
        <v>15</v>
      </c>
      <c r="D128" s="217" t="s">
        <v>20</v>
      </c>
      <c r="E128" s="69" t="s">
        <v>16</v>
      </c>
      <c r="F128" s="22">
        <f>AVERAGE(F126:F127)</f>
        <v>82</v>
      </c>
      <c r="G128" s="22">
        <f t="shared" ref="G128:W128" si="40">AVERAGE(G126:G127)</f>
        <v>79</v>
      </c>
      <c r="H128" s="22">
        <f t="shared" si="40"/>
        <v>81.5</v>
      </c>
      <c r="I128" s="22">
        <f t="shared" si="40"/>
        <v>72.5</v>
      </c>
      <c r="J128" s="22">
        <f t="shared" si="40"/>
        <v>74.5</v>
      </c>
      <c r="K128" s="22">
        <f t="shared" si="40"/>
        <v>78.5</v>
      </c>
      <c r="L128" s="22">
        <f t="shared" si="40"/>
        <v>76.5</v>
      </c>
      <c r="M128" s="22">
        <f t="shared" si="40"/>
        <v>75.5</v>
      </c>
      <c r="N128" s="22">
        <f t="shared" si="40"/>
        <v>83.5</v>
      </c>
      <c r="O128" s="22">
        <f t="shared" si="40"/>
        <v>89.5</v>
      </c>
      <c r="P128" s="22">
        <f t="shared" si="40"/>
        <v>78.5</v>
      </c>
      <c r="Q128" s="22">
        <f t="shared" si="40"/>
        <v>87.5</v>
      </c>
      <c r="R128" s="22">
        <f t="shared" si="40"/>
        <v>86</v>
      </c>
      <c r="S128" s="22">
        <f t="shared" si="40"/>
        <v>1045</v>
      </c>
      <c r="T128" s="192">
        <f t="shared" si="40"/>
        <v>80.384615384615387</v>
      </c>
      <c r="U128" s="22">
        <f>'9B Sem avr'!$H$44</f>
        <v>13</v>
      </c>
      <c r="V128" s="22">
        <f t="shared" si="40"/>
        <v>0</v>
      </c>
      <c r="W128" s="22">
        <f t="shared" si="40"/>
        <v>0</v>
      </c>
      <c r="X128" s="5"/>
      <c r="Y128" s="5"/>
      <c r="Z128" s="5"/>
      <c r="AA128" s="5"/>
      <c r="AB128" s="5"/>
    </row>
    <row r="129" spans="1:28" ht="18.95" customHeight="1" thickBot="1" x14ac:dyDescent="0.3">
      <c r="A129" s="241">
        <v>42</v>
      </c>
      <c r="B129" s="218"/>
      <c r="C129" s="213">
        <v>12</v>
      </c>
      <c r="D129" s="217" t="s">
        <v>23</v>
      </c>
      <c r="E129" s="69" t="s">
        <v>21</v>
      </c>
      <c r="F129" s="22">
        <f>'9B Sem 1'!E45</f>
        <v>80</v>
      </c>
      <c r="G129" s="23">
        <f>'9B Sem 1'!F45</f>
        <v>88</v>
      </c>
      <c r="H129" s="23">
        <f>'9B Sem 1'!G45</f>
        <v>65</v>
      </c>
      <c r="I129" s="23">
        <f>'9B Sem 1'!H45</f>
        <v>55</v>
      </c>
      <c r="J129" s="22">
        <f>'9B Sem 1'!I45</f>
        <v>74</v>
      </c>
      <c r="K129" s="22">
        <f>'9B Sem 1'!J45</f>
        <v>74</v>
      </c>
      <c r="L129" s="22">
        <f>'9B Sem 1'!K45</f>
        <v>74</v>
      </c>
      <c r="M129" s="22">
        <f>'9B Sem 1'!L45</f>
        <v>60</v>
      </c>
      <c r="N129" s="22">
        <f>'9B Sem 1'!M45</f>
        <v>81</v>
      </c>
      <c r="O129" s="23">
        <f>'9B Sem 1'!N45</f>
        <v>83</v>
      </c>
      <c r="P129" s="22">
        <f>'9B Sem 1'!O45</f>
        <v>77</v>
      </c>
      <c r="Q129" s="22">
        <f>'9B Sem 1'!P45</f>
        <v>88</v>
      </c>
      <c r="R129" s="22">
        <f>'9B Sem 1'!Q45</f>
        <v>78</v>
      </c>
      <c r="S129" s="22">
        <f>'9B Sem 1'!R45</f>
        <v>977</v>
      </c>
      <c r="T129" s="192">
        <f>'9B Sem 1'!S45</f>
        <v>75.15384615384616</v>
      </c>
      <c r="U129" s="22">
        <f>'9B Sem 1'!T45</f>
        <v>20</v>
      </c>
      <c r="V129" s="36">
        <f>'9B Sem 1'!U45</f>
        <v>0</v>
      </c>
      <c r="W129" s="36">
        <f>'9B Sem 1'!V45</f>
        <v>0</v>
      </c>
      <c r="X129" s="5"/>
      <c r="Y129" s="5"/>
      <c r="Z129" s="5"/>
      <c r="AA129" s="5"/>
      <c r="AB129" s="5"/>
    </row>
    <row r="130" spans="1:28" ht="18.95" customHeight="1" thickBot="1" x14ac:dyDescent="0.3">
      <c r="A130" s="241"/>
      <c r="B130" s="218"/>
      <c r="C130" s="213">
        <v>12</v>
      </c>
      <c r="D130" s="217" t="s">
        <v>23</v>
      </c>
      <c r="E130" s="69" t="s">
        <v>22</v>
      </c>
      <c r="F130" s="22">
        <f>'9B Sem 2'!E45</f>
        <v>79</v>
      </c>
      <c r="G130" s="23">
        <f>'9B Sem 2'!F45</f>
        <v>80</v>
      </c>
      <c r="H130" s="23">
        <f>'9B Sem 2'!G45</f>
        <v>85</v>
      </c>
      <c r="I130" s="23">
        <f>'9B Sem 2'!H45</f>
        <v>78</v>
      </c>
      <c r="J130" s="22">
        <f>'9B Sem 2'!I45</f>
        <v>70</v>
      </c>
      <c r="K130" s="22">
        <f>'9B Sem 2'!J45</f>
        <v>88</v>
      </c>
      <c r="L130" s="22">
        <f>'9B Sem 2'!K45</f>
        <v>71</v>
      </c>
      <c r="M130" s="22">
        <f>'9B Sem 2'!L45</f>
        <v>81</v>
      </c>
      <c r="N130" s="22">
        <f>'9B Sem 2'!M45</f>
        <v>87</v>
      </c>
      <c r="O130" s="23">
        <f>'9B Sem 2'!N45</f>
        <v>95</v>
      </c>
      <c r="P130" s="22">
        <f>'9B Sem 2'!O45</f>
        <v>91</v>
      </c>
      <c r="Q130" s="22">
        <f>'9B Sem 2'!P45</f>
        <v>88</v>
      </c>
      <c r="R130" s="22">
        <f>'9B Sem 2'!Q45</f>
        <v>70</v>
      </c>
      <c r="S130" s="22">
        <f>'9B Sem 2'!R45</f>
        <v>1063</v>
      </c>
      <c r="T130" s="192">
        <f>'9B Sem 2'!S45</f>
        <v>81.769230769230774</v>
      </c>
      <c r="U130" s="22">
        <f>'9B Sem 2'!T45</f>
        <v>10</v>
      </c>
      <c r="V130" s="36">
        <f>'9B Sem 2'!U45</f>
        <v>0</v>
      </c>
      <c r="W130" s="36">
        <f>'9B Sem 2'!V45</f>
        <v>0</v>
      </c>
      <c r="X130" s="5"/>
      <c r="Y130" s="5"/>
      <c r="Z130" s="5"/>
      <c r="AA130" s="5"/>
      <c r="AB130" s="5"/>
    </row>
    <row r="131" spans="1:28" ht="18.95" customHeight="1" thickBot="1" x14ac:dyDescent="0.3">
      <c r="A131" s="241"/>
      <c r="B131" s="218"/>
      <c r="C131" s="213">
        <v>12</v>
      </c>
      <c r="D131" s="217" t="s">
        <v>23</v>
      </c>
      <c r="E131" s="69" t="s">
        <v>16</v>
      </c>
      <c r="F131" s="22">
        <f>AVERAGE(F129:F130)</f>
        <v>79.5</v>
      </c>
      <c r="G131" s="22">
        <f t="shared" ref="G131:W131" si="41">AVERAGE(G129:G130)</f>
        <v>84</v>
      </c>
      <c r="H131" s="22">
        <f t="shared" si="41"/>
        <v>75</v>
      </c>
      <c r="I131" s="22">
        <f t="shared" si="41"/>
        <v>66.5</v>
      </c>
      <c r="J131" s="22">
        <f t="shared" si="41"/>
        <v>72</v>
      </c>
      <c r="K131" s="22">
        <f t="shared" si="41"/>
        <v>81</v>
      </c>
      <c r="L131" s="22">
        <f t="shared" si="41"/>
        <v>72.5</v>
      </c>
      <c r="M131" s="22">
        <f t="shared" si="41"/>
        <v>70.5</v>
      </c>
      <c r="N131" s="22">
        <f t="shared" si="41"/>
        <v>84</v>
      </c>
      <c r="O131" s="22">
        <f t="shared" si="41"/>
        <v>89</v>
      </c>
      <c r="P131" s="22">
        <f t="shared" si="41"/>
        <v>84</v>
      </c>
      <c r="Q131" s="22">
        <f t="shared" si="41"/>
        <v>88</v>
      </c>
      <c r="R131" s="22">
        <f t="shared" si="41"/>
        <v>74</v>
      </c>
      <c r="S131" s="22">
        <f t="shared" si="41"/>
        <v>1020</v>
      </c>
      <c r="T131" s="192">
        <f t="shared" si="41"/>
        <v>78.461538461538467</v>
      </c>
      <c r="U131" s="22">
        <f>'9B Sem avr'!$H$45</f>
        <v>17</v>
      </c>
      <c r="V131" s="22">
        <f t="shared" si="41"/>
        <v>0</v>
      </c>
      <c r="W131" s="22">
        <f t="shared" si="41"/>
        <v>0</v>
      </c>
      <c r="X131" s="5"/>
      <c r="Y131" s="5"/>
      <c r="Z131" s="5"/>
      <c r="AA131" s="5"/>
      <c r="AB131" s="5"/>
    </row>
    <row r="132" spans="1:28" ht="18.95" customHeight="1" thickBot="1" x14ac:dyDescent="0.3">
      <c r="A132" s="241">
        <v>43</v>
      </c>
      <c r="B132" s="218"/>
      <c r="C132" s="213">
        <v>15</v>
      </c>
      <c r="D132" s="217" t="s">
        <v>20</v>
      </c>
      <c r="E132" s="69" t="s">
        <v>21</v>
      </c>
      <c r="F132" s="22">
        <f>'9B Sem 1'!E46</f>
        <v>60</v>
      </c>
      <c r="G132" s="23">
        <f>'9B Sem 1'!F46</f>
        <v>43</v>
      </c>
      <c r="H132" s="23">
        <f>'9B Sem 1'!G46</f>
        <v>51</v>
      </c>
      <c r="I132" s="22">
        <f>'9B Sem 1'!H46</f>
        <v>40</v>
      </c>
      <c r="J132" s="23">
        <f>'9B Sem 1'!I46</f>
        <v>39</v>
      </c>
      <c r="K132" s="22">
        <f>'9B Sem 1'!J46</f>
        <v>41</v>
      </c>
      <c r="L132" s="23">
        <f>'9B Sem 1'!K46</f>
        <v>45</v>
      </c>
      <c r="M132" s="23">
        <f>'9B Sem 1'!L46</f>
        <v>43</v>
      </c>
      <c r="N132" s="22">
        <f>'9B Sem 1'!M46</f>
        <v>50</v>
      </c>
      <c r="O132" s="22">
        <f>'9B Sem 1'!N46</f>
        <v>47</v>
      </c>
      <c r="P132" s="23">
        <f>'9B Sem 1'!O46</f>
        <v>44</v>
      </c>
      <c r="Q132" s="23">
        <f>'9B Sem 1'!P46</f>
        <v>76</v>
      </c>
      <c r="R132" s="23">
        <f>'9B Sem 1'!Q46</f>
        <v>61</v>
      </c>
      <c r="S132" s="22">
        <f>'9B Sem 1'!R46</f>
        <v>640</v>
      </c>
      <c r="T132" s="192">
        <f>'9B Sem 1'!S46</f>
        <v>49.230769230769234</v>
      </c>
      <c r="U132" s="22">
        <f>'9B Sem 1'!T46</f>
        <v>55</v>
      </c>
      <c r="V132" s="36">
        <f>'9B Sem 1'!U46</f>
        <v>0</v>
      </c>
      <c r="W132" s="36">
        <f>'9B Sem 1'!V46</f>
        <v>0</v>
      </c>
      <c r="X132" s="5"/>
      <c r="Y132" s="5"/>
      <c r="Z132" s="5"/>
      <c r="AA132" s="5"/>
      <c r="AB132" s="5"/>
    </row>
    <row r="133" spans="1:28" ht="18.95" customHeight="1" thickBot="1" x14ac:dyDescent="0.3">
      <c r="A133" s="241"/>
      <c r="B133" s="218"/>
      <c r="C133" s="213">
        <v>15</v>
      </c>
      <c r="D133" s="217" t="s">
        <v>20</v>
      </c>
      <c r="E133" s="69" t="s">
        <v>22</v>
      </c>
      <c r="F133" s="22">
        <f>'9B Sem 2'!E46</f>
        <v>76</v>
      </c>
      <c r="G133" s="23">
        <f>'9B Sem 2'!F46</f>
        <v>48</v>
      </c>
      <c r="H133" s="23">
        <f>'9B Sem 2'!G46</f>
        <v>44</v>
      </c>
      <c r="I133" s="22">
        <f>'9B Sem 2'!H46</f>
        <v>53</v>
      </c>
      <c r="J133" s="23">
        <f>'9B Sem 2'!I46</f>
        <v>47</v>
      </c>
      <c r="K133" s="22">
        <f>'9B Sem 2'!J46</f>
        <v>43</v>
      </c>
      <c r="L133" s="23">
        <f>'9B Sem 2'!K46</f>
        <v>36</v>
      </c>
      <c r="M133" s="23">
        <f>'9B Sem 2'!L46</f>
        <v>53</v>
      </c>
      <c r="N133" s="22">
        <f>'9B Sem 2'!M46</f>
        <v>52</v>
      </c>
      <c r="O133" s="22">
        <f>'9B Sem 2'!N46</f>
        <v>70</v>
      </c>
      <c r="P133" s="23">
        <f>'9B Sem 2'!O46</f>
        <v>52</v>
      </c>
      <c r="Q133" s="23">
        <f>'9B Sem 2'!P46</f>
        <v>71</v>
      </c>
      <c r="R133" s="23">
        <f>'9B Sem 2'!Q46</f>
        <v>55</v>
      </c>
      <c r="S133" s="22">
        <f>'9B Sem 2'!R46</f>
        <v>700</v>
      </c>
      <c r="T133" s="192">
        <f>'9B Sem 2'!S46</f>
        <v>53.846153846153847</v>
      </c>
      <c r="U133" s="22">
        <f>'9B Sem 2'!T46</f>
        <v>52</v>
      </c>
      <c r="V133" s="36">
        <f>'9B Sem 2'!U46</f>
        <v>0</v>
      </c>
      <c r="W133" s="36">
        <f>'9B Sem 2'!V46</f>
        <v>0</v>
      </c>
      <c r="X133" s="5"/>
      <c r="Y133" s="5"/>
      <c r="Z133" s="5"/>
      <c r="AA133" s="5"/>
      <c r="AB133" s="5"/>
    </row>
    <row r="134" spans="1:28" ht="18.95" customHeight="1" thickBot="1" x14ac:dyDescent="0.3">
      <c r="A134" s="241"/>
      <c r="B134" s="218"/>
      <c r="C134" s="213">
        <v>15</v>
      </c>
      <c r="D134" s="217" t="s">
        <v>20</v>
      </c>
      <c r="E134" s="69" t="s">
        <v>16</v>
      </c>
      <c r="F134" s="22">
        <f>AVERAGE(F132:F133)</f>
        <v>68</v>
      </c>
      <c r="G134" s="22">
        <f t="shared" ref="G134:W134" si="42">AVERAGE(G132:G133)</f>
        <v>45.5</v>
      </c>
      <c r="H134" s="22">
        <f t="shared" si="42"/>
        <v>47.5</v>
      </c>
      <c r="I134" s="22">
        <f t="shared" si="42"/>
        <v>46.5</v>
      </c>
      <c r="J134" s="22">
        <f t="shared" si="42"/>
        <v>43</v>
      </c>
      <c r="K134" s="22">
        <f t="shared" si="42"/>
        <v>42</v>
      </c>
      <c r="L134" s="22">
        <f t="shared" si="42"/>
        <v>40.5</v>
      </c>
      <c r="M134" s="22">
        <f t="shared" si="42"/>
        <v>48</v>
      </c>
      <c r="N134" s="22">
        <f t="shared" si="42"/>
        <v>51</v>
      </c>
      <c r="O134" s="22">
        <f t="shared" si="42"/>
        <v>58.5</v>
      </c>
      <c r="P134" s="22">
        <f t="shared" si="42"/>
        <v>48</v>
      </c>
      <c r="Q134" s="22">
        <f t="shared" si="42"/>
        <v>73.5</v>
      </c>
      <c r="R134" s="22">
        <f t="shared" si="42"/>
        <v>58</v>
      </c>
      <c r="S134" s="22">
        <f t="shared" si="42"/>
        <v>670</v>
      </c>
      <c r="T134" s="192">
        <f t="shared" si="42"/>
        <v>51.53846153846154</v>
      </c>
      <c r="U134" s="22">
        <f>'9B Sem avr'!$H$46</f>
        <v>54</v>
      </c>
      <c r="V134" s="22">
        <f t="shared" si="42"/>
        <v>0</v>
      </c>
      <c r="W134" s="22">
        <f t="shared" si="42"/>
        <v>0</v>
      </c>
      <c r="X134" s="5"/>
      <c r="Y134" s="5"/>
      <c r="Z134" s="5"/>
      <c r="AA134" s="5"/>
      <c r="AB134" s="5"/>
    </row>
    <row r="135" spans="1:28" ht="18.95" customHeight="1" thickBot="1" x14ac:dyDescent="0.3">
      <c r="A135" s="234">
        <v>44</v>
      </c>
      <c r="B135" s="218"/>
      <c r="C135" s="213">
        <v>15</v>
      </c>
      <c r="D135" s="217" t="s">
        <v>20</v>
      </c>
      <c r="E135" s="69" t="s">
        <v>21</v>
      </c>
      <c r="F135" s="22">
        <f>'9B Sem 1'!E47</f>
        <v>69</v>
      </c>
      <c r="G135" s="22">
        <f>'9B Sem 1'!F47</f>
        <v>72</v>
      </c>
      <c r="H135" s="22">
        <f>'9B Sem 1'!G47</f>
        <v>45</v>
      </c>
      <c r="I135" s="22">
        <f>'9B Sem 1'!H47</f>
        <v>42</v>
      </c>
      <c r="J135" s="22">
        <f>'9B Sem 1'!I47</f>
        <v>56</v>
      </c>
      <c r="K135" s="22">
        <f>'9B Sem 1'!J47</f>
        <v>50</v>
      </c>
      <c r="L135" s="22">
        <f>'9B Sem 1'!K47</f>
        <v>43</v>
      </c>
      <c r="M135" s="22">
        <f>'9B Sem 1'!L47</f>
        <v>53</v>
      </c>
      <c r="N135" s="22">
        <f>'9B Sem 1'!M47</f>
        <v>75</v>
      </c>
      <c r="O135" s="22">
        <f>'9B Sem 1'!N47</f>
        <v>76</v>
      </c>
      <c r="P135" s="22">
        <f>'9B Sem 1'!O47</f>
        <v>60</v>
      </c>
      <c r="Q135" s="22">
        <f>'9B Sem 1'!P47</f>
        <v>60</v>
      </c>
      <c r="R135" s="22">
        <f>'9B Sem 1'!Q47</f>
        <v>64</v>
      </c>
      <c r="S135" s="22">
        <f>'9B Sem 1'!R47</f>
        <v>765</v>
      </c>
      <c r="T135" s="192">
        <f>'9B Sem 1'!S47</f>
        <v>58.846153846153847</v>
      </c>
      <c r="U135" s="22">
        <f>'9B Sem 1'!T47</f>
        <v>45</v>
      </c>
      <c r="V135" s="36">
        <f>'9B Sem 1'!U47</f>
        <v>0</v>
      </c>
      <c r="W135" s="36">
        <f>'9B Sem 1'!V47</f>
        <v>0</v>
      </c>
      <c r="X135" s="5"/>
      <c r="Y135" s="5"/>
      <c r="Z135" s="5"/>
      <c r="AA135" s="5"/>
      <c r="AB135" s="5"/>
    </row>
    <row r="136" spans="1:28" ht="18.95" customHeight="1" thickBot="1" x14ac:dyDescent="0.3">
      <c r="A136" s="234"/>
      <c r="B136" s="218"/>
      <c r="C136" s="213">
        <v>15</v>
      </c>
      <c r="D136" s="217" t="s">
        <v>20</v>
      </c>
      <c r="E136" s="69" t="s">
        <v>22</v>
      </c>
      <c r="F136" s="22">
        <f>'9B Sem 2'!E47</f>
        <v>63</v>
      </c>
      <c r="G136" s="22">
        <f>'9B Sem 2'!F47</f>
        <v>67</v>
      </c>
      <c r="H136" s="22">
        <f>'9B Sem 2'!G47</f>
        <v>49</v>
      </c>
      <c r="I136" s="22">
        <f>'9B Sem 2'!H47</f>
        <v>41</v>
      </c>
      <c r="J136" s="22">
        <f>'9B Sem 2'!I47</f>
        <v>47</v>
      </c>
      <c r="K136" s="22">
        <f>'9B Sem 2'!J47</f>
        <v>37</v>
      </c>
      <c r="L136" s="22">
        <f>'9B Sem 2'!K47</f>
        <v>47</v>
      </c>
      <c r="M136" s="22">
        <f>'9B Sem 2'!L47</f>
        <v>71</v>
      </c>
      <c r="N136" s="22">
        <f>'9B Sem 2'!M47</f>
        <v>66</v>
      </c>
      <c r="O136" s="22">
        <f>'9B Sem 2'!N47</f>
        <v>72</v>
      </c>
      <c r="P136" s="22">
        <f>'9B Sem 2'!O47</f>
        <v>56</v>
      </c>
      <c r="Q136" s="22">
        <f>'9B Sem 2'!P47</f>
        <v>69</v>
      </c>
      <c r="R136" s="22">
        <f>'9B Sem 2'!Q47</f>
        <v>60</v>
      </c>
      <c r="S136" s="22">
        <f>'9B Sem 2'!R47</f>
        <v>745</v>
      </c>
      <c r="T136" s="192">
        <f>'9B Sem 2'!S47</f>
        <v>57.307692307692307</v>
      </c>
      <c r="U136" s="22">
        <f>'9B Sem 2'!T47</f>
        <v>47</v>
      </c>
      <c r="V136" s="36">
        <f>'9B Sem 2'!U47</f>
        <v>0</v>
      </c>
      <c r="W136" s="36">
        <f>'9B Sem 2'!V47</f>
        <v>0</v>
      </c>
      <c r="X136" s="5"/>
      <c r="Y136" s="5"/>
      <c r="Z136" s="5"/>
      <c r="AA136" s="5"/>
      <c r="AB136" s="5"/>
    </row>
    <row r="137" spans="1:28" ht="18.95" customHeight="1" thickBot="1" x14ac:dyDescent="0.3">
      <c r="A137" s="234"/>
      <c r="B137" s="218"/>
      <c r="C137" s="213">
        <v>15</v>
      </c>
      <c r="D137" s="217" t="s">
        <v>20</v>
      </c>
      <c r="E137" s="69" t="s">
        <v>16</v>
      </c>
      <c r="F137" s="22">
        <f>AVERAGE(F135:F136)</f>
        <v>66</v>
      </c>
      <c r="G137" s="22">
        <f t="shared" ref="G137:W137" si="43">AVERAGE(G135:G136)</f>
        <v>69.5</v>
      </c>
      <c r="H137" s="22">
        <f t="shared" si="43"/>
        <v>47</v>
      </c>
      <c r="I137" s="22">
        <f t="shared" si="43"/>
        <v>41.5</v>
      </c>
      <c r="J137" s="22">
        <f t="shared" si="43"/>
        <v>51.5</v>
      </c>
      <c r="K137" s="22">
        <f t="shared" si="43"/>
        <v>43.5</v>
      </c>
      <c r="L137" s="22">
        <f t="shared" si="43"/>
        <v>45</v>
      </c>
      <c r="M137" s="22">
        <f t="shared" si="43"/>
        <v>62</v>
      </c>
      <c r="N137" s="22">
        <f t="shared" si="43"/>
        <v>70.5</v>
      </c>
      <c r="O137" s="22">
        <f t="shared" si="43"/>
        <v>74</v>
      </c>
      <c r="P137" s="22">
        <f t="shared" si="43"/>
        <v>58</v>
      </c>
      <c r="Q137" s="22">
        <f t="shared" si="43"/>
        <v>64.5</v>
      </c>
      <c r="R137" s="22">
        <f t="shared" si="43"/>
        <v>62</v>
      </c>
      <c r="S137" s="22">
        <f t="shared" si="43"/>
        <v>755</v>
      </c>
      <c r="T137" s="192">
        <f t="shared" si="43"/>
        <v>58.07692307692308</v>
      </c>
      <c r="U137" s="22">
        <f>'9B Sem avr'!$H$47</f>
        <v>45</v>
      </c>
      <c r="V137" s="22">
        <f t="shared" si="43"/>
        <v>0</v>
      </c>
      <c r="W137" s="22">
        <f t="shared" si="43"/>
        <v>0</v>
      </c>
      <c r="X137" s="5"/>
      <c r="Y137" s="5"/>
      <c r="Z137" s="5"/>
      <c r="AA137" s="5"/>
      <c r="AB137" s="5"/>
    </row>
    <row r="138" spans="1:28" ht="18.95" customHeight="1" thickBot="1" x14ac:dyDescent="0.3">
      <c r="A138" s="241">
        <v>45</v>
      </c>
      <c r="B138" s="218"/>
      <c r="C138" s="213">
        <v>15</v>
      </c>
      <c r="D138" s="217" t="s">
        <v>23</v>
      </c>
      <c r="E138" s="69" t="s">
        <v>21</v>
      </c>
      <c r="F138" s="22">
        <f>'9B Sem 1'!E48</f>
        <v>70</v>
      </c>
      <c r="G138" s="22">
        <f>'9B Sem 1'!F48</f>
        <v>50</v>
      </c>
      <c r="H138" s="22">
        <f>'9B Sem 1'!G48</f>
        <v>49</v>
      </c>
      <c r="I138" s="22">
        <f>'9B Sem 1'!H48</f>
        <v>32</v>
      </c>
      <c r="J138" s="22">
        <f>'9B Sem 1'!I48</f>
        <v>41</v>
      </c>
      <c r="K138" s="22">
        <f>'9B Sem 1'!J48</f>
        <v>46</v>
      </c>
      <c r="L138" s="22">
        <f>'9B Sem 1'!K48</f>
        <v>31</v>
      </c>
      <c r="M138" s="22">
        <f>'9B Sem 1'!L48</f>
        <v>43</v>
      </c>
      <c r="N138" s="22">
        <f>'9B Sem 1'!M48</f>
        <v>61</v>
      </c>
      <c r="O138" s="22">
        <f>'9B Sem 1'!N48</f>
        <v>74</v>
      </c>
      <c r="P138" s="22">
        <f>'9B Sem 1'!O48</f>
        <v>70</v>
      </c>
      <c r="Q138" s="22">
        <f>'9B Sem 1'!P48</f>
        <v>80</v>
      </c>
      <c r="R138" s="22">
        <f>'9B Sem 1'!Q48</f>
        <v>52</v>
      </c>
      <c r="S138" s="22">
        <f>'9B Sem 1'!R48</f>
        <v>699</v>
      </c>
      <c r="T138" s="192">
        <f>'9B Sem 1'!S48</f>
        <v>53.769230769230766</v>
      </c>
      <c r="U138" s="22">
        <f>'9B Sem 1'!T48</f>
        <v>51</v>
      </c>
      <c r="V138" s="36">
        <f>'9B Sem 1'!U48</f>
        <v>0</v>
      </c>
      <c r="W138" s="36">
        <f>'9B Sem 1'!V48</f>
        <v>0</v>
      </c>
      <c r="X138" s="5"/>
      <c r="Y138" s="5"/>
      <c r="Z138" s="5"/>
      <c r="AA138" s="5"/>
      <c r="AB138" s="5"/>
    </row>
    <row r="139" spans="1:28" ht="18.95" customHeight="1" thickBot="1" x14ac:dyDescent="0.3">
      <c r="A139" s="241"/>
      <c r="B139" s="218"/>
      <c r="C139" s="213">
        <v>15</v>
      </c>
      <c r="D139" s="217" t="s">
        <v>23</v>
      </c>
      <c r="E139" s="69" t="s">
        <v>22</v>
      </c>
      <c r="F139" s="22">
        <f>'9B Sem 2'!E48</f>
        <v>77</v>
      </c>
      <c r="G139" s="22">
        <f>'9B Sem 2'!F48</f>
        <v>45</v>
      </c>
      <c r="H139" s="22">
        <f>'9B Sem 2'!G48</f>
        <v>49</v>
      </c>
      <c r="I139" s="22">
        <f>'9B Sem 2'!H48</f>
        <v>41</v>
      </c>
      <c r="J139" s="22">
        <f>'9B Sem 2'!I48</f>
        <v>42</v>
      </c>
      <c r="K139" s="22">
        <f>'9B Sem 2'!J48</f>
        <v>43</v>
      </c>
      <c r="L139" s="22">
        <f>'9B Sem 2'!K48</f>
        <v>44</v>
      </c>
      <c r="M139" s="22">
        <f>'9B Sem 2'!L48</f>
        <v>54</v>
      </c>
      <c r="N139" s="22">
        <f>'9B Sem 2'!M48</f>
        <v>52</v>
      </c>
      <c r="O139" s="22">
        <f>'9B Sem 2'!N48</f>
        <v>67</v>
      </c>
      <c r="P139" s="22">
        <f>'9B Sem 2'!O48</f>
        <v>47</v>
      </c>
      <c r="Q139" s="22">
        <f>'9B Sem 2'!P48</f>
        <v>77</v>
      </c>
      <c r="R139" s="22">
        <f>'9B Sem 2'!Q48</f>
        <v>52</v>
      </c>
      <c r="S139" s="22">
        <f>'9B Sem 2'!R48</f>
        <v>690</v>
      </c>
      <c r="T139" s="192">
        <f>'9B Sem 2'!S48</f>
        <v>53.07692307692308</v>
      </c>
      <c r="U139" s="22">
        <f>'9B Sem 2'!T48</f>
        <v>55</v>
      </c>
      <c r="V139" s="36">
        <f>'9B Sem 2'!U48</f>
        <v>0</v>
      </c>
      <c r="W139" s="36">
        <f>'9B Sem 2'!V48</f>
        <v>0</v>
      </c>
    </row>
    <row r="140" spans="1:28" ht="18.95" customHeight="1" thickBot="1" x14ac:dyDescent="0.3">
      <c r="A140" s="241"/>
      <c r="B140" s="218"/>
      <c r="C140" s="213">
        <v>15</v>
      </c>
      <c r="D140" s="217" t="s">
        <v>23</v>
      </c>
      <c r="E140" s="69" t="s">
        <v>16</v>
      </c>
      <c r="F140" s="22">
        <f>AVERAGE(F138:F139)</f>
        <v>73.5</v>
      </c>
      <c r="G140" s="22">
        <f t="shared" ref="G140:W140" si="44">AVERAGE(G138:G139)</f>
        <v>47.5</v>
      </c>
      <c r="H140" s="22">
        <f t="shared" si="44"/>
        <v>49</v>
      </c>
      <c r="I140" s="22">
        <f t="shared" si="44"/>
        <v>36.5</v>
      </c>
      <c r="J140" s="22">
        <f t="shared" si="44"/>
        <v>41.5</v>
      </c>
      <c r="K140" s="22">
        <f t="shared" si="44"/>
        <v>44.5</v>
      </c>
      <c r="L140" s="22">
        <f t="shared" si="44"/>
        <v>37.5</v>
      </c>
      <c r="M140" s="22">
        <f t="shared" si="44"/>
        <v>48.5</v>
      </c>
      <c r="N140" s="22">
        <f t="shared" si="44"/>
        <v>56.5</v>
      </c>
      <c r="O140" s="22">
        <f t="shared" si="44"/>
        <v>70.5</v>
      </c>
      <c r="P140" s="22">
        <f t="shared" si="44"/>
        <v>58.5</v>
      </c>
      <c r="Q140" s="22">
        <f t="shared" si="44"/>
        <v>78.5</v>
      </c>
      <c r="R140" s="22">
        <f t="shared" si="44"/>
        <v>52</v>
      </c>
      <c r="S140" s="22">
        <f t="shared" si="44"/>
        <v>694.5</v>
      </c>
      <c r="T140" s="192">
        <f t="shared" si="44"/>
        <v>53.42307692307692</v>
      </c>
      <c r="U140" s="22">
        <f>'9B Sem avr'!$H$48</f>
        <v>53</v>
      </c>
      <c r="V140" s="22">
        <f t="shared" si="44"/>
        <v>0</v>
      </c>
      <c r="W140" s="22">
        <f t="shared" si="44"/>
        <v>0</v>
      </c>
    </row>
    <row r="141" spans="1:28" ht="18.95" customHeight="1" thickBot="1" x14ac:dyDescent="0.3">
      <c r="A141" s="234">
        <v>46</v>
      </c>
      <c r="B141" s="218"/>
      <c r="C141" s="213">
        <v>15</v>
      </c>
      <c r="D141" s="217" t="s">
        <v>23</v>
      </c>
      <c r="E141" s="69" t="s">
        <v>21</v>
      </c>
      <c r="F141" s="22">
        <f>'9B Sem 1'!E49</f>
        <v>90</v>
      </c>
      <c r="G141" s="22">
        <f>'9B Sem 1'!F49</f>
        <v>80</v>
      </c>
      <c r="H141" s="22">
        <f>'9B Sem 1'!G49</f>
        <v>81</v>
      </c>
      <c r="I141" s="22">
        <f>'9B Sem 1'!H49</f>
        <v>76</v>
      </c>
      <c r="J141" s="22">
        <f>'9B Sem 1'!I49</f>
        <v>79</v>
      </c>
      <c r="K141" s="22">
        <f>'9B Sem 1'!J49</f>
        <v>83</v>
      </c>
      <c r="L141" s="23">
        <f>'9B Sem 1'!K49</f>
        <v>87</v>
      </c>
      <c r="M141" s="22">
        <f>'9B Sem 1'!L49</f>
        <v>77</v>
      </c>
      <c r="N141" s="22">
        <f>'9B Sem 1'!M49</f>
        <v>87</v>
      </c>
      <c r="O141" s="22">
        <f>'9B Sem 1'!N49</f>
        <v>85</v>
      </c>
      <c r="P141" s="22">
        <f>'9B Sem 1'!O49</f>
        <v>82</v>
      </c>
      <c r="Q141" s="22">
        <f>'9B Sem 1'!P49</f>
        <v>94</v>
      </c>
      <c r="R141" s="22">
        <f>'9B Sem 1'!Q49</f>
        <v>76</v>
      </c>
      <c r="S141" s="22">
        <f>'9B Sem 1'!R49</f>
        <v>1077</v>
      </c>
      <c r="T141" s="192">
        <f>'9B Sem 1'!S49</f>
        <v>82.84615384615384</v>
      </c>
      <c r="U141" s="22">
        <f>'9B Sem 1'!T49</f>
        <v>8</v>
      </c>
      <c r="V141" s="36">
        <f>'9B Sem 1'!U49</f>
        <v>0</v>
      </c>
      <c r="W141" s="36">
        <f>'9B Sem 1'!V49</f>
        <v>0</v>
      </c>
    </row>
    <row r="142" spans="1:28" ht="18.95" customHeight="1" thickBot="1" x14ac:dyDescent="0.3">
      <c r="A142" s="234"/>
      <c r="B142" s="218"/>
      <c r="C142" s="213">
        <v>15</v>
      </c>
      <c r="D142" s="217" t="s">
        <v>23</v>
      </c>
      <c r="E142" s="69" t="s">
        <v>22</v>
      </c>
      <c r="F142" s="22">
        <f>'9B Sem 2'!E49</f>
        <v>90</v>
      </c>
      <c r="G142" s="22">
        <f>'9B Sem 2'!F49</f>
        <v>70</v>
      </c>
      <c r="H142" s="22">
        <f>'9B Sem 2'!G49</f>
        <v>92</v>
      </c>
      <c r="I142" s="22">
        <f>'9B Sem 2'!H49</f>
        <v>83</v>
      </c>
      <c r="J142" s="22">
        <f>'9B Sem 2'!I49</f>
        <v>79</v>
      </c>
      <c r="K142" s="22">
        <f>'9B Sem 2'!J49</f>
        <v>80</v>
      </c>
      <c r="L142" s="23">
        <f>'9B Sem 2'!K49</f>
        <v>80</v>
      </c>
      <c r="M142" s="22">
        <f>'9B Sem 2'!L49</f>
        <v>87</v>
      </c>
      <c r="N142" s="22">
        <f>'9B Sem 2'!M49</f>
        <v>81</v>
      </c>
      <c r="O142" s="22">
        <f>'9B Sem 2'!N49</f>
        <v>83</v>
      </c>
      <c r="P142" s="22">
        <f>'9B Sem 2'!O49</f>
        <v>90</v>
      </c>
      <c r="Q142" s="22">
        <f>'9B Sem 2'!P49</f>
        <v>87</v>
      </c>
      <c r="R142" s="22">
        <f>'9B Sem 2'!Q49</f>
        <v>73</v>
      </c>
      <c r="S142" s="22">
        <f>'9B Sem 2'!R49</f>
        <v>1075</v>
      </c>
      <c r="T142" s="192">
        <f>'9B Sem 2'!S49</f>
        <v>82.692307692307693</v>
      </c>
      <c r="U142" s="22">
        <f>'9B Sem 2'!T49</f>
        <v>8</v>
      </c>
      <c r="V142" s="36">
        <f>'9B Sem 2'!U49</f>
        <v>0</v>
      </c>
      <c r="W142" s="36">
        <f>'9B Sem 2'!V49</f>
        <v>0</v>
      </c>
    </row>
    <row r="143" spans="1:28" ht="18.95" customHeight="1" thickBot="1" x14ac:dyDescent="0.3">
      <c r="A143" s="234"/>
      <c r="B143" s="218"/>
      <c r="C143" s="213">
        <v>15</v>
      </c>
      <c r="D143" s="217" t="s">
        <v>23</v>
      </c>
      <c r="E143" s="69" t="s">
        <v>16</v>
      </c>
      <c r="F143" s="22">
        <f>AVERAGE(F141:F142)</f>
        <v>90</v>
      </c>
      <c r="G143" s="22">
        <f t="shared" ref="G143:W143" si="45">AVERAGE(G141:G142)</f>
        <v>75</v>
      </c>
      <c r="H143" s="22">
        <f t="shared" si="45"/>
        <v>86.5</v>
      </c>
      <c r="I143" s="22">
        <f t="shared" si="45"/>
        <v>79.5</v>
      </c>
      <c r="J143" s="22">
        <f t="shared" si="45"/>
        <v>79</v>
      </c>
      <c r="K143" s="22">
        <f t="shared" si="45"/>
        <v>81.5</v>
      </c>
      <c r="L143" s="22">
        <f t="shared" si="45"/>
        <v>83.5</v>
      </c>
      <c r="M143" s="22">
        <f t="shared" si="45"/>
        <v>82</v>
      </c>
      <c r="N143" s="22">
        <f t="shared" si="45"/>
        <v>84</v>
      </c>
      <c r="O143" s="22">
        <f t="shared" si="45"/>
        <v>84</v>
      </c>
      <c r="P143" s="22">
        <f t="shared" si="45"/>
        <v>86</v>
      </c>
      <c r="Q143" s="22">
        <f t="shared" si="45"/>
        <v>90.5</v>
      </c>
      <c r="R143" s="22">
        <f t="shared" si="45"/>
        <v>74.5</v>
      </c>
      <c r="S143" s="22">
        <f t="shared" si="45"/>
        <v>1076</v>
      </c>
      <c r="T143" s="192">
        <f t="shared" si="45"/>
        <v>82.769230769230774</v>
      </c>
      <c r="U143" s="22">
        <f>'9B Sem avr'!$H$49</f>
        <v>10</v>
      </c>
      <c r="V143" s="22">
        <f t="shared" si="45"/>
        <v>0</v>
      </c>
      <c r="W143" s="22">
        <f t="shared" si="45"/>
        <v>0</v>
      </c>
    </row>
    <row r="144" spans="1:28" ht="18.95" customHeight="1" thickBot="1" x14ac:dyDescent="0.3">
      <c r="A144" s="234">
        <v>47</v>
      </c>
      <c r="B144" s="218"/>
      <c r="C144" s="213">
        <v>15</v>
      </c>
      <c r="D144" s="217" t="s">
        <v>23</v>
      </c>
      <c r="E144" s="69" t="s">
        <v>21</v>
      </c>
      <c r="F144" s="22">
        <f>'9B Sem 1'!E50</f>
        <v>72</v>
      </c>
      <c r="G144" s="22">
        <f>'9B Sem 1'!F50</f>
        <v>42</v>
      </c>
      <c r="H144" s="22">
        <f>'9B Sem 1'!G50</f>
        <v>66</v>
      </c>
      <c r="I144" s="22">
        <f>'9B Sem 1'!H50</f>
        <v>47</v>
      </c>
      <c r="J144" s="22">
        <f>'9B Sem 1'!I50</f>
        <v>48</v>
      </c>
      <c r="K144" s="22">
        <f>'9B Sem 1'!J50</f>
        <v>42</v>
      </c>
      <c r="L144" s="22">
        <f>'9B Sem 1'!K50</f>
        <v>56</v>
      </c>
      <c r="M144" s="22">
        <f>'9B Sem 1'!L50</f>
        <v>49</v>
      </c>
      <c r="N144" s="22">
        <f>'9B Sem 1'!M50</f>
        <v>66</v>
      </c>
      <c r="O144" s="22">
        <f>'9B Sem 1'!N50</f>
        <v>56</v>
      </c>
      <c r="P144" s="22">
        <f>'9B Sem 1'!O50</f>
        <v>58</v>
      </c>
      <c r="Q144" s="22">
        <f>'9B Sem 1'!P50</f>
        <v>81</v>
      </c>
      <c r="R144" s="22">
        <f>'9B Sem 1'!Q50</f>
        <v>76</v>
      </c>
      <c r="S144" s="22">
        <f>'9B Sem 1'!R50</f>
        <v>759</v>
      </c>
      <c r="T144" s="192">
        <f>'9B Sem 1'!S50</f>
        <v>58.384615384615387</v>
      </c>
      <c r="U144" s="22">
        <f>'9B Sem 1'!T50</f>
        <v>47</v>
      </c>
      <c r="V144" s="36">
        <f>'9B Sem 1'!U50</f>
        <v>0</v>
      </c>
      <c r="W144" s="36">
        <f>'9B Sem 1'!V50</f>
        <v>0</v>
      </c>
    </row>
    <row r="145" spans="1:23" ht="18.95" customHeight="1" thickBot="1" x14ac:dyDescent="0.3">
      <c r="A145" s="234"/>
      <c r="B145" s="218"/>
      <c r="C145" s="213">
        <v>15</v>
      </c>
      <c r="D145" s="217" t="s">
        <v>23</v>
      </c>
      <c r="E145" s="69" t="s">
        <v>22</v>
      </c>
      <c r="F145" s="22">
        <f>'9B Sem 2'!E50</f>
        <v>78</v>
      </c>
      <c r="G145" s="22">
        <f>'9B Sem 2'!F50</f>
        <v>48</v>
      </c>
      <c r="H145" s="22">
        <f>'9B Sem 2'!G50</f>
        <v>54</v>
      </c>
      <c r="I145" s="22">
        <f>'9B Sem 2'!H50</f>
        <v>52</v>
      </c>
      <c r="J145" s="22">
        <f>'9B Sem 2'!I50</f>
        <v>44</v>
      </c>
      <c r="K145" s="22">
        <f>'9B Sem 2'!J50</f>
        <v>46</v>
      </c>
      <c r="L145" s="22">
        <f>'9B Sem 2'!K50</f>
        <v>60</v>
      </c>
      <c r="M145" s="22">
        <f>'9B Sem 2'!L50</f>
        <v>67</v>
      </c>
      <c r="N145" s="22">
        <f>'9B Sem 2'!M50</f>
        <v>49</v>
      </c>
      <c r="O145" s="22">
        <f>'9B Sem 2'!N50</f>
        <v>70</v>
      </c>
      <c r="P145" s="22">
        <f>'9B Sem 2'!O50</f>
        <v>59</v>
      </c>
      <c r="Q145" s="22">
        <f>'9B Sem 2'!P50</f>
        <v>71</v>
      </c>
      <c r="R145" s="22">
        <f>'9B Sem 2'!Q50</f>
        <v>59</v>
      </c>
      <c r="S145" s="22">
        <f>'9B Sem 2'!R50</f>
        <v>757</v>
      </c>
      <c r="T145" s="192">
        <f>'9B Sem 2'!S50</f>
        <v>58.230769230769234</v>
      </c>
      <c r="U145" s="22">
        <f>'9B Sem 2'!T50</f>
        <v>44</v>
      </c>
      <c r="V145" s="36">
        <f>'9B Sem 2'!U50</f>
        <v>0</v>
      </c>
      <c r="W145" s="36">
        <f>'9B Sem 2'!V50</f>
        <v>0</v>
      </c>
    </row>
    <row r="146" spans="1:23" ht="18.95" customHeight="1" thickBot="1" x14ac:dyDescent="0.3">
      <c r="A146" s="234"/>
      <c r="B146" s="218"/>
      <c r="C146" s="213">
        <v>15</v>
      </c>
      <c r="D146" s="217" t="s">
        <v>23</v>
      </c>
      <c r="E146" s="69" t="s">
        <v>16</v>
      </c>
      <c r="F146" s="22">
        <f>AVERAGE(F144:F145)</f>
        <v>75</v>
      </c>
      <c r="G146" s="22">
        <f t="shared" ref="G146:W146" si="46">AVERAGE(G144:G145)</f>
        <v>45</v>
      </c>
      <c r="H146" s="22">
        <f t="shared" si="46"/>
        <v>60</v>
      </c>
      <c r="I146" s="22">
        <f t="shared" si="46"/>
        <v>49.5</v>
      </c>
      <c r="J146" s="22">
        <f t="shared" si="46"/>
        <v>46</v>
      </c>
      <c r="K146" s="22">
        <f t="shared" si="46"/>
        <v>44</v>
      </c>
      <c r="L146" s="22">
        <f t="shared" si="46"/>
        <v>58</v>
      </c>
      <c r="M146" s="22">
        <f t="shared" si="46"/>
        <v>58</v>
      </c>
      <c r="N146" s="22">
        <f t="shared" si="46"/>
        <v>57.5</v>
      </c>
      <c r="O146" s="22">
        <f t="shared" si="46"/>
        <v>63</v>
      </c>
      <c r="P146" s="22">
        <f t="shared" si="46"/>
        <v>58.5</v>
      </c>
      <c r="Q146" s="22">
        <f t="shared" si="46"/>
        <v>76</v>
      </c>
      <c r="R146" s="22">
        <f t="shared" si="46"/>
        <v>67.5</v>
      </c>
      <c r="S146" s="22">
        <f t="shared" si="46"/>
        <v>758</v>
      </c>
      <c r="T146" s="192">
        <f t="shared" si="46"/>
        <v>58.307692307692307</v>
      </c>
      <c r="U146" s="22">
        <f>'9B Sem avr'!$H$50</f>
        <v>44</v>
      </c>
      <c r="V146" s="22">
        <f t="shared" si="46"/>
        <v>0</v>
      </c>
      <c r="W146" s="22">
        <f t="shared" si="46"/>
        <v>0</v>
      </c>
    </row>
    <row r="147" spans="1:23" ht="18.95" customHeight="1" thickBot="1" x14ac:dyDescent="0.3">
      <c r="A147" s="234">
        <v>48</v>
      </c>
      <c r="B147" s="218"/>
      <c r="C147" s="213">
        <v>15</v>
      </c>
      <c r="D147" s="217" t="s">
        <v>20</v>
      </c>
      <c r="E147" s="69" t="s">
        <v>21</v>
      </c>
      <c r="F147" s="22">
        <f>'9B Sem 1'!E51</f>
        <v>78</v>
      </c>
      <c r="G147" s="22">
        <f>'9B Sem 1'!F51</f>
        <v>64</v>
      </c>
      <c r="H147" s="22">
        <f>'9B Sem 1'!G51</f>
        <v>47</v>
      </c>
      <c r="I147" s="22">
        <f>'9B Sem 1'!H51</f>
        <v>45</v>
      </c>
      <c r="J147" s="22">
        <f>'9B Sem 1'!I51</f>
        <v>54</v>
      </c>
      <c r="K147" s="22">
        <f>'9B Sem 1'!J51</f>
        <v>43</v>
      </c>
      <c r="L147" s="22">
        <f>'9B Sem 1'!K51</f>
        <v>67</v>
      </c>
      <c r="M147" s="22">
        <f>'9B Sem 1'!L51</f>
        <v>58</v>
      </c>
      <c r="N147" s="22">
        <f>'9B Sem 1'!M51</f>
        <v>72</v>
      </c>
      <c r="O147" s="22">
        <f>'9B Sem 1'!N51</f>
        <v>73</v>
      </c>
      <c r="P147" s="22">
        <f>'9B Sem 1'!O51</f>
        <v>58</v>
      </c>
      <c r="Q147" s="22">
        <f>'9B Sem 1'!P51</f>
        <v>88</v>
      </c>
      <c r="R147" s="22">
        <f>'9B Sem 1'!Q51</f>
        <v>62</v>
      </c>
      <c r="S147" s="22">
        <f>'9B Sem 1'!R51</f>
        <v>809</v>
      </c>
      <c r="T147" s="192">
        <f>'9B Sem 1'!S51</f>
        <v>62.230769230769234</v>
      </c>
      <c r="U147" s="22">
        <f>'9B Sem 1'!T51</f>
        <v>37</v>
      </c>
      <c r="V147" s="32">
        <f>'9B Sem 1'!U51</f>
        <v>0</v>
      </c>
      <c r="W147" s="32">
        <f>'9B Sem 1'!V51</f>
        <v>0</v>
      </c>
    </row>
    <row r="148" spans="1:23" ht="18.95" customHeight="1" thickBot="1" x14ac:dyDescent="0.3">
      <c r="A148" s="234"/>
      <c r="B148" s="218"/>
      <c r="C148" s="213">
        <v>15</v>
      </c>
      <c r="D148" s="217" t="s">
        <v>20</v>
      </c>
      <c r="E148" s="69" t="s">
        <v>22</v>
      </c>
      <c r="F148" s="22">
        <f>'9B Sem 2'!E51</f>
        <v>81</v>
      </c>
      <c r="G148" s="22">
        <f>'9B Sem 2'!F51</f>
        <v>53</v>
      </c>
      <c r="H148" s="22">
        <f>'9B Sem 2'!G51</f>
        <v>62</v>
      </c>
      <c r="I148" s="22">
        <f>'9B Sem 2'!H51</f>
        <v>55</v>
      </c>
      <c r="J148" s="22">
        <f>'9B Sem 2'!I51</f>
        <v>54</v>
      </c>
      <c r="K148" s="22">
        <f>'9B Sem 2'!J51</f>
        <v>58</v>
      </c>
      <c r="L148" s="22">
        <f>'9B Sem 2'!K51</f>
        <v>72</v>
      </c>
      <c r="M148" s="22">
        <f>'9B Sem 2'!L51</f>
        <v>81</v>
      </c>
      <c r="N148" s="22">
        <f>'9B Sem 2'!M51</f>
        <v>74</v>
      </c>
      <c r="O148" s="22">
        <f>'9B Sem 2'!N51</f>
        <v>76</v>
      </c>
      <c r="P148" s="22">
        <f>'9B Sem 2'!O51</f>
        <v>68</v>
      </c>
      <c r="Q148" s="22">
        <f>'9B Sem 2'!P51</f>
        <v>81</v>
      </c>
      <c r="R148" s="22">
        <f>'9B Sem 2'!Q51</f>
        <v>63</v>
      </c>
      <c r="S148" s="22">
        <f>'9B Sem 2'!R51</f>
        <v>878</v>
      </c>
      <c r="T148" s="192">
        <f>'9B Sem 2'!S51</f>
        <v>67.538461538461533</v>
      </c>
      <c r="U148" s="22">
        <f>'9B Sem 2'!T51</f>
        <v>33</v>
      </c>
      <c r="V148" s="32">
        <f>'9B Sem 2'!U51</f>
        <v>0</v>
      </c>
      <c r="W148" s="32">
        <f>'9B Sem 2'!V51</f>
        <v>0</v>
      </c>
    </row>
    <row r="149" spans="1:23" ht="18.95" customHeight="1" thickBot="1" x14ac:dyDescent="0.3">
      <c r="A149" s="234"/>
      <c r="B149" s="218"/>
      <c r="C149" s="213">
        <v>15</v>
      </c>
      <c r="D149" s="217" t="s">
        <v>20</v>
      </c>
      <c r="E149" s="69" t="s">
        <v>16</v>
      </c>
      <c r="F149" s="22">
        <f>AVERAGE(F147:F148)</f>
        <v>79.5</v>
      </c>
      <c r="G149" s="22">
        <f t="shared" ref="G149:W149" si="47">AVERAGE(G147:G148)</f>
        <v>58.5</v>
      </c>
      <c r="H149" s="22">
        <f t="shared" si="47"/>
        <v>54.5</v>
      </c>
      <c r="I149" s="22">
        <f t="shared" si="47"/>
        <v>50</v>
      </c>
      <c r="J149" s="22">
        <f t="shared" si="47"/>
        <v>54</v>
      </c>
      <c r="K149" s="22">
        <f t="shared" si="47"/>
        <v>50.5</v>
      </c>
      <c r="L149" s="22">
        <f t="shared" si="47"/>
        <v>69.5</v>
      </c>
      <c r="M149" s="22">
        <f t="shared" si="47"/>
        <v>69.5</v>
      </c>
      <c r="N149" s="22">
        <f t="shared" si="47"/>
        <v>73</v>
      </c>
      <c r="O149" s="22">
        <f t="shared" si="47"/>
        <v>74.5</v>
      </c>
      <c r="P149" s="22">
        <f t="shared" si="47"/>
        <v>63</v>
      </c>
      <c r="Q149" s="22">
        <f t="shared" si="47"/>
        <v>84.5</v>
      </c>
      <c r="R149" s="22">
        <f t="shared" si="47"/>
        <v>62.5</v>
      </c>
      <c r="S149" s="22">
        <f t="shared" si="47"/>
        <v>843.5</v>
      </c>
      <c r="T149" s="192">
        <f t="shared" si="47"/>
        <v>64.884615384615387</v>
      </c>
      <c r="U149" s="22">
        <f>'9B Sem avr'!$H$51</f>
        <v>35</v>
      </c>
      <c r="V149" s="22">
        <f t="shared" si="47"/>
        <v>0</v>
      </c>
      <c r="W149" s="22">
        <f t="shared" si="47"/>
        <v>0</v>
      </c>
    </row>
    <row r="150" spans="1:23" ht="18.95" customHeight="1" thickBot="1" x14ac:dyDescent="0.3">
      <c r="A150" s="241">
        <v>49</v>
      </c>
      <c r="B150" s="218"/>
      <c r="C150" s="213">
        <v>15</v>
      </c>
      <c r="D150" s="217" t="s">
        <v>20</v>
      </c>
      <c r="E150" s="69" t="s">
        <v>21</v>
      </c>
      <c r="F150" s="22">
        <f>'9B Sem 1'!E52</f>
        <v>78</v>
      </c>
      <c r="G150" s="22">
        <f>'9B Sem 1'!F52</f>
        <v>61</v>
      </c>
      <c r="H150" s="22">
        <f>'9B Sem 1'!G52</f>
        <v>82</v>
      </c>
      <c r="I150" s="22">
        <f>'9B Sem 1'!H52</f>
        <v>74</v>
      </c>
      <c r="J150" s="22">
        <f>'9B Sem 1'!I52</f>
        <v>65</v>
      </c>
      <c r="K150" s="22">
        <f>'9B Sem 1'!J52</f>
        <v>72</v>
      </c>
      <c r="L150" s="22">
        <f>'9B Sem 1'!K52</f>
        <v>81</v>
      </c>
      <c r="M150" s="22">
        <f>'9B Sem 1'!L52</f>
        <v>86</v>
      </c>
      <c r="N150" s="22">
        <f>'9B Sem 1'!M52</f>
        <v>85</v>
      </c>
      <c r="O150" s="22">
        <f>'9B Sem 1'!N52</f>
        <v>78</v>
      </c>
      <c r="P150" s="22">
        <f>'9B Sem 1'!O52</f>
        <v>73</v>
      </c>
      <c r="Q150" s="22">
        <f>'9B Sem 1'!P52</f>
        <v>100</v>
      </c>
      <c r="R150" s="22">
        <f>'9B Sem 1'!Q52</f>
        <v>87</v>
      </c>
      <c r="S150" s="22">
        <f>'9B Sem 1'!R52</f>
        <v>1022</v>
      </c>
      <c r="T150" s="192">
        <f>'9B Sem 1'!S52</f>
        <v>78.615384615384613</v>
      </c>
      <c r="U150" s="22">
        <f>'9B Sem 1'!T52</f>
        <v>15</v>
      </c>
      <c r="V150" s="32">
        <f>'9B Sem 1'!U52</f>
        <v>0</v>
      </c>
      <c r="W150" s="32">
        <f>'9B Sem 1'!V52</f>
        <v>0</v>
      </c>
    </row>
    <row r="151" spans="1:23" ht="18.95" customHeight="1" thickBot="1" x14ac:dyDescent="0.3">
      <c r="A151" s="241"/>
      <c r="B151" s="218"/>
      <c r="C151" s="213">
        <v>15</v>
      </c>
      <c r="D151" s="217" t="s">
        <v>20</v>
      </c>
      <c r="E151" s="69" t="s">
        <v>22</v>
      </c>
      <c r="F151" s="22">
        <f>'9B Sem 2'!E52</f>
        <v>79</v>
      </c>
      <c r="G151" s="22">
        <f>'9B Sem 2'!F52</f>
        <v>57</v>
      </c>
      <c r="H151" s="22">
        <f>'9B Sem 2'!G52</f>
        <v>89</v>
      </c>
      <c r="I151" s="22">
        <f>'9B Sem 2'!H52</f>
        <v>75</v>
      </c>
      <c r="J151" s="22">
        <f>'9B Sem 2'!I52</f>
        <v>74</v>
      </c>
      <c r="K151" s="22">
        <f>'9B Sem 2'!J52</f>
        <v>86</v>
      </c>
      <c r="L151" s="22">
        <f>'9B Sem 2'!K52</f>
        <v>88</v>
      </c>
      <c r="M151" s="22">
        <f>'9B Sem 2'!L52</f>
        <v>92</v>
      </c>
      <c r="N151" s="22">
        <f>'9B Sem 2'!M52</f>
        <v>80</v>
      </c>
      <c r="O151" s="22">
        <f>'9B Sem 2'!N52</f>
        <v>81</v>
      </c>
      <c r="P151" s="22">
        <f>'9B Sem 2'!O52</f>
        <v>86</v>
      </c>
      <c r="Q151" s="22">
        <f>'9B Sem 2'!P52</f>
        <v>90</v>
      </c>
      <c r="R151" s="22">
        <f>'9B Sem 2'!Q52</f>
        <v>70</v>
      </c>
      <c r="S151" s="22">
        <f>'9B Sem 2'!R52</f>
        <v>1047</v>
      </c>
      <c r="T151" s="192">
        <f>'9B Sem 2'!S52</f>
        <v>80.538461538461533</v>
      </c>
      <c r="U151" s="22">
        <f>'9B Sem 2'!T52</f>
        <v>15</v>
      </c>
      <c r="V151" s="32">
        <f>'9B Sem 2'!U52</f>
        <v>0</v>
      </c>
      <c r="W151" s="32">
        <f>'9B Sem 2'!V52</f>
        <v>0</v>
      </c>
    </row>
    <row r="152" spans="1:23" ht="18.95" customHeight="1" thickBot="1" x14ac:dyDescent="0.3">
      <c r="A152" s="241"/>
      <c r="B152" s="218"/>
      <c r="C152" s="213">
        <v>15</v>
      </c>
      <c r="D152" s="217" t="s">
        <v>20</v>
      </c>
      <c r="E152" s="69" t="s">
        <v>16</v>
      </c>
      <c r="F152" s="22">
        <f>AVERAGE(F150:F151)</f>
        <v>78.5</v>
      </c>
      <c r="G152" s="22">
        <f t="shared" ref="G152:W152" si="48">AVERAGE(G150:G151)</f>
        <v>59</v>
      </c>
      <c r="H152" s="22">
        <f t="shared" si="48"/>
        <v>85.5</v>
      </c>
      <c r="I152" s="22">
        <f t="shared" si="48"/>
        <v>74.5</v>
      </c>
      <c r="J152" s="22">
        <f t="shared" si="48"/>
        <v>69.5</v>
      </c>
      <c r="K152" s="22">
        <f t="shared" si="48"/>
        <v>79</v>
      </c>
      <c r="L152" s="22">
        <f t="shared" si="48"/>
        <v>84.5</v>
      </c>
      <c r="M152" s="22">
        <f t="shared" si="48"/>
        <v>89</v>
      </c>
      <c r="N152" s="22">
        <f t="shared" si="48"/>
        <v>82.5</v>
      </c>
      <c r="O152" s="22">
        <f t="shared" si="48"/>
        <v>79.5</v>
      </c>
      <c r="P152" s="22">
        <f t="shared" si="48"/>
        <v>79.5</v>
      </c>
      <c r="Q152" s="22">
        <f t="shared" si="48"/>
        <v>95</v>
      </c>
      <c r="R152" s="22">
        <f t="shared" si="48"/>
        <v>78.5</v>
      </c>
      <c r="S152" s="22">
        <f t="shared" si="48"/>
        <v>1034.5</v>
      </c>
      <c r="T152" s="192">
        <f t="shared" si="48"/>
        <v>79.576923076923066</v>
      </c>
      <c r="U152" s="22">
        <f>'9B Sem avr'!$H$52</f>
        <v>14</v>
      </c>
      <c r="V152" s="22">
        <f t="shared" si="48"/>
        <v>0</v>
      </c>
      <c r="W152" s="22">
        <f t="shared" si="48"/>
        <v>0</v>
      </c>
    </row>
    <row r="153" spans="1:23" ht="18.95" customHeight="1" thickBot="1" x14ac:dyDescent="0.3">
      <c r="A153" s="241">
        <v>50</v>
      </c>
      <c r="B153" s="218"/>
      <c r="C153" s="213">
        <v>16</v>
      </c>
      <c r="D153" s="217" t="s">
        <v>20</v>
      </c>
      <c r="E153" s="69" t="s">
        <v>21</v>
      </c>
      <c r="F153" s="22">
        <f>'9B Sem 1'!E53</f>
        <v>70</v>
      </c>
      <c r="G153" s="22">
        <f>'9B Sem 1'!F53</f>
        <v>73</v>
      </c>
      <c r="H153" s="22">
        <f>'9B Sem 1'!G53</f>
        <v>47</v>
      </c>
      <c r="I153" s="22">
        <f>'9B Sem 1'!H53</f>
        <v>52</v>
      </c>
      <c r="J153" s="22">
        <f>'9B Sem 1'!I53</f>
        <v>59</v>
      </c>
      <c r="K153" s="22">
        <f>'9B Sem 1'!J53</f>
        <v>46</v>
      </c>
      <c r="L153" s="22">
        <f>'9B Sem 1'!K53</f>
        <v>65</v>
      </c>
      <c r="M153" s="22">
        <f>'9B Sem 1'!L53</f>
        <v>49</v>
      </c>
      <c r="N153" s="22">
        <f>'9B Sem 1'!M53</f>
        <v>62</v>
      </c>
      <c r="O153" s="22">
        <f>'9B Sem 1'!N53</f>
        <v>67</v>
      </c>
      <c r="P153" s="22">
        <f>'9B Sem 1'!O53</f>
        <v>58</v>
      </c>
      <c r="Q153" s="22">
        <f>'9B Sem 1'!P53</f>
        <v>84</v>
      </c>
      <c r="R153" s="22">
        <f>'9B Sem 1'!Q53</f>
        <v>60</v>
      </c>
      <c r="S153" s="22">
        <f>'9B Sem 1'!R53</f>
        <v>792</v>
      </c>
      <c r="T153" s="192">
        <f>'9B Sem 1'!S53</f>
        <v>60.92307692307692</v>
      </c>
      <c r="U153" s="22">
        <f>'9B Sem 1'!T53</f>
        <v>40</v>
      </c>
      <c r="V153" s="32">
        <f>'9B Sem 1'!U53</f>
        <v>0</v>
      </c>
      <c r="W153" s="32">
        <f>'9B Sem 1'!V53</f>
        <v>0</v>
      </c>
    </row>
    <row r="154" spans="1:23" ht="18.95" customHeight="1" thickBot="1" x14ac:dyDescent="0.3">
      <c r="A154" s="241"/>
      <c r="B154" s="218"/>
      <c r="C154" s="213">
        <v>16</v>
      </c>
      <c r="D154" s="217" t="s">
        <v>20</v>
      </c>
      <c r="E154" s="69" t="s">
        <v>22</v>
      </c>
      <c r="F154" s="22">
        <f>'9B Sem 2'!E53</f>
        <v>70</v>
      </c>
      <c r="G154" s="22">
        <f>'9B Sem 2'!F53</f>
        <v>65</v>
      </c>
      <c r="H154" s="22">
        <f>'9B Sem 2'!G53</f>
        <v>61</v>
      </c>
      <c r="I154" s="22">
        <f>'9B Sem 2'!H53</f>
        <v>46</v>
      </c>
      <c r="J154" s="22">
        <f>'9B Sem 2'!I53</f>
        <v>58</v>
      </c>
      <c r="K154" s="22">
        <f>'9B Sem 2'!J53</f>
        <v>64</v>
      </c>
      <c r="L154" s="22">
        <f>'9B Sem 2'!K53</f>
        <v>60</v>
      </c>
      <c r="M154" s="22">
        <f>'9B Sem 2'!L53</f>
        <v>66</v>
      </c>
      <c r="N154" s="22">
        <f>'9B Sem 2'!M53</f>
        <v>65</v>
      </c>
      <c r="O154" s="22">
        <f>'9B Sem 2'!N53</f>
        <v>75</v>
      </c>
      <c r="P154" s="22">
        <f>'9B Sem 2'!O53</f>
        <v>60</v>
      </c>
      <c r="Q154" s="22">
        <f>'9B Sem 2'!P53</f>
        <v>82</v>
      </c>
      <c r="R154" s="22">
        <f>'9B Sem 2'!Q53</f>
        <v>56</v>
      </c>
      <c r="S154" s="22">
        <f>'9B Sem 2'!R53</f>
        <v>828</v>
      </c>
      <c r="T154" s="192">
        <f>'9B Sem 2'!S53</f>
        <v>63.692307692307693</v>
      </c>
      <c r="U154" s="22">
        <f>'9B Sem 2'!T53</f>
        <v>39</v>
      </c>
      <c r="V154" s="32">
        <f>'9B Sem 2'!U53</f>
        <v>0</v>
      </c>
      <c r="W154" s="32">
        <f>'9B Sem 2'!V53</f>
        <v>0</v>
      </c>
    </row>
    <row r="155" spans="1:23" ht="18.95" customHeight="1" thickBot="1" x14ac:dyDescent="0.3">
      <c r="A155" s="241"/>
      <c r="B155" s="218"/>
      <c r="C155" s="213">
        <v>16</v>
      </c>
      <c r="D155" s="217" t="s">
        <v>20</v>
      </c>
      <c r="E155" s="69" t="s">
        <v>16</v>
      </c>
      <c r="F155" s="22">
        <f>AVERAGE(F153:F154)</f>
        <v>70</v>
      </c>
      <c r="G155" s="22">
        <f t="shared" ref="G155:W155" si="49">AVERAGE(G153:G154)</f>
        <v>69</v>
      </c>
      <c r="H155" s="22">
        <f t="shared" si="49"/>
        <v>54</v>
      </c>
      <c r="I155" s="22">
        <f t="shared" si="49"/>
        <v>49</v>
      </c>
      <c r="J155" s="22">
        <f t="shared" si="49"/>
        <v>58.5</v>
      </c>
      <c r="K155" s="22">
        <f t="shared" si="49"/>
        <v>55</v>
      </c>
      <c r="L155" s="22">
        <f t="shared" si="49"/>
        <v>62.5</v>
      </c>
      <c r="M155" s="22">
        <f t="shared" si="49"/>
        <v>57.5</v>
      </c>
      <c r="N155" s="22">
        <f t="shared" si="49"/>
        <v>63.5</v>
      </c>
      <c r="O155" s="22">
        <f t="shared" si="49"/>
        <v>71</v>
      </c>
      <c r="P155" s="22">
        <f t="shared" si="49"/>
        <v>59</v>
      </c>
      <c r="Q155" s="22">
        <f t="shared" si="49"/>
        <v>83</v>
      </c>
      <c r="R155" s="22">
        <f t="shared" si="49"/>
        <v>58</v>
      </c>
      <c r="S155" s="22">
        <f t="shared" si="49"/>
        <v>810</v>
      </c>
      <c r="T155" s="192">
        <f t="shared" si="49"/>
        <v>62.307692307692307</v>
      </c>
      <c r="U155" s="22">
        <f>'9B Sem avr'!$H$53</f>
        <v>39</v>
      </c>
      <c r="V155" s="22">
        <f t="shared" si="49"/>
        <v>0</v>
      </c>
      <c r="W155" s="22">
        <f t="shared" si="49"/>
        <v>0</v>
      </c>
    </row>
    <row r="156" spans="1:23" ht="18.95" customHeight="1" thickBot="1" x14ac:dyDescent="0.3">
      <c r="A156" s="241">
        <v>51</v>
      </c>
      <c r="B156" s="218"/>
      <c r="C156" s="213">
        <v>14</v>
      </c>
      <c r="D156" s="217" t="s">
        <v>23</v>
      </c>
      <c r="E156" s="69" t="s">
        <v>21</v>
      </c>
      <c r="F156" s="22">
        <f>'9B Sem 1'!E54</f>
        <v>74</v>
      </c>
      <c r="G156" s="22">
        <f>'9B Sem 1'!F54</f>
        <v>88</v>
      </c>
      <c r="H156" s="22">
        <f>'9B Sem 1'!G54</f>
        <v>57</v>
      </c>
      <c r="I156" s="22">
        <f>'9B Sem 1'!H54</f>
        <v>64</v>
      </c>
      <c r="J156" s="22">
        <f>'9B Sem 1'!I54</f>
        <v>69</v>
      </c>
      <c r="K156" s="22">
        <f>'9B Sem 1'!J54</f>
        <v>68</v>
      </c>
      <c r="L156" s="22">
        <f>'9B Sem 1'!K54</f>
        <v>65</v>
      </c>
      <c r="M156" s="22">
        <f>'9B Sem 1'!L54</f>
        <v>59</v>
      </c>
      <c r="N156" s="22">
        <f>'9B Sem 1'!M54</f>
        <v>82</v>
      </c>
      <c r="O156" s="22">
        <f>'9B Sem 1'!N54</f>
        <v>87</v>
      </c>
      <c r="P156" s="22">
        <f>'9B Sem 1'!O54</f>
        <v>73</v>
      </c>
      <c r="Q156" s="22">
        <f>'9B Sem 1'!P54</f>
        <v>95</v>
      </c>
      <c r="R156" s="22">
        <f>'9B Sem 1'!Q54</f>
        <v>62</v>
      </c>
      <c r="S156" s="22">
        <f>'9B Sem 1'!R54</f>
        <v>943</v>
      </c>
      <c r="T156" s="192">
        <f>'9B Sem 1'!S54</f>
        <v>72.538461538461533</v>
      </c>
      <c r="U156" s="22">
        <f>'9B Sem 1'!T54</f>
        <v>23</v>
      </c>
      <c r="V156" s="32">
        <f>'9B Sem 1'!U54</f>
        <v>0</v>
      </c>
      <c r="W156" s="32">
        <f>'9B Sem 1'!V54</f>
        <v>0</v>
      </c>
    </row>
    <row r="157" spans="1:23" ht="18.95" customHeight="1" thickBot="1" x14ac:dyDescent="0.3">
      <c r="A157" s="241"/>
      <c r="B157" s="218"/>
      <c r="C157" s="213">
        <v>14</v>
      </c>
      <c r="D157" s="217" t="s">
        <v>23</v>
      </c>
      <c r="E157" s="69" t="s">
        <v>22</v>
      </c>
      <c r="F157" s="22">
        <f>'9B Sem 2'!E54</f>
        <v>79</v>
      </c>
      <c r="G157" s="29">
        <f>'9B Sem 2'!F54</f>
        <v>88</v>
      </c>
      <c r="H157" s="29">
        <f>'9B Sem 2'!G54</f>
        <v>62</v>
      </c>
      <c r="I157" s="29">
        <f>'9B Sem 2'!H54</f>
        <v>60</v>
      </c>
      <c r="J157" s="29">
        <f>'9B Sem 2'!I54</f>
        <v>64</v>
      </c>
      <c r="K157" s="29">
        <f>'9B Sem 2'!J54</f>
        <v>65</v>
      </c>
      <c r="L157" s="29">
        <f>'9B Sem 2'!K54</f>
        <v>57</v>
      </c>
      <c r="M157" s="29">
        <f>'9B Sem 2'!L54</f>
        <v>75</v>
      </c>
      <c r="N157" s="29">
        <f>'9B Sem 2'!M54</f>
        <v>79</v>
      </c>
      <c r="O157" s="22">
        <f>'9B Sem 2'!N54</f>
        <v>93</v>
      </c>
      <c r="P157" s="29">
        <f>'9B Sem 2'!O54</f>
        <v>84</v>
      </c>
      <c r="Q157" s="29">
        <f>'9B Sem 2'!P54</f>
        <v>87</v>
      </c>
      <c r="R157" s="29">
        <f>'9B Sem 2'!Q54</f>
        <v>65</v>
      </c>
      <c r="S157" s="22">
        <f>'9B Sem 2'!R54</f>
        <v>958</v>
      </c>
      <c r="T157" s="192">
        <f>'9B Sem 2'!S54</f>
        <v>73.692307692307693</v>
      </c>
      <c r="U157" s="22">
        <f>'9B Sem 2'!T54</f>
        <v>25</v>
      </c>
      <c r="V157" s="29">
        <f>'9B Sem 2'!U54</f>
        <v>0</v>
      </c>
      <c r="W157" s="29">
        <f>'9B Sem 2'!V54</f>
        <v>0</v>
      </c>
    </row>
    <row r="158" spans="1:23" ht="18.95" customHeight="1" thickBot="1" x14ac:dyDescent="0.3">
      <c r="A158" s="241"/>
      <c r="B158" s="218"/>
      <c r="C158" s="213">
        <v>14</v>
      </c>
      <c r="D158" s="217" t="s">
        <v>23</v>
      </c>
      <c r="E158" s="69" t="s">
        <v>16</v>
      </c>
      <c r="F158" s="22">
        <f>AVERAGE(F156:F157)</f>
        <v>76.5</v>
      </c>
      <c r="G158" s="22">
        <f t="shared" ref="G158:W158" si="50">AVERAGE(G156:G157)</f>
        <v>88</v>
      </c>
      <c r="H158" s="22">
        <f t="shared" si="50"/>
        <v>59.5</v>
      </c>
      <c r="I158" s="22">
        <f t="shared" si="50"/>
        <v>62</v>
      </c>
      <c r="J158" s="22">
        <f t="shared" si="50"/>
        <v>66.5</v>
      </c>
      <c r="K158" s="22">
        <f t="shared" si="50"/>
        <v>66.5</v>
      </c>
      <c r="L158" s="22">
        <f t="shared" si="50"/>
        <v>61</v>
      </c>
      <c r="M158" s="22">
        <f t="shared" si="50"/>
        <v>67</v>
      </c>
      <c r="N158" s="22">
        <f t="shared" si="50"/>
        <v>80.5</v>
      </c>
      <c r="O158" s="22">
        <f t="shared" si="50"/>
        <v>90</v>
      </c>
      <c r="P158" s="22">
        <f t="shared" si="50"/>
        <v>78.5</v>
      </c>
      <c r="Q158" s="22">
        <f t="shared" si="50"/>
        <v>91</v>
      </c>
      <c r="R158" s="22">
        <f t="shared" si="50"/>
        <v>63.5</v>
      </c>
      <c r="S158" s="22">
        <f t="shared" si="50"/>
        <v>950.5</v>
      </c>
      <c r="T158" s="192">
        <f t="shared" si="50"/>
        <v>73.115384615384613</v>
      </c>
      <c r="U158" s="22">
        <f>'9B Sem avr'!$H$54</f>
        <v>26</v>
      </c>
      <c r="V158" s="22">
        <f t="shared" si="50"/>
        <v>0</v>
      </c>
      <c r="W158" s="22">
        <f t="shared" si="50"/>
        <v>0</v>
      </c>
    </row>
    <row r="159" spans="1:23" ht="18" customHeight="1" thickBot="1" x14ac:dyDescent="0.3">
      <c r="A159" s="241">
        <v>52</v>
      </c>
      <c r="B159" s="218"/>
      <c r="C159" s="213">
        <v>14</v>
      </c>
      <c r="D159" s="217" t="s">
        <v>23</v>
      </c>
      <c r="E159" s="69" t="s">
        <v>21</v>
      </c>
      <c r="F159" s="84">
        <f>'9B Sem 1'!E55</f>
        <v>61</v>
      </c>
      <c r="G159" s="84">
        <f>'9B Sem 1'!F55</f>
        <v>83</v>
      </c>
      <c r="H159" s="84">
        <f>'9B Sem 1'!G55</f>
        <v>55</v>
      </c>
      <c r="I159" s="84">
        <f>'9B Sem 1'!H55</f>
        <v>50</v>
      </c>
      <c r="J159" s="84">
        <f>'9B Sem 1'!I55</f>
        <v>55</v>
      </c>
      <c r="K159" s="84">
        <f>'9B Sem 1'!J55</f>
        <v>56</v>
      </c>
      <c r="L159" s="84">
        <f>'9B Sem 1'!K55</f>
        <v>57</v>
      </c>
      <c r="M159" s="84">
        <f>'9B Sem 1'!L55</f>
        <v>49</v>
      </c>
      <c r="N159" s="84">
        <f>'9B Sem 1'!M55</f>
        <v>76</v>
      </c>
      <c r="O159" s="84">
        <f>'9B Sem 1'!N55</f>
        <v>78</v>
      </c>
      <c r="P159" s="84">
        <f>'9B Sem 1'!O55</f>
        <v>68</v>
      </c>
      <c r="Q159" s="99">
        <f>'9B Sem 1'!P55</f>
        <v>83</v>
      </c>
      <c r="R159" s="99">
        <f>'9B Sem 1'!Q55</f>
        <v>57</v>
      </c>
      <c r="S159" s="84">
        <f>'9B Sem 1'!R55</f>
        <v>828</v>
      </c>
      <c r="T159" s="93">
        <f>'9B Sem 1'!S55</f>
        <v>63.692307692307693</v>
      </c>
      <c r="U159" s="84">
        <f>'9B Sem 1'!T55</f>
        <v>36</v>
      </c>
      <c r="V159" s="99">
        <f>'9B Sem 1'!U55</f>
        <v>0</v>
      </c>
      <c r="W159" s="99">
        <f>'9B Sem 1'!V55</f>
        <v>0</v>
      </c>
    </row>
    <row r="160" spans="1:23" ht="18" customHeight="1" thickBot="1" x14ac:dyDescent="0.3">
      <c r="A160" s="241"/>
      <c r="B160" s="218"/>
      <c r="C160" s="213">
        <v>14</v>
      </c>
      <c r="D160" s="217" t="s">
        <v>23</v>
      </c>
      <c r="E160" s="69" t="s">
        <v>22</v>
      </c>
      <c r="F160" s="84">
        <f>'9B Sem 2'!E55</f>
        <v>73</v>
      </c>
      <c r="G160" s="84">
        <f>'9B Sem 2'!F55</f>
        <v>75</v>
      </c>
      <c r="H160" s="84">
        <f>'9B Sem 2'!G55</f>
        <v>48</v>
      </c>
      <c r="I160" s="84">
        <f>'9B Sem 2'!H55</f>
        <v>54</v>
      </c>
      <c r="J160" s="84">
        <f>'9B Sem 2'!I55</f>
        <v>53</v>
      </c>
      <c r="K160" s="84">
        <f>'9B Sem 2'!J55</f>
        <v>56</v>
      </c>
      <c r="L160" s="84">
        <f>'9B Sem 2'!K55</f>
        <v>58</v>
      </c>
      <c r="M160" s="84">
        <f>'9B Sem 2'!L55</f>
        <v>68</v>
      </c>
      <c r="N160" s="84">
        <f>'9B Sem 2'!M55</f>
        <v>69</v>
      </c>
      <c r="O160" s="84">
        <f>'9B Sem 2'!N55</f>
        <v>83</v>
      </c>
      <c r="P160" s="84">
        <f>'9B Sem 2'!O55</f>
        <v>75</v>
      </c>
      <c r="Q160" s="99">
        <f>'9B Sem 2'!P55</f>
        <v>81</v>
      </c>
      <c r="R160" s="99">
        <f>'9B Sem 2'!Q55</f>
        <v>54</v>
      </c>
      <c r="S160" s="84">
        <f>'9B Sem 2'!R55</f>
        <v>847</v>
      </c>
      <c r="T160" s="93">
        <f>'9B Sem 2'!S55</f>
        <v>65.15384615384616</v>
      </c>
      <c r="U160" s="84">
        <f>'9B Sem 2'!T55</f>
        <v>37</v>
      </c>
      <c r="V160" s="99">
        <f>'9B Sem 2'!U55</f>
        <v>0</v>
      </c>
      <c r="W160" s="99">
        <f>'9B Sem 2'!V55</f>
        <v>0</v>
      </c>
    </row>
    <row r="161" spans="1:23" ht="18" customHeight="1" thickBot="1" x14ac:dyDescent="0.3">
      <c r="A161" s="241"/>
      <c r="B161" s="218"/>
      <c r="C161" s="213">
        <v>14</v>
      </c>
      <c r="D161" s="217" t="s">
        <v>23</v>
      </c>
      <c r="E161" s="69" t="s">
        <v>16</v>
      </c>
      <c r="F161" s="84">
        <f>AVERAGE(F159:F160)</f>
        <v>67</v>
      </c>
      <c r="G161" s="99">
        <f t="shared" ref="G161:W161" si="51">AVERAGE(G159:G160)</f>
        <v>79</v>
      </c>
      <c r="H161" s="99">
        <f t="shared" si="51"/>
        <v>51.5</v>
      </c>
      <c r="I161" s="99">
        <f t="shared" si="51"/>
        <v>52</v>
      </c>
      <c r="J161" s="99">
        <f t="shared" si="51"/>
        <v>54</v>
      </c>
      <c r="K161" s="99">
        <f t="shared" si="51"/>
        <v>56</v>
      </c>
      <c r="L161" s="99">
        <f t="shared" si="51"/>
        <v>57.5</v>
      </c>
      <c r="M161" s="99">
        <f t="shared" si="51"/>
        <v>58.5</v>
      </c>
      <c r="N161" s="99">
        <f t="shared" si="51"/>
        <v>72.5</v>
      </c>
      <c r="O161" s="99">
        <f t="shared" si="51"/>
        <v>80.5</v>
      </c>
      <c r="P161" s="99">
        <f t="shared" si="51"/>
        <v>71.5</v>
      </c>
      <c r="Q161" s="99">
        <f t="shared" si="51"/>
        <v>82</v>
      </c>
      <c r="R161" s="99">
        <f t="shared" si="51"/>
        <v>55.5</v>
      </c>
      <c r="S161" s="99">
        <f t="shared" si="51"/>
        <v>837.5</v>
      </c>
      <c r="T161" s="93">
        <f t="shared" si="51"/>
        <v>64.423076923076934</v>
      </c>
      <c r="U161" s="99">
        <f>'9B Sem avr'!$H$55</f>
        <v>36</v>
      </c>
      <c r="V161" s="99">
        <f t="shared" si="51"/>
        <v>0</v>
      </c>
      <c r="W161" s="99">
        <f t="shared" si="51"/>
        <v>0</v>
      </c>
    </row>
    <row r="162" spans="1:23" ht="18" customHeight="1" thickBot="1" x14ac:dyDescent="0.3">
      <c r="A162" s="241">
        <v>53</v>
      </c>
      <c r="B162" s="218"/>
      <c r="C162" s="213">
        <v>15</v>
      </c>
      <c r="D162" s="217" t="s">
        <v>20</v>
      </c>
      <c r="E162" s="69" t="s">
        <v>21</v>
      </c>
      <c r="F162" s="84">
        <f>'9B Sem 1'!E56</f>
        <v>71</v>
      </c>
      <c r="G162" s="84">
        <f>'9B Sem 1'!F56</f>
        <v>65</v>
      </c>
      <c r="H162" s="84">
        <f>'9B Sem 1'!G56</f>
        <v>68</v>
      </c>
      <c r="I162" s="84">
        <f>'9B Sem 1'!H56</f>
        <v>63</v>
      </c>
      <c r="J162" s="84">
        <f>'9B Sem 1'!I56</f>
        <v>67</v>
      </c>
      <c r="K162" s="84">
        <f>'9B Sem 1'!J56</f>
        <v>79</v>
      </c>
      <c r="L162" s="84">
        <f>'9B Sem 1'!K56</f>
        <v>76</v>
      </c>
      <c r="M162" s="84">
        <f>'9B Sem 1'!L56</f>
        <v>64</v>
      </c>
      <c r="N162" s="84">
        <f>'9B Sem 1'!M56</f>
        <v>71</v>
      </c>
      <c r="O162" s="84">
        <f>'9B Sem 1'!N56</f>
        <v>80</v>
      </c>
      <c r="P162" s="84">
        <f>'9B Sem 1'!O56</f>
        <v>75</v>
      </c>
      <c r="Q162" s="99">
        <f>'9B Sem 1'!P56</f>
        <v>91</v>
      </c>
      <c r="R162" s="99">
        <f>'9B Sem 1'!Q56</f>
        <v>59</v>
      </c>
      <c r="S162" s="84">
        <f>'9B Sem 1'!R56</f>
        <v>929</v>
      </c>
      <c r="T162" s="93">
        <f>'9B Sem 1'!S56</f>
        <v>71.461538461538467</v>
      </c>
      <c r="U162" s="84">
        <f>'9B Sem 1'!T56</f>
        <v>27</v>
      </c>
      <c r="V162" s="99">
        <f>'9B Sem 1'!U56</f>
        <v>0</v>
      </c>
      <c r="W162" s="99">
        <f>'9B Sem 1'!V56</f>
        <v>0</v>
      </c>
    </row>
    <row r="163" spans="1:23" ht="18" customHeight="1" thickBot="1" x14ac:dyDescent="0.3">
      <c r="A163" s="241"/>
      <c r="B163" s="218"/>
      <c r="C163" s="213">
        <v>15</v>
      </c>
      <c r="D163" s="217" t="s">
        <v>20</v>
      </c>
      <c r="E163" s="69" t="s">
        <v>22</v>
      </c>
      <c r="F163" s="84">
        <f>'9B Sem 2'!E56</f>
        <v>72</v>
      </c>
      <c r="G163" s="84">
        <f>'9B Sem 2'!F56</f>
        <v>68</v>
      </c>
      <c r="H163" s="84">
        <f>'9B Sem 2'!G56</f>
        <v>77</v>
      </c>
      <c r="I163" s="84">
        <f>'9B Sem 2'!H56</f>
        <v>70</v>
      </c>
      <c r="J163" s="84">
        <f>'9B Sem 2'!I56</f>
        <v>76</v>
      </c>
      <c r="K163" s="84">
        <f>'9B Sem 2'!J56</f>
        <v>79</v>
      </c>
      <c r="L163" s="84">
        <f>'9B Sem 2'!K56</f>
        <v>80</v>
      </c>
      <c r="M163" s="84">
        <f>'9B Sem 2'!L56</f>
        <v>76</v>
      </c>
      <c r="N163" s="84">
        <f>'9B Sem 2'!M56</f>
        <v>78</v>
      </c>
      <c r="O163" s="84">
        <f>'9B Sem 2'!N56</f>
        <v>88</v>
      </c>
      <c r="P163" s="84">
        <f>'9B Sem 2'!O56</f>
        <v>78</v>
      </c>
      <c r="Q163" s="99">
        <f>'9B Sem 2'!P56</f>
        <v>88</v>
      </c>
      <c r="R163" s="99">
        <f>'9B Sem 2'!Q56</f>
        <v>57</v>
      </c>
      <c r="S163" s="84">
        <f>'9B Sem 2'!R56</f>
        <v>987</v>
      </c>
      <c r="T163" s="93">
        <f>'9B Sem 2'!S56</f>
        <v>75.92307692307692</v>
      </c>
      <c r="U163" s="84">
        <f>'9B Sem 2'!T56</f>
        <v>22</v>
      </c>
      <c r="V163" s="99">
        <f>'9B Sem 2'!U56</f>
        <v>0</v>
      </c>
      <c r="W163" s="99">
        <f>'9B Sem 2'!V56</f>
        <v>0</v>
      </c>
    </row>
    <row r="164" spans="1:23" ht="18" customHeight="1" thickBot="1" x14ac:dyDescent="0.3">
      <c r="A164" s="241"/>
      <c r="B164" s="218"/>
      <c r="C164" s="213">
        <v>15</v>
      </c>
      <c r="D164" s="217" t="s">
        <v>20</v>
      </c>
      <c r="E164" s="69" t="s">
        <v>16</v>
      </c>
      <c r="F164" s="84">
        <f>AVERAGE(F162:F163)</f>
        <v>71.5</v>
      </c>
      <c r="G164" s="99">
        <f t="shared" ref="G164:W164" si="52">AVERAGE(G162:G163)</f>
        <v>66.5</v>
      </c>
      <c r="H164" s="99">
        <f t="shared" si="52"/>
        <v>72.5</v>
      </c>
      <c r="I164" s="99">
        <f t="shared" si="52"/>
        <v>66.5</v>
      </c>
      <c r="J164" s="99">
        <f t="shared" si="52"/>
        <v>71.5</v>
      </c>
      <c r="K164" s="99">
        <f t="shared" si="52"/>
        <v>79</v>
      </c>
      <c r="L164" s="99">
        <f t="shared" si="52"/>
        <v>78</v>
      </c>
      <c r="M164" s="99">
        <f t="shared" si="52"/>
        <v>70</v>
      </c>
      <c r="N164" s="99">
        <f t="shared" si="52"/>
        <v>74.5</v>
      </c>
      <c r="O164" s="99">
        <f t="shared" si="52"/>
        <v>84</v>
      </c>
      <c r="P164" s="99">
        <f t="shared" si="52"/>
        <v>76.5</v>
      </c>
      <c r="Q164" s="99">
        <f t="shared" si="52"/>
        <v>89.5</v>
      </c>
      <c r="R164" s="99">
        <f t="shared" si="52"/>
        <v>58</v>
      </c>
      <c r="S164" s="99">
        <f t="shared" si="52"/>
        <v>958</v>
      </c>
      <c r="T164" s="93">
        <f t="shared" si="52"/>
        <v>73.692307692307693</v>
      </c>
      <c r="U164" s="99">
        <f>'9B Sem avr'!$H$56</f>
        <v>23</v>
      </c>
      <c r="V164" s="99">
        <f t="shared" si="52"/>
        <v>0</v>
      </c>
      <c r="W164" s="99">
        <f t="shared" si="52"/>
        <v>0</v>
      </c>
    </row>
    <row r="165" spans="1:23" ht="18" customHeight="1" thickBot="1" x14ac:dyDescent="0.3">
      <c r="A165" s="241">
        <v>54</v>
      </c>
      <c r="B165" s="218"/>
      <c r="C165" s="213">
        <v>15</v>
      </c>
      <c r="D165" s="217" t="s">
        <v>20</v>
      </c>
      <c r="E165" s="69" t="s">
        <v>21</v>
      </c>
      <c r="F165" s="84">
        <f>'9B Sem 1'!E57</f>
        <v>81</v>
      </c>
      <c r="G165" s="84">
        <f>'9B Sem 1'!F57</f>
        <v>79</v>
      </c>
      <c r="H165" s="84">
        <f>'9B Sem 1'!G57</f>
        <v>81</v>
      </c>
      <c r="I165" s="84">
        <f>'9B Sem 1'!H57</f>
        <v>87</v>
      </c>
      <c r="J165" s="84">
        <f>'9B Sem 1'!I57</f>
        <v>84</v>
      </c>
      <c r="K165" s="84">
        <f>'9B Sem 1'!J57</f>
        <v>88</v>
      </c>
      <c r="L165" s="84">
        <f>'9B Sem 1'!K57</f>
        <v>87</v>
      </c>
      <c r="M165" s="84">
        <f>'9B Sem 1'!L57</f>
        <v>84</v>
      </c>
      <c r="N165" s="84">
        <f>'9B Sem 1'!M57</f>
        <v>91</v>
      </c>
      <c r="O165" s="84">
        <f>'9B Sem 1'!N57</f>
        <v>86</v>
      </c>
      <c r="P165" s="84">
        <f>'9B Sem 1'!O57</f>
        <v>84</v>
      </c>
      <c r="Q165" s="99">
        <f>'9B Sem 1'!P57</f>
        <v>100</v>
      </c>
      <c r="R165" s="99">
        <f>'9B Sem 1'!Q57</f>
        <v>81</v>
      </c>
      <c r="S165" s="84">
        <f>'9B Sem 1'!R57</f>
        <v>1113</v>
      </c>
      <c r="T165" s="93">
        <f>'9B Sem 1'!S57</f>
        <v>85.615384615384613</v>
      </c>
      <c r="U165" s="84">
        <f>'9B Sem 1'!T57</f>
        <v>4</v>
      </c>
      <c r="V165" s="99">
        <f>'9B Sem 1'!U57</f>
        <v>0</v>
      </c>
      <c r="W165" s="99">
        <f>'9B Sem 1'!V57</f>
        <v>0</v>
      </c>
    </row>
    <row r="166" spans="1:23" ht="18" customHeight="1" thickBot="1" x14ac:dyDescent="0.3">
      <c r="A166" s="241"/>
      <c r="B166" s="218"/>
      <c r="C166" s="213">
        <v>15</v>
      </c>
      <c r="D166" s="217" t="s">
        <v>20</v>
      </c>
      <c r="E166" s="69" t="s">
        <v>22</v>
      </c>
      <c r="F166" s="84">
        <f>'9B Sem 2'!E57</f>
        <v>89</v>
      </c>
      <c r="G166" s="84">
        <f>'9B Sem 2'!F57</f>
        <v>79</v>
      </c>
      <c r="H166" s="84">
        <f>'9B Sem 2'!G57</f>
        <v>84</v>
      </c>
      <c r="I166" s="84">
        <f>'9B Sem 2'!H57</f>
        <v>81</v>
      </c>
      <c r="J166" s="84">
        <f>'9B Sem 2'!I57</f>
        <v>95</v>
      </c>
      <c r="K166" s="84">
        <f>'9B Sem 2'!J57</f>
        <v>91</v>
      </c>
      <c r="L166" s="84">
        <f>'9B Sem 2'!K57</f>
        <v>75</v>
      </c>
      <c r="M166" s="84">
        <f>'9B Sem 2'!L57</f>
        <v>92</v>
      </c>
      <c r="N166" s="84">
        <f>'9B Sem 2'!M57</f>
        <v>84</v>
      </c>
      <c r="O166" s="84">
        <f>'9B Sem 2'!N57</f>
        <v>93</v>
      </c>
      <c r="P166" s="84">
        <f>'9B Sem 2'!O57</f>
        <v>85</v>
      </c>
      <c r="Q166" s="99">
        <f>'9B Sem 2'!P57</f>
        <v>91</v>
      </c>
      <c r="R166" s="99">
        <f>'9B Sem 2'!Q57</f>
        <v>73</v>
      </c>
      <c r="S166" s="84">
        <f>'9B Sem 2'!R57</f>
        <v>1112</v>
      </c>
      <c r="T166" s="93">
        <f>'9B Sem 2'!S57</f>
        <v>85.538461538461533</v>
      </c>
      <c r="U166" s="84">
        <f>'9B Sem 2'!T57</f>
        <v>6</v>
      </c>
      <c r="V166" s="99">
        <f>'9B Sem 2'!U57</f>
        <v>0</v>
      </c>
      <c r="W166" s="99">
        <f>'9B Sem 2'!V57</f>
        <v>0</v>
      </c>
    </row>
    <row r="167" spans="1:23" ht="18" customHeight="1" thickBot="1" x14ac:dyDescent="0.3">
      <c r="A167" s="241"/>
      <c r="B167" s="218"/>
      <c r="C167" s="213">
        <v>15</v>
      </c>
      <c r="D167" s="217" t="s">
        <v>20</v>
      </c>
      <c r="E167" s="69" t="s">
        <v>16</v>
      </c>
      <c r="F167" s="84">
        <f>AVERAGE(F165:F166)</f>
        <v>85</v>
      </c>
      <c r="G167" s="99">
        <f t="shared" ref="G167:W167" si="53">AVERAGE(G165:G166)</f>
        <v>79</v>
      </c>
      <c r="H167" s="99">
        <f t="shared" si="53"/>
        <v>82.5</v>
      </c>
      <c r="I167" s="99">
        <f t="shared" si="53"/>
        <v>84</v>
      </c>
      <c r="J167" s="99">
        <f t="shared" si="53"/>
        <v>89.5</v>
      </c>
      <c r="K167" s="99">
        <f t="shared" si="53"/>
        <v>89.5</v>
      </c>
      <c r="L167" s="99">
        <f t="shared" si="53"/>
        <v>81</v>
      </c>
      <c r="M167" s="99">
        <f t="shared" si="53"/>
        <v>88</v>
      </c>
      <c r="N167" s="99">
        <f t="shared" si="53"/>
        <v>87.5</v>
      </c>
      <c r="O167" s="99">
        <f t="shared" si="53"/>
        <v>89.5</v>
      </c>
      <c r="P167" s="99">
        <f t="shared" si="53"/>
        <v>84.5</v>
      </c>
      <c r="Q167" s="99">
        <f t="shared" si="53"/>
        <v>95.5</v>
      </c>
      <c r="R167" s="99">
        <f t="shared" si="53"/>
        <v>77</v>
      </c>
      <c r="S167" s="99">
        <f t="shared" si="53"/>
        <v>1112.5</v>
      </c>
      <c r="T167" s="93">
        <f t="shared" si="53"/>
        <v>85.576923076923066</v>
      </c>
      <c r="U167" s="99">
        <f>'9B Sem avr'!$H$57</f>
        <v>5</v>
      </c>
      <c r="V167" s="99">
        <f t="shared" si="53"/>
        <v>0</v>
      </c>
      <c r="W167" s="99">
        <f t="shared" si="53"/>
        <v>0</v>
      </c>
    </row>
    <row r="168" spans="1:23" ht="18" customHeight="1" thickBot="1" x14ac:dyDescent="0.3">
      <c r="A168" s="241">
        <v>55</v>
      </c>
      <c r="B168" s="218"/>
      <c r="C168" s="213">
        <v>15</v>
      </c>
      <c r="D168" s="217" t="s">
        <v>20</v>
      </c>
      <c r="E168" s="69" t="s">
        <v>21</v>
      </c>
      <c r="F168" s="84">
        <f>'9B Sem 1'!E58</f>
        <v>0</v>
      </c>
      <c r="G168" s="84">
        <f>'9B Sem 1'!F58</f>
        <v>0</v>
      </c>
      <c r="H168" s="84">
        <f>'9B Sem 1'!G58</f>
        <v>0</v>
      </c>
      <c r="I168" s="84">
        <f>'9B Sem 1'!H58</f>
        <v>0</v>
      </c>
      <c r="J168" s="84">
        <f>'9B Sem 1'!I58</f>
        <v>0</v>
      </c>
      <c r="K168" s="84">
        <f>'9B Sem 1'!J58</f>
        <v>0</v>
      </c>
      <c r="L168" s="84">
        <f>'9B Sem 1'!K58</f>
        <v>0</v>
      </c>
      <c r="M168" s="84">
        <f>'9B Sem 1'!L58</f>
        <v>0</v>
      </c>
      <c r="N168" s="84">
        <f>'9B Sem 1'!M58</f>
        <v>0</v>
      </c>
      <c r="O168" s="84">
        <f>'9B Sem 1'!N58</f>
        <v>0</v>
      </c>
      <c r="P168" s="84">
        <f>'9B Sem 1'!O58</f>
        <v>0</v>
      </c>
      <c r="Q168" s="99">
        <f>'9B Sem 1'!P58</f>
        <v>0</v>
      </c>
      <c r="R168" s="99">
        <f>'9B Sem 1'!Q58</f>
        <v>0</v>
      </c>
      <c r="S168" s="84">
        <f>'9B Sem 1'!R58</f>
        <v>0</v>
      </c>
      <c r="T168" s="93">
        <f>'9B Sem 1'!S58</f>
        <v>0</v>
      </c>
      <c r="U168" s="84">
        <f>'9B Sem 1'!T58</f>
        <v>56</v>
      </c>
      <c r="V168" s="99">
        <f>'9B Sem 1'!U58</f>
        <v>0</v>
      </c>
      <c r="W168" s="99">
        <f>'9B Sem 1'!V58</f>
        <v>0</v>
      </c>
    </row>
    <row r="169" spans="1:23" ht="18" customHeight="1" thickBot="1" x14ac:dyDescent="0.3">
      <c r="A169" s="241"/>
      <c r="B169" s="218"/>
      <c r="C169" s="213">
        <v>15</v>
      </c>
      <c r="D169" s="217" t="s">
        <v>20</v>
      </c>
      <c r="E169" s="69" t="s">
        <v>22</v>
      </c>
      <c r="F169" s="84">
        <f>'9B Sem 2'!E58</f>
        <v>0</v>
      </c>
      <c r="G169" s="84">
        <f>'9B Sem 2'!F58</f>
        <v>0</v>
      </c>
      <c r="H169" s="84">
        <f>'9B Sem 2'!G58</f>
        <v>0</v>
      </c>
      <c r="I169" s="84">
        <f>'9B Sem 2'!H58</f>
        <v>0</v>
      </c>
      <c r="J169" s="84">
        <f>'9B Sem 2'!I58</f>
        <v>0</v>
      </c>
      <c r="K169" s="84">
        <f>'9B Sem 2'!J58</f>
        <v>0</v>
      </c>
      <c r="L169" s="84">
        <f>'9B Sem 2'!K58</f>
        <v>0</v>
      </c>
      <c r="M169" s="84">
        <f>'9B Sem 2'!L58</f>
        <v>0</v>
      </c>
      <c r="N169" s="84">
        <f>'9B Sem 2'!M58</f>
        <v>0</v>
      </c>
      <c r="O169" s="84">
        <f>'9B Sem 2'!N58</f>
        <v>0</v>
      </c>
      <c r="P169" s="84">
        <f>'9B Sem 2'!O58</f>
        <v>0</v>
      </c>
      <c r="Q169" s="99">
        <f>'9B Sem 2'!P58</f>
        <v>0</v>
      </c>
      <c r="R169" s="99">
        <f>'9B Sem 2'!Q58</f>
        <v>0</v>
      </c>
      <c r="S169" s="84">
        <f>'9B Sem 2'!R58</f>
        <v>0</v>
      </c>
      <c r="T169" s="93">
        <f>'9B Sem 2'!S58</f>
        <v>0</v>
      </c>
      <c r="U169" s="84">
        <f>'9B Sem 2'!T58</f>
        <v>56</v>
      </c>
      <c r="V169" s="99">
        <f>'9B Sem 2'!U58</f>
        <v>0</v>
      </c>
      <c r="W169" s="99">
        <f>'9B Sem 2'!V58</f>
        <v>0</v>
      </c>
    </row>
    <row r="170" spans="1:23" ht="18" customHeight="1" thickBot="1" x14ac:dyDescent="0.3">
      <c r="A170" s="241"/>
      <c r="B170" s="218"/>
      <c r="C170" s="213">
        <v>15</v>
      </c>
      <c r="D170" s="217" t="s">
        <v>20</v>
      </c>
      <c r="E170" s="69" t="s">
        <v>16</v>
      </c>
      <c r="F170" s="84">
        <f>AVERAGE(F168:F169)</f>
        <v>0</v>
      </c>
      <c r="G170" s="99">
        <f t="shared" ref="G170:W170" si="54">AVERAGE(G168:G169)</f>
        <v>0</v>
      </c>
      <c r="H170" s="99">
        <f t="shared" si="54"/>
        <v>0</v>
      </c>
      <c r="I170" s="99">
        <f t="shared" si="54"/>
        <v>0</v>
      </c>
      <c r="J170" s="99">
        <f t="shared" si="54"/>
        <v>0</v>
      </c>
      <c r="K170" s="99">
        <f t="shared" si="54"/>
        <v>0</v>
      </c>
      <c r="L170" s="99">
        <f t="shared" si="54"/>
        <v>0</v>
      </c>
      <c r="M170" s="99">
        <f t="shared" si="54"/>
        <v>0</v>
      </c>
      <c r="N170" s="99">
        <f t="shared" si="54"/>
        <v>0</v>
      </c>
      <c r="O170" s="99">
        <f t="shared" si="54"/>
        <v>0</v>
      </c>
      <c r="P170" s="99">
        <f t="shared" si="54"/>
        <v>0</v>
      </c>
      <c r="Q170" s="99">
        <f t="shared" si="54"/>
        <v>0</v>
      </c>
      <c r="R170" s="99">
        <f t="shared" si="54"/>
        <v>0</v>
      </c>
      <c r="S170" s="99">
        <f t="shared" si="54"/>
        <v>0</v>
      </c>
      <c r="T170" s="93">
        <f t="shared" si="54"/>
        <v>0</v>
      </c>
      <c r="U170" s="99">
        <f>'9B Sem avr'!$H$58</f>
        <v>0</v>
      </c>
      <c r="V170" s="99">
        <f t="shared" si="54"/>
        <v>0</v>
      </c>
      <c r="W170" s="99">
        <f t="shared" si="54"/>
        <v>0</v>
      </c>
    </row>
    <row r="171" spans="1:23" ht="18" customHeight="1" thickBot="1" x14ac:dyDescent="0.3">
      <c r="A171" s="241">
        <v>56</v>
      </c>
      <c r="B171" s="218"/>
      <c r="C171" s="213">
        <v>15</v>
      </c>
      <c r="D171" s="217" t="s">
        <v>23</v>
      </c>
      <c r="E171" s="69" t="s">
        <v>21</v>
      </c>
      <c r="F171" s="99">
        <f>'9B Sem 1'!E59</f>
        <v>75</v>
      </c>
      <c r="G171" s="99">
        <f>'9B Sem 1'!F59</f>
        <v>57</v>
      </c>
      <c r="H171" s="99">
        <f>'9B Sem 1'!G59</f>
        <v>57</v>
      </c>
      <c r="I171" s="99">
        <f>'9B Sem 1'!H59</f>
        <v>44</v>
      </c>
      <c r="J171" s="99">
        <f>'9B Sem 1'!I59</f>
        <v>54</v>
      </c>
      <c r="K171" s="99">
        <f>'9B Sem 1'!J59</f>
        <v>48</v>
      </c>
      <c r="L171" s="99">
        <f>'9B Sem 1'!K59</f>
        <v>67</v>
      </c>
      <c r="M171" s="99">
        <f>'9B Sem 1'!L59</f>
        <v>53</v>
      </c>
      <c r="N171" s="99">
        <f>'9B Sem 1'!M59</f>
        <v>64</v>
      </c>
      <c r="O171" s="99">
        <f>'9B Sem 1'!N59</f>
        <v>70</v>
      </c>
      <c r="P171" s="99">
        <f>'9B Sem 1'!O59</f>
        <v>63</v>
      </c>
      <c r="Q171" s="99">
        <f>'9B Sem 1'!P59</f>
        <v>82</v>
      </c>
      <c r="R171" s="99">
        <f>'9B Sem 1'!Q59</f>
        <v>62</v>
      </c>
      <c r="S171" s="99">
        <f>'9B Sem 1'!R59</f>
        <v>796</v>
      </c>
      <c r="T171" s="93">
        <f>'9B Sem 1'!S59</f>
        <v>61.230769230769234</v>
      </c>
      <c r="U171" s="99">
        <f>'9B Sem 1'!T59</f>
        <v>39</v>
      </c>
      <c r="V171" s="99">
        <f>'9B Sem 1'!U59</f>
        <v>0</v>
      </c>
      <c r="W171" s="99">
        <f>'9B Sem 1'!V59</f>
        <v>0</v>
      </c>
    </row>
    <row r="172" spans="1:23" ht="18" customHeight="1" thickBot="1" x14ac:dyDescent="0.3">
      <c r="A172" s="241"/>
      <c r="B172" s="218"/>
      <c r="C172" s="213"/>
      <c r="D172" s="217"/>
      <c r="E172" s="69" t="s">
        <v>22</v>
      </c>
      <c r="F172" s="99">
        <f>'9B Sem 2'!E59</f>
        <v>81</v>
      </c>
      <c r="G172" s="99">
        <f>'9B Sem 2'!F59</f>
        <v>44</v>
      </c>
      <c r="H172" s="99">
        <f>'9B Sem 2'!G59</f>
        <v>52</v>
      </c>
      <c r="I172" s="99">
        <f>'9B Sem 2'!H59</f>
        <v>53</v>
      </c>
      <c r="J172" s="99">
        <f>'9B Sem 2'!I59</f>
        <v>55</v>
      </c>
      <c r="K172" s="99">
        <f>'9B Sem 2'!J59</f>
        <v>64</v>
      </c>
      <c r="L172" s="99">
        <f>'9B Sem 2'!K59</f>
        <v>63</v>
      </c>
      <c r="M172" s="99">
        <f>'9B Sem 2'!L59</f>
        <v>67</v>
      </c>
      <c r="N172" s="99">
        <f>'9B Sem 2'!M59</f>
        <v>62</v>
      </c>
      <c r="O172" s="99">
        <f>'9B Sem 2'!N59</f>
        <v>77</v>
      </c>
      <c r="P172" s="99">
        <f>'9B Sem 2'!O59</f>
        <v>73</v>
      </c>
      <c r="Q172" s="99">
        <f>'9B Sem 2'!P59</f>
        <v>87</v>
      </c>
      <c r="R172" s="99">
        <f>'9B Sem 2'!Q59</f>
        <v>85</v>
      </c>
      <c r="S172" s="99">
        <f>'9B Sem 2'!R59</f>
        <v>863</v>
      </c>
      <c r="T172" s="93">
        <f>'9B Sem 2'!S59</f>
        <v>66.384615384615387</v>
      </c>
      <c r="U172" s="99">
        <f>'9B Sem 2'!T59</f>
        <v>35</v>
      </c>
      <c r="V172" s="99">
        <f>'9B Sem 2'!U59</f>
        <v>0</v>
      </c>
      <c r="W172" s="99">
        <f>'9B Sem 2'!V59</f>
        <v>0</v>
      </c>
    </row>
    <row r="173" spans="1:23" ht="18" customHeight="1" thickBot="1" x14ac:dyDescent="0.3">
      <c r="A173" s="241"/>
      <c r="B173" s="218"/>
      <c r="C173" s="213"/>
      <c r="D173" s="217"/>
      <c r="E173" s="69" t="s">
        <v>16</v>
      </c>
      <c r="F173" s="99">
        <f>AVERAGE(F171:F172)</f>
        <v>78</v>
      </c>
      <c r="G173" s="99">
        <f t="shared" ref="G173:W173" si="55">AVERAGE(G171:G172)</f>
        <v>50.5</v>
      </c>
      <c r="H173" s="99">
        <f t="shared" si="55"/>
        <v>54.5</v>
      </c>
      <c r="I173" s="99">
        <f t="shared" si="55"/>
        <v>48.5</v>
      </c>
      <c r="J173" s="99">
        <f t="shared" si="55"/>
        <v>54.5</v>
      </c>
      <c r="K173" s="99">
        <f t="shared" si="55"/>
        <v>56</v>
      </c>
      <c r="L173" s="99">
        <f t="shared" si="55"/>
        <v>65</v>
      </c>
      <c r="M173" s="99">
        <f t="shared" si="55"/>
        <v>60</v>
      </c>
      <c r="N173" s="99">
        <f t="shared" si="55"/>
        <v>63</v>
      </c>
      <c r="O173" s="99">
        <f t="shared" si="55"/>
        <v>73.5</v>
      </c>
      <c r="P173" s="99">
        <f t="shared" si="55"/>
        <v>68</v>
      </c>
      <c r="Q173" s="99">
        <f t="shared" si="55"/>
        <v>84.5</v>
      </c>
      <c r="R173" s="99">
        <f t="shared" si="55"/>
        <v>73.5</v>
      </c>
      <c r="S173" s="99">
        <f t="shared" si="55"/>
        <v>829.5</v>
      </c>
      <c r="T173" s="93">
        <f t="shared" si="55"/>
        <v>63.807692307692307</v>
      </c>
      <c r="U173" s="99">
        <f>'9B Sem avr'!$H$59</f>
        <v>0</v>
      </c>
      <c r="V173" s="99">
        <f t="shared" si="55"/>
        <v>0</v>
      </c>
      <c r="W173" s="99">
        <f t="shared" si="55"/>
        <v>0</v>
      </c>
    </row>
    <row r="174" spans="1:23" ht="18" customHeight="1" x14ac:dyDescent="0.25">
      <c r="C174"/>
      <c r="D174"/>
    </row>
    <row r="175" spans="1:23" ht="18" customHeight="1" x14ac:dyDescent="0.25">
      <c r="C175"/>
      <c r="D175"/>
    </row>
    <row r="176" spans="1:23" ht="18" customHeight="1" x14ac:dyDescent="0.25">
      <c r="C176"/>
      <c r="D176"/>
    </row>
    <row r="177" spans="1:4" ht="18" customHeight="1" x14ac:dyDescent="0.25">
      <c r="C177"/>
      <c r="D177"/>
    </row>
    <row r="178" spans="1:4" ht="18" customHeight="1" x14ac:dyDescent="0.25">
      <c r="C178"/>
      <c r="D178"/>
    </row>
    <row r="179" spans="1:4" ht="18" customHeight="1" x14ac:dyDescent="0.25">
      <c r="C179"/>
      <c r="D179"/>
    </row>
    <row r="180" spans="1:4" ht="18" customHeight="1" x14ac:dyDescent="0.25">
      <c r="C180"/>
      <c r="D180"/>
    </row>
    <row r="181" spans="1:4" ht="18" customHeight="1" x14ac:dyDescent="0.25">
      <c r="C181"/>
      <c r="D181"/>
    </row>
    <row r="182" spans="1:4" ht="18" customHeight="1" x14ac:dyDescent="0.25">
      <c r="C182"/>
      <c r="D182"/>
    </row>
    <row r="183" spans="1:4" ht="18" customHeight="1" x14ac:dyDescent="0.25">
      <c r="C183"/>
      <c r="D183"/>
    </row>
    <row r="184" spans="1:4" ht="18" customHeight="1" x14ac:dyDescent="0.25">
      <c r="C184"/>
      <c r="D184"/>
    </row>
    <row r="185" spans="1:4" ht="18" customHeight="1" x14ac:dyDescent="0.25">
      <c r="C185"/>
      <c r="D185"/>
    </row>
    <row r="186" spans="1:4" ht="18" customHeight="1" x14ac:dyDescent="0.25">
      <c r="C186"/>
      <c r="D186"/>
    </row>
    <row r="187" spans="1:4" ht="18" customHeight="1" x14ac:dyDescent="0.25">
      <c r="C187"/>
      <c r="D187"/>
    </row>
    <row r="188" spans="1:4" ht="18" customHeight="1" x14ac:dyDescent="0.25">
      <c r="C188"/>
      <c r="D188"/>
    </row>
    <row r="189" spans="1:4" ht="18" customHeight="1" x14ac:dyDescent="0.25">
      <c r="A189" s="7"/>
      <c r="C189"/>
      <c r="D189"/>
    </row>
    <row r="190" spans="1:4" ht="18" customHeight="1" x14ac:dyDescent="0.25">
      <c r="A190" s="7"/>
      <c r="C190"/>
      <c r="D190"/>
    </row>
    <row r="191" spans="1:4" ht="18" customHeight="1" x14ac:dyDescent="0.25">
      <c r="A191" s="7"/>
      <c r="C191"/>
      <c r="D191"/>
    </row>
    <row r="192" spans="1:4" ht="18" customHeight="1" x14ac:dyDescent="0.25">
      <c r="A192" s="7"/>
      <c r="C192" s="8"/>
      <c r="D192" s="8"/>
    </row>
    <row r="193" spans="1:5" ht="18" customHeight="1" x14ac:dyDescent="0.25">
      <c r="A193" s="7"/>
      <c r="B193" s="8"/>
      <c r="C193" s="8"/>
      <c r="D193" s="8"/>
    </row>
    <row r="194" spans="1:5" ht="18" customHeight="1" x14ac:dyDescent="0.25">
      <c r="A194" s="7"/>
      <c r="B194" s="8"/>
      <c r="C194" s="8"/>
      <c r="D194" s="8"/>
    </row>
    <row r="195" spans="1:5" ht="18" customHeight="1" x14ac:dyDescent="0.25">
      <c r="A195" s="7"/>
      <c r="B195" s="8"/>
      <c r="C195" s="8"/>
      <c r="D195" s="8"/>
    </row>
    <row r="196" spans="1:5" ht="18" customHeight="1" x14ac:dyDescent="0.25">
      <c r="A196" s="7"/>
      <c r="B196" s="8"/>
      <c r="C196" s="8"/>
      <c r="D196" s="8"/>
    </row>
    <row r="197" spans="1:5" ht="18" customHeight="1" x14ac:dyDescent="0.25">
      <c r="A197" s="7"/>
      <c r="B197" s="8"/>
      <c r="C197" s="8"/>
      <c r="D197" s="8"/>
    </row>
    <row r="198" spans="1:5" ht="18" customHeight="1" x14ac:dyDescent="0.25">
      <c r="A198" s="7"/>
      <c r="B198" s="8"/>
      <c r="C198" s="8"/>
      <c r="D198" s="8"/>
    </row>
    <row r="199" spans="1:5" ht="18" customHeight="1" x14ac:dyDescent="0.25">
      <c r="A199" s="7"/>
      <c r="B199" s="8"/>
      <c r="C199" s="8"/>
      <c r="D199" s="8"/>
    </row>
    <row r="200" spans="1:5" ht="18.75" customHeight="1" x14ac:dyDescent="0.25">
      <c r="A200" s="7"/>
      <c r="B200" s="8"/>
      <c r="C200" s="8"/>
      <c r="D200" s="8"/>
    </row>
    <row r="201" spans="1:5" ht="18.75" customHeight="1" x14ac:dyDescent="0.25">
      <c r="A201" s="7"/>
      <c r="B201" s="8"/>
      <c r="C201" s="8"/>
      <c r="D201" s="8"/>
    </row>
    <row r="202" spans="1:5" ht="18.75" customHeight="1" x14ac:dyDescent="0.25">
      <c r="A202" s="7"/>
      <c r="B202" s="8"/>
      <c r="C202" s="8"/>
      <c r="D202" s="8"/>
    </row>
    <row r="203" spans="1:5" ht="18.75" customHeight="1" x14ac:dyDescent="0.25">
      <c r="B203" s="8"/>
      <c r="C203" s="8"/>
      <c r="D203" s="8"/>
    </row>
    <row r="204" spans="1:5" ht="18.75" customHeight="1" x14ac:dyDescent="0.25">
      <c r="B204" s="8"/>
      <c r="C204" s="8"/>
      <c r="D204" s="8"/>
    </row>
    <row r="205" spans="1:5" ht="18.75" customHeight="1" x14ac:dyDescent="0.25">
      <c r="A205" s="6"/>
      <c r="B205" s="8"/>
      <c r="C205" s="8"/>
      <c r="D205" s="8"/>
    </row>
    <row r="206" spans="1:5" ht="18.75" customHeight="1" x14ac:dyDescent="0.25">
      <c r="A206" s="6"/>
      <c r="B206" s="8"/>
      <c r="C206"/>
      <c r="D206"/>
    </row>
    <row r="207" spans="1:5" ht="18.75" customHeight="1" x14ac:dyDescent="0.25">
      <c r="A207" s="6"/>
      <c r="C207"/>
      <c r="D207"/>
    </row>
    <row r="208" spans="1:5" ht="18.75" customHeight="1" x14ac:dyDescent="0.25">
      <c r="A208" s="6"/>
      <c r="C208" s="5"/>
      <c r="D208" s="5"/>
      <c r="E208" s="5"/>
    </row>
    <row r="209" spans="1:5" ht="18.75" customHeight="1" x14ac:dyDescent="0.25">
      <c r="A209" s="6"/>
      <c r="B209" s="5"/>
      <c r="C209" s="5"/>
      <c r="D209" s="5"/>
      <c r="E209" s="5"/>
    </row>
    <row r="210" spans="1:5" ht="18.75" customHeight="1" x14ac:dyDescent="0.25">
      <c r="A210" s="6"/>
      <c r="B210" s="5"/>
      <c r="C210" s="5"/>
      <c r="D210" s="5"/>
      <c r="E210" s="5"/>
    </row>
    <row r="211" spans="1:5" ht="18.75" customHeight="1" x14ac:dyDescent="0.25">
      <c r="A211" s="6"/>
      <c r="B211" s="5"/>
      <c r="C211" s="5"/>
      <c r="D211" s="5"/>
      <c r="E211" s="5"/>
    </row>
    <row r="212" spans="1:5" ht="18.75" customHeight="1" x14ac:dyDescent="0.25">
      <c r="A212" s="6"/>
      <c r="B212" s="5"/>
      <c r="C212" s="5"/>
      <c r="D212" s="5"/>
      <c r="E212" s="5"/>
    </row>
    <row r="213" spans="1:5" ht="18.75" customHeight="1" x14ac:dyDescent="0.25">
      <c r="A213" s="6"/>
      <c r="B213" s="5"/>
      <c r="C213" s="5"/>
      <c r="D213" s="5"/>
      <c r="E213" s="5"/>
    </row>
    <row r="214" spans="1:5" ht="18.75" customHeight="1" x14ac:dyDescent="0.25">
      <c r="A214" s="6"/>
      <c r="B214" s="5"/>
      <c r="C214" s="5"/>
      <c r="D214" s="5"/>
      <c r="E214" s="5"/>
    </row>
    <row r="215" spans="1:5" ht="18.75" customHeight="1" x14ac:dyDescent="0.25">
      <c r="A215" s="6"/>
      <c r="B215" s="5"/>
      <c r="C215" s="5"/>
      <c r="D215" s="5"/>
      <c r="E215" s="5"/>
    </row>
    <row r="216" spans="1:5" ht="18.75" customHeight="1" x14ac:dyDescent="0.25">
      <c r="A216" s="6"/>
      <c r="B216" s="5"/>
      <c r="C216" s="5"/>
      <c r="D216" s="5"/>
      <c r="E216" s="5"/>
    </row>
    <row r="217" spans="1:5" ht="18.75" customHeight="1" x14ac:dyDescent="0.25">
      <c r="A217" s="6"/>
      <c r="B217" s="5"/>
      <c r="C217" s="5"/>
      <c r="D217" s="5"/>
      <c r="E217" s="5"/>
    </row>
    <row r="218" spans="1:5" ht="18.75" customHeight="1" x14ac:dyDescent="0.25">
      <c r="A218" s="6"/>
      <c r="B218" s="5"/>
      <c r="C218" s="5"/>
      <c r="D218" s="5"/>
      <c r="E218" s="5"/>
    </row>
    <row r="219" spans="1:5" ht="18.75" customHeight="1" x14ac:dyDescent="0.25">
      <c r="A219" s="6"/>
      <c r="B219" s="5"/>
      <c r="C219" s="5"/>
      <c r="D219" s="5"/>
      <c r="E219" s="5"/>
    </row>
    <row r="220" spans="1:5" ht="18.75" customHeight="1" x14ac:dyDescent="0.25">
      <c r="A220" s="6"/>
      <c r="B220" s="5"/>
      <c r="C220" s="5"/>
      <c r="D220" s="5"/>
      <c r="E220" s="5"/>
    </row>
    <row r="221" spans="1:5" ht="18.75" customHeight="1" x14ac:dyDescent="0.25">
      <c r="A221" s="6"/>
      <c r="B221" s="5"/>
      <c r="C221" s="5"/>
      <c r="D221" s="5"/>
      <c r="E221" s="5"/>
    </row>
    <row r="222" spans="1:5" ht="15.75" x14ac:dyDescent="0.25">
      <c r="A222" s="6"/>
      <c r="B222" s="5"/>
      <c r="C222" s="5"/>
      <c r="D222" s="5"/>
      <c r="E222" s="5"/>
    </row>
    <row r="223" spans="1:5" ht="15.75" x14ac:dyDescent="0.25">
      <c r="A223" s="6"/>
      <c r="B223" s="5"/>
      <c r="C223" s="5"/>
      <c r="D223" s="5"/>
      <c r="E223" s="5"/>
    </row>
    <row r="224" spans="1:5" ht="15.75" x14ac:dyDescent="0.25">
      <c r="A224" s="6"/>
      <c r="B224" s="5"/>
      <c r="C224" s="5"/>
      <c r="D224" s="5"/>
      <c r="E224" s="5"/>
    </row>
    <row r="225" spans="1:5" ht="19.5" customHeight="1" x14ac:dyDescent="0.25">
      <c r="A225" s="6"/>
      <c r="B225" s="5"/>
      <c r="C225" s="5"/>
      <c r="D225" s="5"/>
      <c r="E225" s="5"/>
    </row>
    <row r="226" spans="1:5" ht="15.75" x14ac:dyDescent="0.25">
      <c r="A226" s="6"/>
      <c r="B226" s="5"/>
      <c r="C226" s="5"/>
      <c r="D226" s="5"/>
      <c r="E226" s="5"/>
    </row>
    <row r="227" spans="1:5" ht="15.75" x14ac:dyDescent="0.25">
      <c r="A227" s="6"/>
      <c r="B227" s="5"/>
      <c r="C227" s="5"/>
      <c r="D227" s="5"/>
      <c r="E227" s="5"/>
    </row>
    <row r="228" spans="1:5" ht="16.5" customHeight="1" x14ac:dyDescent="0.25">
      <c r="A228" s="6"/>
      <c r="B228" s="5"/>
      <c r="C228" s="5"/>
      <c r="D228" s="5"/>
      <c r="E228" s="5"/>
    </row>
    <row r="229" spans="1:5" ht="15.75" x14ac:dyDescent="0.25">
      <c r="A229" s="6"/>
      <c r="B229" s="5"/>
      <c r="C229" s="5"/>
      <c r="D229" s="5"/>
      <c r="E229" s="5"/>
    </row>
    <row r="230" spans="1:5" ht="15.75" x14ac:dyDescent="0.25">
      <c r="B230" s="5"/>
      <c r="C230" s="5"/>
      <c r="D230" s="5"/>
      <c r="E230" s="5"/>
    </row>
    <row r="231" spans="1:5" ht="15.75" x14ac:dyDescent="0.25">
      <c r="B231" s="5"/>
      <c r="C231" s="5"/>
      <c r="D231" s="5"/>
      <c r="E231" s="5"/>
    </row>
    <row r="232" spans="1:5" ht="15.75" x14ac:dyDescent="0.25">
      <c r="B232" s="5"/>
      <c r="C232" s="5"/>
      <c r="D232" s="5"/>
      <c r="E232" s="5"/>
    </row>
    <row r="233" spans="1:5" ht="15.75" x14ac:dyDescent="0.25">
      <c r="B233" s="5"/>
      <c r="C233"/>
      <c r="D233"/>
    </row>
    <row r="234" spans="1:5" x14ac:dyDescent="0.25">
      <c r="C234"/>
      <c r="D234"/>
    </row>
    <row r="235" spans="1:5" x14ac:dyDescent="0.25">
      <c r="C235"/>
      <c r="D235"/>
    </row>
    <row r="236" spans="1:5" x14ac:dyDescent="0.25">
      <c r="C236"/>
      <c r="D236"/>
    </row>
    <row r="237" spans="1:5" ht="17.25" customHeight="1" x14ac:dyDescent="0.25">
      <c r="C237"/>
      <c r="D237"/>
    </row>
    <row r="238" spans="1:5" x14ac:dyDescent="0.25">
      <c r="C238"/>
      <c r="D238"/>
    </row>
    <row r="239" spans="1:5" x14ac:dyDescent="0.25">
      <c r="C239"/>
      <c r="D239"/>
    </row>
    <row r="240" spans="1:5" ht="19.5" customHeight="1" x14ac:dyDescent="0.25">
      <c r="C240"/>
      <c r="D240"/>
    </row>
    <row r="241" spans="3:4" x14ac:dyDescent="0.25">
      <c r="C241"/>
      <c r="D241"/>
    </row>
    <row r="242" spans="3:4" x14ac:dyDescent="0.25">
      <c r="C242"/>
      <c r="D242"/>
    </row>
    <row r="243" spans="3:4" x14ac:dyDescent="0.25">
      <c r="C243"/>
      <c r="D243"/>
    </row>
    <row r="244" spans="3:4" x14ac:dyDescent="0.25">
      <c r="C244"/>
      <c r="D244"/>
    </row>
    <row r="245" spans="3:4" x14ac:dyDescent="0.25">
      <c r="C245"/>
      <c r="D245"/>
    </row>
    <row r="246" spans="3:4" x14ac:dyDescent="0.25">
      <c r="C246"/>
      <c r="D246"/>
    </row>
    <row r="247" spans="3:4" x14ac:dyDescent="0.25">
      <c r="C247"/>
      <c r="D247"/>
    </row>
    <row r="248" spans="3:4" x14ac:dyDescent="0.25">
      <c r="C248"/>
      <c r="D248"/>
    </row>
    <row r="249" spans="3:4" x14ac:dyDescent="0.25">
      <c r="C249"/>
      <c r="D249"/>
    </row>
    <row r="250" spans="3:4" x14ac:dyDescent="0.25">
      <c r="C250"/>
      <c r="D250"/>
    </row>
    <row r="251" spans="3:4" x14ac:dyDescent="0.25">
      <c r="C251"/>
      <c r="D251"/>
    </row>
    <row r="252" spans="3:4" x14ac:dyDescent="0.25">
      <c r="C252"/>
      <c r="D252"/>
    </row>
    <row r="253" spans="3:4" x14ac:dyDescent="0.25">
      <c r="C253"/>
      <c r="D253"/>
    </row>
    <row r="254" spans="3:4" x14ac:dyDescent="0.25">
      <c r="C254"/>
      <c r="D254"/>
    </row>
    <row r="255" spans="3:4" x14ac:dyDescent="0.25">
      <c r="C255"/>
      <c r="D255"/>
    </row>
    <row r="256" spans="3:4" x14ac:dyDescent="0.25">
      <c r="C256"/>
      <c r="D256"/>
    </row>
    <row r="257" spans="3:4" x14ac:dyDescent="0.25">
      <c r="C257"/>
      <c r="D257"/>
    </row>
    <row r="258" spans="3:4" x14ac:dyDescent="0.25">
      <c r="C258"/>
      <c r="D258"/>
    </row>
    <row r="259" spans="3:4" x14ac:dyDescent="0.25">
      <c r="C259"/>
      <c r="D259"/>
    </row>
  </sheetData>
  <mergeCells count="226">
    <mergeCell ref="A153:A155"/>
    <mergeCell ref="B153:B155"/>
    <mergeCell ref="C153:C155"/>
    <mergeCell ref="D153:D155"/>
    <mergeCell ref="A156:A158"/>
    <mergeCell ref="B156:B158"/>
    <mergeCell ref="C156:C158"/>
    <mergeCell ref="D156:D158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41:A143"/>
    <mergeCell ref="B141:B143"/>
    <mergeCell ref="C141:C143"/>
    <mergeCell ref="D141:D143"/>
    <mergeCell ref="A144:A146"/>
    <mergeCell ref="B144:B146"/>
    <mergeCell ref="C144:C146"/>
    <mergeCell ref="D144:D146"/>
    <mergeCell ref="A135:A137"/>
    <mergeCell ref="B135:B137"/>
    <mergeCell ref="C135:C137"/>
    <mergeCell ref="D135:D137"/>
    <mergeCell ref="A138:A140"/>
    <mergeCell ref="B138:B140"/>
    <mergeCell ref="C138:C140"/>
    <mergeCell ref="D138:D140"/>
    <mergeCell ref="A129:A131"/>
    <mergeCell ref="B129:B131"/>
    <mergeCell ref="C129:C131"/>
    <mergeCell ref="D129:D131"/>
    <mergeCell ref="A132:A134"/>
    <mergeCell ref="B132:B134"/>
    <mergeCell ref="C132:C134"/>
    <mergeCell ref="D132:D134"/>
    <mergeCell ref="A123:A125"/>
    <mergeCell ref="B123:B125"/>
    <mergeCell ref="C123:C125"/>
    <mergeCell ref="D123:D125"/>
    <mergeCell ref="A126:A128"/>
    <mergeCell ref="B126:B128"/>
    <mergeCell ref="C126:C128"/>
    <mergeCell ref="D126:D128"/>
    <mergeCell ref="A117:A119"/>
    <mergeCell ref="B117:B119"/>
    <mergeCell ref="C117:C119"/>
    <mergeCell ref="D117:D119"/>
    <mergeCell ref="A120:A122"/>
    <mergeCell ref="B120:B122"/>
    <mergeCell ref="C120:C122"/>
    <mergeCell ref="D120:D122"/>
    <mergeCell ref="A111:A113"/>
    <mergeCell ref="B111:B113"/>
    <mergeCell ref="C111:C113"/>
    <mergeCell ref="D111:D113"/>
    <mergeCell ref="A114:A116"/>
    <mergeCell ref="B114:B116"/>
    <mergeCell ref="C114:C116"/>
    <mergeCell ref="D114:D116"/>
    <mergeCell ref="A105:A107"/>
    <mergeCell ref="B105:B107"/>
    <mergeCell ref="C105:C107"/>
    <mergeCell ref="D105:D107"/>
    <mergeCell ref="A108:A110"/>
    <mergeCell ref="B108:B110"/>
    <mergeCell ref="C108:C110"/>
    <mergeCell ref="D108:D110"/>
    <mergeCell ref="A99:A101"/>
    <mergeCell ref="B99:B101"/>
    <mergeCell ref="C99:C101"/>
    <mergeCell ref="D99:D101"/>
    <mergeCell ref="A102:A104"/>
    <mergeCell ref="B102:B104"/>
    <mergeCell ref="C102:C104"/>
    <mergeCell ref="D102:D104"/>
    <mergeCell ref="A93:A95"/>
    <mergeCell ref="B93:B95"/>
    <mergeCell ref="C93:C95"/>
    <mergeCell ref="D93:D95"/>
    <mergeCell ref="A96:A98"/>
    <mergeCell ref="B96:B98"/>
    <mergeCell ref="C96:C98"/>
    <mergeCell ref="D96:D98"/>
    <mergeCell ref="A87:A89"/>
    <mergeCell ref="B87:B89"/>
    <mergeCell ref="C87:C89"/>
    <mergeCell ref="D87:D89"/>
    <mergeCell ref="A90:A92"/>
    <mergeCell ref="B90:B92"/>
    <mergeCell ref="C90:C92"/>
    <mergeCell ref="D90:D92"/>
    <mergeCell ref="A81:A83"/>
    <mergeCell ref="B81:B83"/>
    <mergeCell ref="C81:C83"/>
    <mergeCell ref="D81:D83"/>
    <mergeCell ref="A84:A86"/>
    <mergeCell ref="B84:B86"/>
    <mergeCell ref="C84:C86"/>
    <mergeCell ref="D84:D86"/>
    <mergeCell ref="A75:A77"/>
    <mergeCell ref="B75:B77"/>
    <mergeCell ref="C75:C77"/>
    <mergeCell ref="D75:D77"/>
    <mergeCell ref="A78:A80"/>
    <mergeCell ref="B78:B80"/>
    <mergeCell ref="C78:C80"/>
    <mergeCell ref="D78:D80"/>
    <mergeCell ref="A69:A71"/>
    <mergeCell ref="B69:B71"/>
    <mergeCell ref="C69:C71"/>
    <mergeCell ref="D69:D71"/>
    <mergeCell ref="A72:A74"/>
    <mergeCell ref="B72:B74"/>
    <mergeCell ref="C72:C74"/>
    <mergeCell ref="D72:D74"/>
    <mergeCell ref="A63:A65"/>
    <mergeCell ref="B63:B65"/>
    <mergeCell ref="C63:C65"/>
    <mergeCell ref="D63:D65"/>
    <mergeCell ref="A66:A68"/>
    <mergeCell ref="B66:B68"/>
    <mergeCell ref="C66:C68"/>
    <mergeCell ref="D66:D68"/>
    <mergeCell ref="A57:A59"/>
    <mergeCell ref="B57:B59"/>
    <mergeCell ref="C57:C59"/>
    <mergeCell ref="D57:D59"/>
    <mergeCell ref="A60:A62"/>
    <mergeCell ref="B60:B62"/>
    <mergeCell ref="C60:C62"/>
    <mergeCell ref="D60:D62"/>
    <mergeCell ref="A51:A53"/>
    <mergeCell ref="B51:B53"/>
    <mergeCell ref="C51:C53"/>
    <mergeCell ref="D51:D53"/>
    <mergeCell ref="A54:A56"/>
    <mergeCell ref="B54:B56"/>
    <mergeCell ref="C54:C56"/>
    <mergeCell ref="D54:D56"/>
    <mergeCell ref="A45:A47"/>
    <mergeCell ref="B45:B47"/>
    <mergeCell ref="C45:C47"/>
    <mergeCell ref="D45:D47"/>
    <mergeCell ref="A48:A50"/>
    <mergeCell ref="B48:B50"/>
    <mergeCell ref="C48:C50"/>
    <mergeCell ref="D48:D50"/>
    <mergeCell ref="A39:A41"/>
    <mergeCell ref="B39:B41"/>
    <mergeCell ref="C39:C41"/>
    <mergeCell ref="D39:D41"/>
    <mergeCell ref="A42:A44"/>
    <mergeCell ref="B42:B44"/>
    <mergeCell ref="C42:C44"/>
    <mergeCell ref="D42:D44"/>
    <mergeCell ref="A33:A35"/>
    <mergeCell ref="B33:B35"/>
    <mergeCell ref="C33:C35"/>
    <mergeCell ref="D33:D35"/>
    <mergeCell ref="A36:A38"/>
    <mergeCell ref="B36:B38"/>
    <mergeCell ref="C36:C38"/>
    <mergeCell ref="D36:D38"/>
    <mergeCell ref="A27:A29"/>
    <mergeCell ref="B27:B29"/>
    <mergeCell ref="C27:C29"/>
    <mergeCell ref="D27:D29"/>
    <mergeCell ref="A30:A32"/>
    <mergeCell ref="B30:B32"/>
    <mergeCell ref="C30:C32"/>
    <mergeCell ref="D30:D32"/>
    <mergeCell ref="A21:A23"/>
    <mergeCell ref="B21:B23"/>
    <mergeCell ref="C21:C23"/>
    <mergeCell ref="D21:D23"/>
    <mergeCell ref="A24:A26"/>
    <mergeCell ref="B24:B26"/>
    <mergeCell ref="C24:C26"/>
    <mergeCell ref="D24:D26"/>
    <mergeCell ref="A15:A17"/>
    <mergeCell ref="B15:B17"/>
    <mergeCell ref="C15:C17"/>
    <mergeCell ref="D15:D17"/>
    <mergeCell ref="A18:A20"/>
    <mergeCell ref="B18:B20"/>
    <mergeCell ref="C18:C20"/>
    <mergeCell ref="D18:D20"/>
    <mergeCell ref="A9:A11"/>
    <mergeCell ref="B9:B11"/>
    <mergeCell ref="C9:C11"/>
    <mergeCell ref="D9:D11"/>
    <mergeCell ref="A12:A14"/>
    <mergeCell ref="B12:B14"/>
    <mergeCell ref="C12:C14"/>
    <mergeCell ref="D12:D14"/>
    <mergeCell ref="A1:W1"/>
    <mergeCell ref="A3:W3"/>
    <mergeCell ref="A6:A8"/>
    <mergeCell ref="B6:B8"/>
    <mergeCell ref="C6:C8"/>
    <mergeCell ref="D6:D8"/>
    <mergeCell ref="A159:A161"/>
    <mergeCell ref="A162:A164"/>
    <mergeCell ref="A165:A167"/>
    <mergeCell ref="A168:A170"/>
    <mergeCell ref="A171:A173"/>
    <mergeCell ref="B159:B161"/>
    <mergeCell ref="C159:C161"/>
    <mergeCell ref="D159:D161"/>
    <mergeCell ref="B162:B164"/>
    <mergeCell ref="C162:C164"/>
    <mergeCell ref="D162:D164"/>
    <mergeCell ref="B165:B167"/>
    <mergeCell ref="C165:C167"/>
    <mergeCell ref="D165:D167"/>
    <mergeCell ref="B168:B170"/>
    <mergeCell ref="C168:C170"/>
    <mergeCell ref="D168:D170"/>
    <mergeCell ref="B171:B173"/>
    <mergeCell ref="C171:C173"/>
    <mergeCell ref="D171:D173"/>
  </mergeCells>
  <pageMargins left="0.7" right="0.7" top="0.75" bottom="0.75" header="0.3" footer="0.3"/>
  <pageSetup paperSize="9" scale="75" fitToHeight="0" orientation="landscape" r:id="rId1"/>
  <ignoredErrors>
    <ignoredError sqref="U8 U11:U17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9"/>
  <sheetViews>
    <sheetView workbookViewId="0">
      <selection activeCell="B4" sqref="B4:B59"/>
    </sheetView>
  </sheetViews>
  <sheetFormatPr defaultRowHeight="15" x14ac:dyDescent="0.25"/>
  <cols>
    <col min="1" max="1" width="6.7109375" style="10" customWidth="1"/>
    <col min="2" max="2" width="35.140625" bestFit="1" customWidth="1"/>
    <col min="3" max="3" width="4.7109375" customWidth="1"/>
    <col min="4" max="4" width="4.140625" customWidth="1"/>
    <col min="5" max="17" width="6.7109375" customWidth="1"/>
    <col min="18" max="22" width="6.7109375" style="10" customWidth="1"/>
  </cols>
  <sheetData>
    <row r="1" spans="1:22" ht="20.25" x14ac:dyDescent="0.25">
      <c r="A1" s="222" t="s">
        <v>58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4"/>
    </row>
    <row r="2" spans="1:22" ht="18" thickBot="1" x14ac:dyDescent="0.3">
      <c r="A2" s="225" t="s">
        <v>34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</row>
    <row r="3" spans="1:22" ht="67.5" customHeight="1" thickBot="1" x14ac:dyDescent="0.3">
      <c r="A3" s="50" t="s">
        <v>24</v>
      </c>
      <c r="B3" s="105" t="s">
        <v>1</v>
      </c>
      <c r="C3" s="106" t="s">
        <v>2</v>
      </c>
      <c r="D3" s="105" t="s">
        <v>3</v>
      </c>
      <c r="E3" s="53" t="s">
        <v>4</v>
      </c>
      <c r="F3" s="53" t="s">
        <v>5</v>
      </c>
      <c r="G3" s="53" t="s">
        <v>6</v>
      </c>
      <c r="H3" s="53" t="s">
        <v>7</v>
      </c>
      <c r="I3" s="53" t="s">
        <v>8</v>
      </c>
      <c r="J3" s="53" t="s">
        <v>9</v>
      </c>
      <c r="K3" s="53" t="s">
        <v>11</v>
      </c>
      <c r="L3" s="53" t="s">
        <v>10</v>
      </c>
      <c r="M3" s="55" t="s">
        <v>69</v>
      </c>
      <c r="N3" s="55" t="s">
        <v>13</v>
      </c>
      <c r="O3" s="55" t="s">
        <v>65</v>
      </c>
      <c r="P3" s="53" t="s">
        <v>14</v>
      </c>
      <c r="Q3" s="53" t="s">
        <v>66</v>
      </c>
      <c r="R3" s="55" t="s">
        <v>15</v>
      </c>
      <c r="S3" s="53" t="s">
        <v>16</v>
      </c>
      <c r="T3" s="53" t="s">
        <v>17</v>
      </c>
      <c r="U3" s="54" t="s">
        <v>18</v>
      </c>
      <c r="V3" s="20" t="s">
        <v>19</v>
      </c>
    </row>
    <row r="4" spans="1:22" ht="20.100000000000001" customHeight="1" x14ac:dyDescent="0.25">
      <c r="A4" s="161">
        <v>1</v>
      </c>
      <c r="B4" s="139"/>
      <c r="C4" s="136">
        <v>15</v>
      </c>
      <c r="D4" s="136" t="s">
        <v>20</v>
      </c>
      <c r="E4" s="103">
        <v>74</v>
      </c>
      <c r="F4" s="47">
        <v>67</v>
      </c>
      <c r="G4" s="47">
        <v>78</v>
      </c>
      <c r="H4" s="47">
        <v>71</v>
      </c>
      <c r="I4" s="47">
        <v>75</v>
      </c>
      <c r="J4" s="47">
        <v>64</v>
      </c>
      <c r="K4" s="47">
        <v>75</v>
      </c>
      <c r="L4" s="47">
        <v>64</v>
      </c>
      <c r="M4" s="47">
        <v>72</v>
      </c>
      <c r="N4" s="47">
        <v>89</v>
      </c>
      <c r="O4" s="47">
        <v>70</v>
      </c>
      <c r="P4" s="103">
        <v>81</v>
      </c>
      <c r="Q4" s="103">
        <v>54</v>
      </c>
      <c r="R4" s="48">
        <f>SUM(E4:Q4)</f>
        <v>934</v>
      </c>
      <c r="S4" s="49">
        <f>AVERAGE(E4:Q4)</f>
        <v>71.84615384615384</v>
      </c>
      <c r="T4" s="46">
        <f>RANK(S4,$S$4:$S$59)</f>
        <v>25</v>
      </c>
      <c r="U4" s="46"/>
      <c r="V4" s="16"/>
    </row>
    <row r="5" spans="1:22" ht="20.100000000000001" customHeight="1" x14ac:dyDescent="0.25">
      <c r="A5" s="155">
        <v>2</v>
      </c>
      <c r="B5" s="139"/>
      <c r="C5" s="136">
        <v>14</v>
      </c>
      <c r="D5" s="136" t="s">
        <v>20</v>
      </c>
      <c r="E5" s="104">
        <v>63</v>
      </c>
      <c r="F5" s="44">
        <v>42</v>
      </c>
      <c r="G5" s="44">
        <v>47</v>
      </c>
      <c r="H5" s="44">
        <v>40</v>
      </c>
      <c r="I5" s="44">
        <v>50</v>
      </c>
      <c r="J5" s="44">
        <v>50</v>
      </c>
      <c r="K5" s="44">
        <v>42</v>
      </c>
      <c r="L5" s="44">
        <v>45</v>
      </c>
      <c r="M5" s="44">
        <v>54</v>
      </c>
      <c r="N5" s="44">
        <v>52</v>
      </c>
      <c r="O5" s="44">
        <v>51</v>
      </c>
      <c r="P5" s="103">
        <v>70</v>
      </c>
      <c r="Q5" s="103">
        <v>61</v>
      </c>
      <c r="R5" s="48">
        <f t="shared" ref="R5:R59" si="0">SUM(E5:Q5)</f>
        <v>667</v>
      </c>
      <c r="S5" s="49">
        <f t="shared" ref="S5:S59" si="1">AVERAGE(E5:Q5)</f>
        <v>51.307692307692307</v>
      </c>
      <c r="T5" s="46">
        <f t="shared" ref="T5:T59" si="2">RANK(S5,$S$4:$S$59)</f>
        <v>54</v>
      </c>
      <c r="U5" s="11"/>
      <c r="V5" s="11"/>
    </row>
    <row r="6" spans="1:22" ht="20.100000000000001" customHeight="1" x14ac:dyDescent="0.25">
      <c r="A6" s="156">
        <v>3</v>
      </c>
      <c r="B6" s="139"/>
      <c r="C6" s="136">
        <v>14</v>
      </c>
      <c r="D6" s="136" t="s">
        <v>23</v>
      </c>
      <c r="E6" s="104">
        <v>90</v>
      </c>
      <c r="F6" s="44">
        <v>93</v>
      </c>
      <c r="G6" s="44">
        <v>71</v>
      </c>
      <c r="H6" s="44">
        <v>76</v>
      </c>
      <c r="I6" s="44">
        <v>79</v>
      </c>
      <c r="J6" s="44">
        <v>87</v>
      </c>
      <c r="K6" s="44">
        <v>87</v>
      </c>
      <c r="L6" s="44">
        <v>71</v>
      </c>
      <c r="M6" s="44">
        <v>95</v>
      </c>
      <c r="N6" s="44">
        <v>89</v>
      </c>
      <c r="O6" s="44">
        <v>84</v>
      </c>
      <c r="P6" s="103">
        <v>96</v>
      </c>
      <c r="Q6" s="103">
        <v>78</v>
      </c>
      <c r="R6" s="48">
        <f t="shared" si="0"/>
        <v>1096</v>
      </c>
      <c r="S6" s="49">
        <f t="shared" si="1"/>
        <v>84.307692307692307</v>
      </c>
      <c r="T6" s="46">
        <f t="shared" si="2"/>
        <v>7</v>
      </c>
      <c r="U6" s="11"/>
      <c r="V6" s="11"/>
    </row>
    <row r="7" spans="1:22" ht="20.100000000000001" customHeight="1" x14ac:dyDescent="0.25">
      <c r="A7" s="155">
        <v>4</v>
      </c>
      <c r="B7" s="139"/>
      <c r="C7" s="136">
        <v>15</v>
      </c>
      <c r="D7" s="136" t="s">
        <v>23</v>
      </c>
      <c r="E7" s="104">
        <v>87</v>
      </c>
      <c r="F7" s="44">
        <v>84</v>
      </c>
      <c r="G7" s="44">
        <v>61</v>
      </c>
      <c r="H7" s="44">
        <v>62</v>
      </c>
      <c r="I7" s="44">
        <v>72</v>
      </c>
      <c r="J7" s="44">
        <v>73</v>
      </c>
      <c r="K7" s="44">
        <v>80</v>
      </c>
      <c r="L7" s="44">
        <v>86</v>
      </c>
      <c r="M7" s="44">
        <v>87</v>
      </c>
      <c r="N7" s="44">
        <v>87</v>
      </c>
      <c r="O7" s="44">
        <v>82</v>
      </c>
      <c r="P7" s="103">
        <v>96</v>
      </c>
      <c r="Q7" s="103">
        <v>93</v>
      </c>
      <c r="R7" s="48">
        <f t="shared" si="0"/>
        <v>1050</v>
      </c>
      <c r="S7" s="49">
        <f t="shared" si="1"/>
        <v>80.769230769230774</v>
      </c>
      <c r="T7" s="46">
        <f t="shared" si="2"/>
        <v>12</v>
      </c>
      <c r="U7" s="11"/>
      <c r="V7" s="11"/>
    </row>
    <row r="8" spans="1:22" ht="20.100000000000001" customHeight="1" x14ac:dyDescent="0.25">
      <c r="A8" s="155">
        <v>5</v>
      </c>
      <c r="B8" s="139"/>
      <c r="C8" s="136">
        <v>14</v>
      </c>
      <c r="D8" s="136" t="s">
        <v>23</v>
      </c>
      <c r="E8" s="104">
        <v>78</v>
      </c>
      <c r="F8" s="44">
        <v>80</v>
      </c>
      <c r="G8" s="44">
        <v>53</v>
      </c>
      <c r="H8" s="44">
        <v>51</v>
      </c>
      <c r="I8" s="44">
        <v>71</v>
      </c>
      <c r="J8" s="44">
        <v>66</v>
      </c>
      <c r="K8" s="44">
        <v>79</v>
      </c>
      <c r="L8" s="44">
        <v>72</v>
      </c>
      <c r="M8" s="44">
        <v>86</v>
      </c>
      <c r="N8" s="44">
        <v>77</v>
      </c>
      <c r="O8" s="44">
        <v>75</v>
      </c>
      <c r="P8" s="103">
        <v>92</v>
      </c>
      <c r="Q8" s="103">
        <v>90</v>
      </c>
      <c r="R8" s="48">
        <f t="shared" si="0"/>
        <v>970</v>
      </c>
      <c r="S8" s="49">
        <f t="shared" si="1"/>
        <v>74.615384615384613</v>
      </c>
      <c r="T8" s="46">
        <f t="shared" si="2"/>
        <v>22</v>
      </c>
      <c r="U8" s="11"/>
      <c r="V8" s="11"/>
    </row>
    <row r="9" spans="1:22" ht="20.100000000000001" customHeight="1" x14ac:dyDescent="0.25">
      <c r="A9" s="156">
        <v>6</v>
      </c>
      <c r="B9" s="139"/>
      <c r="C9" s="136">
        <v>15</v>
      </c>
      <c r="D9" s="136" t="s">
        <v>20</v>
      </c>
      <c r="E9" s="104">
        <v>75</v>
      </c>
      <c r="F9" s="44">
        <v>73</v>
      </c>
      <c r="G9" s="44">
        <v>43</v>
      </c>
      <c r="H9" s="44">
        <v>37</v>
      </c>
      <c r="I9" s="44">
        <v>44</v>
      </c>
      <c r="J9" s="44">
        <v>48</v>
      </c>
      <c r="K9" s="44">
        <v>55</v>
      </c>
      <c r="L9" s="44">
        <v>55</v>
      </c>
      <c r="M9" s="44">
        <v>70</v>
      </c>
      <c r="N9" s="44">
        <v>77</v>
      </c>
      <c r="O9" s="44">
        <v>65</v>
      </c>
      <c r="P9" s="103">
        <v>80</v>
      </c>
      <c r="Q9" s="103">
        <v>55</v>
      </c>
      <c r="R9" s="48">
        <f t="shared" si="0"/>
        <v>777</v>
      </c>
      <c r="S9" s="49">
        <f t="shared" si="1"/>
        <v>59.769230769230766</v>
      </c>
      <c r="T9" s="46">
        <f t="shared" si="2"/>
        <v>44</v>
      </c>
      <c r="U9" s="11"/>
      <c r="V9" s="11"/>
    </row>
    <row r="10" spans="1:22" ht="20.100000000000001" customHeight="1" x14ac:dyDescent="0.25">
      <c r="A10" s="155">
        <v>7</v>
      </c>
      <c r="B10" s="139"/>
      <c r="C10" s="136">
        <v>15</v>
      </c>
      <c r="D10" s="136" t="s">
        <v>20</v>
      </c>
      <c r="E10" s="104">
        <v>72</v>
      </c>
      <c r="F10" s="44">
        <v>59</v>
      </c>
      <c r="G10" s="44">
        <v>47</v>
      </c>
      <c r="H10" s="44">
        <v>46</v>
      </c>
      <c r="I10" s="44">
        <v>57</v>
      </c>
      <c r="J10" s="44">
        <v>53</v>
      </c>
      <c r="K10" s="44">
        <v>53</v>
      </c>
      <c r="L10" s="44">
        <v>61</v>
      </c>
      <c r="M10" s="44">
        <v>56</v>
      </c>
      <c r="N10" s="44">
        <v>56</v>
      </c>
      <c r="O10" s="44">
        <v>55</v>
      </c>
      <c r="P10" s="103">
        <v>85</v>
      </c>
      <c r="Q10" s="103">
        <v>50</v>
      </c>
      <c r="R10" s="48">
        <f t="shared" si="0"/>
        <v>750</v>
      </c>
      <c r="S10" s="49">
        <f t="shared" si="1"/>
        <v>57.692307692307693</v>
      </c>
      <c r="T10" s="46">
        <f t="shared" si="2"/>
        <v>48</v>
      </c>
      <c r="U10" s="11"/>
      <c r="V10" s="11"/>
    </row>
    <row r="11" spans="1:22" ht="20.100000000000001" customHeight="1" x14ac:dyDescent="0.25">
      <c r="A11" s="155">
        <v>8</v>
      </c>
      <c r="B11" s="139"/>
      <c r="C11" s="136">
        <v>14</v>
      </c>
      <c r="D11" s="136" t="s">
        <v>20</v>
      </c>
      <c r="E11" s="104">
        <v>64</v>
      </c>
      <c r="F11" s="44">
        <v>59</v>
      </c>
      <c r="G11" s="44">
        <v>54</v>
      </c>
      <c r="H11" s="44">
        <v>34</v>
      </c>
      <c r="I11" s="44">
        <v>37</v>
      </c>
      <c r="J11" s="44">
        <v>50</v>
      </c>
      <c r="K11" s="44">
        <v>49</v>
      </c>
      <c r="L11" s="44">
        <v>51</v>
      </c>
      <c r="M11" s="44">
        <v>60</v>
      </c>
      <c r="N11" s="44">
        <v>49</v>
      </c>
      <c r="O11" s="44">
        <v>44</v>
      </c>
      <c r="P11" s="103">
        <v>80</v>
      </c>
      <c r="Q11" s="103">
        <v>51</v>
      </c>
      <c r="R11" s="48">
        <f t="shared" si="0"/>
        <v>682</v>
      </c>
      <c r="S11" s="49">
        <f t="shared" si="1"/>
        <v>52.46153846153846</v>
      </c>
      <c r="T11" s="46">
        <f t="shared" si="2"/>
        <v>53</v>
      </c>
      <c r="U11" s="11"/>
      <c r="V11" s="11"/>
    </row>
    <row r="12" spans="1:22" ht="20.100000000000001" customHeight="1" x14ac:dyDescent="0.25">
      <c r="A12" s="156">
        <v>9</v>
      </c>
      <c r="B12" s="139"/>
      <c r="C12" s="136">
        <v>14</v>
      </c>
      <c r="D12" s="136" t="s">
        <v>20</v>
      </c>
      <c r="E12" s="104">
        <v>73</v>
      </c>
      <c r="F12" s="44">
        <v>78</v>
      </c>
      <c r="G12" s="44">
        <v>70</v>
      </c>
      <c r="H12" s="44">
        <v>74</v>
      </c>
      <c r="I12" s="44">
        <v>69</v>
      </c>
      <c r="J12" s="44">
        <v>66</v>
      </c>
      <c r="K12" s="44">
        <v>79</v>
      </c>
      <c r="L12" s="44">
        <v>74</v>
      </c>
      <c r="M12" s="44">
        <v>79</v>
      </c>
      <c r="N12" s="44">
        <v>76</v>
      </c>
      <c r="O12" s="44">
        <v>77</v>
      </c>
      <c r="P12" s="103">
        <v>90</v>
      </c>
      <c r="Q12" s="103">
        <v>72</v>
      </c>
      <c r="R12" s="48">
        <f t="shared" si="0"/>
        <v>977</v>
      </c>
      <c r="S12" s="49">
        <f t="shared" si="1"/>
        <v>75.15384615384616</v>
      </c>
      <c r="T12" s="46">
        <f t="shared" si="2"/>
        <v>20</v>
      </c>
      <c r="U12" s="11"/>
      <c r="V12" s="11"/>
    </row>
    <row r="13" spans="1:22" ht="20.100000000000001" customHeight="1" x14ac:dyDescent="0.25">
      <c r="A13" s="155">
        <v>10</v>
      </c>
      <c r="B13" s="139"/>
      <c r="C13" s="136">
        <v>14</v>
      </c>
      <c r="D13" s="136" t="s">
        <v>23</v>
      </c>
      <c r="E13" s="104">
        <v>78</v>
      </c>
      <c r="F13" s="44">
        <v>87</v>
      </c>
      <c r="G13" s="44">
        <v>55</v>
      </c>
      <c r="H13" s="44">
        <v>54</v>
      </c>
      <c r="I13" s="44">
        <v>65</v>
      </c>
      <c r="J13" s="44">
        <v>55</v>
      </c>
      <c r="K13" s="44">
        <v>78</v>
      </c>
      <c r="L13" s="44">
        <v>58</v>
      </c>
      <c r="M13" s="44">
        <v>80</v>
      </c>
      <c r="N13" s="44">
        <v>66</v>
      </c>
      <c r="O13" s="44">
        <v>77</v>
      </c>
      <c r="P13" s="103">
        <v>84</v>
      </c>
      <c r="Q13" s="103">
        <v>66</v>
      </c>
      <c r="R13" s="48">
        <f t="shared" si="0"/>
        <v>903</v>
      </c>
      <c r="S13" s="49">
        <f t="shared" si="1"/>
        <v>69.461538461538467</v>
      </c>
      <c r="T13" s="46">
        <f t="shared" si="2"/>
        <v>28</v>
      </c>
      <c r="U13" s="11"/>
      <c r="V13" s="11"/>
    </row>
    <row r="14" spans="1:22" ht="20.100000000000001" customHeight="1" x14ac:dyDescent="0.25">
      <c r="A14" s="156">
        <v>11</v>
      </c>
      <c r="B14" s="139"/>
      <c r="C14" s="136">
        <v>15</v>
      </c>
      <c r="D14" s="136" t="s">
        <v>23</v>
      </c>
      <c r="E14" s="104">
        <v>83</v>
      </c>
      <c r="F14" s="44">
        <v>87</v>
      </c>
      <c r="G14" s="44">
        <v>81</v>
      </c>
      <c r="H14" s="44">
        <v>67</v>
      </c>
      <c r="I14" s="44">
        <v>72</v>
      </c>
      <c r="J14" s="44">
        <v>72</v>
      </c>
      <c r="K14" s="44">
        <v>79</v>
      </c>
      <c r="L14" s="44">
        <v>64</v>
      </c>
      <c r="M14" s="44">
        <v>90</v>
      </c>
      <c r="N14" s="44">
        <v>81</v>
      </c>
      <c r="O14" s="44">
        <v>79</v>
      </c>
      <c r="P14" s="103">
        <v>84</v>
      </c>
      <c r="Q14" s="103">
        <v>69</v>
      </c>
      <c r="R14" s="48">
        <f t="shared" si="0"/>
        <v>1008</v>
      </c>
      <c r="S14" s="49">
        <f t="shared" si="1"/>
        <v>77.538461538461533</v>
      </c>
      <c r="T14" s="46">
        <f t="shared" si="2"/>
        <v>18</v>
      </c>
      <c r="U14" s="11"/>
      <c r="V14" s="11"/>
    </row>
    <row r="15" spans="1:22" ht="20.100000000000001" customHeight="1" x14ac:dyDescent="0.25">
      <c r="A15" s="156">
        <v>12</v>
      </c>
      <c r="B15" s="139"/>
      <c r="C15" s="136">
        <v>15</v>
      </c>
      <c r="D15" s="136" t="s">
        <v>23</v>
      </c>
      <c r="E15" s="104">
        <v>88</v>
      </c>
      <c r="F15" s="44">
        <v>82</v>
      </c>
      <c r="G15" s="44">
        <v>77</v>
      </c>
      <c r="H15" s="44">
        <v>73</v>
      </c>
      <c r="I15" s="44">
        <v>78</v>
      </c>
      <c r="J15" s="44">
        <v>87</v>
      </c>
      <c r="K15" s="44">
        <v>90</v>
      </c>
      <c r="L15" s="44">
        <v>82</v>
      </c>
      <c r="M15" s="44">
        <v>95</v>
      </c>
      <c r="N15" s="44">
        <v>88</v>
      </c>
      <c r="O15" s="44">
        <v>80</v>
      </c>
      <c r="P15" s="103">
        <v>96</v>
      </c>
      <c r="Q15" s="103">
        <v>91</v>
      </c>
      <c r="R15" s="48">
        <f t="shared" si="0"/>
        <v>1107</v>
      </c>
      <c r="S15" s="49">
        <f t="shared" si="1"/>
        <v>85.15384615384616</v>
      </c>
      <c r="T15" s="46">
        <f t="shared" si="2"/>
        <v>6</v>
      </c>
      <c r="U15" s="11"/>
      <c r="V15" s="11"/>
    </row>
    <row r="16" spans="1:22" ht="20.100000000000001" customHeight="1" x14ac:dyDescent="0.25">
      <c r="A16" s="156">
        <v>13</v>
      </c>
      <c r="B16" s="139"/>
      <c r="C16" s="136">
        <v>14</v>
      </c>
      <c r="D16" s="136" t="s">
        <v>23</v>
      </c>
      <c r="E16" s="104">
        <v>89</v>
      </c>
      <c r="F16" s="44">
        <v>99</v>
      </c>
      <c r="G16" s="44">
        <v>99</v>
      </c>
      <c r="H16" s="44">
        <v>93</v>
      </c>
      <c r="I16" s="44">
        <v>100</v>
      </c>
      <c r="J16" s="44">
        <v>97</v>
      </c>
      <c r="K16" s="44">
        <v>96</v>
      </c>
      <c r="L16" s="44">
        <v>99</v>
      </c>
      <c r="M16" s="44">
        <v>99</v>
      </c>
      <c r="N16" s="44">
        <v>96</v>
      </c>
      <c r="O16" s="44">
        <v>93</v>
      </c>
      <c r="P16" s="103">
        <v>100</v>
      </c>
      <c r="Q16" s="103">
        <v>96</v>
      </c>
      <c r="R16" s="48">
        <f t="shared" si="0"/>
        <v>1256</v>
      </c>
      <c r="S16" s="49">
        <f t="shared" si="1"/>
        <v>96.615384615384613</v>
      </c>
      <c r="T16" s="46">
        <f t="shared" si="2"/>
        <v>1</v>
      </c>
      <c r="U16" s="11"/>
      <c r="V16" s="11"/>
    </row>
    <row r="17" spans="1:22" ht="20.100000000000001" customHeight="1" x14ac:dyDescent="0.25">
      <c r="A17" s="155">
        <v>14</v>
      </c>
      <c r="B17" s="139"/>
      <c r="C17" s="136">
        <v>15</v>
      </c>
      <c r="D17" s="136" t="s">
        <v>23</v>
      </c>
      <c r="E17" s="104">
        <v>94</v>
      </c>
      <c r="F17" s="44">
        <v>74</v>
      </c>
      <c r="G17" s="44">
        <v>78</v>
      </c>
      <c r="H17" s="44">
        <v>70</v>
      </c>
      <c r="I17" s="44">
        <v>77</v>
      </c>
      <c r="J17" s="44">
        <v>73</v>
      </c>
      <c r="K17" s="44">
        <v>82</v>
      </c>
      <c r="L17" s="44">
        <v>67</v>
      </c>
      <c r="M17" s="44">
        <v>86</v>
      </c>
      <c r="N17" s="44">
        <v>81</v>
      </c>
      <c r="O17" s="44">
        <v>83</v>
      </c>
      <c r="P17" s="103">
        <v>97</v>
      </c>
      <c r="Q17" s="103">
        <v>91</v>
      </c>
      <c r="R17" s="48">
        <f t="shared" si="0"/>
        <v>1053</v>
      </c>
      <c r="S17" s="49">
        <f t="shared" si="1"/>
        <v>81</v>
      </c>
      <c r="T17" s="46">
        <f t="shared" si="2"/>
        <v>11</v>
      </c>
      <c r="U17" s="11"/>
      <c r="V17" s="11"/>
    </row>
    <row r="18" spans="1:22" ht="20.100000000000001" customHeight="1" x14ac:dyDescent="0.25">
      <c r="A18" s="156">
        <v>15</v>
      </c>
      <c r="B18" s="139"/>
      <c r="C18" s="136">
        <v>15</v>
      </c>
      <c r="D18" s="136" t="s">
        <v>23</v>
      </c>
      <c r="E18" s="104">
        <v>83</v>
      </c>
      <c r="F18" s="44">
        <v>90</v>
      </c>
      <c r="G18" s="44">
        <v>78</v>
      </c>
      <c r="H18" s="44">
        <v>74</v>
      </c>
      <c r="I18" s="44">
        <v>79</v>
      </c>
      <c r="J18" s="44">
        <v>84</v>
      </c>
      <c r="K18" s="44">
        <v>80</v>
      </c>
      <c r="L18" s="44">
        <v>74</v>
      </c>
      <c r="M18" s="44">
        <v>92</v>
      </c>
      <c r="N18" s="44">
        <v>83</v>
      </c>
      <c r="O18" s="44">
        <v>83</v>
      </c>
      <c r="P18" s="103">
        <v>97</v>
      </c>
      <c r="Q18" s="103">
        <v>67</v>
      </c>
      <c r="R18" s="48">
        <f t="shared" si="0"/>
        <v>1064</v>
      </c>
      <c r="S18" s="49">
        <f t="shared" si="1"/>
        <v>81.84615384615384</v>
      </c>
      <c r="T18" s="46">
        <f t="shared" si="2"/>
        <v>10</v>
      </c>
      <c r="U18" s="11"/>
      <c r="V18" s="11"/>
    </row>
    <row r="19" spans="1:22" ht="20.100000000000001" customHeight="1" x14ac:dyDescent="0.25">
      <c r="A19" s="155">
        <v>16</v>
      </c>
      <c r="B19" s="139"/>
      <c r="C19" s="136">
        <v>15</v>
      </c>
      <c r="D19" s="136" t="s">
        <v>20</v>
      </c>
      <c r="E19" s="104">
        <v>83</v>
      </c>
      <c r="F19" s="44">
        <v>79</v>
      </c>
      <c r="G19" s="44">
        <v>66</v>
      </c>
      <c r="H19" s="44">
        <v>48</v>
      </c>
      <c r="I19" s="44">
        <v>58</v>
      </c>
      <c r="J19" s="44">
        <v>62</v>
      </c>
      <c r="K19" s="44">
        <v>65</v>
      </c>
      <c r="L19" s="44">
        <v>59</v>
      </c>
      <c r="M19" s="44">
        <v>73</v>
      </c>
      <c r="N19" s="44">
        <v>76</v>
      </c>
      <c r="O19" s="44">
        <v>70</v>
      </c>
      <c r="P19" s="103">
        <v>83</v>
      </c>
      <c r="Q19" s="103">
        <v>59</v>
      </c>
      <c r="R19" s="48">
        <f t="shared" si="0"/>
        <v>881</v>
      </c>
      <c r="S19" s="49">
        <f t="shared" si="1"/>
        <v>67.769230769230774</v>
      </c>
      <c r="T19" s="46">
        <f t="shared" si="2"/>
        <v>32</v>
      </c>
      <c r="U19" s="11"/>
      <c r="V19" s="11"/>
    </row>
    <row r="20" spans="1:22" ht="20.100000000000001" customHeight="1" x14ac:dyDescent="0.25">
      <c r="A20" s="155">
        <v>17</v>
      </c>
      <c r="B20" s="139"/>
      <c r="C20" s="136">
        <v>16</v>
      </c>
      <c r="D20" s="136" t="s">
        <v>20</v>
      </c>
      <c r="E20" s="104">
        <v>79</v>
      </c>
      <c r="F20" s="44">
        <v>66</v>
      </c>
      <c r="G20" s="44">
        <v>43</v>
      </c>
      <c r="H20" s="44">
        <v>48</v>
      </c>
      <c r="I20" s="44">
        <v>48</v>
      </c>
      <c r="J20" s="44">
        <v>50</v>
      </c>
      <c r="K20" s="44">
        <v>53</v>
      </c>
      <c r="L20" s="44">
        <v>50</v>
      </c>
      <c r="M20" s="44">
        <v>57</v>
      </c>
      <c r="N20" s="44">
        <v>71</v>
      </c>
      <c r="O20" s="44">
        <v>61</v>
      </c>
      <c r="P20" s="103">
        <v>80</v>
      </c>
      <c r="Q20" s="103">
        <v>58</v>
      </c>
      <c r="R20" s="48">
        <f t="shared" si="0"/>
        <v>764</v>
      </c>
      <c r="S20" s="49">
        <f t="shared" si="1"/>
        <v>58.769230769230766</v>
      </c>
      <c r="T20" s="46">
        <f t="shared" si="2"/>
        <v>46</v>
      </c>
      <c r="U20" s="11"/>
      <c r="V20" s="11"/>
    </row>
    <row r="21" spans="1:22" ht="20.100000000000001" customHeight="1" x14ac:dyDescent="0.25">
      <c r="A21" s="155">
        <v>18</v>
      </c>
      <c r="B21" s="139"/>
      <c r="C21" s="136">
        <v>15</v>
      </c>
      <c r="D21" s="136" t="s">
        <v>20</v>
      </c>
      <c r="E21" s="104">
        <v>85</v>
      </c>
      <c r="F21" s="44">
        <v>58</v>
      </c>
      <c r="G21" s="44">
        <v>66</v>
      </c>
      <c r="H21" s="44">
        <v>54</v>
      </c>
      <c r="I21" s="44">
        <v>52</v>
      </c>
      <c r="J21" s="44">
        <v>41</v>
      </c>
      <c r="K21" s="44">
        <v>56</v>
      </c>
      <c r="L21" s="44">
        <v>51</v>
      </c>
      <c r="M21" s="44">
        <v>58</v>
      </c>
      <c r="N21" s="44">
        <v>74</v>
      </c>
      <c r="O21" s="44">
        <v>48</v>
      </c>
      <c r="P21" s="103">
        <v>87</v>
      </c>
      <c r="Q21" s="103">
        <v>61</v>
      </c>
      <c r="R21" s="48">
        <f t="shared" si="0"/>
        <v>791</v>
      </c>
      <c r="S21" s="49">
        <f t="shared" si="1"/>
        <v>60.846153846153847</v>
      </c>
      <c r="T21" s="46">
        <f t="shared" si="2"/>
        <v>41</v>
      </c>
      <c r="U21" s="11"/>
      <c r="V21" s="11"/>
    </row>
    <row r="22" spans="1:22" ht="20.100000000000001" customHeight="1" x14ac:dyDescent="0.25">
      <c r="A22" s="156">
        <v>19</v>
      </c>
      <c r="B22" s="139"/>
      <c r="C22" s="136">
        <v>14</v>
      </c>
      <c r="D22" s="136" t="s">
        <v>23</v>
      </c>
      <c r="E22" s="104">
        <v>84</v>
      </c>
      <c r="F22" s="44">
        <v>76</v>
      </c>
      <c r="G22" s="43">
        <v>62</v>
      </c>
      <c r="H22" s="44">
        <v>65</v>
      </c>
      <c r="I22" s="44">
        <v>62</v>
      </c>
      <c r="J22" s="44">
        <v>60</v>
      </c>
      <c r="K22" s="44">
        <v>66</v>
      </c>
      <c r="L22" s="44">
        <v>60</v>
      </c>
      <c r="M22" s="44">
        <v>81</v>
      </c>
      <c r="N22" s="44">
        <v>76</v>
      </c>
      <c r="O22" s="44">
        <v>73</v>
      </c>
      <c r="P22" s="103">
        <v>92</v>
      </c>
      <c r="Q22" s="103">
        <v>77</v>
      </c>
      <c r="R22" s="48">
        <f t="shared" si="0"/>
        <v>934</v>
      </c>
      <c r="S22" s="49">
        <f t="shared" si="1"/>
        <v>71.84615384615384</v>
      </c>
      <c r="T22" s="46">
        <f t="shared" si="2"/>
        <v>25</v>
      </c>
      <c r="U22" s="11"/>
      <c r="V22" s="11"/>
    </row>
    <row r="23" spans="1:22" ht="20.100000000000001" customHeight="1" x14ac:dyDescent="0.25">
      <c r="A23" s="156">
        <v>20</v>
      </c>
      <c r="B23" s="139"/>
      <c r="C23" s="136">
        <v>14</v>
      </c>
      <c r="D23" s="136" t="s">
        <v>23</v>
      </c>
      <c r="E23" s="104">
        <v>76</v>
      </c>
      <c r="F23" s="44">
        <v>92</v>
      </c>
      <c r="G23" s="44">
        <v>52</v>
      </c>
      <c r="H23" s="44">
        <v>61</v>
      </c>
      <c r="I23" s="44">
        <v>62</v>
      </c>
      <c r="J23" s="44">
        <v>57</v>
      </c>
      <c r="K23" s="44">
        <v>67</v>
      </c>
      <c r="L23" s="44">
        <v>55</v>
      </c>
      <c r="M23" s="44">
        <v>76</v>
      </c>
      <c r="N23" s="44">
        <v>74</v>
      </c>
      <c r="O23" s="44">
        <v>69</v>
      </c>
      <c r="P23" s="103">
        <v>86</v>
      </c>
      <c r="Q23" s="103">
        <v>65</v>
      </c>
      <c r="R23" s="48">
        <f t="shared" si="0"/>
        <v>892</v>
      </c>
      <c r="S23" s="49">
        <f t="shared" si="1"/>
        <v>68.615384615384613</v>
      </c>
      <c r="T23" s="46">
        <f t="shared" si="2"/>
        <v>30</v>
      </c>
      <c r="U23" s="11"/>
      <c r="V23" s="11"/>
    </row>
    <row r="24" spans="1:22" ht="20.100000000000001" customHeight="1" x14ac:dyDescent="0.25">
      <c r="A24" s="156">
        <v>21</v>
      </c>
      <c r="B24" s="139"/>
      <c r="C24" s="136">
        <v>15</v>
      </c>
      <c r="D24" s="136" t="s">
        <v>23</v>
      </c>
      <c r="E24" s="104">
        <v>76</v>
      </c>
      <c r="F24" s="44">
        <v>59</v>
      </c>
      <c r="G24" s="44">
        <v>66</v>
      </c>
      <c r="H24" s="44">
        <v>57</v>
      </c>
      <c r="I24" s="44">
        <v>59</v>
      </c>
      <c r="J24" s="44">
        <v>55</v>
      </c>
      <c r="K24" s="44">
        <v>67</v>
      </c>
      <c r="L24" s="44">
        <v>60</v>
      </c>
      <c r="M24" s="44">
        <v>72</v>
      </c>
      <c r="N24" s="44">
        <v>77</v>
      </c>
      <c r="O24" s="44">
        <v>71</v>
      </c>
      <c r="P24" s="103">
        <v>87</v>
      </c>
      <c r="Q24" s="103">
        <v>64</v>
      </c>
      <c r="R24" s="48">
        <f t="shared" si="0"/>
        <v>870</v>
      </c>
      <c r="S24" s="49">
        <f t="shared" si="1"/>
        <v>66.92307692307692</v>
      </c>
      <c r="T24" s="46">
        <f t="shared" si="2"/>
        <v>33</v>
      </c>
      <c r="U24" s="11"/>
      <c r="V24" s="11"/>
    </row>
    <row r="25" spans="1:22" ht="20.100000000000001" customHeight="1" x14ac:dyDescent="0.25">
      <c r="A25" s="155">
        <v>22</v>
      </c>
      <c r="B25" s="139"/>
      <c r="C25" s="136">
        <v>15</v>
      </c>
      <c r="D25" s="136" t="s">
        <v>23</v>
      </c>
      <c r="E25" s="104">
        <v>66</v>
      </c>
      <c r="F25" s="44">
        <v>58</v>
      </c>
      <c r="G25" s="43">
        <v>46</v>
      </c>
      <c r="H25" s="44">
        <v>41</v>
      </c>
      <c r="I25" s="44">
        <v>47</v>
      </c>
      <c r="J25" s="44">
        <v>43</v>
      </c>
      <c r="K25" s="44">
        <v>58</v>
      </c>
      <c r="L25" s="44">
        <v>44</v>
      </c>
      <c r="M25" s="44">
        <v>56</v>
      </c>
      <c r="N25" s="44">
        <v>63</v>
      </c>
      <c r="O25" s="44">
        <v>54</v>
      </c>
      <c r="P25" s="103">
        <v>81</v>
      </c>
      <c r="Q25" s="103">
        <v>54</v>
      </c>
      <c r="R25" s="48">
        <f t="shared" si="0"/>
        <v>711</v>
      </c>
      <c r="S25" s="49">
        <f t="shared" si="1"/>
        <v>54.692307692307693</v>
      </c>
      <c r="T25" s="46">
        <f t="shared" si="2"/>
        <v>50</v>
      </c>
      <c r="U25" s="11"/>
      <c r="V25" s="11"/>
    </row>
    <row r="26" spans="1:22" ht="20.100000000000001" customHeight="1" x14ac:dyDescent="0.25">
      <c r="A26" s="155">
        <v>23</v>
      </c>
      <c r="B26" s="139"/>
      <c r="C26" s="136">
        <v>15</v>
      </c>
      <c r="D26" s="136" t="s">
        <v>20</v>
      </c>
      <c r="E26" s="104">
        <v>85</v>
      </c>
      <c r="F26" s="44">
        <v>82</v>
      </c>
      <c r="G26" s="44">
        <v>69</v>
      </c>
      <c r="H26" s="44">
        <v>82</v>
      </c>
      <c r="I26" s="44">
        <v>80</v>
      </c>
      <c r="J26" s="44">
        <v>80</v>
      </c>
      <c r="K26" s="44">
        <v>92</v>
      </c>
      <c r="L26" s="44">
        <v>79</v>
      </c>
      <c r="M26" s="44">
        <v>95</v>
      </c>
      <c r="N26" s="44">
        <v>89</v>
      </c>
      <c r="O26" s="44">
        <v>85</v>
      </c>
      <c r="P26" s="103">
        <v>87</v>
      </c>
      <c r="Q26" s="103">
        <v>71</v>
      </c>
      <c r="R26" s="48">
        <f t="shared" si="0"/>
        <v>1076</v>
      </c>
      <c r="S26" s="49">
        <f t="shared" si="1"/>
        <v>82.769230769230774</v>
      </c>
      <c r="T26" s="46">
        <f t="shared" si="2"/>
        <v>9</v>
      </c>
      <c r="U26" s="11"/>
      <c r="V26" s="11"/>
    </row>
    <row r="27" spans="1:22" ht="20.100000000000001" customHeight="1" x14ac:dyDescent="0.25">
      <c r="A27" s="156">
        <v>24</v>
      </c>
      <c r="B27" s="139"/>
      <c r="C27" s="136">
        <v>17</v>
      </c>
      <c r="D27" s="136" t="s">
        <v>23</v>
      </c>
      <c r="E27" s="104">
        <v>61</v>
      </c>
      <c r="F27" s="44">
        <v>52</v>
      </c>
      <c r="G27" s="44">
        <v>47</v>
      </c>
      <c r="H27" s="44">
        <v>41</v>
      </c>
      <c r="I27" s="44">
        <v>41</v>
      </c>
      <c r="J27" s="44">
        <v>35</v>
      </c>
      <c r="K27" s="44">
        <v>48</v>
      </c>
      <c r="L27" s="44">
        <v>42</v>
      </c>
      <c r="M27" s="44">
        <v>50</v>
      </c>
      <c r="N27" s="44">
        <v>66</v>
      </c>
      <c r="O27" s="44">
        <v>60</v>
      </c>
      <c r="P27" s="103">
        <v>85</v>
      </c>
      <c r="Q27" s="103">
        <v>94</v>
      </c>
      <c r="R27" s="48">
        <f t="shared" si="0"/>
        <v>722</v>
      </c>
      <c r="S27" s="49">
        <f t="shared" si="1"/>
        <v>55.53846153846154</v>
      </c>
      <c r="T27" s="46">
        <f t="shared" si="2"/>
        <v>49</v>
      </c>
      <c r="U27" s="11"/>
      <c r="V27" s="11"/>
    </row>
    <row r="28" spans="1:22" ht="20.100000000000001" customHeight="1" x14ac:dyDescent="0.25">
      <c r="A28" s="155">
        <v>25</v>
      </c>
      <c r="B28" s="139"/>
      <c r="C28" s="136">
        <v>15</v>
      </c>
      <c r="D28" s="136" t="s">
        <v>20</v>
      </c>
      <c r="E28" s="104">
        <v>70</v>
      </c>
      <c r="F28" s="44">
        <v>62</v>
      </c>
      <c r="G28" s="44">
        <v>62</v>
      </c>
      <c r="H28" s="44">
        <v>49</v>
      </c>
      <c r="I28" s="44">
        <v>61</v>
      </c>
      <c r="J28" s="44">
        <v>55</v>
      </c>
      <c r="K28" s="44">
        <v>67</v>
      </c>
      <c r="L28" s="44">
        <v>57</v>
      </c>
      <c r="M28" s="44">
        <v>67</v>
      </c>
      <c r="N28" s="44">
        <v>69</v>
      </c>
      <c r="O28" s="44">
        <v>72</v>
      </c>
      <c r="P28" s="103">
        <v>86</v>
      </c>
      <c r="Q28" s="103">
        <v>65</v>
      </c>
      <c r="R28" s="48">
        <f t="shared" si="0"/>
        <v>842</v>
      </c>
      <c r="S28" s="49">
        <f t="shared" si="1"/>
        <v>64.769230769230774</v>
      </c>
      <c r="T28" s="46">
        <f t="shared" si="2"/>
        <v>35</v>
      </c>
      <c r="U28" s="11"/>
      <c r="V28" s="11"/>
    </row>
    <row r="29" spans="1:22" ht="20.100000000000001" customHeight="1" x14ac:dyDescent="0.25">
      <c r="A29" s="156">
        <v>26</v>
      </c>
      <c r="B29" s="139"/>
      <c r="C29" s="136">
        <v>14</v>
      </c>
      <c r="D29" s="136" t="s">
        <v>20</v>
      </c>
      <c r="E29" s="104">
        <v>72</v>
      </c>
      <c r="F29" s="44">
        <v>74</v>
      </c>
      <c r="G29" s="44">
        <v>66</v>
      </c>
      <c r="H29" s="44">
        <v>62</v>
      </c>
      <c r="I29" s="44">
        <v>60</v>
      </c>
      <c r="J29" s="44">
        <v>59</v>
      </c>
      <c r="K29" s="44">
        <v>60</v>
      </c>
      <c r="L29" s="44">
        <v>58</v>
      </c>
      <c r="M29" s="44">
        <v>71</v>
      </c>
      <c r="N29" s="44">
        <v>60</v>
      </c>
      <c r="O29" s="44">
        <v>60</v>
      </c>
      <c r="P29" s="103">
        <v>87</v>
      </c>
      <c r="Q29" s="103">
        <v>63</v>
      </c>
      <c r="R29" s="48">
        <f t="shared" si="0"/>
        <v>852</v>
      </c>
      <c r="S29" s="49">
        <f t="shared" si="1"/>
        <v>65.538461538461533</v>
      </c>
      <c r="T29" s="46">
        <f t="shared" si="2"/>
        <v>34</v>
      </c>
      <c r="U29" s="11"/>
      <c r="V29" s="11"/>
    </row>
    <row r="30" spans="1:22" ht="20.100000000000001" customHeight="1" x14ac:dyDescent="0.25">
      <c r="A30" s="156">
        <v>27</v>
      </c>
      <c r="B30" s="139"/>
      <c r="C30" s="136">
        <v>14</v>
      </c>
      <c r="D30" s="136" t="s">
        <v>20</v>
      </c>
      <c r="E30" s="104">
        <v>90</v>
      </c>
      <c r="F30" s="44">
        <v>94</v>
      </c>
      <c r="G30" s="44">
        <v>99</v>
      </c>
      <c r="H30" s="44">
        <v>99</v>
      </c>
      <c r="I30" s="44">
        <v>97</v>
      </c>
      <c r="J30" s="44">
        <v>98</v>
      </c>
      <c r="K30" s="44">
        <v>95</v>
      </c>
      <c r="L30" s="44">
        <v>97</v>
      </c>
      <c r="M30" s="44">
        <v>97</v>
      </c>
      <c r="N30" s="44">
        <v>100</v>
      </c>
      <c r="O30" s="44">
        <v>94</v>
      </c>
      <c r="P30" s="103">
        <v>93</v>
      </c>
      <c r="Q30" s="103">
        <v>98</v>
      </c>
      <c r="R30" s="48">
        <f t="shared" si="0"/>
        <v>1251</v>
      </c>
      <c r="S30" s="49">
        <f t="shared" si="1"/>
        <v>96.230769230769226</v>
      </c>
      <c r="T30" s="46">
        <f t="shared" si="2"/>
        <v>2</v>
      </c>
      <c r="U30" s="11"/>
      <c r="V30" s="11"/>
    </row>
    <row r="31" spans="1:22" ht="20.100000000000001" customHeight="1" x14ac:dyDescent="0.25">
      <c r="A31" s="156">
        <v>28</v>
      </c>
      <c r="B31" s="139"/>
      <c r="C31" s="136">
        <v>15</v>
      </c>
      <c r="D31" s="136" t="s">
        <v>23</v>
      </c>
      <c r="E31" s="104">
        <v>83</v>
      </c>
      <c r="F31" s="44">
        <v>41</v>
      </c>
      <c r="G31" s="43">
        <v>58</v>
      </c>
      <c r="H31" s="43">
        <v>40</v>
      </c>
      <c r="I31" s="44">
        <v>59</v>
      </c>
      <c r="J31" s="43">
        <v>50</v>
      </c>
      <c r="K31" s="44">
        <v>65</v>
      </c>
      <c r="L31" s="44">
        <v>60</v>
      </c>
      <c r="M31" s="44">
        <v>67</v>
      </c>
      <c r="N31" s="44">
        <v>64</v>
      </c>
      <c r="O31" s="44">
        <v>68</v>
      </c>
      <c r="P31" s="103">
        <v>82</v>
      </c>
      <c r="Q31" s="103">
        <v>52</v>
      </c>
      <c r="R31" s="48">
        <f t="shared" si="0"/>
        <v>789</v>
      </c>
      <c r="S31" s="49">
        <f t="shared" si="1"/>
        <v>60.692307692307693</v>
      </c>
      <c r="T31" s="46">
        <f t="shared" si="2"/>
        <v>42</v>
      </c>
      <c r="U31" s="11"/>
      <c r="V31" s="11"/>
    </row>
    <row r="32" spans="1:22" ht="20.100000000000001" customHeight="1" x14ac:dyDescent="0.25">
      <c r="A32" s="155">
        <v>29</v>
      </c>
      <c r="B32" s="139"/>
      <c r="C32" s="136">
        <v>14</v>
      </c>
      <c r="D32" s="136" t="s">
        <v>23</v>
      </c>
      <c r="E32" s="104">
        <v>69</v>
      </c>
      <c r="F32" s="43">
        <v>60</v>
      </c>
      <c r="G32" s="43">
        <v>54</v>
      </c>
      <c r="H32" s="44">
        <v>51</v>
      </c>
      <c r="I32" s="43">
        <v>49</v>
      </c>
      <c r="J32" s="44">
        <v>44</v>
      </c>
      <c r="K32" s="44">
        <v>62</v>
      </c>
      <c r="L32" s="44">
        <v>48</v>
      </c>
      <c r="M32" s="44">
        <v>61</v>
      </c>
      <c r="N32" s="44">
        <v>66</v>
      </c>
      <c r="O32" s="44">
        <v>62</v>
      </c>
      <c r="P32" s="103">
        <v>89</v>
      </c>
      <c r="Q32" s="103">
        <v>66</v>
      </c>
      <c r="R32" s="48">
        <f t="shared" si="0"/>
        <v>781</v>
      </c>
      <c r="S32" s="49">
        <f t="shared" si="1"/>
        <v>60.07692307692308</v>
      </c>
      <c r="T32" s="46">
        <f t="shared" si="2"/>
        <v>43</v>
      </c>
      <c r="U32" s="11"/>
      <c r="V32" s="11"/>
    </row>
    <row r="33" spans="1:22" ht="20.100000000000001" customHeight="1" x14ac:dyDescent="0.25">
      <c r="A33" s="156">
        <v>30</v>
      </c>
      <c r="B33" s="140"/>
      <c r="C33" s="143">
        <v>14</v>
      </c>
      <c r="D33" s="143" t="s">
        <v>23</v>
      </c>
      <c r="E33" s="104">
        <v>79</v>
      </c>
      <c r="F33" s="44">
        <v>61</v>
      </c>
      <c r="G33" s="44">
        <v>56</v>
      </c>
      <c r="H33" s="44">
        <v>53</v>
      </c>
      <c r="I33" s="44">
        <v>47</v>
      </c>
      <c r="J33" s="44">
        <v>50</v>
      </c>
      <c r="K33" s="44">
        <v>66</v>
      </c>
      <c r="L33" s="44">
        <v>52</v>
      </c>
      <c r="M33" s="44">
        <v>68</v>
      </c>
      <c r="N33" s="44">
        <v>72</v>
      </c>
      <c r="O33" s="44">
        <v>56</v>
      </c>
      <c r="P33" s="103">
        <v>92</v>
      </c>
      <c r="Q33" s="103">
        <v>57</v>
      </c>
      <c r="R33" s="48">
        <f t="shared" si="0"/>
        <v>809</v>
      </c>
      <c r="S33" s="49">
        <f t="shared" si="1"/>
        <v>62.230769230769234</v>
      </c>
      <c r="T33" s="46">
        <f t="shared" si="2"/>
        <v>37</v>
      </c>
      <c r="U33" s="11"/>
      <c r="V33" s="11"/>
    </row>
    <row r="34" spans="1:22" ht="20.100000000000001" customHeight="1" x14ac:dyDescent="0.25">
      <c r="A34" s="155">
        <v>31</v>
      </c>
      <c r="B34" s="139"/>
      <c r="C34" s="136">
        <v>15</v>
      </c>
      <c r="D34" s="136" t="s">
        <v>23</v>
      </c>
      <c r="E34" s="104">
        <v>88</v>
      </c>
      <c r="F34" s="44">
        <v>75</v>
      </c>
      <c r="G34" s="43">
        <v>70</v>
      </c>
      <c r="H34" s="44">
        <v>64</v>
      </c>
      <c r="I34" s="44">
        <v>72</v>
      </c>
      <c r="J34" s="44">
        <v>72</v>
      </c>
      <c r="K34" s="44">
        <v>88</v>
      </c>
      <c r="L34" s="44">
        <v>77</v>
      </c>
      <c r="M34" s="44">
        <v>90</v>
      </c>
      <c r="N34" s="44">
        <v>76</v>
      </c>
      <c r="O34" s="44">
        <v>81</v>
      </c>
      <c r="P34" s="103">
        <v>95</v>
      </c>
      <c r="Q34" s="103">
        <v>84</v>
      </c>
      <c r="R34" s="48">
        <f t="shared" si="0"/>
        <v>1032</v>
      </c>
      <c r="S34" s="49">
        <f t="shared" si="1"/>
        <v>79.384615384615387</v>
      </c>
      <c r="T34" s="46">
        <f t="shared" si="2"/>
        <v>14</v>
      </c>
      <c r="U34" s="11"/>
      <c r="V34" s="11"/>
    </row>
    <row r="35" spans="1:22" ht="20.100000000000001" customHeight="1" x14ac:dyDescent="0.25">
      <c r="A35" s="155">
        <v>32</v>
      </c>
      <c r="B35" s="139"/>
      <c r="C35" s="136">
        <v>15</v>
      </c>
      <c r="D35" s="136" t="s">
        <v>20</v>
      </c>
      <c r="E35" s="104">
        <v>79</v>
      </c>
      <c r="F35" s="44">
        <v>54</v>
      </c>
      <c r="G35" s="44">
        <v>84</v>
      </c>
      <c r="H35" s="44">
        <v>62</v>
      </c>
      <c r="I35" s="44">
        <v>67</v>
      </c>
      <c r="J35" s="44">
        <v>73</v>
      </c>
      <c r="K35" s="44">
        <v>81</v>
      </c>
      <c r="L35" s="44">
        <v>71</v>
      </c>
      <c r="M35" s="44">
        <v>76</v>
      </c>
      <c r="N35" s="44">
        <v>71</v>
      </c>
      <c r="O35" s="44">
        <v>71</v>
      </c>
      <c r="P35" s="103">
        <v>92</v>
      </c>
      <c r="Q35" s="103">
        <v>59</v>
      </c>
      <c r="R35" s="48">
        <f t="shared" si="0"/>
        <v>940</v>
      </c>
      <c r="S35" s="49">
        <f t="shared" si="1"/>
        <v>72.307692307692307</v>
      </c>
      <c r="T35" s="46">
        <f t="shared" si="2"/>
        <v>24</v>
      </c>
      <c r="U35" s="11"/>
      <c r="V35" s="11"/>
    </row>
    <row r="36" spans="1:22" ht="20.100000000000001" customHeight="1" x14ac:dyDescent="0.25">
      <c r="A36" s="155">
        <v>33</v>
      </c>
      <c r="B36" s="139"/>
      <c r="C36" s="136">
        <v>15</v>
      </c>
      <c r="D36" s="136" t="s">
        <v>23</v>
      </c>
      <c r="E36" s="104">
        <v>85</v>
      </c>
      <c r="F36" s="44">
        <v>86</v>
      </c>
      <c r="G36" s="44">
        <v>63</v>
      </c>
      <c r="H36" s="44">
        <v>72</v>
      </c>
      <c r="I36" s="44">
        <v>67</v>
      </c>
      <c r="J36" s="44">
        <v>73</v>
      </c>
      <c r="K36" s="44">
        <v>86</v>
      </c>
      <c r="L36" s="44">
        <v>76</v>
      </c>
      <c r="M36" s="44">
        <v>87</v>
      </c>
      <c r="N36" s="44">
        <v>77</v>
      </c>
      <c r="O36" s="44">
        <v>75</v>
      </c>
      <c r="P36" s="103">
        <v>86</v>
      </c>
      <c r="Q36" s="103">
        <v>80</v>
      </c>
      <c r="R36" s="48">
        <f t="shared" si="0"/>
        <v>1013</v>
      </c>
      <c r="S36" s="49">
        <f t="shared" si="1"/>
        <v>77.92307692307692</v>
      </c>
      <c r="T36" s="46">
        <f t="shared" si="2"/>
        <v>16</v>
      </c>
      <c r="U36" s="11"/>
      <c r="V36" s="11"/>
    </row>
    <row r="37" spans="1:22" ht="20.100000000000001" customHeight="1" x14ac:dyDescent="0.25">
      <c r="A37" s="156">
        <v>34</v>
      </c>
      <c r="B37" s="139"/>
      <c r="C37" s="136">
        <v>15</v>
      </c>
      <c r="D37" s="136" t="s">
        <v>20</v>
      </c>
      <c r="E37" s="104">
        <v>77</v>
      </c>
      <c r="F37" s="43">
        <v>88</v>
      </c>
      <c r="G37" s="43">
        <v>71</v>
      </c>
      <c r="H37" s="43">
        <v>66</v>
      </c>
      <c r="I37" s="44">
        <v>62</v>
      </c>
      <c r="J37" s="44">
        <v>68</v>
      </c>
      <c r="K37" s="44">
        <v>84</v>
      </c>
      <c r="L37" s="44">
        <v>61</v>
      </c>
      <c r="M37" s="44">
        <v>91</v>
      </c>
      <c r="N37" s="44">
        <v>78</v>
      </c>
      <c r="O37" s="43">
        <v>76</v>
      </c>
      <c r="P37" s="188">
        <v>95</v>
      </c>
      <c r="Q37" s="188">
        <v>67</v>
      </c>
      <c r="R37" s="48">
        <f t="shared" si="0"/>
        <v>984</v>
      </c>
      <c r="S37" s="49">
        <f t="shared" si="1"/>
        <v>75.692307692307693</v>
      </c>
      <c r="T37" s="46">
        <f t="shared" si="2"/>
        <v>19</v>
      </c>
      <c r="U37" s="11"/>
      <c r="V37" s="11"/>
    </row>
    <row r="38" spans="1:22" ht="20.100000000000001" customHeight="1" x14ac:dyDescent="0.25">
      <c r="A38" s="156">
        <v>35</v>
      </c>
      <c r="B38" s="139"/>
      <c r="C38" s="136">
        <v>15</v>
      </c>
      <c r="D38" s="136" t="s">
        <v>20</v>
      </c>
      <c r="E38" s="104">
        <v>58</v>
      </c>
      <c r="F38" s="44">
        <v>51</v>
      </c>
      <c r="G38" s="43">
        <v>53</v>
      </c>
      <c r="H38" s="44">
        <v>34</v>
      </c>
      <c r="I38" s="44">
        <v>41</v>
      </c>
      <c r="J38" s="44">
        <v>41</v>
      </c>
      <c r="K38" s="43">
        <v>56</v>
      </c>
      <c r="L38" s="44">
        <v>47</v>
      </c>
      <c r="M38" s="44">
        <v>57</v>
      </c>
      <c r="N38" s="44">
        <v>67</v>
      </c>
      <c r="O38" s="44">
        <v>45</v>
      </c>
      <c r="P38" s="103">
        <v>84</v>
      </c>
      <c r="Q38" s="103">
        <v>58</v>
      </c>
      <c r="R38" s="48">
        <f t="shared" si="0"/>
        <v>692</v>
      </c>
      <c r="S38" s="49">
        <f t="shared" si="1"/>
        <v>53.230769230769234</v>
      </c>
      <c r="T38" s="46">
        <f t="shared" si="2"/>
        <v>52</v>
      </c>
      <c r="U38" s="11"/>
      <c r="V38" s="11"/>
    </row>
    <row r="39" spans="1:22" ht="20.100000000000001" customHeight="1" x14ac:dyDescent="0.25">
      <c r="A39" s="156">
        <v>36</v>
      </c>
      <c r="B39" s="139"/>
      <c r="C39" s="136">
        <v>16</v>
      </c>
      <c r="D39" s="136" t="s">
        <v>20</v>
      </c>
      <c r="E39" s="104">
        <v>87</v>
      </c>
      <c r="F39" s="44">
        <v>89</v>
      </c>
      <c r="G39" s="44">
        <v>66</v>
      </c>
      <c r="H39" s="44">
        <v>87</v>
      </c>
      <c r="I39" s="44">
        <v>91</v>
      </c>
      <c r="J39" s="44">
        <v>93</v>
      </c>
      <c r="K39" s="44">
        <v>95</v>
      </c>
      <c r="L39" s="44">
        <v>92</v>
      </c>
      <c r="M39" s="44">
        <v>98</v>
      </c>
      <c r="N39" s="44">
        <v>98</v>
      </c>
      <c r="O39" s="44">
        <v>82</v>
      </c>
      <c r="P39" s="103">
        <v>97</v>
      </c>
      <c r="Q39" s="103">
        <v>96</v>
      </c>
      <c r="R39" s="48">
        <f t="shared" si="0"/>
        <v>1171</v>
      </c>
      <c r="S39" s="49">
        <f t="shared" si="1"/>
        <v>90.07692307692308</v>
      </c>
      <c r="T39" s="46">
        <f t="shared" si="2"/>
        <v>3</v>
      </c>
      <c r="U39" s="11"/>
      <c r="V39" s="11"/>
    </row>
    <row r="40" spans="1:22" ht="20.100000000000001" customHeight="1" x14ac:dyDescent="0.25">
      <c r="A40" s="155">
        <v>37</v>
      </c>
      <c r="B40" s="139"/>
      <c r="C40" s="136">
        <v>15</v>
      </c>
      <c r="D40" s="136" t="s">
        <v>20</v>
      </c>
      <c r="E40" s="104">
        <v>83</v>
      </c>
      <c r="F40" s="44">
        <v>71</v>
      </c>
      <c r="G40" s="43">
        <v>73</v>
      </c>
      <c r="H40" s="44">
        <v>70</v>
      </c>
      <c r="I40" s="44">
        <v>65</v>
      </c>
      <c r="J40" s="44">
        <v>56</v>
      </c>
      <c r="K40" s="44">
        <v>64</v>
      </c>
      <c r="L40" s="44">
        <v>59</v>
      </c>
      <c r="M40" s="44">
        <v>72</v>
      </c>
      <c r="N40" s="44">
        <v>74</v>
      </c>
      <c r="O40" s="44">
        <v>62</v>
      </c>
      <c r="P40" s="103">
        <v>82</v>
      </c>
      <c r="Q40" s="103">
        <v>56</v>
      </c>
      <c r="R40" s="48">
        <f t="shared" si="0"/>
        <v>887</v>
      </c>
      <c r="S40" s="49">
        <f t="shared" si="1"/>
        <v>68.230769230769226</v>
      </c>
      <c r="T40" s="46">
        <f t="shared" si="2"/>
        <v>31</v>
      </c>
      <c r="U40" s="11"/>
      <c r="V40" s="11"/>
    </row>
    <row r="41" spans="1:22" ht="20.100000000000001" customHeight="1" x14ac:dyDescent="0.25">
      <c r="A41" s="155">
        <v>38</v>
      </c>
      <c r="B41" s="139"/>
      <c r="C41" s="136">
        <v>15</v>
      </c>
      <c r="D41" s="136" t="s">
        <v>20</v>
      </c>
      <c r="E41" s="104">
        <v>83</v>
      </c>
      <c r="F41" s="44">
        <v>73</v>
      </c>
      <c r="G41" s="44">
        <v>93</v>
      </c>
      <c r="H41" s="44">
        <v>75</v>
      </c>
      <c r="I41" s="44">
        <v>81</v>
      </c>
      <c r="J41" s="44">
        <v>72</v>
      </c>
      <c r="K41" s="44">
        <v>82</v>
      </c>
      <c r="L41" s="44">
        <v>73</v>
      </c>
      <c r="M41" s="44">
        <v>78</v>
      </c>
      <c r="N41" s="44">
        <v>80</v>
      </c>
      <c r="O41" s="44">
        <v>77</v>
      </c>
      <c r="P41" s="103">
        <v>85</v>
      </c>
      <c r="Q41" s="103">
        <v>60</v>
      </c>
      <c r="R41" s="48">
        <f t="shared" si="0"/>
        <v>1012</v>
      </c>
      <c r="S41" s="49">
        <f t="shared" si="1"/>
        <v>77.84615384615384</v>
      </c>
      <c r="T41" s="46">
        <f t="shared" si="2"/>
        <v>17</v>
      </c>
      <c r="U41" s="11"/>
      <c r="V41" s="11"/>
    </row>
    <row r="42" spans="1:22" ht="20.100000000000001" customHeight="1" x14ac:dyDescent="0.25">
      <c r="A42" s="156">
        <v>39</v>
      </c>
      <c r="B42" s="139"/>
      <c r="C42" s="136">
        <v>15</v>
      </c>
      <c r="D42" s="136" t="s">
        <v>20</v>
      </c>
      <c r="E42" s="104">
        <v>86</v>
      </c>
      <c r="F42" s="44">
        <v>86</v>
      </c>
      <c r="G42" s="44">
        <v>88</v>
      </c>
      <c r="H42" s="44">
        <v>82</v>
      </c>
      <c r="I42" s="44">
        <v>80</v>
      </c>
      <c r="J42" s="44">
        <v>81</v>
      </c>
      <c r="K42" s="44">
        <v>95</v>
      </c>
      <c r="L42" s="44">
        <v>80</v>
      </c>
      <c r="M42" s="44">
        <v>90</v>
      </c>
      <c r="N42" s="44">
        <v>85</v>
      </c>
      <c r="O42" s="44">
        <v>81</v>
      </c>
      <c r="P42" s="103">
        <v>94</v>
      </c>
      <c r="Q42" s="103">
        <v>84</v>
      </c>
      <c r="R42" s="48">
        <f t="shared" si="0"/>
        <v>1112</v>
      </c>
      <c r="S42" s="49">
        <f t="shared" si="1"/>
        <v>85.538461538461533</v>
      </c>
      <c r="T42" s="46">
        <f t="shared" si="2"/>
        <v>5</v>
      </c>
      <c r="U42" s="11"/>
      <c r="V42" s="11"/>
    </row>
    <row r="43" spans="1:22" ht="20.100000000000001" customHeight="1" x14ac:dyDescent="0.25">
      <c r="A43" s="155">
        <v>40</v>
      </c>
      <c r="B43" s="139"/>
      <c r="C43" s="136">
        <v>15</v>
      </c>
      <c r="D43" s="136" t="s">
        <v>23</v>
      </c>
      <c r="E43" s="104">
        <v>80</v>
      </c>
      <c r="F43" s="44">
        <v>68</v>
      </c>
      <c r="G43" s="43">
        <v>60</v>
      </c>
      <c r="H43" s="44">
        <v>58</v>
      </c>
      <c r="I43" s="44">
        <v>64</v>
      </c>
      <c r="J43" s="44">
        <v>52</v>
      </c>
      <c r="K43" s="44">
        <v>73</v>
      </c>
      <c r="L43" s="44">
        <v>61</v>
      </c>
      <c r="M43" s="44">
        <v>75</v>
      </c>
      <c r="N43" s="44">
        <v>88</v>
      </c>
      <c r="O43" s="44">
        <v>73</v>
      </c>
      <c r="P43" s="103">
        <v>87</v>
      </c>
      <c r="Q43" s="103">
        <v>61</v>
      </c>
      <c r="R43" s="48">
        <f t="shared" si="0"/>
        <v>900</v>
      </c>
      <c r="S43" s="49">
        <f t="shared" si="1"/>
        <v>69.230769230769226</v>
      </c>
      <c r="T43" s="46">
        <f t="shared" si="2"/>
        <v>29</v>
      </c>
      <c r="U43" s="11"/>
      <c r="V43" s="11"/>
    </row>
    <row r="44" spans="1:22" ht="20.100000000000001" customHeight="1" x14ac:dyDescent="0.25">
      <c r="A44" s="156">
        <v>41</v>
      </c>
      <c r="B44" s="139"/>
      <c r="C44" s="136">
        <v>15</v>
      </c>
      <c r="D44" s="136" t="s">
        <v>20</v>
      </c>
      <c r="E44" s="104">
        <v>80</v>
      </c>
      <c r="F44" s="44">
        <v>82</v>
      </c>
      <c r="G44" s="44">
        <v>84</v>
      </c>
      <c r="H44" s="44">
        <v>73</v>
      </c>
      <c r="I44" s="44">
        <v>78</v>
      </c>
      <c r="J44" s="44">
        <v>75</v>
      </c>
      <c r="K44" s="44">
        <v>74</v>
      </c>
      <c r="L44" s="44">
        <v>67</v>
      </c>
      <c r="M44" s="44">
        <v>84</v>
      </c>
      <c r="N44" s="44">
        <v>88</v>
      </c>
      <c r="O44" s="44">
        <v>69</v>
      </c>
      <c r="P44" s="103">
        <v>88</v>
      </c>
      <c r="Q44" s="103">
        <v>94</v>
      </c>
      <c r="R44" s="48">
        <f t="shared" si="0"/>
        <v>1036</v>
      </c>
      <c r="S44" s="49">
        <f t="shared" si="1"/>
        <v>79.692307692307693</v>
      </c>
      <c r="T44" s="46">
        <f t="shared" si="2"/>
        <v>13</v>
      </c>
      <c r="U44" s="11"/>
      <c r="V44" s="11"/>
    </row>
    <row r="45" spans="1:22" ht="20.100000000000001" customHeight="1" x14ac:dyDescent="0.25">
      <c r="A45" s="156">
        <v>42</v>
      </c>
      <c r="B45" s="139"/>
      <c r="C45" s="136">
        <v>12</v>
      </c>
      <c r="D45" s="136" t="s">
        <v>23</v>
      </c>
      <c r="E45" s="104">
        <v>80</v>
      </c>
      <c r="F45" s="44">
        <v>88</v>
      </c>
      <c r="G45" s="44">
        <v>65</v>
      </c>
      <c r="H45" s="44">
        <v>55</v>
      </c>
      <c r="I45" s="44">
        <v>74</v>
      </c>
      <c r="J45" s="44">
        <v>74</v>
      </c>
      <c r="K45" s="44">
        <v>74</v>
      </c>
      <c r="L45" s="44">
        <v>60</v>
      </c>
      <c r="M45" s="44">
        <v>81</v>
      </c>
      <c r="N45" s="44">
        <v>83</v>
      </c>
      <c r="O45" s="44">
        <v>77</v>
      </c>
      <c r="P45" s="104">
        <v>88</v>
      </c>
      <c r="Q45" s="104">
        <v>78</v>
      </c>
      <c r="R45" s="48">
        <f t="shared" si="0"/>
        <v>977</v>
      </c>
      <c r="S45" s="49">
        <f t="shared" si="1"/>
        <v>75.15384615384616</v>
      </c>
      <c r="T45" s="46">
        <f t="shared" si="2"/>
        <v>20</v>
      </c>
      <c r="U45" s="11"/>
      <c r="V45" s="11"/>
    </row>
    <row r="46" spans="1:22" ht="20.100000000000001" customHeight="1" x14ac:dyDescent="0.25">
      <c r="A46" s="156">
        <v>43</v>
      </c>
      <c r="B46" s="139"/>
      <c r="C46" s="136">
        <v>15</v>
      </c>
      <c r="D46" s="136" t="s">
        <v>20</v>
      </c>
      <c r="E46" s="104">
        <v>60</v>
      </c>
      <c r="F46" s="44">
        <v>43</v>
      </c>
      <c r="G46" s="43">
        <v>51</v>
      </c>
      <c r="H46" s="44">
        <v>40</v>
      </c>
      <c r="I46" s="44">
        <v>39</v>
      </c>
      <c r="J46" s="44">
        <v>41</v>
      </c>
      <c r="K46" s="44">
        <v>45</v>
      </c>
      <c r="L46" s="44">
        <v>43</v>
      </c>
      <c r="M46" s="44">
        <v>50</v>
      </c>
      <c r="N46" s="44">
        <v>47</v>
      </c>
      <c r="O46" s="44">
        <v>44</v>
      </c>
      <c r="P46" s="104">
        <v>76</v>
      </c>
      <c r="Q46" s="104">
        <v>61</v>
      </c>
      <c r="R46" s="48">
        <f t="shared" si="0"/>
        <v>640</v>
      </c>
      <c r="S46" s="49">
        <f t="shared" si="1"/>
        <v>49.230769230769234</v>
      </c>
      <c r="T46" s="46">
        <f t="shared" si="2"/>
        <v>55</v>
      </c>
      <c r="U46" s="11"/>
      <c r="V46" s="11"/>
    </row>
    <row r="47" spans="1:22" ht="20.100000000000001" customHeight="1" x14ac:dyDescent="0.25">
      <c r="A47" s="155">
        <v>44</v>
      </c>
      <c r="B47" s="139"/>
      <c r="C47" s="136">
        <v>15</v>
      </c>
      <c r="D47" s="136" t="s">
        <v>20</v>
      </c>
      <c r="E47" s="104">
        <v>69</v>
      </c>
      <c r="F47" s="44">
        <v>72</v>
      </c>
      <c r="G47" s="44">
        <v>45</v>
      </c>
      <c r="H47" s="44">
        <v>42</v>
      </c>
      <c r="I47" s="44">
        <v>56</v>
      </c>
      <c r="J47" s="44">
        <v>50</v>
      </c>
      <c r="K47" s="43">
        <v>43</v>
      </c>
      <c r="L47" s="44">
        <v>53</v>
      </c>
      <c r="M47" s="44">
        <v>75</v>
      </c>
      <c r="N47" s="44">
        <v>76</v>
      </c>
      <c r="O47" s="44">
        <v>60</v>
      </c>
      <c r="P47" s="104">
        <v>60</v>
      </c>
      <c r="Q47" s="104">
        <v>64</v>
      </c>
      <c r="R47" s="48">
        <f t="shared" si="0"/>
        <v>765</v>
      </c>
      <c r="S47" s="49">
        <f t="shared" si="1"/>
        <v>58.846153846153847</v>
      </c>
      <c r="T47" s="46">
        <f t="shared" si="2"/>
        <v>45</v>
      </c>
      <c r="U47" s="11"/>
      <c r="V47" s="11"/>
    </row>
    <row r="48" spans="1:22" ht="20.100000000000001" customHeight="1" x14ac:dyDescent="0.25">
      <c r="A48" s="156">
        <v>45</v>
      </c>
      <c r="B48" s="139"/>
      <c r="C48" s="136">
        <v>15</v>
      </c>
      <c r="D48" s="136" t="s">
        <v>23</v>
      </c>
      <c r="E48" s="104">
        <v>70</v>
      </c>
      <c r="F48" s="44">
        <v>50</v>
      </c>
      <c r="G48" s="44">
        <v>49</v>
      </c>
      <c r="H48" s="44">
        <v>32</v>
      </c>
      <c r="I48" s="44">
        <v>41</v>
      </c>
      <c r="J48" s="44">
        <v>46</v>
      </c>
      <c r="K48" s="44">
        <v>31</v>
      </c>
      <c r="L48" s="44">
        <v>43</v>
      </c>
      <c r="M48" s="44">
        <v>61</v>
      </c>
      <c r="N48" s="44">
        <v>74</v>
      </c>
      <c r="O48" s="44">
        <v>70</v>
      </c>
      <c r="P48" s="104">
        <v>80</v>
      </c>
      <c r="Q48" s="104">
        <v>52</v>
      </c>
      <c r="R48" s="48">
        <f t="shared" si="0"/>
        <v>699</v>
      </c>
      <c r="S48" s="49">
        <f t="shared" si="1"/>
        <v>53.769230769230766</v>
      </c>
      <c r="T48" s="46">
        <f t="shared" si="2"/>
        <v>51</v>
      </c>
      <c r="U48" s="11"/>
      <c r="V48" s="11"/>
    </row>
    <row r="49" spans="1:22" ht="20.100000000000001" customHeight="1" x14ac:dyDescent="0.25">
      <c r="A49" s="155">
        <v>46</v>
      </c>
      <c r="B49" s="139"/>
      <c r="C49" s="136">
        <v>15</v>
      </c>
      <c r="D49" s="136" t="s">
        <v>23</v>
      </c>
      <c r="E49" s="104">
        <v>90</v>
      </c>
      <c r="F49" s="43">
        <v>80</v>
      </c>
      <c r="G49" s="43">
        <v>81</v>
      </c>
      <c r="H49" s="43">
        <v>76</v>
      </c>
      <c r="I49" s="44">
        <v>79</v>
      </c>
      <c r="J49" s="44">
        <v>83</v>
      </c>
      <c r="K49" s="44">
        <v>87</v>
      </c>
      <c r="L49" s="44">
        <v>77</v>
      </c>
      <c r="M49" s="44">
        <v>87</v>
      </c>
      <c r="N49" s="43">
        <v>85</v>
      </c>
      <c r="O49" s="44">
        <v>82</v>
      </c>
      <c r="P49" s="104">
        <v>94</v>
      </c>
      <c r="Q49" s="104">
        <v>76</v>
      </c>
      <c r="R49" s="48">
        <f t="shared" si="0"/>
        <v>1077</v>
      </c>
      <c r="S49" s="49">
        <f t="shared" si="1"/>
        <v>82.84615384615384</v>
      </c>
      <c r="T49" s="46">
        <f t="shared" si="2"/>
        <v>8</v>
      </c>
      <c r="U49" s="11"/>
      <c r="V49" s="11"/>
    </row>
    <row r="50" spans="1:22" ht="20.100000000000001" customHeight="1" x14ac:dyDescent="0.25">
      <c r="A50" s="155">
        <v>47</v>
      </c>
      <c r="B50" s="139"/>
      <c r="C50" s="136">
        <v>15</v>
      </c>
      <c r="D50" s="136" t="s">
        <v>23</v>
      </c>
      <c r="E50" s="104">
        <v>72</v>
      </c>
      <c r="F50" s="43">
        <v>42</v>
      </c>
      <c r="G50" s="43">
        <v>66</v>
      </c>
      <c r="H50" s="44">
        <v>47</v>
      </c>
      <c r="I50" s="43">
        <v>48</v>
      </c>
      <c r="J50" s="44">
        <v>42</v>
      </c>
      <c r="K50" s="43">
        <v>56</v>
      </c>
      <c r="L50" s="43">
        <v>49</v>
      </c>
      <c r="M50" s="44">
        <v>66</v>
      </c>
      <c r="N50" s="44">
        <v>56</v>
      </c>
      <c r="O50" s="43">
        <v>58</v>
      </c>
      <c r="P50" s="189">
        <v>81</v>
      </c>
      <c r="Q50" s="189">
        <v>76</v>
      </c>
      <c r="R50" s="48">
        <f t="shared" si="0"/>
        <v>759</v>
      </c>
      <c r="S50" s="49">
        <f t="shared" si="1"/>
        <v>58.384615384615387</v>
      </c>
      <c r="T50" s="46">
        <f t="shared" si="2"/>
        <v>47</v>
      </c>
      <c r="U50" s="11"/>
      <c r="V50" s="11"/>
    </row>
    <row r="51" spans="1:22" ht="20.100000000000001" customHeight="1" x14ac:dyDescent="0.25">
      <c r="A51" s="155">
        <v>48</v>
      </c>
      <c r="B51" s="139"/>
      <c r="C51" s="136">
        <v>15</v>
      </c>
      <c r="D51" s="136" t="s">
        <v>20</v>
      </c>
      <c r="E51" s="104">
        <v>78</v>
      </c>
      <c r="F51" s="44">
        <v>64</v>
      </c>
      <c r="G51" s="44">
        <v>47</v>
      </c>
      <c r="H51" s="44">
        <v>45</v>
      </c>
      <c r="I51" s="44">
        <v>54</v>
      </c>
      <c r="J51" s="44">
        <v>43</v>
      </c>
      <c r="K51" s="44">
        <v>67</v>
      </c>
      <c r="L51" s="44">
        <v>58</v>
      </c>
      <c r="M51" s="44">
        <v>72</v>
      </c>
      <c r="N51" s="44">
        <v>73</v>
      </c>
      <c r="O51" s="44">
        <v>58</v>
      </c>
      <c r="P51" s="104">
        <v>88</v>
      </c>
      <c r="Q51" s="104">
        <v>62</v>
      </c>
      <c r="R51" s="48">
        <f t="shared" si="0"/>
        <v>809</v>
      </c>
      <c r="S51" s="49">
        <f t="shared" si="1"/>
        <v>62.230769230769234</v>
      </c>
      <c r="T51" s="46">
        <f t="shared" si="2"/>
        <v>37</v>
      </c>
      <c r="U51" s="11"/>
      <c r="V51" s="11"/>
    </row>
    <row r="52" spans="1:22" ht="20.100000000000001" customHeight="1" x14ac:dyDescent="0.25">
      <c r="A52" s="156">
        <v>49</v>
      </c>
      <c r="B52" s="139"/>
      <c r="C52" s="136">
        <v>15</v>
      </c>
      <c r="D52" s="136" t="s">
        <v>20</v>
      </c>
      <c r="E52" s="104">
        <v>78</v>
      </c>
      <c r="F52" s="44">
        <v>61</v>
      </c>
      <c r="G52" s="44">
        <v>82</v>
      </c>
      <c r="H52" s="44">
        <v>74</v>
      </c>
      <c r="I52" s="44">
        <v>65</v>
      </c>
      <c r="J52" s="44">
        <v>72</v>
      </c>
      <c r="K52" s="44">
        <v>81</v>
      </c>
      <c r="L52" s="44">
        <v>86</v>
      </c>
      <c r="M52" s="44">
        <v>85</v>
      </c>
      <c r="N52" s="44">
        <v>78</v>
      </c>
      <c r="O52" s="44">
        <v>73</v>
      </c>
      <c r="P52" s="104">
        <v>100</v>
      </c>
      <c r="Q52" s="104">
        <v>87</v>
      </c>
      <c r="R52" s="48">
        <f t="shared" si="0"/>
        <v>1022</v>
      </c>
      <c r="S52" s="49">
        <f t="shared" si="1"/>
        <v>78.615384615384613</v>
      </c>
      <c r="T52" s="46">
        <f t="shared" si="2"/>
        <v>15</v>
      </c>
      <c r="U52" s="11"/>
      <c r="V52" s="11"/>
    </row>
    <row r="53" spans="1:22" ht="20.100000000000001" customHeight="1" x14ac:dyDescent="0.25">
      <c r="A53" s="156">
        <v>50</v>
      </c>
      <c r="B53" s="139"/>
      <c r="C53" s="136">
        <v>16</v>
      </c>
      <c r="D53" s="136" t="s">
        <v>20</v>
      </c>
      <c r="E53" s="104">
        <v>70</v>
      </c>
      <c r="F53" s="44">
        <v>73</v>
      </c>
      <c r="G53" s="44">
        <v>47</v>
      </c>
      <c r="H53" s="44">
        <v>52</v>
      </c>
      <c r="I53" s="44">
        <v>59</v>
      </c>
      <c r="J53" s="44">
        <v>46</v>
      </c>
      <c r="K53" s="43">
        <v>65</v>
      </c>
      <c r="L53" s="44">
        <v>49</v>
      </c>
      <c r="M53" s="44">
        <v>62</v>
      </c>
      <c r="N53" s="44">
        <v>67</v>
      </c>
      <c r="O53" s="44">
        <v>58</v>
      </c>
      <c r="P53" s="104">
        <v>84</v>
      </c>
      <c r="Q53" s="104">
        <v>60</v>
      </c>
      <c r="R53" s="48">
        <f t="shared" si="0"/>
        <v>792</v>
      </c>
      <c r="S53" s="49">
        <f t="shared" si="1"/>
        <v>60.92307692307692</v>
      </c>
      <c r="T53" s="46">
        <f t="shared" si="2"/>
        <v>40</v>
      </c>
      <c r="U53" s="11"/>
      <c r="V53" s="11"/>
    </row>
    <row r="54" spans="1:22" ht="19.5" customHeight="1" x14ac:dyDescent="0.25">
      <c r="A54" s="156">
        <v>51</v>
      </c>
      <c r="B54" s="139"/>
      <c r="C54" s="136">
        <v>14</v>
      </c>
      <c r="D54" s="136" t="s">
        <v>23</v>
      </c>
      <c r="E54" s="104">
        <v>74</v>
      </c>
      <c r="F54" s="44">
        <v>88</v>
      </c>
      <c r="G54" s="44">
        <v>57</v>
      </c>
      <c r="H54" s="44">
        <v>64</v>
      </c>
      <c r="I54" s="44">
        <v>69</v>
      </c>
      <c r="J54" s="44">
        <v>68</v>
      </c>
      <c r="K54" s="44">
        <v>65</v>
      </c>
      <c r="L54" s="44">
        <v>59</v>
      </c>
      <c r="M54" s="44">
        <v>82</v>
      </c>
      <c r="N54" s="44">
        <v>87</v>
      </c>
      <c r="O54" s="44">
        <v>73</v>
      </c>
      <c r="P54" s="104">
        <v>95</v>
      </c>
      <c r="Q54" s="104">
        <v>62</v>
      </c>
      <c r="R54" s="48">
        <f t="shared" si="0"/>
        <v>943</v>
      </c>
      <c r="S54" s="49">
        <f t="shared" si="1"/>
        <v>72.538461538461533</v>
      </c>
      <c r="T54" s="46">
        <f t="shared" si="2"/>
        <v>23</v>
      </c>
      <c r="U54" s="11"/>
      <c r="V54" s="11"/>
    </row>
    <row r="55" spans="1:22" ht="19.5" customHeight="1" x14ac:dyDescent="0.25">
      <c r="A55" s="156">
        <v>52</v>
      </c>
      <c r="B55" s="139"/>
      <c r="C55" s="136">
        <v>14</v>
      </c>
      <c r="D55" s="136" t="s">
        <v>23</v>
      </c>
      <c r="E55" s="45">
        <v>61</v>
      </c>
      <c r="F55" s="11">
        <v>83</v>
      </c>
      <c r="G55" s="11">
        <v>55</v>
      </c>
      <c r="H55" s="11">
        <v>50</v>
      </c>
      <c r="I55" s="11">
        <v>55</v>
      </c>
      <c r="J55" s="11">
        <v>56</v>
      </c>
      <c r="K55" s="11">
        <v>57</v>
      </c>
      <c r="L55" s="11">
        <v>49</v>
      </c>
      <c r="M55" s="11">
        <v>76</v>
      </c>
      <c r="N55" s="11">
        <v>78</v>
      </c>
      <c r="O55" s="11">
        <v>68</v>
      </c>
      <c r="P55" s="11">
        <v>83</v>
      </c>
      <c r="Q55" s="11">
        <v>57</v>
      </c>
      <c r="R55" s="48">
        <f t="shared" si="0"/>
        <v>828</v>
      </c>
      <c r="S55" s="49">
        <f t="shared" si="1"/>
        <v>63.692307692307693</v>
      </c>
      <c r="T55" s="46">
        <f t="shared" si="2"/>
        <v>36</v>
      </c>
      <c r="U55" s="11"/>
      <c r="V55" s="11"/>
    </row>
    <row r="56" spans="1:22" ht="19.5" customHeight="1" x14ac:dyDescent="0.25">
      <c r="A56" s="157">
        <v>53</v>
      </c>
      <c r="B56" s="147"/>
      <c r="C56" s="158">
        <v>15</v>
      </c>
      <c r="D56" s="158" t="s">
        <v>20</v>
      </c>
      <c r="E56" s="11">
        <v>71</v>
      </c>
      <c r="F56" s="11">
        <v>65</v>
      </c>
      <c r="G56" s="11">
        <v>68</v>
      </c>
      <c r="H56" s="11">
        <v>63</v>
      </c>
      <c r="I56" s="11">
        <v>67</v>
      </c>
      <c r="J56" s="11">
        <v>79</v>
      </c>
      <c r="K56" s="11">
        <v>76</v>
      </c>
      <c r="L56" s="11">
        <v>64</v>
      </c>
      <c r="M56" s="11">
        <v>71</v>
      </c>
      <c r="N56" s="11">
        <v>80</v>
      </c>
      <c r="O56" s="11">
        <v>75</v>
      </c>
      <c r="P56" s="11">
        <v>91</v>
      </c>
      <c r="Q56" s="11">
        <v>59</v>
      </c>
      <c r="R56" s="48">
        <f t="shared" si="0"/>
        <v>929</v>
      </c>
      <c r="S56" s="49">
        <f t="shared" si="1"/>
        <v>71.461538461538467</v>
      </c>
      <c r="T56" s="46">
        <f t="shared" si="2"/>
        <v>27</v>
      </c>
      <c r="U56" s="11"/>
      <c r="V56" s="11"/>
    </row>
    <row r="57" spans="1:22" ht="19.5" customHeight="1" x14ac:dyDescent="0.25">
      <c r="A57" s="157">
        <v>54</v>
      </c>
      <c r="B57" s="153"/>
      <c r="C57" s="42">
        <v>15</v>
      </c>
      <c r="D57" s="42" t="s">
        <v>20</v>
      </c>
      <c r="E57" s="11">
        <v>81</v>
      </c>
      <c r="F57" s="11">
        <v>79</v>
      </c>
      <c r="G57" s="11">
        <v>81</v>
      </c>
      <c r="H57" s="11">
        <v>87</v>
      </c>
      <c r="I57" s="11">
        <v>84</v>
      </c>
      <c r="J57" s="11">
        <v>88</v>
      </c>
      <c r="K57" s="11">
        <v>87</v>
      </c>
      <c r="L57" s="11">
        <v>84</v>
      </c>
      <c r="M57" s="11">
        <v>91</v>
      </c>
      <c r="N57" s="11">
        <v>86</v>
      </c>
      <c r="O57" s="11">
        <v>84</v>
      </c>
      <c r="P57" s="11">
        <v>100</v>
      </c>
      <c r="Q57" s="11">
        <v>81</v>
      </c>
      <c r="R57" s="48">
        <f t="shared" si="0"/>
        <v>1113</v>
      </c>
      <c r="S57" s="49">
        <f t="shared" si="1"/>
        <v>85.615384615384613</v>
      </c>
      <c r="T57" s="46">
        <f t="shared" si="2"/>
        <v>4</v>
      </c>
      <c r="U57" s="11"/>
      <c r="V57" s="11"/>
    </row>
    <row r="58" spans="1:22" ht="19.5" customHeight="1" x14ac:dyDescent="0.25">
      <c r="A58" s="157">
        <v>55</v>
      </c>
      <c r="B58" s="153"/>
      <c r="C58" s="42">
        <v>15</v>
      </c>
      <c r="D58" s="42" t="s">
        <v>20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48">
        <f t="shared" si="0"/>
        <v>0</v>
      </c>
      <c r="S58" s="49">
        <v>0</v>
      </c>
      <c r="T58" s="46">
        <f t="shared" si="2"/>
        <v>56</v>
      </c>
      <c r="U58" s="11"/>
      <c r="V58" s="11"/>
    </row>
    <row r="59" spans="1:22" ht="19.5" customHeight="1" x14ac:dyDescent="0.25">
      <c r="A59" s="157">
        <v>56</v>
      </c>
      <c r="B59" s="153"/>
      <c r="C59" s="42">
        <v>15</v>
      </c>
      <c r="D59" s="42" t="s">
        <v>23</v>
      </c>
      <c r="E59" s="11">
        <v>75</v>
      </c>
      <c r="F59" s="11">
        <v>57</v>
      </c>
      <c r="G59" s="11">
        <v>57</v>
      </c>
      <c r="H59" s="11">
        <v>44</v>
      </c>
      <c r="I59" s="11">
        <v>54</v>
      </c>
      <c r="J59" s="11">
        <v>48</v>
      </c>
      <c r="K59" s="11">
        <v>67</v>
      </c>
      <c r="L59" s="11">
        <v>53</v>
      </c>
      <c r="M59" s="11">
        <v>64</v>
      </c>
      <c r="N59" s="11">
        <v>70</v>
      </c>
      <c r="O59" s="11">
        <v>63</v>
      </c>
      <c r="P59" s="11">
        <v>82</v>
      </c>
      <c r="Q59" s="11">
        <v>62</v>
      </c>
      <c r="R59" s="48">
        <f t="shared" si="0"/>
        <v>796</v>
      </c>
      <c r="S59" s="49">
        <f t="shared" si="1"/>
        <v>61.230769230769234</v>
      </c>
      <c r="T59" s="46">
        <f t="shared" si="2"/>
        <v>39</v>
      </c>
      <c r="U59" s="11"/>
      <c r="V59" s="11"/>
    </row>
  </sheetData>
  <mergeCells count="2">
    <mergeCell ref="A1:V1"/>
    <mergeCell ref="A2:V2"/>
  </mergeCells>
  <pageMargins left="0.7" right="0.7" top="0.75" bottom="0.75" header="0.3" footer="0.3"/>
  <pageSetup paperSize="9" scale="76" fitToHeight="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9"/>
  <sheetViews>
    <sheetView workbookViewId="0">
      <selection activeCell="B4" sqref="B4:B59"/>
    </sheetView>
  </sheetViews>
  <sheetFormatPr defaultRowHeight="15" x14ac:dyDescent="0.25"/>
  <cols>
    <col min="1" max="1" width="6.7109375" style="10" customWidth="1"/>
    <col min="2" max="2" width="35.140625" bestFit="1" customWidth="1"/>
    <col min="3" max="3" width="4.7109375" customWidth="1"/>
    <col min="4" max="4" width="4.140625" customWidth="1"/>
    <col min="5" max="5" width="12" style="10" customWidth="1"/>
    <col min="6" max="7" width="10.5703125" style="10" customWidth="1"/>
  </cols>
  <sheetData>
    <row r="1" spans="1:8" ht="20.25" x14ac:dyDescent="0.25">
      <c r="A1" s="243" t="s">
        <v>56</v>
      </c>
      <c r="B1" s="244"/>
      <c r="C1" s="244"/>
      <c r="D1" s="244"/>
      <c r="E1" s="244"/>
      <c r="F1" s="244"/>
      <c r="G1" s="244"/>
      <c r="H1" s="244"/>
    </row>
    <row r="2" spans="1:8" x14ac:dyDescent="0.25">
      <c r="A2" s="245" t="s">
        <v>35</v>
      </c>
      <c r="B2" s="246"/>
      <c r="C2" s="246"/>
      <c r="D2" s="246"/>
      <c r="E2" s="246"/>
      <c r="F2" s="246"/>
      <c r="G2" s="246"/>
      <c r="H2" s="246"/>
    </row>
    <row r="3" spans="1:8" ht="67.5" customHeight="1" thickBot="1" x14ac:dyDescent="0.3">
      <c r="A3" s="13" t="s">
        <v>24</v>
      </c>
      <c r="B3" s="14" t="s">
        <v>1</v>
      </c>
      <c r="C3" s="15" t="s">
        <v>2</v>
      </c>
      <c r="D3" s="14" t="s">
        <v>3</v>
      </c>
      <c r="E3" s="30" t="s">
        <v>26</v>
      </c>
      <c r="F3" s="30" t="s">
        <v>27</v>
      </c>
      <c r="G3" s="30" t="s">
        <v>16</v>
      </c>
      <c r="H3" s="31" t="s">
        <v>17</v>
      </c>
    </row>
    <row r="4" spans="1:8" ht="20.100000000000001" customHeight="1" x14ac:dyDescent="0.25">
      <c r="A4" s="162">
        <v>1</v>
      </c>
      <c r="B4" s="139"/>
      <c r="C4" s="136">
        <v>15</v>
      </c>
      <c r="D4" s="136" t="s">
        <v>20</v>
      </c>
      <c r="E4" s="25">
        <f>'9B Sem 1'!S4</f>
        <v>71.84615384615384</v>
      </c>
      <c r="F4" s="25">
        <f>'9B Sem 2'!S4</f>
        <v>74.615384615384613</v>
      </c>
      <c r="G4" s="25">
        <f>AVERAGE(E4:F4)</f>
        <v>73.230769230769226</v>
      </c>
      <c r="H4" s="99">
        <f>RANK(G4,$G$4:$G$57)</f>
        <v>25</v>
      </c>
    </row>
    <row r="5" spans="1:8" ht="20.100000000000001" customHeight="1" x14ac:dyDescent="0.25">
      <c r="A5" s="145">
        <v>2</v>
      </c>
      <c r="B5" s="139"/>
      <c r="C5" s="136">
        <v>14</v>
      </c>
      <c r="D5" s="136" t="s">
        <v>20</v>
      </c>
      <c r="E5" s="25">
        <f>'9B Sem 1'!S5</f>
        <v>51.307692307692307</v>
      </c>
      <c r="F5" s="25">
        <f>'9B Sem 2'!S5</f>
        <v>57.615384615384613</v>
      </c>
      <c r="G5" s="25">
        <f t="shared" ref="G5:G58" si="0">AVERAGE(E5:F5)</f>
        <v>54.46153846153846</v>
      </c>
      <c r="H5" s="99">
        <f t="shared" ref="H5:H57" si="1">RANK(G5,$G$4:$G$57)</f>
        <v>50</v>
      </c>
    </row>
    <row r="6" spans="1:8" ht="20.100000000000001" customHeight="1" x14ac:dyDescent="0.25">
      <c r="A6" s="157">
        <v>3</v>
      </c>
      <c r="B6" s="139"/>
      <c r="C6" s="136">
        <v>14</v>
      </c>
      <c r="D6" s="136" t="s">
        <v>23</v>
      </c>
      <c r="E6" s="25">
        <f>'9B Sem 1'!S6</f>
        <v>84.307692307692307</v>
      </c>
      <c r="F6" s="25">
        <f>'9B Sem 2'!S6</f>
        <v>88</v>
      </c>
      <c r="G6" s="25">
        <f t="shared" si="0"/>
        <v>86.15384615384616</v>
      </c>
      <c r="H6" s="99">
        <f t="shared" si="1"/>
        <v>4</v>
      </c>
    </row>
    <row r="7" spans="1:8" ht="20.100000000000001" customHeight="1" x14ac:dyDescent="0.25">
      <c r="A7" s="145">
        <v>4</v>
      </c>
      <c r="B7" s="139"/>
      <c r="C7" s="136">
        <v>15</v>
      </c>
      <c r="D7" s="136" t="s">
        <v>23</v>
      </c>
      <c r="E7" s="25">
        <f>'9B Sem 1'!S7</f>
        <v>80.769230769230774</v>
      </c>
      <c r="F7" s="25">
        <f>'9B Sem 2'!S7</f>
        <v>81.15384615384616</v>
      </c>
      <c r="G7" s="25">
        <f t="shared" si="0"/>
        <v>80.961538461538467</v>
      </c>
      <c r="H7" s="99">
        <f t="shared" si="1"/>
        <v>11</v>
      </c>
    </row>
    <row r="8" spans="1:8" ht="20.100000000000001" customHeight="1" x14ac:dyDescent="0.25">
      <c r="A8" s="145">
        <v>5</v>
      </c>
      <c r="B8" s="139"/>
      <c r="C8" s="136">
        <v>14</v>
      </c>
      <c r="D8" s="136" t="s">
        <v>23</v>
      </c>
      <c r="E8" s="25">
        <f>'9B Sem 1'!S8</f>
        <v>74.615384615384613</v>
      </c>
      <c r="F8" s="25">
        <f>'9B Sem 2'!S8</f>
        <v>73.692307692307693</v>
      </c>
      <c r="G8" s="25">
        <f t="shared" si="0"/>
        <v>74.15384615384616</v>
      </c>
      <c r="H8" s="99">
        <f t="shared" si="1"/>
        <v>22</v>
      </c>
    </row>
    <row r="9" spans="1:8" ht="20.100000000000001" customHeight="1" x14ac:dyDescent="0.25">
      <c r="A9" s="157">
        <v>6</v>
      </c>
      <c r="B9" s="139"/>
      <c r="C9" s="136">
        <v>15</v>
      </c>
      <c r="D9" s="136" t="s">
        <v>20</v>
      </c>
      <c r="E9" s="25">
        <f>'9B Sem 1'!S9</f>
        <v>59.769230769230766</v>
      </c>
      <c r="F9" s="25">
        <f>'9B Sem 2'!S9</f>
        <v>58</v>
      </c>
      <c r="G9" s="25">
        <f t="shared" si="0"/>
        <v>58.884615384615387</v>
      </c>
      <c r="H9" s="99">
        <f t="shared" si="1"/>
        <v>43</v>
      </c>
    </row>
    <row r="10" spans="1:8" ht="20.100000000000001" customHeight="1" x14ac:dyDescent="0.25">
      <c r="A10" s="145">
        <v>7</v>
      </c>
      <c r="B10" s="139"/>
      <c r="C10" s="136">
        <v>15</v>
      </c>
      <c r="D10" s="136" t="s">
        <v>20</v>
      </c>
      <c r="E10" s="25">
        <f>'9B Sem 1'!S10</f>
        <v>57.692307692307693</v>
      </c>
      <c r="F10" s="25">
        <f>'9B Sem 2'!S10</f>
        <v>56.07692307692308</v>
      </c>
      <c r="G10" s="25">
        <f t="shared" si="0"/>
        <v>56.884615384615387</v>
      </c>
      <c r="H10" s="99">
        <f t="shared" si="1"/>
        <v>46</v>
      </c>
    </row>
    <row r="11" spans="1:8" ht="20.100000000000001" customHeight="1" x14ac:dyDescent="0.25">
      <c r="A11" s="145">
        <v>8</v>
      </c>
      <c r="B11" s="139"/>
      <c r="C11" s="136">
        <v>14</v>
      </c>
      <c r="D11" s="136" t="s">
        <v>20</v>
      </c>
      <c r="E11" s="25">
        <f>'9B Sem 1'!S11</f>
        <v>52.46153846153846</v>
      </c>
      <c r="F11" s="25">
        <f>'9B Sem 2'!S11</f>
        <v>54.53846153846154</v>
      </c>
      <c r="G11" s="25">
        <f t="shared" si="0"/>
        <v>53.5</v>
      </c>
      <c r="H11" s="99">
        <f t="shared" si="1"/>
        <v>52</v>
      </c>
    </row>
    <row r="12" spans="1:8" ht="20.100000000000001" customHeight="1" x14ac:dyDescent="0.25">
      <c r="A12" s="157">
        <v>9</v>
      </c>
      <c r="B12" s="139"/>
      <c r="C12" s="136">
        <v>14</v>
      </c>
      <c r="D12" s="136" t="s">
        <v>20</v>
      </c>
      <c r="E12" s="25">
        <f>'9B Sem 1'!S12</f>
        <v>75.15384615384616</v>
      </c>
      <c r="F12" s="25">
        <f>'9B Sem 2'!S12</f>
        <v>77.07692307692308</v>
      </c>
      <c r="G12" s="25">
        <f t="shared" si="0"/>
        <v>76.115384615384613</v>
      </c>
      <c r="H12" s="99">
        <f t="shared" si="1"/>
        <v>21</v>
      </c>
    </row>
    <row r="13" spans="1:8" ht="20.100000000000001" customHeight="1" x14ac:dyDescent="0.25">
      <c r="A13" s="145">
        <v>10</v>
      </c>
      <c r="B13" s="139"/>
      <c r="C13" s="136">
        <v>14</v>
      </c>
      <c r="D13" s="136" t="s">
        <v>23</v>
      </c>
      <c r="E13" s="25">
        <f>'9B Sem 1'!S13</f>
        <v>69.461538461538467</v>
      </c>
      <c r="F13" s="25">
        <f>'9B Sem 2'!S13</f>
        <v>72.692307692307693</v>
      </c>
      <c r="G13" s="25">
        <f t="shared" si="0"/>
        <v>71.07692307692308</v>
      </c>
      <c r="H13" s="99">
        <f t="shared" si="1"/>
        <v>27</v>
      </c>
    </row>
    <row r="14" spans="1:8" ht="20.100000000000001" customHeight="1" x14ac:dyDescent="0.25">
      <c r="A14" s="157">
        <v>11</v>
      </c>
      <c r="B14" s="139"/>
      <c r="C14" s="136">
        <v>15</v>
      </c>
      <c r="D14" s="136" t="s">
        <v>23</v>
      </c>
      <c r="E14" s="25">
        <f>'9B Sem 1'!S14</f>
        <v>77.538461538461533</v>
      </c>
      <c r="F14" s="25">
        <f>'9B Sem 2'!S14</f>
        <v>80.692307692307693</v>
      </c>
      <c r="G14" s="25">
        <f t="shared" si="0"/>
        <v>79.115384615384613</v>
      </c>
      <c r="H14" s="99">
        <f t="shared" si="1"/>
        <v>15</v>
      </c>
    </row>
    <row r="15" spans="1:8" ht="20.100000000000001" customHeight="1" x14ac:dyDescent="0.25">
      <c r="A15" s="157">
        <v>12</v>
      </c>
      <c r="B15" s="139"/>
      <c r="C15" s="136">
        <v>15</v>
      </c>
      <c r="D15" s="136" t="s">
        <v>23</v>
      </c>
      <c r="E15" s="25">
        <f>'9B Sem 1'!S15</f>
        <v>85.15384615384616</v>
      </c>
      <c r="F15" s="25">
        <f>'9B Sem 2'!S15</f>
        <v>82.461538461538467</v>
      </c>
      <c r="G15" s="25">
        <f t="shared" si="0"/>
        <v>83.807692307692321</v>
      </c>
      <c r="H15" s="99">
        <f t="shared" si="1"/>
        <v>7</v>
      </c>
    </row>
    <row r="16" spans="1:8" ht="20.100000000000001" customHeight="1" x14ac:dyDescent="0.25">
      <c r="A16" s="157">
        <v>13</v>
      </c>
      <c r="B16" s="139"/>
      <c r="C16" s="136">
        <v>14</v>
      </c>
      <c r="D16" s="136" t="s">
        <v>23</v>
      </c>
      <c r="E16" s="25">
        <f>'9B Sem 1'!S16</f>
        <v>96.615384615384613</v>
      </c>
      <c r="F16" s="25">
        <f>'9B Sem 2'!S16</f>
        <v>97.07692307692308</v>
      </c>
      <c r="G16" s="25">
        <f t="shared" si="0"/>
        <v>96.84615384615384</v>
      </c>
      <c r="H16" s="99">
        <f t="shared" si="1"/>
        <v>1</v>
      </c>
    </row>
    <row r="17" spans="1:8" ht="20.100000000000001" customHeight="1" x14ac:dyDescent="0.25">
      <c r="A17" s="145">
        <v>14</v>
      </c>
      <c r="B17" s="139"/>
      <c r="C17" s="136">
        <v>15</v>
      </c>
      <c r="D17" s="136" t="s">
        <v>23</v>
      </c>
      <c r="E17" s="25">
        <f>'9B Sem 1'!S17</f>
        <v>81</v>
      </c>
      <c r="F17" s="25">
        <f>'9B Sem 2'!S17</f>
        <v>80.230769230769226</v>
      </c>
      <c r="G17" s="25">
        <f t="shared" si="0"/>
        <v>80.615384615384613</v>
      </c>
      <c r="H17" s="99">
        <f t="shared" si="1"/>
        <v>12</v>
      </c>
    </row>
    <row r="18" spans="1:8" ht="20.100000000000001" customHeight="1" x14ac:dyDescent="0.25">
      <c r="A18" s="157">
        <v>15</v>
      </c>
      <c r="B18" s="139"/>
      <c r="C18" s="136">
        <v>15</v>
      </c>
      <c r="D18" s="136" t="s">
        <v>23</v>
      </c>
      <c r="E18" s="25">
        <f>'9B Sem 1'!S18</f>
        <v>81.84615384615384</v>
      </c>
      <c r="F18" s="25">
        <f>'9B Sem 2'!S18</f>
        <v>86.15384615384616</v>
      </c>
      <c r="G18" s="25">
        <f t="shared" si="0"/>
        <v>84</v>
      </c>
      <c r="H18" s="99">
        <f t="shared" si="1"/>
        <v>6</v>
      </c>
    </row>
    <row r="19" spans="1:8" ht="20.100000000000001" customHeight="1" x14ac:dyDescent="0.25">
      <c r="A19" s="145">
        <v>16</v>
      </c>
      <c r="B19" s="139"/>
      <c r="C19" s="136">
        <v>15</v>
      </c>
      <c r="D19" s="136" t="s">
        <v>20</v>
      </c>
      <c r="E19" s="25">
        <f>'9B Sem 1'!S19</f>
        <v>67.769230769230774</v>
      </c>
      <c r="F19" s="25">
        <f>'9B Sem 2'!S19</f>
        <v>72.384615384615387</v>
      </c>
      <c r="G19" s="25">
        <f t="shared" si="0"/>
        <v>70.07692307692308</v>
      </c>
      <c r="H19" s="99">
        <f t="shared" si="1"/>
        <v>28</v>
      </c>
    </row>
    <row r="20" spans="1:8" ht="20.100000000000001" customHeight="1" x14ac:dyDescent="0.25">
      <c r="A20" s="145">
        <v>17</v>
      </c>
      <c r="B20" s="139"/>
      <c r="C20" s="136">
        <v>16</v>
      </c>
      <c r="D20" s="136" t="s">
        <v>20</v>
      </c>
      <c r="E20" s="25">
        <f>'9B Sem 1'!S20</f>
        <v>58.769230769230766</v>
      </c>
      <c r="F20" s="25">
        <f>'9B Sem 2'!S20</f>
        <v>53.615384615384613</v>
      </c>
      <c r="G20" s="25">
        <f t="shared" si="0"/>
        <v>56.192307692307693</v>
      </c>
      <c r="H20" s="99">
        <f t="shared" si="1"/>
        <v>47</v>
      </c>
    </row>
    <row r="21" spans="1:8" ht="20.100000000000001" customHeight="1" x14ac:dyDescent="0.25">
      <c r="A21" s="145">
        <v>18</v>
      </c>
      <c r="B21" s="139"/>
      <c r="C21" s="136">
        <v>15</v>
      </c>
      <c r="D21" s="136" t="s">
        <v>20</v>
      </c>
      <c r="E21" s="25">
        <f>'9B Sem 1'!S21</f>
        <v>60.846153846153847</v>
      </c>
      <c r="F21" s="25">
        <f>'9B Sem 2'!S21</f>
        <v>62.384615384615387</v>
      </c>
      <c r="G21" s="25">
        <f t="shared" si="0"/>
        <v>61.615384615384613</v>
      </c>
      <c r="H21" s="99">
        <f t="shared" si="1"/>
        <v>41</v>
      </c>
    </row>
    <row r="22" spans="1:8" ht="20.100000000000001" customHeight="1" x14ac:dyDescent="0.25">
      <c r="A22" s="157">
        <v>19</v>
      </c>
      <c r="B22" s="139"/>
      <c r="C22" s="136">
        <v>14</v>
      </c>
      <c r="D22" s="136" t="s">
        <v>23</v>
      </c>
      <c r="E22" s="25">
        <f>'9B Sem 1'!S22</f>
        <v>71.84615384615384</v>
      </c>
      <c r="F22" s="25">
        <f>'9B Sem 2'!S22</f>
        <v>74.692307692307693</v>
      </c>
      <c r="G22" s="25">
        <f t="shared" si="0"/>
        <v>73.269230769230774</v>
      </c>
      <c r="H22" s="99">
        <f t="shared" si="1"/>
        <v>24</v>
      </c>
    </row>
    <row r="23" spans="1:8" ht="20.100000000000001" customHeight="1" x14ac:dyDescent="0.25">
      <c r="A23" s="157">
        <v>20</v>
      </c>
      <c r="B23" s="139"/>
      <c r="C23" s="136">
        <v>14</v>
      </c>
      <c r="D23" s="136" t="s">
        <v>23</v>
      </c>
      <c r="E23" s="25">
        <f>'9B Sem 1'!S23</f>
        <v>68.615384615384613</v>
      </c>
      <c r="F23" s="25">
        <f>'9B Sem 2'!S23</f>
        <v>68.07692307692308</v>
      </c>
      <c r="G23" s="25">
        <f t="shared" si="0"/>
        <v>68.34615384615384</v>
      </c>
      <c r="H23" s="99">
        <f t="shared" si="1"/>
        <v>33</v>
      </c>
    </row>
    <row r="24" spans="1:8" ht="20.100000000000001" customHeight="1" x14ac:dyDescent="0.25">
      <c r="A24" s="157">
        <v>21</v>
      </c>
      <c r="B24" s="139"/>
      <c r="C24" s="136">
        <v>15</v>
      </c>
      <c r="D24" s="136" t="s">
        <v>23</v>
      </c>
      <c r="E24" s="25">
        <f>'9B Sem 1'!S24</f>
        <v>66.92307692307692</v>
      </c>
      <c r="F24" s="25">
        <f>'9B Sem 2'!S24</f>
        <v>73.230769230769226</v>
      </c>
      <c r="G24" s="25">
        <f t="shared" si="0"/>
        <v>70.076923076923066</v>
      </c>
      <c r="H24" s="99">
        <f t="shared" si="1"/>
        <v>29</v>
      </c>
    </row>
    <row r="25" spans="1:8" ht="20.100000000000001" customHeight="1" x14ac:dyDescent="0.25">
      <c r="A25" s="145">
        <v>22</v>
      </c>
      <c r="B25" s="139"/>
      <c r="C25" s="136">
        <v>15</v>
      </c>
      <c r="D25" s="136" t="s">
        <v>23</v>
      </c>
      <c r="E25" s="25">
        <f>'9B Sem 1'!S25</f>
        <v>54.692307692307693</v>
      </c>
      <c r="F25" s="25">
        <f>'9B Sem 2'!S25</f>
        <v>54.307692307692307</v>
      </c>
      <c r="G25" s="25">
        <f t="shared" si="0"/>
        <v>54.5</v>
      </c>
      <c r="H25" s="99">
        <f t="shared" si="1"/>
        <v>49</v>
      </c>
    </row>
    <row r="26" spans="1:8" ht="20.100000000000001" customHeight="1" x14ac:dyDescent="0.25">
      <c r="A26" s="145">
        <v>23</v>
      </c>
      <c r="B26" s="139"/>
      <c r="C26" s="136">
        <v>15</v>
      </c>
      <c r="D26" s="136" t="s">
        <v>20</v>
      </c>
      <c r="E26" s="25">
        <f>'9B Sem 1'!S26</f>
        <v>82.769230769230774</v>
      </c>
      <c r="F26" s="25">
        <f>'9B Sem 2'!S26</f>
        <v>83.769230769230774</v>
      </c>
      <c r="G26" s="25">
        <f t="shared" si="0"/>
        <v>83.269230769230774</v>
      </c>
      <c r="H26" s="99">
        <f t="shared" si="1"/>
        <v>9</v>
      </c>
    </row>
    <row r="27" spans="1:8" ht="20.100000000000001" customHeight="1" x14ac:dyDescent="0.25">
      <c r="A27" s="157">
        <v>24</v>
      </c>
      <c r="B27" s="139"/>
      <c r="C27" s="136">
        <v>17</v>
      </c>
      <c r="D27" s="136" t="s">
        <v>23</v>
      </c>
      <c r="E27" s="25">
        <f>'9B Sem 1'!S27</f>
        <v>55.53846153846154</v>
      </c>
      <c r="F27" s="25">
        <f>'9B Sem 2'!S27</f>
        <v>54.46153846153846</v>
      </c>
      <c r="G27" s="25">
        <f t="shared" si="0"/>
        <v>55</v>
      </c>
      <c r="H27" s="99">
        <f t="shared" si="1"/>
        <v>48</v>
      </c>
    </row>
    <row r="28" spans="1:8" ht="20.100000000000001" customHeight="1" x14ac:dyDescent="0.25">
      <c r="A28" s="145">
        <v>25</v>
      </c>
      <c r="B28" s="139"/>
      <c r="C28" s="136">
        <v>15</v>
      </c>
      <c r="D28" s="136" t="s">
        <v>20</v>
      </c>
      <c r="E28" s="25">
        <f>'9B Sem 1'!S28</f>
        <v>64.769230769230774</v>
      </c>
      <c r="F28" s="25">
        <f>'9B Sem 2'!S28</f>
        <v>61.53846153846154</v>
      </c>
      <c r="G28" s="25">
        <f t="shared" si="0"/>
        <v>63.15384615384616</v>
      </c>
      <c r="H28" s="99">
        <f t="shared" si="1"/>
        <v>37</v>
      </c>
    </row>
    <row r="29" spans="1:8" ht="20.100000000000001" customHeight="1" x14ac:dyDescent="0.25">
      <c r="A29" s="157">
        <v>26</v>
      </c>
      <c r="B29" s="139"/>
      <c r="C29" s="136">
        <v>14</v>
      </c>
      <c r="D29" s="136" t="s">
        <v>20</v>
      </c>
      <c r="E29" s="25">
        <f>'9B Sem 1'!S29</f>
        <v>65.538461538461533</v>
      </c>
      <c r="F29" s="25">
        <f>'9B Sem 2'!S29</f>
        <v>65.461538461538467</v>
      </c>
      <c r="G29" s="25">
        <f t="shared" si="0"/>
        <v>65.5</v>
      </c>
      <c r="H29" s="99">
        <f t="shared" si="1"/>
        <v>34</v>
      </c>
    </row>
    <row r="30" spans="1:8" ht="20.100000000000001" customHeight="1" x14ac:dyDescent="0.25">
      <c r="A30" s="157">
        <v>27</v>
      </c>
      <c r="B30" s="139"/>
      <c r="C30" s="136">
        <v>14</v>
      </c>
      <c r="D30" s="136" t="s">
        <v>20</v>
      </c>
      <c r="E30" s="25">
        <f>'9B Sem 1'!S30</f>
        <v>96.230769230769226</v>
      </c>
      <c r="F30" s="25">
        <f>'9B Sem 2'!S30</f>
        <v>95.692307692307693</v>
      </c>
      <c r="G30" s="25">
        <f t="shared" si="0"/>
        <v>95.961538461538453</v>
      </c>
      <c r="H30" s="99">
        <f t="shared" si="1"/>
        <v>2</v>
      </c>
    </row>
    <row r="31" spans="1:8" ht="20.100000000000001" customHeight="1" x14ac:dyDescent="0.25">
      <c r="A31" s="157">
        <v>28</v>
      </c>
      <c r="B31" s="139"/>
      <c r="C31" s="136">
        <v>15</v>
      </c>
      <c r="D31" s="136" t="s">
        <v>23</v>
      </c>
      <c r="E31" s="25">
        <f>'9B Sem 1'!S31</f>
        <v>60.692307692307693</v>
      </c>
      <c r="F31" s="25">
        <f>'9B Sem 2'!S31</f>
        <v>65.15384615384616</v>
      </c>
      <c r="G31" s="25">
        <f t="shared" si="0"/>
        <v>62.923076923076927</v>
      </c>
      <c r="H31" s="99">
        <f t="shared" si="1"/>
        <v>38</v>
      </c>
    </row>
    <row r="32" spans="1:8" ht="20.100000000000001" customHeight="1" x14ac:dyDescent="0.25">
      <c r="A32" s="145">
        <v>29</v>
      </c>
      <c r="B32" s="139"/>
      <c r="C32" s="136">
        <v>14</v>
      </c>
      <c r="D32" s="136" t="s">
        <v>23</v>
      </c>
      <c r="E32" s="25">
        <f>'9B Sem 1'!S32</f>
        <v>60.07692307692308</v>
      </c>
      <c r="F32" s="25">
        <f>'9B Sem 2'!S32</f>
        <v>61.692307692307693</v>
      </c>
      <c r="G32" s="25">
        <f t="shared" si="0"/>
        <v>60.884615384615387</v>
      </c>
      <c r="H32" s="99">
        <f t="shared" si="1"/>
        <v>42</v>
      </c>
    </row>
    <row r="33" spans="1:8" ht="20.100000000000001" customHeight="1" x14ac:dyDescent="0.25">
      <c r="A33" s="157">
        <v>30</v>
      </c>
      <c r="B33" s="140"/>
      <c r="C33" s="143">
        <v>14</v>
      </c>
      <c r="D33" s="143" t="s">
        <v>23</v>
      </c>
      <c r="E33" s="25">
        <f>'9B Sem 1'!S33</f>
        <v>62.230769230769234</v>
      </c>
      <c r="F33" s="25">
        <f>'9B Sem 2'!S33</f>
        <v>61.153846153846153</v>
      </c>
      <c r="G33" s="25">
        <f t="shared" si="0"/>
        <v>61.692307692307693</v>
      </c>
      <c r="H33" s="99">
        <f t="shared" si="1"/>
        <v>40</v>
      </c>
    </row>
    <row r="34" spans="1:8" ht="20.100000000000001" customHeight="1" x14ac:dyDescent="0.25">
      <c r="A34" s="145">
        <v>31</v>
      </c>
      <c r="B34" s="139"/>
      <c r="C34" s="136">
        <v>15</v>
      </c>
      <c r="D34" s="136" t="s">
        <v>23</v>
      </c>
      <c r="E34" s="25">
        <f>'9B Sem 1'!S34</f>
        <v>79.384615384615387</v>
      </c>
      <c r="F34" s="25">
        <f>'9B Sem 2'!S34</f>
        <v>77.84615384615384</v>
      </c>
      <c r="G34" s="25">
        <f t="shared" si="0"/>
        <v>78.615384615384613</v>
      </c>
      <c r="H34" s="99">
        <f t="shared" si="1"/>
        <v>16</v>
      </c>
    </row>
    <row r="35" spans="1:8" ht="20.100000000000001" customHeight="1" x14ac:dyDescent="0.25">
      <c r="A35" s="145">
        <v>32</v>
      </c>
      <c r="B35" s="139"/>
      <c r="C35" s="136">
        <v>15</v>
      </c>
      <c r="D35" s="136" t="s">
        <v>20</v>
      </c>
      <c r="E35" s="25">
        <f>'9B Sem 1'!S35</f>
        <v>72.307692307692307</v>
      </c>
      <c r="F35" s="25">
        <f>'9B Sem 2'!S35</f>
        <v>67.538461538461533</v>
      </c>
      <c r="G35" s="25">
        <f t="shared" si="0"/>
        <v>69.92307692307692</v>
      </c>
      <c r="H35" s="99">
        <f t="shared" si="1"/>
        <v>30</v>
      </c>
    </row>
    <row r="36" spans="1:8" ht="20.100000000000001" customHeight="1" x14ac:dyDescent="0.25">
      <c r="A36" s="145">
        <v>33</v>
      </c>
      <c r="B36" s="139"/>
      <c r="C36" s="136">
        <v>15</v>
      </c>
      <c r="D36" s="136" t="s">
        <v>23</v>
      </c>
      <c r="E36" s="25">
        <f>'9B Sem 1'!S36</f>
        <v>77.92307692307692</v>
      </c>
      <c r="F36" s="25">
        <f>'9B Sem 2'!S36</f>
        <v>77.461538461538467</v>
      </c>
      <c r="G36" s="25">
        <f t="shared" si="0"/>
        <v>77.692307692307693</v>
      </c>
      <c r="H36" s="99">
        <f t="shared" si="1"/>
        <v>18</v>
      </c>
    </row>
    <row r="37" spans="1:8" ht="20.100000000000001" customHeight="1" x14ac:dyDescent="0.25">
      <c r="A37" s="157">
        <v>34</v>
      </c>
      <c r="B37" s="139"/>
      <c r="C37" s="136">
        <v>15</v>
      </c>
      <c r="D37" s="136" t="s">
        <v>20</v>
      </c>
      <c r="E37" s="25">
        <f>'9B Sem 1'!S37</f>
        <v>75.692307692307693</v>
      </c>
      <c r="F37" s="25">
        <f>'9B Sem 2'!S37</f>
        <v>77.84615384615384</v>
      </c>
      <c r="G37" s="25">
        <f t="shared" si="0"/>
        <v>76.769230769230774</v>
      </c>
      <c r="H37" s="99">
        <f t="shared" si="1"/>
        <v>20</v>
      </c>
    </row>
    <row r="38" spans="1:8" ht="20.100000000000001" customHeight="1" x14ac:dyDescent="0.25">
      <c r="A38" s="157">
        <v>35</v>
      </c>
      <c r="B38" s="139"/>
      <c r="C38" s="136">
        <v>15</v>
      </c>
      <c r="D38" s="136" t="s">
        <v>20</v>
      </c>
      <c r="E38" s="25">
        <f>'9B Sem 1'!S38</f>
        <v>53.230769230769234</v>
      </c>
      <c r="F38" s="25">
        <f>'9B Sem 2'!S38</f>
        <v>53.846153846153847</v>
      </c>
      <c r="G38" s="25">
        <f t="shared" si="0"/>
        <v>53.53846153846154</v>
      </c>
      <c r="H38" s="99">
        <f t="shared" si="1"/>
        <v>51</v>
      </c>
    </row>
    <row r="39" spans="1:8" ht="20.100000000000001" customHeight="1" x14ac:dyDescent="0.25">
      <c r="A39" s="157">
        <v>36</v>
      </c>
      <c r="B39" s="139"/>
      <c r="C39" s="136">
        <v>16</v>
      </c>
      <c r="D39" s="136" t="s">
        <v>20</v>
      </c>
      <c r="E39" s="25">
        <f>'9B Sem 1'!S39</f>
        <v>90.07692307692308</v>
      </c>
      <c r="F39" s="25">
        <f>'9B Sem 2'!S39</f>
        <v>87.538461538461533</v>
      </c>
      <c r="G39" s="25">
        <f t="shared" si="0"/>
        <v>88.807692307692307</v>
      </c>
      <c r="H39" s="99">
        <f t="shared" si="1"/>
        <v>3</v>
      </c>
    </row>
    <row r="40" spans="1:8" ht="20.100000000000001" customHeight="1" x14ac:dyDescent="0.25">
      <c r="A40" s="145">
        <v>37</v>
      </c>
      <c r="B40" s="139"/>
      <c r="C40" s="136">
        <v>15</v>
      </c>
      <c r="D40" s="136" t="s">
        <v>20</v>
      </c>
      <c r="E40" s="25">
        <f>'9B Sem 1'!S40</f>
        <v>68.230769230769226</v>
      </c>
      <c r="F40" s="25">
        <f>'9B Sem 2'!S40</f>
        <v>69.538461538461533</v>
      </c>
      <c r="G40" s="25">
        <f t="shared" si="0"/>
        <v>68.884615384615387</v>
      </c>
      <c r="H40" s="99">
        <f t="shared" si="1"/>
        <v>32</v>
      </c>
    </row>
    <row r="41" spans="1:8" ht="20.100000000000001" customHeight="1" x14ac:dyDescent="0.25">
      <c r="A41" s="145">
        <v>38</v>
      </c>
      <c r="B41" s="139"/>
      <c r="C41" s="136">
        <v>15</v>
      </c>
      <c r="D41" s="136" t="s">
        <v>20</v>
      </c>
      <c r="E41" s="25">
        <f>'9B Sem 1'!S41</f>
        <v>77.84615384615384</v>
      </c>
      <c r="F41" s="25">
        <f>'9B Sem 2'!S41</f>
        <v>76.384615384615387</v>
      </c>
      <c r="G41" s="25">
        <f t="shared" si="0"/>
        <v>77.115384615384613</v>
      </c>
      <c r="H41" s="99">
        <f t="shared" si="1"/>
        <v>19</v>
      </c>
    </row>
    <row r="42" spans="1:8" ht="20.100000000000001" customHeight="1" x14ac:dyDescent="0.25">
      <c r="A42" s="157">
        <v>39</v>
      </c>
      <c r="B42" s="139"/>
      <c r="C42" s="136">
        <v>15</v>
      </c>
      <c r="D42" s="136" t="s">
        <v>20</v>
      </c>
      <c r="E42" s="25">
        <f>'9B Sem 1'!S42</f>
        <v>85.538461538461533</v>
      </c>
      <c r="F42" s="25">
        <f>'9B Sem 2'!S42</f>
        <v>81.538461538461533</v>
      </c>
      <c r="G42" s="25">
        <f t="shared" si="0"/>
        <v>83.538461538461533</v>
      </c>
      <c r="H42" s="99">
        <f t="shared" si="1"/>
        <v>8</v>
      </c>
    </row>
    <row r="43" spans="1:8" ht="20.100000000000001" customHeight="1" x14ac:dyDescent="0.25">
      <c r="A43" s="145">
        <v>40</v>
      </c>
      <c r="B43" s="139"/>
      <c r="C43" s="136">
        <v>15</v>
      </c>
      <c r="D43" s="136" t="s">
        <v>23</v>
      </c>
      <c r="E43" s="25">
        <f>'9B Sem 1'!S43</f>
        <v>69.230769230769226</v>
      </c>
      <c r="F43" s="25">
        <f>'9B Sem 2'!S43</f>
        <v>69.230769230769226</v>
      </c>
      <c r="G43" s="25">
        <f t="shared" si="0"/>
        <v>69.230769230769226</v>
      </c>
      <c r="H43" s="99">
        <f t="shared" si="1"/>
        <v>31</v>
      </c>
    </row>
    <row r="44" spans="1:8" ht="20.100000000000001" customHeight="1" x14ac:dyDescent="0.25">
      <c r="A44" s="157">
        <v>41</v>
      </c>
      <c r="B44" s="139"/>
      <c r="C44" s="136">
        <v>15</v>
      </c>
      <c r="D44" s="136" t="s">
        <v>20</v>
      </c>
      <c r="E44" s="25">
        <f>'9B Sem 1'!S44</f>
        <v>79.692307692307693</v>
      </c>
      <c r="F44" s="25">
        <f>'9B Sem 2'!S44</f>
        <v>81.07692307692308</v>
      </c>
      <c r="G44" s="25">
        <f t="shared" si="0"/>
        <v>80.384615384615387</v>
      </c>
      <c r="H44" s="99">
        <f t="shared" si="1"/>
        <v>13</v>
      </c>
    </row>
    <row r="45" spans="1:8" ht="20.100000000000001" customHeight="1" x14ac:dyDescent="0.25">
      <c r="A45" s="157">
        <v>42</v>
      </c>
      <c r="B45" s="139"/>
      <c r="C45" s="136">
        <v>12</v>
      </c>
      <c r="D45" s="136" t="s">
        <v>23</v>
      </c>
      <c r="E45" s="25">
        <f>'9B Sem 1'!S45</f>
        <v>75.15384615384616</v>
      </c>
      <c r="F45" s="25">
        <f>'9B Sem 2'!S45</f>
        <v>81.769230769230774</v>
      </c>
      <c r="G45" s="25">
        <f t="shared" si="0"/>
        <v>78.461538461538467</v>
      </c>
      <c r="H45" s="99">
        <f t="shared" si="1"/>
        <v>17</v>
      </c>
    </row>
    <row r="46" spans="1:8" ht="20.100000000000001" customHeight="1" x14ac:dyDescent="0.25">
      <c r="A46" s="157">
        <v>43</v>
      </c>
      <c r="B46" s="139"/>
      <c r="C46" s="136">
        <v>15</v>
      </c>
      <c r="D46" s="136" t="s">
        <v>20</v>
      </c>
      <c r="E46" s="25">
        <f>'9B Sem 1'!S46</f>
        <v>49.230769230769234</v>
      </c>
      <c r="F46" s="25">
        <f>'9B Sem 2'!S46</f>
        <v>53.846153846153847</v>
      </c>
      <c r="G46" s="25">
        <f t="shared" si="0"/>
        <v>51.53846153846154</v>
      </c>
      <c r="H46" s="99">
        <f t="shared" si="1"/>
        <v>54</v>
      </c>
    </row>
    <row r="47" spans="1:8" ht="20.100000000000001" customHeight="1" x14ac:dyDescent="0.25">
      <c r="A47" s="145">
        <v>44</v>
      </c>
      <c r="B47" s="139"/>
      <c r="C47" s="136">
        <v>15</v>
      </c>
      <c r="D47" s="136" t="s">
        <v>20</v>
      </c>
      <c r="E47" s="25">
        <f>'9B Sem 1'!S47</f>
        <v>58.846153846153847</v>
      </c>
      <c r="F47" s="25">
        <f>'9B Sem 2'!S47</f>
        <v>57.307692307692307</v>
      </c>
      <c r="G47" s="25">
        <f t="shared" si="0"/>
        <v>58.07692307692308</v>
      </c>
      <c r="H47" s="99">
        <f t="shared" si="1"/>
        <v>45</v>
      </c>
    </row>
    <row r="48" spans="1:8" ht="20.100000000000001" customHeight="1" x14ac:dyDescent="0.25">
      <c r="A48" s="157">
        <v>45</v>
      </c>
      <c r="B48" s="139"/>
      <c r="C48" s="136">
        <v>15</v>
      </c>
      <c r="D48" s="136" t="s">
        <v>23</v>
      </c>
      <c r="E48" s="25">
        <f>'9B Sem 1'!S48</f>
        <v>53.769230769230766</v>
      </c>
      <c r="F48" s="25">
        <f>'9B Sem 2'!S48</f>
        <v>53.07692307692308</v>
      </c>
      <c r="G48" s="25">
        <f t="shared" si="0"/>
        <v>53.42307692307692</v>
      </c>
      <c r="H48" s="99">
        <f t="shared" si="1"/>
        <v>53</v>
      </c>
    </row>
    <row r="49" spans="1:8" ht="20.100000000000001" customHeight="1" x14ac:dyDescent="0.25">
      <c r="A49" s="145">
        <v>46</v>
      </c>
      <c r="B49" s="139"/>
      <c r="C49" s="136">
        <v>15</v>
      </c>
      <c r="D49" s="136" t="s">
        <v>23</v>
      </c>
      <c r="E49" s="25">
        <f>'9B Sem 1'!S49</f>
        <v>82.84615384615384</v>
      </c>
      <c r="F49" s="25">
        <f>'9B Sem 2'!S49</f>
        <v>82.692307692307693</v>
      </c>
      <c r="G49" s="25">
        <f t="shared" si="0"/>
        <v>82.769230769230774</v>
      </c>
      <c r="H49" s="99">
        <f t="shared" si="1"/>
        <v>10</v>
      </c>
    </row>
    <row r="50" spans="1:8" ht="20.100000000000001" customHeight="1" x14ac:dyDescent="0.25">
      <c r="A50" s="145">
        <v>47</v>
      </c>
      <c r="B50" s="139"/>
      <c r="C50" s="136">
        <v>15</v>
      </c>
      <c r="D50" s="136" t="s">
        <v>23</v>
      </c>
      <c r="E50" s="25">
        <f>'9B Sem 1'!S50</f>
        <v>58.384615384615387</v>
      </c>
      <c r="F50" s="25">
        <f>'9B Sem 2'!S50</f>
        <v>58.230769230769234</v>
      </c>
      <c r="G50" s="25">
        <f t="shared" si="0"/>
        <v>58.307692307692307</v>
      </c>
      <c r="H50" s="99">
        <f t="shared" si="1"/>
        <v>44</v>
      </c>
    </row>
    <row r="51" spans="1:8" ht="20.100000000000001" customHeight="1" x14ac:dyDescent="0.25">
      <c r="A51" s="145">
        <v>48</v>
      </c>
      <c r="B51" s="139"/>
      <c r="C51" s="136">
        <v>15</v>
      </c>
      <c r="D51" s="136" t="s">
        <v>20</v>
      </c>
      <c r="E51" s="25">
        <f>'9B Sem 1'!S51</f>
        <v>62.230769230769234</v>
      </c>
      <c r="F51" s="25">
        <f>'9B Sem 2'!S51</f>
        <v>67.538461538461533</v>
      </c>
      <c r="G51" s="25">
        <f t="shared" si="0"/>
        <v>64.884615384615387</v>
      </c>
      <c r="H51" s="99">
        <f t="shared" si="1"/>
        <v>35</v>
      </c>
    </row>
    <row r="52" spans="1:8" ht="20.100000000000001" customHeight="1" x14ac:dyDescent="0.25">
      <c r="A52" s="157">
        <v>49</v>
      </c>
      <c r="B52" s="139"/>
      <c r="C52" s="136">
        <v>15</v>
      </c>
      <c r="D52" s="136" t="s">
        <v>20</v>
      </c>
      <c r="E52" s="25">
        <f>'9B Sem 1'!S52</f>
        <v>78.615384615384613</v>
      </c>
      <c r="F52" s="25">
        <f>'9B Sem 2'!S52</f>
        <v>80.538461538461533</v>
      </c>
      <c r="G52" s="25">
        <f t="shared" si="0"/>
        <v>79.576923076923066</v>
      </c>
      <c r="H52" s="99">
        <f t="shared" si="1"/>
        <v>14</v>
      </c>
    </row>
    <row r="53" spans="1:8" ht="20.100000000000001" customHeight="1" x14ac:dyDescent="0.25">
      <c r="A53" s="157">
        <v>50</v>
      </c>
      <c r="B53" s="139"/>
      <c r="C53" s="136">
        <v>16</v>
      </c>
      <c r="D53" s="136" t="s">
        <v>20</v>
      </c>
      <c r="E53" s="25">
        <f>'9B Sem 1'!S53</f>
        <v>60.92307692307692</v>
      </c>
      <c r="F53" s="25">
        <f>'9B Sem 2'!S53</f>
        <v>63.692307692307693</v>
      </c>
      <c r="G53" s="25">
        <f t="shared" si="0"/>
        <v>62.307692307692307</v>
      </c>
      <c r="H53" s="99">
        <f t="shared" si="1"/>
        <v>39</v>
      </c>
    </row>
    <row r="54" spans="1:8" ht="19.5" customHeight="1" x14ac:dyDescent="0.25">
      <c r="A54" s="157">
        <v>51</v>
      </c>
      <c r="B54" s="139"/>
      <c r="C54" s="136">
        <v>14</v>
      </c>
      <c r="D54" s="136" t="s">
        <v>23</v>
      </c>
      <c r="E54" s="25">
        <f>'9B Sem 1'!S54</f>
        <v>72.538461538461533</v>
      </c>
      <c r="F54" s="25">
        <f>'9B Sem 2'!S54</f>
        <v>73.692307692307693</v>
      </c>
      <c r="G54" s="25">
        <f t="shared" si="0"/>
        <v>73.115384615384613</v>
      </c>
      <c r="H54" s="99">
        <f t="shared" si="1"/>
        <v>26</v>
      </c>
    </row>
    <row r="55" spans="1:8" ht="19.5" customHeight="1" x14ac:dyDescent="0.25">
      <c r="A55" s="157">
        <v>52</v>
      </c>
      <c r="B55" s="139"/>
      <c r="C55" s="136">
        <v>14</v>
      </c>
      <c r="D55" s="136" t="s">
        <v>23</v>
      </c>
      <c r="E55" s="25">
        <f>'9B Sem 1'!S55</f>
        <v>63.692307692307693</v>
      </c>
      <c r="F55" s="25">
        <f>'9B Sem 2'!S55</f>
        <v>65.15384615384616</v>
      </c>
      <c r="G55" s="25">
        <f t="shared" si="0"/>
        <v>64.423076923076934</v>
      </c>
      <c r="H55" s="99">
        <f t="shared" si="1"/>
        <v>36</v>
      </c>
    </row>
    <row r="56" spans="1:8" ht="19.5" customHeight="1" x14ac:dyDescent="0.25">
      <c r="A56" s="157">
        <v>53</v>
      </c>
      <c r="B56" s="147"/>
      <c r="C56" s="158">
        <v>15</v>
      </c>
      <c r="D56" s="158" t="s">
        <v>20</v>
      </c>
      <c r="E56" s="25">
        <f>'9B Sem 1'!S56</f>
        <v>71.461538461538467</v>
      </c>
      <c r="F56" s="25">
        <f>'9B Sem 2'!S56</f>
        <v>75.92307692307692</v>
      </c>
      <c r="G56" s="25">
        <f t="shared" si="0"/>
        <v>73.692307692307693</v>
      </c>
      <c r="H56" s="99">
        <f t="shared" si="1"/>
        <v>23</v>
      </c>
    </row>
    <row r="57" spans="1:8" ht="19.5" customHeight="1" x14ac:dyDescent="0.25">
      <c r="A57" s="157">
        <v>54</v>
      </c>
      <c r="B57" s="153"/>
      <c r="C57" s="42">
        <v>15</v>
      </c>
      <c r="D57" s="42" t="s">
        <v>20</v>
      </c>
      <c r="E57" s="25">
        <f>'9B Sem 1'!S57</f>
        <v>85.615384615384613</v>
      </c>
      <c r="F57" s="25">
        <f>'9B Sem 2'!S57</f>
        <v>85.538461538461533</v>
      </c>
      <c r="G57" s="25">
        <f t="shared" si="0"/>
        <v>85.576923076923066</v>
      </c>
      <c r="H57" s="99">
        <f t="shared" si="1"/>
        <v>5</v>
      </c>
    </row>
    <row r="58" spans="1:8" ht="19.5" customHeight="1" x14ac:dyDescent="0.25">
      <c r="A58" s="157">
        <v>55</v>
      </c>
      <c r="B58" s="153"/>
      <c r="C58" s="42">
        <v>15</v>
      </c>
      <c r="D58" s="42" t="s">
        <v>20</v>
      </c>
      <c r="E58" s="25">
        <f>'9B Sem 1'!S58</f>
        <v>0</v>
      </c>
      <c r="F58" s="25">
        <f>'9B Sem 2'!S58</f>
        <v>0</v>
      </c>
      <c r="G58" s="25">
        <f t="shared" si="0"/>
        <v>0</v>
      </c>
      <c r="H58" s="12"/>
    </row>
    <row r="59" spans="1:8" ht="19.5" customHeight="1" x14ac:dyDescent="0.25">
      <c r="A59" s="157">
        <v>56</v>
      </c>
      <c r="B59" s="153"/>
      <c r="C59" s="42">
        <v>15</v>
      </c>
      <c r="D59" s="42" t="s">
        <v>23</v>
      </c>
      <c r="E59" s="11"/>
      <c r="F59" s="11"/>
      <c r="G59" s="11"/>
      <c r="H59" s="12"/>
    </row>
  </sheetData>
  <mergeCells count="2">
    <mergeCell ref="A1:H1"/>
    <mergeCell ref="A2:H2"/>
  </mergeCells>
  <pageMargins left="0.7" right="0.7" top="0.75" bottom="0.75" header="0.3" footer="0.3"/>
  <pageSetup scale="97" fitToHeight="0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9"/>
  <sheetViews>
    <sheetView workbookViewId="0">
      <selection activeCell="B4" sqref="B4:B59"/>
    </sheetView>
  </sheetViews>
  <sheetFormatPr defaultRowHeight="15" x14ac:dyDescent="0.25"/>
  <cols>
    <col min="1" max="1" width="6.7109375" style="10" customWidth="1"/>
    <col min="2" max="2" width="35.140625" bestFit="1" customWidth="1"/>
    <col min="3" max="3" width="4.7109375" customWidth="1"/>
    <col min="4" max="4" width="4.140625" customWidth="1"/>
    <col min="5" max="22" width="6.7109375" customWidth="1"/>
  </cols>
  <sheetData>
    <row r="1" spans="1:22" ht="20.25" x14ac:dyDescent="0.25">
      <c r="A1" s="222" t="s">
        <v>58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4"/>
    </row>
    <row r="2" spans="1:22" ht="18" thickBot="1" x14ac:dyDescent="0.3">
      <c r="A2" s="225" t="s">
        <v>34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</row>
    <row r="3" spans="1:22" ht="67.5" customHeight="1" thickBot="1" x14ac:dyDescent="0.3">
      <c r="A3" s="13" t="s">
        <v>24</v>
      </c>
      <c r="B3" s="14" t="s">
        <v>1</v>
      </c>
      <c r="C3" s="15" t="s">
        <v>2</v>
      </c>
      <c r="D3" s="14" t="s">
        <v>3</v>
      </c>
      <c r="E3" s="53" t="s">
        <v>4</v>
      </c>
      <c r="F3" s="53" t="s">
        <v>5</v>
      </c>
      <c r="G3" s="53" t="s">
        <v>6</v>
      </c>
      <c r="H3" s="53" t="s">
        <v>7</v>
      </c>
      <c r="I3" s="53" t="s">
        <v>8</v>
      </c>
      <c r="J3" s="53" t="s">
        <v>9</v>
      </c>
      <c r="K3" s="53" t="s">
        <v>11</v>
      </c>
      <c r="L3" s="53" t="s">
        <v>10</v>
      </c>
      <c r="M3" s="55" t="s">
        <v>69</v>
      </c>
      <c r="N3" s="55" t="s">
        <v>13</v>
      </c>
      <c r="O3" s="55" t="s">
        <v>65</v>
      </c>
      <c r="P3" s="53" t="s">
        <v>14</v>
      </c>
      <c r="Q3" s="53" t="s">
        <v>66</v>
      </c>
      <c r="R3" s="19" t="s">
        <v>15</v>
      </c>
      <c r="S3" s="17" t="s">
        <v>16</v>
      </c>
      <c r="T3" s="17" t="s">
        <v>17</v>
      </c>
      <c r="U3" s="18" t="s">
        <v>18</v>
      </c>
      <c r="V3" s="20" t="s">
        <v>19</v>
      </c>
    </row>
    <row r="4" spans="1:22" ht="20.100000000000001" customHeight="1" thickBot="1" x14ac:dyDescent="0.3">
      <c r="A4" s="162">
        <v>1</v>
      </c>
      <c r="B4" s="139"/>
      <c r="C4" s="136">
        <v>15</v>
      </c>
      <c r="D4" s="136" t="s">
        <v>20</v>
      </c>
      <c r="E4" s="16">
        <v>75</v>
      </c>
      <c r="F4" s="16">
        <v>74</v>
      </c>
      <c r="G4" s="16">
        <v>89</v>
      </c>
      <c r="H4" s="16">
        <v>77</v>
      </c>
      <c r="I4" s="16">
        <v>63</v>
      </c>
      <c r="J4" s="16">
        <v>77</v>
      </c>
      <c r="K4" s="16">
        <v>66</v>
      </c>
      <c r="L4" s="16">
        <v>81</v>
      </c>
      <c r="M4" s="16">
        <v>66</v>
      </c>
      <c r="N4" s="16">
        <v>84</v>
      </c>
      <c r="O4" s="16">
        <v>64</v>
      </c>
      <c r="P4" s="119">
        <v>91</v>
      </c>
      <c r="Q4" s="119">
        <v>63</v>
      </c>
      <c r="R4" s="119">
        <f>SUM(E4:Q4)</f>
        <v>970</v>
      </c>
      <c r="S4" s="120">
        <f>AVERAGE(E4:Q4)</f>
        <v>74.615384615384613</v>
      </c>
      <c r="T4" s="119">
        <f>RANK(S4,$S$4:$S$59)</f>
        <v>24</v>
      </c>
      <c r="U4" s="16"/>
      <c r="V4" s="16"/>
    </row>
    <row r="5" spans="1:22" ht="20.100000000000001" customHeight="1" thickBot="1" x14ac:dyDescent="0.3">
      <c r="A5" s="145">
        <v>2</v>
      </c>
      <c r="B5" s="139"/>
      <c r="C5" s="136">
        <v>14</v>
      </c>
      <c r="D5" s="136" t="s">
        <v>20</v>
      </c>
      <c r="E5" s="11">
        <v>58</v>
      </c>
      <c r="F5" s="11">
        <v>41</v>
      </c>
      <c r="G5" s="11">
        <v>39</v>
      </c>
      <c r="H5" s="11">
        <v>58</v>
      </c>
      <c r="I5" s="11">
        <v>52</v>
      </c>
      <c r="J5" s="11">
        <v>62</v>
      </c>
      <c r="K5" s="11">
        <v>60</v>
      </c>
      <c r="L5" s="11">
        <v>62</v>
      </c>
      <c r="M5" s="11">
        <v>58</v>
      </c>
      <c r="N5" s="11">
        <v>72</v>
      </c>
      <c r="O5" s="11">
        <v>48</v>
      </c>
      <c r="P5" s="11">
        <v>76</v>
      </c>
      <c r="Q5" s="11">
        <v>63</v>
      </c>
      <c r="R5" s="119">
        <f t="shared" ref="R5:R59" si="0">SUM(E5:Q5)</f>
        <v>749</v>
      </c>
      <c r="S5" s="120">
        <f t="shared" ref="S5:S59" si="1">AVERAGE(E5:Q5)</f>
        <v>57.615384615384613</v>
      </c>
      <c r="T5" s="119">
        <f t="shared" ref="T5:T59" si="2">RANK(S5,$S$4:$S$59)</f>
        <v>46</v>
      </c>
      <c r="U5" s="11"/>
      <c r="V5" s="11"/>
    </row>
    <row r="6" spans="1:22" ht="20.100000000000001" customHeight="1" thickBot="1" x14ac:dyDescent="0.3">
      <c r="A6" s="157">
        <v>3</v>
      </c>
      <c r="B6" s="139"/>
      <c r="C6" s="136">
        <v>14</v>
      </c>
      <c r="D6" s="136" t="s">
        <v>23</v>
      </c>
      <c r="E6" s="11">
        <v>91</v>
      </c>
      <c r="F6" s="11">
        <v>90</v>
      </c>
      <c r="G6" s="11">
        <v>78</v>
      </c>
      <c r="H6" s="11">
        <v>85</v>
      </c>
      <c r="I6" s="11">
        <v>85</v>
      </c>
      <c r="J6" s="11">
        <v>95</v>
      </c>
      <c r="K6" s="11">
        <v>85</v>
      </c>
      <c r="L6" s="11">
        <v>92</v>
      </c>
      <c r="M6" s="11">
        <v>93</v>
      </c>
      <c r="N6" s="11">
        <v>96</v>
      </c>
      <c r="O6" s="11">
        <v>97</v>
      </c>
      <c r="P6" s="11">
        <v>94</v>
      </c>
      <c r="Q6" s="11">
        <v>63</v>
      </c>
      <c r="R6" s="119">
        <f t="shared" si="0"/>
        <v>1144</v>
      </c>
      <c r="S6" s="120">
        <f t="shared" si="1"/>
        <v>88</v>
      </c>
      <c r="T6" s="119">
        <f t="shared" si="2"/>
        <v>3</v>
      </c>
      <c r="U6" s="11"/>
      <c r="V6" s="11"/>
    </row>
    <row r="7" spans="1:22" ht="20.100000000000001" customHeight="1" thickBot="1" x14ac:dyDescent="0.3">
      <c r="A7" s="145">
        <v>4</v>
      </c>
      <c r="B7" s="139"/>
      <c r="C7" s="136">
        <v>15</v>
      </c>
      <c r="D7" s="136" t="s">
        <v>23</v>
      </c>
      <c r="E7" s="11">
        <v>91</v>
      </c>
      <c r="F7" s="11">
        <v>78</v>
      </c>
      <c r="G7" s="11">
        <v>77</v>
      </c>
      <c r="H7" s="11">
        <v>75</v>
      </c>
      <c r="I7" s="11">
        <v>77</v>
      </c>
      <c r="J7" s="11">
        <v>80</v>
      </c>
      <c r="K7" s="11">
        <v>72</v>
      </c>
      <c r="L7" s="11">
        <v>87</v>
      </c>
      <c r="M7" s="11">
        <v>87</v>
      </c>
      <c r="N7" s="11">
        <v>85</v>
      </c>
      <c r="O7" s="11">
        <v>89</v>
      </c>
      <c r="P7" s="11">
        <v>93</v>
      </c>
      <c r="Q7" s="11">
        <v>64</v>
      </c>
      <c r="R7" s="119">
        <f t="shared" si="0"/>
        <v>1055</v>
      </c>
      <c r="S7" s="120">
        <f t="shared" si="1"/>
        <v>81.15384615384616</v>
      </c>
      <c r="T7" s="119">
        <f t="shared" si="2"/>
        <v>12</v>
      </c>
      <c r="U7" s="11"/>
      <c r="V7" s="11"/>
    </row>
    <row r="8" spans="1:22" ht="20.100000000000001" customHeight="1" thickBot="1" x14ac:dyDescent="0.3">
      <c r="A8" s="145">
        <v>5</v>
      </c>
      <c r="B8" s="139"/>
      <c r="C8" s="136">
        <v>14</v>
      </c>
      <c r="D8" s="136" t="s">
        <v>23</v>
      </c>
      <c r="E8" s="11">
        <v>83</v>
      </c>
      <c r="F8" s="11">
        <v>66</v>
      </c>
      <c r="G8" s="11">
        <v>59</v>
      </c>
      <c r="H8" s="11">
        <v>61</v>
      </c>
      <c r="I8" s="11">
        <v>65</v>
      </c>
      <c r="J8" s="11">
        <v>74</v>
      </c>
      <c r="K8" s="11">
        <v>83</v>
      </c>
      <c r="L8" s="11">
        <v>61</v>
      </c>
      <c r="M8" s="11">
        <v>85</v>
      </c>
      <c r="N8" s="11">
        <v>85</v>
      </c>
      <c r="O8" s="11">
        <v>78</v>
      </c>
      <c r="P8" s="11">
        <v>94</v>
      </c>
      <c r="Q8" s="11">
        <v>64</v>
      </c>
      <c r="R8" s="119">
        <f t="shared" si="0"/>
        <v>958</v>
      </c>
      <c r="S8" s="120">
        <f t="shared" si="1"/>
        <v>73.692307692307693</v>
      </c>
      <c r="T8" s="119">
        <f t="shared" si="2"/>
        <v>25</v>
      </c>
      <c r="U8" s="11"/>
      <c r="V8" s="11"/>
    </row>
    <row r="9" spans="1:22" ht="20.100000000000001" customHeight="1" thickBot="1" x14ac:dyDescent="0.3">
      <c r="A9" s="157">
        <v>6</v>
      </c>
      <c r="B9" s="139"/>
      <c r="C9" s="136">
        <v>15</v>
      </c>
      <c r="D9" s="136" t="s">
        <v>20</v>
      </c>
      <c r="E9" s="11">
        <v>82</v>
      </c>
      <c r="F9" s="11">
        <v>67</v>
      </c>
      <c r="G9" s="11">
        <v>44</v>
      </c>
      <c r="H9" s="11">
        <v>38</v>
      </c>
      <c r="I9" s="11">
        <v>38</v>
      </c>
      <c r="J9" s="11">
        <v>50</v>
      </c>
      <c r="K9" s="11">
        <v>46</v>
      </c>
      <c r="L9" s="11">
        <v>58</v>
      </c>
      <c r="M9" s="11">
        <v>68</v>
      </c>
      <c r="N9" s="11">
        <v>70</v>
      </c>
      <c r="O9" s="11">
        <v>54</v>
      </c>
      <c r="P9" s="11">
        <v>73</v>
      </c>
      <c r="Q9" s="11">
        <v>66</v>
      </c>
      <c r="R9" s="119">
        <f t="shared" si="0"/>
        <v>754</v>
      </c>
      <c r="S9" s="120">
        <f t="shared" si="1"/>
        <v>58</v>
      </c>
      <c r="T9" s="119">
        <f t="shared" si="2"/>
        <v>45</v>
      </c>
      <c r="U9" s="11"/>
      <c r="V9" s="11"/>
    </row>
    <row r="10" spans="1:22" ht="20.100000000000001" customHeight="1" thickBot="1" x14ac:dyDescent="0.3">
      <c r="A10" s="145">
        <v>7</v>
      </c>
      <c r="B10" s="139"/>
      <c r="C10" s="136">
        <v>15</v>
      </c>
      <c r="D10" s="136" t="s">
        <v>20</v>
      </c>
      <c r="E10" s="11">
        <v>63</v>
      </c>
      <c r="F10" s="11">
        <v>58</v>
      </c>
      <c r="G10" s="11">
        <v>54</v>
      </c>
      <c r="H10" s="11">
        <v>52</v>
      </c>
      <c r="I10" s="11">
        <v>41</v>
      </c>
      <c r="J10" s="11">
        <v>52</v>
      </c>
      <c r="K10" s="11">
        <v>46</v>
      </c>
      <c r="L10" s="11">
        <v>50</v>
      </c>
      <c r="M10" s="11">
        <v>54</v>
      </c>
      <c r="N10" s="11">
        <v>66</v>
      </c>
      <c r="O10" s="11">
        <v>48</v>
      </c>
      <c r="P10" s="11">
        <v>76</v>
      </c>
      <c r="Q10" s="11">
        <v>69</v>
      </c>
      <c r="R10" s="119">
        <f t="shared" si="0"/>
        <v>729</v>
      </c>
      <c r="S10" s="120">
        <f t="shared" si="1"/>
        <v>56.07692307692308</v>
      </c>
      <c r="T10" s="119">
        <f t="shared" si="2"/>
        <v>48</v>
      </c>
      <c r="U10" s="11"/>
      <c r="V10" s="11"/>
    </row>
    <row r="11" spans="1:22" ht="20.100000000000001" customHeight="1" thickBot="1" x14ac:dyDescent="0.3">
      <c r="A11" s="145">
        <v>8</v>
      </c>
      <c r="B11" s="139"/>
      <c r="C11" s="136">
        <v>14</v>
      </c>
      <c r="D11" s="136" t="s">
        <v>20</v>
      </c>
      <c r="E11" s="11">
        <v>58</v>
      </c>
      <c r="F11" s="11">
        <v>52</v>
      </c>
      <c r="G11" s="11">
        <v>45</v>
      </c>
      <c r="H11" s="11">
        <v>51</v>
      </c>
      <c r="I11" s="11">
        <v>32</v>
      </c>
      <c r="J11" s="11">
        <v>41</v>
      </c>
      <c r="K11" s="11">
        <v>45</v>
      </c>
      <c r="L11" s="11">
        <v>55</v>
      </c>
      <c r="M11" s="11">
        <v>57</v>
      </c>
      <c r="N11" s="11">
        <v>63</v>
      </c>
      <c r="O11" s="11">
        <v>68</v>
      </c>
      <c r="P11" s="11">
        <v>73</v>
      </c>
      <c r="Q11" s="11">
        <v>69</v>
      </c>
      <c r="R11" s="119">
        <f t="shared" si="0"/>
        <v>709</v>
      </c>
      <c r="S11" s="120">
        <f t="shared" si="1"/>
        <v>54.53846153846154</v>
      </c>
      <c r="T11" s="119">
        <f t="shared" si="2"/>
        <v>49</v>
      </c>
      <c r="U11" s="11"/>
      <c r="V11" s="11"/>
    </row>
    <row r="12" spans="1:22" ht="20.100000000000001" customHeight="1" thickBot="1" x14ac:dyDescent="0.3">
      <c r="A12" s="157">
        <v>9</v>
      </c>
      <c r="B12" s="139"/>
      <c r="C12" s="136">
        <v>14</v>
      </c>
      <c r="D12" s="136" t="s">
        <v>20</v>
      </c>
      <c r="E12" s="11">
        <v>76</v>
      </c>
      <c r="F12" s="11">
        <v>64</v>
      </c>
      <c r="G12" s="11">
        <v>82</v>
      </c>
      <c r="H12" s="11">
        <v>67</v>
      </c>
      <c r="I12" s="11">
        <v>70</v>
      </c>
      <c r="J12" s="11">
        <v>76</v>
      </c>
      <c r="K12" s="11">
        <v>87</v>
      </c>
      <c r="L12" s="11">
        <v>83</v>
      </c>
      <c r="M12" s="11">
        <v>73</v>
      </c>
      <c r="N12" s="11">
        <v>84</v>
      </c>
      <c r="O12" s="11">
        <v>76</v>
      </c>
      <c r="P12" s="11">
        <v>94</v>
      </c>
      <c r="Q12" s="11">
        <v>70</v>
      </c>
      <c r="R12" s="119">
        <f t="shared" si="0"/>
        <v>1002</v>
      </c>
      <c r="S12" s="120">
        <f t="shared" si="1"/>
        <v>77.07692307692308</v>
      </c>
      <c r="T12" s="119">
        <f t="shared" si="2"/>
        <v>20</v>
      </c>
      <c r="U12" s="11"/>
      <c r="V12" s="11"/>
    </row>
    <row r="13" spans="1:22" ht="20.100000000000001" customHeight="1" thickBot="1" x14ac:dyDescent="0.3">
      <c r="A13" s="145">
        <v>10</v>
      </c>
      <c r="B13" s="139"/>
      <c r="C13" s="136">
        <v>14</v>
      </c>
      <c r="D13" s="136" t="s">
        <v>23</v>
      </c>
      <c r="E13" s="11">
        <v>64</v>
      </c>
      <c r="F13" s="11">
        <v>82</v>
      </c>
      <c r="G13" s="11">
        <v>78</v>
      </c>
      <c r="H13" s="11">
        <v>53</v>
      </c>
      <c r="I13" s="11">
        <v>63</v>
      </c>
      <c r="J13" s="11">
        <v>71</v>
      </c>
      <c r="K13" s="11">
        <v>69</v>
      </c>
      <c r="L13" s="11">
        <v>76</v>
      </c>
      <c r="M13" s="11">
        <v>76</v>
      </c>
      <c r="N13" s="11">
        <v>77</v>
      </c>
      <c r="O13" s="11">
        <v>85</v>
      </c>
      <c r="P13" s="11">
        <v>90</v>
      </c>
      <c r="Q13" s="11">
        <v>61</v>
      </c>
      <c r="R13" s="119">
        <f t="shared" si="0"/>
        <v>945</v>
      </c>
      <c r="S13" s="120">
        <f t="shared" si="1"/>
        <v>72.692307692307693</v>
      </c>
      <c r="T13" s="119">
        <f t="shared" si="2"/>
        <v>28</v>
      </c>
      <c r="U13" s="11"/>
      <c r="V13" s="11"/>
    </row>
    <row r="14" spans="1:22" ht="20.100000000000001" customHeight="1" thickBot="1" x14ac:dyDescent="0.3">
      <c r="A14" s="157">
        <v>11</v>
      </c>
      <c r="B14" s="139"/>
      <c r="C14" s="136">
        <v>15</v>
      </c>
      <c r="D14" s="136" t="s">
        <v>23</v>
      </c>
      <c r="E14" s="11">
        <v>78</v>
      </c>
      <c r="F14" s="11">
        <v>82</v>
      </c>
      <c r="G14" s="11">
        <v>81</v>
      </c>
      <c r="H14" s="11">
        <v>72</v>
      </c>
      <c r="I14" s="11">
        <v>81</v>
      </c>
      <c r="J14" s="11">
        <v>81</v>
      </c>
      <c r="K14" s="11">
        <v>71</v>
      </c>
      <c r="L14" s="11">
        <v>85</v>
      </c>
      <c r="M14" s="11">
        <v>84</v>
      </c>
      <c r="N14" s="11">
        <v>91</v>
      </c>
      <c r="O14" s="11">
        <v>81</v>
      </c>
      <c r="P14" s="11">
        <v>87</v>
      </c>
      <c r="Q14" s="11">
        <v>75</v>
      </c>
      <c r="R14" s="119">
        <f t="shared" si="0"/>
        <v>1049</v>
      </c>
      <c r="S14" s="120">
        <f t="shared" si="1"/>
        <v>80.692307692307693</v>
      </c>
      <c r="T14" s="119">
        <f t="shared" si="2"/>
        <v>14</v>
      </c>
      <c r="U14" s="11"/>
      <c r="V14" s="11"/>
    </row>
    <row r="15" spans="1:22" ht="20.100000000000001" customHeight="1" thickBot="1" x14ac:dyDescent="0.3">
      <c r="A15" s="157">
        <v>12</v>
      </c>
      <c r="B15" s="139"/>
      <c r="C15" s="136">
        <v>15</v>
      </c>
      <c r="D15" s="136" t="s">
        <v>23</v>
      </c>
      <c r="E15" s="11">
        <v>85</v>
      </c>
      <c r="F15" s="11">
        <v>76</v>
      </c>
      <c r="G15" s="11">
        <v>76</v>
      </c>
      <c r="H15" s="11">
        <v>72</v>
      </c>
      <c r="I15" s="11">
        <v>76</v>
      </c>
      <c r="J15" s="11">
        <v>84</v>
      </c>
      <c r="K15" s="11">
        <v>85</v>
      </c>
      <c r="L15" s="11">
        <v>91</v>
      </c>
      <c r="M15" s="11">
        <v>85</v>
      </c>
      <c r="N15" s="11">
        <v>94</v>
      </c>
      <c r="O15" s="11">
        <v>87</v>
      </c>
      <c r="P15" s="11">
        <v>90</v>
      </c>
      <c r="Q15" s="11">
        <v>71</v>
      </c>
      <c r="R15" s="119">
        <f t="shared" si="0"/>
        <v>1072</v>
      </c>
      <c r="S15" s="120">
        <f t="shared" si="1"/>
        <v>82.461538461538467</v>
      </c>
      <c r="T15" s="119">
        <f t="shared" si="2"/>
        <v>9</v>
      </c>
      <c r="U15" s="11"/>
      <c r="V15" s="11"/>
    </row>
    <row r="16" spans="1:22" ht="20.100000000000001" customHeight="1" thickBot="1" x14ac:dyDescent="0.3">
      <c r="A16" s="157">
        <v>13</v>
      </c>
      <c r="B16" s="139"/>
      <c r="C16" s="136">
        <v>14</v>
      </c>
      <c r="D16" s="136" t="s">
        <v>23</v>
      </c>
      <c r="E16" s="11">
        <v>93</v>
      </c>
      <c r="F16" s="11">
        <v>92</v>
      </c>
      <c r="G16" s="11">
        <v>100</v>
      </c>
      <c r="H16" s="11">
        <v>93</v>
      </c>
      <c r="I16" s="11">
        <v>100</v>
      </c>
      <c r="J16" s="11">
        <v>99</v>
      </c>
      <c r="K16" s="11">
        <v>95</v>
      </c>
      <c r="L16" s="11">
        <v>100</v>
      </c>
      <c r="M16" s="11">
        <v>98</v>
      </c>
      <c r="N16" s="11">
        <v>97</v>
      </c>
      <c r="O16" s="11">
        <v>100</v>
      </c>
      <c r="P16" s="11">
        <v>97</v>
      </c>
      <c r="Q16" s="11">
        <v>98</v>
      </c>
      <c r="R16" s="119">
        <f t="shared" si="0"/>
        <v>1262</v>
      </c>
      <c r="S16" s="120">
        <f t="shared" si="1"/>
        <v>97.07692307692308</v>
      </c>
      <c r="T16" s="119">
        <f t="shared" si="2"/>
        <v>1</v>
      </c>
      <c r="U16" s="11"/>
      <c r="V16" s="11"/>
    </row>
    <row r="17" spans="1:22" ht="20.100000000000001" customHeight="1" thickBot="1" x14ac:dyDescent="0.3">
      <c r="A17" s="145">
        <v>14</v>
      </c>
      <c r="B17" s="139"/>
      <c r="C17" s="136">
        <v>15</v>
      </c>
      <c r="D17" s="136" t="s">
        <v>23</v>
      </c>
      <c r="E17" s="11">
        <v>91</v>
      </c>
      <c r="F17" s="11">
        <v>71</v>
      </c>
      <c r="G17" s="11">
        <v>85</v>
      </c>
      <c r="H17" s="11">
        <v>77</v>
      </c>
      <c r="I17" s="11">
        <v>72</v>
      </c>
      <c r="J17" s="11">
        <v>75</v>
      </c>
      <c r="K17" s="11">
        <v>72</v>
      </c>
      <c r="L17" s="11">
        <v>87</v>
      </c>
      <c r="M17" s="11">
        <v>82</v>
      </c>
      <c r="N17" s="11">
        <v>91</v>
      </c>
      <c r="O17" s="11">
        <v>80</v>
      </c>
      <c r="P17" s="11">
        <v>87</v>
      </c>
      <c r="Q17" s="11">
        <v>73</v>
      </c>
      <c r="R17" s="119">
        <f t="shared" si="0"/>
        <v>1043</v>
      </c>
      <c r="S17" s="120">
        <f t="shared" si="1"/>
        <v>80.230769230769226</v>
      </c>
      <c r="T17" s="119">
        <f t="shared" si="2"/>
        <v>16</v>
      </c>
      <c r="U17" s="11"/>
      <c r="V17" s="11"/>
    </row>
    <row r="18" spans="1:22" ht="20.100000000000001" customHeight="1" thickBot="1" x14ac:dyDescent="0.3">
      <c r="A18" s="157">
        <v>15</v>
      </c>
      <c r="B18" s="139"/>
      <c r="C18" s="136">
        <v>15</v>
      </c>
      <c r="D18" s="136" t="s">
        <v>23</v>
      </c>
      <c r="E18" s="11">
        <v>90</v>
      </c>
      <c r="F18" s="11">
        <v>77</v>
      </c>
      <c r="G18" s="11">
        <v>82</v>
      </c>
      <c r="H18" s="11">
        <v>73</v>
      </c>
      <c r="I18" s="11">
        <v>85</v>
      </c>
      <c r="J18" s="11">
        <v>87</v>
      </c>
      <c r="K18" s="11">
        <v>85</v>
      </c>
      <c r="L18" s="11">
        <v>91</v>
      </c>
      <c r="M18" s="11">
        <v>91</v>
      </c>
      <c r="N18" s="11">
        <v>99</v>
      </c>
      <c r="O18" s="11">
        <v>91</v>
      </c>
      <c r="P18" s="11">
        <v>93</v>
      </c>
      <c r="Q18" s="11">
        <v>76</v>
      </c>
      <c r="R18" s="119">
        <f t="shared" si="0"/>
        <v>1120</v>
      </c>
      <c r="S18" s="120">
        <f t="shared" si="1"/>
        <v>86.15384615384616</v>
      </c>
      <c r="T18" s="119">
        <f t="shared" si="2"/>
        <v>5</v>
      </c>
      <c r="U18" s="11"/>
      <c r="V18" s="11"/>
    </row>
    <row r="19" spans="1:22" ht="20.100000000000001" customHeight="1" thickBot="1" x14ac:dyDescent="0.3">
      <c r="A19" s="145">
        <v>16</v>
      </c>
      <c r="B19" s="139"/>
      <c r="C19" s="136">
        <v>15</v>
      </c>
      <c r="D19" s="136" t="s">
        <v>20</v>
      </c>
      <c r="E19" s="11">
        <v>78</v>
      </c>
      <c r="F19" s="11">
        <v>71</v>
      </c>
      <c r="G19" s="11">
        <v>69</v>
      </c>
      <c r="H19" s="11">
        <v>63</v>
      </c>
      <c r="I19" s="11">
        <v>59</v>
      </c>
      <c r="J19" s="11">
        <v>74</v>
      </c>
      <c r="K19" s="11">
        <v>72</v>
      </c>
      <c r="L19" s="11">
        <v>80</v>
      </c>
      <c r="M19" s="11">
        <v>79</v>
      </c>
      <c r="N19" s="11">
        <v>77</v>
      </c>
      <c r="O19" s="11">
        <v>69</v>
      </c>
      <c r="P19" s="11">
        <v>82</v>
      </c>
      <c r="Q19" s="11">
        <v>68</v>
      </c>
      <c r="R19" s="119">
        <f t="shared" si="0"/>
        <v>941</v>
      </c>
      <c r="S19" s="120">
        <f t="shared" si="1"/>
        <v>72.384615384615387</v>
      </c>
      <c r="T19" s="119">
        <f t="shared" si="2"/>
        <v>29</v>
      </c>
      <c r="U19" s="11"/>
      <c r="V19" s="11"/>
    </row>
    <row r="20" spans="1:22" ht="20.100000000000001" customHeight="1" thickBot="1" x14ac:dyDescent="0.3">
      <c r="A20" s="145">
        <v>17</v>
      </c>
      <c r="B20" s="139"/>
      <c r="C20" s="136">
        <v>16</v>
      </c>
      <c r="D20" s="136" t="s">
        <v>20</v>
      </c>
      <c r="E20" s="11">
        <v>72</v>
      </c>
      <c r="F20" s="11">
        <v>43</v>
      </c>
      <c r="G20" s="11">
        <v>49</v>
      </c>
      <c r="H20" s="11">
        <v>43</v>
      </c>
      <c r="I20" s="11">
        <v>37</v>
      </c>
      <c r="J20" s="11">
        <v>43</v>
      </c>
      <c r="K20" s="11">
        <v>45</v>
      </c>
      <c r="L20" s="11">
        <v>55</v>
      </c>
      <c r="M20" s="11">
        <v>55</v>
      </c>
      <c r="N20" s="11">
        <v>71</v>
      </c>
      <c r="O20" s="11">
        <v>45</v>
      </c>
      <c r="P20" s="11">
        <v>84</v>
      </c>
      <c r="Q20" s="11">
        <v>55</v>
      </c>
      <c r="R20" s="119">
        <f t="shared" si="0"/>
        <v>697</v>
      </c>
      <c r="S20" s="120">
        <f t="shared" si="1"/>
        <v>53.615384615384613</v>
      </c>
      <c r="T20" s="119">
        <f t="shared" si="2"/>
        <v>54</v>
      </c>
      <c r="U20" s="11"/>
      <c r="V20" s="11"/>
    </row>
    <row r="21" spans="1:22" ht="20.100000000000001" customHeight="1" thickBot="1" x14ac:dyDescent="0.3">
      <c r="A21" s="145">
        <v>18</v>
      </c>
      <c r="B21" s="139"/>
      <c r="C21" s="136">
        <v>15</v>
      </c>
      <c r="D21" s="136" t="s">
        <v>20</v>
      </c>
      <c r="E21" s="11">
        <v>83</v>
      </c>
      <c r="F21" s="11">
        <v>49</v>
      </c>
      <c r="G21" s="11">
        <v>60</v>
      </c>
      <c r="H21" s="11">
        <v>48</v>
      </c>
      <c r="I21" s="11">
        <v>52</v>
      </c>
      <c r="J21" s="11">
        <v>45</v>
      </c>
      <c r="K21" s="11">
        <v>63</v>
      </c>
      <c r="L21" s="11">
        <v>69</v>
      </c>
      <c r="M21" s="11">
        <v>62</v>
      </c>
      <c r="N21" s="11">
        <v>73</v>
      </c>
      <c r="O21" s="11">
        <v>57</v>
      </c>
      <c r="P21" s="11">
        <v>87</v>
      </c>
      <c r="Q21" s="11">
        <v>63</v>
      </c>
      <c r="R21" s="119">
        <f t="shared" si="0"/>
        <v>811</v>
      </c>
      <c r="S21" s="120">
        <f t="shared" si="1"/>
        <v>62.384615384615387</v>
      </c>
      <c r="T21" s="119">
        <f t="shared" si="2"/>
        <v>40</v>
      </c>
      <c r="U21" s="11"/>
      <c r="V21" s="11"/>
    </row>
    <row r="22" spans="1:22" ht="20.100000000000001" customHeight="1" thickBot="1" x14ac:dyDescent="0.3">
      <c r="A22" s="157">
        <v>19</v>
      </c>
      <c r="B22" s="139"/>
      <c r="C22" s="136">
        <v>14</v>
      </c>
      <c r="D22" s="136" t="s">
        <v>23</v>
      </c>
      <c r="E22" s="11">
        <v>84</v>
      </c>
      <c r="F22" s="11">
        <v>75</v>
      </c>
      <c r="G22" s="11">
        <v>72</v>
      </c>
      <c r="H22" s="11">
        <v>65</v>
      </c>
      <c r="I22" s="11">
        <v>65</v>
      </c>
      <c r="J22" s="11">
        <v>78</v>
      </c>
      <c r="K22" s="11">
        <v>62</v>
      </c>
      <c r="L22" s="11">
        <v>81</v>
      </c>
      <c r="M22" s="11">
        <v>80</v>
      </c>
      <c r="N22" s="11">
        <v>91</v>
      </c>
      <c r="O22" s="11">
        <v>61</v>
      </c>
      <c r="P22" s="11">
        <v>90</v>
      </c>
      <c r="Q22" s="11">
        <v>67</v>
      </c>
      <c r="R22" s="119">
        <f t="shared" si="0"/>
        <v>971</v>
      </c>
      <c r="S22" s="120">
        <f t="shared" si="1"/>
        <v>74.692307692307693</v>
      </c>
      <c r="T22" s="119">
        <f t="shared" si="2"/>
        <v>23</v>
      </c>
      <c r="U22" s="11"/>
      <c r="V22" s="11"/>
    </row>
    <row r="23" spans="1:22" ht="20.100000000000001" customHeight="1" thickBot="1" x14ac:dyDescent="0.3">
      <c r="A23" s="157">
        <v>20</v>
      </c>
      <c r="B23" s="139"/>
      <c r="C23" s="136">
        <v>14</v>
      </c>
      <c r="D23" s="136" t="s">
        <v>23</v>
      </c>
      <c r="E23" s="11">
        <v>76</v>
      </c>
      <c r="F23" s="11">
        <v>85</v>
      </c>
      <c r="G23" s="11">
        <v>63</v>
      </c>
      <c r="H23" s="11">
        <v>54</v>
      </c>
      <c r="I23" s="11">
        <v>62</v>
      </c>
      <c r="J23" s="11">
        <v>68</v>
      </c>
      <c r="K23" s="11">
        <v>48</v>
      </c>
      <c r="L23" s="11">
        <v>65</v>
      </c>
      <c r="M23" s="11">
        <v>70</v>
      </c>
      <c r="N23" s="11">
        <v>81</v>
      </c>
      <c r="O23" s="11">
        <v>73</v>
      </c>
      <c r="P23" s="11">
        <v>81</v>
      </c>
      <c r="Q23" s="11">
        <v>59</v>
      </c>
      <c r="R23" s="119">
        <f t="shared" si="0"/>
        <v>885</v>
      </c>
      <c r="S23" s="120">
        <f t="shared" si="1"/>
        <v>68.07692307692308</v>
      </c>
      <c r="T23" s="119">
        <f t="shared" si="2"/>
        <v>32</v>
      </c>
      <c r="U23" s="11"/>
      <c r="V23" s="11"/>
    </row>
    <row r="24" spans="1:22" ht="20.100000000000001" customHeight="1" thickBot="1" x14ac:dyDescent="0.3">
      <c r="A24" s="157">
        <v>21</v>
      </c>
      <c r="B24" s="139"/>
      <c r="C24" s="136">
        <v>15</v>
      </c>
      <c r="D24" s="136" t="s">
        <v>23</v>
      </c>
      <c r="E24" s="11">
        <v>79</v>
      </c>
      <c r="F24" s="11">
        <v>60</v>
      </c>
      <c r="G24" s="11">
        <v>72</v>
      </c>
      <c r="H24" s="11">
        <v>60</v>
      </c>
      <c r="I24" s="11">
        <v>71</v>
      </c>
      <c r="J24" s="11">
        <v>74</v>
      </c>
      <c r="K24" s="11">
        <v>66</v>
      </c>
      <c r="L24" s="11">
        <v>81</v>
      </c>
      <c r="M24" s="11">
        <v>72</v>
      </c>
      <c r="N24" s="11">
        <v>81</v>
      </c>
      <c r="O24" s="11">
        <v>80</v>
      </c>
      <c r="P24" s="11">
        <v>91</v>
      </c>
      <c r="Q24" s="11">
        <v>65</v>
      </c>
      <c r="R24" s="119">
        <f t="shared" si="0"/>
        <v>952</v>
      </c>
      <c r="S24" s="120">
        <f t="shared" si="1"/>
        <v>73.230769230769226</v>
      </c>
      <c r="T24" s="119">
        <f t="shared" si="2"/>
        <v>27</v>
      </c>
      <c r="U24" s="11"/>
      <c r="V24" s="11"/>
    </row>
    <row r="25" spans="1:22" ht="20.100000000000001" customHeight="1" thickBot="1" x14ac:dyDescent="0.3">
      <c r="A25" s="145">
        <v>22</v>
      </c>
      <c r="B25" s="139"/>
      <c r="C25" s="136">
        <v>15</v>
      </c>
      <c r="D25" s="136" t="s">
        <v>23</v>
      </c>
      <c r="E25" s="11">
        <v>72</v>
      </c>
      <c r="F25" s="11">
        <v>53</v>
      </c>
      <c r="G25" s="11">
        <v>40</v>
      </c>
      <c r="H25" s="11">
        <v>50</v>
      </c>
      <c r="I25" s="11">
        <v>40</v>
      </c>
      <c r="J25" s="11">
        <v>44</v>
      </c>
      <c r="K25" s="11">
        <v>44</v>
      </c>
      <c r="L25" s="11">
        <v>53</v>
      </c>
      <c r="M25" s="11">
        <v>56</v>
      </c>
      <c r="N25" s="11">
        <v>64</v>
      </c>
      <c r="O25" s="11">
        <v>51</v>
      </c>
      <c r="P25" s="11">
        <v>77</v>
      </c>
      <c r="Q25" s="11">
        <v>62</v>
      </c>
      <c r="R25" s="119">
        <f t="shared" si="0"/>
        <v>706</v>
      </c>
      <c r="S25" s="120">
        <f t="shared" si="1"/>
        <v>54.307692307692307</v>
      </c>
      <c r="T25" s="119">
        <f t="shared" si="2"/>
        <v>51</v>
      </c>
      <c r="U25" s="11"/>
      <c r="V25" s="11"/>
    </row>
    <row r="26" spans="1:22" ht="20.100000000000001" customHeight="1" thickBot="1" x14ac:dyDescent="0.3">
      <c r="A26" s="145">
        <v>23</v>
      </c>
      <c r="B26" s="139"/>
      <c r="C26" s="136">
        <v>15</v>
      </c>
      <c r="D26" s="136" t="s">
        <v>20</v>
      </c>
      <c r="E26" s="11">
        <v>81</v>
      </c>
      <c r="F26" s="11">
        <v>80</v>
      </c>
      <c r="G26" s="11">
        <v>79</v>
      </c>
      <c r="H26" s="11">
        <v>79</v>
      </c>
      <c r="I26" s="11">
        <v>75</v>
      </c>
      <c r="J26" s="11">
        <v>91</v>
      </c>
      <c r="K26" s="11">
        <v>84</v>
      </c>
      <c r="L26" s="11">
        <v>91</v>
      </c>
      <c r="M26" s="11">
        <v>94</v>
      </c>
      <c r="N26" s="11">
        <v>88</v>
      </c>
      <c r="O26" s="11">
        <v>86</v>
      </c>
      <c r="P26" s="11">
        <v>91</v>
      </c>
      <c r="Q26" s="11">
        <v>70</v>
      </c>
      <c r="R26" s="119">
        <f t="shared" si="0"/>
        <v>1089</v>
      </c>
      <c r="S26" s="120">
        <f t="shared" si="1"/>
        <v>83.769230769230774</v>
      </c>
      <c r="T26" s="119">
        <f t="shared" si="2"/>
        <v>7</v>
      </c>
      <c r="U26" s="11"/>
      <c r="V26" s="11"/>
    </row>
    <row r="27" spans="1:22" ht="20.100000000000001" customHeight="1" thickBot="1" x14ac:dyDescent="0.3">
      <c r="A27" s="157">
        <v>24</v>
      </c>
      <c r="B27" s="139"/>
      <c r="C27" s="136">
        <v>17</v>
      </c>
      <c r="D27" s="136" t="s">
        <v>23</v>
      </c>
      <c r="E27" s="11">
        <v>59</v>
      </c>
      <c r="F27" s="11">
        <v>49</v>
      </c>
      <c r="G27" s="11">
        <v>44</v>
      </c>
      <c r="H27" s="11">
        <v>46</v>
      </c>
      <c r="I27" s="11">
        <v>38</v>
      </c>
      <c r="J27" s="11">
        <v>38</v>
      </c>
      <c r="K27" s="11">
        <v>31</v>
      </c>
      <c r="L27" s="11">
        <v>50</v>
      </c>
      <c r="M27" s="11">
        <v>56</v>
      </c>
      <c r="N27" s="11">
        <v>68</v>
      </c>
      <c r="O27" s="11">
        <v>53</v>
      </c>
      <c r="P27" s="11">
        <v>78</v>
      </c>
      <c r="Q27" s="11">
        <v>98</v>
      </c>
      <c r="R27" s="119">
        <f t="shared" si="0"/>
        <v>708</v>
      </c>
      <c r="S27" s="120">
        <f t="shared" si="1"/>
        <v>54.46153846153846</v>
      </c>
      <c r="T27" s="119">
        <f t="shared" si="2"/>
        <v>50</v>
      </c>
      <c r="U27" s="11"/>
      <c r="V27" s="11"/>
    </row>
    <row r="28" spans="1:22" ht="20.100000000000001" customHeight="1" thickBot="1" x14ac:dyDescent="0.3">
      <c r="A28" s="145">
        <v>25</v>
      </c>
      <c r="B28" s="139"/>
      <c r="C28" s="136">
        <v>15</v>
      </c>
      <c r="D28" s="136" t="s">
        <v>20</v>
      </c>
      <c r="E28" s="11">
        <v>60</v>
      </c>
      <c r="F28" s="11">
        <v>58</v>
      </c>
      <c r="G28" s="11">
        <v>65</v>
      </c>
      <c r="H28" s="11">
        <v>53</v>
      </c>
      <c r="I28" s="11">
        <v>62</v>
      </c>
      <c r="J28" s="11">
        <v>66</v>
      </c>
      <c r="K28" s="11">
        <v>51</v>
      </c>
      <c r="L28" s="11">
        <v>65</v>
      </c>
      <c r="M28" s="11">
        <v>53</v>
      </c>
      <c r="N28" s="11">
        <v>74</v>
      </c>
      <c r="O28" s="11">
        <v>59</v>
      </c>
      <c r="P28" s="11">
        <v>73</v>
      </c>
      <c r="Q28" s="11">
        <v>61</v>
      </c>
      <c r="R28" s="119">
        <f t="shared" si="0"/>
        <v>800</v>
      </c>
      <c r="S28" s="120">
        <f t="shared" si="1"/>
        <v>61.53846153846154</v>
      </c>
      <c r="T28" s="119">
        <f t="shared" si="2"/>
        <v>42</v>
      </c>
      <c r="U28" s="11"/>
      <c r="V28" s="11"/>
    </row>
    <row r="29" spans="1:22" ht="20.100000000000001" customHeight="1" thickBot="1" x14ac:dyDescent="0.3">
      <c r="A29" s="157">
        <v>26</v>
      </c>
      <c r="B29" s="139"/>
      <c r="C29" s="136">
        <v>14</v>
      </c>
      <c r="D29" s="136" t="s">
        <v>20</v>
      </c>
      <c r="E29" s="11">
        <v>75</v>
      </c>
      <c r="F29" s="11">
        <v>67</v>
      </c>
      <c r="G29" s="11">
        <v>61</v>
      </c>
      <c r="H29" s="11">
        <v>65</v>
      </c>
      <c r="I29" s="11">
        <v>49</v>
      </c>
      <c r="J29" s="11">
        <v>61</v>
      </c>
      <c r="K29" s="11">
        <v>54</v>
      </c>
      <c r="L29" s="11">
        <v>70</v>
      </c>
      <c r="M29" s="11">
        <v>71</v>
      </c>
      <c r="N29" s="11">
        <v>72</v>
      </c>
      <c r="O29" s="11">
        <v>50</v>
      </c>
      <c r="P29" s="11">
        <v>90</v>
      </c>
      <c r="Q29" s="11">
        <v>66</v>
      </c>
      <c r="R29" s="119">
        <f t="shared" si="0"/>
        <v>851</v>
      </c>
      <c r="S29" s="120">
        <f t="shared" si="1"/>
        <v>65.461538461538467</v>
      </c>
      <c r="T29" s="119">
        <f t="shared" si="2"/>
        <v>36</v>
      </c>
      <c r="U29" s="11"/>
      <c r="V29" s="11"/>
    </row>
    <row r="30" spans="1:22" ht="20.100000000000001" customHeight="1" thickBot="1" x14ac:dyDescent="0.3">
      <c r="A30" s="157">
        <v>27</v>
      </c>
      <c r="B30" s="139"/>
      <c r="C30" s="136">
        <v>14</v>
      </c>
      <c r="D30" s="136" t="s">
        <v>20</v>
      </c>
      <c r="E30" s="11">
        <v>93</v>
      </c>
      <c r="F30" s="11">
        <v>94</v>
      </c>
      <c r="G30" s="11">
        <v>99</v>
      </c>
      <c r="H30" s="11">
        <v>95</v>
      </c>
      <c r="I30" s="11">
        <v>100</v>
      </c>
      <c r="J30" s="11">
        <v>100</v>
      </c>
      <c r="K30" s="11">
        <v>91</v>
      </c>
      <c r="L30" s="11">
        <v>99</v>
      </c>
      <c r="M30" s="11">
        <v>96</v>
      </c>
      <c r="N30" s="11">
        <v>93</v>
      </c>
      <c r="O30" s="11">
        <v>96</v>
      </c>
      <c r="P30" s="11">
        <v>100</v>
      </c>
      <c r="Q30" s="11">
        <v>88</v>
      </c>
      <c r="R30" s="119">
        <f t="shared" si="0"/>
        <v>1244</v>
      </c>
      <c r="S30" s="120">
        <f t="shared" si="1"/>
        <v>95.692307692307693</v>
      </c>
      <c r="T30" s="119">
        <f t="shared" si="2"/>
        <v>2</v>
      </c>
      <c r="U30" s="11"/>
      <c r="V30" s="11"/>
    </row>
    <row r="31" spans="1:22" ht="20.100000000000001" customHeight="1" thickBot="1" x14ac:dyDescent="0.3">
      <c r="A31" s="157">
        <v>28</v>
      </c>
      <c r="B31" s="139"/>
      <c r="C31" s="136">
        <v>15</v>
      </c>
      <c r="D31" s="136" t="s">
        <v>23</v>
      </c>
      <c r="E31" s="11">
        <v>82</v>
      </c>
      <c r="F31" s="11">
        <v>49</v>
      </c>
      <c r="G31" s="11">
        <v>57</v>
      </c>
      <c r="H31" s="11">
        <v>55</v>
      </c>
      <c r="I31" s="11">
        <v>54</v>
      </c>
      <c r="J31" s="11">
        <v>67</v>
      </c>
      <c r="K31" s="11">
        <v>65</v>
      </c>
      <c r="L31" s="11">
        <v>72</v>
      </c>
      <c r="M31" s="11">
        <v>69</v>
      </c>
      <c r="N31" s="11">
        <v>76</v>
      </c>
      <c r="O31" s="11">
        <v>65</v>
      </c>
      <c r="P31" s="11">
        <v>86</v>
      </c>
      <c r="Q31" s="11">
        <v>50</v>
      </c>
      <c r="R31" s="119">
        <f t="shared" si="0"/>
        <v>847</v>
      </c>
      <c r="S31" s="120">
        <f t="shared" si="1"/>
        <v>65.15384615384616</v>
      </c>
      <c r="T31" s="119">
        <f t="shared" si="2"/>
        <v>37</v>
      </c>
      <c r="U31" s="11"/>
      <c r="V31" s="11"/>
    </row>
    <row r="32" spans="1:22" ht="20.100000000000001" customHeight="1" thickBot="1" x14ac:dyDescent="0.3">
      <c r="A32" s="145">
        <v>29</v>
      </c>
      <c r="B32" s="139"/>
      <c r="C32" s="136">
        <v>14</v>
      </c>
      <c r="D32" s="136" t="s">
        <v>23</v>
      </c>
      <c r="E32" s="11">
        <v>84</v>
      </c>
      <c r="F32" s="11">
        <v>58</v>
      </c>
      <c r="G32" s="11">
        <v>62</v>
      </c>
      <c r="H32" s="11">
        <v>52</v>
      </c>
      <c r="I32" s="11">
        <v>53</v>
      </c>
      <c r="J32" s="11">
        <v>50</v>
      </c>
      <c r="K32" s="11">
        <v>54</v>
      </c>
      <c r="L32" s="11">
        <v>55</v>
      </c>
      <c r="M32" s="11">
        <v>60</v>
      </c>
      <c r="N32" s="11">
        <v>69</v>
      </c>
      <c r="O32" s="11">
        <v>69</v>
      </c>
      <c r="P32" s="11">
        <v>78</v>
      </c>
      <c r="Q32" s="11">
        <v>58</v>
      </c>
      <c r="R32" s="119">
        <f t="shared" si="0"/>
        <v>802</v>
      </c>
      <c r="S32" s="120">
        <f t="shared" si="1"/>
        <v>61.692307692307693</v>
      </c>
      <c r="T32" s="119">
        <f t="shared" si="2"/>
        <v>41</v>
      </c>
      <c r="U32" s="11"/>
      <c r="V32" s="11"/>
    </row>
    <row r="33" spans="1:22" ht="20.100000000000001" customHeight="1" thickBot="1" x14ac:dyDescent="0.3">
      <c r="A33" s="157">
        <v>30</v>
      </c>
      <c r="B33" s="140"/>
      <c r="C33" s="143">
        <v>14</v>
      </c>
      <c r="D33" s="143" t="s">
        <v>23</v>
      </c>
      <c r="E33" s="11">
        <v>81</v>
      </c>
      <c r="F33" s="11">
        <v>59</v>
      </c>
      <c r="G33" s="11">
        <v>62</v>
      </c>
      <c r="H33" s="11">
        <v>50</v>
      </c>
      <c r="I33" s="11">
        <v>48</v>
      </c>
      <c r="J33" s="11">
        <v>53</v>
      </c>
      <c r="K33" s="11">
        <v>57</v>
      </c>
      <c r="L33" s="11">
        <v>59</v>
      </c>
      <c r="M33" s="11">
        <v>68</v>
      </c>
      <c r="N33" s="11">
        <v>70</v>
      </c>
      <c r="O33" s="11">
        <v>64</v>
      </c>
      <c r="P33" s="11">
        <v>74</v>
      </c>
      <c r="Q33" s="11">
        <v>50</v>
      </c>
      <c r="R33" s="119">
        <f t="shared" si="0"/>
        <v>795</v>
      </c>
      <c r="S33" s="120">
        <f t="shared" si="1"/>
        <v>61.153846153846153</v>
      </c>
      <c r="T33" s="119">
        <f t="shared" si="2"/>
        <v>43</v>
      </c>
      <c r="U33" s="11"/>
      <c r="V33" s="11"/>
    </row>
    <row r="34" spans="1:22" ht="20.100000000000001" customHeight="1" thickBot="1" x14ac:dyDescent="0.3">
      <c r="A34" s="145">
        <v>31</v>
      </c>
      <c r="B34" s="139"/>
      <c r="C34" s="136">
        <v>15</v>
      </c>
      <c r="D34" s="136" t="s">
        <v>23</v>
      </c>
      <c r="E34" s="11">
        <v>91</v>
      </c>
      <c r="F34" s="11">
        <v>66</v>
      </c>
      <c r="G34" s="11">
        <v>73</v>
      </c>
      <c r="H34" s="11">
        <v>68</v>
      </c>
      <c r="I34" s="11">
        <v>74</v>
      </c>
      <c r="J34" s="11">
        <v>80</v>
      </c>
      <c r="K34" s="11">
        <v>76</v>
      </c>
      <c r="L34" s="11">
        <v>87</v>
      </c>
      <c r="M34" s="11">
        <v>79</v>
      </c>
      <c r="N34" s="11">
        <v>80</v>
      </c>
      <c r="O34" s="11">
        <v>78</v>
      </c>
      <c r="P34" s="11">
        <v>87</v>
      </c>
      <c r="Q34" s="11">
        <v>73</v>
      </c>
      <c r="R34" s="119">
        <f t="shared" si="0"/>
        <v>1012</v>
      </c>
      <c r="S34" s="120">
        <f t="shared" si="1"/>
        <v>77.84615384615384</v>
      </c>
      <c r="T34" s="119">
        <f t="shared" si="2"/>
        <v>17</v>
      </c>
      <c r="U34" s="11"/>
      <c r="V34" s="11"/>
    </row>
    <row r="35" spans="1:22" ht="20.100000000000001" customHeight="1" thickBot="1" x14ac:dyDescent="0.3">
      <c r="A35" s="145">
        <v>32</v>
      </c>
      <c r="B35" s="139"/>
      <c r="C35" s="136">
        <v>15</v>
      </c>
      <c r="D35" s="136" t="s">
        <v>20</v>
      </c>
      <c r="E35" s="11">
        <v>68</v>
      </c>
      <c r="F35" s="11">
        <v>61</v>
      </c>
      <c r="G35" s="11">
        <v>74</v>
      </c>
      <c r="H35" s="11">
        <v>64</v>
      </c>
      <c r="I35" s="11">
        <v>71</v>
      </c>
      <c r="J35" s="11">
        <v>60</v>
      </c>
      <c r="K35" s="11">
        <v>74</v>
      </c>
      <c r="L35" s="11">
        <v>72</v>
      </c>
      <c r="M35" s="11">
        <v>61</v>
      </c>
      <c r="N35" s="11">
        <v>76</v>
      </c>
      <c r="O35" s="11">
        <v>57</v>
      </c>
      <c r="P35" s="11">
        <v>90</v>
      </c>
      <c r="Q35" s="11">
        <v>50</v>
      </c>
      <c r="R35" s="119">
        <f t="shared" si="0"/>
        <v>878</v>
      </c>
      <c r="S35" s="120">
        <f t="shared" si="1"/>
        <v>67.538461538461533</v>
      </c>
      <c r="T35" s="119">
        <f t="shared" si="2"/>
        <v>33</v>
      </c>
      <c r="U35" s="11"/>
      <c r="V35" s="11"/>
    </row>
    <row r="36" spans="1:22" ht="20.100000000000001" customHeight="1" thickBot="1" x14ac:dyDescent="0.3">
      <c r="A36" s="145">
        <v>33</v>
      </c>
      <c r="B36" s="139"/>
      <c r="C36" s="136">
        <v>15</v>
      </c>
      <c r="D36" s="136" t="s">
        <v>23</v>
      </c>
      <c r="E36" s="11">
        <v>85</v>
      </c>
      <c r="F36" s="11">
        <v>82</v>
      </c>
      <c r="G36" s="11">
        <v>63</v>
      </c>
      <c r="H36" s="11">
        <v>66</v>
      </c>
      <c r="I36" s="11">
        <v>57</v>
      </c>
      <c r="J36" s="11">
        <v>79</v>
      </c>
      <c r="K36" s="11">
        <v>82</v>
      </c>
      <c r="L36" s="11">
        <v>90</v>
      </c>
      <c r="M36" s="11">
        <v>77</v>
      </c>
      <c r="N36" s="11">
        <v>84</v>
      </c>
      <c r="O36" s="11">
        <v>86</v>
      </c>
      <c r="P36" s="11">
        <v>88</v>
      </c>
      <c r="Q36" s="11">
        <v>68</v>
      </c>
      <c r="R36" s="119">
        <f t="shared" si="0"/>
        <v>1007</v>
      </c>
      <c r="S36" s="120">
        <f t="shared" si="1"/>
        <v>77.461538461538467</v>
      </c>
      <c r="T36" s="119">
        <f t="shared" si="2"/>
        <v>19</v>
      </c>
      <c r="U36" s="11"/>
      <c r="V36" s="11"/>
    </row>
    <row r="37" spans="1:22" ht="20.100000000000001" customHeight="1" thickBot="1" x14ac:dyDescent="0.3">
      <c r="A37" s="157">
        <v>34</v>
      </c>
      <c r="B37" s="139"/>
      <c r="C37" s="136">
        <v>15</v>
      </c>
      <c r="D37" s="136" t="s">
        <v>20</v>
      </c>
      <c r="E37" s="11">
        <v>71</v>
      </c>
      <c r="F37" s="11">
        <v>82</v>
      </c>
      <c r="G37" s="11">
        <v>80</v>
      </c>
      <c r="H37" s="11">
        <v>64</v>
      </c>
      <c r="I37" s="11">
        <v>75</v>
      </c>
      <c r="J37" s="11">
        <v>78</v>
      </c>
      <c r="K37" s="11">
        <v>67</v>
      </c>
      <c r="L37" s="11">
        <v>87</v>
      </c>
      <c r="M37" s="11">
        <v>83</v>
      </c>
      <c r="N37" s="11">
        <v>85</v>
      </c>
      <c r="O37" s="11">
        <v>82</v>
      </c>
      <c r="P37" s="11">
        <v>90</v>
      </c>
      <c r="Q37" s="11">
        <v>68</v>
      </c>
      <c r="R37" s="119">
        <f t="shared" si="0"/>
        <v>1012</v>
      </c>
      <c r="S37" s="120">
        <f t="shared" si="1"/>
        <v>77.84615384615384</v>
      </c>
      <c r="T37" s="119">
        <f t="shared" si="2"/>
        <v>17</v>
      </c>
      <c r="U37" s="11"/>
      <c r="V37" s="11"/>
    </row>
    <row r="38" spans="1:22" ht="20.100000000000001" customHeight="1" thickBot="1" x14ac:dyDescent="0.3">
      <c r="A38" s="157">
        <v>35</v>
      </c>
      <c r="B38" s="139"/>
      <c r="C38" s="136">
        <v>15</v>
      </c>
      <c r="D38" s="136" t="s">
        <v>20</v>
      </c>
      <c r="E38" s="11">
        <v>73</v>
      </c>
      <c r="F38" s="11">
        <v>52</v>
      </c>
      <c r="G38" s="11">
        <v>38</v>
      </c>
      <c r="H38" s="11">
        <v>41</v>
      </c>
      <c r="I38" s="11">
        <v>29</v>
      </c>
      <c r="J38" s="11">
        <v>44</v>
      </c>
      <c r="K38" s="11">
        <v>45</v>
      </c>
      <c r="L38" s="11">
        <v>60</v>
      </c>
      <c r="M38" s="11">
        <v>58</v>
      </c>
      <c r="N38" s="11">
        <v>81</v>
      </c>
      <c r="O38" s="11">
        <v>44</v>
      </c>
      <c r="P38" s="11">
        <v>78</v>
      </c>
      <c r="Q38" s="11">
        <v>57</v>
      </c>
      <c r="R38" s="119">
        <f t="shared" si="0"/>
        <v>700</v>
      </c>
      <c r="S38" s="120">
        <f t="shared" si="1"/>
        <v>53.846153846153847</v>
      </c>
      <c r="T38" s="119">
        <f t="shared" si="2"/>
        <v>52</v>
      </c>
      <c r="U38" s="11"/>
      <c r="V38" s="11"/>
    </row>
    <row r="39" spans="1:22" ht="20.100000000000001" customHeight="1" thickBot="1" x14ac:dyDescent="0.3">
      <c r="A39" s="157">
        <v>36</v>
      </c>
      <c r="B39" s="139"/>
      <c r="C39" s="136">
        <v>16</v>
      </c>
      <c r="D39" s="136" t="s">
        <v>20</v>
      </c>
      <c r="E39" s="11">
        <v>88</v>
      </c>
      <c r="F39" s="11">
        <v>79</v>
      </c>
      <c r="G39" s="11">
        <v>72</v>
      </c>
      <c r="H39" s="11">
        <v>76</v>
      </c>
      <c r="I39" s="11">
        <v>88</v>
      </c>
      <c r="J39" s="11">
        <v>90</v>
      </c>
      <c r="K39" s="11">
        <v>89</v>
      </c>
      <c r="L39" s="11">
        <v>84</v>
      </c>
      <c r="M39" s="11">
        <v>85</v>
      </c>
      <c r="N39" s="11">
        <v>96</v>
      </c>
      <c r="O39" s="11">
        <v>92</v>
      </c>
      <c r="P39" s="11">
        <v>99</v>
      </c>
      <c r="Q39" s="11">
        <v>100</v>
      </c>
      <c r="R39" s="119">
        <f t="shared" si="0"/>
        <v>1138</v>
      </c>
      <c r="S39" s="120">
        <f t="shared" si="1"/>
        <v>87.538461538461533</v>
      </c>
      <c r="T39" s="119">
        <f t="shared" si="2"/>
        <v>4</v>
      </c>
      <c r="U39" s="11"/>
      <c r="V39" s="11"/>
    </row>
    <row r="40" spans="1:22" ht="20.100000000000001" customHeight="1" thickBot="1" x14ac:dyDescent="0.3">
      <c r="A40" s="145">
        <v>37</v>
      </c>
      <c r="B40" s="139"/>
      <c r="C40" s="136">
        <v>15</v>
      </c>
      <c r="D40" s="136" t="s">
        <v>20</v>
      </c>
      <c r="E40" s="11">
        <v>75</v>
      </c>
      <c r="F40" s="11">
        <v>75</v>
      </c>
      <c r="G40" s="11">
        <v>75</v>
      </c>
      <c r="H40" s="11">
        <v>64</v>
      </c>
      <c r="I40" s="11">
        <v>67</v>
      </c>
      <c r="J40" s="11">
        <v>69</v>
      </c>
      <c r="K40" s="11">
        <v>61</v>
      </c>
      <c r="L40" s="11">
        <v>78</v>
      </c>
      <c r="M40" s="11">
        <v>52</v>
      </c>
      <c r="N40" s="11">
        <v>79</v>
      </c>
      <c r="O40" s="11">
        <v>77</v>
      </c>
      <c r="P40" s="11">
        <v>78</v>
      </c>
      <c r="Q40" s="11">
        <v>54</v>
      </c>
      <c r="R40" s="119">
        <f t="shared" si="0"/>
        <v>904</v>
      </c>
      <c r="S40" s="120">
        <f t="shared" si="1"/>
        <v>69.538461538461533</v>
      </c>
      <c r="T40" s="119">
        <f t="shared" si="2"/>
        <v>30</v>
      </c>
      <c r="U40" s="11"/>
      <c r="V40" s="11"/>
    </row>
    <row r="41" spans="1:22" ht="20.100000000000001" customHeight="1" thickBot="1" x14ac:dyDescent="0.3">
      <c r="A41" s="145">
        <v>38</v>
      </c>
      <c r="B41" s="139"/>
      <c r="C41" s="136">
        <v>15</v>
      </c>
      <c r="D41" s="136" t="s">
        <v>20</v>
      </c>
      <c r="E41" s="11">
        <v>82</v>
      </c>
      <c r="F41" s="11">
        <v>66</v>
      </c>
      <c r="G41" s="11">
        <v>89</v>
      </c>
      <c r="H41" s="11">
        <v>74</v>
      </c>
      <c r="I41" s="11">
        <v>77</v>
      </c>
      <c r="J41" s="11">
        <v>71</v>
      </c>
      <c r="K41" s="11">
        <v>71</v>
      </c>
      <c r="L41" s="11">
        <v>88</v>
      </c>
      <c r="M41" s="11">
        <v>72</v>
      </c>
      <c r="N41" s="11">
        <v>84</v>
      </c>
      <c r="O41" s="11">
        <v>71</v>
      </c>
      <c r="P41" s="11">
        <v>90</v>
      </c>
      <c r="Q41" s="11">
        <v>58</v>
      </c>
      <c r="R41" s="119">
        <f t="shared" si="0"/>
        <v>993</v>
      </c>
      <c r="S41" s="120">
        <f t="shared" si="1"/>
        <v>76.384615384615387</v>
      </c>
      <c r="T41" s="119">
        <f t="shared" si="2"/>
        <v>21</v>
      </c>
      <c r="U41" s="11"/>
      <c r="V41" s="11"/>
    </row>
    <row r="42" spans="1:22" ht="20.100000000000001" customHeight="1" thickBot="1" x14ac:dyDescent="0.3">
      <c r="A42" s="157">
        <v>39</v>
      </c>
      <c r="B42" s="139"/>
      <c r="C42" s="136">
        <v>15</v>
      </c>
      <c r="D42" s="136" t="s">
        <v>20</v>
      </c>
      <c r="E42" s="11">
        <v>85</v>
      </c>
      <c r="F42" s="11">
        <v>69</v>
      </c>
      <c r="G42" s="11">
        <v>87</v>
      </c>
      <c r="H42" s="11">
        <v>78</v>
      </c>
      <c r="I42" s="11">
        <v>78</v>
      </c>
      <c r="J42" s="11">
        <v>81</v>
      </c>
      <c r="K42" s="11">
        <v>73</v>
      </c>
      <c r="L42" s="11">
        <v>89</v>
      </c>
      <c r="M42" s="11">
        <v>84</v>
      </c>
      <c r="N42" s="11">
        <v>90</v>
      </c>
      <c r="O42" s="11">
        <v>85</v>
      </c>
      <c r="P42" s="11">
        <v>93</v>
      </c>
      <c r="Q42" s="11">
        <v>68</v>
      </c>
      <c r="R42" s="119">
        <f t="shared" si="0"/>
        <v>1060</v>
      </c>
      <c r="S42" s="120">
        <f t="shared" si="1"/>
        <v>81.538461538461533</v>
      </c>
      <c r="T42" s="119">
        <f t="shared" si="2"/>
        <v>11</v>
      </c>
      <c r="U42" s="11"/>
      <c r="V42" s="11"/>
    </row>
    <row r="43" spans="1:22" ht="20.100000000000001" customHeight="1" thickBot="1" x14ac:dyDescent="0.3">
      <c r="A43" s="145">
        <v>40</v>
      </c>
      <c r="B43" s="139"/>
      <c r="C43" s="136">
        <v>15</v>
      </c>
      <c r="D43" s="136" t="s">
        <v>23</v>
      </c>
      <c r="E43" s="11">
        <v>80</v>
      </c>
      <c r="F43" s="11">
        <v>65</v>
      </c>
      <c r="G43" s="11">
        <v>69</v>
      </c>
      <c r="H43" s="11">
        <v>50</v>
      </c>
      <c r="I43" s="11">
        <v>61</v>
      </c>
      <c r="J43" s="11">
        <v>61</v>
      </c>
      <c r="K43" s="11">
        <v>66</v>
      </c>
      <c r="L43" s="11">
        <v>74</v>
      </c>
      <c r="M43" s="11">
        <v>67</v>
      </c>
      <c r="N43" s="11">
        <v>86</v>
      </c>
      <c r="O43" s="11">
        <v>79</v>
      </c>
      <c r="P43" s="11">
        <v>91</v>
      </c>
      <c r="Q43" s="11">
        <v>51</v>
      </c>
      <c r="R43" s="119">
        <f t="shared" si="0"/>
        <v>900</v>
      </c>
      <c r="S43" s="120">
        <f t="shared" si="1"/>
        <v>69.230769230769226</v>
      </c>
      <c r="T43" s="119">
        <f t="shared" si="2"/>
        <v>31</v>
      </c>
      <c r="U43" s="11"/>
      <c r="V43" s="11"/>
    </row>
    <row r="44" spans="1:22" ht="20.100000000000001" customHeight="1" thickBot="1" x14ac:dyDescent="0.3">
      <c r="A44" s="157">
        <v>41</v>
      </c>
      <c r="B44" s="139"/>
      <c r="C44" s="136">
        <v>15</v>
      </c>
      <c r="D44" s="136" t="s">
        <v>20</v>
      </c>
      <c r="E44" s="11">
        <v>84</v>
      </c>
      <c r="F44" s="11">
        <v>76</v>
      </c>
      <c r="G44" s="11">
        <v>79</v>
      </c>
      <c r="H44" s="11">
        <v>72</v>
      </c>
      <c r="I44" s="11">
        <v>71</v>
      </c>
      <c r="J44" s="11">
        <v>82</v>
      </c>
      <c r="K44" s="11">
        <v>79</v>
      </c>
      <c r="L44" s="11">
        <v>84</v>
      </c>
      <c r="M44" s="11">
        <v>83</v>
      </c>
      <c r="N44" s="11">
        <v>91</v>
      </c>
      <c r="O44" s="11">
        <v>88</v>
      </c>
      <c r="P44" s="11">
        <v>87</v>
      </c>
      <c r="Q44" s="11">
        <v>78</v>
      </c>
      <c r="R44" s="119">
        <f t="shared" si="0"/>
        <v>1054</v>
      </c>
      <c r="S44" s="120">
        <f t="shared" si="1"/>
        <v>81.07692307692308</v>
      </c>
      <c r="T44" s="119">
        <f t="shared" si="2"/>
        <v>13</v>
      </c>
      <c r="U44" s="11"/>
      <c r="V44" s="11"/>
    </row>
    <row r="45" spans="1:22" ht="20.100000000000001" customHeight="1" thickBot="1" x14ac:dyDescent="0.3">
      <c r="A45" s="157">
        <v>42</v>
      </c>
      <c r="B45" s="139"/>
      <c r="C45" s="136">
        <v>12</v>
      </c>
      <c r="D45" s="136" t="s">
        <v>23</v>
      </c>
      <c r="E45" s="11">
        <v>79</v>
      </c>
      <c r="F45" s="11">
        <v>80</v>
      </c>
      <c r="G45" s="11">
        <v>85</v>
      </c>
      <c r="H45" s="11">
        <v>78</v>
      </c>
      <c r="I45" s="11">
        <v>70</v>
      </c>
      <c r="J45" s="11">
        <v>88</v>
      </c>
      <c r="K45" s="11">
        <v>71</v>
      </c>
      <c r="L45" s="11">
        <v>81</v>
      </c>
      <c r="M45" s="11">
        <v>87</v>
      </c>
      <c r="N45" s="11">
        <v>95</v>
      </c>
      <c r="O45" s="11">
        <v>91</v>
      </c>
      <c r="P45" s="11">
        <v>88</v>
      </c>
      <c r="Q45" s="11">
        <v>70</v>
      </c>
      <c r="R45" s="119">
        <f t="shared" si="0"/>
        <v>1063</v>
      </c>
      <c r="S45" s="120">
        <f t="shared" si="1"/>
        <v>81.769230769230774</v>
      </c>
      <c r="T45" s="119">
        <f t="shared" si="2"/>
        <v>10</v>
      </c>
      <c r="U45" s="11"/>
      <c r="V45" s="11"/>
    </row>
    <row r="46" spans="1:22" ht="20.100000000000001" customHeight="1" thickBot="1" x14ac:dyDescent="0.3">
      <c r="A46" s="157">
        <v>43</v>
      </c>
      <c r="B46" s="139"/>
      <c r="C46" s="136">
        <v>15</v>
      </c>
      <c r="D46" s="136" t="s">
        <v>20</v>
      </c>
      <c r="E46" s="11">
        <v>76</v>
      </c>
      <c r="F46" s="11">
        <v>48</v>
      </c>
      <c r="G46" s="11">
        <v>44</v>
      </c>
      <c r="H46" s="11">
        <v>53</v>
      </c>
      <c r="I46" s="11">
        <v>47</v>
      </c>
      <c r="J46" s="11">
        <v>43</v>
      </c>
      <c r="K46" s="11">
        <v>36</v>
      </c>
      <c r="L46" s="11">
        <v>53</v>
      </c>
      <c r="M46" s="11">
        <v>52</v>
      </c>
      <c r="N46" s="11">
        <v>70</v>
      </c>
      <c r="O46" s="11">
        <v>52</v>
      </c>
      <c r="P46" s="11">
        <v>71</v>
      </c>
      <c r="Q46" s="11">
        <v>55</v>
      </c>
      <c r="R46" s="119">
        <f t="shared" si="0"/>
        <v>700</v>
      </c>
      <c r="S46" s="120">
        <f t="shared" si="1"/>
        <v>53.846153846153847</v>
      </c>
      <c r="T46" s="119">
        <f t="shared" si="2"/>
        <v>52</v>
      </c>
      <c r="U46" s="11"/>
      <c r="V46" s="11"/>
    </row>
    <row r="47" spans="1:22" ht="20.100000000000001" customHeight="1" thickBot="1" x14ac:dyDescent="0.3">
      <c r="A47" s="145">
        <v>44</v>
      </c>
      <c r="B47" s="139"/>
      <c r="C47" s="136">
        <v>15</v>
      </c>
      <c r="D47" s="136" t="s">
        <v>20</v>
      </c>
      <c r="E47" s="11">
        <v>63</v>
      </c>
      <c r="F47" s="11">
        <v>67</v>
      </c>
      <c r="G47" s="11">
        <v>49</v>
      </c>
      <c r="H47" s="11">
        <v>41</v>
      </c>
      <c r="I47" s="11">
        <v>47</v>
      </c>
      <c r="J47" s="11">
        <v>37</v>
      </c>
      <c r="K47" s="11">
        <v>47</v>
      </c>
      <c r="L47" s="11">
        <v>71</v>
      </c>
      <c r="M47" s="11">
        <v>66</v>
      </c>
      <c r="N47" s="11">
        <v>72</v>
      </c>
      <c r="O47" s="11">
        <v>56</v>
      </c>
      <c r="P47" s="11">
        <v>69</v>
      </c>
      <c r="Q47" s="11">
        <v>60</v>
      </c>
      <c r="R47" s="119">
        <f t="shared" si="0"/>
        <v>745</v>
      </c>
      <c r="S47" s="120">
        <f t="shared" si="1"/>
        <v>57.307692307692307</v>
      </c>
      <c r="T47" s="119">
        <f t="shared" si="2"/>
        <v>47</v>
      </c>
      <c r="U47" s="11"/>
      <c r="V47" s="11"/>
    </row>
    <row r="48" spans="1:22" ht="20.100000000000001" customHeight="1" thickBot="1" x14ac:dyDescent="0.3">
      <c r="A48" s="157">
        <v>45</v>
      </c>
      <c r="B48" s="139"/>
      <c r="C48" s="136">
        <v>15</v>
      </c>
      <c r="D48" s="136" t="s">
        <v>23</v>
      </c>
      <c r="E48" s="11">
        <v>77</v>
      </c>
      <c r="F48" s="11">
        <v>45</v>
      </c>
      <c r="G48" s="11">
        <v>49</v>
      </c>
      <c r="H48" s="11">
        <v>41</v>
      </c>
      <c r="I48" s="11">
        <v>42</v>
      </c>
      <c r="J48" s="11">
        <v>43</v>
      </c>
      <c r="K48" s="11">
        <v>44</v>
      </c>
      <c r="L48" s="11">
        <v>54</v>
      </c>
      <c r="M48" s="11">
        <v>52</v>
      </c>
      <c r="N48" s="11">
        <v>67</v>
      </c>
      <c r="O48" s="11">
        <v>47</v>
      </c>
      <c r="P48" s="11">
        <v>77</v>
      </c>
      <c r="Q48" s="11">
        <v>52</v>
      </c>
      <c r="R48" s="119">
        <f t="shared" si="0"/>
        <v>690</v>
      </c>
      <c r="S48" s="120">
        <f t="shared" si="1"/>
        <v>53.07692307692308</v>
      </c>
      <c r="T48" s="119">
        <f t="shared" si="2"/>
        <v>55</v>
      </c>
      <c r="U48" s="11"/>
      <c r="V48" s="11"/>
    </row>
    <row r="49" spans="1:22" ht="20.100000000000001" customHeight="1" thickBot="1" x14ac:dyDescent="0.3">
      <c r="A49" s="145">
        <v>46</v>
      </c>
      <c r="B49" s="139"/>
      <c r="C49" s="136">
        <v>15</v>
      </c>
      <c r="D49" s="136" t="s">
        <v>23</v>
      </c>
      <c r="E49" s="11">
        <v>90</v>
      </c>
      <c r="F49" s="11">
        <v>70</v>
      </c>
      <c r="G49" s="11">
        <v>92</v>
      </c>
      <c r="H49" s="11">
        <v>83</v>
      </c>
      <c r="I49" s="11">
        <v>79</v>
      </c>
      <c r="J49" s="11">
        <v>80</v>
      </c>
      <c r="K49" s="11">
        <v>80</v>
      </c>
      <c r="L49" s="11">
        <v>87</v>
      </c>
      <c r="M49" s="11">
        <v>81</v>
      </c>
      <c r="N49" s="11">
        <v>83</v>
      </c>
      <c r="O49" s="11">
        <v>90</v>
      </c>
      <c r="P49" s="11">
        <v>87</v>
      </c>
      <c r="Q49" s="11">
        <v>73</v>
      </c>
      <c r="R49" s="119">
        <f t="shared" si="0"/>
        <v>1075</v>
      </c>
      <c r="S49" s="120">
        <f t="shared" si="1"/>
        <v>82.692307692307693</v>
      </c>
      <c r="T49" s="119">
        <f t="shared" si="2"/>
        <v>8</v>
      </c>
      <c r="U49" s="11"/>
      <c r="V49" s="11"/>
    </row>
    <row r="50" spans="1:22" ht="20.100000000000001" customHeight="1" thickBot="1" x14ac:dyDescent="0.3">
      <c r="A50" s="145">
        <v>47</v>
      </c>
      <c r="B50" s="139"/>
      <c r="C50" s="136">
        <v>15</v>
      </c>
      <c r="D50" s="136" t="s">
        <v>23</v>
      </c>
      <c r="E50" s="11">
        <v>78</v>
      </c>
      <c r="F50" s="11">
        <v>48</v>
      </c>
      <c r="G50" s="11">
        <v>54</v>
      </c>
      <c r="H50" s="11">
        <v>52</v>
      </c>
      <c r="I50" s="11">
        <v>44</v>
      </c>
      <c r="J50" s="11">
        <v>46</v>
      </c>
      <c r="K50" s="11">
        <v>60</v>
      </c>
      <c r="L50" s="11">
        <v>67</v>
      </c>
      <c r="M50" s="11">
        <v>49</v>
      </c>
      <c r="N50" s="11">
        <v>70</v>
      </c>
      <c r="O50" s="11">
        <v>59</v>
      </c>
      <c r="P50" s="11">
        <v>71</v>
      </c>
      <c r="Q50" s="11">
        <v>59</v>
      </c>
      <c r="R50" s="119">
        <f t="shared" si="0"/>
        <v>757</v>
      </c>
      <c r="S50" s="120">
        <f t="shared" si="1"/>
        <v>58.230769230769234</v>
      </c>
      <c r="T50" s="119">
        <f t="shared" si="2"/>
        <v>44</v>
      </c>
      <c r="U50" s="11"/>
      <c r="V50" s="11"/>
    </row>
    <row r="51" spans="1:22" ht="20.100000000000001" customHeight="1" thickBot="1" x14ac:dyDescent="0.3">
      <c r="A51" s="145">
        <v>48</v>
      </c>
      <c r="B51" s="139"/>
      <c r="C51" s="136">
        <v>15</v>
      </c>
      <c r="D51" s="136" t="s">
        <v>20</v>
      </c>
      <c r="E51" s="11">
        <v>81</v>
      </c>
      <c r="F51" s="11">
        <v>53</v>
      </c>
      <c r="G51" s="11">
        <v>62</v>
      </c>
      <c r="H51" s="11">
        <v>55</v>
      </c>
      <c r="I51" s="11">
        <v>54</v>
      </c>
      <c r="J51" s="11">
        <v>58</v>
      </c>
      <c r="K51" s="11">
        <v>72</v>
      </c>
      <c r="L51" s="11">
        <v>81</v>
      </c>
      <c r="M51" s="11">
        <v>74</v>
      </c>
      <c r="N51" s="11">
        <v>76</v>
      </c>
      <c r="O51" s="11">
        <v>68</v>
      </c>
      <c r="P51" s="11">
        <v>81</v>
      </c>
      <c r="Q51" s="11">
        <v>63</v>
      </c>
      <c r="R51" s="119">
        <f t="shared" si="0"/>
        <v>878</v>
      </c>
      <c r="S51" s="120">
        <f t="shared" si="1"/>
        <v>67.538461538461533</v>
      </c>
      <c r="T51" s="119">
        <f t="shared" si="2"/>
        <v>33</v>
      </c>
      <c r="U51" s="11"/>
      <c r="V51" s="11"/>
    </row>
    <row r="52" spans="1:22" ht="19.5" customHeight="1" thickBot="1" x14ac:dyDescent="0.3">
      <c r="A52" s="157">
        <v>49</v>
      </c>
      <c r="B52" s="139"/>
      <c r="C52" s="136">
        <v>15</v>
      </c>
      <c r="D52" s="136" t="s">
        <v>20</v>
      </c>
      <c r="E52" s="11">
        <v>79</v>
      </c>
      <c r="F52" s="11">
        <v>57</v>
      </c>
      <c r="G52" s="11">
        <v>89</v>
      </c>
      <c r="H52" s="11">
        <v>75</v>
      </c>
      <c r="I52" s="11">
        <v>74</v>
      </c>
      <c r="J52" s="11">
        <v>86</v>
      </c>
      <c r="K52" s="11">
        <v>88</v>
      </c>
      <c r="L52" s="11">
        <v>92</v>
      </c>
      <c r="M52" s="11">
        <v>80</v>
      </c>
      <c r="N52" s="11">
        <v>81</v>
      </c>
      <c r="O52" s="11">
        <v>86</v>
      </c>
      <c r="P52" s="11">
        <v>90</v>
      </c>
      <c r="Q52" s="11">
        <v>70</v>
      </c>
      <c r="R52" s="119">
        <f t="shared" si="0"/>
        <v>1047</v>
      </c>
      <c r="S52" s="120">
        <f t="shared" si="1"/>
        <v>80.538461538461533</v>
      </c>
      <c r="T52" s="119">
        <f t="shared" si="2"/>
        <v>15</v>
      </c>
      <c r="U52" s="11"/>
      <c r="V52" s="11"/>
    </row>
    <row r="53" spans="1:22" ht="19.5" customHeight="1" thickBot="1" x14ac:dyDescent="0.3">
      <c r="A53" s="157">
        <v>50</v>
      </c>
      <c r="B53" s="139"/>
      <c r="C53" s="136">
        <v>16</v>
      </c>
      <c r="D53" s="136" t="s">
        <v>20</v>
      </c>
      <c r="E53" s="11">
        <v>70</v>
      </c>
      <c r="F53" s="11">
        <v>65</v>
      </c>
      <c r="G53" s="11">
        <v>61</v>
      </c>
      <c r="H53" s="11">
        <v>46</v>
      </c>
      <c r="I53" s="11">
        <v>58</v>
      </c>
      <c r="J53" s="11">
        <v>64</v>
      </c>
      <c r="K53" s="11">
        <v>60</v>
      </c>
      <c r="L53" s="11">
        <v>66</v>
      </c>
      <c r="M53" s="11">
        <v>65</v>
      </c>
      <c r="N53" s="11">
        <v>75</v>
      </c>
      <c r="O53" s="11">
        <v>60</v>
      </c>
      <c r="P53" s="11">
        <v>82</v>
      </c>
      <c r="Q53" s="11">
        <v>56</v>
      </c>
      <c r="R53" s="119">
        <f t="shared" si="0"/>
        <v>828</v>
      </c>
      <c r="S53" s="120">
        <f t="shared" si="1"/>
        <v>63.692307692307693</v>
      </c>
      <c r="T53" s="119">
        <f t="shared" si="2"/>
        <v>39</v>
      </c>
      <c r="U53" s="11"/>
      <c r="V53" s="11"/>
    </row>
    <row r="54" spans="1:22" ht="19.5" customHeight="1" thickBot="1" x14ac:dyDescent="0.3">
      <c r="A54" s="157">
        <v>51</v>
      </c>
      <c r="B54" s="139"/>
      <c r="C54" s="136">
        <v>14</v>
      </c>
      <c r="D54" s="136" t="s">
        <v>23</v>
      </c>
      <c r="E54" s="11">
        <v>79</v>
      </c>
      <c r="F54" s="11">
        <v>88</v>
      </c>
      <c r="G54" s="11">
        <v>62</v>
      </c>
      <c r="H54" s="11">
        <v>60</v>
      </c>
      <c r="I54" s="11">
        <v>64</v>
      </c>
      <c r="J54" s="11">
        <v>65</v>
      </c>
      <c r="K54" s="11">
        <v>57</v>
      </c>
      <c r="L54" s="11">
        <v>75</v>
      </c>
      <c r="M54" s="11">
        <v>79</v>
      </c>
      <c r="N54" s="11">
        <v>93</v>
      </c>
      <c r="O54" s="11">
        <v>84</v>
      </c>
      <c r="P54" s="46">
        <v>87</v>
      </c>
      <c r="Q54" s="46">
        <v>65</v>
      </c>
      <c r="R54" s="119">
        <f t="shared" si="0"/>
        <v>958</v>
      </c>
      <c r="S54" s="120">
        <f t="shared" si="1"/>
        <v>73.692307692307693</v>
      </c>
      <c r="T54" s="119">
        <f t="shared" si="2"/>
        <v>25</v>
      </c>
      <c r="U54" s="11"/>
      <c r="V54" s="11"/>
    </row>
    <row r="55" spans="1:22" ht="19.5" customHeight="1" thickBot="1" x14ac:dyDescent="0.3">
      <c r="A55" s="157">
        <v>52</v>
      </c>
      <c r="B55" s="139"/>
      <c r="C55" s="136">
        <v>14</v>
      </c>
      <c r="D55" s="136" t="s">
        <v>23</v>
      </c>
      <c r="E55" s="11">
        <v>73</v>
      </c>
      <c r="F55" s="11">
        <v>75</v>
      </c>
      <c r="G55" s="11">
        <v>48</v>
      </c>
      <c r="H55" s="11">
        <v>54</v>
      </c>
      <c r="I55" s="11">
        <v>53</v>
      </c>
      <c r="J55" s="11">
        <v>56</v>
      </c>
      <c r="K55" s="11">
        <v>58</v>
      </c>
      <c r="L55" s="11">
        <v>68</v>
      </c>
      <c r="M55" s="11">
        <v>69</v>
      </c>
      <c r="N55" s="11">
        <v>83</v>
      </c>
      <c r="O55" s="11">
        <v>75</v>
      </c>
      <c r="P55" s="11">
        <v>81</v>
      </c>
      <c r="Q55" s="11">
        <v>54</v>
      </c>
      <c r="R55" s="119">
        <f t="shared" si="0"/>
        <v>847</v>
      </c>
      <c r="S55" s="120">
        <f t="shared" si="1"/>
        <v>65.15384615384616</v>
      </c>
      <c r="T55" s="119">
        <f t="shared" si="2"/>
        <v>37</v>
      </c>
      <c r="U55" s="11"/>
      <c r="V55" s="11"/>
    </row>
    <row r="56" spans="1:22" ht="19.5" customHeight="1" thickBot="1" x14ac:dyDescent="0.3">
      <c r="A56" s="157">
        <v>53</v>
      </c>
      <c r="B56" s="147"/>
      <c r="C56" s="158">
        <v>15</v>
      </c>
      <c r="D56" s="158" t="s">
        <v>20</v>
      </c>
      <c r="E56" s="11">
        <v>72</v>
      </c>
      <c r="F56" s="11">
        <v>68</v>
      </c>
      <c r="G56" s="11">
        <v>77</v>
      </c>
      <c r="H56" s="11">
        <v>70</v>
      </c>
      <c r="I56" s="11">
        <v>76</v>
      </c>
      <c r="J56" s="11">
        <v>79</v>
      </c>
      <c r="K56" s="11">
        <v>80</v>
      </c>
      <c r="L56" s="11">
        <v>76</v>
      </c>
      <c r="M56" s="11">
        <v>78</v>
      </c>
      <c r="N56" s="11">
        <v>88</v>
      </c>
      <c r="O56" s="11">
        <v>78</v>
      </c>
      <c r="P56" s="11">
        <v>88</v>
      </c>
      <c r="Q56" s="11">
        <v>57</v>
      </c>
      <c r="R56" s="119">
        <f t="shared" si="0"/>
        <v>987</v>
      </c>
      <c r="S56" s="120">
        <f t="shared" si="1"/>
        <v>75.92307692307692</v>
      </c>
      <c r="T56" s="119">
        <f t="shared" si="2"/>
        <v>22</v>
      </c>
      <c r="U56" s="11"/>
      <c r="V56" s="11"/>
    </row>
    <row r="57" spans="1:22" ht="19.5" customHeight="1" thickBot="1" x14ac:dyDescent="0.3">
      <c r="A57" s="157">
        <v>54</v>
      </c>
      <c r="B57" s="153"/>
      <c r="C57" s="42">
        <v>15</v>
      </c>
      <c r="D57" s="42" t="s">
        <v>20</v>
      </c>
      <c r="E57" s="11">
        <v>89</v>
      </c>
      <c r="F57" s="11">
        <v>79</v>
      </c>
      <c r="G57" s="11">
        <v>84</v>
      </c>
      <c r="H57" s="11">
        <v>81</v>
      </c>
      <c r="I57" s="11">
        <v>95</v>
      </c>
      <c r="J57" s="11">
        <v>91</v>
      </c>
      <c r="K57" s="11">
        <v>75</v>
      </c>
      <c r="L57" s="11">
        <v>92</v>
      </c>
      <c r="M57" s="11">
        <v>84</v>
      </c>
      <c r="N57" s="11">
        <v>93</v>
      </c>
      <c r="O57" s="11">
        <v>85</v>
      </c>
      <c r="P57" s="11">
        <v>91</v>
      </c>
      <c r="Q57" s="11">
        <v>73</v>
      </c>
      <c r="R57" s="119">
        <f t="shared" si="0"/>
        <v>1112</v>
      </c>
      <c r="S57" s="120">
        <f t="shared" si="1"/>
        <v>85.538461538461533</v>
      </c>
      <c r="T57" s="119">
        <f t="shared" si="2"/>
        <v>6</v>
      </c>
      <c r="U57" s="11"/>
      <c r="V57" s="11"/>
    </row>
    <row r="58" spans="1:22" ht="19.5" customHeight="1" thickBot="1" x14ac:dyDescent="0.3">
      <c r="A58" s="157">
        <v>55</v>
      </c>
      <c r="B58" s="153"/>
      <c r="C58" s="42">
        <v>15</v>
      </c>
      <c r="D58" s="42" t="s">
        <v>20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9">
        <f t="shared" si="0"/>
        <v>0</v>
      </c>
      <c r="S58" s="120">
        <f t="shared" si="1"/>
        <v>0</v>
      </c>
      <c r="T58" s="119">
        <f t="shared" si="2"/>
        <v>56</v>
      </c>
      <c r="U58" s="11"/>
      <c r="V58" s="11"/>
    </row>
    <row r="59" spans="1:22" ht="19.5" customHeight="1" x14ac:dyDescent="0.25">
      <c r="A59" s="157">
        <v>56</v>
      </c>
      <c r="B59" s="153"/>
      <c r="C59" s="42">
        <v>15</v>
      </c>
      <c r="D59" s="42" t="s">
        <v>23</v>
      </c>
      <c r="E59" s="11">
        <v>81</v>
      </c>
      <c r="F59" s="11">
        <v>44</v>
      </c>
      <c r="G59" s="11">
        <v>52</v>
      </c>
      <c r="H59" s="11">
        <v>53</v>
      </c>
      <c r="I59" s="11">
        <v>55</v>
      </c>
      <c r="J59" s="11">
        <v>64</v>
      </c>
      <c r="K59" s="11">
        <v>63</v>
      </c>
      <c r="L59" s="11">
        <v>67</v>
      </c>
      <c r="M59" s="11">
        <v>62</v>
      </c>
      <c r="N59" s="11">
        <v>77</v>
      </c>
      <c r="O59" s="11">
        <v>73</v>
      </c>
      <c r="P59" s="11">
        <v>87</v>
      </c>
      <c r="Q59" s="11">
        <v>85</v>
      </c>
      <c r="R59" s="16">
        <f t="shared" si="0"/>
        <v>863</v>
      </c>
      <c r="S59" s="199">
        <f t="shared" si="1"/>
        <v>66.384615384615387</v>
      </c>
      <c r="T59" s="16">
        <f t="shared" si="2"/>
        <v>35</v>
      </c>
      <c r="U59" s="11"/>
      <c r="V59" s="11"/>
    </row>
  </sheetData>
  <mergeCells count="2">
    <mergeCell ref="A1:V1"/>
    <mergeCell ref="A2:V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57"/>
  <sheetViews>
    <sheetView workbookViewId="0">
      <selection activeCell="B6" sqref="B6:B158"/>
    </sheetView>
  </sheetViews>
  <sheetFormatPr defaultRowHeight="15" x14ac:dyDescent="0.25"/>
  <cols>
    <col min="1" max="1" width="4" customWidth="1"/>
    <col min="2" max="2" width="37" customWidth="1"/>
    <col min="3" max="4" width="4.140625" style="9" customWidth="1"/>
    <col min="6" max="6" width="7" customWidth="1"/>
    <col min="7" max="7" width="6.28515625" customWidth="1"/>
    <col min="8" max="8" width="8.28515625" customWidth="1"/>
    <col min="9" max="9" width="8" customWidth="1"/>
    <col min="10" max="12" width="6.85546875" customWidth="1"/>
    <col min="13" max="13" width="6.7109375" customWidth="1"/>
    <col min="14" max="14" width="7.5703125" customWidth="1"/>
    <col min="15" max="15" width="7.28515625" customWidth="1"/>
    <col min="16" max="18" width="6.42578125" customWidth="1"/>
    <col min="19" max="19" width="7.140625" customWidth="1"/>
    <col min="20" max="20" width="6.140625" customWidth="1"/>
    <col min="21" max="21" width="7.85546875" customWidth="1"/>
    <col min="22" max="23" width="5.7109375" style="28" customWidth="1"/>
    <col min="24" max="24" width="4.7109375" customWidth="1"/>
    <col min="25" max="25" width="30.85546875" customWidth="1"/>
    <col min="26" max="26" width="3.85546875" customWidth="1"/>
    <col min="27" max="27" width="3.7109375" customWidth="1"/>
  </cols>
  <sheetData>
    <row r="1" spans="1:26" ht="20.25" x14ac:dyDescent="0.25">
      <c r="A1" s="222" t="s">
        <v>55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4"/>
    </row>
    <row r="2" spans="1:26" ht="18.75" customHeight="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87"/>
      <c r="R2" s="187"/>
      <c r="S2" s="2"/>
      <c r="T2" s="2"/>
      <c r="U2" s="2"/>
      <c r="V2" s="26"/>
      <c r="W2" s="27"/>
    </row>
    <row r="3" spans="1:26" x14ac:dyDescent="0.25">
      <c r="A3" s="225" t="s">
        <v>36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3"/>
      <c r="Y3" s="3"/>
      <c r="Z3" s="3"/>
    </row>
    <row r="4" spans="1:26" ht="4.5" customHeight="1" thickBo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3"/>
      <c r="Y4" s="3"/>
      <c r="Z4" s="3"/>
    </row>
    <row r="5" spans="1:26" ht="58.5" customHeight="1" thickBot="1" x14ac:dyDescent="0.3">
      <c r="A5" s="61" t="s">
        <v>28</v>
      </c>
      <c r="B5" s="61" t="s">
        <v>1</v>
      </c>
      <c r="C5" s="65" t="s">
        <v>2</v>
      </c>
      <c r="D5" s="65" t="s">
        <v>3</v>
      </c>
      <c r="E5" s="53" t="s">
        <v>25</v>
      </c>
      <c r="F5" s="53" t="s">
        <v>4</v>
      </c>
      <c r="G5" s="53" t="s">
        <v>5</v>
      </c>
      <c r="H5" s="53" t="s">
        <v>6</v>
      </c>
      <c r="I5" s="53" t="s">
        <v>7</v>
      </c>
      <c r="J5" s="53" t="s">
        <v>8</v>
      </c>
      <c r="K5" s="53" t="s">
        <v>9</v>
      </c>
      <c r="L5" s="53" t="s">
        <v>11</v>
      </c>
      <c r="M5" s="53" t="s">
        <v>10</v>
      </c>
      <c r="N5" s="55" t="s">
        <v>12</v>
      </c>
      <c r="O5" s="55" t="s">
        <v>13</v>
      </c>
      <c r="P5" s="55" t="s">
        <v>65</v>
      </c>
      <c r="Q5" s="53" t="s">
        <v>14</v>
      </c>
      <c r="R5" s="53" t="s">
        <v>66</v>
      </c>
      <c r="S5" s="55" t="s">
        <v>15</v>
      </c>
      <c r="T5" s="53" t="s">
        <v>16</v>
      </c>
      <c r="U5" s="53" t="s">
        <v>17</v>
      </c>
      <c r="V5" s="53" t="s">
        <v>18</v>
      </c>
      <c r="W5" s="66" t="s">
        <v>19</v>
      </c>
    </row>
    <row r="6" spans="1:26" ht="17.25" customHeight="1" thickBot="1" x14ac:dyDescent="0.3">
      <c r="A6" s="226">
        <v>1</v>
      </c>
      <c r="B6" s="218"/>
      <c r="C6" s="213">
        <v>15</v>
      </c>
      <c r="D6" s="217" t="s">
        <v>23</v>
      </c>
      <c r="E6" s="68" t="s">
        <v>21</v>
      </c>
      <c r="F6" s="60">
        <f>'10A Sem 1'!E4</f>
        <v>79</v>
      </c>
      <c r="G6" s="60">
        <f>'10A Sem 1'!F4</f>
        <v>78</v>
      </c>
      <c r="H6" s="60">
        <f>'10A Sem 1'!G4</f>
        <v>64</v>
      </c>
      <c r="I6" s="60">
        <f>'10A Sem 1'!H4</f>
        <v>64</v>
      </c>
      <c r="J6" s="60">
        <f>'10A Sem 1'!I4</f>
        <v>56</v>
      </c>
      <c r="K6" s="60">
        <f>'10A Sem 1'!J4</f>
        <v>68</v>
      </c>
      <c r="L6" s="60">
        <f>'10A Sem 1'!K4</f>
        <v>64</v>
      </c>
      <c r="M6" s="60">
        <f>'10A Sem 1'!L4</f>
        <v>66</v>
      </c>
      <c r="N6" s="60">
        <f>'10A Sem 1'!M4</f>
        <v>73</v>
      </c>
      <c r="O6" s="60">
        <f>'10A Sem 1'!N4</f>
        <v>87</v>
      </c>
      <c r="P6" s="60">
        <f>'10A Sem 1'!O4</f>
        <v>68</v>
      </c>
      <c r="Q6" s="60">
        <f>'10A Sem 1'!P4</f>
        <v>93</v>
      </c>
      <c r="R6" s="60">
        <f>'10A Sem 1'!Q4</f>
        <v>87</v>
      </c>
      <c r="S6" s="60">
        <f>'10A Sem 1'!R4</f>
        <v>947</v>
      </c>
      <c r="T6" s="60">
        <f>'10A Sem 1'!S4</f>
        <v>72.84615384615384</v>
      </c>
      <c r="U6" s="116">
        <f>'10A Sem 1'!T4</f>
        <v>28</v>
      </c>
      <c r="V6" s="64">
        <f>'10A Sem 1'!U4</f>
        <v>0</v>
      </c>
      <c r="W6" s="64">
        <f>'10A Sem 1'!V4</f>
        <v>0</v>
      </c>
    </row>
    <row r="7" spans="1:26" ht="17.25" customHeight="1" thickBot="1" x14ac:dyDescent="0.3">
      <c r="A7" s="226"/>
      <c r="B7" s="218"/>
      <c r="C7" s="213">
        <v>15</v>
      </c>
      <c r="D7" s="217" t="s">
        <v>23</v>
      </c>
      <c r="E7" s="69" t="s">
        <v>22</v>
      </c>
      <c r="F7" s="29">
        <f>'10A Sem 2'!E4</f>
        <v>67</v>
      </c>
      <c r="G7" s="29">
        <f>'10A Sem 2'!F4</f>
        <v>74</v>
      </c>
      <c r="H7" s="29">
        <f>'10A Sem 2'!G4</f>
        <v>48</v>
      </c>
      <c r="I7" s="29">
        <f>'10A Sem 2'!H4</f>
        <v>61</v>
      </c>
      <c r="J7" s="29">
        <f>'10A Sem 2'!I4</f>
        <v>55</v>
      </c>
      <c r="K7" s="29">
        <f>'10A Sem 2'!J4</f>
        <v>69</v>
      </c>
      <c r="L7" s="29">
        <f>'10A Sem 2'!K4</f>
        <v>69</v>
      </c>
      <c r="M7" s="29">
        <f>'10A Sem 2'!L4</f>
        <v>69</v>
      </c>
      <c r="N7" s="29">
        <f>'10A Sem 2'!M4</f>
        <v>70</v>
      </c>
      <c r="O7" s="29">
        <f>'10A Sem 2'!N4</f>
        <v>94</v>
      </c>
      <c r="P7" s="29">
        <f>'10A Sem 2'!O4</f>
        <v>71</v>
      </c>
      <c r="Q7" s="29">
        <f>'10A Sem 2'!P4</f>
        <v>90</v>
      </c>
      <c r="R7" s="29">
        <f>'10A Sem 2'!Q4</f>
        <v>62</v>
      </c>
      <c r="S7" s="22">
        <f>'10A Sem 2'!R4</f>
        <v>899</v>
      </c>
      <c r="T7" s="22">
        <f>'10A Sem 2'!S4</f>
        <v>69.15384615384616</v>
      </c>
      <c r="U7" s="117">
        <f>'10A Sem 2'!T4</f>
        <v>32</v>
      </c>
      <c r="V7" s="35">
        <f>'10A Sem 2'!U4</f>
        <v>0</v>
      </c>
      <c r="W7" s="35">
        <f>'10A Sem 2'!V4</f>
        <v>0</v>
      </c>
    </row>
    <row r="8" spans="1:26" ht="17.25" customHeight="1" thickBot="1" x14ac:dyDescent="0.3">
      <c r="A8" s="226"/>
      <c r="B8" s="218"/>
      <c r="C8" s="213">
        <v>15</v>
      </c>
      <c r="D8" s="217" t="s">
        <v>23</v>
      </c>
      <c r="E8" s="69" t="s">
        <v>16</v>
      </c>
      <c r="F8" s="22">
        <f>AVERAGE(F6:F7)</f>
        <v>73</v>
      </c>
      <c r="G8" s="22">
        <f t="shared" ref="G8:W8" si="0">AVERAGE(G6:G7)</f>
        <v>76</v>
      </c>
      <c r="H8" s="22">
        <f t="shared" si="0"/>
        <v>56</v>
      </c>
      <c r="I8" s="22">
        <f t="shared" si="0"/>
        <v>62.5</v>
      </c>
      <c r="J8" s="22">
        <f t="shared" si="0"/>
        <v>55.5</v>
      </c>
      <c r="K8" s="22">
        <f t="shared" si="0"/>
        <v>68.5</v>
      </c>
      <c r="L8" s="22">
        <f t="shared" si="0"/>
        <v>66.5</v>
      </c>
      <c r="M8" s="22">
        <f t="shared" si="0"/>
        <v>67.5</v>
      </c>
      <c r="N8" s="22">
        <f t="shared" si="0"/>
        <v>71.5</v>
      </c>
      <c r="O8" s="22">
        <f t="shared" si="0"/>
        <v>90.5</v>
      </c>
      <c r="P8" s="22">
        <f t="shared" si="0"/>
        <v>69.5</v>
      </c>
      <c r="Q8" s="22">
        <f t="shared" si="0"/>
        <v>91.5</v>
      </c>
      <c r="R8" s="22">
        <f t="shared" si="0"/>
        <v>74.5</v>
      </c>
      <c r="S8" s="22">
        <f t="shared" si="0"/>
        <v>923</v>
      </c>
      <c r="T8" s="22">
        <f t="shared" si="0"/>
        <v>71</v>
      </c>
      <c r="U8" s="22">
        <f>'10A Sem avr'!$H$4</f>
        <v>29</v>
      </c>
      <c r="V8" s="22">
        <f t="shared" si="0"/>
        <v>0</v>
      </c>
      <c r="W8" s="22">
        <f t="shared" si="0"/>
        <v>0</v>
      </c>
    </row>
    <row r="9" spans="1:26" ht="17.25" customHeight="1" thickBot="1" x14ac:dyDescent="0.3">
      <c r="A9" s="234">
        <v>2</v>
      </c>
      <c r="B9" s="218"/>
      <c r="C9" s="213">
        <v>15</v>
      </c>
      <c r="D9" s="217" t="s">
        <v>23</v>
      </c>
      <c r="E9" s="69" t="s">
        <v>21</v>
      </c>
      <c r="F9" s="22">
        <f>'10A Sem 1'!E5</f>
        <v>71</v>
      </c>
      <c r="G9" s="22">
        <f>'10A Sem 1'!F5</f>
        <v>52</v>
      </c>
      <c r="H9" s="22">
        <f>'10A Sem 1'!G5</f>
        <v>70</v>
      </c>
      <c r="I9" s="22">
        <f>'10A Sem 1'!H5</f>
        <v>55</v>
      </c>
      <c r="J9" s="22">
        <f>'10A Sem 1'!I5</f>
        <v>48</v>
      </c>
      <c r="K9" s="22">
        <f>'10A Sem 1'!J5</f>
        <v>58</v>
      </c>
      <c r="L9" s="22">
        <f>'10A Sem 1'!K5</f>
        <v>56</v>
      </c>
      <c r="M9" s="22">
        <f>'10A Sem 1'!L5</f>
        <v>58</v>
      </c>
      <c r="N9" s="22">
        <f>'10A Sem 1'!M5</f>
        <v>63</v>
      </c>
      <c r="O9" s="22">
        <f>'10A Sem 1'!N5</f>
        <v>88</v>
      </c>
      <c r="P9" s="22">
        <f>'10A Sem 1'!O5</f>
        <v>56</v>
      </c>
      <c r="Q9" s="22">
        <f>'10A Sem 1'!P5</f>
        <v>80</v>
      </c>
      <c r="R9" s="22">
        <f>'10A Sem 1'!Q5</f>
        <v>72</v>
      </c>
      <c r="S9" s="22">
        <f>'10A Sem 1'!R5</f>
        <v>827</v>
      </c>
      <c r="T9" s="22">
        <f>'10A Sem 1'!S5</f>
        <v>63.615384615384613</v>
      </c>
      <c r="U9" s="117">
        <f>'10A Sem 1'!T5</f>
        <v>42</v>
      </c>
      <c r="V9" s="35">
        <f>'10A Sem 1'!U5</f>
        <v>0</v>
      </c>
      <c r="W9" s="35">
        <f>'10A Sem 1'!V5</f>
        <v>0</v>
      </c>
    </row>
    <row r="10" spans="1:26" ht="17.25" customHeight="1" thickBot="1" x14ac:dyDescent="0.3">
      <c r="A10" s="234"/>
      <c r="B10" s="218"/>
      <c r="C10" s="213">
        <v>15</v>
      </c>
      <c r="D10" s="217" t="s">
        <v>23</v>
      </c>
      <c r="E10" s="69" t="s">
        <v>22</v>
      </c>
      <c r="F10" s="22">
        <f>'10A Sem 2'!E5</f>
        <v>70</v>
      </c>
      <c r="G10" s="22">
        <f>'10A Sem 2'!F5</f>
        <v>64</v>
      </c>
      <c r="H10" s="22">
        <f>'10A Sem 2'!G5</f>
        <v>54</v>
      </c>
      <c r="I10" s="22">
        <f>'10A Sem 2'!H5</f>
        <v>61</v>
      </c>
      <c r="J10" s="22">
        <f>'10A Sem 2'!I5</f>
        <v>42</v>
      </c>
      <c r="K10" s="22">
        <f>'10A Sem 2'!J5</f>
        <v>48</v>
      </c>
      <c r="L10" s="22">
        <f>'10A Sem 2'!K5</f>
        <v>48</v>
      </c>
      <c r="M10" s="22">
        <f>'10A Sem 2'!L5</f>
        <v>76</v>
      </c>
      <c r="N10" s="22">
        <f>'10A Sem 2'!M5</f>
        <v>63</v>
      </c>
      <c r="O10" s="22">
        <f>'10A Sem 2'!N5</f>
        <v>76</v>
      </c>
      <c r="P10" s="22">
        <f>'10A Sem 2'!O5</f>
        <v>60</v>
      </c>
      <c r="Q10" s="22">
        <f>'10A Sem 2'!P5</f>
        <v>87</v>
      </c>
      <c r="R10" s="22">
        <f>'10A Sem 2'!Q5</f>
        <v>61</v>
      </c>
      <c r="S10" s="22">
        <f>'10A Sem 2'!R5</f>
        <v>810</v>
      </c>
      <c r="T10" s="22">
        <f>'10A Sem 2'!S5</f>
        <v>62.307692307692307</v>
      </c>
      <c r="U10" s="117">
        <f>'10A Sem 2'!T5</f>
        <v>41</v>
      </c>
      <c r="V10" s="35">
        <f>'10A Sem 2'!U5</f>
        <v>0</v>
      </c>
      <c r="W10" s="35">
        <f>'10A Sem 2'!V5</f>
        <v>0</v>
      </c>
    </row>
    <row r="11" spans="1:26" ht="17.25" customHeight="1" thickBot="1" x14ac:dyDescent="0.3">
      <c r="A11" s="234"/>
      <c r="B11" s="218"/>
      <c r="C11" s="213">
        <v>15</v>
      </c>
      <c r="D11" s="217" t="s">
        <v>23</v>
      </c>
      <c r="E11" s="69" t="s">
        <v>16</v>
      </c>
      <c r="F11" s="22">
        <f>AVERAGE(F9:F10)</f>
        <v>70.5</v>
      </c>
      <c r="G11" s="22">
        <f t="shared" ref="G11:W11" si="1">AVERAGE(G9:G10)</f>
        <v>58</v>
      </c>
      <c r="H11" s="22">
        <f t="shared" si="1"/>
        <v>62</v>
      </c>
      <c r="I11" s="22">
        <f t="shared" si="1"/>
        <v>58</v>
      </c>
      <c r="J11" s="22">
        <f t="shared" si="1"/>
        <v>45</v>
      </c>
      <c r="K11" s="22">
        <f t="shared" si="1"/>
        <v>53</v>
      </c>
      <c r="L11" s="22">
        <f t="shared" si="1"/>
        <v>52</v>
      </c>
      <c r="M11" s="22">
        <f t="shared" si="1"/>
        <v>67</v>
      </c>
      <c r="N11" s="22">
        <f t="shared" si="1"/>
        <v>63</v>
      </c>
      <c r="O11" s="22">
        <f t="shared" si="1"/>
        <v>82</v>
      </c>
      <c r="P11" s="22">
        <f t="shared" si="1"/>
        <v>58</v>
      </c>
      <c r="Q11" s="22">
        <f t="shared" si="1"/>
        <v>83.5</v>
      </c>
      <c r="R11" s="22">
        <f t="shared" si="1"/>
        <v>66.5</v>
      </c>
      <c r="S11" s="22">
        <f t="shared" si="1"/>
        <v>818.5</v>
      </c>
      <c r="T11" s="22">
        <f t="shared" si="1"/>
        <v>62.96153846153846</v>
      </c>
      <c r="U11" s="22">
        <f>'10A Sem avr'!$H$5</f>
        <v>40</v>
      </c>
      <c r="V11" s="22">
        <f t="shared" si="1"/>
        <v>0</v>
      </c>
      <c r="W11" s="22">
        <f t="shared" si="1"/>
        <v>0</v>
      </c>
    </row>
    <row r="12" spans="1:26" ht="17.25" customHeight="1" thickBot="1" x14ac:dyDescent="0.3">
      <c r="A12" s="241">
        <v>3</v>
      </c>
      <c r="B12" s="218"/>
      <c r="C12" s="213">
        <v>17</v>
      </c>
      <c r="D12" s="217" t="s">
        <v>20</v>
      </c>
      <c r="E12" s="69" t="s">
        <v>21</v>
      </c>
      <c r="F12" s="22">
        <f>'10A Sem 1'!E6</f>
        <v>96</v>
      </c>
      <c r="G12" s="22">
        <f>'10A Sem 1'!F6</f>
        <v>94</v>
      </c>
      <c r="H12" s="22">
        <f>'10A Sem 1'!G6</f>
        <v>100</v>
      </c>
      <c r="I12" s="22">
        <f>'10A Sem 1'!H6</f>
        <v>100</v>
      </c>
      <c r="J12" s="22">
        <f>'10A Sem 1'!I6</f>
        <v>96</v>
      </c>
      <c r="K12" s="22">
        <f>'10A Sem 1'!J6</f>
        <v>97</v>
      </c>
      <c r="L12" s="22">
        <f>'10A Sem 1'!K6</f>
        <v>90</v>
      </c>
      <c r="M12" s="22">
        <f>'10A Sem 1'!L6</f>
        <v>96</v>
      </c>
      <c r="N12" s="22">
        <f>'10A Sem 1'!M6</f>
        <v>93</v>
      </c>
      <c r="O12" s="22">
        <f>'10A Sem 1'!N6</f>
        <v>100</v>
      </c>
      <c r="P12" s="22">
        <f>'10A Sem 1'!O6</f>
        <v>98</v>
      </c>
      <c r="Q12" s="22">
        <f>'10A Sem 1'!P6</f>
        <v>96</v>
      </c>
      <c r="R12" s="22">
        <f>'10A Sem 1'!Q6</f>
        <v>98</v>
      </c>
      <c r="S12" s="22">
        <f>'10A Sem 1'!R6</f>
        <v>1254</v>
      </c>
      <c r="T12" s="22">
        <f>'10A Sem 1'!S6</f>
        <v>96.461538461538467</v>
      </c>
      <c r="U12" s="117">
        <f>'10A Sem 1'!T6</f>
        <v>1</v>
      </c>
      <c r="V12" s="35">
        <f>'10A Sem 1'!U6</f>
        <v>0</v>
      </c>
      <c r="W12" s="35">
        <f>'10A Sem 1'!V6</f>
        <v>0</v>
      </c>
    </row>
    <row r="13" spans="1:26" ht="17.25" customHeight="1" thickBot="1" x14ac:dyDescent="0.3">
      <c r="A13" s="241"/>
      <c r="B13" s="218"/>
      <c r="C13" s="213">
        <v>17</v>
      </c>
      <c r="D13" s="217" t="s">
        <v>20</v>
      </c>
      <c r="E13" s="69" t="s">
        <v>22</v>
      </c>
      <c r="F13" s="22">
        <f>'10A Sem 2'!E6</f>
        <v>91</v>
      </c>
      <c r="G13" s="22">
        <f>'10A Sem 2'!F6</f>
        <v>91</v>
      </c>
      <c r="H13" s="22">
        <f>'10A Sem 2'!G6</f>
        <v>95</v>
      </c>
      <c r="I13" s="22">
        <f>'10A Sem 2'!H6</f>
        <v>100</v>
      </c>
      <c r="J13" s="22">
        <f>'10A Sem 2'!I6</f>
        <v>96</v>
      </c>
      <c r="K13" s="22">
        <f>'10A Sem 2'!J6</f>
        <v>98</v>
      </c>
      <c r="L13" s="22">
        <f>'10A Sem 2'!K6</f>
        <v>88</v>
      </c>
      <c r="M13" s="22">
        <f>'10A Sem 2'!L6</f>
        <v>97</v>
      </c>
      <c r="N13" s="22">
        <f>'10A Sem 2'!M6</f>
        <v>94</v>
      </c>
      <c r="O13" s="22">
        <f>'10A Sem 2'!N6</f>
        <v>100</v>
      </c>
      <c r="P13" s="22">
        <f>'10A Sem 2'!O6</f>
        <v>88</v>
      </c>
      <c r="Q13" s="22">
        <f>'10A Sem 2'!P6</f>
        <v>92</v>
      </c>
      <c r="R13" s="22">
        <f>'10A Sem 2'!Q6</f>
        <v>88</v>
      </c>
      <c r="S13" s="22">
        <f>'10A Sem 2'!R6</f>
        <v>1218</v>
      </c>
      <c r="T13" s="22">
        <f>'10A Sem 2'!S6</f>
        <v>93.692307692307693</v>
      </c>
      <c r="U13" s="117">
        <f>'10A Sem 2'!T6</f>
        <v>1</v>
      </c>
      <c r="V13" s="35">
        <f>'10A Sem 2'!U6</f>
        <v>0</v>
      </c>
      <c r="W13" s="35">
        <f>'10A Sem 2'!V6</f>
        <v>0</v>
      </c>
    </row>
    <row r="14" spans="1:26" ht="17.25" customHeight="1" thickBot="1" x14ac:dyDescent="0.3">
      <c r="A14" s="241"/>
      <c r="B14" s="218"/>
      <c r="C14" s="213">
        <v>17</v>
      </c>
      <c r="D14" s="217" t="s">
        <v>20</v>
      </c>
      <c r="E14" s="69" t="s">
        <v>16</v>
      </c>
      <c r="F14" s="22">
        <f>AVERAGE(F12:F13)</f>
        <v>93.5</v>
      </c>
      <c r="G14" s="22">
        <f t="shared" ref="G14:W14" si="2">AVERAGE(G12:G13)</f>
        <v>92.5</v>
      </c>
      <c r="H14" s="22">
        <f t="shared" si="2"/>
        <v>97.5</v>
      </c>
      <c r="I14" s="22">
        <f t="shared" si="2"/>
        <v>100</v>
      </c>
      <c r="J14" s="22">
        <f t="shared" si="2"/>
        <v>96</v>
      </c>
      <c r="K14" s="22">
        <f t="shared" si="2"/>
        <v>97.5</v>
      </c>
      <c r="L14" s="22">
        <f t="shared" si="2"/>
        <v>89</v>
      </c>
      <c r="M14" s="22">
        <f t="shared" si="2"/>
        <v>96.5</v>
      </c>
      <c r="N14" s="22">
        <f t="shared" si="2"/>
        <v>93.5</v>
      </c>
      <c r="O14" s="22">
        <f t="shared" si="2"/>
        <v>100</v>
      </c>
      <c r="P14" s="22">
        <f t="shared" si="2"/>
        <v>93</v>
      </c>
      <c r="Q14" s="22">
        <f t="shared" si="2"/>
        <v>94</v>
      </c>
      <c r="R14" s="22">
        <f t="shared" si="2"/>
        <v>93</v>
      </c>
      <c r="S14" s="22">
        <f t="shared" si="2"/>
        <v>1236</v>
      </c>
      <c r="T14" s="22">
        <f t="shared" si="2"/>
        <v>95.07692307692308</v>
      </c>
      <c r="U14" s="22">
        <f>'10A Sem avr'!$H$6</f>
        <v>1</v>
      </c>
      <c r="V14" s="22">
        <f t="shared" si="2"/>
        <v>0</v>
      </c>
      <c r="W14" s="22">
        <f t="shared" si="2"/>
        <v>0</v>
      </c>
    </row>
    <row r="15" spans="1:26" ht="17.25" customHeight="1" thickBot="1" x14ac:dyDescent="0.3">
      <c r="A15" s="234">
        <v>4</v>
      </c>
      <c r="B15" s="218"/>
      <c r="C15" s="213">
        <v>15</v>
      </c>
      <c r="D15" s="217" t="s">
        <v>23</v>
      </c>
      <c r="E15" s="69" t="s">
        <v>21</v>
      </c>
      <c r="F15" s="22">
        <f>'10A Sem 1'!E7</f>
        <v>81</v>
      </c>
      <c r="G15" s="22">
        <f>'10A Sem 1'!F7</f>
        <v>90</v>
      </c>
      <c r="H15" s="22">
        <f>'10A Sem 1'!G7</f>
        <v>98</v>
      </c>
      <c r="I15" s="22">
        <f>'10A Sem 1'!H7</f>
        <v>98</v>
      </c>
      <c r="J15" s="22">
        <f>'10A Sem 1'!I7</f>
        <v>85</v>
      </c>
      <c r="K15" s="22">
        <f>'10A Sem 1'!J7</f>
        <v>95</v>
      </c>
      <c r="L15" s="22">
        <f>'10A Sem 1'!K7</f>
        <v>95</v>
      </c>
      <c r="M15" s="22">
        <f>'10A Sem 1'!L7</f>
        <v>99</v>
      </c>
      <c r="N15" s="22">
        <f>'10A Sem 1'!M7</f>
        <v>99</v>
      </c>
      <c r="O15" s="22">
        <f>'10A Sem 1'!N7</f>
        <v>100</v>
      </c>
      <c r="P15" s="22">
        <f>'10A Sem 1'!O7</f>
        <v>95</v>
      </c>
      <c r="Q15" s="22">
        <f>'10A Sem 1'!P7</f>
        <v>95</v>
      </c>
      <c r="R15" s="22">
        <f>'10A Sem 1'!Q7</f>
        <v>95</v>
      </c>
      <c r="S15" s="22">
        <f>'10A Sem 1'!R7</f>
        <v>1225</v>
      </c>
      <c r="T15" s="22">
        <f>'10A Sem 1'!S7</f>
        <v>94.230769230769226</v>
      </c>
      <c r="U15" s="117">
        <f>'10A Sem 1'!T7</f>
        <v>2</v>
      </c>
      <c r="V15" s="35">
        <f>'10A Sem 1'!U7</f>
        <v>0</v>
      </c>
      <c r="W15" s="35">
        <f>'10A Sem 1'!V7</f>
        <v>0</v>
      </c>
    </row>
    <row r="16" spans="1:26" ht="17.25" customHeight="1" thickBot="1" x14ac:dyDescent="0.3">
      <c r="A16" s="234"/>
      <c r="B16" s="218"/>
      <c r="C16" s="213">
        <v>15</v>
      </c>
      <c r="D16" s="217" t="s">
        <v>23</v>
      </c>
      <c r="E16" s="69" t="s">
        <v>22</v>
      </c>
      <c r="F16" s="22">
        <f>'10A Sem 2'!E7</f>
        <v>85</v>
      </c>
      <c r="G16" s="22">
        <f>'10A Sem 2'!F7</f>
        <v>94</v>
      </c>
      <c r="H16" s="22">
        <f>'10A Sem 2'!G7</f>
        <v>90</v>
      </c>
      <c r="I16" s="22">
        <f>'10A Sem 2'!H7</f>
        <v>93</v>
      </c>
      <c r="J16" s="22">
        <f>'10A Sem 2'!I7</f>
        <v>92</v>
      </c>
      <c r="K16" s="22">
        <f>'10A Sem 2'!J7</f>
        <v>92</v>
      </c>
      <c r="L16" s="22">
        <f>'10A Sem 2'!K7</f>
        <v>91</v>
      </c>
      <c r="M16" s="22">
        <f>'10A Sem 2'!L7</f>
        <v>97</v>
      </c>
      <c r="N16" s="22">
        <f>'10A Sem 2'!M7</f>
        <v>96</v>
      </c>
      <c r="O16" s="22">
        <f>'10A Sem 2'!N7</f>
        <v>100</v>
      </c>
      <c r="P16" s="22">
        <f>'10A Sem 2'!O7</f>
        <v>93</v>
      </c>
      <c r="Q16" s="22">
        <f>'10A Sem 2'!P7</f>
        <v>95</v>
      </c>
      <c r="R16" s="22">
        <f>'10A Sem 2'!Q7</f>
        <v>84</v>
      </c>
      <c r="S16" s="22">
        <f>'10A Sem 2'!R7</f>
        <v>1202</v>
      </c>
      <c r="T16" s="22">
        <f>'10A Sem 2'!S7</f>
        <v>92.461538461538467</v>
      </c>
      <c r="U16" s="117">
        <f>'10A Sem 2'!T7</f>
        <v>3</v>
      </c>
      <c r="V16" s="35">
        <f>'10A Sem 2'!U7</f>
        <v>0</v>
      </c>
      <c r="W16" s="35">
        <f>'10A Sem 2'!V7</f>
        <v>0</v>
      </c>
    </row>
    <row r="17" spans="1:23" ht="17.25" customHeight="1" thickBot="1" x14ac:dyDescent="0.3">
      <c r="A17" s="234"/>
      <c r="B17" s="218"/>
      <c r="C17" s="213">
        <v>15</v>
      </c>
      <c r="D17" s="217" t="s">
        <v>23</v>
      </c>
      <c r="E17" s="69" t="s">
        <v>16</v>
      </c>
      <c r="F17" s="22">
        <f>AVERAGE(F15:F16)</f>
        <v>83</v>
      </c>
      <c r="G17" s="22">
        <f t="shared" ref="G17:W17" si="3">AVERAGE(G15:G16)</f>
        <v>92</v>
      </c>
      <c r="H17" s="22">
        <f t="shared" si="3"/>
        <v>94</v>
      </c>
      <c r="I17" s="22">
        <f t="shared" si="3"/>
        <v>95.5</v>
      </c>
      <c r="J17" s="22">
        <f t="shared" si="3"/>
        <v>88.5</v>
      </c>
      <c r="K17" s="22">
        <f t="shared" si="3"/>
        <v>93.5</v>
      </c>
      <c r="L17" s="22">
        <f t="shared" si="3"/>
        <v>93</v>
      </c>
      <c r="M17" s="22">
        <f t="shared" si="3"/>
        <v>98</v>
      </c>
      <c r="N17" s="22">
        <f t="shared" si="3"/>
        <v>97.5</v>
      </c>
      <c r="O17" s="22">
        <f t="shared" si="3"/>
        <v>100</v>
      </c>
      <c r="P17" s="22">
        <f t="shared" si="3"/>
        <v>94</v>
      </c>
      <c r="Q17" s="22">
        <f t="shared" si="3"/>
        <v>95</v>
      </c>
      <c r="R17" s="22">
        <f t="shared" si="3"/>
        <v>89.5</v>
      </c>
      <c r="S17" s="22">
        <f t="shared" si="3"/>
        <v>1213.5</v>
      </c>
      <c r="T17" s="22">
        <f t="shared" si="3"/>
        <v>93.34615384615384</v>
      </c>
      <c r="U17" s="22">
        <f>'10A Sem avr'!$H$7</f>
        <v>2</v>
      </c>
      <c r="V17" s="22">
        <f t="shared" si="3"/>
        <v>0</v>
      </c>
      <c r="W17" s="22">
        <f t="shared" si="3"/>
        <v>0</v>
      </c>
    </row>
    <row r="18" spans="1:23" ht="17.25" customHeight="1" thickBot="1" x14ac:dyDescent="0.3">
      <c r="A18" s="234">
        <v>5</v>
      </c>
      <c r="B18" s="218"/>
      <c r="C18" s="213">
        <v>14</v>
      </c>
      <c r="D18" s="217" t="s">
        <v>20</v>
      </c>
      <c r="E18" s="69" t="s">
        <v>21</v>
      </c>
      <c r="F18" s="22">
        <f>'10A Sem 1'!E8</f>
        <v>80</v>
      </c>
      <c r="G18" s="22">
        <f>'10A Sem 1'!F8</f>
        <v>80</v>
      </c>
      <c r="H18" s="22">
        <f>'10A Sem 1'!G8</f>
        <v>88</v>
      </c>
      <c r="I18" s="22">
        <f>'10A Sem 1'!H8</f>
        <v>67</v>
      </c>
      <c r="J18" s="22">
        <f>'10A Sem 1'!I8</f>
        <v>76</v>
      </c>
      <c r="K18" s="22">
        <f>'10A Sem 1'!J8</f>
        <v>78</v>
      </c>
      <c r="L18" s="22">
        <f>'10A Sem 1'!K8</f>
        <v>78</v>
      </c>
      <c r="M18" s="22">
        <f>'10A Sem 1'!L8</f>
        <v>68</v>
      </c>
      <c r="N18" s="22">
        <f>'10A Sem 1'!M8</f>
        <v>79</v>
      </c>
      <c r="O18" s="22">
        <f>'10A Sem 1'!N8</f>
        <v>92</v>
      </c>
      <c r="P18" s="22">
        <f>'10A Sem 1'!O8</f>
        <v>83</v>
      </c>
      <c r="Q18" s="22">
        <f>'10A Sem 1'!P8</f>
        <v>67</v>
      </c>
      <c r="R18" s="22">
        <f>'10A Sem 1'!Q8</f>
        <v>87</v>
      </c>
      <c r="S18" s="22">
        <f>'10A Sem 1'!R8</f>
        <v>1023</v>
      </c>
      <c r="T18" s="22">
        <f>'10A Sem 1'!S8</f>
        <v>78.692307692307693</v>
      </c>
      <c r="U18" s="117">
        <f>'10A Sem 1'!T8</f>
        <v>17</v>
      </c>
      <c r="V18" s="35">
        <f>'10A Sem 1'!U8</f>
        <v>0</v>
      </c>
      <c r="W18" s="35">
        <f>'10A Sem 1'!V8</f>
        <v>0</v>
      </c>
    </row>
    <row r="19" spans="1:23" ht="17.25" customHeight="1" thickBot="1" x14ac:dyDescent="0.3">
      <c r="A19" s="234"/>
      <c r="B19" s="218"/>
      <c r="C19" s="213">
        <v>14</v>
      </c>
      <c r="D19" s="217" t="s">
        <v>20</v>
      </c>
      <c r="E19" s="69" t="s">
        <v>22</v>
      </c>
      <c r="F19" s="22">
        <f>'10A Sem 2'!E8</f>
        <v>80</v>
      </c>
      <c r="G19" s="22">
        <f>'10A Sem 2'!F8</f>
        <v>80</v>
      </c>
      <c r="H19" s="22">
        <f>'10A Sem 2'!G8</f>
        <v>88</v>
      </c>
      <c r="I19" s="22">
        <f>'10A Sem 2'!H8</f>
        <v>75</v>
      </c>
      <c r="J19" s="22">
        <f>'10A Sem 2'!I8</f>
        <v>79</v>
      </c>
      <c r="K19" s="22">
        <f>'10A Sem 2'!J8</f>
        <v>83</v>
      </c>
      <c r="L19" s="22">
        <f>'10A Sem 2'!K8</f>
        <v>63</v>
      </c>
      <c r="M19" s="22">
        <f>'10A Sem 2'!L8</f>
        <v>85</v>
      </c>
      <c r="N19" s="22">
        <f>'10A Sem 2'!M8</f>
        <v>68</v>
      </c>
      <c r="O19" s="22">
        <f>'10A Sem 2'!N8</f>
        <v>96</v>
      </c>
      <c r="P19" s="22">
        <f>'10A Sem 2'!O8</f>
        <v>68</v>
      </c>
      <c r="Q19" s="22">
        <f>'10A Sem 2'!P8</f>
        <v>84</v>
      </c>
      <c r="R19" s="22">
        <f>'10A Sem 2'!Q8</f>
        <v>56</v>
      </c>
      <c r="S19" s="22">
        <f>'10A Sem 2'!R8</f>
        <v>1005</v>
      </c>
      <c r="T19" s="22">
        <f>'10A Sem 2'!S8</f>
        <v>77.307692307692307</v>
      </c>
      <c r="U19" s="117">
        <f>'10A Sem 2'!T8</f>
        <v>17</v>
      </c>
      <c r="V19" s="35">
        <f>'10A Sem 2'!U8</f>
        <v>0</v>
      </c>
      <c r="W19" s="35">
        <f>'10A Sem 2'!V8</f>
        <v>0</v>
      </c>
    </row>
    <row r="20" spans="1:23" ht="17.25" customHeight="1" thickBot="1" x14ac:dyDescent="0.3">
      <c r="A20" s="234"/>
      <c r="B20" s="218"/>
      <c r="C20" s="213">
        <v>14</v>
      </c>
      <c r="D20" s="217" t="s">
        <v>20</v>
      </c>
      <c r="E20" s="69" t="s">
        <v>16</v>
      </c>
      <c r="F20" s="22">
        <f>AVERAGE(F18:F19)</f>
        <v>80</v>
      </c>
      <c r="G20" s="22">
        <f t="shared" ref="G20:W20" si="4">AVERAGE(G18:G19)</f>
        <v>80</v>
      </c>
      <c r="H20" s="22">
        <f t="shared" si="4"/>
        <v>88</v>
      </c>
      <c r="I20" s="22">
        <f t="shared" si="4"/>
        <v>71</v>
      </c>
      <c r="J20" s="22">
        <f t="shared" si="4"/>
        <v>77.5</v>
      </c>
      <c r="K20" s="22">
        <f t="shared" si="4"/>
        <v>80.5</v>
      </c>
      <c r="L20" s="22">
        <f t="shared" si="4"/>
        <v>70.5</v>
      </c>
      <c r="M20" s="22">
        <f t="shared" si="4"/>
        <v>76.5</v>
      </c>
      <c r="N20" s="22">
        <f t="shared" si="4"/>
        <v>73.5</v>
      </c>
      <c r="O20" s="22">
        <f t="shared" si="4"/>
        <v>94</v>
      </c>
      <c r="P20" s="22">
        <f t="shared" si="4"/>
        <v>75.5</v>
      </c>
      <c r="Q20" s="22">
        <f t="shared" si="4"/>
        <v>75.5</v>
      </c>
      <c r="R20" s="22">
        <f t="shared" si="4"/>
        <v>71.5</v>
      </c>
      <c r="S20" s="22">
        <f t="shared" si="4"/>
        <v>1014</v>
      </c>
      <c r="T20" s="22">
        <f t="shared" si="4"/>
        <v>78</v>
      </c>
      <c r="U20" s="22">
        <f>'10A Sem avr'!$H$8</f>
        <v>17</v>
      </c>
      <c r="V20" s="22">
        <f t="shared" si="4"/>
        <v>0</v>
      </c>
      <c r="W20" s="22">
        <f t="shared" si="4"/>
        <v>0</v>
      </c>
    </row>
    <row r="21" spans="1:23" ht="17.25" customHeight="1" thickBot="1" x14ac:dyDescent="0.3">
      <c r="A21" s="241">
        <v>6</v>
      </c>
      <c r="B21" s="218"/>
      <c r="C21" s="213">
        <v>16</v>
      </c>
      <c r="D21" s="217" t="s">
        <v>20</v>
      </c>
      <c r="E21" s="69" t="s">
        <v>21</v>
      </c>
      <c r="F21" s="22">
        <f>'10A Sem 1'!E9</f>
        <v>85</v>
      </c>
      <c r="G21" s="22">
        <f>'10A Sem 1'!F9</f>
        <v>73</v>
      </c>
      <c r="H21" s="22">
        <f>'10A Sem 1'!G9</f>
        <v>66</v>
      </c>
      <c r="I21" s="22">
        <f>'10A Sem 1'!H9</f>
        <v>63</v>
      </c>
      <c r="J21" s="22">
        <f>'10A Sem 1'!I9</f>
        <v>67</v>
      </c>
      <c r="K21" s="22">
        <f>'10A Sem 1'!J9</f>
        <v>79</v>
      </c>
      <c r="L21" s="22">
        <f>'10A Sem 1'!K9</f>
        <v>76</v>
      </c>
      <c r="M21" s="22">
        <f>'10A Sem 1'!L9</f>
        <v>80</v>
      </c>
      <c r="N21" s="22">
        <f>'10A Sem 1'!M9</f>
        <v>85</v>
      </c>
      <c r="O21" s="22">
        <f>'10A Sem 1'!N9</f>
        <v>75</v>
      </c>
      <c r="P21" s="22">
        <f>'10A Sem 1'!O9</f>
        <v>92</v>
      </c>
      <c r="Q21" s="22">
        <f>'10A Sem 1'!P9</f>
        <v>92</v>
      </c>
      <c r="R21" s="22">
        <f>'10A Sem 1'!Q9</f>
        <v>81</v>
      </c>
      <c r="S21" s="22">
        <f>'10A Sem 1'!R9</f>
        <v>1014</v>
      </c>
      <c r="T21" s="22">
        <f>'10A Sem 1'!S9</f>
        <v>78</v>
      </c>
      <c r="U21" s="117">
        <f>'10A Sem 1'!T9</f>
        <v>18</v>
      </c>
      <c r="V21" s="35">
        <f>'10A Sem 1'!U9</f>
        <v>0</v>
      </c>
      <c r="W21" s="35">
        <f>'10A Sem 1'!V9</f>
        <v>0</v>
      </c>
    </row>
    <row r="22" spans="1:23" ht="17.25" customHeight="1" thickBot="1" x14ac:dyDescent="0.3">
      <c r="A22" s="241"/>
      <c r="B22" s="218"/>
      <c r="C22" s="213">
        <v>16</v>
      </c>
      <c r="D22" s="217" t="s">
        <v>20</v>
      </c>
      <c r="E22" s="69" t="s">
        <v>22</v>
      </c>
      <c r="F22" s="22">
        <f>'10A Sem 2'!E9</f>
        <v>81</v>
      </c>
      <c r="G22" s="22">
        <f>'10A Sem 2'!F9</f>
        <v>72</v>
      </c>
      <c r="H22" s="22">
        <f>'10A Sem 2'!G9</f>
        <v>61</v>
      </c>
      <c r="I22" s="22">
        <f>'10A Sem 2'!H9</f>
        <v>64</v>
      </c>
      <c r="J22" s="22">
        <f>'10A Sem 2'!I9</f>
        <v>69</v>
      </c>
      <c r="K22" s="22">
        <f>'10A Sem 2'!J9</f>
        <v>73</v>
      </c>
      <c r="L22" s="22">
        <f>'10A Sem 2'!K9</f>
        <v>79</v>
      </c>
      <c r="M22" s="22">
        <f>'10A Sem 2'!L9</f>
        <v>97</v>
      </c>
      <c r="N22" s="22">
        <f>'10A Sem 2'!M9</f>
        <v>85</v>
      </c>
      <c r="O22" s="22">
        <f>'10A Sem 2'!N9</f>
        <v>89</v>
      </c>
      <c r="P22" s="22">
        <f>'10A Sem 2'!O9</f>
        <v>81</v>
      </c>
      <c r="Q22" s="22">
        <f>'10A Sem 2'!P9</f>
        <v>97</v>
      </c>
      <c r="R22" s="22">
        <f>'10A Sem 2'!Q9</f>
        <v>53</v>
      </c>
      <c r="S22" s="22">
        <f>'10A Sem 2'!R9</f>
        <v>1001</v>
      </c>
      <c r="T22" s="22">
        <f>'10A Sem 2'!S9</f>
        <v>77</v>
      </c>
      <c r="U22" s="117">
        <f>'10A Sem 2'!T9</f>
        <v>20</v>
      </c>
      <c r="V22" s="35">
        <f>'10A Sem 2'!U9</f>
        <v>0</v>
      </c>
      <c r="W22" s="35">
        <f>'10A Sem 2'!V9</f>
        <v>0</v>
      </c>
    </row>
    <row r="23" spans="1:23" ht="17.25" customHeight="1" thickBot="1" x14ac:dyDescent="0.3">
      <c r="A23" s="241"/>
      <c r="B23" s="218"/>
      <c r="C23" s="213">
        <v>16</v>
      </c>
      <c r="D23" s="217" t="s">
        <v>20</v>
      </c>
      <c r="E23" s="69" t="s">
        <v>16</v>
      </c>
      <c r="F23" s="22">
        <f>AVERAGE(F21:F22)</f>
        <v>83</v>
      </c>
      <c r="G23" s="22">
        <f t="shared" ref="G23:W23" si="5">AVERAGE(G21:G22)</f>
        <v>72.5</v>
      </c>
      <c r="H23" s="22">
        <f t="shared" si="5"/>
        <v>63.5</v>
      </c>
      <c r="I23" s="22">
        <f t="shared" si="5"/>
        <v>63.5</v>
      </c>
      <c r="J23" s="22">
        <f t="shared" si="5"/>
        <v>68</v>
      </c>
      <c r="K23" s="22">
        <f t="shared" si="5"/>
        <v>76</v>
      </c>
      <c r="L23" s="22">
        <f t="shared" si="5"/>
        <v>77.5</v>
      </c>
      <c r="M23" s="22">
        <f t="shared" si="5"/>
        <v>88.5</v>
      </c>
      <c r="N23" s="22">
        <f t="shared" si="5"/>
        <v>85</v>
      </c>
      <c r="O23" s="22">
        <f t="shared" si="5"/>
        <v>82</v>
      </c>
      <c r="P23" s="22">
        <f t="shared" si="5"/>
        <v>86.5</v>
      </c>
      <c r="Q23" s="22">
        <f t="shared" si="5"/>
        <v>94.5</v>
      </c>
      <c r="R23" s="22">
        <f t="shared" si="5"/>
        <v>67</v>
      </c>
      <c r="S23" s="22">
        <f t="shared" si="5"/>
        <v>1007.5</v>
      </c>
      <c r="T23" s="22">
        <f t="shared" si="5"/>
        <v>77.5</v>
      </c>
      <c r="U23" s="22">
        <f>'10A Sem avr'!$H$9</f>
        <v>18</v>
      </c>
      <c r="V23" s="22">
        <f t="shared" si="5"/>
        <v>0</v>
      </c>
      <c r="W23" s="22">
        <f t="shared" si="5"/>
        <v>0</v>
      </c>
    </row>
    <row r="24" spans="1:23" ht="17.25" customHeight="1" thickBot="1" x14ac:dyDescent="0.3">
      <c r="A24" s="234">
        <v>7</v>
      </c>
      <c r="B24" s="218"/>
      <c r="C24" s="213">
        <v>15</v>
      </c>
      <c r="D24" s="217" t="s">
        <v>23</v>
      </c>
      <c r="E24" s="69" t="s">
        <v>21</v>
      </c>
      <c r="F24" s="22">
        <f>'10A Sem 1'!E10</f>
        <v>88</v>
      </c>
      <c r="G24" s="22">
        <f>'10A Sem 1'!F10</f>
        <v>95</v>
      </c>
      <c r="H24" s="22">
        <f>'10A Sem 1'!G10</f>
        <v>97</v>
      </c>
      <c r="I24" s="22">
        <f>'10A Sem 1'!H10</f>
        <v>95</v>
      </c>
      <c r="J24" s="22">
        <f>'10A Sem 1'!I10</f>
        <v>79</v>
      </c>
      <c r="K24" s="22">
        <f>'10A Sem 1'!J10</f>
        <v>93</v>
      </c>
      <c r="L24" s="22">
        <f>'10A Sem 1'!K10</f>
        <v>93</v>
      </c>
      <c r="M24" s="22">
        <f>'10A Sem 1'!L10</f>
        <v>82</v>
      </c>
      <c r="N24" s="22">
        <f>'10A Sem 1'!M10</f>
        <v>96</v>
      </c>
      <c r="O24" s="22">
        <f>'10A Sem 1'!N10</f>
        <v>100</v>
      </c>
      <c r="P24" s="22">
        <f>'10A Sem 1'!O10</f>
        <v>92</v>
      </c>
      <c r="Q24" s="22">
        <f>'10A Sem 1'!P10</f>
        <v>97</v>
      </c>
      <c r="R24" s="22">
        <f>'10A Sem 1'!Q10</f>
        <v>91</v>
      </c>
      <c r="S24" s="22">
        <f>'10A Sem 1'!R10</f>
        <v>1198</v>
      </c>
      <c r="T24" s="22">
        <f>'10A Sem 1'!S10</f>
        <v>92.15384615384616</v>
      </c>
      <c r="U24" s="117">
        <f>'10A Sem 1'!T10</f>
        <v>4</v>
      </c>
      <c r="V24" s="35">
        <f>'10A Sem 1'!U10</f>
        <v>0</v>
      </c>
      <c r="W24" s="35">
        <f>'10A Sem 1'!V10</f>
        <v>0</v>
      </c>
    </row>
    <row r="25" spans="1:23" ht="17.25" customHeight="1" thickBot="1" x14ac:dyDescent="0.3">
      <c r="A25" s="234"/>
      <c r="B25" s="218"/>
      <c r="C25" s="213">
        <v>15</v>
      </c>
      <c r="D25" s="217" t="s">
        <v>23</v>
      </c>
      <c r="E25" s="69" t="s">
        <v>22</v>
      </c>
      <c r="F25" s="22">
        <f>'10A Sem 2'!E10</f>
        <v>89</v>
      </c>
      <c r="G25" s="22">
        <f>'10A Sem 2'!F10</f>
        <v>91</v>
      </c>
      <c r="H25" s="22">
        <f>'10A Sem 2'!G10</f>
        <v>92</v>
      </c>
      <c r="I25" s="22">
        <f>'10A Sem 2'!H10</f>
        <v>88</v>
      </c>
      <c r="J25" s="22">
        <f>'10A Sem 2'!I10</f>
        <v>91</v>
      </c>
      <c r="K25" s="22">
        <f>'10A Sem 2'!J10</f>
        <v>96</v>
      </c>
      <c r="L25" s="22">
        <f>'10A Sem 2'!K10</f>
        <v>91</v>
      </c>
      <c r="M25" s="22">
        <f>'10A Sem 2'!L10</f>
        <v>98</v>
      </c>
      <c r="N25" s="22">
        <f>'10A Sem 2'!M10</f>
        <v>91</v>
      </c>
      <c r="O25" s="22">
        <f>'10A Sem 2'!N10</f>
        <v>100</v>
      </c>
      <c r="P25" s="22">
        <f>'10A Sem 2'!O10</f>
        <v>93</v>
      </c>
      <c r="Q25" s="22">
        <f>'10A Sem 2'!P10</f>
        <v>99</v>
      </c>
      <c r="R25" s="22">
        <f>'10A Sem 2'!Q10</f>
        <v>86</v>
      </c>
      <c r="S25" s="22">
        <f>'10A Sem 2'!R10</f>
        <v>1205</v>
      </c>
      <c r="T25" s="22">
        <f>'10A Sem 2'!S10</f>
        <v>92.692307692307693</v>
      </c>
      <c r="U25" s="117">
        <f>'10A Sem 2'!T10</f>
        <v>2</v>
      </c>
      <c r="V25" s="35">
        <f>'10A Sem 2'!U10</f>
        <v>0</v>
      </c>
      <c r="W25" s="35">
        <f>'10A Sem 2'!V10</f>
        <v>0</v>
      </c>
    </row>
    <row r="26" spans="1:23" ht="17.25" customHeight="1" thickBot="1" x14ac:dyDescent="0.3">
      <c r="A26" s="234"/>
      <c r="B26" s="218"/>
      <c r="C26" s="213">
        <v>15</v>
      </c>
      <c r="D26" s="217" t="s">
        <v>23</v>
      </c>
      <c r="E26" s="69" t="s">
        <v>16</v>
      </c>
      <c r="F26" s="22">
        <f>AVERAGE(F24:F25)</f>
        <v>88.5</v>
      </c>
      <c r="G26" s="22">
        <f t="shared" ref="G26:W26" si="6">AVERAGE(G24:G25)</f>
        <v>93</v>
      </c>
      <c r="H26" s="22">
        <f t="shared" si="6"/>
        <v>94.5</v>
      </c>
      <c r="I26" s="22">
        <f t="shared" si="6"/>
        <v>91.5</v>
      </c>
      <c r="J26" s="22">
        <f t="shared" si="6"/>
        <v>85</v>
      </c>
      <c r="K26" s="22">
        <f t="shared" si="6"/>
        <v>94.5</v>
      </c>
      <c r="L26" s="22">
        <f t="shared" si="6"/>
        <v>92</v>
      </c>
      <c r="M26" s="22">
        <f t="shared" si="6"/>
        <v>90</v>
      </c>
      <c r="N26" s="22">
        <f t="shared" si="6"/>
        <v>93.5</v>
      </c>
      <c r="O26" s="22">
        <f t="shared" si="6"/>
        <v>100</v>
      </c>
      <c r="P26" s="22">
        <f t="shared" si="6"/>
        <v>92.5</v>
      </c>
      <c r="Q26" s="22">
        <f t="shared" si="6"/>
        <v>98</v>
      </c>
      <c r="R26" s="22">
        <f t="shared" si="6"/>
        <v>88.5</v>
      </c>
      <c r="S26" s="22">
        <f t="shared" si="6"/>
        <v>1201.5</v>
      </c>
      <c r="T26" s="22">
        <f t="shared" si="6"/>
        <v>92.423076923076934</v>
      </c>
      <c r="U26" s="22">
        <f>'10A Sem avr'!$H$10</f>
        <v>3</v>
      </c>
      <c r="V26" s="22">
        <f t="shared" si="6"/>
        <v>0</v>
      </c>
      <c r="W26" s="22">
        <f t="shared" si="6"/>
        <v>0</v>
      </c>
    </row>
    <row r="27" spans="1:23" ht="17.25" customHeight="1" thickBot="1" x14ac:dyDescent="0.3">
      <c r="A27" s="234">
        <v>8</v>
      </c>
      <c r="B27" s="218"/>
      <c r="C27" s="213">
        <v>15</v>
      </c>
      <c r="D27" s="217" t="s">
        <v>23</v>
      </c>
      <c r="E27" s="69" t="s">
        <v>21</v>
      </c>
      <c r="F27" s="22">
        <f>'10A Sem 1'!E11</f>
        <v>73</v>
      </c>
      <c r="G27" s="22">
        <f>'10A Sem 1'!F11</f>
        <v>76</v>
      </c>
      <c r="H27" s="22">
        <f>'10A Sem 1'!G11</f>
        <v>61</v>
      </c>
      <c r="I27" s="22">
        <f>'10A Sem 1'!H11</f>
        <v>43</v>
      </c>
      <c r="J27" s="22">
        <f>'10A Sem 1'!I11</f>
        <v>50</v>
      </c>
      <c r="K27" s="22">
        <f>'10A Sem 1'!J11</f>
        <v>69</v>
      </c>
      <c r="L27" s="22">
        <f>'10A Sem 1'!K11</f>
        <v>52</v>
      </c>
      <c r="M27" s="22">
        <f>'10A Sem 1'!L11</f>
        <v>65</v>
      </c>
      <c r="N27" s="22">
        <f>'10A Sem 1'!M11</f>
        <v>82</v>
      </c>
      <c r="O27" s="22">
        <f>'10A Sem 1'!N11</f>
        <v>72</v>
      </c>
      <c r="P27" s="22">
        <f>'10A Sem 1'!O11</f>
        <v>82</v>
      </c>
      <c r="Q27" s="22">
        <f>'10A Sem 1'!P11</f>
        <v>95</v>
      </c>
      <c r="R27" s="22">
        <f>'10A Sem 1'!Q11</f>
        <v>60</v>
      </c>
      <c r="S27" s="22">
        <f>'10A Sem 1'!R11</f>
        <v>880</v>
      </c>
      <c r="T27" s="22">
        <f>'10A Sem 1'!S11</f>
        <v>67.692307692307693</v>
      </c>
      <c r="U27" s="117">
        <f>'10A Sem 1'!T11</f>
        <v>33</v>
      </c>
      <c r="V27" s="35">
        <f>'10A Sem 1'!U11</f>
        <v>0</v>
      </c>
      <c r="W27" s="35">
        <f>'10A Sem 1'!V11</f>
        <v>0</v>
      </c>
    </row>
    <row r="28" spans="1:23" ht="17.25" customHeight="1" thickBot="1" x14ac:dyDescent="0.3">
      <c r="A28" s="234"/>
      <c r="B28" s="218"/>
      <c r="C28" s="213">
        <v>15</v>
      </c>
      <c r="D28" s="217" t="s">
        <v>23</v>
      </c>
      <c r="E28" s="69" t="s">
        <v>22</v>
      </c>
      <c r="F28" s="22">
        <f>'10A Sem 2'!E11</f>
        <v>73</v>
      </c>
      <c r="G28" s="22">
        <f>'10A Sem 2'!F11</f>
        <v>77</v>
      </c>
      <c r="H28" s="22">
        <f>'10A Sem 2'!G11</f>
        <v>48</v>
      </c>
      <c r="I28" s="22">
        <f>'10A Sem 2'!H11</f>
        <v>52</v>
      </c>
      <c r="J28" s="22">
        <f>'10A Sem 2'!I11</f>
        <v>54</v>
      </c>
      <c r="K28" s="22">
        <f>'10A Sem 2'!J11</f>
        <v>75</v>
      </c>
      <c r="L28" s="22">
        <f>'10A Sem 2'!K11</f>
        <v>58</v>
      </c>
      <c r="M28" s="22">
        <f>'10A Sem 2'!L11</f>
        <v>82</v>
      </c>
      <c r="N28" s="22">
        <f>'10A Sem 2'!M11</f>
        <v>84</v>
      </c>
      <c r="O28" s="22">
        <f>'10A Sem 2'!N11</f>
        <v>98</v>
      </c>
      <c r="P28" s="22">
        <f>'10A Sem 2'!O11</f>
        <v>83</v>
      </c>
      <c r="Q28" s="22">
        <f>'10A Sem 2'!P11</f>
        <v>90</v>
      </c>
      <c r="R28" s="22">
        <f>'10A Sem 2'!Q11</f>
        <v>53</v>
      </c>
      <c r="S28" s="22">
        <f>'10A Sem 2'!R11</f>
        <v>927</v>
      </c>
      <c r="T28" s="22">
        <f>'10A Sem 2'!S11</f>
        <v>71.307692307692307</v>
      </c>
      <c r="U28" s="117">
        <f>'10A Sem 2'!T11</f>
        <v>28</v>
      </c>
      <c r="V28" s="35">
        <f>'10A Sem 2'!U11</f>
        <v>0</v>
      </c>
      <c r="W28" s="35">
        <f>'10A Sem 2'!V11</f>
        <v>0</v>
      </c>
    </row>
    <row r="29" spans="1:23" ht="17.25" customHeight="1" thickBot="1" x14ac:dyDescent="0.3">
      <c r="A29" s="234"/>
      <c r="B29" s="218"/>
      <c r="C29" s="213">
        <v>15</v>
      </c>
      <c r="D29" s="217" t="s">
        <v>23</v>
      </c>
      <c r="E29" s="69" t="s">
        <v>16</v>
      </c>
      <c r="F29" s="22">
        <f>AVERAGE(F27:F28)</f>
        <v>73</v>
      </c>
      <c r="G29" s="22">
        <f t="shared" ref="G29:W29" si="7">AVERAGE(G27:G28)</f>
        <v>76.5</v>
      </c>
      <c r="H29" s="22">
        <f t="shared" si="7"/>
        <v>54.5</v>
      </c>
      <c r="I29" s="22">
        <f t="shared" si="7"/>
        <v>47.5</v>
      </c>
      <c r="J29" s="22">
        <f t="shared" si="7"/>
        <v>52</v>
      </c>
      <c r="K29" s="22">
        <f t="shared" si="7"/>
        <v>72</v>
      </c>
      <c r="L29" s="22">
        <f t="shared" si="7"/>
        <v>55</v>
      </c>
      <c r="M29" s="22">
        <f t="shared" si="7"/>
        <v>73.5</v>
      </c>
      <c r="N29" s="22">
        <f t="shared" si="7"/>
        <v>83</v>
      </c>
      <c r="O29" s="22">
        <f t="shared" si="7"/>
        <v>85</v>
      </c>
      <c r="P29" s="22">
        <f t="shared" si="7"/>
        <v>82.5</v>
      </c>
      <c r="Q29" s="22">
        <f t="shared" si="7"/>
        <v>92.5</v>
      </c>
      <c r="R29" s="22">
        <f t="shared" si="7"/>
        <v>56.5</v>
      </c>
      <c r="S29" s="22">
        <f t="shared" si="7"/>
        <v>903.5</v>
      </c>
      <c r="T29" s="22">
        <f t="shared" si="7"/>
        <v>69.5</v>
      </c>
      <c r="U29" s="22">
        <f>'10A Sem avr'!$H$11</f>
        <v>32</v>
      </c>
      <c r="V29" s="22">
        <f t="shared" si="7"/>
        <v>0</v>
      </c>
      <c r="W29" s="22">
        <f t="shared" si="7"/>
        <v>0</v>
      </c>
    </row>
    <row r="30" spans="1:23" ht="17.25" customHeight="1" thickBot="1" x14ac:dyDescent="0.3">
      <c r="A30" s="241">
        <v>9</v>
      </c>
      <c r="B30" s="218"/>
      <c r="C30" s="213">
        <v>16</v>
      </c>
      <c r="D30" s="217" t="s">
        <v>23</v>
      </c>
      <c r="E30" s="69" t="s">
        <v>21</v>
      </c>
      <c r="F30" s="22">
        <f>'10A Sem 1'!E11</f>
        <v>73</v>
      </c>
      <c r="G30" s="22">
        <f>'10A Sem 1'!F11</f>
        <v>76</v>
      </c>
      <c r="H30" s="22">
        <f>'10A Sem 1'!G11</f>
        <v>61</v>
      </c>
      <c r="I30" s="22">
        <f>'10A Sem 1'!H11</f>
        <v>43</v>
      </c>
      <c r="J30" s="22">
        <f>'10A Sem 1'!I11</f>
        <v>50</v>
      </c>
      <c r="K30" s="22">
        <f>'10A Sem 1'!J11</f>
        <v>69</v>
      </c>
      <c r="L30" s="22">
        <f>'10A Sem 1'!K11</f>
        <v>52</v>
      </c>
      <c r="M30" s="22">
        <f>'10A Sem 1'!L11</f>
        <v>65</v>
      </c>
      <c r="N30" s="22">
        <f>'10A Sem 1'!M11</f>
        <v>82</v>
      </c>
      <c r="O30" s="22">
        <f>'10A Sem 1'!N11</f>
        <v>72</v>
      </c>
      <c r="P30" s="22">
        <f>'10A Sem 1'!O11</f>
        <v>82</v>
      </c>
      <c r="Q30" s="22">
        <f>'10A Sem 1'!P11</f>
        <v>95</v>
      </c>
      <c r="R30" s="22">
        <f>'10A Sem 1'!Q11</f>
        <v>60</v>
      </c>
      <c r="S30" s="22">
        <f>'10A Sem 1'!R11</f>
        <v>880</v>
      </c>
      <c r="T30" s="22">
        <f>'10A Sem 1'!S11</f>
        <v>67.692307692307693</v>
      </c>
      <c r="U30" s="117">
        <f>'10A Sem 1'!T11</f>
        <v>33</v>
      </c>
      <c r="V30" s="35">
        <f>'10A Sem 1'!U11</f>
        <v>0</v>
      </c>
      <c r="W30" s="35">
        <f>'10A Sem 1'!V11</f>
        <v>0</v>
      </c>
    </row>
    <row r="31" spans="1:23" ht="17.25" customHeight="1" thickBot="1" x14ac:dyDescent="0.3">
      <c r="A31" s="241"/>
      <c r="B31" s="218"/>
      <c r="C31" s="213">
        <v>16</v>
      </c>
      <c r="D31" s="217" t="s">
        <v>23</v>
      </c>
      <c r="E31" s="69" t="s">
        <v>22</v>
      </c>
      <c r="F31" s="22">
        <f>'10A Sem 2'!E12</f>
        <v>66</v>
      </c>
      <c r="G31" s="22">
        <f>'10A Sem 2'!F12</f>
        <v>71</v>
      </c>
      <c r="H31" s="22">
        <f>'10A Sem 2'!G12</f>
        <v>61</v>
      </c>
      <c r="I31" s="22">
        <f>'10A Sem 2'!H12</f>
        <v>57</v>
      </c>
      <c r="J31" s="22">
        <f>'10A Sem 2'!I12</f>
        <v>59</v>
      </c>
      <c r="K31" s="22">
        <f>'10A Sem 2'!J12</f>
        <v>71</v>
      </c>
      <c r="L31" s="22">
        <f>'10A Sem 2'!K12</f>
        <v>73</v>
      </c>
      <c r="M31" s="22">
        <f>'10A Sem 2'!L12</f>
        <v>86</v>
      </c>
      <c r="N31" s="22">
        <f>'10A Sem 2'!M12</f>
        <v>65</v>
      </c>
      <c r="O31" s="22">
        <f>'10A Sem 2'!N12</f>
        <v>87</v>
      </c>
      <c r="P31" s="22">
        <f>'10A Sem 2'!O12</f>
        <v>63</v>
      </c>
      <c r="Q31" s="22">
        <f>'10A Sem 2'!P12</f>
        <v>77</v>
      </c>
      <c r="R31" s="22">
        <f>'10A Sem 2'!Q12</f>
        <v>57</v>
      </c>
      <c r="S31" s="22">
        <f>'10A Sem 2'!R12</f>
        <v>893</v>
      </c>
      <c r="T31" s="22">
        <f>'10A Sem 2'!S12</f>
        <v>68.692307692307693</v>
      </c>
      <c r="U31" s="117">
        <f>'10A Sem 2'!T12</f>
        <v>35</v>
      </c>
      <c r="V31" s="35">
        <f>'10A Sem 2'!U12</f>
        <v>0</v>
      </c>
      <c r="W31" s="35">
        <f>'10A Sem 2'!V12</f>
        <v>0</v>
      </c>
    </row>
    <row r="32" spans="1:23" ht="17.25" customHeight="1" thickBot="1" x14ac:dyDescent="0.3">
      <c r="A32" s="241"/>
      <c r="B32" s="218"/>
      <c r="C32" s="213">
        <v>16</v>
      </c>
      <c r="D32" s="217" t="s">
        <v>23</v>
      </c>
      <c r="E32" s="69" t="s">
        <v>16</v>
      </c>
      <c r="F32" s="22">
        <f>AVERAGE(F30:F31)</f>
        <v>69.5</v>
      </c>
      <c r="G32" s="22">
        <f t="shared" ref="G32:W32" si="8">AVERAGE(G30:G31)</f>
        <v>73.5</v>
      </c>
      <c r="H32" s="22">
        <f t="shared" si="8"/>
        <v>61</v>
      </c>
      <c r="I32" s="22">
        <f t="shared" si="8"/>
        <v>50</v>
      </c>
      <c r="J32" s="22">
        <f t="shared" si="8"/>
        <v>54.5</v>
      </c>
      <c r="K32" s="22">
        <f t="shared" si="8"/>
        <v>70</v>
      </c>
      <c r="L32" s="22">
        <f t="shared" si="8"/>
        <v>62.5</v>
      </c>
      <c r="M32" s="22">
        <f t="shared" si="8"/>
        <v>75.5</v>
      </c>
      <c r="N32" s="22">
        <f t="shared" si="8"/>
        <v>73.5</v>
      </c>
      <c r="O32" s="22">
        <f t="shared" si="8"/>
        <v>79.5</v>
      </c>
      <c r="P32" s="22">
        <f t="shared" si="8"/>
        <v>72.5</v>
      </c>
      <c r="Q32" s="22">
        <f t="shared" si="8"/>
        <v>86</v>
      </c>
      <c r="R32" s="22">
        <f t="shared" si="8"/>
        <v>58.5</v>
      </c>
      <c r="S32" s="22">
        <f t="shared" si="8"/>
        <v>886.5</v>
      </c>
      <c r="T32" s="22">
        <f t="shared" si="8"/>
        <v>68.192307692307693</v>
      </c>
      <c r="U32" s="22">
        <f>'10A Sem avr'!$H$12</f>
        <v>36</v>
      </c>
      <c r="V32" s="22">
        <f t="shared" si="8"/>
        <v>0</v>
      </c>
      <c r="W32" s="22">
        <f t="shared" si="8"/>
        <v>0</v>
      </c>
    </row>
    <row r="33" spans="1:23" ht="17.25" customHeight="1" thickBot="1" x14ac:dyDescent="0.3">
      <c r="A33" s="234">
        <v>10</v>
      </c>
      <c r="B33" s="218"/>
      <c r="C33" s="213">
        <v>16</v>
      </c>
      <c r="D33" s="217" t="s">
        <v>20</v>
      </c>
      <c r="E33" s="69" t="s">
        <v>21</v>
      </c>
      <c r="F33" s="22">
        <f>'10A Sem 1'!E13</f>
        <v>63</v>
      </c>
      <c r="G33" s="22">
        <f>'10A Sem 1'!F13</f>
        <v>45</v>
      </c>
      <c r="H33" s="22">
        <f>'10A Sem 1'!G13</f>
        <v>61</v>
      </c>
      <c r="I33" s="22">
        <f>'10A Sem 1'!H13</f>
        <v>53</v>
      </c>
      <c r="J33" s="22">
        <f>'10A Sem 1'!I13</f>
        <v>47</v>
      </c>
      <c r="K33" s="22">
        <f>'10A Sem 1'!J13</f>
        <v>58</v>
      </c>
      <c r="L33" s="22">
        <f>'10A Sem 1'!K13</f>
        <v>56</v>
      </c>
      <c r="M33" s="22">
        <f>'10A Sem 1'!L13</f>
        <v>52</v>
      </c>
      <c r="N33" s="22">
        <f>'10A Sem 1'!M13</f>
        <v>51</v>
      </c>
      <c r="O33" s="22">
        <f>'10A Sem 1'!N13</f>
        <v>58</v>
      </c>
      <c r="P33" s="22">
        <f>'10A Sem 1'!O13</f>
        <v>59</v>
      </c>
      <c r="Q33" s="22">
        <f>'10A Sem 1'!P13</f>
        <v>79</v>
      </c>
      <c r="R33" s="22">
        <f>'10A Sem 1'!Q13</f>
        <v>59</v>
      </c>
      <c r="S33" s="22">
        <f>'10A Sem 1'!R13</f>
        <v>741</v>
      </c>
      <c r="T33" s="22">
        <f>'10A Sem 1'!S13</f>
        <v>57</v>
      </c>
      <c r="U33" s="117">
        <f>'10A Sem 1'!T13</f>
        <v>49</v>
      </c>
      <c r="V33" s="35">
        <f>'10A Sem 1'!U13</f>
        <v>0</v>
      </c>
      <c r="W33" s="35">
        <f>'10A Sem 1'!V13</f>
        <v>0</v>
      </c>
    </row>
    <row r="34" spans="1:23" ht="17.25" customHeight="1" thickBot="1" x14ac:dyDescent="0.3">
      <c r="A34" s="234"/>
      <c r="B34" s="218"/>
      <c r="C34" s="213">
        <v>16</v>
      </c>
      <c r="D34" s="217" t="s">
        <v>20</v>
      </c>
      <c r="E34" s="69" t="s">
        <v>22</v>
      </c>
      <c r="F34" s="22">
        <f>'10A Sem 2'!E13</f>
        <v>61</v>
      </c>
      <c r="G34" s="22">
        <f>'10A Sem 2'!F13</f>
        <v>61</v>
      </c>
      <c r="H34" s="22">
        <f>'10A Sem 2'!G13</f>
        <v>39</v>
      </c>
      <c r="I34" s="22">
        <f>'10A Sem 2'!H13</f>
        <v>51</v>
      </c>
      <c r="J34" s="22">
        <f>'10A Sem 2'!I13</f>
        <v>48</v>
      </c>
      <c r="K34" s="22">
        <f>'10A Sem 2'!J13</f>
        <v>58</v>
      </c>
      <c r="L34" s="22">
        <f>'10A Sem 2'!K13</f>
        <v>51</v>
      </c>
      <c r="M34" s="22">
        <f>'10A Sem 2'!L13</f>
        <v>63</v>
      </c>
      <c r="N34" s="22">
        <f>'10A Sem 2'!M13</f>
        <v>67</v>
      </c>
      <c r="O34" s="22">
        <f>'10A Sem 2'!N13</f>
        <v>85</v>
      </c>
      <c r="P34" s="22">
        <f>'10A Sem 2'!O13</f>
        <v>49</v>
      </c>
      <c r="Q34" s="22">
        <f>'10A Sem 2'!P13</f>
        <v>86</v>
      </c>
      <c r="R34" s="22">
        <f>'10A Sem 2'!Q13</f>
        <v>58</v>
      </c>
      <c r="S34" s="22">
        <f>'10A Sem 2'!R13</f>
        <v>777</v>
      </c>
      <c r="T34" s="22">
        <f>'10A Sem 2'!S13</f>
        <v>59.769230769230766</v>
      </c>
      <c r="U34" s="117">
        <f>'10A Sem 2'!T13</f>
        <v>48</v>
      </c>
      <c r="V34" s="35">
        <f>'10A Sem 2'!U13</f>
        <v>0</v>
      </c>
      <c r="W34" s="35">
        <f>'10A Sem 2'!V13</f>
        <v>0</v>
      </c>
    </row>
    <row r="35" spans="1:23" ht="17.25" customHeight="1" thickBot="1" x14ac:dyDescent="0.3">
      <c r="A35" s="234"/>
      <c r="B35" s="218"/>
      <c r="C35" s="213">
        <v>16</v>
      </c>
      <c r="D35" s="217" t="s">
        <v>20</v>
      </c>
      <c r="E35" s="69" t="s">
        <v>16</v>
      </c>
      <c r="F35" s="22">
        <f>AVERAGE(F33:F34)</f>
        <v>62</v>
      </c>
      <c r="G35" s="22">
        <f t="shared" ref="G35:W35" si="9">AVERAGE(G33:G34)</f>
        <v>53</v>
      </c>
      <c r="H35" s="22">
        <f t="shared" si="9"/>
        <v>50</v>
      </c>
      <c r="I35" s="22">
        <f t="shared" si="9"/>
        <v>52</v>
      </c>
      <c r="J35" s="22">
        <f t="shared" si="9"/>
        <v>47.5</v>
      </c>
      <c r="K35" s="22">
        <f t="shared" si="9"/>
        <v>58</v>
      </c>
      <c r="L35" s="22">
        <f t="shared" si="9"/>
        <v>53.5</v>
      </c>
      <c r="M35" s="22">
        <f t="shared" si="9"/>
        <v>57.5</v>
      </c>
      <c r="N35" s="22">
        <f t="shared" si="9"/>
        <v>59</v>
      </c>
      <c r="O35" s="22">
        <f t="shared" si="9"/>
        <v>71.5</v>
      </c>
      <c r="P35" s="22">
        <f t="shared" si="9"/>
        <v>54</v>
      </c>
      <c r="Q35" s="22">
        <f t="shared" si="9"/>
        <v>82.5</v>
      </c>
      <c r="R35" s="22">
        <f t="shared" si="9"/>
        <v>58.5</v>
      </c>
      <c r="S35" s="22">
        <f t="shared" si="9"/>
        <v>759</v>
      </c>
      <c r="T35" s="22">
        <f t="shared" si="9"/>
        <v>58.384615384615387</v>
      </c>
      <c r="U35" s="22">
        <f>'10A Sem avr'!$H$13</f>
        <v>50</v>
      </c>
      <c r="V35" s="22">
        <f t="shared" si="9"/>
        <v>0</v>
      </c>
      <c r="W35" s="22">
        <f t="shared" si="9"/>
        <v>0</v>
      </c>
    </row>
    <row r="36" spans="1:23" ht="17.25" customHeight="1" thickBot="1" x14ac:dyDescent="0.3">
      <c r="A36" s="241">
        <v>11</v>
      </c>
      <c r="B36" s="218"/>
      <c r="C36" s="213">
        <v>15</v>
      </c>
      <c r="D36" s="217" t="s">
        <v>23</v>
      </c>
      <c r="E36" s="69" t="s">
        <v>21</v>
      </c>
      <c r="F36" s="22">
        <f>'10A Sem 1'!E14</f>
        <v>77</v>
      </c>
      <c r="G36" s="22">
        <f>'10A Sem 1'!F14</f>
        <v>81</v>
      </c>
      <c r="H36" s="22">
        <f>'10A Sem 1'!G14</f>
        <v>60</v>
      </c>
      <c r="I36" s="22">
        <f>'10A Sem 1'!H14</f>
        <v>61</v>
      </c>
      <c r="J36" s="22">
        <f>'10A Sem 1'!I14</f>
        <v>62</v>
      </c>
      <c r="K36" s="22">
        <f>'10A Sem 1'!J14</f>
        <v>80</v>
      </c>
      <c r="L36" s="22">
        <f>'10A Sem 1'!K14</f>
        <v>82</v>
      </c>
      <c r="M36" s="22">
        <f>'10A Sem 1'!L14</f>
        <v>71</v>
      </c>
      <c r="N36" s="22">
        <f>'10A Sem 1'!M14</f>
        <v>89</v>
      </c>
      <c r="O36" s="22">
        <f>'10A Sem 1'!N14</f>
        <v>75</v>
      </c>
      <c r="P36" s="22">
        <f>'10A Sem 1'!O14</f>
        <v>79</v>
      </c>
      <c r="Q36" s="22">
        <f>'10A Sem 1'!P14</f>
        <v>78</v>
      </c>
      <c r="R36" s="22">
        <f>'10A Sem 1'!Q14</f>
        <v>100</v>
      </c>
      <c r="S36" s="22">
        <f>'10A Sem 1'!R14</f>
        <v>995</v>
      </c>
      <c r="T36" s="22">
        <f>'10A Sem 1'!S14</f>
        <v>76.538461538461533</v>
      </c>
      <c r="U36" s="117">
        <f>'10A Sem 1'!T14</f>
        <v>21</v>
      </c>
      <c r="V36" s="35">
        <f>'10A Sem 1'!U14</f>
        <v>0</v>
      </c>
      <c r="W36" s="35">
        <f>'10A Sem 1'!V14</f>
        <v>0</v>
      </c>
    </row>
    <row r="37" spans="1:23" ht="17.25" customHeight="1" thickBot="1" x14ac:dyDescent="0.3">
      <c r="A37" s="241"/>
      <c r="B37" s="218"/>
      <c r="C37" s="213">
        <v>15</v>
      </c>
      <c r="D37" s="217" t="s">
        <v>23</v>
      </c>
      <c r="E37" s="69" t="s">
        <v>22</v>
      </c>
      <c r="F37" s="22">
        <f>'10A Sem 2'!E14</f>
        <v>80</v>
      </c>
      <c r="G37" s="22">
        <f>'10A Sem 2'!F14</f>
        <v>80</v>
      </c>
      <c r="H37" s="22">
        <f>'10A Sem 2'!G14</f>
        <v>63</v>
      </c>
      <c r="I37" s="22">
        <f>'10A Sem 2'!H14</f>
        <v>64</v>
      </c>
      <c r="J37" s="22">
        <f>'10A Sem 2'!I14</f>
        <v>62</v>
      </c>
      <c r="K37" s="22">
        <f>'10A Sem 2'!J14</f>
        <v>77</v>
      </c>
      <c r="L37" s="22">
        <f>'10A Sem 2'!K14</f>
        <v>78</v>
      </c>
      <c r="M37" s="22">
        <f>'10A Sem 2'!L14</f>
        <v>86</v>
      </c>
      <c r="N37" s="22">
        <f>'10A Sem 2'!M14</f>
        <v>83</v>
      </c>
      <c r="O37" s="22">
        <f>'10A Sem 2'!N14</f>
        <v>92</v>
      </c>
      <c r="P37" s="22">
        <f>'10A Sem 2'!O14</f>
        <v>70</v>
      </c>
      <c r="Q37" s="22">
        <f>'10A Sem 2'!P14</f>
        <v>80</v>
      </c>
      <c r="R37" s="22">
        <f>'10A Sem 2'!Q14</f>
        <v>95</v>
      </c>
      <c r="S37" s="22">
        <f>'10A Sem 2'!R14</f>
        <v>1010</v>
      </c>
      <c r="T37" s="22">
        <f>'10A Sem 2'!S14</f>
        <v>77.692307692307693</v>
      </c>
      <c r="U37" s="117">
        <f>'10A Sem 2'!T14</f>
        <v>16</v>
      </c>
      <c r="V37" s="35">
        <f>'10A Sem 2'!U14</f>
        <v>0</v>
      </c>
      <c r="W37" s="35">
        <f>'10A Sem 2'!V14</f>
        <v>0</v>
      </c>
    </row>
    <row r="38" spans="1:23" ht="17.25" customHeight="1" thickBot="1" x14ac:dyDescent="0.3">
      <c r="A38" s="241"/>
      <c r="B38" s="218"/>
      <c r="C38" s="213">
        <v>15</v>
      </c>
      <c r="D38" s="217" t="s">
        <v>23</v>
      </c>
      <c r="E38" s="69" t="s">
        <v>16</v>
      </c>
      <c r="F38" s="22">
        <f>AVERAGE(F36:F37)</f>
        <v>78.5</v>
      </c>
      <c r="G38" s="22">
        <f t="shared" ref="G38:W38" si="10">AVERAGE(G36:G37)</f>
        <v>80.5</v>
      </c>
      <c r="H38" s="22">
        <f t="shared" si="10"/>
        <v>61.5</v>
      </c>
      <c r="I38" s="22">
        <f t="shared" si="10"/>
        <v>62.5</v>
      </c>
      <c r="J38" s="22">
        <f t="shared" si="10"/>
        <v>62</v>
      </c>
      <c r="K38" s="22">
        <f t="shared" si="10"/>
        <v>78.5</v>
      </c>
      <c r="L38" s="22">
        <f t="shared" si="10"/>
        <v>80</v>
      </c>
      <c r="M38" s="22">
        <f t="shared" si="10"/>
        <v>78.5</v>
      </c>
      <c r="N38" s="22">
        <f t="shared" si="10"/>
        <v>86</v>
      </c>
      <c r="O38" s="22">
        <f t="shared" si="10"/>
        <v>83.5</v>
      </c>
      <c r="P38" s="22">
        <f t="shared" si="10"/>
        <v>74.5</v>
      </c>
      <c r="Q38" s="22">
        <f t="shared" si="10"/>
        <v>79</v>
      </c>
      <c r="R38" s="22">
        <f t="shared" si="10"/>
        <v>97.5</v>
      </c>
      <c r="S38" s="22">
        <f t="shared" si="10"/>
        <v>1002.5</v>
      </c>
      <c r="T38" s="22">
        <f t="shared" si="10"/>
        <v>77.115384615384613</v>
      </c>
      <c r="U38" s="22">
        <f>'10A Sem avr'!$H$14</f>
        <v>19</v>
      </c>
      <c r="V38" s="22">
        <f t="shared" si="10"/>
        <v>0</v>
      </c>
      <c r="W38" s="22">
        <f t="shared" si="10"/>
        <v>0</v>
      </c>
    </row>
    <row r="39" spans="1:23" ht="17.25" customHeight="1" thickBot="1" x14ac:dyDescent="0.3">
      <c r="A39" s="241">
        <v>12</v>
      </c>
      <c r="B39" s="218"/>
      <c r="C39" s="213">
        <v>15</v>
      </c>
      <c r="D39" s="217" t="s">
        <v>20</v>
      </c>
      <c r="E39" s="69" t="s">
        <v>21</v>
      </c>
      <c r="F39" s="22">
        <f>'10A Sem 1'!E15</f>
        <v>66</v>
      </c>
      <c r="G39" s="22">
        <f>'10A Sem 1'!F15</f>
        <v>53</v>
      </c>
      <c r="H39" s="22">
        <f>'10A Sem 1'!G15</f>
        <v>63</v>
      </c>
      <c r="I39" s="22">
        <f>'10A Sem 1'!H15</f>
        <v>45</v>
      </c>
      <c r="J39" s="22">
        <f>'10A Sem 1'!I15</f>
        <v>40</v>
      </c>
      <c r="K39" s="22">
        <f>'10A Sem 1'!J15</f>
        <v>55</v>
      </c>
      <c r="L39" s="22">
        <f>'10A Sem 1'!K15</f>
        <v>54</v>
      </c>
      <c r="M39" s="22">
        <f>'10A Sem 1'!L15</f>
        <v>52</v>
      </c>
      <c r="N39" s="22">
        <f>'10A Sem 1'!M15</f>
        <v>61</v>
      </c>
      <c r="O39" s="22">
        <f>'10A Sem 1'!N15</f>
        <v>74</v>
      </c>
      <c r="P39" s="22">
        <f>'10A Sem 1'!O15</f>
        <v>60</v>
      </c>
      <c r="Q39" s="22">
        <f>'10A Sem 1'!P15</f>
        <v>86</v>
      </c>
      <c r="R39" s="22">
        <f>'10A Sem 1'!Q15</f>
        <v>65</v>
      </c>
      <c r="S39" s="22">
        <f>'10A Sem 1'!R15</f>
        <v>774</v>
      </c>
      <c r="T39" s="22">
        <f>'10A Sem 1'!S15</f>
        <v>59.53846153846154</v>
      </c>
      <c r="U39" s="117">
        <f>'10A Sem 1'!T15</f>
        <v>44</v>
      </c>
      <c r="V39" s="35">
        <f>'10A Sem 1'!U15</f>
        <v>0</v>
      </c>
      <c r="W39" s="35">
        <f>'10A Sem 1'!V15</f>
        <v>0</v>
      </c>
    </row>
    <row r="40" spans="1:23" ht="17.25" customHeight="1" thickBot="1" x14ac:dyDescent="0.3">
      <c r="A40" s="241"/>
      <c r="B40" s="218"/>
      <c r="C40" s="213">
        <v>15</v>
      </c>
      <c r="D40" s="217" t="s">
        <v>20</v>
      </c>
      <c r="E40" s="69" t="s">
        <v>22</v>
      </c>
      <c r="F40" s="22">
        <f>'10A Sem 2'!E15</f>
        <v>64</v>
      </c>
      <c r="G40" s="22">
        <f>'10A Sem 2'!F15</f>
        <v>62</v>
      </c>
      <c r="H40" s="22">
        <f>'10A Sem 2'!G15</f>
        <v>50</v>
      </c>
      <c r="I40" s="22">
        <f>'10A Sem 2'!H15</f>
        <v>55</v>
      </c>
      <c r="J40" s="22">
        <f>'10A Sem 2'!I15</f>
        <v>43</v>
      </c>
      <c r="K40" s="22">
        <f>'10A Sem 2'!J15</f>
        <v>57</v>
      </c>
      <c r="L40" s="22">
        <f>'10A Sem 2'!K15</f>
        <v>57</v>
      </c>
      <c r="M40" s="22">
        <f>'10A Sem 2'!L15</f>
        <v>72</v>
      </c>
      <c r="N40" s="22">
        <f>'10A Sem 2'!M15</f>
        <v>67</v>
      </c>
      <c r="O40" s="22">
        <f>'10A Sem 2'!N15</f>
        <v>80</v>
      </c>
      <c r="P40" s="22">
        <f>'10A Sem 2'!O15</f>
        <v>50</v>
      </c>
      <c r="Q40" s="22">
        <f>'10A Sem 2'!P15</f>
        <v>86</v>
      </c>
      <c r="R40" s="22">
        <f>'10A Sem 2'!Q15</f>
        <v>59</v>
      </c>
      <c r="S40" s="22">
        <f>'10A Sem 2'!R15</f>
        <v>802</v>
      </c>
      <c r="T40" s="22">
        <f>'10A Sem 2'!S15</f>
        <v>61.692307692307693</v>
      </c>
      <c r="U40" s="117">
        <f>'10A Sem 2'!T15</f>
        <v>43</v>
      </c>
      <c r="V40" s="35">
        <f>'10A Sem 2'!U15</f>
        <v>0</v>
      </c>
      <c r="W40" s="35">
        <f>'10A Sem 2'!V15</f>
        <v>0</v>
      </c>
    </row>
    <row r="41" spans="1:23" ht="17.25" customHeight="1" thickBot="1" x14ac:dyDescent="0.3">
      <c r="A41" s="241"/>
      <c r="B41" s="218"/>
      <c r="C41" s="213">
        <v>15</v>
      </c>
      <c r="D41" s="217" t="s">
        <v>20</v>
      </c>
      <c r="E41" s="69" t="s">
        <v>16</v>
      </c>
      <c r="F41" s="22">
        <f>AVERAGE(F39:F40)</f>
        <v>65</v>
      </c>
      <c r="G41" s="22">
        <f t="shared" ref="G41:W41" si="11">AVERAGE(G39:G40)</f>
        <v>57.5</v>
      </c>
      <c r="H41" s="22">
        <f t="shared" si="11"/>
        <v>56.5</v>
      </c>
      <c r="I41" s="22">
        <f t="shared" si="11"/>
        <v>50</v>
      </c>
      <c r="J41" s="22">
        <f t="shared" si="11"/>
        <v>41.5</v>
      </c>
      <c r="K41" s="22">
        <f t="shared" si="11"/>
        <v>56</v>
      </c>
      <c r="L41" s="22">
        <f t="shared" si="11"/>
        <v>55.5</v>
      </c>
      <c r="M41" s="22">
        <f t="shared" si="11"/>
        <v>62</v>
      </c>
      <c r="N41" s="22">
        <f t="shared" si="11"/>
        <v>64</v>
      </c>
      <c r="O41" s="22">
        <f t="shared" si="11"/>
        <v>77</v>
      </c>
      <c r="P41" s="22">
        <f t="shared" si="11"/>
        <v>55</v>
      </c>
      <c r="Q41" s="22">
        <f t="shared" si="11"/>
        <v>86</v>
      </c>
      <c r="R41" s="22">
        <f t="shared" si="11"/>
        <v>62</v>
      </c>
      <c r="S41" s="22">
        <f t="shared" si="11"/>
        <v>788</v>
      </c>
      <c r="T41" s="22">
        <f t="shared" si="11"/>
        <v>60.615384615384613</v>
      </c>
      <c r="U41" s="22">
        <f>'10A Sem avr'!$H$15</f>
        <v>44</v>
      </c>
      <c r="V41" s="22">
        <f t="shared" si="11"/>
        <v>0</v>
      </c>
      <c r="W41" s="22">
        <f t="shared" si="11"/>
        <v>0</v>
      </c>
    </row>
    <row r="42" spans="1:23" ht="17.25" customHeight="1" thickBot="1" x14ac:dyDescent="0.3">
      <c r="A42" s="241">
        <v>13</v>
      </c>
      <c r="B42" s="234"/>
      <c r="C42" s="247">
        <v>16</v>
      </c>
      <c r="D42" s="248" t="s">
        <v>23</v>
      </c>
      <c r="E42" s="69" t="s">
        <v>21</v>
      </c>
      <c r="F42" s="22">
        <f>'10A Sem 1'!E16</f>
        <v>84</v>
      </c>
      <c r="G42" s="22">
        <f>'10A Sem 1'!F16</f>
        <v>62</v>
      </c>
      <c r="H42" s="22">
        <f>'10A Sem 1'!G16</f>
        <v>65</v>
      </c>
      <c r="I42" s="22">
        <f>'10A Sem 1'!H16</f>
        <v>62</v>
      </c>
      <c r="J42" s="22">
        <f>'10A Sem 1'!I16</f>
        <v>54</v>
      </c>
      <c r="K42" s="22">
        <f>'10A Sem 1'!J16</f>
        <v>67</v>
      </c>
      <c r="L42" s="22">
        <f>'10A Sem 1'!K16</f>
        <v>64</v>
      </c>
      <c r="M42" s="22">
        <f>'10A Sem 1'!L16</f>
        <v>66</v>
      </c>
      <c r="N42" s="22">
        <f>'10A Sem 1'!M16</f>
        <v>82</v>
      </c>
      <c r="O42" s="22">
        <f>'10A Sem 1'!N16</f>
        <v>80</v>
      </c>
      <c r="P42" s="22">
        <f>'10A Sem 1'!O16</f>
        <v>76</v>
      </c>
      <c r="Q42" s="22">
        <f>'10A Sem 1'!P16</f>
        <v>86</v>
      </c>
      <c r="R42" s="22">
        <f>'10A Sem 1'!Q16</f>
        <v>75</v>
      </c>
      <c r="S42" s="22">
        <f>'10A Sem 1'!R16</f>
        <v>923</v>
      </c>
      <c r="T42" s="22">
        <f>'10A Sem 1'!S16</f>
        <v>71</v>
      </c>
      <c r="U42" s="117">
        <f>'10A Sem 1'!T16</f>
        <v>30</v>
      </c>
      <c r="V42" s="35">
        <f>'10A Sem 1'!U16</f>
        <v>0</v>
      </c>
      <c r="W42" s="35">
        <f>'10A Sem 1'!V16</f>
        <v>0</v>
      </c>
    </row>
    <row r="43" spans="1:23" ht="17.25" customHeight="1" thickBot="1" x14ac:dyDescent="0.3">
      <c r="A43" s="241"/>
      <c r="B43" s="234"/>
      <c r="C43" s="247">
        <v>16</v>
      </c>
      <c r="D43" s="248" t="s">
        <v>23</v>
      </c>
      <c r="E43" s="69" t="s">
        <v>22</v>
      </c>
      <c r="F43" s="22">
        <f>'10A Sem 2'!E16</f>
        <v>82</v>
      </c>
      <c r="G43" s="22">
        <f>'10A Sem 2'!F16</f>
        <v>63</v>
      </c>
      <c r="H43" s="22">
        <f>'10A Sem 2'!G16</f>
        <v>60</v>
      </c>
      <c r="I43" s="22">
        <f>'10A Sem 2'!H16</f>
        <v>58</v>
      </c>
      <c r="J43" s="22">
        <f>'10A Sem 2'!I16</f>
        <v>54</v>
      </c>
      <c r="K43" s="22">
        <f>'10A Sem 2'!J16</f>
        <v>60</v>
      </c>
      <c r="L43" s="22">
        <f>'10A Sem 2'!K16</f>
        <v>69</v>
      </c>
      <c r="M43" s="22">
        <f>'10A Sem 2'!L16</f>
        <v>84</v>
      </c>
      <c r="N43" s="22">
        <f>'10A Sem 2'!M16</f>
        <v>79</v>
      </c>
      <c r="O43" s="22">
        <f>'10A Sem 2'!N16</f>
        <v>94</v>
      </c>
      <c r="P43" s="22">
        <f>'10A Sem 2'!O16</f>
        <v>77</v>
      </c>
      <c r="Q43" s="22">
        <f>'10A Sem 2'!P16</f>
        <v>97</v>
      </c>
      <c r="R43" s="22">
        <f>'10A Sem 2'!Q16</f>
        <v>65</v>
      </c>
      <c r="S43" s="22">
        <f>'10A Sem 2'!R16</f>
        <v>942</v>
      </c>
      <c r="T43" s="22">
        <f>'10A Sem 2'!S16</f>
        <v>72.461538461538467</v>
      </c>
      <c r="U43" s="117">
        <f>'10A Sem 2'!T16</f>
        <v>27</v>
      </c>
      <c r="V43" s="35">
        <f>'10A Sem 2'!U16</f>
        <v>0</v>
      </c>
      <c r="W43" s="35">
        <f>'10A Sem 2'!V16</f>
        <v>0</v>
      </c>
    </row>
    <row r="44" spans="1:23" ht="17.25" customHeight="1" thickBot="1" x14ac:dyDescent="0.3">
      <c r="A44" s="241"/>
      <c r="B44" s="234"/>
      <c r="C44" s="247">
        <v>16</v>
      </c>
      <c r="D44" s="248" t="s">
        <v>23</v>
      </c>
      <c r="E44" s="69" t="s">
        <v>16</v>
      </c>
      <c r="F44" s="22">
        <f>AVERAGE(F42:F43)</f>
        <v>83</v>
      </c>
      <c r="G44" s="22">
        <f t="shared" ref="G44:W44" si="12">AVERAGE(G42:G43)</f>
        <v>62.5</v>
      </c>
      <c r="H44" s="22">
        <f t="shared" si="12"/>
        <v>62.5</v>
      </c>
      <c r="I44" s="22">
        <f t="shared" si="12"/>
        <v>60</v>
      </c>
      <c r="J44" s="22">
        <f t="shared" si="12"/>
        <v>54</v>
      </c>
      <c r="K44" s="22">
        <f t="shared" si="12"/>
        <v>63.5</v>
      </c>
      <c r="L44" s="22">
        <f t="shared" si="12"/>
        <v>66.5</v>
      </c>
      <c r="M44" s="22">
        <f t="shared" si="12"/>
        <v>75</v>
      </c>
      <c r="N44" s="22">
        <f t="shared" si="12"/>
        <v>80.5</v>
      </c>
      <c r="O44" s="22">
        <f t="shared" si="12"/>
        <v>87</v>
      </c>
      <c r="P44" s="22">
        <f t="shared" si="12"/>
        <v>76.5</v>
      </c>
      <c r="Q44" s="22">
        <f t="shared" si="12"/>
        <v>91.5</v>
      </c>
      <c r="R44" s="22">
        <f t="shared" si="12"/>
        <v>70</v>
      </c>
      <c r="S44" s="22">
        <f t="shared" si="12"/>
        <v>932.5</v>
      </c>
      <c r="T44" s="22">
        <f t="shared" si="12"/>
        <v>71.730769230769226</v>
      </c>
      <c r="U44" s="22">
        <f>'10A Sem avr'!$H$16</f>
        <v>28</v>
      </c>
      <c r="V44" s="22">
        <f t="shared" si="12"/>
        <v>0</v>
      </c>
      <c r="W44" s="22">
        <f t="shared" si="12"/>
        <v>0</v>
      </c>
    </row>
    <row r="45" spans="1:23" ht="17.25" customHeight="1" thickBot="1" x14ac:dyDescent="0.3">
      <c r="A45" s="234">
        <v>14</v>
      </c>
      <c r="B45" s="218"/>
      <c r="C45" s="213">
        <v>16</v>
      </c>
      <c r="D45" s="217" t="s">
        <v>20</v>
      </c>
      <c r="E45" s="69" t="s">
        <v>21</v>
      </c>
      <c r="F45" s="22">
        <f>'10A Sem 1'!E17</f>
        <v>87</v>
      </c>
      <c r="G45" s="22">
        <f>'10A Sem 1'!F17</f>
        <v>63</v>
      </c>
      <c r="H45" s="22">
        <f>'10A Sem 1'!G17</f>
        <v>62</v>
      </c>
      <c r="I45" s="22">
        <f>'10A Sem 1'!H17</f>
        <v>58</v>
      </c>
      <c r="J45" s="22">
        <f>'10A Sem 1'!I17</f>
        <v>53</v>
      </c>
      <c r="K45" s="22">
        <f>'10A Sem 1'!J17</f>
        <v>76</v>
      </c>
      <c r="L45" s="22">
        <f>'10A Sem 1'!K17</f>
        <v>81</v>
      </c>
      <c r="M45" s="22">
        <f>'10A Sem 1'!L17</f>
        <v>66</v>
      </c>
      <c r="N45" s="22">
        <f>'10A Sem 1'!M17</f>
        <v>84</v>
      </c>
      <c r="O45" s="22">
        <f>'10A Sem 1'!N17</f>
        <v>78</v>
      </c>
      <c r="P45" s="22">
        <f>'10A Sem 1'!O17</f>
        <v>84</v>
      </c>
      <c r="Q45" s="22">
        <f>'10A Sem 1'!P17</f>
        <v>97</v>
      </c>
      <c r="R45" s="22">
        <f>'10A Sem 1'!Q17</f>
        <v>87</v>
      </c>
      <c r="S45" s="22">
        <f>'10A Sem 1'!R17</f>
        <v>976</v>
      </c>
      <c r="T45" s="22">
        <f>'10A Sem 1'!S17</f>
        <v>75.07692307692308</v>
      </c>
      <c r="U45" s="117">
        <f>'10A Sem 1'!T17</f>
        <v>24</v>
      </c>
      <c r="V45" s="35">
        <f>'10A Sem 1'!U17</f>
        <v>0</v>
      </c>
      <c r="W45" s="35">
        <f>'10A Sem 1'!V17</f>
        <v>0</v>
      </c>
    </row>
    <row r="46" spans="1:23" ht="17.25" customHeight="1" thickBot="1" x14ac:dyDescent="0.3">
      <c r="A46" s="234"/>
      <c r="B46" s="218"/>
      <c r="C46" s="213">
        <v>16</v>
      </c>
      <c r="D46" s="217" t="s">
        <v>20</v>
      </c>
      <c r="E46" s="69" t="s">
        <v>22</v>
      </c>
      <c r="F46" s="22">
        <f>'10A Sem 2'!E17</f>
        <v>84</v>
      </c>
      <c r="G46" s="22">
        <f>'10A Sem 2'!F17</f>
        <v>61</v>
      </c>
      <c r="H46" s="22">
        <f>'10A Sem 2'!G17</f>
        <v>48</v>
      </c>
      <c r="I46" s="22">
        <f>'10A Sem 2'!H17</f>
        <v>68</v>
      </c>
      <c r="J46" s="22">
        <f>'10A Sem 2'!I17</f>
        <v>57</v>
      </c>
      <c r="K46" s="22">
        <f>'10A Sem 2'!J17</f>
        <v>72</v>
      </c>
      <c r="L46" s="22">
        <f>'10A Sem 2'!K17</f>
        <v>87</v>
      </c>
      <c r="M46" s="22">
        <f>'10A Sem 2'!L17</f>
        <v>90</v>
      </c>
      <c r="N46" s="22">
        <f>'10A Sem 2'!M17</f>
        <v>79</v>
      </c>
      <c r="O46" s="22">
        <f>'10A Sem 2'!N17</f>
        <v>84</v>
      </c>
      <c r="P46" s="22">
        <f>'10A Sem 2'!O17</f>
        <v>69</v>
      </c>
      <c r="Q46" s="22">
        <f>'10A Sem 2'!P17</f>
        <v>92</v>
      </c>
      <c r="R46" s="22">
        <f>'10A Sem 2'!Q17</f>
        <v>56</v>
      </c>
      <c r="S46" s="22">
        <f>'10A Sem 2'!R17</f>
        <v>947</v>
      </c>
      <c r="T46" s="22">
        <f>'10A Sem 2'!S17</f>
        <v>72.84615384615384</v>
      </c>
      <c r="U46" s="117">
        <f>'10A Sem 2'!T17</f>
        <v>26</v>
      </c>
      <c r="V46" s="35">
        <f>'10A Sem 2'!U17</f>
        <v>0</v>
      </c>
      <c r="W46" s="35">
        <f>'10A Sem 2'!V17</f>
        <v>0</v>
      </c>
    </row>
    <row r="47" spans="1:23" ht="17.25" customHeight="1" thickBot="1" x14ac:dyDescent="0.3">
      <c r="A47" s="234"/>
      <c r="B47" s="218"/>
      <c r="C47" s="213">
        <v>16</v>
      </c>
      <c r="D47" s="217" t="s">
        <v>20</v>
      </c>
      <c r="E47" s="69" t="s">
        <v>16</v>
      </c>
      <c r="F47" s="22">
        <f>AVERAGE(F45:F46)</f>
        <v>85.5</v>
      </c>
      <c r="G47" s="22">
        <f t="shared" ref="G47:W47" si="13">AVERAGE(G45:G46)</f>
        <v>62</v>
      </c>
      <c r="H47" s="22">
        <f t="shared" si="13"/>
        <v>55</v>
      </c>
      <c r="I47" s="22">
        <f t="shared" si="13"/>
        <v>63</v>
      </c>
      <c r="J47" s="22">
        <f t="shared" si="13"/>
        <v>55</v>
      </c>
      <c r="K47" s="22">
        <f t="shared" si="13"/>
        <v>74</v>
      </c>
      <c r="L47" s="22">
        <f t="shared" si="13"/>
        <v>84</v>
      </c>
      <c r="M47" s="22">
        <f t="shared" si="13"/>
        <v>78</v>
      </c>
      <c r="N47" s="22">
        <f t="shared" si="13"/>
        <v>81.5</v>
      </c>
      <c r="O47" s="22">
        <f t="shared" si="13"/>
        <v>81</v>
      </c>
      <c r="P47" s="22">
        <f t="shared" si="13"/>
        <v>76.5</v>
      </c>
      <c r="Q47" s="22">
        <f t="shared" si="13"/>
        <v>94.5</v>
      </c>
      <c r="R47" s="22">
        <f t="shared" si="13"/>
        <v>71.5</v>
      </c>
      <c r="S47" s="22">
        <f t="shared" si="13"/>
        <v>961.5</v>
      </c>
      <c r="T47" s="22">
        <f t="shared" si="13"/>
        <v>73.961538461538453</v>
      </c>
      <c r="U47" s="22">
        <f>'10A Sem avr'!$H$17</f>
        <v>25</v>
      </c>
      <c r="V47" s="22">
        <f t="shared" si="13"/>
        <v>0</v>
      </c>
      <c r="W47" s="22">
        <f t="shared" si="13"/>
        <v>0</v>
      </c>
    </row>
    <row r="48" spans="1:23" ht="17.25" customHeight="1" thickBot="1" x14ac:dyDescent="0.3">
      <c r="A48" s="241">
        <v>15</v>
      </c>
      <c r="B48" s="218"/>
      <c r="C48" s="213">
        <v>15</v>
      </c>
      <c r="D48" s="217" t="s">
        <v>23</v>
      </c>
      <c r="E48" s="69" t="s">
        <v>21</v>
      </c>
      <c r="F48" s="22">
        <f>'10A Sem 1'!E18</f>
        <v>79</v>
      </c>
      <c r="G48" s="22">
        <f>'10A Sem 1'!F18</f>
        <v>78</v>
      </c>
      <c r="H48" s="23">
        <f>'10A Sem 1'!G18</f>
        <v>81</v>
      </c>
      <c r="I48" s="22">
        <f>'10A Sem 1'!H18</f>
        <v>78</v>
      </c>
      <c r="J48" s="22">
        <f>'10A Sem 1'!I18</f>
        <v>65</v>
      </c>
      <c r="K48" s="22">
        <f>'10A Sem 1'!J18</f>
        <v>72</v>
      </c>
      <c r="L48" s="22">
        <f>'10A Sem 1'!K18</f>
        <v>69</v>
      </c>
      <c r="M48" s="22">
        <f>'10A Sem 1'!L18</f>
        <v>63</v>
      </c>
      <c r="N48" s="22">
        <f>'10A Sem 1'!M18</f>
        <v>72</v>
      </c>
      <c r="O48" s="22">
        <f>'10A Sem 1'!N18</f>
        <v>90</v>
      </c>
      <c r="P48" s="22">
        <f>'10A Sem 1'!O18</f>
        <v>80</v>
      </c>
      <c r="Q48" s="22">
        <f>'10A Sem 1'!P18</f>
        <v>93</v>
      </c>
      <c r="R48" s="22">
        <f>'10A Sem 1'!Q18</f>
        <v>86</v>
      </c>
      <c r="S48" s="22">
        <f>'10A Sem 1'!R18</f>
        <v>1006</v>
      </c>
      <c r="T48" s="22">
        <f>'10A Sem 1'!S18</f>
        <v>77.384615384615387</v>
      </c>
      <c r="U48" s="117">
        <f>'10A Sem 1'!T18</f>
        <v>19</v>
      </c>
      <c r="V48" s="35">
        <f>'10A Sem 1'!U18</f>
        <v>0</v>
      </c>
      <c r="W48" s="35">
        <f>'10A Sem 1'!V18</f>
        <v>0</v>
      </c>
    </row>
    <row r="49" spans="1:28" ht="17.25" customHeight="1" thickBot="1" x14ac:dyDescent="0.3">
      <c r="A49" s="241"/>
      <c r="B49" s="218"/>
      <c r="C49" s="213">
        <v>15</v>
      </c>
      <c r="D49" s="217" t="s">
        <v>23</v>
      </c>
      <c r="E49" s="69" t="s">
        <v>22</v>
      </c>
      <c r="F49" s="22">
        <f>'10A Sem 2'!E18</f>
        <v>80</v>
      </c>
      <c r="G49" s="22">
        <f>'10A Sem 2'!F18</f>
        <v>82</v>
      </c>
      <c r="H49" s="23">
        <f>'10A Sem 2'!G18</f>
        <v>74</v>
      </c>
      <c r="I49" s="22">
        <f>'10A Sem 2'!H18</f>
        <v>74</v>
      </c>
      <c r="J49" s="22">
        <f>'10A Sem 2'!I18</f>
        <v>73</v>
      </c>
      <c r="K49" s="22">
        <f>'10A Sem 2'!J18</f>
        <v>75</v>
      </c>
      <c r="L49" s="22">
        <f>'10A Sem 2'!K18</f>
        <v>74</v>
      </c>
      <c r="M49" s="22">
        <f>'10A Sem 2'!L18</f>
        <v>98</v>
      </c>
      <c r="N49" s="22">
        <f>'10A Sem 2'!M18</f>
        <v>80</v>
      </c>
      <c r="O49" s="22">
        <f>'10A Sem 2'!N18</f>
        <v>93</v>
      </c>
      <c r="P49" s="22">
        <f>'10A Sem 2'!O18</f>
        <v>75</v>
      </c>
      <c r="Q49" s="22">
        <f>'10A Sem 2'!P18</f>
        <v>86</v>
      </c>
      <c r="R49" s="22">
        <f>'10A Sem 2'!Q18</f>
        <v>76</v>
      </c>
      <c r="S49" s="22">
        <f>'10A Sem 2'!R18</f>
        <v>1040</v>
      </c>
      <c r="T49" s="22">
        <f>'10A Sem 2'!S18</f>
        <v>80</v>
      </c>
      <c r="U49" s="117">
        <f>'10A Sem 2'!T18</f>
        <v>11</v>
      </c>
      <c r="V49" s="35">
        <f>'10A Sem 2'!U18</f>
        <v>0</v>
      </c>
      <c r="W49" s="35">
        <f>'10A Sem 2'!V18</f>
        <v>0</v>
      </c>
      <c r="X49" s="5"/>
      <c r="Y49" s="5"/>
      <c r="Z49" s="5"/>
      <c r="AA49" s="5"/>
      <c r="AB49" s="5"/>
    </row>
    <row r="50" spans="1:28" ht="17.25" customHeight="1" thickBot="1" x14ac:dyDescent="0.3">
      <c r="A50" s="241"/>
      <c r="B50" s="218"/>
      <c r="C50" s="213">
        <v>15</v>
      </c>
      <c r="D50" s="217" t="s">
        <v>23</v>
      </c>
      <c r="E50" s="69" t="s">
        <v>16</v>
      </c>
      <c r="F50" s="22">
        <f>AVERAGE(F48:F49)</f>
        <v>79.5</v>
      </c>
      <c r="G50" s="22">
        <f t="shared" ref="G50:W50" si="14">AVERAGE(G48:G49)</f>
        <v>80</v>
      </c>
      <c r="H50" s="22">
        <f t="shared" si="14"/>
        <v>77.5</v>
      </c>
      <c r="I50" s="22">
        <f t="shared" si="14"/>
        <v>76</v>
      </c>
      <c r="J50" s="22">
        <f t="shared" si="14"/>
        <v>69</v>
      </c>
      <c r="K50" s="22">
        <f t="shared" si="14"/>
        <v>73.5</v>
      </c>
      <c r="L50" s="22">
        <f t="shared" si="14"/>
        <v>71.5</v>
      </c>
      <c r="M50" s="22">
        <f t="shared" si="14"/>
        <v>80.5</v>
      </c>
      <c r="N50" s="22">
        <f t="shared" si="14"/>
        <v>76</v>
      </c>
      <c r="O50" s="22">
        <f t="shared" si="14"/>
        <v>91.5</v>
      </c>
      <c r="P50" s="22">
        <f t="shared" si="14"/>
        <v>77.5</v>
      </c>
      <c r="Q50" s="22">
        <f t="shared" si="14"/>
        <v>89.5</v>
      </c>
      <c r="R50" s="22">
        <f t="shared" si="14"/>
        <v>81</v>
      </c>
      <c r="S50" s="22">
        <f t="shared" si="14"/>
        <v>1023</v>
      </c>
      <c r="T50" s="22">
        <f t="shared" si="14"/>
        <v>78.692307692307693</v>
      </c>
      <c r="U50" s="22">
        <f>'10A Sem avr'!$H$18</f>
        <v>16</v>
      </c>
      <c r="V50" s="22">
        <f t="shared" si="14"/>
        <v>0</v>
      </c>
      <c r="W50" s="22">
        <f t="shared" si="14"/>
        <v>0</v>
      </c>
      <c r="X50" s="5"/>
      <c r="Y50" s="5"/>
      <c r="Z50" s="5"/>
      <c r="AA50" s="5"/>
      <c r="AB50" s="5"/>
    </row>
    <row r="51" spans="1:28" ht="17.25" customHeight="1" thickBot="1" x14ac:dyDescent="0.3">
      <c r="A51" s="234">
        <v>16</v>
      </c>
      <c r="B51" s="218"/>
      <c r="C51" s="213">
        <v>15</v>
      </c>
      <c r="D51" s="217" t="s">
        <v>23</v>
      </c>
      <c r="E51" s="69" t="s">
        <v>21</v>
      </c>
      <c r="F51" s="22">
        <f>'10A Sem 1'!E19</f>
        <v>74</v>
      </c>
      <c r="G51" s="22">
        <f>'10A Sem 1'!F19</f>
        <v>61</v>
      </c>
      <c r="H51" s="22">
        <f>'10A Sem 1'!G19</f>
        <v>51</v>
      </c>
      <c r="I51" s="22">
        <f>'10A Sem 1'!H19</f>
        <v>57</v>
      </c>
      <c r="J51" s="22">
        <f>'10A Sem 1'!I19</f>
        <v>55</v>
      </c>
      <c r="K51" s="22">
        <f>'10A Sem 1'!J19</f>
        <v>64</v>
      </c>
      <c r="L51" s="22">
        <f>'10A Sem 1'!K19</f>
        <v>62</v>
      </c>
      <c r="M51" s="22">
        <f>'10A Sem 1'!L19</f>
        <v>65</v>
      </c>
      <c r="N51" s="22">
        <f>'10A Sem 1'!M19</f>
        <v>80</v>
      </c>
      <c r="O51" s="22">
        <f>'10A Sem 1'!N19</f>
        <v>70</v>
      </c>
      <c r="P51" s="22">
        <f>'10A Sem 1'!O19</f>
        <v>61</v>
      </c>
      <c r="Q51" s="22">
        <f>'10A Sem 1'!P19</f>
        <v>89</v>
      </c>
      <c r="R51" s="22">
        <f>'10A Sem 1'!Q19</f>
        <v>75</v>
      </c>
      <c r="S51" s="22">
        <f>'10A Sem 1'!R19</f>
        <v>864</v>
      </c>
      <c r="T51" s="22">
        <f>'10A Sem 1'!S19</f>
        <v>66.461538461538467</v>
      </c>
      <c r="U51" s="117">
        <f>'10A Sem 1'!T19</f>
        <v>37</v>
      </c>
      <c r="V51" s="35">
        <f>'10A Sem 1'!U19</f>
        <v>0</v>
      </c>
      <c r="W51" s="35">
        <f>'10A Sem 1'!V19</f>
        <v>0</v>
      </c>
      <c r="X51" s="5"/>
      <c r="Y51" s="5"/>
      <c r="Z51" s="5"/>
      <c r="AA51" s="5"/>
      <c r="AB51" s="5"/>
    </row>
    <row r="52" spans="1:28" ht="17.25" customHeight="1" thickBot="1" x14ac:dyDescent="0.3">
      <c r="A52" s="234"/>
      <c r="B52" s="218"/>
      <c r="C52" s="213">
        <v>15</v>
      </c>
      <c r="D52" s="217" t="s">
        <v>23</v>
      </c>
      <c r="E52" s="69" t="s">
        <v>22</v>
      </c>
      <c r="F52" s="22">
        <f>'10A Sem 2'!E19</f>
        <v>73</v>
      </c>
      <c r="G52" s="22">
        <f>'10A Sem 2'!F19</f>
        <v>67</v>
      </c>
      <c r="H52" s="22">
        <f>'10A Sem 2'!G19</f>
        <v>72</v>
      </c>
      <c r="I52" s="22">
        <f>'10A Sem 2'!H19</f>
        <v>49</v>
      </c>
      <c r="J52" s="22">
        <f>'10A Sem 2'!I19</f>
        <v>61</v>
      </c>
      <c r="K52" s="22">
        <f>'10A Sem 2'!J19</f>
        <v>59</v>
      </c>
      <c r="L52" s="22">
        <f>'10A Sem 2'!K19</f>
        <v>55</v>
      </c>
      <c r="M52" s="22">
        <f>'10A Sem 2'!L19</f>
        <v>68</v>
      </c>
      <c r="N52" s="22">
        <f>'10A Sem 2'!M19</f>
        <v>76</v>
      </c>
      <c r="O52" s="22">
        <f>'10A Sem 2'!N19</f>
        <v>78</v>
      </c>
      <c r="P52" s="22">
        <f>'10A Sem 2'!O19</f>
        <v>59</v>
      </c>
      <c r="Q52" s="22">
        <f>'10A Sem 2'!P19</f>
        <v>86</v>
      </c>
      <c r="R52" s="22">
        <f>'10A Sem 2'!Q19</f>
        <v>57</v>
      </c>
      <c r="S52" s="22">
        <f>'10A Sem 2'!R19</f>
        <v>860</v>
      </c>
      <c r="T52" s="22">
        <f>'10A Sem 2'!S19</f>
        <v>66.15384615384616</v>
      </c>
      <c r="U52" s="117">
        <f>'10A Sem 2'!T19</f>
        <v>39</v>
      </c>
      <c r="V52" s="35">
        <f>'10A Sem 2'!U19</f>
        <v>0</v>
      </c>
      <c r="W52" s="35">
        <f>'10A Sem 2'!V19</f>
        <v>0</v>
      </c>
      <c r="X52" s="5"/>
      <c r="Y52" s="5"/>
      <c r="Z52" s="5"/>
      <c r="AA52" s="5"/>
      <c r="AB52" s="5"/>
    </row>
    <row r="53" spans="1:28" ht="17.25" customHeight="1" thickBot="1" x14ac:dyDescent="0.3">
      <c r="A53" s="234"/>
      <c r="B53" s="218"/>
      <c r="C53" s="213">
        <v>15</v>
      </c>
      <c r="D53" s="217" t="s">
        <v>23</v>
      </c>
      <c r="E53" s="69" t="s">
        <v>16</v>
      </c>
      <c r="F53" s="22">
        <f>AVERAGE(F51:F52)</f>
        <v>73.5</v>
      </c>
      <c r="G53" s="22">
        <f t="shared" ref="G53:W53" si="15">AVERAGE(G51:G52)</f>
        <v>64</v>
      </c>
      <c r="H53" s="22">
        <f t="shared" si="15"/>
        <v>61.5</v>
      </c>
      <c r="I53" s="22">
        <f t="shared" si="15"/>
        <v>53</v>
      </c>
      <c r="J53" s="22">
        <f t="shared" si="15"/>
        <v>58</v>
      </c>
      <c r="K53" s="22">
        <f t="shared" si="15"/>
        <v>61.5</v>
      </c>
      <c r="L53" s="22">
        <f t="shared" si="15"/>
        <v>58.5</v>
      </c>
      <c r="M53" s="22">
        <f t="shared" si="15"/>
        <v>66.5</v>
      </c>
      <c r="N53" s="22">
        <f t="shared" si="15"/>
        <v>78</v>
      </c>
      <c r="O53" s="22">
        <f t="shared" si="15"/>
        <v>74</v>
      </c>
      <c r="P53" s="22">
        <f t="shared" si="15"/>
        <v>60</v>
      </c>
      <c r="Q53" s="22">
        <f t="shared" si="15"/>
        <v>87.5</v>
      </c>
      <c r="R53" s="22">
        <f t="shared" si="15"/>
        <v>66</v>
      </c>
      <c r="S53" s="22">
        <f t="shared" si="15"/>
        <v>862</v>
      </c>
      <c r="T53" s="22">
        <f t="shared" si="15"/>
        <v>66.307692307692321</v>
      </c>
      <c r="U53" s="22">
        <f>'10A Sem avr'!$H$19</f>
        <v>37</v>
      </c>
      <c r="V53" s="22">
        <f t="shared" si="15"/>
        <v>0</v>
      </c>
      <c r="W53" s="22">
        <f t="shared" si="15"/>
        <v>0</v>
      </c>
      <c r="X53" s="5"/>
      <c r="Y53" s="5"/>
      <c r="Z53" s="5"/>
      <c r="AA53" s="5"/>
      <c r="AB53" s="5"/>
    </row>
    <row r="54" spans="1:28" ht="17.25" customHeight="1" thickBot="1" x14ac:dyDescent="0.3">
      <c r="A54" s="234">
        <v>17</v>
      </c>
      <c r="B54" s="218"/>
      <c r="C54" s="213">
        <v>16</v>
      </c>
      <c r="D54" s="217" t="s">
        <v>23</v>
      </c>
      <c r="E54" s="69" t="s">
        <v>21</v>
      </c>
      <c r="F54" s="22">
        <f>'10A Sem 1'!E20</f>
        <v>89</v>
      </c>
      <c r="G54" s="22">
        <f>'10A Sem 1'!F20</f>
        <v>81</v>
      </c>
      <c r="H54" s="22">
        <f>'10A Sem 1'!G20</f>
        <v>93</v>
      </c>
      <c r="I54" s="22">
        <f>'10A Sem 1'!H20</f>
        <v>96</v>
      </c>
      <c r="J54" s="22">
        <f>'10A Sem 1'!I20</f>
        <v>89</v>
      </c>
      <c r="K54" s="22">
        <f>'10A Sem 1'!J20</f>
        <v>95</v>
      </c>
      <c r="L54" s="22">
        <f>'10A Sem 1'!K20</f>
        <v>94</v>
      </c>
      <c r="M54" s="22">
        <f>'10A Sem 1'!L20</f>
        <v>99</v>
      </c>
      <c r="N54" s="22">
        <f>'10A Sem 1'!M20</f>
        <v>97</v>
      </c>
      <c r="O54" s="22">
        <f>'10A Sem 1'!N20</f>
        <v>96</v>
      </c>
      <c r="P54" s="22">
        <f>'10A Sem 1'!O20</f>
        <v>94</v>
      </c>
      <c r="Q54" s="22">
        <f>'10A Sem 1'!P20</f>
        <v>96</v>
      </c>
      <c r="R54" s="22">
        <f>'10A Sem 1'!Q20</f>
        <v>89</v>
      </c>
      <c r="S54" s="22">
        <f>'10A Sem 1'!R20</f>
        <v>1208</v>
      </c>
      <c r="T54" s="22">
        <f>'10A Sem 1'!S20</f>
        <v>92.92307692307692</v>
      </c>
      <c r="U54" s="117">
        <f>'10A Sem 1'!T20</f>
        <v>3</v>
      </c>
      <c r="V54" s="35">
        <f>'10A Sem 1'!U20</f>
        <v>0</v>
      </c>
      <c r="W54" s="35">
        <f>'10A Sem 1'!V20</f>
        <v>0</v>
      </c>
      <c r="X54" s="5"/>
      <c r="Y54" s="5"/>
      <c r="Z54" s="5"/>
      <c r="AA54" s="5"/>
      <c r="AB54" s="5"/>
    </row>
    <row r="55" spans="1:28" ht="17.25" customHeight="1" thickBot="1" x14ac:dyDescent="0.3">
      <c r="A55" s="234"/>
      <c r="B55" s="218"/>
      <c r="C55" s="213">
        <v>16</v>
      </c>
      <c r="D55" s="217" t="s">
        <v>23</v>
      </c>
      <c r="E55" s="69" t="s">
        <v>22</v>
      </c>
      <c r="F55" s="22">
        <f>'10A Sem 2'!E20</f>
        <v>72</v>
      </c>
      <c r="G55" s="22">
        <f>'10A Sem 2'!F20</f>
        <v>78</v>
      </c>
      <c r="H55" s="22">
        <f>'10A Sem 2'!G20</f>
        <v>90</v>
      </c>
      <c r="I55" s="22">
        <f>'10A Sem 2'!H20</f>
        <v>83</v>
      </c>
      <c r="J55" s="22">
        <f>'10A Sem 2'!I20</f>
        <v>95</v>
      </c>
      <c r="K55" s="22">
        <f>'10A Sem 2'!J20</f>
        <v>97</v>
      </c>
      <c r="L55" s="22">
        <f>'10A Sem 2'!K20</f>
        <v>95</v>
      </c>
      <c r="M55" s="22">
        <f>'10A Sem 2'!L20</f>
        <v>100</v>
      </c>
      <c r="N55" s="22">
        <f>'10A Sem 2'!M20</f>
        <v>92</v>
      </c>
      <c r="O55" s="22">
        <f>'10A Sem 2'!N20</f>
        <v>98</v>
      </c>
      <c r="P55" s="22">
        <f>'10A Sem 2'!O20</f>
        <v>80</v>
      </c>
      <c r="Q55" s="22">
        <f>'10A Sem 2'!P20</f>
        <v>95</v>
      </c>
      <c r="R55" s="22">
        <f>'10A Sem 2'!Q20</f>
        <v>76</v>
      </c>
      <c r="S55" s="22">
        <f>'10A Sem 2'!R20</f>
        <v>1151</v>
      </c>
      <c r="T55" s="22">
        <f>'10A Sem 2'!S20</f>
        <v>88.538461538461533</v>
      </c>
      <c r="U55" s="117">
        <f>'10A Sem 2'!T20</f>
        <v>4</v>
      </c>
      <c r="V55" s="35">
        <f>'10A Sem 2'!U20</f>
        <v>0</v>
      </c>
      <c r="W55" s="35">
        <f>'10A Sem 2'!V20</f>
        <v>0</v>
      </c>
      <c r="X55" s="5"/>
      <c r="Y55" s="5"/>
      <c r="Z55" s="5"/>
      <c r="AA55" s="5"/>
      <c r="AB55" s="5"/>
    </row>
    <row r="56" spans="1:28" ht="17.25" customHeight="1" thickBot="1" x14ac:dyDescent="0.3">
      <c r="A56" s="234"/>
      <c r="B56" s="218"/>
      <c r="C56" s="213">
        <v>16</v>
      </c>
      <c r="D56" s="217" t="s">
        <v>23</v>
      </c>
      <c r="E56" s="69" t="s">
        <v>16</v>
      </c>
      <c r="F56" s="22">
        <f>AVERAGE(F54:F55)</f>
        <v>80.5</v>
      </c>
      <c r="G56" s="22">
        <f t="shared" ref="G56:W56" si="16">AVERAGE(G54:G55)</f>
        <v>79.5</v>
      </c>
      <c r="H56" s="22">
        <f t="shared" si="16"/>
        <v>91.5</v>
      </c>
      <c r="I56" s="22">
        <f t="shared" si="16"/>
        <v>89.5</v>
      </c>
      <c r="J56" s="22">
        <f t="shared" si="16"/>
        <v>92</v>
      </c>
      <c r="K56" s="22">
        <f t="shared" si="16"/>
        <v>96</v>
      </c>
      <c r="L56" s="22">
        <f t="shared" si="16"/>
        <v>94.5</v>
      </c>
      <c r="M56" s="22">
        <f t="shared" si="16"/>
        <v>99.5</v>
      </c>
      <c r="N56" s="22">
        <f t="shared" si="16"/>
        <v>94.5</v>
      </c>
      <c r="O56" s="22">
        <f t="shared" si="16"/>
        <v>97</v>
      </c>
      <c r="P56" s="22">
        <f t="shared" si="16"/>
        <v>87</v>
      </c>
      <c r="Q56" s="22">
        <f t="shared" si="16"/>
        <v>95.5</v>
      </c>
      <c r="R56" s="22">
        <f t="shared" si="16"/>
        <v>82.5</v>
      </c>
      <c r="S56" s="22">
        <f t="shared" si="16"/>
        <v>1179.5</v>
      </c>
      <c r="T56" s="22">
        <f t="shared" si="16"/>
        <v>90.730769230769226</v>
      </c>
      <c r="U56" s="22">
        <f>'10A Sem avr'!$H$20</f>
        <v>4</v>
      </c>
      <c r="V56" s="22">
        <f t="shared" si="16"/>
        <v>0</v>
      </c>
      <c r="W56" s="22">
        <f t="shared" si="16"/>
        <v>0</v>
      </c>
      <c r="X56" s="5"/>
      <c r="Y56" s="5"/>
      <c r="Z56" s="5"/>
      <c r="AA56" s="5"/>
      <c r="AB56" s="5"/>
    </row>
    <row r="57" spans="1:28" ht="17.25" customHeight="1" thickBot="1" x14ac:dyDescent="0.3">
      <c r="A57" s="234">
        <v>18</v>
      </c>
      <c r="B57" s="218"/>
      <c r="C57" s="213">
        <v>16</v>
      </c>
      <c r="D57" s="217" t="s">
        <v>20</v>
      </c>
      <c r="E57" s="69" t="s">
        <v>21</v>
      </c>
      <c r="F57" s="22">
        <f>'10A Sem 1'!E21</f>
        <v>83</v>
      </c>
      <c r="G57" s="22">
        <f>'10A Sem 1'!F21</f>
        <v>84</v>
      </c>
      <c r="H57" s="23">
        <f>'10A Sem 1'!G21</f>
        <v>89</v>
      </c>
      <c r="I57" s="22">
        <f>'10A Sem 1'!H21</f>
        <v>90</v>
      </c>
      <c r="J57" s="22">
        <f>'10A Sem 1'!I21</f>
        <v>87</v>
      </c>
      <c r="K57" s="22">
        <f>'10A Sem 1'!J21</f>
        <v>89</v>
      </c>
      <c r="L57" s="22">
        <f>'10A Sem 1'!K21</f>
        <v>77</v>
      </c>
      <c r="M57" s="22">
        <f>'10A Sem 1'!L21</f>
        <v>83</v>
      </c>
      <c r="N57" s="22">
        <f>'10A Sem 1'!M21</f>
        <v>81</v>
      </c>
      <c r="O57" s="22">
        <f>'10A Sem 1'!N21</f>
        <v>93</v>
      </c>
      <c r="P57" s="22">
        <f>'10A Sem 1'!O21</f>
        <v>87</v>
      </c>
      <c r="Q57" s="22">
        <f>'10A Sem 1'!P21</f>
        <v>89</v>
      </c>
      <c r="R57" s="22">
        <f>'10A Sem 1'!Q21</f>
        <v>81</v>
      </c>
      <c r="S57" s="22">
        <f>'10A Sem 1'!R21</f>
        <v>1113</v>
      </c>
      <c r="T57" s="22">
        <f>'10A Sem 1'!S21</f>
        <v>85.615384615384613</v>
      </c>
      <c r="U57" s="117">
        <f>'10A Sem 1'!T21</f>
        <v>7</v>
      </c>
      <c r="V57" s="35">
        <f>'10A Sem 1'!U21</f>
        <v>0</v>
      </c>
      <c r="W57" s="35">
        <f>'10A Sem 1'!V21</f>
        <v>0</v>
      </c>
      <c r="X57" s="5"/>
      <c r="Y57" s="5"/>
      <c r="Z57" s="5"/>
      <c r="AA57" s="5"/>
      <c r="AB57" s="5"/>
    </row>
    <row r="58" spans="1:28" ht="18.75" customHeight="1" thickBot="1" x14ac:dyDescent="0.3">
      <c r="A58" s="234"/>
      <c r="B58" s="218"/>
      <c r="C58" s="213">
        <v>16</v>
      </c>
      <c r="D58" s="217" t="s">
        <v>20</v>
      </c>
      <c r="E58" s="69" t="s">
        <v>22</v>
      </c>
      <c r="F58" s="22">
        <f>'10A Sem 2'!E21</f>
        <v>69</v>
      </c>
      <c r="G58" s="22">
        <f>'10A Sem 2'!F21</f>
        <v>80</v>
      </c>
      <c r="H58" s="23">
        <f>'10A Sem 2'!G21</f>
        <v>77</v>
      </c>
      <c r="I58" s="22">
        <f>'10A Sem 2'!H21</f>
        <v>74</v>
      </c>
      <c r="J58" s="22">
        <f>'10A Sem 2'!I21</f>
        <v>91</v>
      </c>
      <c r="K58" s="22">
        <f>'10A Sem 2'!J21</f>
        <v>86</v>
      </c>
      <c r="L58" s="22">
        <f>'10A Sem 2'!K21</f>
        <v>82</v>
      </c>
      <c r="M58" s="22">
        <f>'10A Sem 2'!L21</f>
        <v>90</v>
      </c>
      <c r="N58" s="22">
        <f>'10A Sem 2'!M21</f>
        <v>82</v>
      </c>
      <c r="O58" s="22">
        <f>'10A Sem 2'!N21</f>
        <v>98</v>
      </c>
      <c r="P58" s="22">
        <f>'10A Sem 2'!O21</f>
        <v>73</v>
      </c>
      <c r="Q58" s="22">
        <f>'10A Sem 2'!P21</f>
        <v>91</v>
      </c>
      <c r="R58" s="22">
        <f>'10A Sem 2'!Q21</f>
        <v>57</v>
      </c>
      <c r="S58" s="22">
        <f>'10A Sem 2'!R21</f>
        <v>1050</v>
      </c>
      <c r="T58" s="22">
        <f>'10A Sem 2'!S21</f>
        <v>80.769230769230774</v>
      </c>
      <c r="U58" s="117">
        <f>'10A Sem 2'!T21</f>
        <v>9</v>
      </c>
      <c r="V58" s="35">
        <f>'10A Sem 2'!U21</f>
        <v>0</v>
      </c>
      <c r="W58" s="35">
        <f>'10A Sem 2'!V21</f>
        <v>0</v>
      </c>
      <c r="X58" s="5"/>
      <c r="Y58" s="5"/>
      <c r="Z58" s="5"/>
      <c r="AA58" s="5"/>
      <c r="AB58" s="5"/>
    </row>
    <row r="59" spans="1:28" ht="18.75" customHeight="1" thickBot="1" x14ac:dyDescent="0.3">
      <c r="A59" s="234"/>
      <c r="B59" s="218"/>
      <c r="C59" s="213">
        <v>16</v>
      </c>
      <c r="D59" s="217" t="s">
        <v>20</v>
      </c>
      <c r="E59" s="69" t="s">
        <v>16</v>
      </c>
      <c r="F59" s="22">
        <f>AVERAGE(F57:F58)</f>
        <v>76</v>
      </c>
      <c r="G59" s="22">
        <f t="shared" ref="G59:W59" si="17">AVERAGE(G57:G58)</f>
        <v>82</v>
      </c>
      <c r="H59" s="22">
        <f t="shared" si="17"/>
        <v>83</v>
      </c>
      <c r="I59" s="22">
        <f t="shared" si="17"/>
        <v>82</v>
      </c>
      <c r="J59" s="22">
        <f t="shared" si="17"/>
        <v>89</v>
      </c>
      <c r="K59" s="22">
        <f t="shared" si="17"/>
        <v>87.5</v>
      </c>
      <c r="L59" s="22">
        <f t="shared" si="17"/>
        <v>79.5</v>
      </c>
      <c r="M59" s="22">
        <f t="shared" si="17"/>
        <v>86.5</v>
      </c>
      <c r="N59" s="22">
        <f t="shared" si="17"/>
        <v>81.5</v>
      </c>
      <c r="O59" s="22">
        <f t="shared" si="17"/>
        <v>95.5</v>
      </c>
      <c r="P59" s="22">
        <f t="shared" si="17"/>
        <v>80</v>
      </c>
      <c r="Q59" s="22">
        <f t="shared" si="17"/>
        <v>90</v>
      </c>
      <c r="R59" s="22">
        <f t="shared" si="17"/>
        <v>69</v>
      </c>
      <c r="S59" s="22">
        <f t="shared" si="17"/>
        <v>1081.5</v>
      </c>
      <c r="T59" s="22">
        <f t="shared" si="17"/>
        <v>83.192307692307693</v>
      </c>
      <c r="U59" s="22">
        <f>'10A Sem avr'!$H$21</f>
        <v>9</v>
      </c>
      <c r="V59" s="22">
        <f t="shared" si="17"/>
        <v>0</v>
      </c>
      <c r="W59" s="22">
        <f t="shared" si="17"/>
        <v>0</v>
      </c>
      <c r="X59" s="5"/>
      <c r="Y59" s="5"/>
      <c r="Z59" s="5"/>
      <c r="AA59" s="5"/>
      <c r="AB59" s="5"/>
    </row>
    <row r="60" spans="1:28" ht="18.75" customHeight="1" thickBot="1" x14ac:dyDescent="0.3">
      <c r="A60" s="241">
        <v>19</v>
      </c>
      <c r="B60" s="218"/>
      <c r="C60" s="213">
        <v>16</v>
      </c>
      <c r="D60" s="217" t="s">
        <v>23</v>
      </c>
      <c r="E60" s="69" t="s">
        <v>21</v>
      </c>
      <c r="F60" s="22">
        <f>'10A Sem 1'!E22</f>
        <v>77</v>
      </c>
      <c r="G60" s="22">
        <f>'10A Sem 1'!F22</f>
        <v>79</v>
      </c>
      <c r="H60" s="22">
        <f>'10A Sem 1'!G22</f>
        <v>72</v>
      </c>
      <c r="I60" s="22">
        <f>'10A Sem 1'!H22</f>
        <v>66</v>
      </c>
      <c r="J60" s="22">
        <f>'10A Sem 1'!I22</f>
        <v>59</v>
      </c>
      <c r="K60" s="22">
        <f>'10A Sem 1'!J22</f>
        <v>64</v>
      </c>
      <c r="L60" s="22">
        <f>'10A Sem 1'!K22</f>
        <v>75</v>
      </c>
      <c r="M60" s="22">
        <f>'10A Sem 1'!L22</f>
        <v>71</v>
      </c>
      <c r="N60" s="22">
        <f>'10A Sem 1'!M22</f>
        <v>78</v>
      </c>
      <c r="O60" s="22">
        <f>'10A Sem 1'!N22</f>
        <v>80</v>
      </c>
      <c r="P60" s="22">
        <f>'10A Sem 1'!O22</f>
        <v>79</v>
      </c>
      <c r="Q60" s="22">
        <f>'10A Sem 1'!P22</f>
        <v>92</v>
      </c>
      <c r="R60" s="22">
        <f>'10A Sem 1'!Q22</f>
        <v>67</v>
      </c>
      <c r="S60" s="22">
        <f>'10A Sem 1'!R22</f>
        <v>959</v>
      </c>
      <c r="T60" s="22">
        <f>'10A Sem 1'!S22</f>
        <v>73.769230769230774</v>
      </c>
      <c r="U60" s="117">
        <f>'10A Sem 1'!T22</f>
        <v>27</v>
      </c>
      <c r="V60" s="35">
        <f>'10A Sem 1'!U22</f>
        <v>0</v>
      </c>
      <c r="W60" s="35">
        <f>'10A Sem 1'!V22</f>
        <v>0</v>
      </c>
      <c r="X60" s="5"/>
      <c r="Y60" s="5"/>
      <c r="Z60" s="5"/>
      <c r="AA60" s="5"/>
      <c r="AB60" s="5"/>
    </row>
    <row r="61" spans="1:28" ht="18.75" customHeight="1" thickBot="1" x14ac:dyDescent="0.3">
      <c r="A61" s="241"/>
      <c r="B61" s="218"/>
      <c r="C61" s="213">
        <v>16</v>
      </c>
      <c r="D61" s="217" t="s">
        <v>23</v>
      </c>
      <c r="E61" s="69" t="s">
        <v>22</v>
      </c>
      <c r="F61" s="22">
        <f>'10A Sem 2'!E22</f>
        <v>74</v>
      </c>
      <c r="G61" s="22">
        <f>'10A Sem 2'!F22</f>
        <v>81</v>
      </c>
      <c r="H61" s="22">
        <f>'10A Sem 2'!G22</f>
        <v>70</v>
      </c>
      <c r="I61" s="22">
        <f>'10A Sem 2'!H22</f>
        <v>72</v>
      </c>
      <c r="J61" s="22">
        <f>'10A Sem 2'!I22</f>
        <v>62</v>
      </c>
      <c r="K61" s="22">
        <f>'10A Sem 2'!J22</f>
        <v>66</v>
      </c>
      <c r="L61" s="22">
        <f>'10A Sem 2'!K22</f>
        <v>73</v>
      </c>
      <c r="M61" s="22">
        <f>'10A Sem 2'!L22</f>
        <v>87</v>
      </c>
      <c r="N61" s="22">
        <f>'10A Sem 2'!M22</f>
        <v>82</v>
      </c>
      <c r="O61" s="22">
        <f>'10A Sem 2'!N22</f>
        <v>94</v>
      </c>
      <c r="P61" s="22">
        <f>'10A Sem 2'!O22</f>
        <v>72</v>
      </c>
      <c r="Q61" s="22">
        <f>'10A Sem 2'!P22</f>
        <v>97</v>
      </c>
      <c r="R61" s="22">
        <f>'10A Sem 2'!Q22</f>
        <v>74</v>
      </c>
      <c r="S61" s="22">
        <f>'10A Sem 2'!R22</f>
        <v>1004</v>
      </c>
      <c r="T61" s="22">
        <f>'10A Sem 2'!S22</f>
        <v>77.230769230769226</v>
      </c>
      <c r="U61" s="117">
        <f>'10A Sem 2'!T22</f>
        <v>18</v>
      </c>
      <c r="V61" s="35">
        <f>'10A Sem 2'!U22</f>
        <v>0</v>
      </c>
      <c r="W61" s="35">
        <f>'10A Sem 2'!V22</f>
        <v>0</v>
      </c>
      <c r="X61" s="5"/>
      <c r="Y61" s="5"/>
      <c r="Z61" s="5"/>
      <c r="AA61" s="5"/>
      <c r="AB61" s="5"/>
    </row>
    <row r="62" spans="1:28" ht="18.75" customHeight="1" thickBot="1" x14ac:dyDescent="0.3">
      <c r="A62" s="241"/>
      <c r="B62" s="218"/>
      <c r="C62" s="213">
        <v>16</v>
      </c>
      <c r="D62" s="217" t="s">
        <v>23</v>
      </c>
      <c r="E62" s="69" t="s">
        <v>16</v>
      </c>
      <c r="F62" s="22">
        <f>AVERAGE(F60:F61)</f>
        <v>75.5</v>
      </c>
      <c r="G62" s="22">
        <f t="shared" ref="G62:W62" si="18">AVERAGE(G60:G61)</f>
        <v>80</v>
      </c>
      <c r="H62" s="22">
        <f t="shared" si="18"/>
        <v>71</v>
      </c>
      <c r="I62" s="22">
        <f t="shared" si="18"/>
        <v>69</v>
      </c>
      <c r="J62" s="22">
        <f t="shared" si="18"/>
        <v>60.5</v>
      </c>
      <c r="K62" s="22">
        <f t="shared" si="18"/>
        <v>65</v>
      </c>
      <c r="L62" s="22">
        <f t="shared" si="18"/>
        <v>74</v>
      </c>
      <c r="M62" s="22">
        <f t="shared" si="18"/>
        <v>79</v>
      </c>
      <c r="N62" s="22">
        <f t="shared" si="18"/>
        <v>80</v>
      </c>
      <c r="O62" s="22">
        <f t="shared" si="18"/>
        <v>87</v>
      </c>
      <c r="P62" s="22">
        <f t="shared" si="18"/>
        <v>75.5</v>
      </c>
      <c r="Q62" s="22">
        <f t="shared" si="18"/>
        <v>94.5</v>
      </c>
      <c r="R62" s="22">
        <f t="shared" si="18"/>
        <v>70.5</v>
      </c>
      <c r="S62" s="22">
        <f t="shared" si="18"/>
        <v>981.5</v>
      </c>
      <c r="T62" s="22">
        <f t="shared" si="18"/>
        <v>75.5</v>
      </c>
      <c r="U62" s="22">
        <f>'10A Sem avr'!$H$22</f>
        <v>23</v>
      </c>
      <c r="V62" s="22">
        <f t="shared" si="18"/>
        <v>0</v>
      </c>
      <c r="W62" s="22">
        <f t="shared" si="18"/>
        <v>0</v>
      </c>
      <c r="X62" s="5"/>
      <c r="Y62" s="5"/>
      <c r="Z62" s="5"/>
      <c r="AA62" s="5"/>
      <c r="AB62" s="5"/>
    </row>
    <row r="63" spans="1:28" ht="18.75" customHeight="1" thickBot="1" x14ac:dyDescent="0.3">
      <c r="A63" s="241">
        <v>20</v>
      </c>
      <c r="B63" s="218"/>
      <c r="C63" s="213">
        <v>15</v>
      </c>
      <c r="D63" s="217" t="s">
        <v>23</v>
      </c>
      <c r="E63" s="69" t="s">
        <v>21</v>
      </c>
      <c r="F63" s="22">
        <f>'10A Sem 1'!E23</f>
        <v>88</v>
      </c>
      <c r="G63" s="22">
        <f>'10A Sem 1'!F23</f>
        <v>81</v>
      </c>
      <c r="H63" s="22">
        <f>'10A Sem 1'!G23</f>
        <v>87</v>
      </c>
      <c r="I63" s="22">
        <f>'10A Sem 1'!H23</f>
        <v>81</v>
      </c>
      <c r="J63" s="22">
        <f>'10A Sem 1'!I23</f>
        <v>70</v>
      </c>
      <c r="K63" s="22">
        <f>'10A Sem 1'!J23</f>
        <v>82</v>
      </c>
      <c r="L63" s="22">
        <f>'10A Sem 1'!K23</f>
        <v>74</v>
      </c>
      <c r="M63" s="22">
        <f>'10A Sem 1'!L23</f>
        <v>81</v>
      </c>
      <c r="N63" s="22">
        <f>'10A Sem 1'!M23</f>
        <v>85</v>
      </c>
      <c r="O63" s="22">
        <f>'10A Sem 1'!N23</f>
        <v>85</v>
      </c>
      <c r="P63" s="22">
        <f>'10A Sem 1'!O23</f>
        <v>91</v>
      </c>
      <c r="Q63" s="22">
        <f>'10A Sem 1'!P23</f>
        <v>88</v>
      </c>
      <c r="R63" s="22">
        <f>'10A Sem 1'!Q23</f>
        <v>91</v>
      </c>
      <c r="S63" s="22">
        <f>'10A Sem 1'!R23</f>
        <v>1084</v>
      </c>
      <c r="T63" s="22">
        <f>'10A Sem 1'!S23</f>
        <v>83.384615384615387</v>
      </c>
      <c r="U63" s="117">
        <f>'10A Sem 1'!T23</f>
        <v>9</v>
      </c>
      <c r="V63" s="35">
        <f>'10A Sem 1'!U23</f>
        <v>0</v>
      </c>
      <c r="W63" s="35">
        <f>'10A Sem 1'!V23</f>
        <v>0</v>
      </c>
      <c r="X63" s="5"/>
      <c r="Y63" s="5"/>
      <c r="Z63" s="5"/>
      <c r="AA63" s="5"/>
      <c r="AB63" s="5"/>
    </row>
    <row r="64" spans="1:28" ht="18.75" customHeight="1" thickBot="1" x14ac:dyDescent="0.3">
      <c r="A64" s="241"/>
      <c r="B64" s="218"/>
      <c r="C64" s="213">
        <v>15</v>
      </c>
      <c r="D64" s="217" t="s">
        <v>23</v>
      </c>
      <c r="E64" s="69" t="s">
        <v>22</v>
      </c>
      <c r="F64" s="22">
        <f>'10A Sem 2'!E23</f>
        <v>83</v>
      </c>
      <c r="G64" s="22">
        <f>'10A Sem 2'!F23</f>
        <v>72</v>
      </c>
      <c r="H64" s="22">
        <f>'10A Sem 2'!G23</f>
        <v>68</v>
      </c>
      <c r="I64" s="22">
        <f>'10A Sem 2'!H23</f>
        <v>77</v>
      </c>
      <c r="J64" s="22">
        <f>'10A Sem 2'!I23</f>
        <v>79</v>
      </c>
      <c r="K64" s="22">
        <f>'10A Sem 2'!J23</f>
        <v>73</v>
      </c>
      <c r="L64" s="22">
        <f>'10A Sem 2'!K23</f>
        <v>76</v>
      </c>
      <c r="M64" s="22">
        <f>'10A Sem 2'!L23</f>
        <v>96</v>
      </c>
      <c r="N64" s="22">
        <f>'10A Sem 2'!M23</f>
        <v>86</v>
      </c>
      <c r="O64" s="22">
        <f>'10A Sem 2'!N23</f>
        <v>98</v>
      </c>
      <c r="P64" s="22">
        <f>'10A Sem 2'!O23</f>
        <v>70</v>
      </c>
      <c r="Q64" s="22">
        <f>'10A Sem 2'!P23</f>
        <v>92</v>
      </c>
      <c r="R64" s="22">
        <f>'10A Sem 2'!Q23</f>
        <v>69</v>
      </c>
      <c r="S64" s="22">
        <f>'10A Sem 2'!R23</f>
        <v>1039</v>
      </c>
      <c r="T64" s="22">
        <f>'10A Sem 2'!S23</f>
        <v>79.92307692307692</v>
      </c>
      <c r="U64" s="117">
        <f>'10A Sem 2'!T23</f>
        <v>12</v>
      </c>
      <c r="V64" s="35">
        <f>'10A Sem 2'!U23</f>
        <v>0</v>
      </c>
      <c r="W64" s="35">
        <f>'10A Sem 2'!V23</f>
        <v>0</v>
      </c>
      <c r="X64" s="5"/>
      <c r="Y64" s="5"/>
      <c r="Z64" s="5"/>
      <c r="AA64" s="5"/>
      <c r="AB64" s="5"/>
    </row>
    <row r="65" spans="1:28" ht="18.75" customHeight="1" thickBot="1" x14ac:dyDescent="0.3">
      <c r="A65" s="241"/>
      <c r="B65" s="218"/>
      <c r="C65" s="213">
        <v>15</v>
      </c>
      <c r="D65" s="217" t="s">
        <v>23</v>
      </c>
      <c r="E65" s="69" t="s">
        <v>16</v>
      </c>
      <c r="F65" s="22">
        <f>AVERAGE(F63:F64)</f>
        <v>85.5</v>
      </c>
      <c r="G65" s="22">
        <f t="shared" ref="G65:W65" si="19">AVERAGE(G63:G64)</f>
        <v>76.5</v>
      </c>
      <c r="H65" s="22">
        <f t="shared" si="19"/>
        <v>77.5</v>
      </c>
      <c r="I65" s="22">
        <f t="shared" si="19"/>
        <v>79</v>
      </c>
      <c r="J65" s="22">
        <f t="shared" si="19"/>
        <v>74.5</v>
      </c>
      <c r="K65" s="22">
        <f t="shared" si="19"/>
        <v>77.5</v>
      </c>
      <c r="L65" s="22">
        <f t="shared" si="19"/>
        <v>75</v>
      </c>
      <c r="M65" s="22">
        <f t="shared" si="19"/>
        <v>88.5</v>
      </c>
      <c r="N65" s="22">
        <f t="shared" si="19"/>
        <v>85.5</v>
      </c>
      <c r="O65" s="22">
        <f t="shared" si="19"/>
        <v>91.5</v>
      </c>
      <c r="P65" s="22">
        <f t="shared" si="19"/>
        <v>80.5</v>
      </c>
      <c r="Q65" s="22">
        <f t="shared" si="19"/>
        <v>90</v>
      </c>
      <c r="R65" s="22">
        <f t="shared" si="19"/>
        <v>80</v>
      </c>
      <c r="S65" s="22">
        <f t="shared" si="19"/>
        <v>1061.5</v>
      </c>
      <c r="T65" s="22">
        <f t="shared" si="19"/>
        <v>81.65384615384616</v>
      </c>
      <c r="U65" s="22">
        <f>'10A Sem avr'!$H$23</f>
        <v>10</v>
      </c>
      <c r="V65" s="22">
        <f t="shared" si="19"/>
        <v>0</v>
      </c>
      <c r="W65" s="22">
        <f t="shared" si="19"/>
        <v>0</v>
      </c>
      <c r="X65" s="5"/>
      <c r="Y65" s="5"/>
      <c r="Z65" s="5"/>
      <c r="AA65" s="5"/>
      <c r="AB65" s="5"/>
    </row>
    <row r="66" spans="1:28" ht="18.75" customHeight="1" thickBot="1" x14ac:dyDescent="0.3">
      <c r="A66" s="241">
        <v>21</v>
      </c>
      <c r="B66" s="218"/>
      <c r="C66" s="213">
        <v>16</v>
      </c>
      <c r="D66" s="217" t="s">
        <v>20</v>
      </c>
      <c r="E66" s="69" t="s">
        <v>21</v>
      </c>
      <c r="F66" s="22">
        <f>'10A Sem 1'!E24</f>
        <v>64</v>
      </c>
      <c r="G66" s="22">
        <f>'10A Sem 1'!F24</f>
        <v>57</v>
      </c>
      <c r="H66" s="22">
        <f>'10A Sem 1'!G24</f>
        <v>63</v>
      </c>
      <c r="I66" s="22">
        <f>'10A Sem 1'!H24</f>
        <v>52</v>
      </c>
      <c r="J66" s="22">
        <f>'10A Sem 1'!I24</f>
        <v>58</v>
      </c>
      <c r="K66" s="22">
        <f>'10A Sem 1'!J24</f>
        <v>70</v>
      </c>
      <c r="L66" s="22">
        <f>'10A Sem 1'!K24</f>
        <v>58</v>
      </c>
      <c r="M66" s="22">
        <f>'10A Sem 1'!L24</f>
        <v>69</v>
      </c>
      <c r="N66" s="22">
        <f>'10A Sem 1'!M24</f>
        <v>61</v>
      </c>
      <c r="O66" s="22">
        <f>'10A Sem 1'!N24</f>
        <v>72</v>
      </c>
      <c r="P66" s="22">
        <f>'10A Sem 1'!O24</f>
        <v>65</v>
      </c>
      <c r="Q66" s="22">
        <f>'10A Sem 1'!P24</f>
        <v>88</v>
      </c>
      <c r="R66" s="22">
        <f>'10A Sem 1'!Q24</f>
        <v>68</v>
      </c>
      <c r="S66" s="22">
        <f>'10A Sem 1'!R24</f>
        <v>845</v>
      </c>
      <c r="T66" s="22">
        <f>'10A Sem 1'!S24</f>
        <v>65</v>
      </c>
      <c r="U66" s="117">
        <f>'10A Sem 1'!T24</f>
        <v>38</v>
      </c>
      <c r="V66" s="35">
        <f>'10A Sem 1'!U24</f>
        <v>0</v>
      </c>
      <c r="W66" s="35">
        <f>'10A Sem 1'!V24</f>
        <v>0</v>
      </c>
      <c r="X66" s="5"/>
      <c r="Y66" s="5"/>
      <c r="Z66" s="5"/>
      <c r="AA66" s="5"/>
      <c r="AB66" s="5"/>
    </row>
    <row r="67" spans="1:28" ht="18.75" customHeight="1" thickBot="1" x14ac:dyDescent="0.3">
      <c r="A67" s="241"/>
      <c r="B67" s="218"/>
      <c r="C67" s="213">
        <v>16</v>
      </c>
      <c r="D67" s="217" t="s">
        <v>20</v>
      </c>
      <c r="E67" s="69" t="s">
        <v>22</v>
      </c>
      <c r="F67" s="22">
        <f>'10A Sem 2'!E24</f>
        <v>69</v>
      </c>
      <c r="G67" s="22">
        <f>'10A Sem 2'!F24</f>
        <v>62</v>
      </c>
      <c r="H67" s="22">
        <f>'10A Sem 2'!G24</f>
        <v>57</v>
      </c>
      <c r="I67" s="22">
        <f>'10A Sem 2'!H24</f>
        <v>59</v>
      </c>
      <c r="J67" s="22">
        <f>'10A Sem 2'!I24</f>
        <v>50</v>
      </c>
      <c r="K67" s="22">
        <f>'10A Sem 2'!J24</f>
        <v>71</v>
      </c>
      <c r="L67" s="22">
        <f>'10A Sem 2'!K24</f>
        <v>65</v>
      </c>
      <c r="M67" s="22">
        <f>'10A Sem 2'!L24</f>
        <v>82</v>
      </c>
      <c r="N67" s="22">
        <f>'10A Sem 2'!M24</f>
        <v>58</v>
      </c>
      <c r="O67" s="22">
        <f>'10A Sem 2'!N24</f>
        <v>90</v>
      </c>
      <c r="P67" s="22">
        <f>'10A Sem 2'!O24</f>
        <v>66</v>
      </c>
      <c r="Q67" s="22">
        <f>'10A Sem 2'!P24</f>
        <v>82</v>
      </c>
      <c r="R67" s="22">
        <f>'10A Sem 2'!Q24</f>
        <v>60</v>
      </c>
      <c r="S67" s="22">
        <f>'10A Sem 2'!R24</f>
        <v>871</v>
      </c>
      <c r="T67" s="22">
        <f>'10A Sem 2'!S24</f>
        <v>67</v>
      </c>
      <c r="U67" s="117">
        <f>'10A Sem 2'!T24</f>
        <v>36</v>
      </c>
      <c r="V67" s="35">
        <f>'10A Sem 2'!U24</f>
        <v>0</v>
      </c>
      <c r="W67" s="35">
        <f>'10A Sem 2'!V24</f>
        <v>0</v>
      </c>
      <c r="X67" s="5"/>
      <c r="Y67" s="5"/>
      <c r="Z67" s="5"/>
      <c r="AA67" s="5"/>
      <c r="AB67" s="5"/>
    </row>
    <row r="68" spans="1:28" ht="18.75" customHeight="1" thickBot="1" x14ac:dyDescent="0.3">
      <c r="A68" s="241"/>
      <c r="B68" s="218"/>
      <c r="C68" s="213">
        <v>16</v>
      </c>
      <c r="D68" s="217" t="s">
        <v>20</v>
      </c>
      <c r="E68" s="69" t="s">
        <v>16</v>
      </c>
      <c r="F68" s="22">
        <f>AVERAGE(F66:F67)</f>
        <v>66.5</v>
      </c>
      <c r="G68" s="22">
        <f t="shared" ref="G68:W68" si="20">AVERAGE(G66:G67)</f>
        <v>59.5</v>
      </c>
      <c r="H68" s="22">
        <f t="shared" si="20"/>
        <v>60</v>
      </c>
      <c r="I68" s="22">
        <f t="shared" si="20"/>
        <v>55.5</v>
      </c>
      <c r="J68" s="22">
        <f t="shared" si="20"/>
        <v>54</v>
      </c>
      <c r="K68" s="22">
        <f t="shared" si="20"/>
        <v>70.5</v>
      </c>
      <c r="L68" s="22">
        <f t="shared" si="20"/>
        <v>61.5</v>
      </c>
      <c r="M68" s="22">
        <f t="shared" si="20"/>
        <v>75.5</v>
      </c>
      <c r="N68" s="22">
        <f t="shared" si="20"/>
        <v>59.5</v>
      </c>
      <c r="O68" s="22">
        <f t="shared" si="20"/>
        <v>81</v>
      </c>
      <c r="P68" s="22">
        <f t="shared" si="20"/>
        <v>65.5</v>
      </c>
      <c r="Q68" s="22">
        <f t="shared" si="20"/>
        <v>85</v>
      </c>
      <c r="R68" s="22">
        <f t="shared" si="20"/>
        <v>64</v>
      </c>
      <c r="S68" s="22">
        <f t="shared" si="20"/>
        <v>858</v>
      </c>
      <c r="T68" s="22">
        <f t="shared" si="20"/>
        <v>66</v>
      </c>
      <c r="U68" s="22">
        <f>'10A Sem avr'!$H$24</f>
        <v>38</v>
      </c>
      <c r="V68" s="22">
        <f t="shared" si="20"/>
        <v>0</v>
      </c>
      <c r="W68" s="22">
        <f t="shared" si="20"/>
        <v>0</v>
      </c>
      <c r="X68" s="5"/>
      <c r="Y68" s="5"/>
      <c r="Z68" s="5"/>
      <c r="AA68" s="5"/>
      <c r="AB68" s="5"/>
    </row>
    <row r="69" spans="1:28" ht="18.75" customHeight="1" thickBot="1" x14ac:dyDescent="0.3">
      <c r="A69" s="234">
        <v>22</v>
      </c>
      <c r="B69" s="218"/>
      <c r="C69" s="213">
        <v>15</v>
      </c>
      <c r="D69" s="217" t="s">
        <v>23</v>
      </c>
      <c r="E69" s="69" t="s">
        <v>21</v>
      </c>
      <c r="F69" s="22">
        <f>'10A Sem 1'!E25</f>
        <v>89</v>
      </c>
      <c r="G69" s="22">
        <f>'10A Sem 1'!F25</f>
        <v>85</v>
      </c>
      <c r="H69" s="22">
        <f>'10A Sem 1'!G25</f>
        <v>86</v>
      </c>
      <c r="I69" s="22">
        <f>'10A Sem 1'!H25</f>
        <v>82</v>
      </c>
      <c r="J69" s="22">
        <f>'10A Sem 1'!I25</f>
        <v>81</v>
      </c>
      <c r="K69" s="22">
        <f>'10A Sem 1'!J25</f>
        <v>86</v>
      </c>
      <c r="L69" s="22">
        <f>'10A Sem 1'!K25</f>
        <v>88</v>
      </c>
      <c r="M69" s="22">
        <f>'10A Sem 1'!L25</f>
        <v>87</v>
      </c>
      <c r="N69" s="22">
        <f>'10A Sem 1'!M25</f>
        <v>96</v>
      </c>
      <c r="O69" s="22">
        <f>'10A Sem 1'!N25</f>
        <v>93</v>
      </c>
      <c r="P69" s="22">
        <f>'10A Sem 1'!O25</f>
        <v>89</v>
      </c>
      <c r="Q69" s="22">
        <f>'10A Sem 1'!P25</f>
        <v>95</v>
      </c>
      <c r="R69" s="22">
        <f>'10A Sem 1'!Q25</f>
        <v>92</v>
      </c>
      <c r="S69" s="22">
        <f>'10A Sem 1'!R25</f>
        <v>1149</v>
      </c>
      <c r="T69" s="22">
        <f>'10A Sem 1'!S25</f>
        <v>88.384615384615387</v>
      </c>
      <c r="U69" s="117">
        <f>'10A Sem 1'!T25</f>
        <v>6</v>
      </c>
      <c r="V69" s="35">
        <f>'10A Sem 1'!U25</f>
        <v>0</v>
      </c>
      <c r="W69" s="35">
        <f>'10A Sem 1'!V25</f>
        <v>0</v>
      </c>
      <c r="X69" s="5"/>
      <c r="Y69" s="5"/>
      <c r="Z69" s="5"/>
      <c r="AA69" s="5"/>
      <c r="AB69" s="5"/>
    </row>
    <row r="70" spans="1:28" ht="18.75" customHeight="1" thickBot="1" x14ac:dyDescent="0.3">
      <c r="A70" s="234"/>
      <c r="B70" s="218"/>
      <c r="C70" s="213">
        <v>15</v>
      </c>
      <c r="D70" s="217" t="s">
        <v>23</v>
      </c>
      <c r="E70" s="69" t="s">
        <v>22</v>
      </c>
      <c r="F70" s="22">
        <f>'10A Sem 2'!E25</f>
        <v>85</v>
      </c>
      <c r="G70" s="22">
        <f>'10A Sem 2'!F25</f>
        <v>87</v>
      </c>
      <c r="H70" s="22">
        <f>'10A Sem 2'!G25</f>
        <v>74</v>
      </c>
      <c r="I70" s="22">
        <f>'10A Sem 2'!H25</f>
        <v>79</v>
      </c>
      <c r="J70" s="22">
        <f>'10A Sem 2'!I25</f>
        <v>88</v>
      </c>
      <c r="K70" s="22">
        <f>'10A Sem 2'!J25</f>
        <v>88</v>
      </c>
      <c r="L70" s="22">
        <f>'10A Sem 2'!K25</f>
        <v>92</v>
      </c>
      <c r="M70" s="22">
        <f>'10A Sem 2'!L25</f>
        <v>96</v>
      </c>
      <c r="N70" s="22">
        <f>'10A Sem 2'!M25</f>
        <v>95</v>
      </c>
      <c r="O70" s="22">
        <f>'10A Sem 2'!N25</f>
        <v>97</v>
      </c>
      <c r="P70" s="22">
        <f>'10A Sem 2'!O25</f>
        <v>86</v>
      </c>
      <c r="Q70" s="22">
        <f>'10A Sem 2'!P25</f>
        <v>96</v>
      </c>
      <c r="R70" s="22">
        <f>'10A Sem 2'!Q25</f>
        <v>74</v>
      </c>
      <c r="S70" s="22">
        <f>'10A Sem 2'!R25</f>
        <v>1137</v>
      </c>
      <c r="T70" s="22">
        <f>'10A Sem 2'!S25</f>
        <v>87.461538461538467</v>
      </c>
      <c r="U70" s="117">
        <f>'10A Sem 2'!T25</f>
        <v>5</v>
      </c>
      <c r="V70" s="35">
        <f>'10A Sem 2'!U25</f>
        <v>0</v>
      </c>
      <c r="W70" s="35">
        <f>'10A Sem 2'!V25</f>
        <v>0</v>
      </c>
      <c r="X70" s="5"/>
      <c r="Y70" s="5"/>
      <c r="Z70" s="5"/>
      <c r="AA70" s="5"/>
      <c r="AB70" s="5"/>
    </row>
    <row r="71" spans="1:28" ht="18.75" customHeight="1" thickBot="1" x14ac:dyDescent="0.3">
      <c r="A71" s="234"/>
      <c r="B71" s="218"/>
      <c r="C71" s="213">
        <v>15</v>
      </c>
      <c r="D71" s="217" t="s">
        <v>23</v>
      </c>
      <c r="E71" s="69" t="s">
        <v>16</v>
      </c>
      <c r="F71" s="22">
        <f>AVERAGE(F69:F70)</f>
        <v>87</v>
      </c>
      <c r="G71" s="22">
        <f t="shared" ref="G71:W71" si="21">AVERAGE(G69:G70)</f>
        <v>86</v>
      </c>
      <c r="H71" s="22">
        <f t="shared" si="21"/>
        <v>80</v>
      </c>
      <c r="I71" s="22">
        <f t="shared" si="21"/>
        <v>80.5</v>
      </c>
      <c r="J71" s="22">
        <f t="shared" si="21"/>
        <v>84.5</v>
      </c>
      <c r="K71" s="22">
        <f t="shared" si="21"/>
        <v>87</v>
      </c>
      <c r="L71" s="22">
        <f t="shared" si="21"/>
        <v>90</v>
      </c>
      <c r="M71" s="22">
        <f t="shared" si="21"/>
        <v>91.5</v>
      </c>
      <c r="N71" s="22">
        <f t="shared" si="21"/>
        <v>95.5</v>
      </c>
      <c r="O71" s="22">
        <f t="shared" si="21"/>
        <v>95</v>
      </c>
      <c r="P71" s="22">
        <f t="shared" si="21"/>
        <v>87.5</v>
      </c>
      <c r="Q71" s="22">
        <f t="shared" si="21"/>
        <v>95.5</v>
      </c>
      <c r="R71" s="22">
        <f t="shared" si="21"/>
        <v>83</v>
      </c>
      <c r="S71" s="22">
        <f t="shared" si="21"/>
        <v>1143</v>
      </c>
      <c r="T71" s="22">
        <f t="shared" si="21"/>
        <v>87.923076923076934</v>
      </c>
      <c r="U71" s="22">
        <f>'10A Sem avr'!$H$25</f>
        <v>5</v>
      </c>
      <c r="V71" s="22">
        <f t="shared" si="21"/>
        <v>0</v>
      </c>
      <c r="W71" s="22">
        <f t="shared" si="21"/>
        <v>0</v>
      </c>
      <c r="X71" s="5"/>
      <c r="Y71" s="5"/>
      <c r="Z71" s="5"/>
      <c r="AA71" s="5"/>
      <c r="AB71" s="5"/>
    </row>
    <row r="72" spans="1:28" ht="18.75" customHeight="1" thickBot="1" x14ac:dyDescent="0.3">
      <c r="A72" s="234">
        <v>23</v>
      </c>
      <c r="B72" s="218"/>
      <c r="C72" s="213">
        <v>16</v>
      </c>
      <c r="D72" s="217" t="s">
        <v>20</v>
      </c>
      <c r="E72" s="69" t="s">
        <v>21</v>
      </c>
      <c r="F72" s="22">
        <f>'10A Sem 1'!E26</f>
        <v>77</v>
      </c>
      <c r="G72" s="22">
        <f>'10A Sem 1'!F26</f>
        <v>84</v>
      </c>
      <c r="H72" s="22">
        <f>'10A Sem 1'!G26</f>
        <v>90</v>
      </c>
      <c r="I72" s="22">
        <f>'10A Sem 1'!H26</f>
        <v>91</v>
      </c>
      <c r="J72" s="22">
        <f>'10A Sem 1'!I26</f>
        <v>79</v>
      </c>
      <c r="K72" s="22">
        <f>'10A Sem 1'!J26</f>
        <v>85</v>
      </c>
      <c r="L72" s="22">
        <f>'10A Sem 1'!K26</f>
        <v>90</v>
      </c>
      <c r="M72" s="22">
        <f>'10A Sem 1'!L26</f>
        <v>87</v>
      </c>
      <c r="N72" s="22">
        <f>'10A Sem 1'!M26</f>
        <v>97</v>
      </c>
      <c r="O72" s="22">
        <f>'10A Sem 1'!N26</f>
        <v>93</v>
      </c>
      <c r="P72" s="22">
        <f>'10A Sem 1'!O26</f>
        <v>95</v>
      </c>
      <c r="Q72" s="22">
        <f>'10A Sem 1'!P26</f>
        <v>97</v>
      </c>
      <c r="R72" s="22">
        <f>'10A Sem 1'!Q26</f>
        <v>86</v>
      </c>
      <c r="S72" s="22">
        <f>'10A Sem 1'!R26</f>
        <v>1151</v>
      </c>
      <c r="T72" s="22">
        <f>'10A Sem 1'!S26</f>
        <v>88.538461538461533</v>
      </c>
      <c r="U72" s="117">
        <f>'10A Sem 1'!T26</f>
        <v>5</v>
      </c>
      <c r="V72" s="35">
        <f>'10A Sem 1'!U26</f>
        <v>0</v>
      </c>
      <c r="W72" s="35">
        <f>'10A Sem 1'!V26</f>
        <v>0</v>
      </c>
      <c r="X72" s="5"/>
      <c r="Y72" s="5"/>
      <c r="Z72" s="5"/>
      <c r="AA72" s="5"/>
      <c r="AB72" s="5"/>
    </row>
    <row r="73" spans="1:28" ht="18.75" customHeight="1" thickBot="1" x14ac:dyDescent="0.3">
      <c r="A73" s="234"/>
      <c r="B73" s="218"/>
      <c r="C73" s="213">
        <v>16</v>
      </c>
      <c r="D73" s="217" t="s">
        <v>20</v>
      </c>
      <c r="E73" s="69" t="s">
        <v>22</v>
      </c>
      <c r="F73" s="22">
        <f>'10A Sem 2'!E26</f>
        <v>72</v>
      </c>
      <c r="G73" s="22">
        <f>'10A Sem 2'!F26</f>
        <v>85</v>
      </c>
      <c r="H73" s="22">
        <f>'10A Sem 2'!G26</f>
        <v>83</v>
      </c>
      <c r="I73" s="22">
        <f>'10A Sem 2'!H26</f>
        <v>81</v>
      </c>
      <c r="J73" s="22">
        <f>'10A Sem 2'!I26</f>
        <v>89</v>
      </c>
      <c r="K73" s="22">
        <f>'10A Sem 2'!J26</f>
        <v>91</v>
      </c>
      <c r="L73" s="22">
        <f>'10A Sem 2'!K26</f>
        <v>92</v>
      </c>
      <c r="M73" s="22">
        <f>'10A Sem 2'!L26</f>
        <v>97</v>
      </c>
      <c r="N73" s="22">
        <f>'10A Sem 2'!M26</f>
        <v>87</v>
      </c>
      <c r="O73" s="22">
        <f>'10A Sem 2'!N26</f>
        <v>95</v>
      </c>
      <c r="P73" s="22">
        <f>'10A Sem 2'!O26</f>
        <v>92</v>
      </c>
      <c r="Q73" s="22">
        <f>'10A Sem 2'!P26</f>
        <v>96</v>
      </c>
      <c r="R73" s="22">
        <f>'10A Sem 2'!Q26</f>
        <v>72</v>
      </c>
      <c r="S73" s="22">
        <f>'10A Sem 2'!R26</f>
        <v>1132</v>
      </c>
      <c r="T73" s="22">
        <f>'10A Sem 2'!S26</f>
        <v>87.07692307692308</v>
      </c>
      <c r="U73" s="117">
        <f>'10A Sem 2'!T26</f>
        <v>6</v>
      </c>
      <c r="V73" s="35">
        <f>'10A Sem 2'!U26</f>
        <v>0</v>
      </c>
      <c r="W73" s="35">
        <f>'10A Sem 2'!V26</f>
        <v>0</v>
      </c>
      <c r="X73" s="5"/>
      <c r="Y73" s="5"/>
      <c r="Z73" s="5"/>
      <c r="AA73" s="5"/>
      <c r="AB73" s="5"/>
    </row>
    <row r="74" spans="1:28" ht="18.75" customHeight="1" thickBot="1" x14ac:dyDescent="0.3">
      <c r="A74" s="234"/>
      <c r="B74" s="218"/>
      <c r="C74" s="213">
        <v>16</v>
      </c>
      <c r="D74" s="217" t="s">
        <v>20</v>
      </c>
      <c r="E74" s="69" t="s">
        <v>16</v>
      </c>
      <c r="F74" s="22">
        <f>AVERAGE(F72:F73)</f>
        <v>74.5</v>
      </c>
      <c r="G74" s="22">
        <f t="shared" ref="G74:W74" si="22">AVERAGE(G72:G73)</f>
        <v>84.5</v>
      </c>
      <c r="H74" s="22">
        <f t="shared" si="22"/>
        <v>86.5</v>
      </c>
      <c r="I74" s="22">
        <f t="shared" si="22"/>
        <v>86</v>
      </c>
      <c r="J74" s="22">
        <f t="shared" si="22"/>
        <v>84</v>
      </c>
      <c r="K74" s="22">
        <f t="shared" si="22"/>
        <v>88</v>
      </c>
      <c r="L74" s="22">
        <f t="shared" si="22"/>
        <v>91</v>
      </c>
      <c r="M74" s="22">
        <f t="shared" si="22"/>
        <v>92</v>
      </c>
      <c r="N74" s="22">
        <f t="shared" si="22"/>
        <v>92</v>
      </c>
      <c r="O74" s="22">
        <f t="shared" si="22"/>
        <v>94</v>
      </c>
      <c r="P74" s="22">
        <f t="shared" si="22"/>
        <v>93.5</v>
      </c>
      <c r="Q74" s="22">
        <f t="shared" si="22"/>
        <v>96.5</v>
      </c>
      <c r="R74" s="22">
        <f t="shared" si="22"/>
        <v>79</v>
      </c>
      <c r="S74" s="22">
        <f t="shared" si="22"/>
        <v>1141.5</v>
      </c>
      <c r="T74" s="22">
        <f t="shared" si="22"/>
        <v>87.807692307692307</v>
      </c>
      <c r="U74" s="22">
        <f>'10A Sem avr'!$H$26</f>
        <v>6</v>
      </c>
      <c r="V74" s="22">
        <f t="shared" si="22"/>
        <v>0</v>
      </c>
      <c r="W74" s="22">
        <f t="shared" si="22"/>
        <v>0</v>
      </c>
      <c r="X74" s="5"/>
      <c r="Y74" s="5"/>
      <c r="Z74" s="5"/>
      <c r="AA74" s="5"/>
      <c r="AB74" s="5"/>
    </row>
    <row r="75" spans="1:28" ht="18.75" customHeight="1" thickBot="1" x14ac:dyDescent="0.3">
      <c r="A75" s="241">
        <v>24</v>
      </c>
      <c r="B75" s="234"/>
      <c r="C75" s="247">
        <v>15</v>
      </c>
      <c r="D75" s="248" t="s">
        <v>23</v>
      </c>
      <c r="E75" s="69" t="s">
        <v>21</v>
      </c>
      <c r="F75" s="22">
        <f>'10A Sem 1'!E27</f>
        <v>82</v>
      </c>
      <c r="G75" s="22">
        <f>'10A Sem 1'!F27</f>
        <v>77</v>
      </c>
      <c r="H75" s="23">
        <f>'10A Sem 1'!G27</f>
        <v>73</v>
      </c>
      <c r="I75" s="23">
        <f>'10A Sem 1'!H27</f>
        <v>73</v>
      </c>
      <c r="J75" s="22">
        <f>'10A Sem 1'!I27</f>
        <v>62</v>
      </c>
      <c r="K75" s="23">
        <f>'10A Sem 1'!J27</f>
        <v>70</v>
      </c>
      <c r="L75" s="22">
        <f>'10A Sem 1'!K27</f>
        <v>66</v>
      </c>
      <c r="M75" s="22">
        <f>'10A Sem 1'!L27</f>
        <v>76</v>
      </c>
      <c r="N75" s="22">
        <f>'10A Sem 1'!M27</f>
        <v>81</v>
      </c>
      <c r="O75" s="22">
        <f>'10A Sem 1'!N27</f>
        <v>83</v>
      </c>
      <c r="P75" s="22">
        <f>'10A Sem 1'!O27</f>
        <v>86</v>
      </c>
      <c r="Q75" s="22">
        <f>'10A Sem 1'!P27</f>
        <v>81</v>
      </c>
      <c r="R75" s="22">
        <f>'10A Sem 1'!Q27</f>
        <v>85</v>
      </c>
      <c r="S75" s="22">
        <f>'10A Sem 1'!R27</f>
        <v>995</v>
      </c>
      <c r="T75" s="22">
        <f>'10A Sem 1'!S27</f>
        <v>76.538461538461533</v>
      </c>
      <c r="U75" s="117">
        <f>'10A Sem 1'!T27</f>
        <v>21</v>
      </c>
      <c r="V75" s="35">
        <f>'10A Sem 1'!U27</f>
        <v>0</v>
      </c>
      <c r="W75" s="35">
        <f>'10A Sem 1'!V27</f>
        <v>0</v>
      </c>
      <c r="X75" s="5"/>
      <c r="Y75" s="5"/>
      <c r="Z75" s="5"/>
      <c r="AA75" s="5"/>
      <c r="AB75" s="5"/>
    </row>
    <row r="76" spans="1:28" ht="18.75" customHeight="1" thickBot="1" x14ac:dyDescent="0.3">
      <c r="A76" s="241"/>
      <c r="B76" s="234"/>
      <c r="C76" s="247">
        <v>15</v>
      </c>
      <c r="D76" s="248" t="s">
        <v>23</v>
      </c>
      <c r="E76" s="69" t="s">
        <v>22</v>
      </c>
      <c r="F76" s="22">
        <f>'10A Sem 2'!E27</f>
        <v>86</v>
      </c>
      <c r="G76" s="22">
        <f>'10A Sem 2'!F27</f>
        <v>81</v>
      </c>
      <c r="H76" s="23">
        <f>'10A Sem 2'!G27</f>
        <v>56</v>
      </c>
      <c r="I76" s="23">
        <f>'10A Sem 2'!H27</f>
        <v>70</v>
      </c>
      <c r="J76" s="22">
        <f>'10A Sem 2'!I27</f>
        <v>65</v>
      </c>
      <c r="K76" s="23">
        <f>'10A Sem 2'!J27</f>
        <v>78</v>
      </c>
      <c r="L76" s="22">
        <f>'10A Sem 2'!K27</f>
        <v>71</v>
      </c>
      <c r="M76" s="22">
        <f>'10A Sem 2'!L27</f>
        <v>94</v>
      </c>
      <c r="N76" s="22">
        <f>'10A Sem 2'!M27</f>
        <v>84</v>
      </c>
      <c r="O76" s="22">
        <f>'10A Sem 2'!N27</f>
        <v>87</v>
      </c>
      <c r="P76" s="22">
        <f>'10A Sem 2'!O27</f>
        <v>76</v>
      </c>
      <c r="Q76" s="22">
        <f>'10A Sem 2'!P27</f>
        <v>84</v>
      </c>
      <c r="R76" s="22">
        <f>'10A Sem 2'!Q27</f>
        <v>70</v>
      </c>
      <c r="S76" s="22">
        <f>'10A Sem 2'!R27</f>
        <v>1002</v>
      </c>
      <c r="T76" s="22">
        <f>'10A Sem 2'!S27</f>
        <v>77.07692307692308</v>
      </c>
      <c r="U76" s="117">
        <f>'10A Sem 2'!T27</f>
        <v>19</v>
      </c>
      <c r="V76" s="35">
        <f>'10A Sem 2'!U27</f>
        <v>0</v>
      </c>
      <c r="W76" s="35">
        <f>'10A Sem 2'!V27</f>
        <v>0</v>
      </c>
      <c r="X76" s="5"/>
      <c r="Y76" s="5"/>
      <c r="Z76" s="5"/>
      <c r="AA76" s="5"/>
      <c r="AB76" s="5"/>
    </row>
    <row r="77" spans="1:28" ht="18.75" customHeight="1" thickBot="1" x14ac:dyDescent="0.3">
      <c r="A77" s="241"/>
      <c r="B77" s="234"/>
      <c r="C77" s="247">
        <v>15</v>
      </c>
      <c r="D77" s="248" t="s">
        <v>23</v>
      </c>
      <c r="E77" s="69" t="s">
        <v>16</v>
      </c>
      <c r="F77" s="22">
        <f>AVERAGE(F75:F76)</f>
        <v>84</v>
      </c>
      <c r="G77" s="22">
        <f t="shared" ref="G77:W77" si="23">AVERAGE(G75:G76)</f>
        <v>79</v>
      </c>
      <c r="H77" s="22">
        <f t="shared" si="23"/>
        <v>64.5</v>
      </c>
      <c r="I77" s="22">
        <f t="shared" si="23"/>
        <v>71.5</v>
      </c>
      <c r="J77" s="22">
        <f t="shared" si="23"/>
        <v>63.5</v>
      </c>
      <c r="K77" s="22">
        <f t="shared" si="23"/>
        <v>74</v>
      </c>
      <c r="L77" s="22">
        <f t="shared" si="23"/>
        <v>68.5</v>
      </c>
      <c r="M77" s="22">
        <f t="shared" si="23"/>
        <v>85</v>
      </c>
      <c r="N77" s="22">
        <f t="shared" si="23"/>
        <v>82.5</v>
      </c>
      <c r="O77" s="22">
        <f t="shared" si="23"/>
        <v>85</v>
      </c>
      <c r="P77" s="22">
        <f t="shared" si="23"/>
        <v>81</v>
      </c>
      <c r="Q77" s="22">
        <f t="shared" si="23"/>
        <v>82.5</v>
      </c>
      <c r="R77" s="22">
        <f t="shared" si="23"/>
        <v>77.5</v>
      </c>
      <c r="S77" s="22">
        <f t="shared" si="23"/>
        <v>998.5</v>
      </c>
      <c r="T77" s="22">
        <f t="shared" si="23"/>
        <v>76.807692307692307</v>
      </c>
      <c r="U77" s="22">
        <f>'10A Sem avr'!$H$27</f>
        <v>20</v>
      </c>
      <c r="V77" s="22">
        <f t="shared" si="23"/>
        <v>0</v>
      </c>
      <c r="W77" s="22">
        <f t="shared" si="23"/>
        <v>0</v>
      </c>
      <c r="X77" s="5"/>
      <c r="Y77" s="5"/>
      <c r="Z77" s="5"/>
      <c r="AA77" s="5"/>
      <c r="AB77" s="5"/>
    </row>
    <row r="78" spans="1:28" ht="18.75" customHeight="1" thickBot="1" x14ac:dyDescent="0.3">
      <c r="A78" s="234">
        <v>25</v>
      </c>
      <c r="B78" s="218"/>
      <c r="C78" s="213">
        <v>15</v>
      </c>
      <c r="D78" s="217" t="s">
        <v>23</v>
      </c>
      <c r="E78" s="69" t="s">
        <v>21</v>
      </c>
      <c r="F78" s="22">
        <f>'10A Sem 1'!E28</f>
        <v>89</v>
      </c>
      <c r="G78" s="23">
        <f>'10A Sem 1'!F28</f>
        <v>74</v>
      </c>
      <c r="H78" s="23">
        <f>'10A Sem 1'!G28</f>
        <v>91</v>
      </c>
      <c r="I78" s="22">
        <f>'10A Sem 1'!H28</f>
        <v>80</v>
      </c>
      <c r="J78" s="23">
        <f>'10A Sem 1'!I28</f>
        <v>76</v>
      </c>
      <c r="K78" s="22">
        <f>'10A Sem 1'!J28</f>
        <v>90</v>
      </c>
      <c r="L78" s="22">
        <f>'10A Sem 1'!K28</f>
        <v>82</v>
      </c>
      <c r="M78" s="22">
        <f>'10A Sem 1'!L28</f>
        <v>83</v>
      </c>
      <c r="N78" s="22">
        <f>'10A Sem 1'!M28</f>
        <v>86</v>
      </c>
      <c r="O78" s="22">
        <f>'10A Sem 1'!N28</f>
        <v>86</v>
      </c>
      <c r="P78" s="22">
        <f>'10A Sem 1'!O28</f>
        <v>87</v>
      </c>
      <c r="Q78" s="22">
        <f>'10A Sem 1'!P28</f>
        <v>97</v>
      </c>
      <c r="R78" s="22">
        <f>'10A Sem 1'!Q28</f>
        <v>84</v>
      </c>
      <c r="S78" s="22">
        <f>'10A Sem 1'!R28</f>
        <v>1105</v>
      </c>
      <c r="T78" s="22">
        <f>'10A Sem 1'!S28</f>
        <v>85</v>
      </c>
      <c r="U78" s="117">
        <f>'10A Sem 1'!T28</f>
        <v>8</v>
      </c>
      <c r="V78" s="35">
        <f>'10A Sem 1'!U28</f>
        <v>0</v>
      </c>
      <c r="W78" s="35">
        <f>'10A Sem 1'!V28</f>
        <v>0</v>
      </c>
      <c r="X78" s="5"/>
      <c r="Y78" s="5"/>
      <c r="Z78" s="5"/>
      <c r="AA78" s="5"/>
      <c r="AB78" s="5"/>
    </row>
    <row r="79" spans="1:28" ht="18.75" customHeight="1" thickBot="1" x14ac:dyDescent="0.3">
      <c r="A79" s="234"/>
      <c r="B79" s="218"/>
      <c r="C79" s="213">
        <v>15</v>
      </c>
      <c r="D79" s="217" t="s">
        <v>23</v>
      </c>
      <c r="E79" s="69" t="s">
        <v>22</v>
      </c>
      <c r="F79" s="22">
        <f>'10A Sem 2'!E28</f>
        <v>81</v>
      </c>
      <c r="G79" s="23">
        <f>'10A Sem 2'!F28</f>
        <v>77</v>
      </c>
      <c r="H79" s="23">
        <f>'10A Sem 2'!G28</f>
        <v>87</v>
      </c>
      <c r="I79" s="22">
        <f>'10A Sem 2'!H28</f>
        <v>88</v>
      </c>
      <c r="J79" s="23">
        <f>'10A Sem 2'!I28</f>
        <v>72</v>
      </c>
      <c r="K79" s="22">
        <f>'10A Sem 2'!J28</f>
        <v>91</v>
      </c>
      <c r="L79" s="22">
        <f>'10A Sem 2'!K28</f>
        <v>84</v>
      </c>
      <c r="M79" s="22">
        <f>'10A Sem 2'!L28</f>
        <v>94</v>
      </c>
      <c r="N79" s="22">
        <f>'10A Sem 2'!M28</f>
        <v>89</v>
      </c>
      <c r="O79" s="22">
        <f>'10A Sem 2'!N28</f>
        <v>100</v>
      </c>
      <c r="P79" s="22">
        <f>'10A Sem 2'!O28</f>
        <v>90</v>
      </c>
      <c r="Q79" s="22">
        <f>'10A Sem 2'!P28</f>
        <v>92</v>
      </c>
      <c r="R79" s="22">
        <f>'10A Sem 2'!Q28</f>
        <v>50</v>
      </c>
      <c r="S79" s="22">
        <f>'10A Sem 2'!R28</f>
        <v>1095</v>
      </c>
      <c r="T79" s="22">
        <f>'10A Sem 2'!S28</f>
        <v>84.230769230769226</v>
      </c>
      <c r="U79" s="117">
        <f>'10A Sem 2'!T28</f>
        <v>8</v>
      </c>
      <c r="V79" s="35">
        <f>'10A Sem 2'!U28</f>
        <v>0</v>
      </c>
      <c r="W79" s="35">
        <f>'10A Sem 2'!V28</f>
        <v>0</v>
      </c>
      <c r="X79" s="5"/>
      <c r="Y79" s="5"/>
      <c r="Z79" s="5"/>
      <c r="AA79" s="5"/>
      <c r="AB79" s="5"/>
    </row>
    <row r="80" spans="1:28" ht="18.75" customHeight="1" thickBot="1" x14ac:dyDescent="0.3">
      <c r="A80" s="234"/>
      <c r="B80" s="218"/>
      <c r="C80" s="213">
        <v>15</v>
      </c>
      <c r="D80" s="217" t="s">
        <v>23</v>
      </c>
      <c r="E80" s="69" t="s">
        <v>16</v>
      </c>
      <c r="F80" s="22">
        <f>AVERAGE(F78:F79)</f>
        <v>85</v>
      </c>
      <c r="G80" s="22">
        <f t="shared" ref="G80:W80" si="24">AVERAGE(G78:G79)</f>
        <v>75.5</v>
      </c>
      <c r="H80" s="22">
        <f t="shared" si="24"/>
        <v>89</v>
      </c>
      <c r="I80" s="22">
        <f t="shared" si="24"/>
        <v>84</v>
      </c>
      <c r="J80" s="22">
        <f t="shared" si="24"/>
        <v>74</v>
      </c>
      <c r="K80" s="22">
        <f t="shared" si="24"/>
        <v>90.5</v>
      </c>
      <c r="L80" s="22">
        <f t="shared" si="24"/>
        <v>83</v>
      </c>
      <c r="M80" s="22">
        <f t="shared" si="24"/>
        <v>88.5</v>
      </c>
      <c r="N80" s="22">
        <f t="shared" si="24"/>
        <v>87.5</v>
      </c>
      <c r="O80" s="22">
        <f t="shared" si="24"/>
        <v>93</v>
      </c>
      <c r="P80" s="22">
        <f t="shared" si="24"/>
        <v>88.5</v>
      </c>
      <c r="Q80" s="22">
        <f t="shared" si="24"/>
        <v>94.5</v>
      </c>
      <c r="R80" s="22">
        <f t="shared" si="24"/>
        <v>67</v>
      </c>
      <c r="S80" s="22">
        <f t="shared" si="24"/>
        <v>1100</v>
      </c>
      <c r="T80" s="22">
        <f t="shared" si="24"/>
        <v>84.615384615384613</v>
      </c>
      <c r="U80" s="22">
        <f>'10A Sem avr'!$H$28</f>
        <v>7</v>
      </c>
      <c r="V80" s="22">
        <f t="shared" si="24"/>
        <v>0</v>
      </c>
      <c r="W80" s="22">
        <f t="shared" si="24"/>
        <v>0</v>
      </c>
      <c r="X80" s="5"/>
      <c r="Y80" s="5"/>
      <c r="Z80" s="5"/>
      <c r="AA80" s="5"/>
      <c r="AB80" s="5"/>
    </row>
    <row r="81" spans="1:28" ht="18.75" customHeight="1" thickBot="1" x14ac:dyDescent="0.3">
      <c r="A81" s="241">
        <v>26</v>
      </c>
      <c r="B81" s="218"/>
      <c r="C81" s="213">
        <v>16</v>
      </c>
      <c r="D81" s="217" t="s">
        <v>20</v>
      </c>
      <c r="E81" s="69" t="s">
        <v>21</v>
      </c>
      <c r="F81" s="22">
        <f>'10A Sem 1'!E29</f>
        <v>90</v>
      </c>
      <c r="G81" s="22">
        <f>'10A Sem 1'!F29</f>
        <v>85</v>
      </c>
      <c r="H81" s="22">
        <f>'10A Sem 1'!G29</f>
        <v>79</v>
      </c>
      <c r="I81" s="22">
        <f>'10A Sem 1'!H29</f>
        <v>80</v>
      </c>
      <c r="J81" s="22">
        <f>'10A Sem 1'!I29</f>
        <v>72</v>
      </c>
      <c r="K81" s="22">
        <f>'10A Sem 1'!J29</f>
        <v>84</v>
      </c>
      <c r="L81" s="22">
        <f>'10A Sem 1'!K29</f>
        <v>79</v>
      </c>
      <c r="M81" s="22">
        <f>'10A Sem 1'!L29</f>
        <v>78</v>
      </c>
      <c r="N81" s="22">
        <f>'10A Sem 1'!M29</f>
        <v>94</v>
      </c>
      <c r="O81" s="22">
        <f>'10A Sem 1'!N29</f>
        <v>84</v>
      </c>
      <c r="P81" s="22">
        <f>'10A Sem 1'!O29</f>
        <v>84</v>
      </c>
      <c r="Q81" s="22">
        <f>'10A Sem 1'!P29</f>
        <v>78</v>
      </c>
      <c r="R81" s="22">
        <f>'10A Sem 1'!Q29</f>
        <v>74</v>
      </c>
      <c r="S81" s="22">
        <f>'10A Sem 1'!R29</f>
        <v>1061</v>
      </c>
      <c r="T81" s="22">
        <f>'10A Sem 1'!S29</f>
        <v>81.615384615384613</v>
      </c>
      <c r="U81" s="117">
        <f>'10A Sem 1'!T29</f>
        <v>11</v>
      </c>
      <c r="V81" s="35">
        <f>'10A Sem 1'!U29</f>
        <v>0</v>
      </c>
      <c r="W81" s="35">
        <f>'10A Sem 1'!V29</f>
        <v>0</v>
      </c>
      <c r="X81" s="5"/>
      <c r="Y81" s="5"/>
      <c r="Z81" s="5"/>
      <c r="AA81" s="5"/>
      <c r="AB81" s="5"/>
    </row>
    <row r="82" spans="1:28" ht="18.75" customHeight="1" thickBot="1" x14ac:dyDescent="0.3">
      <c r="A82" s="241"/>
      <c r="B82" s="218"/>
      <c r="C82" s="213">
        <v>16</v>
      </c>
      <c r="D82" s="217" t="s">
        <v>20</v>
      </c>
      <c r="E82" s="69" t="s">
        <v>22</v>
      </c>
      <c r="F82" s="22">
        <f>'10A Sem 2'!E29</f>
        <v>87</v>
      </c>
      <c r="G82" s="22">
        <f>'10A Sem 2'!F29</f>
        <v>87</v>
      </c>
      <c r="H82" s="22">
        <f>'10A Sem 2'!G29</f>
        <v>65</v>
      </c>
      <c r="I82" s="22">
        <f>'10A Sem 2'!H29</f>
        <v>72</v>
      </c>
      <c r="J82" s="22">
        <f>'10A Sem 2'!I29</f>
        <v>77</v>
      </c>
      <c r="K82" s="22">
        <f>'10A Sem 2'!J29</f>
        <v>84</v>
      </c>
      <c r="L82" s="22">
        <f>'10A Sem 2'!K29</f>
        <v>81</v>
      </c>
      <c r="M82" s="22">
        <f>'10A Sem 2'!L29</f>
        <v>95</v>
      </c>
      <c r="N82" s="22">
        <f>'10A Sem 2'!M29</f>
        <v>91</v>
      </c>
      <c r="O82" s="22">
        <f>'10A Sem 2'!N29</f>
        <v>84</v>
      </c>
      <c r="P82" s="22">
        <f>'10A Sem 2'!O29</f>
        <v>74</v>
      </c>
      <c r="Q82" s="22">
        <f>'10A Sem 2'!P29</f>
        <v>89</v>
      </c>
      <c r="R82" s="22">
        <f>'10A Sem 2'!Q29</f>
        <v>55</v>
      </c>
      <c r="S82" s="22">
        <f>'10A Sem 2'!R29</f>
        <v>1041</v>
      </c>
      <c r="T82" s="22">
        <f>'10A Sem 2'!S29</f>
        <v>80.07692307692308</v>
      </c>
      <c r="U82" s="117">
        <f>'10A Sem 2'!T29</f>
        <v>10</v>
      </c>
      <c r="V82" s="35">
        <f>'10A Sem 2'!U29</f>
        <v>0</v>
      </c>
      <c r="W82" s="35">
        <f>'10A Sem 2'!V29</f>
        <v>0</v>
      </c>
      <c r="X82" s="5"/>
      <c r="Y82" s="5"/>
      <c r="Z82" s="5"/>
      <c r="AA82" s="5"/>
      <c r="AB82" s="5"/>
    </row>
    <row r="83" spans="1:28" ht="18.75" customHeight="1" thickBot="1" x14ac:dyDescent="0.3">
      <c r="A83" s="241"/>
      <c r="B83" s="218"/>
      <c r="C83" s="213">
        <v>16</v>
      </c>
      <c r="D83" s="217" t="s">
        <v>20</v>
      </c>
      <c r="E83" s="69" t="s">
        <v>16</v>
      </c>
      <c r="F83" s="22">
        <f>AVERAGE(F81:F82)</f>
        <v>88.5</v>
      </c>
      <c r="G83" s="22">
        <f t="shared" ref="G83:W83" si="25">AVERAGE(G81:G82)</f>
        <v>86</v>
      </c>
      <c r="H83" s="22">
        <f t="shared" si="25"/>
        <v>72</v>
      </c>
      <c r="I83" s="22">
        <f t="shared" si="25"/>
        <v>76</v>
      </c>
      <c r="J83" s="22">
        <f t="shared" si="25"/>
        <v>74.5</v>
      </c>
      <c r="K83" s="22">
        <f t="shared" si="25"/>
        <v>84</v>
      </c>
      <c r="L83" s="22">
        <f t="shared" si="25"/>
        <v>80</v>
      </c>
      <c r="M83" s="22">
        <f t="shared" si="25"/>
        <v>86.5</v>
      </c>
      <c r="N83" s="22">
        <f t="shared" si="25"/>
        <v>92.5</v>
      </c>
      <c r="O83" s="22">
        <f t="shared" si="25"/>
        <v>84</v>
      </c>
      <c r="P83" s="22">
        <f t="shared" si="25"/>
        <v>79</v>
      </c>
      <c r="Q83" s="22">
        <f t="shared" si="25"/>
        <v>83.5</v>
      </c>
      <c r="R83" s="22">
        <f t="shared" si="25"/>
        <v>64.5</v>
      </c>
      <c r="S83" s="22">
        <f t="shared" si="25"/>
        <v>1051</v>
      </c>
      <c r="T83" s="22">
        <f t="shared" si="25"/>
        <v>80.84615384615384</v>
      </c>
      <c r="U83" s="22">
        <f>'10A Sem avr'!$H$29</f>
        <v>11</v>
      </c>
      <c r="V83" s="22">
        <f t="shared" si="25"/>
        <v>0</v>
      </c>
      <c r="W83" s="22">
        <f t="shared" si="25"/>
        <v>0</v>
      </c>
      <c r="X83" s="5"/>
      <c r="Y83" s="5"/>
      <c r="Z83" s="5"/>
      <c r="AA83" s="5"/>
      <c r="AB83" s="5"/>
    </row>
    <row r="84" spans="1:28" ht="18.75" customHeight="1" thickBot="1" x14ac:dyDescent="0.3">
      <c r="A84" s="241">
        <v>27</v>
      </c>
      <c r="B84" s="218"/>
      <c r="C84" s="213">
        <v>15</v>
      </c>
      <c r="D84" s="217" t="s">
        <v>20</v>
      </c>
      <c r="E84" s="69" t="s">
        <v>21</v>
      </c>
      <c r="F84" s="22">
        <f>'10A Sem 1'!E30</f>
        <v>88</v>
      </c>
      <c r="G84" s="22">
        <f>'10A Sem 1'!F30</f>
        <v>71</v>
      </c>
      <c r="H84" s="23">
        <f>'10A Sem 1'!G30</f>
        <v>87</v>
      </c>
      <c r="I84" s="22">
        <f>'10A Sem 1'!H30</f>
        <v>68</v>
      </c>
      <c r="J84" s="22">
        <f>'10A Sem 1'!I30</f>
        <v>65</v>
      </c>
      <c r="K84" s="22">
        <f>'10A Sem 1'!J30</f>
        <v>73</v>
      </c>
      <c r="L84" s="22">
        <f>'10A Sem 1'!K30</f>
        <v>62</v>
      </c>
      <c r="M84" s="22">
        <f>'10A Sem 1'!L30</f>
        <v>68</v>
      </c>
      <c r="N84" s="22">
        <f>'10A Sem 1'!M30</f>
        <v>76</v>
      </c>
      <c r="O84" s="22">
        <f>'10A Sem 1'!N30</f>
        <v>76</v>
      </c>
      <c r="P84" s="22">
        <f>'10A Sem 1'!O30</f>
        <v>80</v>
      </c>
      <c r="Q84" s="22">
        <f>'10A Sem 1'!P30</f>
        <v>94</v>
      </c>
      <c r="R84" s="22">
        <f>'10A Sem 1'!Q30</f>
        <v>89</v>
      </c>
      <c r="S84" s="22">
        <f>'10A Sem 1'!R30</f>
        <v>997</v>
      </c>
      <c r="T84" s="22">
        <f>'10A Sem 1'!S30</f>
        <v>76.692307692307693</v>
      </c>
      <c r="U84" s="117">
        <f>'10A Sem 1'!T30</f>
        <v>20</v>
      </c>
      <c r="V84" s="35">
        <f>'10A Sem 1'!U30</f>
        <v>0</v>
      </c>
      <c r="W84" s="35">
        <f>'10A Sem 1'!V30</f>
        <v>0</v>
      </c>
      <c r="X84" s="5"/>
      <c r="Y84" s="5"/>
      <c r="Z84" s="5"/>
      <c r="AA84" s="5"/>
      <c r="AB84" s="5"/>
    </row>
    <row r="85" spans="1:28" ht="18.75" customHeight="1" thickBot="1" x14ac:dyDescent="0.3">
      <c r="A85" s="241"/>
      <c r="B85" s="218"/>
      <c r="C85" s="213">
        <v>15</v>
      </c>
      <c r="D85" s="217" t="s">
        <v>20</v>
      </c>
      <c r="E85" s="69" t="s">
        <v>22</v>
      </c>
      <c r="F85" s="22">
        <f>'10A Sem 2'!E30</f>
        <v>83</v>
      </c>
      <c r="G85" s="22">
        <f>'10A Sem 2'!F30</f>
        <v>80</v>
      </c>
      <c r="H85" s="23">
        <f>'10A Sem 2'!G30</f>
        <v>67</v>
      </c>
      <c r="I85" s="22">
        <f>'10A Sem 2'!H30</f>
        <v>65</v>
      </c>
      <c r="J85" s="22">
        <f>'10A Sem 2'!I30</f>
        <v>59</v>
      </c>
      <c r="K85" s="22">
        <f>'10A Sem 2'!J30</f>
        <v>78</v>
      </c>
      <c r="L85" s="22">
        <f>'10A Sem 2'!K30</f>
        <v>57</v>
      </c>
      <c r="M85" s="22">
        <f>'10A Sem 2'!L30</f>
        <v>73</v>
      </c>
      <c r="N85" s="22">
        <f>'10A Sem 2'!M30</f>
        <v>78</v>
      </c>
      <c r="O85" s="22">
        <f>'10A Sem 2'!N30</f>
        <v>91</v>
      </c>
      <c r="P85" s="22">
        <f>'10A Sem 2'!O30</f>
        <v>75</v>
      </c>
      <c r="Q85" s="22">
        <f>'10A Sem 2'!P30</f>
        <v>96</v>
      </c>
      <c r="R85" s="22">
        <f>'10A Sem 2'!Q30</f>
        <v>57</v>
      </c>
      <c r="S85" s="22">
        <f>'10A Sem 2'!R30</f>
        <v>959</v>
      </c>
      <c r="T85" s="22">
        <f>'10A Sem 2'!S30</f>
        <v>73.769230769230774</v>
      </c>
      <c r="U85" s="117">
        <f>'10A Sem 2'!T30</f>
        <v>24</v>
      </c>
      <c r="V85" s="35">
        <f>'10A Sem 2'!U30</f>
        <v>0</v>
      </c>
      <c r="W85" s="35">
        <f>'10A Sem 2'!V30</f>
        <v>0</v>
      </c>
      <c r="X85" s="5"/>
      <c r="Y85" s="5"/>
      <c r="Z85" s="5"/>
      <c r="AA85" s="5"/>
      <c r="AB85" s="5"/>
    </row>
    <row r="86" spans="1:28" ht="18.75" customHeight="1" thickBot="1" x14ac:dyDescent="0.3">
      <c r="A86" s="241"/>
      <c r="B86" s="218"/>
      <c r="C86" s="213">
        <v>15</v>
      </c>
      <c r="D86" s="217" t="s">
        <v>20</v>
      </c>
      <c r="E86" s="69" t="s">
        <v>16</v>
      </c>
      <c r="F86" s="22">
        <f>AVERAGE(F84:F85)</f>
        <v>85.5</v>
      </c>
      <c r="G86" s="22">
        <f t="shared" ref="G86:W86" si="26">AVERAGE(G84:G85)</f>
        <v>75.5</v>
      </c>
      <c r="H86" s="22">
        <f t="shared" si="26"/>
        <v>77</v>
      </c>
      <c r="I86" s="22">
        <f t="shared" si="26"/>
        <v>66.5</v>
      </c>
      <c r="J86" s="22">
        <f t="shared" si="26"/>
        <v>62</v>
      </c>
      <c r="K86" s="22">
        <f t="shared" si="26"/>
        <v>75.5</v>
      </c>
      <c r="L86" s="22">
        <f t="shared" si="26"/>
        <v>59.5</v>
      </c>
      <c r="M86" s="22">
        <f t="shared" si="26"/>
        <v>70.5</v>
      </c>
      <c r="N86" s="22">
        <f t="shared" si="26"/>
        <v>77</v>
      </c>
      <c r="O86" s="22">
        <f t="shared" si="26"/>
        <v>83.5</v>
      </c>
      <c r="P86" s="22">
        <f t="shared" si="26"/>
        <v>77.5</v>
      </c>
      <c r="Q86" s="22">
        <f t="shared" si="26"/>
        <v>95</v>
      </c>
      <c r="R86" s="22">
        <f t="shared" si="26"/>
        <v>73</v>
      </c>
      <c r="S86" s="22">
        <f t="shared" si="26"/>
        <v>978</v>
      </c>
      <c r="T86" s="22">
        <f t="shared" si="26"/>
        <v>75.230769230769226</v>
      </c>
      <c r="U86" s="22">
        <f>'10A Sem avr'!$H$30</f>
        <v>24</v>
      </c>
      <c r="V86" s="22">
        <f t="shared" si="26"/>
        <v>0</v>
      </c>
      <c r="W86" s="22">
        <f t="shared" si="26"/>
        <v>0</v>
      </c>
      <c r="X86" s="5"/>
      <c r="Y86" s="5"/>
      <c r="Z86" s="5"/>
      <c r="AA86" s="5"/>
      <c r="AB86" s="5"/>
    </row>
    <row r="87" spans="1:28" ht="18.75" customHeight="1" thickBot="1" x14ac:dyDescent="0.3">
      <c r="A87" s="241">
        <v>28</v>
      </c>
      <c r="B87" s="218"/>
      <c r="C87" s="213">
        <v>16</v>
      </c>
      <c r="D87" s="217" t="s">
        <v>23</v>
      </c>
      <c r="E87" s="69" t="s">
        <v>21</v>
      </c>
      <c r="F87" s="22">
        <f>'10A Sem 1'!E31</f>
        <v>70</v>
      </c>
      <c r="G87" s="22">
        <f>'10A Sem 1'!F31</f>
        <v>47</v>
      </c>
      <c r="H87" s="22">
        <f>'10A Sem 1'!G31</f>
        <v>60</v>
      </c>
      <c r="I87" s="22">
        <f>'10A Sem 1'!H31</f>
        <v>53</v>
      </c>
      <c r="J87" s="22">
        <f>'10A Sem 1'!I31</f>
        <v>51</v>
      </c>
      <c r="K87" s="22">
        <f>'10A Sem 1'!J31</f>
        <v>58</v>
      </c>
      <c r="L87" s="22">
        <f>'10A Sem 1'!K31</f>
        <v>70</v>
      </c>
      <c r="M87" s="22">
        <f>'10A Sem 1'!L31</f>
        <v>55</v>
      </c>
      <c r="N87" s="22">
        <f>'10A Sem 1'!M31</f>
        <v>61</v>
      </c>
      <c r="O87" s="22">
        <f>'10A Sem 1'!N31</f>
        <v>74</v>
      </c>
      <c r="P87" s="22">
        <f>'10A Sem 1'!O31</f>
        <v>68</v>
      </c>
      <c r="Q87" s="22">
        <f>'10A Sem 1'!P31</f>
        <v>84</v>
      </c>
      <c r="R87" s="22">
        <f>'10A Sem 1'!Q31</f>
        <v>80</v>
      </c>
      <c r="S87" s="22">
        <f>'10A Sem 1'!R31</f>
        <v>831</v>
      </c>
      <c r="T87" s="22">
        <f>'10A Sem 1'!S31</f>
        <v>63.92307692307692</v>
      </c>
      <c r="U87" s="117">
        <f>'10A Sem 1'!T31</f>
        <v>41</v>
      </c>
      <c r="V87" s="35">
        <f>'10A Sem 1'!U31</f>
        <v>0</v>
      </c>
      <c r="W87" s="35">
        <f>'10A Sem 1'!V31</f>
        <v>0</v>
      </c>
      <c r="X87" s="5"/>
      <c r="Y87" s="5"/>
      <c r="Z87" s="5"/>
      <c r="AA87" s="5"/>
      <c r="AB87" s="5"/>
    </row>
    <row r="88" spans="1:28" ht="18.75" customHeight="1" thickBot="1" x14ac:dyDescent="0.3">
      <c r="A88" s="241"/>
      <c r="B88" s="218"/>
      <c r="C88" s="213">
        <v>16</v>
      </c>
      <c r="D88" s="217" t="s">
        <v>23</v>
      </c>
      <c r="E88" s="69" t="s">
        <v>22</v>
      </c>
      <c r="F88" s="22">
        <f>'10A Sem 2'!E31</f>
        <v>64</v>
      </c>
      <c r="G88" s="22">
        <f>'10A Sem 2'!F31</f>
        <v>66</v>
      </c>
      <c r="H88" s="22">
        <f>'10A Sem 2'!G31</f>
        <v>50</v>
      </c>
      <c r="I88" s="22">
        <f>'10A Sem 2'!H31</f>
        <v>54</v>
      </c>
      <c r="J88" s="22">
        <f>'10A Sem 2'!I31</f>
        <v>39</v>
      </c>
      <c r="K88" s="22">
        <f>'10A Sem 2'!J31</f>
        <v>54</v>
      </c>
      <c r="L88" s="22">
        <f>'10A Sem 2'!K31</f>
        <v>63</v>
      </c>
      <c r="M88" s="22">
        <f>'10A Sem 2'!L31</f>
        <v>67</v>
      </c>
      <c r="N88" s="22">
        <f>'10A Sem 2'!M31</f>
        <v>71</v>
      </c>
      <c r="O88" s="22">
        <f>'10A Sem 2'!N31</f>
        <v>67</v>
      </c>
      <c r="P88" s="22">
        <f>'10A Sem 2'!O31</f>
        <v>55</v>
      </c>
      <c r="Q88" s="22">
        <f>'10A Sem 2'!P31</f>
        <v>88</v>
      </c>
      <c r="R88" s="22">
        <f>'10A Sem 2'!Q31</f>
        <v>50</v>
      </c>
      <c r="S88" s="22">
        <f>'10A Sem 2'!R31</f>
        <v>788</v>
      </c>
      <c r="T88" s="22">
        <f>'10A Sem 2'!S31</f>
        <v>60.615384615384613</v>
      </c>
      <c r="U88" s="117">
        <f>'10A Sem 2'!T31</f>
        <v>46</v>
      </c>
      <c r="V88" s="35">
        <f>'10A Sem 2'!U31</f>
        <v>0</v>
      </c>
      <c r="W88" s="35">
        <f>'10A Sem 2'!V31</f>
        <v>0</v>
      </c>
      <c r="X88" s="5"/>
      <c r="Y88" s="5"/>
      <c r="Z88" s="5"/>
      <c r="AA88" s="5"/>
      <c r="AB88" s="5"/>
    </row>
    <row r="89" spans="1:28" ht="18.75" customHeight="1" thickBot="1" x14ac:dyDescent="0.3">
      <c r="A89" s="241"/>
      <c r="B89" s="218"/>
      <c r="C89" s="213">
        <v>16</v>
      </c>
      <c r="D89" s="217" t="s">
        <v>23</v>
      </c>
      <c r="E89" s="69" t="s">
        <v>16</v>
      </c>
      <c r="F89" s="22">
        <f>AVERAGE(F87:F88)</f>
        <v>67</v>
      </c>
      <c r="G89" s="22">
        <f t="shared" ref="G89:W89" si="27">AVERAGE(G87:G88)</f>
        <v>56.5</v>
      </c>
      <c r="H89" s="22">
        <f t="shared" si="27"/>
        <v>55</v>
      </c>
      <c r="I89" s="22">
        <f t="shared" si="27"/>
        <v>53.5</v>
      </c>
      <c r="J89" s="22">
        <f t="shared" si="27"/>
        <v>45</v>
      </c>
      <c r="K89" s="22">
        <f t="shared" si="27"/>
        <v>56</v>
      </c>
      <c r="L89" s="22">
        <f t="shared" si="27"/>
        <v>66.5</v>
      </c>
      <c r="M89" s="22">
        <f t="shared" si="27"/>
        <v>61</v>
      </c>
      <c r="N89" s="22">
        <f t="shared" si="27"/>
        <v>66</v>
      </c>
      <c r="O89" s="22">
        <f t="shared" si="27"/>
        <v>70.5</v>
      </c>
      <c r="P89" s="22">
        <f t="shared" si="27"/>
        <v>61.5</v>
      </c>
      <c r="Q89" s="22">
        <f t="shared" si="27"/>
        <v>86</v>
      </c>
      <c r="R89" s="22">
        <f t="shared" si="27"/>
        <v>65</v>
      </c>
      <c r="S89" s="22">
        <f t="shared" si="27"/>
        <v>809.5</v>
      </c>
      <c r="T89" s="22">
        <f t="shared" si="27"/>
        <v>62.269230769230766</v>
      </c>
      <c r="U89" s="22">
        <f>'10A Sem avr'!$H$31</f>
        <v>41</v>
      </c>
      <c r="V89" s="22">
        <f t="shared" si="27"/>
        <v>0</v>
      </c>
      <c r="W89" s="22">
        <f t="shared" si="27"/>
        <v>0</v>
      </c>
      <c r="X89" s="5"/>
      <c r="Y89" s="5"/>
      <c r="Z89" s="5"/>
      <c r="AA89" s="5"/>
      <c r="AB89" s="5"/>
    </row>
    <row r="90" spans="1:28" ht="18.75" customHeight="1" thickBot="1" x14ac:dyDescent="0.3">
      <c r="A90" s="234">
        <v>29</v>
      </c>
      <c r="B90" s="218"/>
      <c r="C90" s="213">
        <v>15</v>
      </c>
      <c r="D90" s="217" t="s">
        <v>23</v>
      </c>
      <c r="E90" s="69" t="s">
        <v>21</v>
      </c>
      <c r="F90" s="22">
        <f>'10A Sem 1'!E32</f>
        <v>77</v>
      </c>
      <c r="G90" s="22">
        <f>'10A Sem 1'!F32</f>
        <v>86</v>
      </c>
      <c r="H90" s="22">
        <f>'10A Sem 1'!G32</f>
        <v>76</v>
      </c>
      <c r="I90" s="22">
        <f>'10A Sem 1'!H32</f>
        <v>60</v>
      </c>
      <c r="J90" s="22">
        <f>'10A Sem 1'!I32</f>
        <v>71</v>
      </c>
      <c r="K90" s="22">
        <f>'10A Sem 1'!J32</f>
        <v>86</v>
      </c>
      <c r="L90" s="22">
        <f>'10A Sem 1'!K32</f>
        <v>82</v>
      </c>
      <c r="M90" s="22">
        <f>'10A Sem 1'!L32</f>
        <v>77</v>
      </c>
      <c r="N90" s="22">
        <f>'10A Sem 1'!M32</f>
        <v>92</v>
      </c>
      <c r="O90" s="22">
        <f>'10A Sem 1'!N32</f>
        <v>86</v>
      </c>
      <c r="P90" s="22">
        <f>'10A Sem 1'!O32</f>
        <v>89</v>
      </c>
      <c r="Q90" s="22">
        <f>'10A Sem 1'!P32</f>
        <v>91</v>
      </c>
      <c r="R90" s="22">
        <f>'10A Sem 1'!Q32</f>
        <v>97</v>
      </c>
      <c r="S90" s="22">
        <f>'10A Sem 1'!R32</f>
        <v>1070</v>
      </c>
      <c r="T90" s="22">
        <f>'10A Sem 1'!S32</f>
        <v>82.307692307692307</v>
      </c>
      <c r="U90" s="117">
        <f>'10A Sem 1'!T32</f>
        <v>10</v>
      </c>
      <c r="V90" s="35">
        <f>'10A Sem 1'!U32</f>
        <v>0</v>
      </c>
      <c r="W90" s="35">
        <f>'10A Sem 1'!V32</f>
        <v>0</v>
      </c>
      <c r="X90" s="5"/>
      <c r="Y90" s="5"/>
      <c r="Z90" s="5"/>
      <c r="AA90" s="5"/>
      <c r="AB90" s="5"/>
    </row>
    <row r="91" spans="1:28" ht="18.75" customHeight="1" thickBot="1" x14ac:dyDescent="0.3">
      <c r="A91" s="234"/>
      <c r="B91" s="218"/>
      <c r="C91" s="213">
        <v>15</v>
      </c>
      <c r="D91" s="217" t="s">
        <v>23</v>
      </c>
      <c r="E91" s="69" t="s">
        <v>22</v>
      </c>
      <c r="F91" s="22">
        <f>'10A Sem 2'!E32</f>
        <v>77</v>
      </c>
      <c r="G91" s="22">
        <f>'10A Sem 2'!F32</f>
        <v>86</v>
      </c>
      <c r="H91" s="22">
        <f>'10A Sem 2'!G32</f>
        <v>76</v>
      </c>
      <c r="I91" s="22">
        <f>'10A Sem 2'!H32</f>
        <v>71</v>
      </c>
      <c r="J91" s="22">
        <f>'10A Sem 2'!I32</f>
        <v>80</v>
      </c>
      <c r="K91" s="22">
        <f>'10A Sem 2'!J32</f>
        <v>83</v>
      </c>
      <c r="L91" s="22">
        <f>'10A Sem 2'!K32</f>
        <v>77</v>
      </c>
      <c r="M91" s="22">
        <f>'10A Sem 2'!L32</f>
        <v>95</v>
      </c>
      <c r="N91" s="22">
        <f>'10A Sem 2'!M32</f>
        <v>91</v>
      </c>
      <c r="O91" s="22">
        <f>'10A Sem 2'!N32</f>
        <v>99</v>
      </c>
      <c r="P91" s="22">
        <f>'10A Sem 2'!O32</f>
        <v>94</v>
      </c>
      <c r="Q91" s="22">
        <f>'10A Sem 2'!P32</f>
        <v>100</v>
      </c>
      <c r="R91" s="22">
        <f>'10A Sem 2'!Q32</f>
        <v>78</v>
      </c>
      <c r="S91" s="22">
        <f>'10A Sem 2'!R32</f>
        <v>1107</v>
      </c>
      <c r="T91" s="22">
        <f>'10A Sem 2'!S32</f>
        <v>85.15384615384616</v>
      </c>
      <c r="U91" s="117">
        <f>'10A Sem 2'!T32</f>
        <v>7</v>
      </c>
      <c r="V91" s="35">
        <f>'10A Sem 2'!U32</f>
        <v>0</v>
      </c>
      <c r="W91" s="35">
        <f>'10A Sem 2'!V32</f>
        <v>0</v>
      </c>
      <c r="X91" s="5"/>
      <c r="Y91" s="5"/>
      <c r="Z91" s="5"/>
      <c r="AA91" s="5"/>
      <c r="AB91" s="5"/>
    </row>
    <row r="92" spans="1:28" ht="18.75" customHeight="1" thickBot="1" x14ac:dyDescent="0.3">
      <c r="A92" s="234"/>
      <c r="B92" s="218"/>
      <c r="C92" s="213">
        <v>15</v>
      </c>
      <c r="D92" s="217" t="s">
        <v>23</v>
      </c>
      <c r="E92" s="69" t="s">
        <v>16</v>
      </c>
      <c r="F92" s="22">
        <f>AVERAGE(F90:F91)</f>
        <v>77</v>
      </c>
      <c r="G92" s="22">
        <f t="shared" ref="G92:W92" si="28">AVERAGE(G90:G91)</f>
        <v>86</v>
      </c>
      <c r="H92" s="22">
        <f t="shared" si="28"/>
        <v>76</v>
      </c>
      <c r="I92" s="22">
        <f t="shared" si="28"/>
        <v>65.5</v>
      </c>
      <c r="J92" s="22">
        <f t="shared" si="28"/>
        <v>75.5</v>
      </c>
      <c r="K92" s="22">
        <f t="shared" si="28"/>
        <v>84.5</v>
      </c>
      <c r="L92" s="22">
        <f t="shared" si="28"/>
        <v>79.5</v>
      </c>
      <c r="M92" s="22">
        <f t="shared" si="28"/>
        <v>86</v>
      </c>
      <c r="N92" s="22">
        <f t="shared" si="28"/>
        <v>91.5</v>
      </c>
      <c r="O92" s="22">
        <f t="shared" si="28"/>
        <v>92.5</v>
      </c>
      <c r="P92" s="22">
        <f t="shared" si="28"/>
        <v>91.5</v>
      </c>
      <c r="Q92" s="22">
        <f t="shared" si="28"/>
        <v>95.5</v>
      </c>
      <c r="R92" s="22">
        <f t="shared" si="28"/>
        <v>87.5</v>
      </c>
      <c r="S92" s="22">
        <f t="shared" si="28"/>
        <v>1088.5</v>
      </c>
      <c r="T92" s="22">
        <f t="shared" si="28"/>
        <v>83.730769230769226</v>
      </c>
      <c r="U92" s="22">
        <f>'10A Sem avr'!$H$32</f>
        <v>8</v>
      </c>
      <c r="V92" s="22">
        <f t="shared" si="28"/>
        <v>0</v>
      </c>
      <c r="W92" s="22">
        <f t="shared" si="28"/>
        <v>0</v>
      </c>
      <c r="X92" s="5"/>
      <c r="Y92" s="5"/>
      <c r="Z92" s="5"/>
      <c r="AA92" s="5"/>
      <c r="AB92" s="5"/>
    </row>
    <row r="93" spans="1:28" ht="18.75" customHeight="1" thickBot="1" x14ac:dyDescent="0.3">
      <c r="A93" s="241">
        <v>30</v>
      </c>
      <c r="B93" s="218"/>
      <c r="C93" s="213">
        <v>15</v>
      </c>
      <c r="D93" s="217" t="s">
        <v>23</v>
      </c>
      <c r="E93" s="69" t="s">
        <v>21</v>
      </c>
      <c r="F93" s="22">
        <f>'10A Sem 1'!E33</f>
        <v>84</v>
      </c>
      <c r="G93" s="23">
        <f>'10A Sem 1'!F33</f>
        <v>56</v>
      </c>
      <c r="H93" s="23">
        <f>'10A Sem 1'!G33</f>
        <v>54</v>
      </c>
      <c r="I93" s="23">
        <f>'10A Sem 1'!H33</f>
        <v>50</v>
      </c>
      <c r="J93" s="22">
        <f>'10A Sem 1'!I33</f>
        <v>53</v>
      </c>
      <c r="K93" s="22">
        <f>'10A Sem 1'!J33</f>
        <v>52</v>
      </c>
      <c r="L93" s="22">
        <f>'10A Sem 1'!K33</f>
        <v>58</v>
      </c>
      <c r="M93" s="22">
        <f>'10A Sem 1'!L33</f>
        <v>57</v>
      </c>
      <c r="N93" s="22">
        <f>'10A Sem 1'!M33</f>
        <v>66</v>
      </c>
      <c r="O93" s="22">
        <f>'10A Sem 1'!N33</f>
        <v>71</v>
      </c>
      <c r="P93" s="23">
        <f>'10A Sem 1'!O33</f>
        <v>67</v>
      </c>
      <c r="Q93" s="23">
        <f>'10A Sem 1'!P33</f>
        <v>81</v>
      </c>
      <c r="R93" s="23">
        <f>'10A Sem 1'!Q33</f>
        <v>92</v>
      </c>
      <c r="S93" s="22">
        <f>'10A Sem 1'!R33</f>
        <v>841</v>
      </c>
      <c r="T93" s="22">
        <f>'10A Sem 1'!S33</f>
        <v>64.692307692307693</v>
      </c>
      <c r="U93" s="117">
        <f>'10A Sem 1'!T33</f>
        <v>39</v>
      </c>
      <c r="V93" s="35">
        <f>'10A Sem 1'!U33</f>
        <v>0</v>
      </c>
      <c r="W93" s="35">
        <f>'10A Sem 1'!V33</f>
        <v>0</v>
      </c>
      <c r="X93" s="5"/>
      <c r="Y93" s="5"/>
      <c r="Z93" s="5"/>
      <c r="AA93" s="5"/>
      <c r="AB93" s="5"/>
    </row>
    <row r="94" spans="1:28" ht="18.75" customHeight="1" thickBot="1" x14ac:dyDescent="0.3">
      <c r="A94" s="241"/>
      <c r="B94" s="218"/>
      <c r="C94" s="213">
        <v>15</v>
      </c>
      <c r="D94" s="217" t="s">
        <v>23</v>
      </c>
      <c r="E94" s="69" t="s">
        <v>22</v>
      </c>
      <c r="F94" s="22">
        <f>'10A Sem 2'!E33</f>
        <v>70</v>
      </c>
      <c r="G94" s="23">
        <f>'10A Sem 2'!F33</f>
        <v>57</v>
      </c>
      <c r="H94" s="23">
        <f>'10A Sem 2'!G33</f>
        <v>46</v>
      </c>
      <c r="I94" s="23">
        <f>'10A Sem 2'!H33</f>
        <v>57</v>
      </c>
      <c r="J94" s="22">
        <f>'10A Sem 2'!I33</f>
        <v>48</v>
      </c>
      <c r="K94" s="22">
        <f>'10A Sem 2'!J33</f>
        <v>50</v>
      </c>
      <c r="L94" s="22">
        <f>'10A Sem 2'!K33</f>
        <v>44</v>
      </c>
      <c r="M94" s="22">
        <f>'10A Sem 2'!L33</f>
        <v>71</v>
      </c>
      <c r="N94" s="22">
        <f>'10A Sem 2'!M33</f>
        <v>66</v>
      </c>
      <c r="O94" s="22">
        <f>'10A Sem 2'!N33</f>
        <v>75</v>
      </c>
      <c r="P94" s="23">
        <f>'10A Sem 2'!O33</f>
        <v>57</v>
      </c>
      <c r="Q94" s="23">
        <f>'10A Sem 2'!P33</f>
        <v>79</v>
      </c>
      <c r="R94" s="23">
        <f>'10A Sem 2'!Q33</f>
        <v>51</v>
      </c>
      <c r="S94" s="22">
        <f>'10A Sem 2'!R33</f>
        <v>771</v>
      </c>
      <c r="T94" s="22">
        <f>'10A Sem 2'!S33</f>
        <v>59.307692307692307</v>
      </c>
      <c r="U94" s="117">
        <f>'10A Sem 2'!T33</f>
        <v>49</v>
      </c>
      <c r="V94" s="35">
        <f>'10A Sem 2'!U33</f>
        <v>0</v>
      </c>
      <c r="W94" s="35">
        <f>'10A Sem 2'!V33</f>
        <v>0</v>
      </c>
      <c r="X94" s="5"/>
      <c r="Y94" s="5"/>
      <c r="Z94" s="5"/>
      <c r="AA94" s="5"/>
      <c r="AB94" s="5"/>
    </row>
    <row r="95" spans="1:28" ht="18.75" customHeight="1" thickBot="1" x14ac:dyDescent="0.3">
      <c r="A95" s="241"/>
      <c r="B95" s="218"/>
      <c r="C95" s="213">
        <v>15</v>
      </c>
      <c r="D95" s="217" t="s">
        <v>23</v>
      </c>
      <c r="E95" s="69" t="s">
        <v>16</v>
      </c>
      <c r="F95" s="22">
        <f>AVERAGE(F93:F94)</f>
        <v>77</v>
      </c>
      <c r="G95" s="22">
        <f t="shared" ref="G95:W95" si="29">AVERAGE(G93:G94)</f>
        <v>56.5</v>
      </c>
      <c r="H95" s="22">
        <f t="shared" si="29"/>
        <v>50</v>
      </c>
      <c r="I95" s="22">
        <f t="shared" si="29"/>
        <v>53.5</v>
      </c>
      <c r="J95" s="22">
        <f t="shared" si="29"/>
        <v>50.5</v>
      </c>
      <c r="K95" s="22">
        <f t="shared" si="29"/>
        <v>51</v>
      </c>
      <c r="L95" s="22">
        <f t="shared" si="29"/>
        <v>51</v>
      </c>
      <c r="M95" s="22">
        <f t="shared" si="29"/>
        <v>64</v>
      </c>
      <c r="N95" s="22">
        <f t="shared" si="29"/>
        <v>66</v>
      </c>
      <c r="O95" s="22">
        <f t="shared" si="29"/>
        <v>73</v>
      </c>
      <c r="P95" s="22">
        <f t="shared" si="29"/>
        <v>62</v>
      </c>
      <c r="Q95" s="22">
        <f t="shared" si="29"/>
        <v>80</v>
      </c>
      <c r="R95" s="22">
        <f t="shared" si="29"/>
        <v>71.5</v>
      </c>
      <c r="S95" s="22">
        <f t="shared" si="29"/>
        <v>806</v>
      </c>
      <c r="T95" s="22">
        <f t="shared" si="29"/>
        <v>62</v>
      </c>
      <c r="U95" s="22">
        <f>'10A Sem avr'!$H$33</f>
        <v>42</v>
      </c>
      <c r="V95" s="22">
        <f t="shared" si="29"/>
        <v>0</v>
      </c>
      <c r="W95" s="22">
        <f t="shared" si="29"/>
        <v>0</v>
      </c>
      <c r="X95" s="5"/>
      <c r="Y95" s="5"/>
      <c r="Z95" s="5"/>
      <c r="AA95" s="5"/>
      <c r="AB95" s="5"/>
    </row>
    <row r="96" spans="1:28" ht="18.75" customHeight="1" thickBot="1" x14ac:dyDescent="0.3">
      <c r="A96" s="234">
        <v>31</v>
      </c>
      <c r="B96" s="218"/>
      <c r="C96" s="213">
        <v>15</v>
      </c>
      <c r="D96" s="217" t="s">
        <v>23</v>
      </c>
      <c r="E96" s="69" t="s">
        <v>21</v>
      </c>
      <c r="F96" s="22">
        <f>'10A Sem 1'!E34</f>
        <v>83</v>
      </c>
      <c r="G96" s="22">
        <f>'10A Sem 1'!F34</f>
        <v>61</v>
      </c>
      <c r="H96" s="23">
        <f>'10A Sem 1'!G34</f>
        <v>53</v>
      </c>
      <c r="I96" s="22">
        <f>'10A Sem 1'!H34</f>
        <v>56</v>
      </c>
      <c r="J96" s="22">
        <f>'10A Sem 1'!I34</f>
        <v>56</v>
      </c>
      <c r="K96" s="22">
        <f>'10A Sem 1'!J34</f>
        <v>69</v>
      </c>
      <c r="L96" s="23">
        <f>'10A Sem 1'!K34</f>
        <v>68</v>
      </c>
      <c r="M96" s="22">
        <f>'10A Sem 1'!L34</f>
        <v>65</v>
      </c>
      <c r="N96" s="22">
        <f>'10A Sem 1'!M34</f>
        <v>71</v>
      </c>
      <c r="O96" s="22">
        <f>'10A Sem 1'!N34</f>
        <v>76</v>
      </c>
      <c r="P96" s="22">
        <f>'10A Sem 1'!O34</f>
        <v>62</v>
      </c>
      <c r="Q96" s="22">
        <f>'10A Sem 1'!P34</f>
        <v>94</v>
      </c>
      <c r="R96" s="22">
        <f>'10A Sem 1'!Q34</f>
        <v>92</v>
      </c>
      <c r="S96" s="22">
        <f>'10A Sem 1'!R34</f>
        <v>906</v>
      </c>
      <c r="T96" s="22">
        <f>'10A Sem 1'!S34</f>
        <v>69.692307692307693</v>
      </c>
      <c r="U96" s="117">
        <f>'10A Sem 1'!T34</f>
        <v>31</v>
      </c>
      <c r="V96" s="35">
        <f>'10A Sem 1'!U34</f>
        <v>0</v>
      </c>
      <c r="W96" s="35">
        <f>'10A Sem 1'!V34</f>
        <v>0</v>
      </c>
      <c r="X96" s="5"/>
      <c r="Y96" s="5"/>
      <c r="Z96" s="5"/>
      <c r="AA96" s="5"/>
      <c r="AB96" s="5"/>
    </row>
    <row r="97" spans="1:28" ht="18.75" customHeight="1" thickBot="1" x14ac:dyDescent="0.3">
      <c r="A97" s="234"/>
      <c r="B97" s="218"/>
      <c r="C97" s="213">
        <v>15</v>
      </c>
      <c r="D97" s="217" t="s">
        <v>23</v>
      </c>
      <c r="E97" s="69" t="s">
        <v>22</v>
      </c>
      <c r="F97" s="22">
        <f>'10A Sem 2'!E34</f>
        <v>87</v>
      </c>
      <c r="G97" s="22">
        <f>'10A Sem 2'!F34</f>
        <v>65</v>
      </c>
      <c r="H97" s="23">
        <f>'10A Sem 2'!G34</f>
        <v>52</v>
      </c>
      <c r="I97" s="22">
        <f>'10A Sem 2'!H34</f>
        <v>58</v>
      </c>
      <c r="J97" s="22">
        <f>'10A Sem 2'!I34</f>
        <v>52</v>
      </c>
      <c r="K97" s="22">
        <f>'10A Sem 2'!J34</f>
        <v>62</v>
      </c>
      <c r="L97" s="23">
        <f>'10A Sem 2'!K34</f>
        <v>56</v>
      </c>
      <c r="M97" s="22">
        <f>'10A Sem 2'!L34</f>
        <v>73</v>
      </c>
      <c r="N97" s="22">
        <f>'10A Sem 2'!M34</f>
        <v>79</v>
      </c>
      <c r="O97" s="22">
        <f>'10A Sem 2'!N34</f>
        <v>83</v>
      </c>
      <c r="P97" s="22">
        <f>'10A Sem 2'!O34</f>
        <v>58</v>
      </c>
      <c r="Q97" s="22">
        <f>'10A Sem 2'!P34</f>
        <v>89</v>
      </c>
      <c r="R97" s="22">
        <f>'10A Sem 2'!Q34</f>
        <v>80</v>
      </c>
      <c r="S97" s="22">
        <f>'10A Sem 2'!R34</f>
        <v>894</v>
      </c>
      <c r="T97" s="22">
        <f>'10A Sem 2'!S34</f>
        <v>68.769230769230774</v>
      </c>
      <c r="U97" s="117">
        <f>'10A Sem 2'!T34</f>
        <v>34</v>
      </c>
      <c r="V97" s="35">
        <f>'10A Sem 2'!U34</f>
        <v>0</v>
      </c>
      <c r="W97" s="35">
        <f>'10A Sem 2'!V34</f>
        <v>0</v>
      </c>
      <c r="X97" s="5"/>
      <c r="Y97" s="5"/>
      <c r="Z97" s="5"/>
      <c r="AA97" s="5"/>
      <c r="AB97" s="5"/>
    </row>
    <row r="98" spans="1:28" ht="18.75" customHeight="1" thickBot="1" x14ac:dyDescent="0.3">
      <c r="A98" s="234"/>
      <c r="B98" s="218"/>
      <c r="C98" s="213">
        <v>15</v>
      </c>
      <c r="D98" s="217" t="s">
        <v>23</v>
      </c>
      <c r="E98" s="69" t="s">
        <v>16</v>
      </c>
      <c r="F98" s="22">
        <f>AVERAGE(F96:F97)</f>
        <v>85</v>
      </c>
      <c r="G98" s="22">
        <f t="shared" ref="G98:W98" si="30">AVERAGE(G96:G97)</f>
        <v>63</v>
      </c>
      <c r="H98" s="22">
        <f t="shared" si="30"/>
        <v>52.5</v>
      </c>
      <c r="I98" s="22">
        <f t="shared" si="30"/>
        <v>57</v>
      </c>
      <c r="J98" s="22">
        <f t="shared" si="30"/>
        <v>54</v>
      </c>
      <c r="K98" s="22">
        <f t="shared" si="30"/>
        <v>65.5</v>
      </c>
      <c r="L98" s="22">
        <f t="shared" si="30"/>
        <v>62</v>
      </c>
      <c r="M98" s="22">
        <f t="shared" si="30"/>
        <v>69</v>
      </c>
      <c r="N98" s="22">
        <f t="shared" si="30"/>
        <v>75</v>
      </c>
      <c r="O98" s="22">
        <f t="shared" si="30"/>
        <v>79.5</v>
      </c>
      <c r="P98" s="22">
        <f t="shared" si="30"/>
        <v>60</v>
      </c>
      <c r="Q98" s="22">
        <f t="shared" si="30"/>
        <v>91.5</v>
      </c>
      <c r="R98" s="22">
        <f t="shared" si="30"/>
        <v>86</v>
      </c>
      <c r="S98" s="22">
        <f t="shared" si="30"/>
        <v>900</v>
      </c>
      <c r="T98" s="22">
        <f t="shared" si="30"/>
        <v>69.230769230769226</v>
      </c>
      <c r="U98" s="22">
        <f>'10A Sem avr'!$H$34</f>
        <v>33</v>
      </c>
      <c r="V98" s="22">
        <f t="shared" si="30"/>
        <v>0</v>
      </c>
      <c r="W98" s="22">
        <f t="shared" si="30"/>
        <v>0</v>
      </c>
      <c r="X98" s="5"/>
      <c r="Y98" s="5"/>
      <c r="Z98" s="5"/>
      <c r="AA98" s="5"/>
      <c r="AB98" s="5"/>
    </row>
    <row r="99" spans="1:28" ht="18.75" customHeight="1" thickBot="1" x14ac:dyDescent="0.3">
      <c r="A99" s="234">
        <v>32</v>
      </c>
      <c r="B99" s="218"/>
      <c r="C99" s="213">
        <v>18</v>
      </c>
      <c r="D99" s="217" t="s">
        <v>23</v>
      </c>
      <c r="E99" s="69" t="s">
        <v>21</v>
      </c>
      <c r="F99" s="22">
        <f>'10A Sem 1'!E35</f>
        <v>85</v>
      </c>
      <c r="G99" s="22">
        <f>'10A Sem 1'!F35</f>
        <v>86</v>
      </c>
      <c r="H99" s="22">
        <f>'10A Sem 1'!G35</f>
        <v>79</v>
      </c>
      <c r="I99" s="22">
        <f>'10A Sem 1'!H35</f>
        <v>79</v>
      </c>
      <c r="J99" s="22">
        <f>'10A Sem 1'!I35</f>
        <v>70</v>
      </c>
      <c r="K99" s="22">
        <f>'10A Sem 1'!J35</f>
        <v>84</v>
      </c>
      <c r="L99" s="22">
        <f>'10A Sem 1'!K35</f>
        <v>74</v>
      </c>
      <c r="M99" s="22">
        <f>'10A Sem 1'!L35</f>
        <v>76</v>
      </c>
      <c r="N99" s="22">
        <f>'10A Sem 1'!M35</f>
        <v>79</v>
      </c>
      <c r="O99" s="22">
        <f>'10A Sem 1'!N35</f>
        <v>79</v>
      </c>
      <c r="P99" s="22">
        <f>'10A Sem 1'!O35</f>
        <v>83</v>
      </c>
      <c r="Q99" s="22">
        <f>'10A Sem 1'!P35</f>
        <v>96</v>
      </c>
      <c r="R99" s="22">
        <f>'10A Sem 1'!Q35</f>
        <v>71</v>
      </c>
      <c r="S99" s="22">
        <f>'10A Sem 1'!R35</f>
        <v>1041</v>
      </c>
      <c r="T99" s="22">
        <f>'10A Sem 1'!S35</f>
        <v>80.07692307692308</v>
      </c>
      <c r="U99" s="117">
        <f>'10A Sem 1'!T35</f>
        <v>15</v>
      </c>
      <c r="V99" s="35">
        <f>'10A Sem 1'!U35</f>
        <v>0</v>
      </c>
      <c r="W99" s="35">
        <f>'10A Sem 1'!V35</f>
        <v>0</v>
      </c>
      <c r="X99" s="5"/>
      <c r="Y99" s="5"/>
      <c r="Z99" s="5"/>
      <c r="AA99" s="5"/>
      <c r="AB99" s="5"/>
    </row>
    <row r="100" spans="1:28" ht="17.25" customHeight="1" thickBot="1" x14ac:dyDescent="0.3">
      <c r="A100" s="234"/>
      <c r="B100" s="218"/>
      <c r="C100" s="213">
        <v>18</v>
      </c>
      <c r="D100" s="217" t="s">
        <v>23</v>
      </c>
      <c r="E100" s="69" t="s">
        <v>22</v>
      </c>
      <c r="F100" s="22">
        <f>'10A Sem 2'!E35</f>
        <v>80</v>
      </c>
      <c r="G100" s="22">
        <f>'10A Sem 2'!F35</f>
        <v>87</v>
      </c>
      <c r="H100" s="22">
        <f>'10A Sem 2'!G35</f>
        <v>76</v>
      </c>
      <c r="I100" s="22">
        <f>'10A Sem 2'!H35</f>
        <v>69</v>
      </c>
      <c r="J100" s="22">
        <f>'10A Sem 2'!I35</f>
        <v>73</v>
      </c>
      <c r="K100" s="22">
        <f>'10A Sem 2'!J35</f>
        <v>80</v>
      </c>
      <c r="L100" s="22">
        <f>'10A Sem 2'!K35</f>
        <v>71</v>
      </c>
      <c r="M100" s="22">
        <f>'10A Sem 2'!L35</f>
        <v>87</v>
      </c>
      <c r="N100" s="22">
        <f>'10A Sem 2'!M35</f>
        <v>76</v>
      </c>
      <c r="O100" s="22">
        <f>'10A Sem 2'!N35</f>
        <v>100</v>
      </c>
      <c r="P100" s="22">
        <f>'10A Sem 2'!O35</f>
        <v>72</v>
      </c>
      <c r="Q100" s="22">
        <f>'10A Sem 2'!P35</f>
        <v>90</v>
      </c>
      <c r="R100" s="22">
        <f>'10A Sem 2'!Q35</f>
        <v>61</v>
      </c>
      <c r="S100" s="22">
        <f>'10A Sem 2'!R35</f>
        <v>1022</v>
      </c>
      <c r="T100" s="22">
        <f>'10A Sem 2'!S35</f>
        <v>78.615384615384613</v>
      </c>
      <c r="U100" s="117">
        <f>'10A Sem 2'!T35</f>
        <v>15</v>
      </c>
      <c r="V100" s="35">
        <f>'10A Sem 2'!U35</f>
        <v>0</v>
      </c>
      <c r="W100" s="35">
        <f>'10A Sem 2'!V35</f>
        <v>0</v>
      </c>
      <c r="X100" s="5"/>
      <c r="Y100" s="5"/>
      <c r="Z100" s="5"/>
      <c r="AA100" s="5"/>
      <c r="AB100" s="5"/>
    </row>
    <row r="101" spans="1:28" ht="17.25" customHeight="1" thickBot="1" x14ac:dyDescent="0.3">
      <c r="A101" s="234"/>
      <c r="B101" s="218"/>
      <c r="C101" s="213">
        <v>18</v>
      </c>
      <c r="D101" s="217" t="s">
        <v>23</v>
      </c>
      <c r="E101" s="69" t="s">
        <v>16</v>
      </c>
      <c r="F101" s="22">
        <f>AVERAGE(F99:F100)</f>
        <v>82.5</v>
      </c>
      <c r="G101" s="22">
        <f t="shared" ref="G101:W101" si="31">AVERAGE(G99:G100)</f>
        <v>86.5</v>
      </c>
      <c r="H101" s="22">
        <f t="shared" si="31"/>
        <v>77.5</v>
      </c>
      <c r="I101" s="22">
        <f t="shared" si="31"/>
        <v>74</v>
      </c>
      <c r="J101" s="22">
        <f t="shared" si="31"/>
        <v>71.5</v>
      </c>
      <c r="K101" s="22">
        <f t="shared" si="31"/>
        <v>82</v>
      </c>
      <c r="L101" s="22">
        <f t="shared" si="31"/>
        <v>72.5</v>
      </c>
      <c r="M101" s="22">
        <f t="shared" si="31"/>
        <v>81.5</v>
      </c>
      <c r="N101" s="22">
        <f t="shared" si="31"/>
        <v>77.5</v>
      </c>
      <c r="O101" s="22">
        <f t="shared" si="31"/>
        <v>89.5</v>
      </c>
      <c r="P101" s="22">
        <f t="shared" si="31"/>
        <v>77.5</v>
      </c>
      <c r="Q101" s="22">
        <f t="shared" si="31"/>
        <v>93</v>
      </c>
      <c r="R101" s="22">
        <f t="shared" si="31"/>
        <v>66</v>
      </c>
      <c r="S101" s="22">
        <f t="shared" si="31"/>
        <v>1031.5</v>
      </c>
      <c r="T101" s="22">
        <f t="shared" si="31"/>
        <v>79.34615384615384</v>
      </c>
      <c r="U101" s="22">
        <f>'10A Sem avr'!$H$35</f>
        <v>14</v>
      </c>
      <c r="V101" s="22">
        <f t="shared" si="31"/>
        <v>0</v>
      </c>
      <c r="W101" s="22">
        <f t="shared" si="31"/>
        <v>0</v>
      </c>
      <c r="X101" s="5"/>
      <c r="Y101" s="5"/>
      <c r="Z101" s="5"/>
      <c r="AA101" s="5"/>
      <c r="AB101" s="5"/>
    </row>
    <row r="102" spans="1:28" ht="17.25" customHeight="1" thickBot="1" x14ac:dyDescent="0.3">
      <c r="A102" s="234">
        <v>33</v>
      </c>
      <c r="B102" s="218"/>
      <c r="C102" s="213">
        <v>17</v>
      </c>
      <c r="D102" s="217" t="s">
        <v>23</v>
      </c>
      <c r="E102" s="69" t="s">
        <v>21</v>
      </c>
      <c r="F102" s="22">
        <f>'10A Sem 1'!E36</f>
        <v>91</v>
      </c>
      <c r="G102" s="22">
        <f>'10A Sem 1'!F36</f>
        <v>80</v>
      </c>
      <c r="H102" s="23">
        <f>'10A Sem 1'!G36</f>
        <v>82</v>
      </c>
      <c r="I102" s="22">
        <f>'10A Sem 1'!H36</f>
        <v>73</v>
      </c>
      <c r="J102" s="22">
        <f>'10A Sem 1'!I36</f>
        <v>75</v>
      </c>
      <c r="K102" s="22">
        <f>'10A Sem 1'!J36</f>
        <v>76</v>
      </c>
      <c r="L102" s="22">
        <f>'10A Sem 1'!K36</f>
        <v>75</v>
      </c>
      <c r="M102" s="22">
        <f>'10A Sem 1'!L36</f>
        <v>74</v>
      </c>
      <c r="N102" s="22">
        <f>'10A Sem 1'!M36</f>
        <v>88</v>
      </c>
      <c r="O102" s="22">
        <f>'10A Sem 1'!N36</f>
        <v>89</v>
      </c>
      <c r="P102" s="22">
        <f>'10A Sem 1'!O36</f>
        <v>85</v>
      </c>
      <c r="Q102" s="22">
        <f>'10A Sem 1'!P36</f>
        <v>87</v>
      </c>
      <c r="R102" s="22">
        <f>'10A Sem 1'!Q36</f>
        <v>70</v>
      </c>
      <c r="S102" s="22">
        <f>'10A Sem 1'!R36</f>
        <v>1045</v>
      </c>
      <c r="T102" s="22">
        <f>'10A Sem 1'!S36</f>
        <v>80.384615384615387</v>
      </c>
      <c r="U102" s="117">
        <f>'10A Sem 1'!T36</f>
        <v>14</v>
      </c>
      <c r="V102" s="35">
        <f>'10A Sem 1'!U36</f>
        <v>0</v>
      </c>
      <c r="W102" s="35">
        <f>'10A Sem 1'!V36</f>
        <v>0</v>
      </c>
      <c r="X102" s="5"/>
      <c r="Y102" s="5"/>
      <c r="Z102" s="5"/>
      <c r="AA102" s="5"/>
      <c r="AB102" s="5"/>
    </row>
    <row r="103" spans="1:28" ht="17.25" customHeight="1" thickBot="1" x14ac:dyDescent="0.3">
      <c r="A103" s="234"/>
      <c r="B103" s="218"/>
      <c r="C103" s="213">
        <v>17</v>
      </c>
      <c r="D103" s="217" t="s">
        <v>23</v>
      </c>
      <c r="E103" s="69" t="s">
        <v>22</v>
      </c>
      <c r="F103" s="22">
        <f>'10A Sem 2'!E36</f>
        <v>85</v>
      </c>
      <c r="G103" s="22">
        <f>'10A Sem 2'!F36</f>
        <v>85</v>
      </c>
      <c r="H103" s="23">
        <f>'10A Sem 2'!G36</f>
        <v>67</v>
      </c>
      <c r="I103" s="22">
        <f>'10A Sem 2'!H36</f>
        <v>81</v>
      </c>
      <c r="J103" s="22">
        <f>'10A Sem 2'!I36</f>
        <v>63</v>
      </c>
      <c r="K103" s="22">
        <f>'10A Sem 2'!J36</f>
        <v>84</v>
      </c>
      <c r="L103" s="22">
        <f>'10A Sem 2'!K36</f>
        <v>69</v>
      </c>
      <c r="M103" s="22">
        <f>'10A Sem 2'!L36</f>
        <v>93</v>
      </c>
      <c r="N103" s="22">
        <f>'10A Sem 2'!M36</f>
        <v>79</v>
      </c>
      <c r="O103" s="22">
        <f>'10A Sem 2'!N36</f>
        <v>97</v>
      </c>
      <c r="P103" s="22">
        <f>'10A Sem 2'!O36</f>
        <v>76</v>
      </c>
      <c r="Q103" s="22">
        <f>'10A Sem 2'!P36</f>
        <v>81</v>
      </c>
      <c r="R103" s="22">
        <f>'10A Sem 2'!Q36</f>
        <v>63</v>
      </c>
      <c r="S103" s="22">
        <f>'10A Sem 2'!R36</f>
        <v>1023</v>
      </c>
      <c r="T103" s="22">
        <f>'10A Sem 2'!S36</f>
        <v>78.692307692307693</v>
      </c>
      <c r="U103" s="117">
        <f>'10A Sem 2'!T36</f>
        <v>14</v>
      </c>
      <c r="V103" s="35">
        <f>'10A Sem 2'!U36</f>
        <v>0</v>
      </c>
      <c r="W103" s="35">
        <f>'10A Sem 2'!V36</f>
        <v>0</v>
      </c>
      <c r="X103" s="5"/>
      <c r="Y103" s="5"/>
      <c r="Z103" s="5"/>
      <c r="AA103" s="5"/>
      <c r="AB103" s="5"/>
    </row>
    <row r="104" spans="1:28" ht="17.25" customHeight="1" thickBot="1" x14ac:dyDescent="0.3">
      <c r="A104" s="234"/>
      <c r="B104" s="218"/>
      <c r="C104" s="213">
        <v>17</v>
      </c>
      <c r="D104" s="217" t="s">
        <v>23</v>
      </c>
      <c r="E104" s="69" t="s">
        <v>16</v>
      </c>
      <c r="F104" s="22">
        <f>AVERAGE(F102:F103)</f>
        <v>88</v>
      </c>
      <c r="G104" s="22">
        <f t="shared" ref="G104:W104" si="32">AVERAGE(G102:G103)</f>
        <v>82.5</v>
      </c>
      <c r="H104" s="22">
        <f t="shared" si="32"/>
        <v>74.5</v>
      </c>
      <c r="I104" s="22">
        <f t="shared" si="32"/>
        <v>77</v>
      </c>
      <c r="J104" s="22">
        <f t="shared" si="32"/>
        <v>69</v>
      </c>
      <c r="K104" s="22">
        <f t="shared" si="32"/>
        <v>80</v>
      </c>
      <c r="L104" s="22">
        <f t="shared" si="32"/>
        <v>72</v>
      </c>
      <c r="M104" s="22">
        <f t="shared" si="32"/>
        <v>83.5</v>
      </c>
      <c r="N104" s="22">
        <f t="shared" si="32"/>
        <v>83.5</v>
      </c>
      <c r="O104" s="22">
        <f t="shared" si="32"/>
        <v>93</v>
      </c>
      <c r="P104" s="22">
        <f t="shared" si="32"/>
        <v>80.5</v>
      </c>
      <c r="Q104" s="22">
        <f t="shared" si="32"/>
        <v>84</v>
      </c>
      <c r="R104" s="22">
        <f t="shared" si="32"/>
        <v>66.5</v>
      </c>
      <c r="S104" s="22">
        <f t="shared" si="32"/>
        <v>1034</v>
      </c>
      <c r="T104" s="22">
        <f t="shared" si="32"/>
        <v>79.538461538461547</v>
      </c>
      <c r="U104" s="22">
        <f>'10A Sem avr'!$H$36</f>
        <v>13</v>
      </c>
      <c r="V104" s="22">
        <f t="shared" si="32"/>
        <v>0</v>
      </c>
      <c r="W104" s="22">
        <f t="shared" si="32"/>
        <v>0</v>
      </c>
      <c r="X104" s="5"/>
      <c r="Y104" s="5"/>
      <c r="Z104" s="5"/>
      <c r="AA104" s="5"/>
      <c r="AB104" s="5"/>
    </row>
    <row r="105" spans="1:28" ht="17.25" customHeight="1" thickBot="1" x14ac:dyDescent="0.3">
      <c r="A105" s="241">
        <v>34</v>
      </c>
      <c r="B105" s="218"/>
      <c r="C105" s="213">
        <v>15</v>
      </c>
      <c r="D105" s="217" t="s">
        <v>20</v>
      </c>
      <c r="E105" s="69" t="s">
        <v>21</v>
      </c>
      <c r="F105" s="22">
        <f>'10A Sem 1'!E37</f>
        <v>84</v>
      </c>
      <c r="G105" s="22">
        <f>'10A Sem 1'!F37</f>
        <v>46</v>
      </c>
      <c r="H105" s="22">
        <f>'10A Sem 1'!G37</f>
        <v>53</v>
      </c>
      <c r="I105" s="22">
        <f>'10A Sem 1'!H37</f>
        <v>42</v>
      </c>
      <c r="J105" s="22">
        <f>'10A Sem 1'!I37</f>
        <v>41</v>
      </c>
      <c r="K105" s="22">
        <f>'10A Sem 1'!J37</f>
        <v>47</v>
      </c>
      <c r="L105" s="22">
        <f>'10A Sem 1'!K37</f>
        <v>62</v>
      </c>
      <c r="M105" s="22">
        <f>'10A Sem 1'!L37</f>
        <v>48</v>
      </c>
      <c r="N105" s="22">
        <f>'10A Sem 1'!M37</f>
        <v>54</v>
      </c>
      <c r="O105" s="22">
        <f>'10A Sem 1'!N37</f>
        <v>65</v>
      </c>
      <c r="P105" s="22">
        <f>'10A Sem 1'!O37</f>
        <v>67</v>
      </c>
      <c r="Q105" s="22">
        <f>'10A Sem 1'!P37</f>
        <v>86</v>
      </c>
      <c r="R105" s="22">
        <f>'10A Sem 1'!Q37</f>
        <v>60</v>
      </c>
      <c r="S105" s="22">
        <f>'10A Sem 1'!R37</f>
        <v>755</v>
      </c>
      <c r="T105" s="22">
        <f>'10A Sem 1'!S37</f>
        <v>58.07692307692308</v>
      </c>
      <c r="U105" s="117">
        <f>'10A Sem 1'!T37</f>
        <v>46</v>
      </c>
      <c r="V105" s="35">
        <f>'10A Sem 1'!U37</f>
        <v>0</v>
      </c>
      <c r="W105" s="35">
        <f>'10A Sem 1'!V37</f>
        <v>0</v>
      </c>
      <c r="X105" s="5"/>
      <c r="Y105" s="5"/>
      <c r="Z105" s="5"/>
      <c r="AA105" s="5"/>
      <c r="AB105" s="5"/>
    </row>
    <row r="106" spans="1:28" ht="17.25" customHeight="1" thickBot="1" x14ac:dyDescent="0.3">
      <c r="A106" s="241"/>
      <c r="B106" s="218"/>
      <c r="C106" s="213">
        <v>15</v>
      </c>
      <c r="D106" s="217" t="s">
        <v>20</v>
      </c>
      <c r="E106" s="69" t="s">
        <v>22</v>
      </c>
      <c r="F106" s="22">
        <f>'10A Sem 2'!E37</f>
        <v>72</v>
      </c>
      <c r="G106" s="22">
        <f>'10A Sem 2'!F37</f>
        <v>55</v>
      </c>
      <c r="H106" s="22">
        <f>'10A Sem 2'!G37</f>
        <v>41</v>
      </c>
      <c r="I106" s="22">
        <f>'10A Sem 2'!H37</f>
        <v>39</v>
      </c>
      <c r="J106" s="22">
        <f>'10A Sem 2'!I37</f>
        <v>47</v>
      </c>
      <c r="K106" s="22">
        <f>'10A Sem 2'!J37</f>
        <v>48</v>
      </c>
      <c r="L106" s="22">
        <f>'10A Sem 2'!K37</f>
        <v>67</v>
      </c>
      <c r="M106" s="22">
        <f>'10A Sem 2'!L37</f>
        <v>68</v>
      </c>
      <c r="N106" s="22">
        <f>'10A Sem 2'!M37</f>
        <v>56</v>
      </c>
      <c r="O106" s="22">
        <f>'10A Sem 2'!N37</f>
        <v>83</v>
      </c>
      <c r="P106" s="22">
        <f>'10A Sem 2'!O37</f>
        <v>50</v>
      </c>
      <c r="Q106" s="22">
        <f>'10A Sem 2'!P37</f>
        <v>89</v>
      </c>
      <c r="R106" s="22">
        <f>'10A Sem 2'!Q37</f>
        <v>56</v>
      </c>
      <c r="S106" s="22">
        <f>'10A Sem 2'!R37</f>
        <v>771</v>
      </c>
      <c r="T106" s="22">
        <f>'10A Sem 2'!S37</f>
        <v>59.307692307692307</v>
      </c>
      <c r="U106" s="117">
        <f>'10A Sem 2'!T37</f>
        <v>49</v>
      </c>
      <c r="V106" s="35">
        <f>'10A Sem 2'!U37</f>
        <v>0</v>
      </c>
      <c r="W106" s="35">
        <f>'10A Sem 2'!V37</f>
        <v>0</v>
      </c>
      <c r="X106" s="5"/>
      <c r="Y106" s="5"/>
      <c r="Z106" s="5"/>
      <c r="AA106" s="5"/>
      <c r="AB106" s="5"/>
    </row>
    <row r="107" spans="1:28" ht="17.25" customHeight="1" thickBot="1" x14ac:dyDescent="0.3">
      <c r="A107" s="241"/>
      <c r="B107" s="218"/>
      <c r="C107" s="213">
        <v>15</v>
      </c>
      <c r="D107" s="217" t="s">
        <v>20</v>
      </c>
      <c r="E107" s="69" t="s">
        <v>16</v>
      </c>
      <c r="F107" s="22">
        <f>AVERAGE(F105:F106)</f>
        <v>78</v>
      </c>
      <c r="G107" s="22">
        <f t="shared" ref="G107:W107" si="33">AVERAGE(G105:G106)</f>
        <v>50.5</v>
      </c>
      <c r="H107" s="22">
        <f t="shared" si="33"/>
        <v>47</v>
      </c>
      <c r="I107" s="22">
        <f t="shared" si="33"/>
        <v>40.5</v>
      </c>
      <c r="J107" s="22">
        <f t="shared" si="33"/>
        <v>44</v>
      </c>
      <c r="K107" s="22">
        <f t="shared" si="33"/>
        <v>47.5</v>
      </c>
      <c r="L107" s="22">
        <f t="shared" si="33"/>
        <v>64.5</v>
      </c>
      <c r="M107" s="22">
        <f t="shared" si="33"/>
        <v>58</v>
      </c>
      <c r="N107" s="22">
        <f t="shared" si="33"/>
        <v>55</v>
      </c>
      <c r="O107" s="22">
        <f t="shared" si="33"/>
        <v>74</v>
      </c>
      <c r="P107" s="22">
        <f t="shared" si="33"/>
        <v>58.5</v>
      </c>
      <c r="Q107" s="22">
        <f t="shared" si="33"/>
        <v>87.5</v>
      </c>
      <c r="R107" s="22">
        <f t="shared" si="33"/>
        <v>58</v>
      </c>
      <c r="S107" s="22">
        <f t="shared" si="33"/>
        <v>763</v>
      </c>
      <c r="T107" s="22">
        <f t="shared" si="33"/>
        <v>58.692307692307693</v>
      </c>
      <c r="U107" s="22">
        <f>'10A Sem avr'!$H$37</f>
        <v>49</v>
      </c>
      <c r="V107" s="22">
        <f t="shared" si="33"/>
        <v>0</v>
      </c>
      <c r="W107" s="22">
        <f t="shared" si="33"/>
        <v>0</v>
      </c>
      <c r="X107" s="5"/>
      <c r="Y107" s="5"/>
      <c r="Z107" s="5"/>
      <c r="AA107" s="5"/>
      <c r="AB107" s="5"/>
    </row>
    <row r="108" spans="1:28" ht="17.25" customHeight="1" thickBot="1" x14ac:dyDescent="0.3">
      <c r="A108" s="241">
        <v>35</v>
      </c>
      <c r="B108" s="218"/>
      <c r="C108" s="213">
        <v>15</v>
      </c>
      <c r="D108" s="217" t="s">
        <v>23</v>
      </c>
      <c r="E108" s="69" t="s">
        <v>21</v>
      </c>
      <c r="F108" s="22">
        <f>'10A Sem 1'!E38</f>
        <v>81</v>
      </c>
      <c r="G108" s="22">
        <f>'10A Sem 1'!F38</f>
        <v>80</v>
      </c>
      <c r="H108" s="22">
        <f>'10A Sem 1'!G38</f>
        <v>81</v>
      </c>
      <c r="I108" s="22">
        <f>'10A Sem 1'!H38</f>
        <v>50</v>
      </c>
      <c r="J108" s="22">
        <f>'10A Sem 1'!I38</f>
        <v>60</v>
      </c>
      <c r="K108" s="22">
        <f>'10A Sem 1'!J38</f>
        <v>72</v>
      </c>
      <c r="L108" s="22">
        <f>'10A Sem 1'!K38</f>
        <v>79</v>
      </c>
      <c r="M108" s="22">
        <f>'10A Sem 1'!L38</f>
        <v>67</v>
      </c>
      <c r="N108" s="22">
        <f>'10A Sem 1'!M38</f>
        <v>81</v>
      </c>
      <c r="O108" s="22">
        <f>'10A Sem 1'!N38</f>
        <v>80</v>
      </c>
      <c r="P108" s="22">
        <f>'10A Sem 1'!O38</f>
        <v>81</v>
      </c>
      <c r="Q108" s="22">
        <f>'10A Sem 1'!P38</f>
        <v>94</v>
      </c>
      <c r="R108" s="22">
        <f>'10A Sem 1'!Q38</f>
        <v>78</v>
      </c>
      <c r="S108" s="22">
        <f>'10A Sem 1'!R38</f>
        <v>984</v>
      </c>
      <c r="T108" s="22">
        <f>'10A Sem 1'!S38</f>
        <v>75.692307692307693</v>
      </c>
      <c r="U108" s="117">
        <f>'10A Sem 1'!T38</f>
        <v>23</v>
      </c>
      <c r="V108" s="35">
        <f>'10A Sem 1'!U38</f>
        <v>0</v>
      </c>
      <c r="W108" s="35">
        <f>'10A Sem 1'!V38</f>
        <v>0</v>
      </c>
      <c r="X108" s="5"/>
      <c r="Y108" s="5"/>
      <c r="Z108" s="5"/>
      <c r="AA108" s="5"/>
      <c r="AB108" s="5"/>
    </row>
    <row r="109" spans="1:28" ht="17.25" customHeight="1" thickBot="1" x14ac:dyDescent="0.3">
      <c r="A109" s="241"/>
      <c r="B109" s="218"/>
      <c r="C109" s="213">
        <v>15</v>
      </c>
      <c r="D109" s="217" t="s">
        <v>23</v>
      </c>
      <c r="E109" s="69" t="s">
        <v>22</v>
      </c>
      <c r="F109" s="22">
        <f>'10A Sem 2'!E38</f>
        <v>78</v>
      </c>
      <c r="G109" s="22">
        <f>'10A Sem 2'!F38</f>
        <v>82</v>
      </c>
      <c r="H109" s="22">
        <f>'10A Sem 2'!G38</f>
        <v>69</v>
      </c>
      <c r="I109" s="22">
        <f>'10A Sem 2'!H38</f>
        <v>64</v>
      </c>
      <c r="J109" s="22">
        <f>'10A Sem 2'!I38</f>
        <v>55</v>
      </c>
      <c r="K109" s="22">
        <f>'10A Sem 2'!J38</f>
        <v>77</v>
      </c>
      <c r="L109" s="22">
        <f>'10A Sem 2'!K38</f>
        <v>76</v>
      </c>
      <c r="M109" s="22">
        <f>'10A Sem 2'!L38</f>
        <v>80</v>
      </c>
      <c r="N109" s="22">
        <f>'10A Sem 2'!M38</f>
        <v>86</v>
      </c>
      <c r="O109" s="22">
        <f>'10A Sem 2'!N38</f>
        <v>93</v>
      </c>
      <c r="P109" s="22">
        <f>'10A Sem 2'!O38</f>
        <v>71</v>
      </c>
      <c r="Q109" s="22">
        <f>'10A Sem 2'!P38</f>
        <v>93</v>
      </c>
      <c r="R109" s="22">
        <f>'10A Sem 2'!Q38</f>
        <v>60</v>
      </c>
      <c r="S109" s="22">
        <f>'10A Sem 2'!R38</f>
        <v>984</v>
      </c>
      <c r="T109" s="22">
        <f>'10A Sem 2'!S38</f>
        <v>75.692307692307693</v>
      </c>
      <c r="U109" s="117">
        <f>'10A Sem 2'!T38</f>
        <v>22</v>
      </c>
      <c r="V109" s="35">
        <f>'10A Sem 2'!U38</f>
        <v>0</v>
      </c>
      <c r="W109" s="35">
        <f>'10A Sem 2'!V38</f>
        <v>0</v>
      </c>
      <c r="X109" s="5"/>
      <c r="Y109" s="5"/>
      <c r="Z109" s="5"/>
      <c r="AA109" s="5"/>
      <c r="AB109" s="5"/>
    </row>
    <row r="110" spans="1:28" ht="17.25" customHeight="1" thickBot="1" x14ac:dyDescent="0.3">
      <c r="A110" s="241"/>
      <c r="B110" s="218"/>
      <c r="C110" s="213">
        <v>15</v>
      </c>
      <c r="D110" s="217" t="s">
        <v>23</v>
      </c>
      <c r="E110" s="69" t="s">
        <v>16</v>
      </c>
      <c r="F110" s="22">
        <f>AVERAGE(F108:F109)</f>
        <v>79.5</v>
      </c>
      <c r="G110" s="22">
        <f t="shared" ref="G110:W110" si="34">AVERAGE(G108:G109)</f>
        <v>81</v>
      </c>
      <c r="H110" s="22">
        <f t="shared" si="34"/>
        <v>75</v>
      </c>
      <c r="I110" s="22">
        <f t="shared" si="34"/>
        <v>57</v>
      </c>
      <c r="J110" s="22">
        <f t="shared" si="34"/>
        <v>57.5</v>
      </c>
      <c r="K110" s="22">
        <f t="shared" si="34"/>
        <v>74.5</v>
      </c>
      <c r="L110" s="22">
        <f t="shared" si="34"/>
        <v>77.5</v>
      </c>
      <c r="M110" s="22">
        <f t="shared" si="34"/>
        <v>73.5</v>
      </c>
      <c r="N110" s="22">
        <f t="shared" si="34"/>
        <v>83.5</v>
      </c>
      <c r="O110" s="22">
        <f t="shared" si="34"/>
        <v>86.5</v>
      </c>
      <c r="P110" s="22">
        <f t="shared" si="34"/>
        <v>76</v>
      </c>
      <c r="Q110" s="22">
        <f t="shared" si="34"/>
        <v>93.5</v>
      </c>
      <c r="R110" s="22">
        <f t="shared" si="34"/>
        <v>69</v>
      </c>
      <c r="S110" s="22">
        <f t="shared" si="34"/>
        <v>984</v>
      </c>
      <c r="T110" s="22">
        <f t="shared" si="34"/>
        <v>75.692307692307693</v>
      </c>
      <c r="U110" s="22">
        <f>'10A Sem avr'!$H$38</f>
        <v>22</v>
      </c>
      <c r="V110" s="22">
        <f t="shared" si="34"/>
        <v>0</v>
      </c>
      <c r="W110" s="22">
        <f t="shared" si="34"/>
        <v>0</v>
      </c>
      <c r="X110" s="5"/>
      <c r="Y110" s="5"/>
      <c r="Z110" s="5"/>
      <c r="AA110" s="5"/>
      <c r="AB110" s="5"/>
    </row>
    <row r="111" spans="1:28" ht="17.25" customHeight="1" thickBot="1" x14ac:dyDescent="0.3">
      <c r="A111" s="241">
        <v>36</v>
      </c>
      <c r="B111" s="218"/>
      <c r="C111" s="213">
        <v>15</v>
      </c>
      <c r="D111" s="217" t="s">
        <v>23</v>
      </c>
      <c r="E111" s="69" t="s">
        <v>21</v>
      </c>
      <c r="F111" s="22">
        <f>'10A Sem 1'!E39</f>
        <v>86</v>
      </c>
      <c r="G111" s="22">
        <f>'10A Sem 1'!F39</f>
        <v>86</v>
      </c>
      <c r="H111" s="23">
        <f>'10A Sem 1'!G39</f>
        <v>78</v>
      </c>
      <c r="I111" s="22">
        <f>'10A Sem 1'!H39</f>
        <v>69</v>
      </c>
      <c r="J111" s="22">
        <f>'10A Sem 1'!I39</f>
        <v>71</v>
      </c>
      <c r="K111" s="22">
        <f>'10A Sem 1'!J39</f>
        <v>83</v>
      </c>
      <c r="L111" s="22">
        <f>'10A Sem 1'!K39</f>
        <v>75</v>
      </c>
      <c r="M111" s="22">
        <f>'10A Sem 1'!L39</f>
        <v>72</v>
      </c>
      <c r="N111" s="22">
        <f>'10A Sem 1'!M39</f>
        <v>92</v>
      </c>
      <c r="O111" s="22">
        <f>'10A Sem 1'!N39</f>
        <v>81</v>
      </c>
      <c r="P111" s="22">
        <f>'10A Sem 1'!O39</f>
        <v>88</v>
      </c>
      <c r="Q111" s="22">
        <f>'10A Sem 1'!P39</f>
        <v>91</v>
      </c>
      <c r="R111" s="22">
        <f>'10A Sem 1'!Q39</f>
        <v>85</v>
      </c>
      <c r="S111" s="22">
        <f>'10A Sem 1'!R39</f>
        <v>1057</v>
      </c>
      <c r="T111" s="22">
        <f>'10A Sem 1'!S39</f>
        <v>81.307692307692307</v>
      </c>
      <c r="U111" s="117">
        <f>'10A Sem 1'!T39</f>
        <v>12</v>
      </c>
      <c r="V111" s="35">
        <f>'10A Sem 1'!U39</f>
        <v>0</v>
      </c>
      <c r="W111" s="35">
        <f>'10A Sem 1'!V39</f>
        <v>0</v>
      </c>
      <c r="X111" s="5"/>
      <c r="Y111" s="5"/>
      <c r="Z111" s="5"/>
      <c r="AA111" s="5"/>
      <c r="AB111" s="5"/>
    </row>
    <row r="112" spans="1:28" ht="17.25" customHeight="1" thickBot="1" x14ac:dyDescent="0.3">
      <c r="A112" s="241"/>
      <c r="B112" s="218"/>
      <c r="C112" s="213">
        <v>15</v>
      </c>
      <c r="D112" s="217" t="s">
        <v>23</v>
      </c>
      <c r="E112" s="69" t="s">
        <v>22</v>
      </c>
      <c r="F112" s="22">
        <f>'10A Sem 2'!E39</f>
        <v>79</v>
      </c>
      <c r="G112" s="22">
        <f>'10A Sem 2'!F39</f>
        <v>83</v>
      </c>
      <c r="H112" s="23">
        <f>'10A Sem 2'!G39</f>
        <v>69</v>
      </c>
      <c r="I112" s="22">
        <f>'10A Sem 2'!H39</f>
        <v>63</v>
      </c>
      <c r="J112" s="22">
        <f>'10A Sem 2'!I39</f>
        <v>66</v>
      </c>
      <c r="K112" s="22">
        <f>'10A Sem 2'!J39</f>
        <v>69</v>
      </c>
      <c r="L112" s="22">
        <f>'10A Sem 2'!K39</f>
        <v>64</v>
      </c>
      <c r="M112" s="22">
        <f>'10A Sem 2'!L39</f>
        <v>92</v>
      </c>
      <c r="N112" s="22">
        <f>'10A Sem 2'!M39</f>
        <v>86</v>
      </c>
      <c r="O112" s="22">
        <f>'10A Sem 2'!N39</f>
        <v>98</v>
      </c>
      <c r="P112" s="22">
        <f>'10A Sem 2'!O39</f>
        <v>83</v>
      </c>
      <c r="Q112" s="22">
        <f>'10A Sem 2'!P39</f>
        <v>89</v>
      </c>
      <c r="R112" s="22">
        <f>'10A Sem 2'!Q39</f>
        <v>52</v>
      </c>
      <c r="S112" s="22">
        <f>'10A Sem 2'!R39</f>
        <v>993</v>
      </c>
      <c r="T112" s="22">
        <f>'10A Sem 2'!S39</f>
        <v>76.384615384615387</v>
      </c>
      <c r="U112" s="117">
        <f>'10A Sem 2'!T39</f>
        <v>21</v>
      </c>
      <c r="V112" s="35">
        <f>'10A Sem 2'!U39</f>
        <v>0</v>
      </c>
      <c r="W112" s="35">
        <f>'10A Sem 2'!V39</f>
        <v>0</v>
      </c>
      <c r="X112" s="5"/>
      <c r="Y112" s="5"/>
      <c r="Z112" s="5"/>
      <c r="AA112" s="5"/>
      <c r="AB112" s="5"/>
    </row>
    <row r="113" spans="1:28" ht="17.25" customHeight="1" thickBot="1" x14ac:dyDescent="0.3">
      <c r="A113" s="241"/>
      <c r="B113" s="218"/>
      <c r="C113" s="213">
        <v>15</v>
      </c>
      <c r="D113" s="217" t="s">
        <v>23</v>
      </c>
      <c r="E113" s="69" t="s">
        <v>16</v>
      </c>
      <c r="F113" s="22">
        <f>AVERAGE(F111:F112)</f>
        <v>82.5</v>
      </c>
      <c r="G113" s="22">
        <f t="shared" ref="G113:W113" si="35">AVERAGE(G111:G112)</f>
        <v>84.5</v>
      </c>
      <c r="H113" s="22">
        <f t="shared" si="35"/>
        <v>73.5</v>
      </c>
      <c r="I113" s="22">
        <f t="shared" si="35"/>
        <v>66</v>
      </c>
      <c r="J113" s="22">
        <f t="shared" si="35"/>
        <v>68.5</v>
      </c>
      <c r="K113" s="22">
        <f t="shared" si="35"/>
        <v>76</v>
      </c>
      <c r="L113" s="22">
        <f t="shared" si="35"/>
        <v>69.5</v>
      </c>
      <c r="M113" s="22">
        <f t="shared" si="35"/>
        <v>82</v>
      </c>
      <c r="N113" s="22">
        <f t="shared" si="35"/>
        <v>89</v>
      </c>
      <c r="O113" s="22">
        <f t="shared" si="35"/>
        <v>89.5</v>
      </c>
      <c r="P113" s="22">
        <f t="shared" si="35"/>
        <v>85.5</v>
      </c>
      <c r="Q113" s="22">
        <f t="shared" si="35"/>
        <v>90</v>
      </c>
      <c r="R113" s="22">
        <f t="shared" si="35"/>
        <v>68.5</v>
      </c>
      <c r="S113" s="22">
        <f t="shared" si="35"/>
        <v>1025</v>
      </c>
      <c r="T113" s="22">
        <f t="shared" si="35"/>
        <v>78.84615384615384</v>
      </c>
      <c r="U113" s="22">
        <f>'10A Sem avr'!$H$39</f>
        <v>15</v>
      </c>
      <c r="V113" s="22">
        <f t="shared" si="35"/>
        <v>0</v>
      </c>
      <c r="W113" s="22">
        <f t="shared" si="35"/>
        <v>0</v>
      </c>
      <c r="X113" s="5"/>
      <c r="Y113" s="5"/>
      <c r="Z113" s="5"/>
      <c r="AA113" s="5"/>
      <c r="AB113" s="5"/>
    </row>
    <row r="114" spans="1:28" ht="17.25" customHeight="1" thickBot="1" x14ac:dyDescent="0.3">
      <c r="A114" s="234">
        <v>37</v>
      </c>
      <c r="B114" s="218"/>
      <c r="C114" s="213">
        <v>15</v>
      </c>
      <c r="D114" s="217" t="s">
        <v>23</v>
      </c>
      <c r="E114" s="69" t="s">
        <v>21</v>
      </c>
      <c r="F114" s="22">
        <f>'10A Sem 1'!E40</f>
        <v>76</v>
      </c>
      <c r="G114" s="22">
        <f>'10A Sem 1'!F40</f>
        <v>61</v>
      </c>
      <c r="H114" s="22">
        <f>'10A Sem 1'!G40</f>
        <v>69</v>
      </c>
      <c r="I114" s="22">
        <f>'10A Sem 1'!H40</f>
        <v>61</v>
      </c>
      <c r="J114" s="22">
        <f>'10A Sem 1'!I40</f>
        <v>65</v>
      </c>
      <c r="K114" s="22">
        <f>'10A Sem 1'!J40</f>
        <v>68</v>
      </c>
      <c r="L114" s="22">
        <f>'10A Sem 1'!K40</f>
        <v>65</v>
      </c>
      <c r="M114" s="22">
        <f>'10A Sem 1'!L40</f>
        <v>69</v>
      </c>
      <c r="N114" s="22">
        <f>'10A Sem 1'!M40</f>
        <v>72</v>
      </c>
      <c r="O114" s="22">
        <f>'10A Sem 1'!N40</f>
        <v>77</v>
      </c>
      <c r="P114" s="22">
        <f>'10A Sem 1'!O40</f>
        <v>77</v>
      </c>
      <c r="Q114" s="22">
        <f>'10A Sem 1'!P40</f>
        <v>93</v>
      </c>
      <c r="R114" s="22">
        <f>'10A Sem 1'!Q40</f>
        <v>89</v>
      </c>
      <c r="S114" s="22">
        <f>'10A Sem 1'!R40</f>
        <v>942</v>
      </c>
      <c r="T114" s="22">
        <f>'10A Sem 1'!S40</f>
        <v>72.461538461538467</v>
      </c>
      <c r="U114" s="117">
        <f>'10A Sem 1'!T40</f>
        <v>29</v>
      </c>
      <c r="V114" s="35">
        <f>'10A Sem 1'!U40</f>
        <v>0</v>
      </c>
      <c r="W114" s="35">
        <f>'10A Sem 1'!V40</f>
        <v>0</v>
      </c>
      <c r="X114" s="5"/>
      <c r="Y114" s="5"/>
      <c r="Z114" s="5"/>
      <c r="AA114" s="5"/>
      <c r="AB114" s="5"/>
    </row>
    <row r="115" spans="1:28" ht="17.25" customHeight="1" thickBot="1" x14ac:dyDescent="0.3">
      <c r="A115" s="234"/>
      <c r="B115" s="218"/>
      <c r="C115" s="213">
        <v>15</v>
      </c>
      <c r="D115" s="217" t="s">
        <v>23</v>
      </c>
      <c r="E115" s="69" t="s">
        <v>22</v>
      </c>
      <c r="F115" s="22">
        <f>'10A Sem 2'!E40</f>
        <v>70</v>
      </c>
      <c r="G115" s="22">
        <f>'10A Sem 2'!F40</f>
        <v>70</v>
      </c>
      <c r="H115" s="22">
        <f>'10A Sem 2'!G40</f>
        <v>58</v>
      </c>
      <c r="I115" s="22">
        <f>'10A Sem 2'!H40</f>
        <v>50</v>
      </c>
      <c r="J115" s="22">
        <f>'10A Sem 2'!I40</f>
        <v>58</v>
      </c>
      <c r="K115" s="22">
        <f>'10A Sem 2'!J40</f>
        <v>61</v>
      </c>
      <c r="L115" s="22">
        <f>'10A Sem 2'!K40</f>
        <v>64</v>
      </c>
      <c r="M115" s="22">
        <f>'10A Sem 2'!L40</f>
        <v>78</v>
      </c>
      <c r="N115" s="22">
        <f>'10A Sem 2'!M40</f>
        <v>67</v>
      </c>
      <c r="O115" s="22">
        <f>'10A Sem 2'!N40</f>
        <v>89</v>
      </c>
      <c r="P115" s="22">
        <f>'10A Sem 2'!O40</f>
        <v>70</v>
      </c>
      <c r="Q115" s="22">
        <f>'10A Sem 2'!P40</f>
        <v>76</v>
      </c>
      <c r="R115" s="22">
        <f>'10A Sem 2'!Q40</f>
        <v>55</v>
      </c>
      <c r="S115" s="22">
        <f>'10A Sem 2'!R40</f>
        <v>866</v>
      </c>
      <c r="T115" s="22">
        <f>'10A Sem 2'!S40</f>
        <v>66.615384615384613</v>
      </c>
      <c r="U115" s="117">
        <f>'10A Sem 2'!T40</f>
        <v>37</v>
      </c>
      <c r="V115" s="35">
        <f>'10A Sem 2'!U40</f>
        <v>0</v>
      </c>
      <c r="W115" s="35">
        <f>'10A Sem 2'!V40</f>
        <v>0</v>
      </c>
      <c r="X115" s="5"/>
      <c r="Y115" s="5"/>
      <c r="Z115" s="5"/>
      <c r="AA115" s="5"/>
      <c r="AB115" s="5"/>
    </row>
    <row r="116" spans="1:28" ht="17.25" customHeight="1" thickBot="1" x14ac:dyDescent="0.3">
      <c r="A116" s="234"/>
      <c r="B116" s="218"/>
      <c r="C116" s="213">
        <v>15</v>
      </c>
      <c r="D116" s="217" t="s">
        <v>23</v>
      </c>
      <c r="E116" s="69" t="s">
        <v>16</v>
      </c>
      <c r="F116" s="22">
        <f>AVERAGE(F114:F115)</f>
        <v>73</v>
      </c>
      <c r="G116" s="22">
        <f t="shared" ref="G116:W116" si="36">AVERAGE(G114:G115)</f>
        <v>65.5</v>
      </c>
      <c r="H116" s="22">
        <f t="shared" si="36"/>
        <v>63.5</v>
      </c>
      <c r="I116" s="22">
        <f t="shared" si="36"/>
        <v>55.5</v>
      </c>
      <c r="J116" s="22">
        <f t="shared" si="36"/>
        <v>61.5</v>
      </c>
      <c r="K116" s="22">
        <f t="shared" si="36"/>
        <v>64.5</v>
      </c>
      <c r="L116" s="22">
        <f t="shared" si="36"/>
        <v>64.5</v>
      </c>
      <c r="M116" s="22">
        <f t="shared" si="36"/>
        <v>73.5</v>
      </c>
      <c r="N116" s="22">
        <f t="shared" si="36"/>
        <v>69.5</v>
      </c>
      <c r="O116" s="22">
        <f t="shared" si="36"/>
        <v>83</v>
      </c>
      <c r="P116" s="22">
        <f t="shared" si="36"/>
        <v>73.5</v>
      </c>
      <c r="Q116" s="22">
        <f t="shared" si="36"/>
        <v>84.5</v>
      </c>
      <c r="R116" s="22">
        <f t="shared" si="36"/>
        <v>72</v>
      </c>
      <c r="S116" s="22">
        <f t="shared" si="36"/>
        <v>904</v>
      </c>
      <c r="T116" s="22">
        <f t="shared" si="36"/>
        <v>69.538461538461547</v>
      </c>
      <c r="U116" s="22">
        <f>'10A Sem avr'!$H$40</f>
        <v>31</v>
      </c>
      <c r="V116" s="22">
        <f t="shared" si="36"/>
        <v>0</v>
      </c>
      <c r="W116" s="22">
        <f t="shared" si="36"/>
        <v>0</v>
      </c>
      <c r="X116" s="5"/>
      <c r="Y116" s="5"/>
      <c r="Z116" s="5"/>
      <c r="AA116" s="5"/>
      <c r="AB116" s="5"/>
    </row>
    <row r="117" spans="1:28" ht="17.25" customHeight="1" thickBot="1" x14ac:dyDescent="0.3">
      <c r="A117" s="234">
        <v>38</v>
      </c>
      <c r="B117" s="218"/>
      <c r="C117" s="213">
        <v>15</v>
      </c>
      <c r="D117" s="217" t="s">
        <v>20</v>
      </c>
      <c r="E117" s="69" t="s">
        <v>21</v>
      </c>
      <c r="F117" s="22">
        <f>'10A Sem 1'!E41</f>
        <v>58</v>
      </c>
      <c r="G117" s="22">
        <f>'10A Sem 1'!F41</f>
        <v>67</v>
      </c>
      <c r="H117" s="22">
        <f>'10A Sem 1'!G41</f>
        <v>45</v>
      </c>
      <c r="I117" s="22">
        <f>'10A Sem 1'!H41</f>
        <v>39</v>
      </c>
      <c r="J117" s="22">
        <f>'10A Sem 1'!I41</f>
        <v>43</v>
      </c>
      <c r="K117" s="22">
        <f>'10A Sem 1'!J41</f>
        <v>51</v>
      </c>
      <c r="L117" s="22">
        <f>'10A Sem 1'!K41</f>
        <v>68</v>
      </c>
      <c r="M117" s="22">
        <f>'10A Sem 1'!L41</f>
        <v>63</v>
      </c>
      <c r="N117" s="22">
        <f>'10A Sem 1'!M41</f>
        <v>65</v>
      </c>
      <c r="O117" s="22">
        <f>'10A Sem 1'!N41</f>
        <v>52</v>
      </c>
      <c r="P117" s="22">
        <f>'10A Sem 1'!O41</f>
        <v>52</v>
      </c>
      <c r="Q117" s="22">
        <f>'10A Sem 1'!P41</f>
        <v>76</v>
      </c>
      <c r="R117" s="22">
        <f>'10A Sem 1'!Q41</f>
        <v>56</v>
      </c>
      <c r="S117" s="22">
        <f>'10A Sem 1'!R41</f>
        <v>735</v>
      </c>
      <c r="T117" s="22">
        <f>'10A Sem 1'!S41</f>
        <v>56.53846153846154</v>
      </c>
      <c r="U117" s="117">
        <f>'10A Sem 1'!T41</f>
        <v>50</v>
      </c>
      <c r="V117" s="35">
        <f>'10A Sem 1'!U41</f>
        <v>0</v>
      </c>
      <c r="W117" s="35">
        <f>'10A Sem 1'!V41</f>
        <v>0</v>
      </c>
      <c r="X117" s="5"/>
      <c r="Y117" s="5"/>
      <c r="Z117" s="5"/>
      <c r="AA117" s="5"/>
      <c r="AB117" s="5"/>
    </row>
    <row r="118" spans="1:28" ht="17.25" customHeight="1" thickBot="1" x14ac:dyDescent="0.3">
      <c r="A118" s="234"/>
      <c r="B118" s="218"/>
      <c r="C118" s="213">
        <v>15</v>
      </c>
      <c r="D118" s="217" t="s">
        <v>20</v>
      </c>
      <c r="E118" s="69" t="s">
        <v>22</v>
      </c>
      <c r="F118" s="22">
        <f>'10A Sem 2'!E41</f>
        <v>63</v>
      </c>
      <c r="G118" s="22">
        <f>'10A Sem 2'!F41</f>
        <v>63</v>
      </c>
      <c r="H118" s="22">
        <f>'10A Sem 2'!G41</f>
        <v>43</v>
      </c>
      <c r="I118" s="22">
        <f>'10A Sem 2'!H41</f>
        <v>50</v>
      </c>
      <c r="J118" s="22">
        <f>'10A Sem 2'!I41</f>
        <v>38</v>
      </c>
      <c r="K118" s="22">
        <f>'10A Sem 2'!J41</f>
        <v>63</v>
      </c>
      <c r="L118" s="22">
        <f>'10A Sem 2'!K41</f>
        <v>69</v>
      </c>
      <c r="M118" s="22">
        <f>'10A Sem 2'!L41</f>
        <v>72</v>
      </c>
      <c r="N118" s="22">
        <f>'10A Sem 2'!M41</f>
        <v>66</v>
      </c>
      <c r="O118" s="22">
        <f>'10A Sem 2'!N41</f>
        <v>83</v>
      </c>
      <c r="P118" s="22">
        <f>'10A Sem 2'!O41</f>
        <v>61</v>
      </c>
      <c r="Q118" s="22">
        <f>'10A Sem 2'!P41</f>
        <v>86</v>
      </c>
      <c r="R118" s="22">
        <f>'10A Sem 2'!Q41</f>
        <v>51</v>
      </c>
      <c r="S118" s="22">
        <f>'10A Sem 2'!R41</f>
        <v>808</v>
      </c>
      <c r="T118" s="22">
        <f>'10A Sem 2'!S41</f>
        <v>62.153846153846153</v>
      </c>
      <c r="U118" s="117">
        <f>'10A Sem 2'!T41</f>
        <v>42</v>
      </c>
      <c r="V118" s="35">
        <f>'10A Sem 2'!U41</f>
        <v>0</v>
      </c>
      <c r="W118" s="35">
        <f>'10A Sem 2'!V41</f>
        <v>0</v>
      </c>
      <c r="X118" s="5"/>
      <c r="Y118" s="5"/>
      <c r="Z118" s="5"/>
      <c r="AA118" s="5"/>
      <c r="AB118" s="5"/>
    </row>
    <row r="119" spans="1:28" ht="17.25" customHeight="1" thickBot="1" x14ac:dyDescent="0.3">
      <c r="A119" s="234"/>
      <c r="B119" s="218"/>
      <c r="C119" s="213">
        <v>15</v>
      </c>
      <c r="D119" s="217" t="s">
        <v>20</v>
      </c>
      <c r="E119" s="69" t="s">
        <v>16</v>
      </c>
      <c r="F119" s="22">
        <f>AVERAGE(F117:F118)</f>
        <v>60.5</v>
      </c>
      <c r="G119" s="22">
        <f t="shared" ref="G119:W119" si="37">AVERAGE(G117:G118)</f>
        <v>65</v>
      </c>
      <c r="H119" s="22">
        <f t="shared" si="37"/>
        <v>44</v>
      </c>
      <c r="I119" s="22">
        <f t="shared" si="37"/>
        <v>44.5</v>
      </c>
      <c r="J119" s="22">
        <f t="shared" si="37"/>
        <v>40.5</v>
      </c>
      <c r="K119" s="22">
        <f t="shared" si="37"/>
        <v>57</v>
      </c>
      <c r="L119" s="22">
        <f t="shared" si="37"/>
        <v>68.5</v>
      </c>
      <c r="M119" s="22">
        <f t="shared" si="37"/>
        <v>67.5</v>
      </c>
      <c r="N119" s="22">
        <f t="shared" si="37"/>
        <v>65.5</v>
      </c>
      <c r="O119" s="22">
        <f t="shared" si="37"/>
        <v>67.5</v>
      </c>
      <c r="P119" s="22">
        <f t="shared" si="37"/>
        <v>56.5</v>
      </c>
      <c r="Q119" s="22">
        <f t="shared" si="37"/>
        <v>81</v>
      </c>
      <c r="R119" s="22">
        <f t="shared" si="37"/>
        <v>53.5</v>
      </c>
      <c r="S119" s="22">
        <f t="shared" si="37"/>
        <v>771.5</v>
      </c>
      <c r="T119" s="22">
        <f t="shared" si="37"/>
        <v>59.346153846153847</v>
      </c>
      <c r="U119" s="22">
        <f>'10A Sem avr'!$H$41</f>
        <v>46</v>
      </c>
      <c r="V119" s="22">
        <f t="shared" si="37"/>
        <v>0</v>
      </c>
      <c r="W119" s="22">
        <f t="shared" si="37"/>
        <v>0</v>
      </c>
      <c r="X119" s="5"/>
      <c r="Y119" s="5"/>
      <c r="Z119" s="5"/>
      <c r="AA119" s="5"/>
      <c r="AB119" s="5"/>
    </row>
    <row r="120" spans="1:28" ht="17.25" customHeight="1" thickBot="1" x14ac:dyDescent="0.3">
      <c r="A120" s="241">
        <v>39</v>
      </c>
      <c r="B120" s="218"/>
      <c r="C120" s="213">
        <v>16</v>
      </c>
      <c r="D120" s="217" t="s">
        <v>23</v>
      </c>
      <c r="E120" s="69" t="s">
        <v>21</v>
      </c>
      <c r="F120" s="22">
        <f>'10A Sem 1'!E42</f>
        <v>85</v>
      </c>
      <c r="G120" s="22">
        <f>'10A Sem 1'!F42</f>
        <v>70</v>
      </c>
      <c r="H120" s="23">
        <f>'10A Sem 1'!G42</f>
        <v>76</v>
      </c>
      <c r="I120" s="22">
        <f>'10A Sem 1'!H42</f>
        <v>67</v>
      </c>
      <c r="J120" s="22">
        <f>'10A Sem 1'!I42</f>
        <v>56</v>
      </c>
      <c r="K120" s="22">
        <f>'10A Sem 1'!J42</f>
        <v>72</v>
      </c>
      <c r="L120" s="22">
        <f>'10A Sem 1'!K42</f>
        <v>72</v>
      </c>
      <c r="M120" s="22">
        <f>'10A Sem 1'!L42</f>
        <v>61</v>
      </c>
      <c r="N120" s="22">
        <f>'10A Sem 1'!M42</f>
        <v>75</v>
      </c>
      <c r="O120" s="22">
        <f>'10A Sem 1'!N42</f>
        <v>76</v>
      </c>
      <c r="P120" s="22">
        <f>'10A Sem 1'!O42</f>
        <v>82</v>
      </c>
      <c r="Q120" s="22">
        <f>'10A Sem 1'!P42</f>
        <v>93</v>
      </c>
      <c r="R120" s="22">
        <f>'10A Sem 1'!Q42</f>
        <v>81</v>
      </c>
      <c r="S120" s="22">
        <f>'10A Sem 1'!R42</f>
        <v>966</v>
      </c>
      <c r="T120" s="22">
        <f>'10A Sem 1'!S42</f>
        <v>74.307692307692307</v>
      </c>
      <c r="U120" s="117">
        <f>'10A Sem 1'!T42</f>
        <v>25</v>
      </c>
      <c r="V120" s="35">
        <f>'10A Sem 1'!U42</f>
        <v>0</v>
      </c>
      <c r="W120" s="35">
        <f>'10A Sem 1'!V42</f>
        <v>0</v>
      </c>
      <c r="X120" s="5"/>
      <c r="Y120" s="5"/>
      <c r="Z120" s="5"/>
      <c r="AA120" s="5"/>
      <c r="AB120" s="5"/>
    </row>
    <row r="121" spans="1:28" ht="17.25" customHeight="1" thickBot="1" x14ac:dyDescent="0.3">
      <c r="A121" s="241"/>
      <c r="B121" s="218"/>
      <c r="C121" s="213">
        <v>16</v>
      </c>
      <c r="D121" s="217" t="s">
        <v>23</v>
      </c>
      <c r="E121" s="69" t="s">
        <v>22</v>
      </c>
      <c r="F121" s="22">
        <f>'10A Sem 2'!E42</f>
        <v>80</v>
      </c>
      <c r="G121" s="22">
        <f>'10A Sem 2'!F42</f>
        <v>60</v>
      </c>
      <c r="H121" s="23">
        <f>'10A Sem 2'!G42</f>
        <v>53</v>
      </c>
      <c r="I121" s="22">
        <f>'10A Sem 2'!H42</f>
        <v>57</v>
      </c>
      <c r="J121" s="22">
        <f>'10A Sem 2'!I42</f>
        <v>57</v>
      </c>
      <c r="K121" s="22">
        <f>'10A Sem 2'!J42</f>
        <v>70</v>
      </c>
      <c r="L121" s="22">
        <f>'10A Sem 2'!K42</f>
        <v>67</v>
      </c>
      <c r="M121" s="22">
        <f>'10A Sem 2'!L42</f>
        <v>85</v>
      </c>
      <c r="N121" s="22">
        <f>'10A Sem 2'!M42</f>
        <v>78</v>
      </c>
      <c r="O121" s="22">
        <f>'10A Sem 2'!N42</f>
        <v>88</v>
      </c>
      <c r="P121" s="22">
        <f>'10A Sem 2'!O42</f>
        <v>75</v>
      </c>
      <c r="Q121" s="22">
        <f>'10A Sem 2'!P42</f>
        <v>86</v>
      </c>
      <c r="R121" s="22">
        <f>'10A Sem 2'!Q42</f>
        <v>52</v>
      </c>
      <c r="S121" s="22">
        <f>'10A Sem 2'!R42</f>
        <v>908</v>
      </c>
      <c r="T121" s="22">
        <f>'10A Sem 2'!S42</f>
        <v>69.84615384615384</v>
      </c>
      <c r="U121" s="117">
        <f>'10A Sem 2'!T42</f>
        <v>31</v>
      </c>
      <c r="V121" s="35">
        <f>'10A Sem 2'!U42</f>
        <v>0</v>
      </c>
      <c r="W121" s="35">
        <f>'10A Sem 2'!V42</f>
        <v>0</v>
      </c>
      <c r="X121" s="5"/>
      <c r="Y121" s="5"/>
      <c r="Z121" s="5"/>
      <c r="AA121" s="5"/>
      <c r="AB121" s="5"/>
    </row>
    <row r="122" spans="1:28" ht="17.25" customHeight="1" thickBot="1" x14ac:dyDescent="0.3">
      <c r="A122" s="241"/>
      <c r="B122" s="218"/>
      <c r="C122" s="213">
        <v>16</v>
      </c>
      <c r="D122" s="217" t="s">
        <v>23</v>
      </c>
      <c r="E122" s="69" t="s">
        <v>16</v>
      </c>
      <c r="F122" s="22">
        <f>AVERAGE(F120:F121)</f>
        <v>82.5</v>
      </c>
      <c r="G122" s="22">
        <f t="shared" ref="G122:W122" si="38">AVERAGE(G120:G121)</f>
        <v>65</v>
      </c>
      <c r="H122" s="22">
        <f t="shared" si="38"/>
        <v>64.5</v>
      </c>
      <c r="I122" s="22">
        <f t="shared" si="38"/>
        <v>62</v>
      </c>
      <c r="J122" s="22">
        <f t="shared" si="38"/>
        <v>56.5</v>
      </c>
      <c r="K122" s="22">
        <f t="shared" si="38"/>
        <v>71</v>
      </c>
      <c r="L122" s="22">
        <f t="shared" si="38"/>
        <v>69.5</v>
      </c>
      <c r="M122" s="22">
        <f t="shared" si="38"/>
        <v>73</v>
      </c>
      <c r="N122" s="22">
        <f t="shared" si="38"/>
        <v>76.5</v>
      </c>
      <c r="O122" s="22">
        <f t="shared" si="38"/>
        <v>82</v>
      </c>
      <c r="P122" s="22">
        <f t="shared" si="38"/>
        <v>78.5</v>
      </c>
      <c r="Q122" s="22">
        <f t="shared" si="38"/>
        <v>89.5</v>
      </c>
      <c r="R122" s="22">
        <f t="shared" si="38"/>
        <v>66.5</v>
      </c>
      <c r="S122" s="22">
        <f t="shared" si="38"/>
        <v>937</v>
      </c>
      <c r="T122" s="22">
        <f t="shared" si="38"/>
        <v>72.076923076923066</v>
      </c>
      <c r="U122" s="22">
        <f>'10A Sem avr'!$H$42</f>
        <v>27</v>
      </c>
      <c r="V122" s="22">
        <f t="shared" si="38"/>
        <v>0</v>
      </c>
      <c r="W122" s="22">
        <f t="shared" si="38"/>
        <v>0</v>
      </c>
      <c r="X122" s="5"/>
      <c r="Y122" s="5"/>
      <c r="Z122" s="5"/>
      <c r="AA122" s="5"/>
      <c r="AB122" s="5"/>
    </row>
    <row r="123" spans="1:28" ht="17.25" customHeight="1" thickBot="1" x14ac:dyDescent="0.3">
      <c r="A123" s="234">
        <v>40</v>
      </c>
      <c r="B123" s="218"/>
      <c r="C123" s="213">
        <v>16</v>
      </c>
      <c r="D123" s="217" t="s">
        <v>20</v>
      </c>
      <c r="E123" s="69" t="s">
        <v>21</v>
      </c>
      <c r="F123" s="22">
        <f>'10A Sem 1'!E43</f>
        <v>83</v>
      </c>
      <c r="G123" s="22">
        <f>'10A Sem 1'!F43</f>
        <v>63</v>
      </c>
      <c r="H123" s="22">
        <f>'10A Sem 1'!G43</f>
        <v>63</v>
      </c>
      <c r="I123" s="22">
        <f>'10A Sem 1'!H43</f>
        <v>60</v>
      </c>
      <c r="J123" s="22">
        <f>'10A Sem 1'!I43</f>
        <v>52</v>
      </c>
      <c r="K123" s="22">
        <f>'10A Sem 1'!J43</f>
        <v>64</v>
      </c>
      <c r="L123" s="23">
        <f>'10A Sem 1'!K43</f>
        <v>55</v>
      </c>
      <c r="M123" s="22">
        <f>'10A Sem 1'!L43</f>
        <v>58</v>
      </c>
      <c r="N123" s="22">
        <f>'10A Sem 1'!M43</f>
        <v>64</v>
      </c>
      <c r="O123" s="22">
        <f>'10A Sem 1'!N43</f>
        <v>81</v>
      </c>
      <c r="P123" s="22">
        <f>'10A Sem 1'!O43</f>
        <v>69</v>
      </c>
      <c r="Q123" s="22">
        <f>'10A Sem 1'!P43</f>
        <v>74</v>
      </c>
      <c r="R123" s="22">
        <f>'10A Sem 1'!Q43</f>
        <v>84</v>
      </c>
      <c r="S123" s="22">
        <f>'10A Sem 1'!R43</f>
        <v>870</v>
      </c>
      <c r="T123" s="22">
        <f>'10A Sem 1'!S43</f>
        <v>66.92307692307692</v>
      </c>
      <c r="U123" s="117">
        <f>'10A Sem 1'!T43</f>
        <v>34</v>
      </c>
      <c r="V123" s="35">
        <f>'10A Sem 1'!U43</f>
        <v>0</v>
      </c>
      <c r="W123" s="35">
        <f>'10A Sem 1'!V43</f>
        <v>0</v>
      </c>
      <c r="X123" s="5"/>
      <c r="Y123" s="5"/>
      <c r="Z123" s="5"/>
      <c r="AA123" s="5"/>
      <c r="AB123" s="5"/>
    </row>
    <row r="124" spans="1:28" ht="17.25" customHeight="1" thickBot="1" x14ac:dyDescent="0.3">
      <c r="A124" s="234"/>
      <c r="B124" s="218"/>
      <c r="C124" s="213">
        <v>16</v>
      </c>
      <c r="D124" s="217" t="s">
        <v>20</v>
      </c>
      <c r="E124" s="69" t="s">
        <v>22</v>
      </c>
      <c r="F124" s="22">
        <f>'10A Sem 2'!E43</f>
        <v>74</v>
      </c>
      <c r="G124" s="22">
        <f>'10A Sem 2'!F43</f>
        <v>64</v>
      </c>
      <c r="H124" s="22">
        <f>'10A Sem 2'!G43</f>
        <v>50</v>
      </c>
      <c r="I124" s="22">
        <f>'10A Sem 2'!H43</f>
        <v>51</v>
      </c>
      <c r="J124" s="22">
        <f>'10A Sem 2'!I43</f>
        <v>63</v>
      </c>
      <c r="K124" s="22">
        <f>'10A Sem 2'!J43</f>
        <v>78</v>
      </c>
      <c r="L124" s="23">
        <f>'10A Sem 2'!K43</f>
        <v>61</v>
      </c>
      <c r="M124" s="22">
        <f>'10A Sem 2'!L43</f>
        <v>91</v>
      </c>
      <c r="N124" s="22">
        <f>'10A Sem 2'!M43</f>
        <v>75</v>
      </c>
      <c r="O124" s="22">
        <f>'10A Sem 2'!N43</f>
        <v>85</v>
      </c>
      <c r="P124" s="22">
        <f>'10A Sem 2'!O43</f>
        <v>60</v>
      </c>
      <c r="Q124" s="22">
        <f>'10A Sem 2'!P43</f>
        <v>89</v>
      </c>
      <c r="R124" s="22">
        <f>'10A Sem 2'!Q43</f>
        <v>54</v>
      </c>
      <c r="S124" s="22">
        <f>'10A Sem 2'!R43</f>
        <v>895</v>
      </c>
      <c r="T124" s="22">
        <f>'10A Sem 2'!S43</f>
        <v>68.84615384615384</v>
      </c>
      <c r="U124" s="117">
        <f>'10A Sem 2'!T43</f>
        <v>33</v>
      </c>
      <c r="V124" s="35">
        <f>'10A Sem 2'!U43</f>
        <v>0</v>
      </c>
      <c r="W124" s="35">
        <f>'10A Sem 2'!V43</f>
        <v>0</v>
      </c>
      <c r="X124" s="5"/>
      <c r="Y124" s="5"/>
      <c r="Z124" s="5"/>
      <c r="AA124" s="5"/>
      <c r="AB124" s="5"/>
    </row>
    <row r="125" spans="1:28" ht="17.25" customHeight="1" thickBot="1" x14ac:dyDescent="0.3">
      <c r="A125" s="234"/>
      <c r="B125" s="218"/>
      <c r="C125" s="213">
        <v>16</v>
      </c>
      <c r="D125" s="217" t="s">
        <v>20</v>
      </c>
      <c r="E125" s="69" t="s">
        <v>16</v>
      </c>
      <c r="F125" s="22">
        <f>AVERAGE(F123:F124)</f>
        <v>78.5</v>
      </c>
      <c r="G125" s="22">
        <f t="shared" ref="G125:W125" si="39">AVERAGE(G123:G124)</f>
        <v>63.5</v>
      </c>
      <c r="H125" s="22">
        <f t="shared" si="39"/>
        <v>56.5</v>
      </c>
      <c r="I125" s="22">
        <f t="shared" si="39"/>
        <v>55.5</v>
      </c>
      <c r="J125" s="22">
        <f t="shared" si="39"/>
        <v>57.5</v>
      </c>
      <c r="K125" s="22">
        <f t="shared" si="39"/>
        <v>71</v>
      </c>
      <c r="L125" s="22">
        <f t="shared" si="39"/>
        <v>58</v>
      </c>
      <c r="M125" s="22">
        <f t="shared" si="39"/>
        <v>74.5</v>
      </c>
      <c r="N125" s="22">
        <f t="shared" si="39"/>
        <v>69.5</v>
      </c>
      <c r="O125" s="22">
        <f t="shared" si="39"/>
        <v>83</v>
      </c>
      <c r="P125" s="22">
        <f t="shared" si="39"/>
        <v>64.5</v>
      </c>
      <c r="Q125" s="22">
        <f t="shared" si="39"/>
        <v>81.5</v>
      </c>
      <c r="R125" s="22">
        <f t="shared" si="39"/>
        <v>69</v>
      </c>
      <c r="S125" s="22">
        <f t="shared" si="39"/>
        <v>882.5</v>
      </c>
      <c r="T125" s="22">
        <f t="shared" si="39"/>
        <v>67.884615384615387</v>
      </c>
      <c r="U125" s="22">
        <f>'10A Sem avr'!$H$43</f>
        <v>35</v>
      </c>
      <c r="V125" s="22">
        <f t="shared" si="39"/>
        <v>0</v>
      </c>
      <c r="W125" s="22">
        <f t="shared" si="39"/>
        <v>0</v>
      </c>
      <c r="X125" s="5"/>
      <c r="Y125" s="5"/>
      <c r="Z125" s="5"/>
      <c r="AA125" s="5"/>
      <c r="AB125" s="5"/>
    </row>
    <row r="126" spans="1:28" ht="17.25" customHeight="1" thickBot="1" x14ac:dyDescent="0.3">
      <c r="A126" s="241">
        <v>41</v>
      </c>
      <c r="B126" s="218"/>
      <c r="C126" s="213">
        <v>17</v>
      </c>
      <c r="D126" s="217" t="s">
        <v>23</v>
      </c>
      <c r="E126" s="69" t="s">
        <v>21</v>
      </c>
      <c r="F126" s="22">
        <f>'10A Sem 1'!E44</f>
        <v>80</v>
      </c>
      <c r="G126" s="22">
        <f>'10A Sem 1'!F44</f>
        <v>55</v>
      </c>
      <c r="H126" s="22">
        <f>'10A Sem 1'!G44</f>
        <v>59</v>
      </c>
      <c r="I126" s="22">
        <f>'10A Sem 1'!H44</f>
        <v>48</v>
      </c>
      <c r="J126" s="22">
        <f>'10A Sem 1'!I44</f>
        <v>40</v>
      </c>
      <c r="K126" s="22">
        <f>'10A Sem 1'!J44</f>
        <v>51</v>
      </c>
      <c r="L126" s="22">
        <f>'10A Sem 1'!K44</f>
        <v>52</v>
      </c>
      <c r="M126" s="22">
        <f>'10A Sem 1'!L44</f>
        <v>47</v>
      </c>
      <c r="N126" s="22">
        <f>'10A Sem 1'!M44</f>
        <v>59</v>
      </c>
      <c r="O126" s="22">
        <f>'10A Sem 1'!N44</f>
        <v>71</v>
      </c>
      <c r="P126" s="22">
        <f>'10A Sem 1'!O44</f>
        <v>58</v>
      </c>
      <c r="Q126" s="22">
        <f>'10A Sem 1'!P44</f>
        <v>80</v>
      </c>
      <c r="R126" s="22">
        <f>'10A Sem 1'!Q44</f>
        <v>60</v>
      </c>
      <c r="S126" s="22">
        <f>'10A Sem 1'!R44</f>
        <v>760</v>
      </c>
      <c r="T126" s="22">
        <f>'10A Sem 1'!S44</f>
        <v>58.46153846153846</v>
      </c>
      <c r="U126" s="117">
        <f>'10A Sem 1'!T44</f>
        <v>45</v>
      </c>
      <c r="V126" s="35">
        <f>'10A Sem 1'!U44</f>
        <v>0</v>
      </c>
      <c r="W126" s="35">
        <f>'10A Sem 1'!V44</f>
        <v>0</v>
      </c>
      <c r="X126" s="5"/>
      <c r="Y126" s="5"/>
      <c r="Z126" s="5"/>
      <c r="AA126" s="5"/>
      <c r="AB126" s="5"/>
    </row>
    <row r="127" spans="1:28" ht="17.25" customHeight="1" thickBot="1" x14ac:dyDescent="0.3">
      <c r="A127" s="241"/>
      <c r="B127" s="218"/>
      <c r="C127" s="213">
        <v>17</v>
      </c>
      <c r="D127" s="217" t="s">
        <v>23</v>
      </c>
      <c r="E127" s="69" t="s">
        <v>22</v>
      </c>
      <c r="F127" s="22">
        <f>'10A Sem 2'!E44</f>
        <v>76</v>
      </c>
      <c r="G127" s="22">
        <f>'10A Sem 2'!F44</f>
        <v>61</v>
      </c>
      <c r="H127" s="22">
        <f>'10A Sem 2'!G44</f>
        <v>52</v>
      </c>
      <c r="I127" s="22">
        <f>'10A Sem 2'!H44</f>
        <v>53</v>
      </c>
      <c r="J127" s="22">
        <f>'10A Sem 2'!I44</f>
        <v>43</v>
      </c>
      <c r="K127" s="22">
        <f>'10A Sem 2'!J44</f>
        <v>52</v>
      </c>
      <c r="L127" s="22">
        <f>'10A Sem 2'!K44</f>
        <v>47</v>
      </c>
      <c r="M127" s="22">
        <f>'10A Sem 2'!L44</f>
        <v>69</v>
      </c>
      <c r="N127" s="22">
        <f>'10A Sem 2'!M44</f>
        <v>61</v>
      </c>
      <c r="O127" s="22">
        <f>'10A Sem 2'!N44</f>
        <v>77</v>
      </c>
      <c r="P127" s="22">
        <f>'10A Sem 2'!O44</f>
        <v>50</v>
      </c>
      <c r="Q127" s="22">
        <f>'10A Sem 2'!P44</f>
        <v>85</v>
      </c>
      <c r="R127" s="22">
        <f>'10A Sem 2'!Q44</f>
        <v>73</v>
      </c>
      <c r="S127" s="22">
        <f>'10A Sem 2'!R44</f>
        <v>799</v>
      </c>
      <c r="T127" s="22">
        <f>'10A Sem 2'!S44</f>
        <v>61.46153846153846</v>
      </c>
      <c r="U127" s="117">
        <f>'10A Sem 2'!T44</f>
        <v>44</v>
      </c>
      <c r="V127" s="35">
        <f>'10A Sem 2'!U44</f>
        <v>0</v>
      </c>
      <c r="W127" s="35">
        <f>'10A Sem 2'!V44</f>
        <v>0</v>
      </c>
      <c r="X127" s="5"/>
      <c r="Y127" s="5"/>
      <c r="Z127" s="5"/>
      <c r="AA127" s="5"/>
      <c r="AB127" s="5"/>
    </row>
    <row r="128" spans="1:28" ht="17.25" customHeight="1" thickBot="1" x14ac:dyDescent="0.3">
      <c r="A128" s="241"/>
      <c r="B128" s="218"/>
      <c r="C128" s="213">
        <v>17</v>
      </c>
      <c r="D128" s="217" t="s">
        <v>23</v>
      </c>
      <c r="E128" s="69" t="s">
        <v>16</v>
      </c>
      <c r="F128" s="22">
        <f>AVERAGE(F126:F127)</f>
        <v>78</v>
      </c>
      <c r="G128" s="22">
        <f t="shared" ref="G128:W128" si="40">AVERAGE(G126:G127)</f>
        <v>58</v>
      </c>
      <c r="H128" s="22">
        <f t="shared" si="40"/>
        <v>55.5</v>
      </c>
      <c r="I128" s="22">
        <f t="shared" si="40"/>
        <v>50.5</v>
      </c>
      <c r="J128" s="22">
        <f t="shared" si="40"/>
        <v>41.5</v>
      </c>
      <c r="K128" s="22">
        <f t="shared" si="40"/>
        <v>51.5</v>
      </c>
      <c r="L128" s="22">
        <f t="shared" si="40"/>
        <v>49.5</v>
      </c>
      <c r="M128" s="22">
        <f t="shared" si="40"/>
        <v>58</v>
      </c>
      <c r="N128" s="22">
        <f t="shared" si="40"/>
        <v>60</v>
      </c>
      <c r="O128" s="22">
        <f t="shared" si="40"/>
        <v>74</v>
      </c>
      <c r="P128" s="22">
        <f t="shared" si="40"/>
        <v>54</v>
      </c>
      <c r="Q128" s="22">
        <f t="shared" si="40"/>
        <v>82.5</v>
      </c>
      <c r="R128" s="22">
        <f t="shared" si="40"/>
        <v>66.5</v>
      </c>
      <c r="S128" s="22">
        <f t="shared" si="40"/>
        <v>779.5</v>
      </c>
      <c r="T128" s="22">
        <f t="shared" si="40"/>
        <v>59.96153846153846</v>
      </c>
      <c r="U128" s="22">
        <f>'10A Sem avr'!$H$44</f>
        <v>45</v>
      </c>
      <c r="V128" s="22">
        <f t="shared" si="40"/>
        <v>0</v>
      </c>
      <c r="W128" s="22">
        <f t="shared" si="40"/>
        <v>0</v>
      </c>
      <c r="X128" s="5"/>
      <c r="Y128" s="5"/>
      <c r="Z128" s="5"/>
      <c r="AA128" s="5"/>
      <c r="AB128" s="5"/>
    </row>
    <row r="129" spans="1:28" ht="17.25" customHeight="1" thickBot="1" x14ac:dyDescent="0.3">
      <c r="A129" s="241">
        <v>42</v>
      </c>
      <c r="B129" s="234"/>
      <c r="C129" s="247">
        <v>18</v>
      </c>
      <c r="D129" s="248" t="s">
        <v>20</v>
      </c>
      <c r="E129" s="69" t="s">
        <v>21</v>
      </c>
      <c r="F129" s="22">
        <f>'10A Sem 1'!E45</f>
        <v>55</v>
      </c>
      <c r="G129" s="23">
        <f>'10A Sem 1'!F45</f>
        <v>57</v>
      </c>
      <c r="H129" s="23">
        <f>'10A Sem 1'!G45</f>
        <v>52</v>
      </c>
      <c r="I129" s="23">
        <f>'10A Sem 1'!H45</f>
        <v>54</v>
      </c>
      <c r="J129" s="22">
        <f>'10A Sem 1'!I45</f>
        <v>45</v>
      </c>
      <c r="K129" s="22">
        <f>'10A Sem 1'!J45</f>
        <v>68</v>
      </c>
      <c r="L129" s="22">
        <f>'10A Sem 1'!K45</f>
        <v>72</v>
      </c>
      <c r="M129" s="22">
        <f>'10A Sem 1'!L45</f>
        <v>72</v>
      </c>
      <c r="N129" s="22">
        <f>'10A Sem 1'!M45</f>
        <v>64</v>
      </c>
      <c r="O129" s="23">
        <f>'10A Sem 1'!N45</f>
        <v>52</v>
      </c>
      <c r="P129" s="22">
        <f>'10A Sem 1'!O45</f>
        <v>81</v>
      </c>
      <c r="Q129" s="22">
        <f>'10A Sem 1'!P45</f>
        <v>84</v>
      </c>
      <c r="R129" s="22">
        <f>'10A Sem 1'!Q45</f>
        <v>76</v>
      </c>
      <c r="S129" s="22">
        <f>'10A Sem 1'!R45</f>
        <v>832</v>
      </c>
      <c r="T129" s="22">
        <f>'10A Sem 1'!S45</f>
        <v>64</v>
      </c>
      <c r="U129" s="117">
        <f>'10A Sem 1'!T45</f>
        <v>40</v>
      </c>
      <c r="V129" s="35">
        <f>'10A Sem 1'!U45</f>
        <v>0</v>
      </c>
      <c r="W129" s="35">
        <f>'10A Sem 1'!V45</f>
        <v>0</v>
      </c>
      <c r="X129" s="5"/>
      <c r="Y129" s="5"/>
      <c r="Z129" s="5"/>
      <c r="AA129" s="5"/>
      <c r="AB129" s="5"/>
    </row>
    <row r="130" spans="1:28" ht="17.25" customHeight="1" thickBot="1" x14ac:dyDescent="0.3">
      <c r="A130" s="241"/>
      <c r="B130" s="234"/>
      <c r="C130" s="247">
        <v>18</v>
      </c>
      <c r="D130" s="248" t="s">
        <v>20</v>
      </c>
      <c r="E130" s="69" t="s">
        <v>22</v>
      </c>
      <c r="F130" s="22">
        <f>'10A Sem 2'!E45</f>
        <v>68</v>
      </c>
      <c r="G130" s="23">
        <f>'10A Sem 2'!F45</f>
        <v>70</v>
      </c>
      <c r="H130" s="23">
        <f>'10A Sem 2'!G45</f>
        <v>49</v>
      </c>
      <c r="I130" s="23">
        <f>'10A Sem 2'!H45</f>
        <v>56</v>
      </c>
      <c r="J130" s="22">
        <f>'10A Sem 2'!I45</f>
        <v>34</v>
      </c>
      <c r="K130" s="22">
        <f>'10A Sem 2'!J45</f>
        <v>71</v>
      </c>
      <c r="L130" s="22">
        <f>'10A Sem 2'!K45</f>
        <v>67</v>
      </c>
      <c r="M130" s="22">
        <f>'10A Sem 2'!L45</f>
        <v>81</v>
      </c>
      <c r="N130" s="22">
        <f>'10A Sem 2'!M45</f>
        <v>66</v>
      </c>
      <c r="O130" s="23">
        <f>'10A Sem 2'!N45</f>
        <v>92</v>
      </c>
      <c r="P130" s="22">
        <f>'10A Sem 2'!O45</f>
        <v>67</v>
      </c>
      <c r="Q130" s="22">
        <f>'10A Sem 2'!P45</f>
        <v>92</v>
      </c>
      <c r="R130" s="22">
        <f>'10A Sem 2'!Q45</f>
        <v>50</v>
      </c>
      <c r="S130" s="22">
        <f>'10A Sem 2'!R45</f>
        <v>863</v>
      </c>
      <c r="T130" s="22">
        <f>'10A Sem 2'!S45</f>
        <v>66.384615384615387</v>
      </c>
      <c r="U130" s="117">
        <f>'10A Sem 2'!T45</f>
        <v>38</v>
      </c>
      <c r="V130" s="35">
        <f>'10A Sem 2'!U45</f>
        <v>0</v>
      </c>
      <c r="W130" s="35">
        <f>'10A Sem 2'!V45</f>
        <v>0</v>
      </c>
      <c r="X130" s="5"/>
      <c r="Y130" s="5"/>
      <c r="Z130" s="5"/>
      <c r="AA130" s="5"/>
      <c r="AB130" s="5"/>
    </row>
    <row r="131" spans="1:28" ht="17.25" customHeight="1" thickBot="1" x14ac:dyDescent="0.3">
      <c r="A131" s="241"/>
      <c r="B131" s="234"/>
      <c r="C131" s="247">
        <v>18</v>
      </c>
      <c r="D131" s="248" t="s">
        <v>20</v>
      </c>
      <c r="E131" s="69" t="s">
        <v>16</v>
      </c>
      <c r="F131" s="22">
        <f>AVERAGE(F129:F130)</f>
        <v>61.5</v>
      </c>
      <c r="G131" s="22">
        <f t="shared" ref="G131:W131" si="41">AVERAGE(G129:G130)</f>
        <v>63.5</v>
      </c>
      <c r="H131" s="22">
        <f t="shared" si="41"/>
        <v>50.5</v>
      </c>
      <c r="I131" s="22">
        <f t="shared" si="41"/>
        <v>55</v>
      </c>
      <c r="J131" s="22">
        <f t="shared" si="41"/>
        <v>39.5</v>
      </c>
      <c r="K131" s="22">
        <f t="shared" si="41"/>
        <v>69.5</v>
      </c>
      <c r="L131" s="22">
        <f t="shared" si="41"/>
        <v>69.5</v>
      </c>
      <c r="M131" s="22">
        <f t="shared" si="41"/>
        <v>76.5</v>
      </c>
      <c r="N131" s="22">
        <f t="shared" si="41"/>
        <v>65</v>
      </c>
      <c r="O131" s="22">
        <f t="shared" si="41"/>
        <v>72</v>
      </c>
      <c r="P131" s="22">
        <f t="shared" si="41"/>
        <v>74</v>
      </c>
      <c r="Q131" s="22">
        <f t="shared" si="41"/>
        <v>88</v>
      </c>
      <c r="R131" s="22">
        <f t="shared" si="41"/>
        <v>63</v>
      </c>
      <c r="S131" s="22">
        <f t="shared" si="41"/>
        <v>847.5</v>
      </c>
      <c r="T131" s="22">
        <f t="shared" si="41"/>
        <v>65.192307692307693</v>
      </c>
      <c r="U131" s="22">
        <f>'10A Sem avr'!$H$45</f>
        <v>39</v>
      </c>
      <c r="V131" s="22">
        <f t="shared" si="41"/>
        <v>0</v>
      </c>
      <c r="W131" s="22">
        <f t="shared" si="41"/>
        <v>0</v>
      </c>
      <c r="X131" s="5"/>
      <c r="Y131" s="5"/>
      <c r="Z131" s="5"/>
      <c r="AA131" s="5"/>
      <c r="AB131" s="5"/>
    </row>
    <row r="132" spans="1:28" ht="17.25" customHeight="1" thickBot="1" x14ac:dyDescent="0.3">
      <c r="A132" s="241">
        <v>43</v>
      </c>
      <c r="B132" s="218"/>
      <c r="C132" s="213">
        <v>16</v>
      </c>
      <c r="D132" s="217" t="s">
        <v>20</v>
      </c>
      <c r="E132" s="69" t="s">
        <v>21</v>
      </c>
      <c r="F132" s="22">
        <f>'10A Sem 1'!E46</f>
        <v>79</v>
      </c>
      <c r="G132" s="23">
        <f>'10A Sem 1'!F46</f>
        <v>61</v>
      </c>
      <c r="H132" s="23">
        <f>'10A Sem 1'!G46</f>
        <v>64</v>
      </c>
      <c r="I132" s="22">
        <f>'10A Sem 1'!H46</f>
        <v>67</v>
      </c>
      <c r="J132" s="23">
        <f>'10A Sem 1'!I46</f>
        <v>59</v>
      </c>
      <c r="K132" s="22">
        <f>'10A Sem 1'!J46</f>
        <v>75</v>
      </c>
      <c r="L132" s="23">
        <f>'10A Sem 1'!K46</f>
        <v>63</v>
      </c>
      <c r="M132" s="23">
        <f>'10A Sem 1'!L46</f>
        <v>63</v>
      </c>
      <c r="N132" s="22">
        <f>'10A Sem 1'!M46</f>
        <v>71</v>
      </c>
      <c r="O132" s="22">
        <f>'10A Sem 1'!N46</f>
        <v>69</v>
      </c>
      <c r="P132" s="23">
        <f>'10A Sem 1'!O46</f>
        <v>75</v>
      </c>
      <c r="Q132" s="23">
        <f>'10A Sem 1'!P46</f>
        <v>88</v>
      </c>
      <c r="R132" s="23">
        <f>'10A Sem 1'!Q46</f>
        <v>70</v>
      </c>
      <c r="S132" s="22">
        <f>'10A Sem 1'!R46</f>
        <v>904</v>
      </c>
      <c r="T132" s="22">
        <f>'10A Sem 1'!S46</f>
        <v>69.538461538461533</v>
      </c>
      <c r="U132" s="117">
        <f>'10A Sem 1'!T46</f>
        <v>32</v>
      </c>
      <c r="V132" s="35">
        <f>'10A Sem 1'!U46</f>
        <v>0</v>
      </c>
      <c r="W132" s="35">
        <f>'10A Sem 1'!V46</f>
        <v>0</v>
      </c>
      <c r="X132" s="5"/>
      <c r="Y132" s="5"/>
      <c r="Z132" s="5"/>
      <c r="AA132" s="5"/>
      <c r="AB132" s="5"/>
    </row>
    <row r="133" spans="1:28" ht="17.25" customHeight="1" thickBot="1" x14ac:dyDescent="0.3">
      <c r="A133" s="241"/>
      <c r="B133" s="218"/>
      <c r="C133" s="213">
        <v>16</v>
      </c>
      <c r="D133" s="217" t="s">
        <v>20</v>
      </c>
      <c r="E133" s="69" t="s">
        <v>22</v>
      </c>
      <c r="F133" s="22">
        <f>'10A Sem 2'!E46</f>
        <v>68</v>
      </c>
      <c r="G133" s="23">
        <f>'10A Sem 2'!F46</f>
        <v>65</v>
      </c>
      <c r="H133" s="23">
        <f>'10A Sem 2'!G46</f>
        <v>60</v>
      </c>
      <c r="I133" s="22">
        <f>'10A Sem 2'!H46</f>
        <v>68</v>
      </c>
      <c r="J133" s="23">
        <f>'10A Sem 2'!I46</f>
        <v>54</v>
      </c>
      <c r="K133" s="22">
        <f>'10A Sem 2'!J46</f>
        <v>74</v>
      </c>
      <c r="L133" s="23">
        <f>'10A Sem 2'!K46</f>
        <v>64</v>
      </c>
      <c r="M133" s="23">
        <f>'10A Sem 2'!L46</f>
        <v>80</v>
      </c>
      <c r="N133" s="22">
        <f>'10A Sem 2'!M46</f>
        <v>79</v>
      </c>
      <c r="O133" s="22">
        <f>'10A Sem 2'!N46</f>
        <v>94</v>
      </c>
      <c r="P133" s="23">
        <f>'10A Sem 2'!O46</f>
        <v>70</v>
      </c>
      <c r="Q133" s="23">
        <f>'10A Sem 2'!P46</f>
        <v>98</v>
      </c>
      <c r="R133" s="23">
        <f>'10A Sem 2'!Q46</f>
        <v>53</v>
      </c>
      <c r="S133" s="22">
        <f>'10A Sem 2'!R46</f>
        <v>927</v>
      </c>
      <c r="T133" s="22">
        <f>'10A Sem 2'!S46</f>
        <v>71.307692307692307</v>
      </c>
      <c r="U133" s="117">
        <f>'10A Sem 2'!T46</f>
        <v>28</v>
      </c>
      <c r="V133" s="35">
        <f>'10A Sem 2'!U46</f>
        <v>0</v>
      </c>
      <c r="W133" s="35">
        <f>'10A Sem 2'!V46</f>
        <v>0</v>
      </c>
      <c r="X133" s="5"/>
      <c r="Y133" s="5"/>
      <c r="Z133" s="5"/>
      <c r="AA133" s="5"/>
      <c r="AB133" s="5"/>
    </row>
    <row r="134" spans="1:28" ht="17.25" customHeight="1" thickBot="1" x14ac:dyDescent="0.3">
      <c r="A134" s="241"/>
      <c r="B134" s="218"/>
      <c r="C134" s="213">
        <v>16</v>
      </c>
      <c r="D134" s="217" t="s">
        <v>20</v>
      </c>
      <c r="E134" s="69" t="s">
        <v>16</v>
      </c>
      <c r="F134" s="22">
        <f>AVERAGE(F132:F133)</f>
        <v>73.5</v>
      </c>
      <c r="G134" s="22">
        <f t="shared" ref="G134:W134" si="42">AVERAGE(G132:G133)</f>
        <v>63</v>
      </c>
      <c r="H134" s="22">
        <f t="shared" si="42"/>
        <v>62</v>
      </c>
      <c r="I134" s="22">
        <f t="shared" si="42"/>
        <v>67.5</v>
      </c>
      <c r="J134" s="22">
        <f t="shared" si="42"/>
        <v>56.5</v>
      </c>
      <c r="K134" s="22">
        <f t="shared" si="42"/>
        <v>74.5</v>
      </c>
      <c r="L134" s="22">
        <f t="shared" si="42"/>
        <v>63.5</v>
      </c>
      <c r="M134" s="22">
        <f t="shared" si="42"/>
        <v>71.5</v>
      </c>
      <c r="N134" s="22">
        <f t="shared" si="42"/>
        <v>75</v>
      </c>
      <c r="O134" s="22">
        <f t="shared" si="42"/>
        <v>81.5</v>
      </c>
      <c r="P134" s="22">
        <f t="shared" si="42"/>
        <v>72.5</v>
      </c>
      <c r="Q134" s="22">
        <f t="shared" si="42"/>
        <v>93</v>
      </c>
      <c r="R134" s="22">
        <f t="shared" si="42"/>
        <v>61.5</v>
      </c>
      <c r="S134" s="22">
        <f t="shared" si="42"/>
        <v>915.5</v>
      </c>
      <c r="T134" s="22">
        <f t="shared" si="42"/>
        <v>70.42307692307692</v>
      </c>
      <c r="U134" s="22">
        <f>'10A Sem avr'!$H$46</f>
        <v>30</v>
      </c>
      <c r="V134" s="22">
        <f t="shared" si="42"/>
        <v>0</v>
      </c>
      <c r="W134" s="22">
        <f t="shared" si="42"/>
        <v>0</v>
      </c>
      <c r="X134" s="5"/>
      <c r="Y134" s="5"/>
      <c r="Z134" s="5"/>
      <c r="AA134" s="5"/>
      <c r="AB134" s="5"/>
    </row>
    <row r="135" spans="1:28" ht="17.25" customHeight="1" thickBot="1" x14ac:dyDescent="0.3">
      <c r="A135" s="234">
        <v>44</v>
      </c>
      <c r="B135" s="218"/>
      <c r="C135" s="213">
        <v>15</v>
      </c>
      <c r="D135" s="217" t="s">
        <v>20</v>
      </c>
      <c r="E135" s="69" t="s">
        <v>21</v>
      </c>
      <c r="F135" s="22">
        <f>'10A Sem 1'!E47</f>
        <v>85</v>
      </c>
      <c r="G135" s="22">
        <f>'10A Sem 1'!F47</f>
        <v>70</v>
      </c>
      <c r="H135" s="22">
        <f>'10A Sem 1'!G47</f>
        <v>68</v>
      </c>
      <c r="I135" s="22">
        <f>'10A Sem 1'!H47</f>
        <v>72</v>
      </c>
      <c r="J135" s="22">
        <f>'10A Sem 1'!I47</f>
        <v>71</v>
      </c>
      <c r="K135" s="22">
        <f>'10A Sem 1'!J47</f>
        <v>79</v>
      </c>
      <c r="L135" s="22">
        <f>'10A Sem 1'!K47</f>
        <v>84</v>
      </c>
      <c r="M135" s="22">
        <f>'10A Sem 1'!L47</f>
        <v>80</v>
      </c>
      <c r="N135" s="22">
        <f>'10A Sem 1'!M47</f>
        <v>85</v>
      </c>
      <c r="O135" s="22">
        <f>'10A Sem 1'!N47</f>
        <v>94</v>
      </c>
      <c r="P135" s="22">
        <f>'10A Sem 1'!O47</f>
        <v>84</v>
      </c>
      <c r="Q135" s="22">
        <f>'10A Sem 1'!P47</f>
        <v>96</v>
      </c>
      <c r="R135" s="22">
        <f>'10A Sem 1'!Q47</f>
        <v>82</v>
      </c>
      <c r="S135" s="22">
        <f>'10A Sem 1'!R47</f>
        <v>1050</v>
      </c>
      <c r="T135" s="22">
        <f>'10A Sem 1'!S47</f>
        <v>80.769230769230774</v>
      </c>
      <c r="U135" s="117">
        <f>'10A Sem 1'!T47</f>
        <v>13</v>
      </c>
      <c r="V135" s="35">
        <f>'10A Sem 1'!U47</f>
        <v>0</v>
      </c>
      <c r="W135" s="35">
        <f>'10A Sem 1'!V47</f>
        <v>0</v>
      </c>
      <c r="X135" s="5"/>
      <c r="Y135" s="5"/>
      <c r="Z135" s="5"/>
      <c r="AA135" s="5"/>
      <c r="AB135" s="5"/>
    </row>
    <row r="136" spans="1:28" ht="17.25" customHeight="1" thickBot="1" x14ac:dyDescent="0.3">
      <c r="A136" s="234"/>
      <c r="B136" s="218"/>
      <c r="C136" s="213">
        <v>15</v>
      </c>
      <c r="D136" s="217" t="s">
        <v>20</v>
      </c>
      <c r="E136" s="69" t="s">
        <v>22</v>
      </c>
      <c r="F136" s="22">
        <f>'10A Sem 2'!E47</f>
        <v>83</v>
      </c>
      <c r="G136" s="22">
        <f>'10A Sem 2'!F47</f>
        <v>67</v>
      </c>
      <c r="H136" s="22">
        <f>'10A Sem 2'!G47</f>
        <v>65</v>
      </c>
      <c r="I136" s="22">
        <f>'10A Sem 2'!H47</f>
        <v>71</v>
      </c>
      <c r="J136" s="22">
        <f>'10A Sem 2'!I47</f>
        <v>70</v>
      </c>
      <c r="K136" s="22">
        <f>'10A Sem 2'!J47</f>
        <v>73</v>
      </c>
      <c r="L136" s="22">
        <f>'10A Sem 2'!K47</f>
        <v>77</v>
      </c>
      <c r="M136" s="22">
        <f>'10A Sem 2'!L47</f>
        <v>90</v>
      </c>
      <c r="N136" s="22">
        <f>'10A Sem 2'!M47</f>
        <v>81</v>
      </c>
      <c r="O136" s="22">
        <f>'10A Sem 2'!N47</f>
        <v>98</v>
      </c>
      <c r="P136" s="22">
        <f>'10A Sem 2'!O47</f>
        <v>77</v>
      </c>
      <c r="Q136" s="22">
        <f>'10A Sem 2'!P47</f>
        <v>99</v>
      </c>
      <c r="R136" s="22">
        <f>'10A Sem 2'!Q47</f>
        <v>76</v>
      </c>
      <c r="S136" s="22">
        <f>'10A Sem 2'!R47</f>
        <v>1027</v>
      </c>
      <c r="T136" s="22">
        <f>'10A Sem 2'!S47</f>
        <v>79</v>
      </c>
      <c r="U136" s="117">
        <f>'10A Sem 2'!T47</f>
        <v>13</v>
      </c>
      <c r="V136" s="35">
        <f>'10A Sem 2'!U47</f>
        <v>0</v>
      </c>
      <c r="W136" s="35">
        <f>'10A Sem 2'!V47</f>
        <v>0</v>
      </c>
      <c r="X136" s="5"/>
      <c r="Y136" s="5"/>
      <c r="Z136" s="5"/>
      <c r="AA136" s="5"/>
      <c r="AB136" s="5"/>
    </row>
    <row r="137" spans="1:28" ht="17.25" customHeight="1" thickBot="1" x14ac:dyDescent="0.3">
      <c r="A137" s="234"/>
      <c r="B137" s="218"/>
      <c r="C137" s="213">
        <v>15</v>
      </c>
      <c r="D137" s="217" t="s">
        <v>20</v>
      </c>
      <c r="E137" s="69" t="s">
        <v>16</v>
      </c>
      <c r="F137" s="22">
        <f>AVERAGE(F135:F136)</f>
        <v>84</v>
      </c>
      <c r="G137" s="22">
        <f t="shared" ref="G137:W137" si="43">AVERAGE(G135:G136)</f>
        <v>68.5</v>
      </c>
      <c r="H137" s="22">
        <f t="shared" si="43"/>
        <v>66.5</v>
      </c>
      <c r="I137" s="22">
        <f t="shared" si="43"/>
        <v>71.5</v>
      </c>
      <c r="J137" s="22">
        <f t="shared" si="43"/>
        <v>70.5</v>
      </c>
      <c r="K137" s="22">
        <f t="shared" si="43"/>
        <v>76</v>
      </c>
      <c r="L137" s="22">
        <f t="shared" si="43"/>
        <v>80.5</v>
      </c>
      <c r="M137" s="22">
        <f t="shared" si="43"/>
        <v>85</v>
      </c>
      <c r="N137" s="22">
        <f t="shared" si="43"/>
        <v>83</v>
      </c>
      <c r="O137" s="22">
        <f t="shared" si="43"/>
        <v>96</v>
      </c>
      <c r="P137" s="22">
        <f t="shared" si="43"/>
        <v>80.5</v>
      </c>
      <c r="Q137" s="22">
        <f t="shared" si="43"/>
        <v>97.5</v>
      </c>
      <c r="R137" s="22">
        <f t="shared" si="43"/>
        <v>79</v>
      </c>
      <c r="S137" s="22">
        <f t="shared" si="43"/>
        <v>1038.5</v>
      </c>
      <c r="T137" s="22">
        <f t="shared" si="43"/>
        <v>79.884615384615387</v>
      </c>
      <c r="U137" s="22">
        <f>'10A Sem avr'!$H$47</f>
        <v>12</v>
      </c>
      <c r="V137" s="22">
        <f t="shared" si="43"/>
        <v>0</v>
      </c>
      <c r="W137" s="22">
        <f t="shared" si="43"/>
        <v>0</v>
      </c>
      <c r="X137" s="5"/>
      <c r="Y137" s="5"/>
      <c r="Z137" s="5"/>
      <c r="AA137" s="5"/>
      <c r="AB137" s="5"/>
    </row>
    <row r="138" spans="1:28" ht="17.25" customHeight="1" thickBot="1" x14ac:dyDescent="0.3">
      <c r="A138" s="241">
        <v>45</v>
      </c>
      <c r="B138" s="218"/>
      <c r="C138" s="213">
        <v>15</v>
      </c>
      <c r="D138" s="217" t="s">
        <v>23</v>
      </c>
      <c r="E138" s="69" t="s">
        <v>21</v>
      </c>
      <c r="F138" s="22">
        <f>'10A Sem 1'!E48</f>
        <v>63</v>
      </c>
      <c r="G138" s="22">
        <f>'10A Sem 1'!F48</f>
        <v>53</v>
      </c>
      <c r="H138" s="22">
        <f>'10A Sem 1'!G48</f>
        <v>47</v>
      </c>
      <c r="I138" s="22">
        <f>'10A Sem 1'!H48</f>
        <v>55</v>
      </c>
      <c r="J138" s="22">
        <f>'10A Sem 1'!I48</f>
        <v>43</v>
      </c>
      <c r="K138" s="22">
        <f>'10A Sem 1'!J48</f>
        <v>48</v>
      </c>
      <c r="L138" s="22">
        <f>'10A Sem 1'!K48</f>
        <v>58</v>
      </c>
      <c r="M138" s="22">
        <f>'10A Sem 1'!L48</f>
        <v>49</v>
      </c>
      <c r="N138" s="22">
        <f>'10A Sem 1'!M48</f>
        <v>59</v>
      </c>
      <c r="O138" s="22">
        <f>'10A Sem 1'!N48</f>
        <v>65</v>
      </c>
      <c r="P138" s="22">
        <f>'10A Sem 1'!O48</f>
        <v>63</v>
      </c>
      <c r="Q138" s="22">
        <f>'10A Sem 1'!P48</f>
        <v>79</v>
      </c>
      <c r="R138" s="22">
        <f>'10A Sem 1'!Q48</f>
        <v>63</v>
      </c>
      <c r="S138" s="22">
        <f>'10A Sem 1'!R48</f>
        <v>745</v>
      </c>
      <c r="T138" s="22">
        <f>'10A Sem 1'!S48</f>
        <v>57.307692307692307</v>
      </c>
      <c r="U138" s="117">
        <f>'10A Sem 1'!T48</f>
        <v>48</v>
      </c>
      <c r="V138" s="35">
        <f>'10A Sem 1'!U48</f>
        <v>0</v>
      </c>
      <c r="W138" s="35">
        <f>'10A Sem 1'!V48</f>
        <v>0</v>
      </c>
      <c r="X138" s="5"/>
      <c r="Y138" s="5"/>
      <c r="Z138" s="5"/>
      <c r="AA138" s="5"/>
      <c r="AB138" s="5"/>
    </row>
    <row r="139" spans="1:28" ht="18" customHeight="1" thickBot="1" x14ac:dyDescent="0.3">
      <c r="A139" s="241"/>
      <c r="B139" s="218"/>
      <c r="C139" s="213">
        <v>15</v>
      </c>
      <c r="D139" s="217" t="s">
        <v>23</v>
      </c>
      <c r="E139" s="69" t="s">
        <v>22</v>
      </c>
      <c r="F139" s="22">
        <f>'10A Sem 2'!E48</f>
        <v>61</v>
      </c>
      <c r="G139" s="22">
        <f>'10A Sem 2'!F48</f>
        <v>57</v>
      </c>
      <c r="H139" s="22">
        <f>'10A Sem 2'!G48</f>
        <v>46</v>
      </c>
      <c r="I139" s="22">
        <f>'10A Sem 2'!H48</f>
        <v>49</v>
      </c>
      <c r="J139" s="22">
        <f>'10A Sem 2'!I48</f>
        <v>52</v>
      </c>
      <c r="K139" s="22">
        <f>'10A Sem 2'!J48</f>
        <v>54</v>
      </c>
      <c r="L139" s="22">
        <f>'10A Sem 2'!K48</f>
        <v>50</v>
      </c>
      <c r="M139" s="22">
        <f>'10A Sem 2'!L48</f>
        <v>68</v>
      </c>
      <c r="N139" s="22">
        <f>'10A Sem 2'!M48</f>
        <v>64</v>
      </c>
      <c r="O139" s="22">
        <f>'10A Sem 2'!N48</f>
        <v>83</v>
      </c>
      <c r="P139" s="22">
        <f>'10A Sem 2'!O48</f>
        <v>57</v>
      </c>
      <c r="Q139" s="22">
        <f>'10A Sem 2'!P48</f>
        <v>89</v>
      </c>
      <c r="R139" s="22">
        <f>'10A Sem 2'!Q48</f>
        <v>62</v>
      </c>
      <c r="S139" s="22">
        <f>'10A Sem 2'!R48</f>
        <v>792</v>
      </c>
      <c r="T139" s="22">
        <f>'10A Sem 2'!S48</f>
        <v>60.92307692307692</v>
      </c>
      <c r="U139" s="117">
        <f>'10A Sem 2'!T48</f>
        <v>45</v>
      </c>
      <c r="V139" s="35">
        <f>'10A Sem 2'!U48</f>
        <v>0</v>
      </c>
      <c r="W139" s="35">
        <f>'10A Sem 2'!V48</f>
        <v>0</v>
      </c>
    </row>
    <row r="140" spans="1:28" ht="18" customHeight="1" thickBot="1" x14ac:dyDescent="0.3">
      <c r="A140" s="241"/>
      <c r="B140" s="218"/>
      <c r="C140" s="213">
        <v>15</v>
      </c>
      <c r="D140" s="217" t="s">
        <v>23</v>
      </c>
      <c r="E140" s="69" t="s">
        <v>16</v>
      </c>
      <c r="F140" s="22">
        <f>AVERAGE(F138:F139)</f>
        <v>62</v>
      </c>
      <c r="G140" s="22">
        <f t="shared" ref="G140:W140" si="44">AVERAGE(G138:G139)</f>
        <v>55</v>
      </c>
      <c r="H140" s="22">
        <f t="shared" si="44"/>
        <v>46.5</v>
      </c>
      <c r="I140" s="22">
        <f t="shared" si="44"/>
        <v>52</v>
      </c>
      <c r="J140" s="22">
        <f t="shared" si="44"/>
        <v>47.5</v>
      </c>
      <c r="K140" s="22">
        <f t="shared" si="44"/>
        <v>51</v>
      </c>
      <c r="L140" s="22">
        <f t="shared" si="44"/>
        <v>54</v>
      </c>
      <c r="M140" s="22">
        <f t="shared" si="44"/>
        <v>58.5</v>
      </c>
      <c r="N140" s="22">
        <f t="shared" si="44"/>
        <v>61.5</v>
      </c>
      <c r="O140" s="22">
        <f t="shared" si="44"/>
        <v>74</v>
      </c>
      <c r="P140" s="22">
        <f t="shared" si="44"/>
        <v>60</v>
      </c>
      <c r="Q140" s="22">
        <f t="shared" si="44"/>
        <v>84</v>
      </c>
      <c r="R140" s="22">
        <f t="shared" si="44"/>
        <v>62.5</v>
      </c>
      <c r="S140" s="22">
        <f t="shared" si="44"/>
        <v>768.5</v>
      </c>
      <c r="T140" s="22">
        <f t="shared" si="44"/>
        <v>59.115384615384613</v>
      </c>
      <c r="U140" s="22">
        <f>'10A Sem avr'!$H$48</f>
        <v>47</v>
      </c>
      <c r="V140" s="22">
        <f t="shared" si="44"/>
        <v>0</v>
      </c>
      <c r="W140" s="22">
        <f t="shared" si="44"/>
        <v>0</v>
      </c>
    </row>
    <row r="141" spans="1:28" ht="18" customHeight="1" thickBot="1" x14ac:dyDescent="0.3">
      <c r="A141" s="234">
        <v>46</v>
      </c>
      <c r="B141" s="218"/>
      <c r="C141" s="213">
        <v>16</v>
      </c>
      <c r="D141" s="217" t="s">
        <v>23</v>
      </c>
      <c r="E141" s="69" t="s">
        <v>21</v>
      </c>
      <c r="F141" s="22">
        <f>'10A Sem 1'!E49</f>
        <v>81</v>
      </c>
      <c r="G141" s="22">
        <f>'10A Sem 1'!F49</f>
        <v>65</v>
      </c>
      <c r="H141" s="22">
        <f>'10A Sem 1'!G49</f>
        <v>64</v>
      </c>
      <c r="I141" s="22">
        <f>'10A Sem 1'!H49</f>
        <v>53</v>
      </c>
      <c r="J141" s="22">
        <f>'10A Sem 1'!I49</f>
        <v>45</v>
      </c>
      <c r="K141" s="22">
        <f>'10A Sem 1'!J49</f>
        <v>66</v>
      </c>
      <c r="L141" s="23">
        <f>'10A Sem 1'!K49</f>
        <v>64</v>
      </c>
      <c r="M141" s="22">
        <f>'10A Sem 1'!L49</f>
        <v>61</v>
      </c>
      <c r="N141" s="22">
        <f>'10A Sem 1'!M49</f>
        <v>64</v>
      </c>
      <c r="O141" s="22">
        <f>'10A Sem 1'!N49</f>
        <v>70</v>
      </c>
      <c r="P141" s="22">
        <f>'10A Sem 1'!O49</f>
        <v>73</v>
      </c>
      <c r="Q141" s="22">
        <f>'10A Sem 1'!P49</f>
        <v>89</v>
      </c>
      <c r="R141" s="22">
        <f>'10A Sem 1'!Q49</f>
        <v>72</v>
      </c>
      <c r="S141" s="22">
        <f>'10A Sem 1'!R49</f>
        <v>867</v>
      </c>
      <c r="T141" s="22">
        <f>'10A Sem 1'!S49</f>
        <v>66.692307692307693</v>
      </c>
      <c r="U141" s="117">
        <f>'10A Sem 1'!T49</f>
        <v>35</v>
      </c>
      <c r="V141" s="35">
        <f>'10A Sem 1'!U49</f>
        <v>0</v>
      </c>
      <c r="W141" s="35">
        <f>'10A Sem 1'!V49</f>
        <v>0</v>
      </c>
    </row>
    <row r="142" spans="1:28" ht="18" customHeight="1" thickBot="1" x14ac:dyDescent="0.3">
      <c r="A142" s="234"/>
      <c r="B142" s="218"/>
      <c r="C142" s="213">
        <v>16</v>
      </c>
      <c r="D142" s="217" t="s">
        <v>23</v>
      </c>
      <c r="E142" s="69" t="s">
        <v>22</v>
      </c>
      <c r="F142" s="22">
        <f>'10A Sem 2'!E49</f>
        <v>74</v>
      </c>
      <c r="G142" s="22">
        <f>'10A Sem 2'!F49</f>
        <v>66</v>
      </c>
      <c r="H142" s="22">
        <f>'10A Sem 2'!G49</f>
        <v>52</v>
      </c>
      <c r="I142" s="22">
        <f>'10A Sem 2'!H49</f>
        <v>59</v>
      </c>
      <c r="J142" s="22">
        <f>'10A Sem 2'!I49</f>
        <v>60</v>
      </c>
      <c r="K142" s="22">
        <f>'10A Sem 2'!J49</f>
        <v>62</v>
      </c>
      <c r="L142" s="23">
        <f>'10A Sem 2'!K49</f>
        <v>67</v>
      </c>
      <c r="M142" s="22">
        <f>'10A Sem 2'!L49</f>
        <v>85</v>
      </c>
      <c r="N142" s="22">
        <f>'10A Sem 2'!M49</f>
        <v>78</v>
      </c>
      <c r="O142" s="22">
        <f>'10A Sem 2'!N49</f>
        <v>92</v>
      </c>
      <c r="P142" s="22">
        <f>'10A Sem 2'!O49</f>
        <v>73</v>
      </c>
      <c r="Q142" s="22">
        <f>'10A Sem 2'!P49</f>
        <v>87</v>
      </c>
      <c r="R142" s="22">
        <f>'10A Sem 2'!Q49</f>
        <v>54</v>
      </c>
      <c r="S142" s="22">
        <f>'10A Sem 2'!R49</f>
        <v>909</v>
      </c>
      <c r="T142" s="22">
        <f>'10A Sem 2'!S49</f>
        <v>69.92307692307692</v>
      </c>
      <c r="U142" s="117">
        <f>'10A Sem 2'!T49</f>
        <v>30</v>
      </c>
      <c r="V142" s="35">
        <f>'10A Sem 2'!U49</f>
        <v>0</v>
      </c>
      <c r="W142" s="35">
        <f>'10A Sem 2'!V49</f>
        <v>0</v>
      </c>
    </row>
    <row r="143" spans="1:28" ht="18" customHeight="1" thickBot="1" x14ac:dyDescent="0.3">
      <c r="A143" s="234"/>
      <c r="B143" s="218"/>
      <c r="C143" s="213">
        <v>16</v>
      </c>
      <c r="D143" s="217" t="s">
        <v>23</v>
      </c>
      <c r="E143" s="69" t="s">
        <v>16</v>
      </c>
      <c r="F143" s="22">
        <f>AVERAGE(F141:F142)</f>
        <v>77.5</v>
      </c>
      <c r="G143" s="22">
        <f t="shared" ref="G143:W143" si="45">AVERAGE(G141:G142)</f>
        <v>65.5</v>
      </c>
      <c r="H143" s="22">
        <f t="shared" si="45"/>
        <v>58</v>
      </c>
      <c r="I143" s="22">
        <f t="shared" si="45"/>
        <v>56</v>
      </c>
      <c r="J143" s="22">
        <f t="shared" si="45"/>
        <v>52.5</v>
      </c>
      <c r="K143" s="22">
        <f t="shared" si="45"/>
        <v>64</v>
      </c>
      <c r="L143" s="22">
        <f t="shared" si="45"/>
        <v>65.5</v>
      </c>
      <c r="M143" s="22">
        <f t="shared" si="45"/>
        <v>73</v>
      </c>
      <c r="N143" s="22">
        <f t="shared" si="45"/>
        <v>71</v>
      </c>
      <c r="O143" s="22">
        <f t="shared" si="45"/>
        <v>81</v>
      </c>
      <c r="P143" s="22">
        <f t="shared" si="45"/>
        <v>73</v>
      </c>
      <c r="Q143" s="22">
        <f t="shared" si="45"/>
        <v>88</v>
      </c>
      <c r="R143" s="22">
        <f t="shared" si="45"/>
        <v>63</v>
      </c>
      <c r="S143" s="22">
        <f t="shared" si="45"/>
        <v>888</v>
      </c>
      <c r="T143" s="22">
        <f t="shared" si="45"/>
        <v>68.307692307692307</v>
      </c>
      <c r="U143" s="22">
        <f>'10A Sem avr'!$H$49</f>
        <v>34</v>
      </c>
      <c r="V143" s="22">
        <f t="shared" si="45"/>
        <v>0</v>
      </c>
      <c r="W143" s="22">
        <f t="shared" si="45"/>
        <v>0</v>
      </c>
    </row>
    <row r="144" spans="1:28" ht="18" customHeight="1" thickBot="1" x14ac:dyDescent="0.3">
      <c r="A144" s="234">
        <v>47</v>
      </c>
      <c r="B144" s="218"/>
      <c r="C144" s="213">
        <v>15</v>
      </c>
      <c r="D144" s="217" t="s">
        <v>20</v>
      </c>
      <c r="E144" s="69" t="s">
        <v>21</v>
      </c>
      <c r="F144" s="22">
        <f>'10A Sem 1'!E50</f>
        <v>73</v>
      </c>
      <c r="G144" s="22">
        <f>'10A Sem 1'!F50</f>
        <v>72</v>
      </c>
      <c r="H144" s="22">
        <f>'10A Sem 1'!G50</f>
        <v>53</v>
      </c>
      <c r="I144" s="22">
        <f>'10A Sem 1'!H50</f>
        <v>48</v>
      </c>
      <c r="J144" s="22">
        <f>'10A Sem 1'!I50</f>
        <v>47</v>
      </c>
      <c r="K144" s="22">
        <f>'10A Sem 1'!J50</f>
        <v>57</v>
      </c>
      <c r="L144" s="22">
        <f>'10A Sem 1'!K50</f>
        <v>41</v>
      </c>
      <c r="M144" s="22">
        <f>'10A Sem 1'!L50</f>
        <v>46</v>
      </c>
      <c r="N144" s="22">
        <f>'10A Sem 1'!M50</f>
        <v>76</v>
      </c>
      <c r="O144" s="22">
        <f>'10A Sem 1'!N50</f>
        <v>70</v>
      </c>
      <c r="P144" s="22">
        <f>'10A Sem 1'!O50</f>
        <v>65</v>
      </c>
      <c r="Q144" s="22">
        <f>'10A Sem 1'!P50</f>
        <v>78</v>
      </c>
      <c r="R144" s="22">
        <f>'10A Sem 1'!Q50</f>
        <v>53</v>
      </c>
      <c r="S144" s="22">
        <f>'10A Sem 1'!R50</f>
        <v>779</v>
      </c>
      <c r="T144" s="22">
        <f>'10A Sem 1'!S50</f>
        <v>59.92307692307692</v>
      </c>
      <c r="U144" s="117">
        <f>'10A Sem 1'!T50</f>
        <v>43</v>
      </c>
      <c r="V144" s="35">
        <f>'10A Sem 1'!U50</f>
        <v>0</v>
      </c>
      <c r="W144" s="35">
        <f>'10A Sem 1'!V50</f>
        <v>0</v>
      </c>
    </row>
    <row r="145" spans="1:23" ht="18" customHeight="1" thickBot="1" x14ac:dyDescent="0.3">
      <c r="A145" s="234"/>
      <c r="B145" s="218"/>
      <c r="C145" s="213">
        <v>15</v>
      </c>
      <c r="D145" s="217" t="s">
        <v>20</v>
      </c>
      <c r="E145" s="69" t="s">
        <v>22</v>
      </c>
      <c r="F145" s="22">
        <f>'10A Sem 2'!E50</f>
        <v>61</v>
      </c>
      <c r="G145" s="22">
        <f>'10A Sem 2'!F50</f>
        <v>79</v>
      </c>
      <c r="H145" s="22">
        <f>'10A Sem 2'!G50</f>
        <v>57</v>
      </c>
      <c r="I145" s="22">
        <f>'10A Sem 2'!H50</f>
        <v>63</v>
      </c>
      <c r="J145" s="22">
        <f>'10A Sem 2'!I50</f>
        <v>40</v>
      </c>
      <c r="K145" s="22">
        <f>'10A Sem 2'!J50</f>
        <v>58</v>
      </c>
      <c r="L145" s="22">
        <f>'10A Sem 2'!K50</f>
        <v>47</v>
      </c>
      <c r="M145" s="22">
        <f>'10A Sem 2'!L50</f>
        <v>69</v>
      </c>
      <c r="N145" s="22">
        <f>'10A Sem 2'!M50</f>
        <v>70</v>
      </c>
      <c r="O145" s="22">
        <f>'10A Sem 2'!N50</f>
        <v>81</v>
      </c>
      <c r="P145" s="22">
        <f>'10A Sem 2'!O50</f>
        <v>56</v>
      </c>
      <c r="Q145" s="22">
        <f>'10A Sem 2'!P50</f>
        <v>87</v>
      </c>
      <c r="R145" s="22">
        <f>'10A Sem 2'!Q50</f>
        <v>53</v>
      </c>
      <c r="S145" s="22">
        <f>'10A Sem 2'!R50</f>
        <v>821</v>
      </c>
      <c r="T145" s="22">
        <f>'10A Sem 2'!S50</f>
        <v>63.153846153846153</v>
      </c>
      <c r="U145" s="117">
        <f>'10A Sem 2'!T50</f>
        <v>40</v>
      </c>
      <c r="V145" s="35">
        <f>'10A Sem 2'!U50</f>
        <v>0</v>
      </c>
      <c r="W145" s="35">
        <f>'10A Sem 2'!V50</f>
        <v>0</v>
      </c>
    </row>
    <row r="146" spans="1:23" ht="18" customHeight="1" thickBot="1" x14ac:dyDescent="0.3">
      <c r="A146" s="234"/>
      <c r="B146" s="218"/>
      <c r="C146" s="213">
        <v>15</v>
      </c>
      <c r="D146" s="217" t="s">
        <v>20</v>
      </c>
      <c r="E146" s="69" t="s">
        <v>16</v>
      </c>
      <c r="F146" s="22">
        <f>AVERAGE(F144:F145)</f>
        <v>67</v>
      </c>
      <c r="G146" s="22">
        <f t="shared" ref="G146:W146" si="46">AVERAGE(G144:G145)</f>
        <v>75.5</v>
      </c>
      <c r="H146" s="22">
        <f t="shared" si="46"/>
        <v>55</v>
      </c>
      <c r="I146" s="22">
        <f t="shared" si="46"/>
        <v>55.5</v>
      </c>
      <c r="J146" s="22">
        <f t="shared" si="46"/>
        <v>43.5</v>
      </c>
      <c r="K146" s="22">
        <f t="shared" si="46"/>
        <v>57.5</v>
      </c>
      <c r="L146" s="22">
        <f t="shared" si="46"/>
        <v>44</v>
      </c>
      <c r="M146" s="22">
        <f t="shared" si="46"/>
        <v>57.5</v>
      </c>
      <c r="N146" s="22">
        <f t="shared" si="46"/>
        <v>73</v>
      </c>
      <c r="O146" s="22">
        <f t="shared" si="46"/>
        <v>75.5</v>
      </c>
      <c r="P146" s="22">
        <f t="shared" si="46"/>
        <v>60.5</v>
      </c>
      <c r="Q146" s="22">
        <f t="shared" si="46"/>
        <v>82.5</v>
      </c>
      <c r="R146" s="22">
        <f t="shared" si="46"/>
        <v>53</v>
      </c>
      <c r="S146" s="22">
        <f t="shared" si="46"/>
        <v>800</v>
      </c>
      <c r="T146" s="22">
        <f t="shared" si="46"/>
        <v>61.538461538461533</v>
      </c>
      <c r="U146" s="22">
        <f>'10A Sem avr'!$H$50</f>
        <v>43</v>
      </c>
      <c r="V146" s="22">
        <f t="shared" si="46"/>
        <v>0</v>
      </c>
      <c r="W146" s="22">
        <f t="shared" si="46"/>
        <v>0</v>
      </c>
    </row>
    <row r="147" spans="1:23" ht="18" customHeight="1" thickBot="1" x14ac:dyDescent="0.3">
      <c r="A147" s="234">
        <v>48</v>
      </c>
      <c r="B147" s="218"/>
      <c r="C147" s="213">
        <v>14</v>
      </c>
      <c r="D147" s="217" t="s">
        <v>23</v>
      </c>
      <c r="E147" s="69" t="s">
        <v>21</v>
      </c>
      <c r="F147" s="22">
        <f>'10A Sem 1'!E51</f>
        <v>83</v>
      </c>
      <c r="G147" s="22">
        <f>'10A Sem 1'!F51</f>
        <v>54</v>
      </c>
      <c r="H147" s="22">
        <f>'10A Sem 1'!G51</f>
        <v>70</v>
      </c>
      <c r="I147" s="22">
        <f>'10A Sem 1'!H51</f>
        <v>67</v>
      </c>
      <c r="J147" s="22">
        <f>'10A Sem 1'!I51</f>
        <v>62</v>
      </c>
      <c r="K147" s="22">
        <f>'10A Sem 1'!J51</f>
        <v>70</v>
      </c>
      <c r="L147" s="22">
        <f>'10A Sem 1'!K51</f>
        <v>77</v>
      </c>
      <c r="M147" s="22">
        <f>'10A Sem 1'!L51</f>
        <v>72</v>
      </c>
      <c r="N147" s="22">
        <f>'10A Sem 1'!M51</f>
        <v>66</v>
      </c>
      <c r="O147" s="22">
        <f>'10A Sem 1'!N51</f>
        <v>77</v>
      </c>
      <c r="P147" s="22">
        <f>'10A Sem 1'!O51</f>
        <v>81</v>
      </c>
      <c r="Q147" s="22">
        <f>'10A Sem 1'!P51</f>
        <v>94</v>
      </c>
      <c r="R147" s="22">
        <f>'10A Sem 1'!Q51</f>
        <v>89</v>
      </c>
      <c r="S147" s="22">
        <f>'10A Sem 1'!R51</f>
        <v>962</v>
      </c>
      <c r="T147" s="22">
        <f>'10A Sem 1'!S51</f>
        <v>74</v>
      </c>
      <c r="U147" s="117">
        <f>'10A Sem 1'!T51</f>
        <v>26</v>
      </c>
      <c r="V147" s="35">
        <f>'10A Sem 1'!U51</f>
        <v>0</v>
      </c>
      <c r="W147" s="35">
        <f>'10A Sem 1'!V51</f>
        <v>0</v>
      </c>
    </row>
    <row r="148" spans="1:23" ht="18" customHeight="1" thickBot="1" x14ac:dyDescent="0.3">
      <c r="A148" s="234"/>
      <c r="B148" s="218"/>
      <c r="C148" s="213">
        <v>14</v>
      </c>
      <c r="D148" s="217" t="s">
        <v>23</v>
      </c>
      <c r="E148" s="69" t="s">
        <v>22</v>
      </c>
      <c r="F148" s="22">
        <f>'10A Sem 2'!E51</f>
        <v>80</v>
      </c>
      <c r="G148" s="22">
        <f>'10A Sem 2'!F51</f>
        <v>59</v>
      </c>
      <c r="H148" s="22">
        <f>'10A Sem 2'!G51</f>
        <v>52</v>
      </c>
      <c r="I148" s="22">
        <f>'10A Sem 2'!H51</f>
        <v>69</v>
      </c>
      <c r="J148" s="22">
        <f>'10A Sem 2'!I51</f>
        <v>58</v>
      </c>
      <c r="K148" s="22">
        <f>'10A Sem 2'!J51</f>
        <v>72</v>
      </c>
      <c r="L148" s="22">
        <f>'10A Sem 2'!K51</f>
        <v>85</v>
      </c>
      <c r="M148" s="22">
        <f>'10A Sem 2'!L51</f>
        <v>86</v>
      </c>
      <c r="N148" s="22">
        <f>'10A Sem 2'!M51</f>
        <v>78</v>
      </c>
      <c r="O148" s="22">
        <f>'10A Sem 2'!N51</f>
        <v>91</v>
      </c>
      <c r="P148" s="22">
        <f>'10A Sem 2'!O51</f>
        <v>71</v>
      </c>
      <c r="Q148" s="22">
        <f>'10A Sem 2'!P51</f>
        <v>85</v>
      </c>
      <c r="R148" s="22">
        <f>'10A Sem 2'!Q51</f>
        <v>74</v>
      </c>
      <c r="S148" s="22">
        <f>'10A Sem 2'!R51</f>
        <v>960</v>
      </c>
      <c r="T148" s="22">
        <f>'10A Sem 2'!S51</f>
        <v>73.84615384615384</v>
      </c>
      <c r="U148" s="117">
        <f>'10A Sem 2'!T51</f>
        <v>23</v>
      </c>
      <c r="V148" s="35">
        <f>'10A Sem 2'!U51</f>
        <v>0</v>
      </c>
      <c r="W148" s="35">
        <f>'10A Sem 2'!V51</f>
        <v>0</v>
      </c>
    </row>
    <row r="149" spans="1:23" ht="18" customHeight="1" thickBot="1" x14ac:dyDescent="0.3">
      <c r="A149" s="234"/>
      <c r="B149" s="218"/>
      <c r="C149" s="213">
        <v>14</v>
      </c>
      <c r="D149" s="217" t="s">
        <v>23</v>
      </c>
      <c r="E149" s="69" t="s">
        <v>16</v>
      </c>
      <c r="F149" s="22">
        <f>AVERAGE(F147:F148)</f>
        <v>81.5</v>
      </c>
      <c r="G149" s="22">
        <f t="shared" ref="G149:W149" si="47">AVERAGE(G147:G148)</f>
        <v>56.5</v>
      </c>
      <c r="H149" s="22">
        <f t="shared" si="47"/>
        <v>61</v>
      </c>
      <c r="I149" s="22">
        <f t="shared" si="47"/>
        <v>68</v>
      </c>
      <c r="J149" s="22">
        <f t="shared" si="47"/>
        <v>60</v>
      </c>
      <c r="K149" s="22">
        <f t="shared" si="47"/>
        <v>71</v>
      </c>
      <c r="L149" s="22">
        <f t="shared" si="47"/>
        <v>81</v>
      </c>
      <c r="M149" s="22">
        <f t="shared" si="47"/>
        <v>79</v>
      </c>
      <c r="N149" s="22">
        <f t="shared" si="47"/>
        <v>72</v>
      </c>
      <c r="O149" s="22">
        <f t="shared" si="47"/>
        <v>84</v>
      </c>
      <c r="P149" s="22">
        <f t="shared" si="47"/>
        <v>76</v>
      </c>
      <c r="Q149" s="22">
        <f t="shared" si="47"/>
        <v>89.5</v>
      </c>
      <c r="R149" s="22">
        <f t="shared" si="47"/>
        <v>81.5</v>
      </c>
      <c r="S149" s="22">
        <f t="shared" si="47"/>
        <v>961</v>
      </c>
      <c r="T149" s="22">
        <f t="shared" si="47"/>
        <v>73.92307692307692</v>
      </c>
      <c r="U149" s="22">
        <f>'10A Sem avr'!$H$51</f>
        <v>26</v>
      </c>
      <c r="V149" s="22">
        <f t="shared" si="47"/>
        <v>0</v>
      </c>
      <c r="W149" s="22">
        <f t="shared" si="47"/>
        <v>0</v>
      </c>
    </row>
    <row r="150" spans="1:23" ht="18" customHeight="1" thickBot="1" x14ac:dyDescent="0.3">
      <c r="A150" s="241">
        <v>49</v>
      </c>
      <c r="B150" s="218"/>
      <c r="C150" s="213">
        <v>15</v>
      </c>
      <c r="D150" s="217" t="s">
        <v>23</v>
      </c>
      <c r="E150" s="69" t="s">
        <v>21</v>
      </c>
      <c r="F150" s="22">
        <f>'10A Sem 1'!E52</f>
        <v>78</v>
      </c>
      <c r="G150" s="22">
        <f>'10A Sem 1'!F52</f>
        <v>77</v>
      </c>
      <c r="H150" s="22">
        <f>'10A Sem 1'!G52</f>
        <v>82</v>
      </c>
      <c r="I150" s="22">
        <f>'10A Sem 1'!H52</f>
        <v>77</v>
      </c>
      <c r="J150" s="22">
        <f>'10A Sem 1'!I52</f>
        <v>65</v>
      </c>
      <c r="K150" s="22">
        <f>'10A Sem 1'!J52</f>
        <v>81</v>
      </c>
      <c r="L150" s="22">
        <f>'10A Sem 1'!K52</f>
        <v>76</v>
      </c>
      <c r="M150" s="22">
        <f>'10A Sem 1'!L52</f>
        <v>75</v>
      </c>
      <c r="N150" s="22">
        <f>'10A Sem 1'!M52</f>
        <v>86</v>
      </c>
      <c r="O150" s="22">
        <f>'10A Sem 1'!N52</f>
        <v>86</v>
      </c>
      <c r="P150" s="22">
        <f>'10A Sem 1'!O52</f>
        <v>81</v>
      </c>
      <c r="Q150" s="22">
        <f>'10A Sem 1'!P52</f>
        <v>87</v>
      </c>
      <c r="R150" s="22">
        <f>'10A Sem 1'!Q52</f>
        <v>83</v>
      </c>
      <c r="S150" s="22">
        <f>'10A Sem 1'!R52</f>
        <v>1034</v>
      </c>
      <c r="T150" s="22">
        <f>'10A Sem 1'!S52</f>
        <v>79.538461538461533</v>
      </c>
      <c r="U150" s="117">
        <f>'10A Sem 1'!T52</f>
        <v>16</v>
      </c>
      <c r="V150" s="35">
        <f>'10A Sem 1'!U52</f>
        <v>0</v>
      </c>
      <c r="W150" s="35">
        <f>'10A Sem 1'!V52</f>
        <v>0</v>
      </c>
    </row>
    <row r="151" spans="1:23" ht="18" customHeight="1" thickBot="1" x14ac:dyDescent="0.3">
      <c r="A151" s="241"/>
      <c r="B151" s="218"/>
      <c r="C151" s="213">
        <v>15</v>
      </c>
      <c r="D151" s="217" t="s">
        <v>23</v>
      </c>
      <c r="E151" s="69" t="s">
        <v>22</v>
      </c>
      <c r="F151" s="22">
        <f>'10A Sem 2'!E52</f>
        <v>79</v>
      </c>
      <c r="G151" s="22">
        <f>'10A Sem 2'!F52</f>
        <v>71</v>
      </c>
      <c r="H151" s="22">
        <f>'10A Sem 2'!G52</f>
        <v>54</v>
      </c>
      <c r="I151" s="22">
        <f>'10A Sem 2'!H52</f>
        <v>61</v>
      </c>
      <c r="J151" s="22">
        <f>'10A Sem 2'!I52</f>
        <v>64</v>
      </c>
      <c r="K151" s="22">
        <f>'10A Sem 2'!J52</f>
        <v>71</v>
      </c>
      <c r="L151" s="22">
        <f>'10A Sem 2'!K52</f>
        <v>63</v>
      </c>
      <c r="M151" s="22">
        <f>'10A Sem 2'!L52</f>
        <v>91</v>
      </c>
      <c r="N151" s="22">
        <f>'10A Sem 2'!M52</f>
        <v>84</v>
      </c>
      <c r="O151" s="22">
        <f>'10A Sem 2'!N52</f>
        <v>100</v>
      </c>
      <c r="P151" s="22">
        <f>'10A Sem 2'!O52</f>
        <v>64</v>
      </c>
      <c r="Q151" s="22">
        <f>'10A Sem 2'!P52</f>
        <v>82</v>
      </c>
      <c r="R151" s="22">
        <f>'10A Sem 2'!Q52</f>
        <v>70</v>
      </c>
      <c r="S151" s="22">
        <f>'10A Sem 2'!R52</f>
        <v>954</v>
      </c>
      <c r="T151" s="22">
        <f>'10A Sem 2'!S52</f>
        <v>73.384615384615387</v>
      </c>
      <c r="U151" s="117">
        <f>'10A Sem 2'!T52</f>
        <v>25</v>
      </c>
      <c r="V151" s="35">
        <f>'10A Sem 2'!U52</f>
        <v>0</v>
      </c>
      <c r="W151" s="35">
        <f>'10A Sem 2'!V52</f>
        <v>0</v>
      </c>
    </row>
    <row r="152" spans="1:23" ht="18" customHeight="1" thickBot="1" x14ac:dyDescent="0.3">
      <c r="A152" s="241"/>
      <c r="B152" s="218"/>
      <c r="C152" s="213">
        <v>15</v>
      </c>
      <c r="D152" s="217" t="s">
        <v>23</v>
      </c>
      <c r="E152" s="69" t="s">
        <v>16</v>
      </c>
      <c r="F152" s="22">
        <f>AVERAGE(F150:F151)</f>
        <v>78.5</v>
      </c>
      <c r="G152" s="22">
        <f t="shared" ref="G152:W152" si="48">AVERAGE(G150:G151)</f>
        <v>74</v>
      </c>
      <c r="H152" s="22">
        <f t="shared" si="48"/>
        <v>68</v>
      </c>
      <c r="I152" s="22">
        <f t="shared" si="48"/>
        <v>69</v>
      </c>
      <c r="J152" s="22">
        <f t="shared" si="48"/>
        <v>64.5</v>
      </c>
      <c r="K152" s="22">
        <f t="shared" si="48"/>
        <v>76</v>
      </c>
      <c r="L152" s="22">
        <f t="shared" si="48"/>
        <v>69.5</v>
      </c>
      <c r="M152" s="22">
        <f t="shared" si="48"/>
        <v>83</v>
      </c>
      <c r="N152" s="22">
        <f t="shared" si="48"/>
        <v>85</v>
      </c>
      <c r="O152" s="22">
        <f t="shared" si="48"/>
        <v>93</v>
      </c>
      <c r="P152" s="22">
        <f t="shared" si="48"/>
        <v>72.5</v>
      </c>
      <c r="Q152" s="22">
        <f t="shared" si="48"/>
        <v>84.5</v>
      </c>
      <c r="R152" s="22">
        <f t="shared" si="48"/>
        <v>76.5</v>
      </c>
      <c r="S152" s="22">
        <f t="shared" si="48"/>
        <v>994</v>
      </c>
      <c r="T152" s="22">
        <f t="shared" si="48"/>
        <v>76.461538461538453</v>
      </c>
      <c r="U152" s="22">
        <f>'10A Sem avr'!$H$52</f>
        <v>21</v>
      </c>
      <c r="V152" s="22">
        <f t="shared" si="48"/>
        <v>0</v>
      </c>
      <c r="W152" s="22">
        <f t="shared" si="48"/>
        <v>0</v>
      </c>
    </row>
    <row r="153" spans="1:23" ht="18" customHeight="1" thickBot="1" x14ac:dyDescent="0.3">
      <c r="A153" s="249">
        <v>50</v>
      </c>
      <c r="B153" s="218"/>
      <c r="C153" s="213">
        <v>16</v>
      </c>
      <c r="D153" s="217" t="s">
        <v>20</v>
      </c>
      <c r="E153" s="69" t="s">
        <v>21</v>
      </c>
      <c r="F153" s="29">
        <f>'10A Sem 1'!E53</f>
        <v>69</v>
      </c>
      <c r="G153" s="29">
        <f>'10A Sem 1'!F53</f>
        <v>61</v>
      </c>
      <c r="H153" s="29">
        <f>'10A Sem 1'!G53</f>
        <v>51</v>
      </c>
      <c r="I153" s="29">
        <f>'10A Sem 1'!H53</f>
        <v>49</v>
      </c>
      <c r="J153" s="29">
        <f>'10A Sem 1'!I53</f>
        <v>44</v>
      </c>
      <c r="K153" s="29">
        <f>'10A Sem 1'!J53</f>
        <v>62</v>
      </c>
      <c r="L153" s="29">
        <f>'10A Sem 1'!K53</f>
        <v>58</v>
      </c>
      <c r="M153" s="29">
        <f>'10A Sem 1'!L53</f>
        <v>56</v>
      </c>
      <c r="N153" s="29">
        <f>'10A Sem 1'!M53</f>
        <v>56</v>
      </c>
      <c r="O153" s="29">
        <f>'10A Sem 1'!N53</f>
        <v>62</v>
      </c>
      <c r="P153" s="29">
        <f>'10A Sem 1'!O53</f>
        <v>56</v>
      </c>
      <c r="Q153" s="29">
        <f>'10A Sem 1'!P53</f>
        <v>74</v>
      </c>
      <c r="R153" s="29">
        <f>'10A Sem 1'!Q53</f>
        <v>51</v>
      </c>
      <c r="S153" s="22">
        <f>'10A Sem 1'!R53</f>
        <v>749</v>
      </c>
      <c r="T153" s="22">
        <f>'10A Sem 1'!S53</f>
        <v>57.615384615384613</v>
      </c>
      <c r="U153" s="117">
        <f>'10A Sem 1'!T53</f>
        <v>47</v>
      </c>
      <c r="V153" s="35">
        <f>'10A Sem 1'!U53</f>
        <v>0</v>
      </c>
      <c r="W153" s="35">
        <f>'10A Sem 1'!V53</f>
        <v>0</v>
      </c>
    </row>
    <row r="154" spans="1:23" ht="18" customHeight="1" thickBot="1" x14ac:dyDescent="0.3">
      <c r="A154" s="249"/>
      <c r="B154" s="218"/>
      <c r="C154" s="213">
        <v>16</v>
      </c>
      <c r="D154" s="217" t="s">
        <v>20</v>
      </c>
      <c r="E154" s="69" t="s">
        <v>22</v>
      </c>
      <c r="F154" s="22">
        <f>'10A Sem 2'!E53</f>
        <v>67</v>
      </c>
      <c r="G154" s="22">
        <f>'10A Sem 2'!F53</f>
        <v>59</v>
      </c>
      <c r="H154" s="22">
        <f>'10A Sem 2'!G53</f>
        <v>46</v>
      </c>
      <c r="I154" s="22">
        <f>'10A Sem 2'!H53</f>
        <v>55</v>
      </c>
      <c r="J154" s="22">
        <f>'10A Sem 2'!I53</f>
        <v>43</v>
      </c>
      <c r="K154" s="22">
        <f>'10A Sem 2'!J53</f>
        <v>56</v>
      </c>
      <c r="L154" s="22">
        <f>'10A Sem 2'!K53</f>
        <v>42</v>
      </c>
      <c r="M154" s="22">
        <f>'10A Sem 2'!L53</f>
        <v>71</v>
      </c>
      <c r="N154" s="22">
        <f>'10A Sem 2'!M53</f>
        <v>62</v>
      </c>
      <c r="O154" s="22">
        <f>'10A Sem 2'!N53</f>
        <v>87</v>
      </c>
      <c r="P154" s="22">
        <f>'10A Sem 2'!O53</f>
        <v>48</v>
      </c>
      <c r="Q154" s="22">
        <f>'10A Sem 2'!P53</f>
        <v>85</v>
      </c>
      <c r="R154" s="22">
        <f>'10A Sem 2'!Q53</f>
        <v>58</v>
      </c>
      <c r="S154" s="22">
        <f>'10A Sem 2'!R53</f>
        <v>779</v>
      </c>
      <c r="T154" s="22">
        <f>'10A Sem 2'!S53</f>
        <v>59.92307692307692</v>
      </c>
      <c r="U154" s="117">
        <f>'10A Sem 2'!T53</f>
        <v>47</v>
      </c>
      <c r="V154" s="35">
        <f>'10A Sem 2'!U53</f>
        <v>0</v>
      </c>
      <c r="W154" s="35">
        <f>'10A Sem 2'!V53</f>
        <v>0</v>
      </c>
    </row>
    <row r="155" spans="1:23" ht="18" customHeight="1" thickBot="1" x14ac:dyDescent="0.3">
      <c r="A155" s="249"/>
      <c r="B155" s="218"/>
      <c r="C155" s="213">
        <v>16</v>
      </c>
      <c r="D155" s="217" t="s">
        <v>20</v>
      </c>
      <c r="E155" s="69" t="s">
        <v>16</v>
      </c>
      <c r="F155" s="22">
        <f>AVERAGE(F153:F154)</f>
        <v>68</v>
      </c>
      <c r="G155" s="22">
        <f t="shared" ref="G155:W155" si="49">AVERAGE(G153:G154)</f>
        <v>60</v>
      </c>
      <c r="H155" s="22">
        <f t="shared" si="49"/>
        <v>48.5</v>
      </c>
      <c r="I155" s="22">
        <f t="shared" si="49"/>
        <v>52</v>
      </c>
      <c r="J155" s="22">
        <f t="shared" si="49"/>
        <v>43.5</v>
      </c>
      <c r="K155" s="22">
        <f t="shared" si="49"/>
        <v>59</v>
      </c>
      <c r="L155" s="22">
        <f t="shared" si="49"/>
        <v>50</v>
      </c>
      <c r="M155" s="22">
        <f t="shared" si="49"/>
        <v>63.5</v>
      </c>
      <c r="N155" s="22">
        <f t="shared" si="49"/>
        <v>59</v>
      </c>
      <c r="O155" s="22">
        <f t="shared" si="49"/>
        <v>74.5</v>
      </c>
      <c r="P155" s="22">
        <f t="shared" si="49"/>
        <v>52</v>
      </c>
      <c r="Q155" s="22">
        <f t="shared" si="49"/>
        <v>79.5</v>
      </c>
      <c r="R155" s="22">
        <f t="shared" si="49"/>
        <v>54.5</v>
      </c>
      <c r="S155" s="22">
        <f t="shared" si="49"/>
        <v>764</v>
      </c>
      <c r="T155" s="22">
        <f t="shared" si="49"/>
        <v>58.769230769230766</v>
      </c>
      <c r="U155" s="22">
        <f>'10A Sem avr'!$H$53</f>
        <v>48</v>
      </c>
      <c r="V155" s="22">
        <f t="shared" si="49"/>
        <v>0</v>
      </c>
      <c r="W155" s="22">
        <f t="shared" si="49"/>
        <v>0</v>
      </c>
    </row>
    <row r="156" spans="1:23" ht="18" customHeight="1" thickBot="1" x14ac:dyDescent="0.3">
      <c r="A156" s="249">
        <v>51</v>
      </c>
      <c r="B156" s="234"/>
      <c r="C156" s="247">
        <v>16</v>
      </c>
      <c r="D156" s="248" t="s">
        <v>20</v>
      </c>
      <c r="E156" s="69" t="s">
        <v>21</v>
      </c>
      <c r="F156" s="22">
        <f>'10A Sem 1'!E54</f>
        <v>70</v>
      </c>
      <c r="G156" s="22">
        <f>'10A Sem 1'!F54</f>
        <v>56</v>
      </c>
      <c r="H156" s="22">
        <f>'10A Sem 1'!G54</f>
        <v>49</v>
      </c>
      <c r="I156" s="22">
        <f>'10A Sem 1'!H54</f>
        <v>44</v>
      </c>
      <c r="J156" s="22">
        <f>'10A Sem 1'!I54</f>
        <v>36</v>
      </c>
      <c r="K156" s="22">
        <f>'10A Sem 1'!J54</f>
        <v>45</v>
      </c>
      <c r="L156" s="22">
        <f>'10A Sem 1'!K54</f>
        <v>41</v>
      </c>
      <c r="M156" s="22">
        <f>'10A Sem 1'!L54</f>
        <v>45</v>
      </c>
      <c r="N156" s="22">
        <f>'10A Sem 1'!M54</f>
        <v>51</v>
      </c>
      <c r="O156" s="22">
        <f>'10A Sem 1'!N54</f>
        <v>60</v>
      </c>
      <c r="P156" s="22">
        <f>'10A Sem 1'!O54</f>
        <v>56</v>
      </c>
      <c r="Q156" s="22">
        <f>'10A Sem 1'!P54</f>
        <v>75</v>
      </c>
      <c r="R156" s="22">
        <f>'10A Sem 1'!Q54</f>
        <v>52</v>
      </c>
      <c r="S156" s="22">
        <f>'10A Sem 1'!R54</f>
        <v>680</v>
      </c>
      <c r="T156" s="22">
        <f>'10A Sem 1'!S54</f>
        <v>52.307692307692307</v>
      </c>
      <c r="U156" s="117">
        <f>'10A Sem 1'!T54</f>
        <v>51</v>
      </c>
      <c r="V156" s="117">
        <f>'10A Sem 1'!U54</f>
        <v>0</v>
      </c>
      <c r="W156" s="117">
        <f>'10A Sem 1'!V54</f>
        <v>0</v>
      </c>
    </row>
    <row r="157" spans="1:23" ht="18" customHeight="1" thickBot="1" x14ac:dyDescent="0.3">
      <c r="A157" s="249"/>
      <c r="B157" s="234"/>
      <c r="C157" s="247">
        <v>16</v>
      </c>
      <c r="D157" s="248" t="s">
        <v>20</v>
      </c>
      <c r="E157" s="69" t="s">
        <v>22</v>
      </c>
      <c r="F157" s="22">
        <f>'10A Sem 2'!E54</f>
        <v>66</v>
      </c>
      <c r="G157" s="22">
        <f>'10A Sem 2'!F54</f>
        <v>63</v>
      </c>
      <c r="H157" s="22">
        <f>'10A Sem 2'!G54</f>
        <v>43</v>
      </c>
      <c r="I157" s="22">
        <f>'10A Sem 2'!H54</f>
        <v>42</v>
      </c>
      <c r="J157" s="22">
        <f>'10A Sem 2'!I54</f>
        <v>38</v>
      </c>
      <c r="K157" s="22">
        <f>'10A Sem 2'!J54</f>
        <v>50</v>
      </c>
      <c r="L157" s="22">
        <f>'10A Sem 2'!K54</f>
        <v>41</v>
      </c>
      <c r="M157" s="22">
        <f>'10A Sem 2'!L54</f>
        <v>58</v>
      </c>
      <c r="N157" s="22">
        <f>'10A Sem 2'!M54</f>
        <v>46</v>
      </c>
      <c r="O157" s="22">
        <f>'10A Sem 2'!N54</f>
        <v>70</v>
      </c>
      <c r="P157" s="22">
        <f>'10A Sem 2'!O54</f>
        <v>38</v>
      </c>
      <c r="Q157" s="22">
        <f>'10A Sem 2'!P54</f>
        <v>81</v>
      </c>
      <c r="R157" s="22">
        <f>'10A Sem 2'!Q54</f>
        <v>57</v>
      </c>
      <c r="S157" s="22">
        <f>'10A Sem 2'!R54</f>
        <v>693</v>
      </c>
      <c r="T157" s="22">
        <f>'10A Sem 2'!S54</f>
        <v>53.307692307692307</v>
      </c>
      <c r="U157" s="117">
        <f>'10A Sem 2'!T54</f>
        <v>51</v>
      </c>
      <c r="V157" s="117">
        <f>'10A Sem 2'!U54</f>
        <v>0</v>
      </c>
      <c r="W157" s="117">
        <f>'10A Sem 2'!V54</f>
        <v>0</v>
      </c>
    </row>
    <row r="158" spans="1:23" ht="18" customHeight="1" thickBot="1" x14ac:dyDescent="0.3">
      <c r="A158" s="249"/>
      <c r="B158" s="234"/>
      <c r="C158" s="247">
        <v>16</v>
      </c>
      <c r="D158" s="248" t="s">
        <v>20</v>
      </c>
      <c r="E158" s="69" t="s">
        <v>16</v>
      </c>
      <c r="F158" s="22">
        <f>AVERAGE(F156:F157)</f>
        <v>68</v>
      </c>
      <c r="G158" s="22">
        <f t="shared" ref="G158:W158" si="50">AVERAGE(G156:G157)</f>
        <v>59.5</v>
      </c>
      <c r="H158" s="22">
        <f t="shared" si="50"/>
        <v>46</v>
      </c>
      <c r="I158" s="22">
        <f t="shared" si="50"/>
        <v>43</v>
      </c>
      <c r="J158" s="22">
        <f t="shared" si="50"/>
        <v>37</v>
      </c>
      <c r="K158" s="22">
        <f t="shared" si="50"/>
        <v>47.5</v>
      </c>
      <c r="L158" s="22">
        <f t="shared" si="50"/>
        <v>41</v>
      </c>
      <c r="M158" s="22">
        <f t="shared" si="50"/>
        <v>51.5</v>
      </c>
      <c r="N158" s="22">
        <f t="shared" si="50"/>
        <v>48.5</v>
      </c>
      <c r="O158" s="22">
        <f t="shared" si="50"/>
        <v>65</v>
      </c>
      <c r="P158" s="22">
        <f t="shared" si="50"/>
        <v>47</v>
      </c>
      <c r="Q158" s="22">
        <f t="shared" si="50"/>
        <v>78</v>
      </c>
      <c r="R158" s="22">
        <f t="shared" si="50"/>
        <v>54.5</v>
      </c>
      <c r="S158" s="22">
        <f t="shared" si="50"/>
        <v>686.5</v>
      </c>
      <c r="T158" s="22">
        <f t="shared" si="50"/>
        <v>52.807692307692307</v>
      </c>
      <c r="U158" s="22">
        <f>'10A Sem avr'!$H$54</f>
        <v>51</v>
      </c>
      <c r="V158" s="22">
        <f t="shared" si="50"/>
        <v>0</v>
      </c>
      <c r="W158" s="22">
        <f t="shared" si="50"/>
        <v>0</v>
      </c>
    </row>
    <row r="159" spans="1:23" ht="18" customHeight="1" thickBot="1" x14ac:dyDescent="0.3">
      <c r="A159" s="249">
        <v>52</v>
      </c>
      <c r="B159" s="234"/>
      <c r="C159" s="247"/>
      <c r="D159" s="248"/>
      <c r="E159" s="69" t="s">
        <v>21</v>
      </c>
      <c r="F159" s="22">
        <f>'10A Sem 1'!E55</f>
        <v>0</v>
      </c>
      <c r="G159" s="22">
        <f>'10A Sem 1'!F55</f>
        <v>0</v>
      </c>
      <c r="H159" s="22">
        <f>'10A Sem 1'!G55</f>
        <v>0</v>
      </c>
      <c r="I159" s="22">
        <f>'10A Sem 1'!H55</f>
        <v>0</v>
      </c>
      <c r="J159" s="22">
        <f>'10A Sem 1'!I55</f>
        <v>0</v>
      </c>
      <c r="K159" s="22">
        <f>'10A Sem 1'!J55</f>
        <v>0</v>
      </c>
      <c r="L159" s="22">
        <f>'10A Sem 1'!K55</f>
        <v>0</v>
      </c>
      <c r="M159" s="22">
        <f>'10A Sem 1'!L55</f>
        <v>0</v>
      </c>
      <c r="N159" s="22">
        <f>'10A Sem 1'!M55</f>
        <v>0</v>
      </c>
      <c r="O159" s="22">
        <f>'10A Sem 1'!N55</f>
        <v>0</v>
      </c>
      <c r="P159" s="22">
        <f>'10A Sem 1'!O55</f>
        <v>0</v>
      </c>
      <c r="Q159" s="22">
        <f>'10A Sem 1'!P55</f>
        <v>0</v>
      </c>
      <c r="R159" s="22">
        <f>'10A Sem 1'!Q55</f>
        <v>0</v>
      </c>
      <c r="S159" s="22">
        <f>'10A Sem 1'!R55</f>
        <v>0</v>
      </c>
      <c r="T159" s="22">
        <f>'10A Sem 1'!S55</f>
        <v>0</v>
      </c>
      <c r="U159" s="117">
        <f>'10A Sem 1'!T55</f>
        <v>0</v>
      </c>
      <c r="V159" s="117">
        <f>'10A Sem 1'!U55</f>
        <v>0</v>
      </c>
      <c r="W159" s="117">
        <f>'10A Sem 1'!V55</f>
        <v>0</v>
      </c>
    </row>
    <row r="160" spans="1:23" ht="18" customHeight="1" thickBot="1" x14ac:dyDescent="0.3">
      <c r="A160" s="249"/>
      <c r="B160" s="234"/>
      <c r="C160" s="247"/>
      <c r="D160" s="248"/>
      <c r="E160" s="69" t="s">
        <v>22</v>
      </c>
      <c r="F160" s="22">
        <f>'10A Sem 2'!E55</f>
        <v>0</v>
      </c>
      <c r="G160" s="22">
        <f>'10A Sem 2'!F55</f>
        <v>0</v>
      </c>
      <c r="H160" s="22">
        <f>'10A Sem 2'!G55</f>
        <v>0</v>
      </c>
      <c r="I160" s="22">
        <f>'10A Sem 2'!H55</f>
        <v>0</v>
      </c>
      <c r="J160" s="22">
        <f>'10A Sem 2'!I55</f>
        <v>0</v>
      </c>
      <c r="K160" s="22">
        <f>'10A Sem 2'!J55</f>
        <v>0</v>
      </c>
      <c r="L160" s="22">
        <f>'10A Sem 2'!K55</f>
        <v>0</v>
      </c>
      <c r="M160" s="22">
        <f>'10A Sem 2'!L55</f>
        <v>0</v>
      </c>
      <c r="N160" s="22">
        <f>'10A Sem 2'!M55</f>
        <v>0</v>
      </c>
      <c r="O160" s="22">
        <f>'10A Sem 2'!N55</f>
        <v>0</v>
      </c>
      <c r="P160" s="22">
        <f>'10A Sem 2'!O55</f>
        <v>0</v>
      </c>
      <c r="Q160" s="22">
        <f>'10A Sem 2'!P55</f>
        <v>0</v>
      </c>
      <c r="R160" s="22">
        <f>'10A Sem 2'!Q55</f>
        <v>0</v>
      </c>
      <c r="S160" s="22">
        <f>'10A Sem 2'!R55</f>
        <v>0</v>
      </c>
      <c r="T160" s="22">
        <f>'10A Sem 2'!S55</f>
        <v>0</v>
      </c>
      <c r="U160" s="117">
        <f>'10A Sem 2'!T55</f>
        <v>0</v>
      </c>
      <c r="V160" s="117">
        <f>'10A Sem 2'!U55</f>
        <v>0</v>
      </c>
      <c r="W160" s="117">
        <f>'10A Sem 2'!V55</f>
        <v>0</v>
      </c>
    </row>
    <row r="161" spans="1:23" ht="18" customHeight="1" thickBot="1" x14ac:dyDescent="0.3">
      <c r="A161" s="249"/>
      <c r="B161" s="234"/>
      <c r="C161" s="247"/>
      <c r="D161" s="248"/>
      <c r="E161" s="69" t="s">
        <v>16</v>
      </c>
      <c r="F161" s="22">
        <f>AVERAGE(F159:F160)</f>
        <v>0</v>
      </c>
      <c r="G161" s="22">
        <f t="shared" ref="G161:W161" si="51">AVERAGE(G159:G160)</f>
        <v>0</v>
      </c>
      <c r="H161" s="22">
        <f t="shared" si="51"/>
        <v>0</v>
      </c>
      <c r="I161" s="22">
        <f t="shared" si="51"/>
        <v>0</v>
      </c>
      <c r="J161" s="22">
        <f t="shared" si="51"/>
        <v>0</v>
      </c>
      <c r="K161" s="22">
        <f t="shared" si="51"/>
        <v>0</v>
      </c>
      <c r="L161" s="22">
        <f t="shared" si="51"/>
        <v>0</v>
      </c>
      <c r="M161" s="22">
        <f t="shared" si="51"/>
        <v>0</v>
      </c>
      <c r="N161" s="22">
        <f t="shared" si="51"/>
        <v>0</v>
      </c>
      <c r="O161" s="22">
        <f t="shared" si="51"/>
        <v>0</v>
      </c>
      <c r="P161" s="22">
        <f t="shared" si="51"/>
        <v>0</v>
      </c>
      <c r="Q161" s="22">
        <f t="shared" si="51"/>
        <v>0</v>
      </c>
      <c r="R161" s="22">
        <f t="shared" si="51"/>
        <v>0</v>
      </c>
      <c r="S161" s="22">
        <f t="shared" si="51"/>
        <v>0</v>
      </c>
      <c r="T161" s="22">
        <f t="shared" si="51"/>
        <v>0</v>
      </c>
      <c r="U161" s="22" t="e">
        <f>'10A Sem avr'!#REF!</f>
        <v>#REF!</v>
      </c>
      <c r="V161" s="22">
        <f t="shared" si="51"/>
        <v>0</v>
      </c>
      <c r="W161" s="22">
        <f t="shared" si="51"/>
        <v>0</v>
      </c>
    </row>
    <row r="162" spans="1:23" ht="18" customHeight="1" thickBot="1" x14ac:dyDescent="0.3">
      <c r="A162" s="249">
        <v>53</v>
      </c>
      <c r="B162" s="250"/>
      <c r="C162" s="247"/>
      <c r="D162" s="248"/>
      <c r="E162" s="69" t="s">
        <v>21</v>
      </c>
      <c r="F162" s="32">
        <f>'10A Sem 1'!E56</f>
        <v>0</v>
      </c>
      <c r="G162" s="32">
        <f>'10A Sem 1'!F56</f>
        <v>0</v>
      </c>
      <c r="H162" s="32">
        <f>'10A Sem 1'!G56</f>
        <v>0</v>
      </c>
      <c r="I162" s="32">
        <f>'10A Sem 1'!H56</f>
        <v>0</v>
      </c>
      <c r="J162" s="32">
        <f>'10A Sem 1'!I56</f>
        <v>0</v>
      </c>
      <c r="K162" s="32">
        <f>'10A Sem 1'!J56</f>
        <v>0</v>
      </c>
      <c r="L162" s="32">
        <f>'10A Sem 1'!K56</f>
        <v>0</v>
      </c>
      <c r="M162" s="32">
        <f>'10A Sem 1'!L56</f>
        <v>0</v>
      </c>
      <c r="N162" s="32">
        <f>'10A Sem 1'!M56</f>
        <v>0</v>
      </c>
      <c r="O162" s="32">
        <f>'10A Sem 1'!N56</f>
        <v>0</v>
      </c>
      <c r="P162" s="32">
        <f>'10A Sem 1'!O56</f>
        <v>0</v>
      </c>
      <c r="Q162" s="32">
        <f>'10A Sem 1'!P56</f>
        <v>0</v>
      </c>
      <c r="R162" s="32">
        <f>'10A Sem 1'!Q56</f>
        <v>0</v>
      </c>
      <c r="S162" s="32">
        <f>'10A Sem 1'!R56</f>
        <v>0</v>
      </c>
      <c r="T162" s="32">
        <f>'10A Sem 1'!S56</f>
        <v>0</v>
      </c>
      <c r="U162" s="35">
        <f>'10A Sem 1'!T56</f>
        <v>0</v>
      </c>
      <c r="V162" s="35">
        <f>'10A Sem 1'!U56</f>
        <v>0</v>
      </c>
      <c r="W162" s="35">
        <f>'10A Sem 1'!V56</f>
        <v>0</v>
      </c>
    </row>
    <row r="163" spans="1:23" ht="18" customHeight="1" thickBot="1" x14ac:dyDescent="0.3">
      <c r="A163" s="249"/>
      <c r="B163" s="250"/>
      <c r="C163" s="247"/>
      <c r="D163" s="248"/>
      <c r="E163" s="69" t="s">
        <v>22</v>
      </c>
      <c r="F163" s="32">
        <f>'10A Sem 2'!E56</f>
        <v>0</v>
      </c>
      <c r="G163" s="32">
        <f>'10A Sem 2'!F56</f>
        <v>0</v>
      </c>
      <c r="H163" s="32">
        <f>'10A Sem 2'!G56</f>
        <v>0</v>
      </c>
      <c r="I163" s="32">
        <f>'10A Sem 2'!H56</f>
        <v>0</v>
      </c>
      <c r="J163" s="32">
        <f>'10A Sem 2'!I56</f>
        <v>0</v>
      </c>
      <c r="K163" s="32">
        <f>'10A Sem 2'!J56</f>
        <v>0</v>
      </c>
      <c r="L163" s="32">
        <f>'10A Sem 2'!K56</f>
        <v>0</v>
      </c>
      <c r="M163" s="32">
        <f>'10A Sem 2'!L56</f>
        <v>0</v>
      </c>
      <c r="N163" s="32">
        <f>'10A Sem 2'!M56</f>
        <v>0</v>
      </c>
      <c r="O163" s="32">
        <f>'10A Sem 2'!N56</f>
        <v>0</v>
      </c>
      <c r="P163" s="32">
        <f>'10A Sem 2'!O56</f>
        <v>0</v>
      </c>
      <c r="Q163" s="32">
        <f>'10A Sem 2'!P56</f>
        <v>0</v>
      </c>
      <c r="R163" s="32">
        <f>'10A Sem 2'!Q56</f>
        <v>0</v>
      </c>
      <c r="S163" s="32">
        <f>'10A Sem 2'!R56</f>
        <v>0</v>
      </c>
      <c r="T163" s="32">
        <f>'10A Sem 2'!S56</f>
        <v>0</v>
      </c>
      <c r="U163" s="35">
        <f>'10A Sem 2'!T56</f>
        <v>0</v>
      </c>
      <c r="V163" s="35">
        <f>'10A Sem 2'!U56</f>
        <v>0</v>
      </c>
      <c r="W163" s="35">
        <f>'10A Sem 2'!V56</f>
        <v>0</v>
      </c>
    </row>
    <row r="164" spans="1:23" ht="18" customHeight="1" thickBot="1" x14ac:dyDescent="0.3">
      <c r="A164" s="249"/>
      <c r="B164" s="250"/>
      <c r="C164" s="247"/>
      <c r="D164" s="248"/>
      <c r="E164" s="69" t="s">
        <v>16</v>
      </c>
      <c r="F164" s="32">
        <f>AVERAGE(F162:F163)</f>
        <v>0</v>
      </c>
      <c r="G164" s="32">
        <f t="shared" ref="G164:W164" si="52">AVERAGE(G162:G163)</f>
        <v>0</v>
      </c>
      <c r="H164" s="32">
        <f t="shared" si="52"/>
        <v>0</v>
      </c>
      <c r="I164" s="32">
        <f t="shared" si="52"/>
        <v>0</v>
      </c>
      <c r="J164" s="32">
        <f t="shared" si="52"/>
        <v>0</v>
      </c>
      <c r="K164" s="32">
        <f t="shared" si="52"/>
        <v>0</v>
      </c>
      <c r="L164" s="32">
        <f t="shared" si="52"/>
        <v>0</v>
      </c>
      <c r="M164" s="32">
        <f t="shared" si="52"/>
        <v>0</v>
      </c>
      <c r="N164" s="32">
        <f t="shared" si="52"/>
        <v>0</v>
      </c>
      <c r="O164" s="32">
        <f t="shared" si="52"/>
        <v>0</v>
      </c>
      <c r="P164" s="32">
        <f t="shared" si="52"/>
        <v>0</v>
      </c>
      <c r="Q164" s="32">
        <f t="shared" si="52"/>
        <v>0</v>
      </c>
      <c r="R164" s="32">
        <f t="shared" si="52"/>
        <v>0</v>
      </c>
      <c r="S164" s="32">
        <f t="shared" si="52"/>
        <v>0</v>
      </c>
      <c r="T164" s="32">
        <f t="shared" si="52"/>
        <v>0</v>
      </c>
      <c r="U164" s="32" t="e">
        <f>'10A Sem avr'!#REF!</f>
        <v>#REF!</v>
      </c>
      <c r="V164" s="32">
        <f t="shared" si="52"/>
        <v>0</v>
      </c>
      <c r="W164" s="32">
        <f t="shared" si="52"/>
        <v>0</v>
      </c>
    </row>
    <row r="165" spans="1:23" ht="18" customHeight="1" thickBot="1" x14ac:dyDescent="0.3">
      <c r="A165" s="249">
        <v>54</v>
      </c>
      <c r="B165" s="250"/>
      <c r="C165" s="251"/>
      <c r="D165" s="252"/>
      <c r="E165" s="69" t="s">
        <v>21</v>
      </c>
      <c r="F165" s="32">
        <f>'10A Sem 1'!E57</f>
        <v>0</v>
      </c>
      <c r="G165" s="32">
        <f>'10A Sem 1'!F57</f>
        <v>0</v>
      </c>
      <c r="H165" s="32">
        <f>'10A Sem 1'!G57</f>
        <v>0</v>
      </c>
      <c r="I165" s="32">
        <f>'10A Sem 1'!H57</f>
        <v>0</v>
      </c>
      <c r="J165" s="32">
        <f>'10A Sem 1'!I57</f>
        <v>0</v>
      </c>
      <c r="K165" s="32">
        <f>'10A Sem 1'!J57</f>
        <v>0</v>
      </c>
      <c r="L165" s="32">
        <f>'10A Sem 1'!K57</f>
        <v>0</v>
      </c>
      <c r="M165" s="32">
        <f>'10A Sem 1'!L57</f>
        <v>0</v>
      </c>
      <c r="N165" s="32">
        <f>'10A Sem 1'!M57</f>
        <v>0</v>
      </c>
      <c r="O165" s="32">
        <f>'10A Sem 1'!N57</f>
        <v>0</v>
      </c>
      <c r="P165" s="32">
        <f>'10A Sem 1'!O57</f>
        <v>0</v>
      </c>
      <c r="Q165" s="32">
        <f>'10A Sem 1'!P57</f>
        <v>0</v>
      </c>
      <c r="R165" s="32">
        <f>'10A Sem 1'!Q57</f>
        <v>0</v>
      </c>
      <c r="S165" s="32">
        <f>'10A Sem 1'!R57</f>
        <v>0</v>
      </c>
      <c r="T165" s="32">
        <f>'10A Sem 1'!S57</f>
        <v>0</v>
      </c>
      <c r="U165" s="35">
        <f>'10A Sem 1'!T57</f>
        <v>0</v>
      </c>
      <c r="V165" s="35">
        <f>'10A Sem 1'!U57</f>
        <v>0</v>
      </c>
      <c r="W165" s="35">
        <f>'10A Sem 1'!V57</f>
        <v>0</v>
      </c>
    </row>
    <row r="166" spans="1:23" ht="18" customHeight="1" thickBot="1" x14ac:dyDescent="0.3">
      <c r="A166" s="249"/>
      <c r="B166" s="250"/>
      <c r="C166" s="251"/>
      <c r="D166" s="252"/>
      <c r="E166" s="69" t="s">
        <v>22</v>
      </c>
      <c r="F166" s="32">
        <f>'10A Sem 2'!E57</f>
        <v>0</v>
      </c>
      <c r="G166" s="32">
        <f>'10A Sem 2'!F57</f>
        <v>0</v>
      </c>
      <c r="H166" s="32">
        <f>'10A Sem 2'!G57</f>
        <v>0</v>
      </c>
      <c r="I166" s="32">
        <f>'10A Sem 2'!H57</f>
        <v>0</v>
      </c>
      <c r="J166" s="32">
        <f>'10A Sem 2'!I57</f>
        <v>0</v>
      </c>
      <c r="K166" s="32">
        <f>'10A Sem 2'!J57</f>
        <v>0</v>
      </c>
      <c r="L166" s="32">
        <f>'10A Sem 2'!K57</f>
        <v>0</v>
      </c>
      <c r="M166" s="32">
        <f>'10A Sem 2'!L57</f>
        <v>0</v>
      </c>
      <c r="N166" s="32">
        <f>'10A Sem 2'!M57</f>
        <v>0</v>
      </c>
      <c r="O166" s="32">
        <f>'10A Sem 2'!N57</f>
        <v>0</v>
      </c>
      <c r="P166" s="32">
        <f>'10A Sem 2'!O57</f>
        <v>0</v>
      </c>
      <c r="Q166" s="32">
        <f>'10A Sem 2'!P57</f>
        <v>0</v>
      </c>
      <c r="R166" s="32">
        <f>'10A Sem 2'!Q57</f>
        <v>0</v>
      </c>
      <c r="S166" s="32">
        <f>'10A Sem 2'!R57</f>
        <v>0</v>
      </c>
      <c r="T166" s="32">
        <f>'10A Sem 2'!S57</f>
        <v>0</v>
      </c>
      <c r="U166" s="35">
        <f>'10A Sem 2'!T57</f>
        <v>0</v>
      </c>
      <c r="V166" s="35">
        <f>'10A Sem 2'!U57</f>
        <v>0</v>
      </c>
      <c r="W166" s="35">
        <f>'10A Sem 2'!V57</f>
        <v>0</v>
      </c>
    </row>
    <row r="167" spans="1:23" ht="18" customHeight="1" thickBot="1" x14ac:dyDescent="0.3">
      <c r="A167" s="249"/>
      <c r="B167" s="250"/>
      <c r="C167" s="251"/>
      <c r="D167" s="252"/>
      <c r="E167" s="69" t="s">
        <v>16</v>
      </c>
      <c r="F167" s="32">
        <f>AVERAGE(F165:F166)</f>
        <v>0</v>
      </c>
      <c r="G167" s="32">
        <f t="shared" ref="G167:W167" si="53">AVERAGE(G165:G166)</f>
        <v>0</v>
      </c>
      <c r="H167" s="32">
        <f t="shared" si="53"/>
        <v>0</v>
      </c>
      <c r="I167" s="32">
        <f t="shared" si="53"/>
        <v>0</v>
      </c>
      <c r="J167" s="32">
        <f t="shared" si="53"/>
        <v>0</v>
      </c>
      <c r="K167" s="32">
        <f t="shared" si="53"/>
        <v>0</v>
      </c>
      <c r="L167" s="32">
        <f t="shared" si="53"/>
        <v>0</v>
      </c>
      <c r="M167" s="32">
        <f t="shared" si="53"/>
        <v>0</v>
      </c>
      <c r="N167" s="32">
        <f t="shared" si="53"/>
        <v>0</v>
      </c>
      <c r="O167" s="32">
        <f t="shared" si="53"/>
        <v>0</v>
      </c>
      <c r="P167" s="32">
        <f t="shared" si="53"/>
        <v>0</v>
      </c>
      <c r="Q167" s="32">
        <f t="shared" si="53"/>
        <v>0</v>
      </c>
      <c r="R167" s="32">
        <f t="shared" si="53"/>
        <v>0</v>
      </c>
      <c r="S167" s="32">
        <f t="shared" si="53"/>
        <v>0</v>
      </c>
      <c r="T167" s="32">
        <f t="shared" si="53"/>
        <v>0</v>
      </c>
      <c r="U167" s="32" t="e">
        <f>'10A Sem avr'!#REF!</f>
        <v>#REF!</v>
      </c>
      <c r="V167" s="32">
        <f t="shared" si="53"/>
        <v>0</v>
      </c>
      <c r="W167" s="32">
        <f t="shared" si="53"/>
        <v>0</v>
      </c>
    </row>
    <row r="168" spans="1:23" ht="18" customHeight="1" thickBot="1" x14ac:dyDescent="0.3">
      <c r="A168" s="249">
        <v>55</v>
      </c>
      <c r="B168" s="253"/>
      <c r="C168" s="251"/>
      <c r="D168" s="252"/>
      <c r="E168" s="69" t="s">
        <v>21</v>
      </c>
      <c r="F168" s="32">
        <f>'10A Sem 1'!E58</f>
        <v>0</v>
      </c>
      <c r="G168" s="32">
        <f>'10A Sem 1'!F58</f>
        <v>0</v>
      </c>
      <c r="H168" s="32">
        <f>'10A Sem 1'!G58</f>
        <v>0</v>
      </c>
      <c r="I168" s="32">
        <f>'10A Sem 1'!H58</f>
        <v>0</v>
      </c>
      <c r="J168" s="32">
        <f>'10A Sem 1'!I58</f>
        <v>0</v>
      </c>
      <c r="K168" s="32">
        <f>'10A Sem 1'!J58</f>
        <v>0</v>
      </c>
      <c r="L168" s="32">
        <f>'10A Sem 1'!K58</f>
        <v>0</v>
      </c>
      <c r="M168" s="32">
        <f>'10A Sem 1'!L58</f>
        <v>0</v>
      </c>
      <c r="N168" s="32">
        <f>'10A Sem 1'!M58</f>
        <v>0</v>
      </c>
      <c r="O168" s="32">
        <f>'10A Sem 1'!N58</f>
        <v>0</v>
      </c>
      <c r="P168" s="32">
        <f>'10A Sem 1'!O58</f>
        <v>0</v>
      </c>
      <c r="Q168" s="32">
        <f>'10A Sem 1'!P58</f>
        <v>0</v>
      </c>
      <c r="R168" s="32">
        <f>'10A Sem 1'!Q58</f>
        <v>0</v>
      </c>
      <c r="S168" s="32">
        <f>'10A Sem 1'!R58</f>
        <v>0</v>
      </c>
      <c r="T168" s="32">
        <f>'10A Sem 1'!S58</f>
        <v>0</v>
      </c>
      <c r="U168" s="35">
        <f>'10A Sem 1'!T58</f>
        <v>0</v>
      </c>
      <c r="V168" s="35">
        <f>'10A Sem 1'!U58</f>
        <v>0</v>
      </c>
      <c r="W168" s="35">
        <f>'10A Sem 1'!V58</f>
        <v>0</v>
      </c>
    </row>
    <row r="169" spans="1:23" ht="18" customHeight="1" thickBot="1" x14ac:dyDescent="0.3">
      <c r="A169" s="249"/>
      <c r="B169" s="253"/>
      <c r="C169" s="251"/>
      <c r="D169" s="252"/>
      <c r="E169" s="69" t="s">
        <v>22</v>
      </c>
      <c r="F169" s="32">
        <f>'10A Sem 2'!E58</f>
        <v>0</v>
      </c>
      <c r="G169" s="32">
        <f>'10A Sem 2'!F58</f>
        <v>0</v>
      </c>
      <c r="H169" s="32">
        <f>'10A Sem 2'!G58</f>
        <v>0</v>
      </c>
      <c r="I169" s="32">
        <f>'10A Sem 2'!H58</f>
        <v>0</v>
      </c>
      <c r="J169" s="32">
        <f>'10A Sem 2'!I58</f>
        <v>0</v>
      </c>
      <c r="K169" s="32">
        <f>'10A Sem 2'!J58</f>
        <v>0</v>
      </c>
      <c r="L169" s="32">
        <f>'10A Sem 2'!K58</f>
        <v>0</v>
      </c>
      <c r="M169" s="32">
        <f>'10A Sem 2'!L58</f>
        <v>0</v>
      </c>
      <c r="N169" s="32">
        <f>'10A Sem 2'!M58</f>
        <v>0</v>
      </c>
      <c r="O169" s="32">
        <f>'10A Sem 2'!N58</f>
        <v>0</v>
      </c>
      <c r="P169" s="32">
        <f>'10A Sem 2'!O58</f>
        <v>0</v>
      </c>
      <c r="Q169" s="32">
        <f>'10A Sem 2'!P58</f>
        <v>0</v>
      </c>
      <c r="R169" s="32">
        <f>'10A Sem 2'!Q58</f>
        <v>0</v>
      </c>
      <c r="S169" s="32">
        <f>'10A Sem 2'!R58</f>
        <v>0</v>
      </c>
      <c r="T169" s="32">
        <f>'10A Sem 2'!S58</f>
        <v>0</v>
      </c>
      <c r="U169" s="35">
        <f>'10A Sem 2'!T58</f>
        <v>0</v>
      </c>
      <c r="V169" s="35">
        <f>'10A Sem 2'!U58</f>
        <v>0</v>
      </c>
      <c r="W169" s="35">
        <f>'10A Sem 2'!V58</f>
        <v>0</v>
      </c>
    </row>
    <row r="170" spans="1:23" ht="19.5" customHeight="1" thickBot="1" x14ac:dyDescent="0.3">
      <c r="A170" s="249"/>
      <c r="B170" s="253"/>
      <c r="C170" s="251"/>
      <c r="D170" s="252"/>
      <c r="E170" s="69" t="s">
        <v>16</v>
      </c>
      <c r="F170" s="32">
        <f>AVERAGE(F168:F169)</f>
        <v>0</v>
      </c>
      <c r="G170" s="32">
        <f t="shared" ref="G170:W170" si="54">AVERAGE(G168:G169)</f>
        <v>0</v>
      </c>
      <c r="H170" s="32">
        <f t="shared" si="54"/>
        <v>0</v>
      </c>
      <c r="I170" s="32">
        <f t="shared" si="54"/>
        <v>0</v>
      </c>
      <c r="J170" s="32">
        <f t="shared" si="54"/>
        <v>0</v>
      </c>
      <c r="K170" s="32">
        <f t="shared" si="54"/>
        <v>0</v>
      </c>
      <c r="L170" s="32">
        <f t="shared" si="54"/>
        <v>0</v>
      </c>
      <c r="M170" s="32">
        <f t="shared" si="54"/>
        <v>0</v>
      </c>
      <c r="N170" s="32">
        <f t="shared" si="54"/>
        <v>0</v>
      </c>
      <c r="O170" s="32">
        <f t="shared" si="54"/>
        <v>0</v>
      </c>
      <c r="P170" s="32">
        <f t="shared" si="54"/>
        <v>0</v>
      </c>
      <c r="Q170" s="32">
        <f t="shared" si="54"/>
        <v>0</v>
      </c>
      <c r="R170" s="32">
        <f t="shared" si="54"/>
        <v>0</v>
      </c>
      <c r="S170" s="32">
        <f t="shared" si="54"/>
        <v>0</v>
      </c>
      <c r="T170" s="32">
        <f t="shared" si="54"/>
        <v>0</v>
      </c>
      <c r="U170" s="32" t="e">
        <f>'10A Sem avr'!#REF!</f>
        <v>#REF!</v>
      </c>
      <c r="V170" s="32">
        <f t="shared" si="54"/>
        <v>0</v>
      </c>
      <c r="W170" s="32">
        <f t="shared" si="54"/>
        <v>0</v>
      </c>
    </row>
    <row r="171" spans="1:23" ht="18.75" customHeight="1" x14ac:dyDescent="0.25">
      <c r="C171"/>
      <c r="D171"/>
    </row>
    <row r="172" spans="1:23" ht="18" customHeight="1" x14ac:dyDescent="0.25">
      <c r="C172"/>
      <c r="D172"/>
    </row>
    <row r="173" spans="1:23" ht="18" customHeight="1" x14ac:dyDescent="0.25">
      <c r="C173"/>
      <c r="D173"/>
    </row>
    <row r="174" spans="1:23" ht="18" customHeight="1" x14ac:dyDescent="0.25">
      <c r="C174"/>
      <c r="D174"/>
    </row>
    <row r="175" spans="1:23" ht="18" customHeight="1" x14ac:dyDescent="0.25">
      <c r="C175"/>
      <c r="D175"/>
    </row>
    <row r="176" spans="1:23" ht="18" customHeight="1" x14ac:dyDescent="0.25">
      <c r="C176"/>
      <c r="D176"/>
    </row>
    <row r="177" spans="1:4" ht="18" customHeight="1" x14ac:dyDescent="0.25">
      <c r="C177"/>
      <c r="D177"/>
    </row>
    <row r="178" spans="1:4" ht="18" customHeight="1" x14ac:dyDescent="0.25">
      <c r="C178"/>
      <c r="D178"/>
    </row>
    <row r="179" spans="1:4" ht="18" customHeight="1" x14ac:dyDescent="0.25">
      <c r="C179"/>
      <c r="D179"/>
    </row>
    <row r="180" spans="1:4" ht="18" customHeight="1" x14ac:dyDescent="0.25">
      <c r="C180"/>
      <c r="D180"/>
    </row>
    <row r="181" spans="1:4" ht="18" customHeight="1" x14ac:dyDescent="0.25">
      <c r="C181"/>
      <c r="D181"/>
    </row>
    <row r="182" spans="1:4" ht="18" customHeight="1" x14ac:dyDescent="0.25">
      <c r="C182"/>
      <c r="D182"/>
    </row>
    <row r="183" spans="1:4" ht="18" customHeight="1" x14ac:dyDescent="0.25">
      <c r="C183"/>
      <c r="D183"/>
    </row>
    <row r="184" spans="1:4" ht="18" customHeight="1" x14ac:dyDescent="0.25">
      <c r="C184"/>
      <c r="D184"/>
    </row>
    <row r="185" spans="1:4" ht="18" customHeight="1" x14ac:dyDescent="0.25">
      <c r="C185"/>
      <c r="D185"/>
    </row>
    <row r="186" spans="1:4" ht="18" customHeight="1" x14ac:dyDescent="0.25">
      <c r="C186"/>
      <c r="D186"/>
    </row>
    <row r="187" spans="1:4" ht="18" customHeight="1" x14ac:dyDescent="0.25">
      <c r="A187" s="7"/>
      <c r="C187"/>
      <c r="D187"/>
    </row>
    <row r="188" spans="1:4" ht="18" customHeight="1" x14ac:dyDescent="0.25">
      <c r="A188" s="7"/>
      <c r="C188"/>
      <c r="D188"/>
    </row>
    <row r="189" spans="1:4" ht="18" customHeight="1" x14ac:dyDescent="0.25">
      <c r="A189" s="7"/>
      <c r="C189"/>
      <c r="D189"/>
    </row>
    <row r="190" spans="1:4" ht="18" customHeight="1" x14ac:dyDescent="0.25">
      <c r="A190" s="7"/>
      <c r="C190" s="8"/>
      <c r="D190" s="8"/>
    </row>
    <row r="191" spans="1:4" ht="18" customHeight="1" x14ac:dyDescent="0.25">
      <c r="A191" s="7"/>
      <c r="B191" s="8"/>
      <c r="C191" s="8"/>
      <c r="D191" s="8"/>
    </row>
    <row r="192" spans="1:4" ht="18" customHeight="1" x14ac:dyDescent="0.25">
      <c r="A192" s="7"/>
      <c r="B192" s="8"/>
      <c r="C192" s="8"/>
      <c r="D192" s="8"/>
    </row>
    <row r="193" spans="1:5" ht="18" customHeight="1" x14ac:dyDescent="0.25">
      <c r="A193" s="7"/>
      <c r="B193" s="8"/>
      <c r="C193" s="8"/>
      <c r="D193" s="8"/>
    </row>
    <row r="194" spans="1:5" ht="18" customHeight="1" x14ac:dyDescent="0.25">
      <c r="A194" s="7"/>
      <c r="B194" s="8"/>
      <c r="C194" s="8"/>
      <c r="D194" s="8"/>
    </row>
    <row r="195" spans="1:5" ht="18" customHeight="1" x14ac:dyDescent="0.25">
      <c r="A195" s="7"/>
      <c r="B195" s="8"/>
      <c r="C195" s="8"/>
      <c r="D195" s="8"/>
    </row>
    <row r="196" spans="1:5" ht="18" customHeight="1" x14ac:dyDescent="0.25">
      <c r="A196" s="7"/>
      <c r="B196" s="8"/>
      <c r="C196" s="8"/>
      <c r="D196" s="8"/>
    </row>
    <row r="197" spans="1:5" ht="18" customHeight="1" x14ac:dyDescent="0.25">
      <c r="A197" s="7"/>
      <c r="B197" s="8"/>
      <c r="C197" s="8"/>
      <c r="D197" s="8"/>
    </row>
    <row r="198" spans="1:5" ht="18.75" customHeight="1" x14ac:dyDescent="0.25">
      <c r="A198" s="7"/>
      <c r="B198" s="8"/>
      <c r="C198" s="8"/>
      <c r="D198" s="8"/>
    </row>
    <row r="199" spans="1:5" ht="18.75" customHeight="1" x14ac:dyDescent="0.25">
      <c r="A199" s="7"/>
      <c r="B199" s="8"/>
      <c r="C199" s="8"/>
      <c r="D199" s="8"/>
    </row>
    <row r="200" spans="1:5" ht="18.75" customHeight="1" x14ac:dyDescent="0.25">
      <c r="A200" s="7"/>
      <c r="B200" s="8"/>
      <c r="C200" s="8"/>
      <c r="D200" s="8"/>
    </row>
    <row r="201" spans="1:5" ht="18.75" customHeight="1" x14ac:dyDescent="0.25">
      <c r="B201" s="8"/>
      <c r="C201" s="8"/>
      <c r="D201" s="8"/>
    </row>
    <row r="202" spans="1:5" ht="18.75" customHeight="1" x14ac:dyDescent="0.25">
      <c r="B202" s="8"/>
      <c r="C202" s="8"/>
      <c r="D202" s="8"/>
    </row>
    <row r="203" spans="1:5" ht="18.75" customHeight="1" x14ac:dyDescent="0.25">
      <c r="A203" s="6"/>
      <c r="B203" s="8"/>
      <c r="C203" s="8"/>
      <c r="D203" s="8"/>
    </row>
    <row r="204" spans="1:5" ht="18.75" customHeight="1" x14ac:dyDescent="0.25">
      <c r="A204" s="6"/>
      <c r="B204" s="8"/>
      <c r="C204"/>
      <c r="D204"/>
    </row>
    <row r="205" spans="1:5" ht="18.75" customHeight="1" x14ac:dyDescent="0.25">
      <c r="A205" s="6"/>
      <c r="C205"/>
      <c r="D205"/>
    </row>
    <row r="206" spans="1:5" ht="18.75" customHeight="1" x14ac:dyDescent="0.25">
      <c r="A206" s="6"/>
      <c r="C206" s="5"/>
      <c r="D206" s="5"/>
      <c r="E206" s="5"/>
    </row>
    <row r="207" spans="1:5" ht="18.75" customHeight="1" x14ac:dyDescent="0.25">
      <c r="A207" s="6"/>
      <c r="B207" s="5"/>
      <c r="C207" s="5"/>
      <c r="D207" s="5"/>
      <c r="E207" s="5"/>
    </row>
    <row r="208" spans="1:5" ht="18.75" customHeight="1" x14ac:dyDescent="0.25">
      <c r="A208" s="6"/>
      <c r="B208" s="5"/>
      <c r="C208" s="5"/>
      <c r="D208" s="5"/>
      <c r="E208" s="5"/>
    </row>
    <row r="209" spans="1:5" ht="18.75" customHeight="1" x14ac:dyDescent="0.25">
      <c r="A209" s="6"/>
      <c r="B209" s="5"/>
      <c r="C209" s="5"/>
      <c r="D209" s="5"/>
      <c r="E209" s="5"/>
    </row>
    <row r="210" spans="1:5" ht="18.75" customHeight="1" x14ac:dyDescent="0.25">
      <c r="A210" s="6"/>
      <c r="B210" s="5"/>
      <c r="C210" s="5"/>
      <c r="D210" s="5"/>
      <c r="E210" s="5"/>
    </row>
    <row r="211" spans="1:5" ht="18.75" customHeight="1" x14ac:dyDescent="0.25">
      <c r="A211" s="6"/>
      <c r="B211" s="5"/>
      <c r="C211" s="5"/>
      <c r="D211" s="5"/>
      <c r="E211" s="5"/>
    </row>
    <row r="212" spans="1:5" ht="18.75" customHeight="1" x14ac:dyDescent="0.25">
      <c r="A212" s="6"/>
      <c r="B212" s="5"/>
      <c r="C212" s="5"/>
      <c r="D212" s="5"/>
      <c r="E212" s="5"/>
    </row>
    <row r="213" spans="1:5" ht="18.75" customHeight="1" x14ac:dyDescent="0.25">
      <c r="A213" s="6"/>
      <c r="B213" s="5"/>
      <c r="C213" s="5"/>
      <c r="D213" s="5"/>
      <c r="E213" s="5"/>
    </row>
    <row r="214" spans="1:5" ht="18.75" customHeight="1" x14ac:dyDescent="0.25">
      <c r="A214" s="6"/>
      <c r="B214" s="5"/>
      <c r="C214" s="5"/>
      <c r="D214" s="5"/>
      <c r="E214" s="5"/>
    </row>
    <row r="215" spans="1:5" ht="18.75" customHeight="1" x14ac:dyDescent="0.25">
      <c r="A215" s="6"/>
      <c r="B215" s="5"/>
      <c r="C215" s="5"/>
      <c r="D215" s="5"/>
      <c r="E215" s="5"/>
    </row>
    <row r="216" spans="1:5" ht="18.75" customHeight="1" x14ac:dyDescent="0.25">
      <c r="A216" s="6"/>
      <c r="B216" s="5"/>
      <c r="C216" s="5"/>
      <c r="D216" s="5"/>
      <c r="E216" s="5"/>
    </row>
    <row r="217" spans="1:5" ht="18.75" customHeight="1" x14ac:dyDescent="0.25">
      <c r="A217" s="6"/>
      <c r="B217" s="5"/>
      <c r="C217" s="5"/>
      <c r="D217" s="5"/>
      <c r="E217" s="5"/>
    </row>
    <row r="218" spans="1:5" ht="18.75" customHeight="1" x14ac:dyDescent="0.25">
      <c r="A218" s="6"/>
      <c r="B218" s="5"/>
      <c r="C218" s="5"/>
      <c r="D218" s="5"/>
      <c r="E218" s="5"/>
    </row>
    <row r="219" spans="1:5" ht="18.75" customHeight="1" x14ac:dyDescent="0.25">
      <c r="A219" s="6"/>
      <c r="B219" s="5"/>
      <c r="C219" s="5"/>
      <c r="D219" s="5"/>
      <c r="E219" s="5"/>
    </row>
    <row r="220" spans="1:5" ht="15.75" x14ac:dyDescent="0.25">
      <c r="A220" s="6"/>
      <c r="B220" s="5"/>
      <c r="C220" s="5"/>
      <c r="D220" s="5"/>
      <c r="E220" s="5"/>
    </row>
    <row r="221" spans="1:5" ht="15.75" x14ac:dyDescent="0.25">
      <c r="A221" s="6"/>
      <c r="B221" s="5"/>
      <c r="C221" s="5"/>
      <c r="D221" s="5"/>
      <c r="E221" s="5"/>
    </row>
    <row r="222" spans="1:5" ht="15.75" x14ac:dyDescent="0.25">
      <c r="A222" s="6"/>
      <c r="B222" s="5"/>
      <c r="C222" s="5"/>
      <c r="D222" s="5"/>
      <c r="E222" s="5"/>
    </row>
    <row r="223" spans="1:5" ht="19.5" customHeight="1" x14ac:dyDescent="0.25">
      <c r="A223" s="6"/>
      <c r="B223" s="5"/>
      <c r="C223" s="5"/>
      <c r="D223" s="5"/>
      <c r="E223" s="5"/>
    </row>
    <row r="224" spans="1:5" ht="15.75" x14ac:dyDescent="0.25">
      <c r="A224" s="6"/>
      <c r="B224" s="5"/>
      <c r="C224" s="5"/>
      <c r="D224" s="5"/>
      <c r="E224" s="5"/>
    </row>
    <row r="225" spans="1:5" ht="15.75" x14ac:dyDescent="0.25">
      <c r="A225" s="6"/>
      <c r="B225" s="5"/>
      <c r="C225" s="5"/>
      <c r="D225" s="5"/>
      <c r="E225" s="5"/>
    </row>
    <row r="226" spans="1:5" ht="16.5" customHeight="1" x14ac:dyDescent="0.25">
      <c r="A226" s="6"/>
      <c r="B226" s="5"/>
      <c r="C226" s="5"/>
      <c r="D226" s="5"/>
      <c r="E226" s="5"/>
    </row>
    <row r="227" spans="1:5" ht="15.75" x14ac:dyDescent="0.25">
      <c r="A227" s="6"/>
      <c r="B227" s="5"/>
      <c r="C227" s="5"/>
      <c r="D227" s="5"/>
      <c r="E227" s="5"/>
    </row>
    <row r="228" spans="1:5" ht="15.75" x14ac:dyDescent="0.25">
      <c r="B228" s="5"/>
      <c r="C228" s="5"/>
      <c r="D228" s="5"/>
      <c r="E228" s="5"/>
    </row>
    <row r="229" spans="1:5" ht="15.75" x14ac:dyDescent="0.25">
      <c r="B229" s="5"/>
      <c r="C229" s="5"/>
      <c r="D229" s="5"/>
      <c r="E229" s="5"/>
    </row>
    <row r="230" spans="1:5" ht="15.75" x14ac:dyDescent="0.25">
      <c r="B230" s="5"/>
      <c r="C230" s="5"/>
      <c r="D230" s="5"/>
      <c r="E230" s="5"/>
    </row>
    <row r="231" spans="1:5" ht="15.75" x14ac:dyDescent="0.25">
      <c r="B231" s="5"/>
      <c r="C231"/>
      <c r="D231"/>
    </row>
    <row r="232" spans="1:5" x14ac:dyDescent="0.25">
      <c r="C232"/>
      <c r="D232"/>
    </row>
    <row r="233" spans="1:5" x14ac:dyDescent="0.25">
      <c r="C233"/>
      <c r="D233"/>
    </row>
    <row r="234" spans="1:5" x14ac:dyDescent="0.25">
      <c r="C234"/>
      <c r="D234"/>
    </row>
    <row r="235" spans="1:5" ht="17.25" customHeight="1" x14ac:dyDescent="0.25">
      <c r="C235"/>
      <c r="D235"/>
    </row>
    <row r="236" spans="1:5" x14ac:dyDescent="0.25">
      <c r="C236"/>
      <c r="D236"/>
    </row>
    <row r="237" spans="1:5" x14ac:dyDescent="0.25">
      <c r="C237"/>
      <c r="D237"/>
    </row>
    <row r="238" spans="1:5" ht="19.5" customHeight="1" x14ac:dyDescent="0.25">
      <c r="C238"/>
      <c r="D238"/>
    </row>
    <row r="239" spans="1:5" x14ac:dyDescent="0.25">
      <c r="C239"/>
      <c r="D239"/>
    </row>
    <row r="240" spans="1:5" x14ac:dyDescent="0.25">
      <c r="C240"/>
      <c r="D240"/>
    </row>
    <row r="241" spans="3:4" x14ac:dyDescent="0.25">
      <c r="C241"/>
      <c r="D241"/>
    </row>
    <row r="242" spans="3:4" x14ac:dyDescent="0.25">
      <c r="C242"/>
      <c r="D242"/>
    </row>
    <row r="243" spans="3:4" x14ac:dyDescent="0.25">
      <c r="C243"/>
      <c r="D243"/>
    </row>
    <row r="244" spans="3:4" x14ac:dyDescent="0.25">
      <c r="C244"/>
      <c r="D244"/>
    </row>
    <row r="245" spans="3:4" x14ac:dyDescent="0.25">
      <c r="C245"/>
      <c r="D245"/>
    </row>
    <row r="246" spans="3:4" x14ac:dyDescent="0.25">
      <c r="C246"/>
      <c r="D246"/>
    </row>
    <row r="247" spans="3:4" x14ac:dyDescent="0.25">
      <c r="C247"/>
      <c r="D247"/>
    </row>
    <row r="248" spans="3:4" x14ac:dyDescent="0.25">
      <c r="C248"/>
      <c r="D248"/>
    </row>
    <row r="249" spans="3:4" x14ac:dyDescent="0.25">
      <c r="C249"/>
      <c r="D249"/>
    </row>
    <row r="250" spans="3:4" x14ac:dyDescent="0.25">
      <c r="C250"/>
      <c r="D250"/>
    </row>
    <row r="251" spans="3:4" x14ac:dyDescent="0.25">
      <c r="C251"/>
      <c r="D251"/>
    </row>
    <row r="252" spans="3:4" x14ac:dyDescent="0.25">
      <c r="C252"/>
      <c r="D252"/>
    </row>
    <row r="253" spans="3:4" x14ac:dyDescent="0.25">
      <c r="C253"/>
      <c r="D253"/>
    </row>
    <row r="254" spans="3:4" x14ac:dyDescent="0.25">
      <c r="C254"/>
      <c r="D254"/>
    </row>
    <row r="255" spans="3:4" x14ac:dyDescent="0.25">
      <c r="C255"/>
      <c r="D255"/>
    </row>
    <row r="256" spans="3:4" x14ac:dyDescent="0.25">
      <c r="C256"/>
      <c r="D256"/>
    </row>
    <row r="257" spans="3:4" x14ac:dyDescent="0.25">
      <c r="C257"/>
      <c r="D257"/>
    </row>
  </sheetData>
  <mergeCells count="222">
    <mergeCell ref="C159:C161"/>
    <mergeCell ref="D159:D161"/>
    <mergeCell ref="B159:B161"/>
    <mergeCell ref="A159:A161"/>
    <mergeCell ref="A153:A155"/>
    <mergeCell ref="B153:B155"/>
    <mergeCell ref="D153:D155"/>
    <mergeCell ref="C153:C155"/>
    <mergeCell ref="C156:C158"/>
    <mergeCell ref="D156:D158"/>
    <mergeCell ref="B156:B158"/>
    <mergeCell ref="A156:A158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41:A143"/>
    <mergeCell ref="B141:B143"/>
    <mergeCell ref="C141:C143"/>
    <mergeCell ref="D141:D143"/>
    <mergeCell ref="A144:A146"/>
    <mergeCell ref="B144:B146"/>
    <mergeCell ref="C144:C146"/>
    <mergeCell ref="D144:D146"/>
    <mergeCell ref="A135:A137"/>
    <mergeCell ref="B135:B137"/>
    <mergeCell ref="C135:C137"/>
    <mergeCell ref="D135:D137"/>
    <mergeCell ref="A138:A140"/>
    <mergeCell ref="B138:B140"/>
    <mergeCell ref="C138:C140"/>
    <mergeCell ref="D138:D140"/>
    <mergeCell ref="A129:A131"/>
    <mergeCell ref="B129:B131"/>
    <mergeCell ref="C129:C131"/>
    <mergeCell ref="D129:D131"/>
    <mergeCell ref="A132:A134"/>
    <mergeCell ref="B132:B134"/>
    <mergeCell ref="C132:C134"/>
    <mergeCell ref="D132:D134"/>
    <mergeCell ref="A123:A125"/>
    <mergeCell ref="B123:B125"/>
    <mergeCell ref="C123:C125"/>
    <mergeCell ref="D123:D125"/>
    <mergeCell ref="A126:A128"/>
    <mergeCell ref="B126:B128"/>
    <mergeCell ref="C126:C128"/>
    <mergeCell ref="D126:D128"/>
    <mergeCell ref="A117:A119"/>
    <mergeCell ref="B117:B119"/>
    <mergeCell ref="C117:C119"/>
    <mergeCell ref="D117:D119"/>
    <mergeCell ref="A120:A122"/>
    <mergeCell ref="B120:B122"/>
    <mergeCell ref="C120:C122"/>
    <mergeCell ref="D120:D122"/>
    <mergeCell ref="A111:A113"/>
    <mergeCell ref="B111:B113"/>
    <mergeCell ref="C111:C113"/>
    <mergeCell ref="D111:D113"/>
    <mergeCell ref="A114:A116"/>
    <mergeCell ref="B114:B116"/>
    <mergeCell ref="C114:C116"/>
    <mergeCell ref="D114:D116"/>
    <mergeCell ref="A105:A107"/>
    <mergeCell ref="B105:B107"/>
    <mergeCell ref="C105:C107"/>
    <mergeCell ref="D105:D107"/>
    <mergeCell ref="A108:A110"/>
    <mergeCell ref="B108:B110"/>
    <mergeCell ref="C108:C110"/>
    <mergeCell ref="D108:D110"/>
    <mergeCell ref="A99:A101"/>
    <mergeCell ref="B99:B101"/>
    <mergeCell ref="C99:C101"/>
    <mergeCell ref="D99:D101"/>
    <mergeCell ref="A102:A104"/>
    <mergeCell ref="B102:B104"/>
    <mergeCell ref="C102:C104"/>
    <mergeCell ref="D102:D104"/>
    <mergeCell ref="A93:A95"/>
    <mergeCell ref="B93:B95"/>
    <mergeCell ref="C93:C95"/>
    <mergeCell ref="D93:D95"/>
    <mergeCell ref="A96:A98"/>
    <mergeCell ref="B96:B98"/>
    <mergeCell ref="C96:C98"/>
    <mergeCell ref="D96:D98"/>
    <mergeCell ref="A87:A89"/>
    <mergeCell ref="B87:B89"/>
    <mergeCell ref="C87:C89"/>
    <mergeCell ref="D87:D89"/>
    <mergeCell ref="A90:A92"/>
    <mergeCell ref="B90:B92"/>
    <mergeCell ref="C90:C92"/>
    <mergeCell ref="D90:D92"/>
    <mergeCell ref="A81:A83"/>
    <mergeCell ref="B81:B83"/>
    <mergeCell ref="C81:C83"/>
    <mergeCell ref="D81:D83"/>
    <mergeCell ref="A84:A86"/>
    <mergeCell ref="B84:B86"/>
    <mergeCell ref="C84:C86"/>
    <mergeCell ref="D84:D86"/>
    <mergeCell ref="A75:A77"/>
    <mergeCell ref="B75:B77"/>
    <mergeCell ref="C75:C77"/>
    <mergeCell ref="D75:D77"/>
    <mergeCell ref="A78:A80"/>
    <mergeCell ref="B78:B80"/>
    <mergeCell ref="C78:C80"/>
    <mergeCell ref="D78:D80"/>
    <mergeCell ref="A69:A71"/>
    <mergeCell ref="B69:B71"/>
    <mergeCell ref="C69:C71"/>
    <mergeCell ref="D69:D71"/>
    <mergeCell ref="A72:A74"/>
    <mergeCell ref="B72:B74"/>
    <mergeCell ref="C72:C74"/>
    <mergeCell ref="D72:D74"/>
    <mergeCell ref="A63:A65"/>
    <mergeCell ref="B63:B65"/>
    <mergeCell ref="C63:C65"/>
    <mergeCell ref="D63:D65"/>
    <mergeCell ref="A66:A68"/>
    <mergeCell ref="B66:B68"/>
    <mergeCell ref="C66:C68"/>
    <mergeCell ref="D66:D68"/>
    <mergeCell ref="A57:A59"/>
    <mergeCell ref="B57:B59"/>
    <mergeCell ref="C57:C59"/>
    <mergeCell ref="D57:D59"/>
    <mergeCell ref="A60:A62"/>
    <mergeCell ref="B60:B62"/>
    <mergeCell ref="C60:C62"/>
    <mergeCell ref="D60:D62"/>
    <mergeCell ref="A51:A53"/>
    <mergeCell ref="B51:B53"/>
    <mergeCell ref="C51:C53"/>
    <mergeCell ref="D51:D53"/>
    <mergeCell ref="A54:A56"/>
    <mergeCell ref="B54:B56"/>
    <mergeCell ref="C54:C56"/>
    <mergeCell ref="D54:D56"/>
    <mergeCell ref="A45:A47"/>
    <mergeCell ref="B45:B47"/>
    <mergeCell ref="C45:C47"/>
    <mergeCell ref="D45:D47"/>
    <mergeCell ref="A48:A50"/>
    <mergeCell ref="B48:B50"/>
    <mergeCell ref="C48:C50"/>
    <mergeCell ref="D48:D50"/>
    <mergeCell ref="A39:A41"/>
    <mergeCell ref="B39:B41"/>
    <mergeCell ref="C39:C41"/>
    <mergeCell ref="D39:D41"/>
    <mergeCell ref="A42:A44"/>
    <mergeCell ref="B42:B44"/>
    <mergeCell ref="C42:C44"/>
    <mergeCell ref="D42:D44"/>
    <mergeCell ref="A33:A35"/>
    <mergeCell ref="B33:B35"/>
    <mergeCell ref="C33:C35"/>
    <mergeCell ref="D33:D35"/>
    <mergeCell ref="A36:A38"/>
    <mergeCell ref="B36:B38"/>
    <mergeCell ref="C36:C38"/>
    <mergeCell ref="D36:D38"/>
    <mergeCell ref="A27:A29"/>
    <mergeCell ref="B27:B29"/>
    <mergeCell ref="C27:C29"/>
    <mergeCell ref="D27:D29"/>
    <mergeCell ref="A30:A32"/>
    <mergeCell ref="B30:B32"/>
    <mergeCell ref="C30:C32"/>
    <mergeCell ref="D30:D32"/>
    <mergeCell ref="A21:A23"/>
    <mergeCell ref="B21:B23"/>
    <mergeCell ref="C21:C23"/>
    <mergeCell ref="D21:D23"/>
    <mergeCell ref="A24:A26"/>
    <mergeCell ref="B24:B26"/>
    <mergeCell ref="C24:C26"/>
    <mergeCell ref="D24:D26"/>
    <mergeCell ref="A18:A20"/>
    <mergeCell ref="B18:B20"/>
    <mergeCell ref="A9:A11"/>
    <mergeCell ref="B9:B11"/>
    <mergeCell ref="C9:C11"/>
    <mergeCell ref="D9:D11"/>
    <mergeCell ref="A12:A14"/>
    <mergeCell ref="B12:B14"/>
    <mergeCell ref="C12:C14"/>
    <mergeCell ref="D12:D14"/>
    <mergeCell ref="C18:C20"/>
    <mergeCell ref="D18:D20"/>
    <mergeCell ref="A1:W1"/>
    <mergeCell ref="A3:W3"/>
    <mergeCell ref="A6:A8"/>
    <mergeCell ref="B6:B8"/>
    <mergeCell ref="C6:C8"/>
    <mergeCell ref="D6:D8"/>
    <mergeCell ref="A15:A17"/>
    <mergeCell ref="B15:B17"/>
    <mergeCell ref="C15:C17"/>
    <mergeCell ref="D15:D17"/>
    <mergeCell ref="A162:A164"/>
    <mergeCell ref="B162:B164"/>
    <mergeCell ref="C162:C164"/>
    <mergeCell ref="D162:D164"/>
    <mergeCell ref="A165:A167"/>
    <mergeCell ref="B165:B167"/>
    <mergeCell ref="C165:C167"/>
    <mergeCell ref="D165:D167"/>
    <mergeCell ref="A168:A170"/>
    <mergeCell ref="B168:B170"/>
    <mergeCell ref="C168:C170"/>
    <mergeCell ref="D168:D170"/>
  </mergeCells>
  <pageMargins left="0.7" right="0.7" top="0.75" bottom="0.75" header="0.3" footer="0.3"/>
  <pageSetup paperSize="9" scale="72" fitToHeight="0" orientation="landscape" r:id="rId1"/>
  <ignoredErrors>
    <ignoredError sqref="U8:U170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workbookViewId="0">
      <selection activeCell="B4" sqref="B4:B54"/>
    </sheetView>
  </sheetViews>
  <sheetFormatPr defaultRowHeight="15" x14ac:dyDescent="0.25"/>
  <cols>
    <col min="1" max="1" width="6.7109375" style="10" customWidth="1"/>
    <col min="2" max="2" width="35.140625" bestFit="1" customWidth="1"/>
    <col min="3" max="3" width="4.7109375" customWidth="1"/>
    <col min="4" max="4" width="4.140625" customWidth="1"/>
    <col min="5" max="17" width="6.7109375" customWidth="1"/>
    <col min="18" max="22" width="6.7109375" style="10" customWidth="1"/>
  </cols>
  <sheetData>
    <row r="1" spans="1:22" ht="20.25" x14ac:dyDescent="0.25">
      <c r="A1" s="222" t="s">
        <v>55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4"/>
    </row>
    <row r="2" spans="1:22" ht="18" thickBot="1" x14ac:dyDescent="0.3">
      <c r="A2" s="225" t="s">
        <v>37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</row>
    <row r="3" spans="1:22" ht="67.5" customHeight="1" thickBot="1" x14ac:dyDescent="0.3">
      <c r="A3" s="13" t="s">
        <v>24</v>
      </c>
      <c r="B3" s="14" t="s">
        <v>1</v>
      </c>
      <c r="C3" s="15" t="s">
        <v>2</v>
      </c>
      <c r="D3" s="14" t="s">
        <v>3</v>
      </c>
      <c r="E3" s="53" t="s">
        <v>4</v>
      </c>
      <c r="F3" s="53" t="s">
        <v>5</v>
      </c>
      <c r="G3" s="53" t="s">
        <v>6</v>
      </c>
      <c r="H3" s="53" t="s">
        <v>7</v>
      </c>
      <c r="I3" s="53" t="s">
        <v>8</v>
      </c>
      <c r="J3" s="53" t="s">
        <v>9</v>
      </c>
      <c r="K3" s="53" t="s">
        <v>11</v>
      </c>
      <c r="L3" s="53" t="s">
        <v>10</v>
      </c>
      <c r="M3" s="55" t="s">
        <v>69</v>
      </c>
      <c r="N3" s="55" t="s">
        <v>13</v>
      </c>
      <c r="O3" s="55" t="s">
        <v>65</v>
      </c>
      <c r="P3" s="53" t="s">
        <v>14</v>
      </c>
      <c r="Q3" s="53" t="s">
        <v>66</v>
      </c>
      <c r="R3" s="19" t="s">
        <v>15</v>
      </c>
      <c r="S3" s="17" t="s">
        <v>16</v>
      </c>
      <c r="T3" s="17" t="s">
        <v>17</v>
      </c>
      <c r="U3" s="18" t="s">
        <v>18</v>
      </c>
      <c r="V3" s="20" t="s">
        <v>19</v>
      </c>
    </row>
    <row r="4" spans="1:22" ht="20.100000000000001" customHeight="1" x14ac:dyDescent="0.25">
      <c r="A4" s="163">
        <v>1</v>
      </c>
      <c r="B4" s="141"/>
      <c r="C4" s="145">
        <v>15</v>
      </c>
      <c r="D4" s="145" t="s">
        <v>23</v>
      </c>
      <c r="E4" s="107">
        <v>79</v>
      </c>
      <c r="F4" s="38">
        <v>78</v>
      </c>
      <c r="G4" s="38">
        <v>64</v>
      </c>
      <c r="H4" s="38">
        <v>64</v>
      </c>
      <c r="I4" s="70">
        <v>56</v>
      </c>
      <c r="J4" s="38">
        <v>68</v>
      </c>
      <c r="K4" s="38">
        <v>64</v>
      </c>
      <c r="L4" s="38">
        <v>66</v>
      </c>
      <c r="M4" s="38">
        <v>73</v>
      </c>
      <c r="N4" s="38">
        <v>87</v>
      </c>
      <c r="O4" s="38">
        <v>68</v>
      </c>
      <c r="P4" s="107">
        <v>93</v>
      </c>
      <c r="Q4" s="107">
        <v>87</v>
      </c>
      <c r="R4" s="45">
        <f>SUM(E4:Q4)</f>
        <v>947</v>
      </c>
      <c r="S4" s="25">
        <f>AVERAGE(E4:Q4)</f>
        <v>72.84615384615384</v>
      </c>
      <c r="T4" s="11">
        <f>RANK(S4,$S$4:$S$54)</f>
        <v>28</v>
      </c>
      <c r="U4" s="16"/>
      <c r="V4" s="16"/>
    </row>
    <row r="5" spans="1:22" ht="20.100000000000001" customHeight="1" x14ac:dyDescent="0.25">
      <c r="A5" s="155">
        <v>2</v>
      </c>
      <c r="B5" s="141"/>
      <c r="C5" s="145">
        <v>15</v>
      </c>
      <c r="D5" s="145" t="s">
        <v>23</v>
      </c>
      <c r="E5" s="107">
        <v>71</v>
      </c>
      <c r="F5" s="38">
        <v>52</v>
      </c>
      <c r="G5" s="38">
        <v>70</v>
      </c>
      <c r="H5" s="38">
        <v>55</v>
      </c>
      <c r="I5" s="70">
        <v>48</v>
      </c>
      <c r="J5" s="38">
        <v>58</v>
      </c>
      <c r="K5" s="38">
        <v>56</v>
      </c>
      <c r="L5" s="38">
        <v>58</v>
      </c>
      <c r="M5" s="38">
        <v>63</v>
      </c>
      <c r="N5" s="38">
        <v>88</v>
      </c>
      <c r="O5" s="38">
        <v>56</v>
      </c>
      <c r="P5" s="107">
        <v>80</v>
      </c>
      <c r="Q5" s="107">
        <v>72</v>
      </c>
      <c r="R5" s="45">
        <f t="shared" ref="R5:R54" si="0">SUM(E5:Q5)</f>
        <v>827</v>
      </c>
      <c r="S5" s="25">
        <f t="shared" ref="S5:S54" si="1">AVERAGE(E5:Q5)</f>
        <v>63.615384615384613</v>
      </c>
      <c r="T5" s="11">
        <f t="shared" ref="T5:T54" si="2">RANK(S5,$S$4:$S$54)</f>
        <v>42</v>
      </c>
      <c r="U5" s="11"/>
      <c r="V5" s="11"/>
    </row>
    <row r="6" spans="1:22" ht="20.100000000000001" customHeight="1" x14ac:dyDescent="0.25">
      <c r="A6" s="156">
        <v>3</v>
      </c>
      <c r="B6" s="141"/>
      <c r="C6" s="145">
        <v>17</v>
      </c>
      <c r="D6" s="145" t="s">
        <v>20</v>
      </c>
      <c r="E6" s="107">
        <v>96</v>
      </c>
      <c r="F6" s="38">
        <v>94</v>
      </c>
      <c r="G6" s="38">
        <v>100</v>
      </c>
      <c r="H6" s="38">
        <v>100</v>
      </c>
      <c r="I6" s="70">
        <v>96</v>
      </c>
      <c r="J6" s="38">
        <v>97</v>
      </c>
      <c r="K6" s="38">
        <v>90</v>
      </c>
      <c r="L6" s="38">
        <v>96</v>
      </c>
      <c r="M6" s="38">
        <v>93</v>
      </c>
      <c r="N6" s="38">
        <v>100</v>
      </c>
      <c r="O6" s="38">
        <v>98</v>
      </c>
      <c r="P6" s="107">
        <v>96</v>
      </c>
      <c r="Q6" s="107">
        <v>98</v>
      </c>
      <c r="R6" s="45">
        <f t="shared" si="0"/>
        <v>1254</v>
      </c>
      <c r="S6" s="25">
        <f t="shared" si="1"/>
        <v>96.461538461538467</v>
      </c>
      <c r="T6" s="11">
        <f t="shared" si="2"/>
        <v>1</v>
      </c>
      <c r="U6" s="11"/>
      <c r="V6" s="11"/>
    </row>
    <row r="7" spans="1:22" ht="20.100000000000001" customHeight="1" x14ac:dyDescent="0.25">
      <c r="A7" s="155">
        <v>4</v>
      </c>
      <c r="B7" s="141"/>
      <c r="C7" s="145">
        <v>15</v>
      </c>
      <c r="D7" s="145" t="s">
        <v>23</v>
      </c>
      <c r="E7" s="107">
        <v>81</v>
      </c>
      <c r="F7" s="38">
        <v>90</v>
      </c>
      <c r="G7" s="38">
        <v>98</v>
      </c>
      <c r="H7" s="38">
        <v>98</v>
      </c>
      <c r="I7" s="70">
        <v>85</v>
      </c>
      <c r="J7" s="38">
        <v>95</v>
      </c>
      <c r="K7" s="38">
        <v>95</v>
      </c>
      <c r="L7" s="38">
        <v>99</v>
      </c>
      <c r="M7" s="38">
        <v>99</v>
      </c>
      <c r="N7" s="38">
        <v>100</v>
      </c>
      <c r="O7" s="38">
        <v>95</v>
      </c>
      <c r="P7" s="107">
        <v>95</v>
      </c>
      <c r="Q7" s="107">
        <v>95</v>
      </c>
      <c r="R7" s="45">
        <f t="shared" si="0"/>
        <v>1225</v>
      </c>
      <c r="S7" s="25">
        <f t="shared" si="1"/>
        <v>94.230769230769226</v>
      </c>
      <c r="T7" s="11">
        <f t="shared" si="2"/>
        <v>2</v>
      </c>
      <c r="U7" s="11"/>
      <c r="V7" s="11"/>
    </row>
    <row r="8" spans="1:22" ht="20.100000000000001" customHeight="1" x14ac:dyDescent="0.25">
      <c r="A8" s="155">
        <v>5</v>
      </c>
      <c r="B8" s="141"/>
      <c r="C8" s="145">
        <v>14</v>
      </c>
      <c r="D8" s="145" t="s">
        <v>20</v>
      </c>
      <c r="E8" s="107">
        <v>80</v>
      </c>
      <c r="F8" s="38">
        <v>80</v>
      </c>
      <c r="G8" s="38">
        <v>88</v>
      </c>
      <c r="H8" s="38">
        <v>67</v>
      </c>
      <c r="I8" s="70">
        <v>76</v>
      </c>
      <c r="J8" s="38">
        <v>78</v>
      </c>
      <c r="K8" s="38">
        <v>78</v>
      </c>
      <c r="L8" s="38">
        <v>68</v>
      </c>
      <c r="M8" s="38">
        <v>79</v>
      </c>
      <c r="N8" s="38">
        <v>92</v>
      </c>
      <c r="O8" s="38">
        <v>83</v>
      </c>
      <c r="P8" s="107">
        <v>67</v>
      </c>
      <c r="Q8" s="107">
        <v>87</v>
      </c>
      <c r="R8" s="45">
        <f t="shared" si="0"/>
        <v>1023</v>
      </c>
      <c r="S8" s="25">
        <f t="shared" si="1"/>
        <v>78.692307692307693</v>
      </c>
      <c r="T8" s="11">
        <f t="shared" si="2"/>
        <v>17</v>
      </c>
      <c r="U8" s="11"/>
      <c r="V8" s="11"/>
    </row>
    <row r="9" spans="1:22" ht="20.100000000000001" customHeight="1" x14ac:dyDescent="0.25">
      <c r="A9" s="156">
        <v>6</v>
      </c>
      <c r="B9" s="141"/>
      <c r="C9" s="145">
        <v>16</v>
      </c>
      <c r="D9" s="145" t="s">
        <v>20</v>
      </c>
      <c r="E9" s="107">
        <v>85</v>
      </c>
      <c r="F9" s="38">
        <v>73</v>
      </c>
      <c r="G9" s="38">
        <v>66</v>
      </c>
      <c r="H9" s="38">
        <v>63</v>
      </c>
      <c r="I9" s="70">
        <v>67</v>
      </c>
      <c r="J9" s="38">
        <v>79</v>
      </c>
      <c r="K9" s="38">
        <v>76</v>
      </c>
      <c r="L9" s="38">
        <v>80</v>
      </c>
      <c r="M9" s="38">
        <v>85</v>
      </c>
      <c r="N9" s="38">
        <v>75</v>
      </c>
      <c r="O9" s="38">
        <v>92</v>
      </c>
      <c r="P9" s="107">
        <v>92</v>
      </c>
      <c r="Q9" s="107">
        <v>81</v>
      </c>
      <c r="R9" s="45">
        <f t="shared" si="0"/>
        <v>1014</v>
      </c>
      <c r="S9" s="25">
        <f t="shared" si="1"/>
        <v>78</v>
      </c>
      <c r="T9" s="11">
        <f t="shared" si="2"/>
        <v>18</v>
      </c>
      <c r="U9" s="11"/>
      <c r="V9" s="11"/>
    </row>
    <row r="10" spans="1:22" ht="20.100000000000001" customHeight="1" x14ac:dyDescent="0.25">
      <c r="A10" s="155">
        <v>7</v>
      </c>
      <c r="B10" s="141"/>
      <c r="C10" s="145">
        <v>15</v>
      </c>
      <c r="D10" s="145" t="s">
        <v>23</v>
      </c>
      <c r="E10" s="107">
        <v>88</v>
      </c>
      <c r="F10" s="38">
        <v>95</v>
      </c>
      <c r="G10" s="38">
        <v>97</v>
      </c>
      <c r="H10" s="38">
        <v>95</v>
      </c>
      <c r="I10" s="70">
        <v>79</v>
      </c>
      <c r="J10" s="38">
        <v>93</v>
      </c>
      <c r="K10" s="38">
        <v>93</v>
      </c>
      <c r="L10" s="38">
        <v>82</v>
      </c>
      <c r="M10" s="38">
        <v>96</v>
      </c>
      <c r="N10" s="38">
        <v>100</v>
      </c>
      <c r="O10" s="38">
        <v>92</v>
      </c>
      <c r="P10" s="107">
        <v>97</v>
      </c>
      <c r="Q10" s="107">
        <v>91</v>
      </c>
      <c r="R10" s="45">
        <f t="shared" si="0"/>
        <v>1198</v>
      </c>
      <c r="S10" s="25">
        <f t="shared" si="1"/>
        <v>92.15384615384616</v>
      </c>
      <c r="T10" s="11">
        <f t="shared" si="2"/>
        <v>4</v>
      </c>
      <c r="U10" s="11"/>
      <c r="V10" s="11"/>
    </row>
    <row r="11" spans="1:22" ht="20.100000000000001" customHeight="1" x14ac:dyDescent="0.25">
      <c r="A11" s="155">
        <v>8</v>
      </c>
      <c r="B11" s="141"/>
      <c r="C11" s="145">
        <v>15</v>
      </c>
      <c r="D11" s="145" t="s">
        <v>23</v>
      </c>
      <c r="E11" s="107">
        <v>73</v>
      </c>
      <c r="F11" s="38">
        <v>76</v>
      </c>
      <c r="G11" s="38">
        <v>61</v>
      </c>
      <c r="H11" s="38">
        <v>43</v>
      </c>
      <c r="I11" s="70">
        <v>50</v>
      </c>
      <c r="J11" s="38">
        <v>69</v>
      </c>
      <c r="K11" s="38">
        <v>52</v>
      </c>
      <c r="L11" s="38">
        <v>65</v>
      </c>
      <c r="M11" s="38">
        <v>82</v>
      </c>
      <c r="N11" s="38">
        <v>72</v>
      </c>
      <c r="O11" s="38">
        <v>82</v>
      </c>
      <c r="P11" s="107">
        <v>95</v>
      </c>
      <c r="Q11" s="107">
        <v>60</v>
      </c>
      <c r="R11" s="45">
        <f t="shared" si="0"/>
        <v>880</v>
      </c>
      <c r="S11" s="25">
        <f t="shared" si="1"/>
        <v>67.692307692307693</v>
      </c>
      <c r="T11" s="11">
        <f t="shared" si="2"/>
        <v>33</v>
      </c>
      <c r="U11" s="11"/>
      <c r="V11" s="11"/>
    </row>
    <row r="12" spans="1:22" ht="20.100000000000001" customHeight="1" x14ac:dyDescent="0.25">
      <c r="A12" s="156">
        <v>9</v>
      </c>
      <c r="B12" s="141"/>
      <c r="C12" s="145">
        <v>16</v>
      </c>
      <c r="D12" s="145" t="s">
        <v>23</v>
      </c>
      <c r="E12" s="107">
        <v>70</v>
      </c>
      <c r="F12" s="38">
        <v>66</v>
      </c>
      <c r="G12" s="38">
        <v>74</v>
      </c>
      <c r="H12" s="38">
        <v>51</v>
      </c>
      <c r="I12" s="70">
        <v>55</v>
      </c>
      <c r="J12" s="38">
        <v>66</v>
      </c>
      <c r="K12" s="38">
        <v>63</v>
      </c>
      <c r="L12" s="38">
        <v>65</v>
      </c>
      <c r="M12" s="38">
        <v>75</v>
      </c>
      <c r="N12" s="38">
        <v>74</v>
      </c>
      <c r="O12" s="38">
        <v>66</v>
      </c>
      <c r="P12" s="107">
        <v>81</v>
      </c>
      <c r="Q12" s="107">
        <v>60</v>
      </c>
      <c r="R12" s="45">
        <f t="shared" si="0"/>
        <v>866</v>
      </c>
      <c r="S12" s="25">
        <f t="shared" si="1"/>
        <v>66.615384615384613</v>
      </c>
      <c r="T12" s="11">
        <f t="shared" si="2"/>
        <v>36</v>
      </c>
      <c r="U12" s="11"/>
      <c r="V12" s="11"/>
    </row>
    <row r="13" spans="1:22" ht="20.100000000000001" customHeight="1" x14ac:dyDescent="0.25">
      <c r="A13" s="155">
        <v>10</v>
      </c>
      <c r="B13" s="141"/>
      <c r="C13" s="145">
        <v>16</v>
      </c>
      <c r="D13" s="145" t="s">
        <v>20</v>
      </c>
      <c r="E13" s="107">
        <v>63</v>
      </c>
      <c r="F13" s="38">
        <v>45</v>
      </c>
      <c r="G13" s="38">
        <v>61</v>
      </c>
      <c r="H13" s="38">
        <v>53</v>
      </c>
      <c r="I13" s="70">
        <v>47</v>
      </c>
      <c r="J13" s="38">
        <v>58</v>
      </c>
      <c r="K13" s="38">
        <v>56</v>
      </c>
      <c r="L13" s="38">
        <v>52</v>
      </c>
      <c r="M13" s="38">
        <v>51</v>
      </c>
      <c r="N13" s="38">
        <v>58</v>
      </c>
      <c r="O13" s="38">
        <v>59</v>
      </c>
      <c r="P13" s="107">
        <v>79</v>
      </c>
      <c r="Q13" s="107">
        <v>59</v>
      </c>
      <c r="R13" s="45">
        <f t="shared" si="0"/>
        <v>741</v>
      </c>
      <c r="S13" s="25">
        <f t="shared" si="1"/>
        <v>57</v>
      </c>
      <c r="T13" s="11">
        <f t="shared" si="2"/>
        <v>49</v>
      </c>
      <c r="U13" s="11"/>
      <c r="V13" s="11"/>
    </row>
    <row r="14" spans="1:22" ht="20.100000000000001" customHeight="1" x14ac:dyDescent="0.25">
      <c r="A14" s="156">
        <v>11</v>
      </c>
      <c r="B14" s="141"/>
      <c r="C14" s="145">
        <v>15</v>
      </c>
      <c r="D14" s="145" t="s">
        <v>23</v>
      </c>
      <c r="E14" s="107">
        <v>77</v>
      </c>
      <c r="F14" s="38">
        <v>81</v>
      </c>
      <c r="G14" s="38">
        <v>60</v>
      </c>
      <c r="H14" s="38">
        <v>61</v>
      </c>
      <c r="I14" s="70">
        <v>62</v>
      </c>
      <c r="J14" s="38">
        <v>80</v>
      </c>
      <c r="K14" s="38">
        <v>82</v>
      </c>
      <c r="L14" s="38">
        <v>71</v>
      </c>
      <c r="M14" s="38">
        <v>89</v>
      </c>
      <c r="N14" s="38">
        <v>75</v>
      </c>
      <c r="O14" s="38">
        <v>79</v>
      </c>
      <c r="P14" s="107">
        <v>78</v>
      </c>
      <c r="Q14" s="107">
        <v>100</v>
      </c>
      <c r="R14" s="45">
        <f t="shared" si="0"/>
        <v>995</v>
      </c>
      <c r="S14" s="25">
        <f t="shared" si="1"/>
        <v>76.538461538461533</v>
      </c>
      <c r="T14" s="11">
        <f t="shared" si="2"/>
        <v>21</v>
      </c>
      <c r="U14" s="11"/>
      <c r="V14" s="11"/>
    </row>
    <row r="15" spans="1:22" ht="20.100000000000001" customHeight="1" x14ac:dyDescent="0.25">
      <c r="A15" s="156">
        <v>12</v>
      </c>
      <c r="B15" s="141"/>
      <c r="C15" s="145">
        <v>15</v>
      </c>
      <c r="D15" s="145" t="s">
        <v>20</v>
      </c>
      <c r="E15" s="107">
        <v>66</v>
      </c>
      <c r="F15" s="38">
        <v>53</v>
      </c>
      <c r="G15" s="38">
        <v>63</v>
      </c>
      <c r="H15" s="38">
        <v>45</v>
      </c>
      <c r="I15" s="70">
        <v>40</v>
      </c>
      <c r="J15" s="38">
        <v>55</v>
      </c>
      <c r="K15" s="38">
        <v>54</v>
      </c>
      <c r="L15" s="38">
        <v>52</v>
      </c>
      <c r="M15" s="38">
        <v>61</v>
      </c>
      <c r="N15" s="38">
        <v>74</v>
      </c>
      <c r="O15" s="38">
        <v>60</v>
      </c>
      <c r="P15" s="107">
        <v>86</v>
      </c>
      <c r="Q15" s="107">
        <v>65</v>
      </c>
      <c r="R15" s="45">
        <f t="shared" si="0"/>
        <v>774</v>
      </c>
      <c r="S15" s="25">
        <f t="shared" si="1"/>
        <v>59.53846153846154</v>
      </c>
      <c r="T15" s="11">
        <f t="shared" si="2"/>
        <v>44</v>
      </c>
      <c r="U15" s="11"/>
      <c r="V15" s="11"/>
    </row>
    <row r="16" spans="1:22" ht="20.100000000000001" customHeight="1" x14ac:dyDescent="0.25">
      <c r="A16" s="156">
        <v>13</v>
      </c>
      <c r="B16" s="141"/>
      <c r="C16" s="145">
        <v>16</v>
      </c>
      <c r="D16" s="145" t="s">
        <v>23</v>
      </c>
      <c r="E16" s="107">
        <v>84</v>
      </c>
      <c r="F16" s="38">
        <v>62</v>
      </c>
      <c r="G16" s="38">
        <v>65</v>
      </c>
      <c r="H16" s="38">
        <v>62</v>
      </c>
      <c r="I16" s="70">
        <v>54</v>
      </c>
      <c r="J16" s="38">
        <v>67</v>
      </c>
      <c r="K16" s="38">
        <v>64</v>
      </c>
      <c r="L16" s="38">
        <v>66</v>
      </c>
      <c r="M16" s="38">
        <v>82</v>
      </c>
      <c r="N16" s="38">
        <v>80</v>
      </c>
      <c r="O16" s="38">
        <v>76</v>
      </c>
      <c r="P16" s="107">
        <v>86</v>
      </c>
      <c r="Q16" s="107">
        <v>75</v>
      </c>
      <c r="R16" s="45">
        <f t="shared" si="0"/>
        <v>923</v>
      </c>
      <c r="S16" s="25">
        <f t="shared" si="1"/>
        <v>71</v>
      </c>
      <c r="T16" s="11">
        <f t="shared" si="2"/>
        <v>30</v>
      </c>
      <c r="U16" s="11"/>
      <c r="V16" s="11"/>
    </row>
    <row r="17" spans="1:22" ht="20.100000000000001" customHeight="1" x14ac:dyDescent="0.25">
      <c r="A17" s="155">
        <v>14</v>
      </c>
      <c r="B17" s="141"/>
      <c r="C17" s="145">
        <v>16</v>
      </c>
      <c r="D17" s="145" t="s">
        <v>20</v>
      </c>
      <c r="E17" s="107">
        <v>87</v>
      </c>
      <c r="F17" s="38">
        <v>63</v>
      </c>
      <c r="G17" s="38">
        <v>62</v>
      </c>
      <c r="H17" s="38">
        <v>58</v>
      </c>
      <c r="I17" s="70">
        <v>53</v>
      </c>
      <c r="J17" s="38">
        <v>76</v>
      </c>
      <c r="K17" s="38">
        <v>81</v>
      </c>
      <c r="L17" s="38">
        <v>66</v>
      </c>
      <c r="M17" s="38">
        <v>84</v>
      </c>
      <c r="N17" s="38">
        <v>78</v>
      </c>
      <c r="O17" s="38">
        <v>84</v>
      </c>
      <c r="P17" s="107">
        <v>97</v>
      </c>
      <c r="Q17" s="107">
        <v>87</v>
      </c>
      <c r="R17" s="45">
        <f t="shared" si="0"/>
        <v>976</v>
      </c>
      <c r="S17" s="25">
        <f t="shared" si="1"/>
        <v>75.07692307692308</v>
      </c>
      <c r="T17" s="11">
        <f t="shared" si="2"/>
        <v>24</v>
      </c>
      <c r="U17" s="11"/>
      <c r="V17" s="11"/>
    </row>
    <row r="18" spans="1:22" ht="20.100000000000001" customHeight="1" x14ac:dyDescent="0.25">
      <c r="A18" s="156">
        <v>15</v>
      </c>
      <c r="B18" s="141"/>
      <c r="C18" s="145">
        <v>15</v>
      </c>
      <c r="D18" s="145" t="s">
        <v>23</v>
      </c>
      <c r="E18" s="107">
        <v>79</v>
      </c>
      <c r="F18" s="38">
        <v>78</v>
      </c>
      <c r="G18" s="38">
        <v>81</v>
      </c>
      <c r="H18" s="38">
        <v>78</v>
      </c>
      <c r="I18" s="70">
        <v>65</v>
      </c>
      <c r="J18" s="38">
        <v>72</v>
      </c>
      <c r="K18" s="38">
        <v>69</v>
      </c>
      <c r="L18" s="38">
        <v>63</v>
      </c>
      <c r="M18" s="38">
        <v>72</v>
      </c>
      <c r="N18" s="38">
        <v>90</v>
      </c>
      <c r="O18" s="38">
        <v>80</v>
      </c>
      <c r="P18" s="107">
        <v>93</v>
      </c>
      <c r="Q18" s="107">
        <v>86</v>
      </c>
      <c r="R18" s="45">
        <f t="shared" si="0"/>
        <v>1006</v>
      </c>
      <c r="S18" s="25">
        <f t="shared" si="1"/>
        <v>77.384615384615387</v>
      </c>
      <c r="T18" s="11">
        <f t="shared" si="2"/>
        <v>19</v>
      </c>
      <c r="U18" s="11"/>
      <c r="V18" s="11"/>
    </row>
    <row r="19" spans="1:22" ht="20.100000000000001" customHeight="1" x14ac:dyDescent="0.25">
      <c r="A19" s="155">
        <v>16</v>
      </c>
      <c r="B19" s="141"/>
      <c r="C19" s="145">
        <v>15</v>
      </c>
      <c r="D19" s="145" t="s">
        <v>23</v>
      </c>
      <c r="E19" s="107">
        <v>74</v>
      </c>
      <c r="F19" s="38">
        <v>61</v>
      </c>
      <c r="G19" s="38">
        <v>51</v>
      </c>
      <c r="H19" s="38">
        <v>57</v>
      </c>
      <c r="I19" s="71">
        <v>55</v>
      </c>
      <c r="J19" s="38">
        <v>64</v>
      </c>
      <c r="K19" s="38">
        <v>62</v>
      </c>
      <c r="L19" s="38">
        <v>65</v>
      </c>
      <c r="M19" s="38">
        <v>80</v>
      </c>
      <c r="N19" s="38">
        <v>70</v>
      </c>
      <c r="O19" s="38">
        <v>61</v>
      </c>
      <c r="P19" s="107">
        <v>89</v>
      </c>
      <c r="Q19" s="107">
        <v>75</v>
      </c>
      <c r="R19" s="45">
        <f t="shared" si="0"/>
        <v>864</v>
      </c>
      <c r="S19" s="25">
        <f t="shared" si="1"/>
        <v>66.461538461538467</v>
      </c>
      <c r="T19" s="11">
        <f t="shared" si="2"/>
        <v>37</v>
      </c>
      <c r="U19" s="11"/>
      <c r="V19" s="11"/>
    </row>
    <row r="20" spans="1:22" ht="20.100000000000001" customHeight="1" x14ac:dyDescent="0.25">
      <c r="A20" s="155">
        <v>17</v>
      </c>
      <c r="B20" s="141"/>
      <c r="C20" s="145">
        <v>16</v>
      </c>
      <c r="D20" s="145" t="s">
        <v>23</v>
      </c>
      <c r="E20" s="107">
        <v>89</v>
      </c>
      <c r="F20" s="38">
        <v>81</v>
      </c>
      <c r="G20" s="38">
        <v>93</v>
      </c>
      <c r="H20" s="38">
        <v>96</v>
      </c>
      <c r="I20" s="70">
        <v>89</v>
      </c>
      <c r="J20" s="38">
        <v>95</v>
      </c>
      <c r="K20" s="38">
        <v>94</v>
      </c>
      <c r="L20" s="38">
        <v>99</v>
      </c>
      <c r="M20" s="38">
        <v>97</v>
      </c>
      <c r="N20" s="38">
        <v>96</v>
      </c>
      <c r="O20" s="38">
        <v>94</v>
      </c>
      <c r="P20" s="107">
        <v>96</v>
      </c>
      <c r="Q20" s="107">
        <v>89</v>
      </c>
      <c r="R20" s="45">
        <f t="shared" si="0"/>
        <v>1208</v>
      </c>
      <c r="S20" s="25">
        <f t="shared" si="1"/>
        <v>92.92307692307692</v>
      </c>
      <c r="T20" s="11">
        <f t="shared" si="2"/>
        <v>3</v>
      </c>
      <c r="U20" s="11"/>
      <c r="V20" s="11"/>
    </row>
    <row r="21" spans="1:22" ht="20.100000000000001" customHeight="1" x14ac:dyDescent="0.25">
      <c r="A21" s="155">
        <v>18</v>
      </c>
      <c r="B21" s="141"/>
      <c r="C21" s="145">
        <v>16</v>
      </c>
      <c r="D21" s="145" t="s">
        <v>20</v>
      </c>
      <c r="E21" s="107">
        <v>83</v>
      </c>
      <c r="F21" s="38">
        <v>84</v>
      </c>
      <c r="G21" s="38">
        <v>89</v>
      </c>
      <c r="H21" s="38">
        <v>90</v>
      </c>
      <c r="I21" s="70">
        <v>87</v>
      </c>
      <c r="J21" s="38">
        <v>89</v>
      </c>
      <c r="K21" s="38">
        <v>77</v>
      </c>
      <c r="L21" s="38">
        <v>83</v>
      </c>
      <c r="M21" s="38">
        <v>81</v>
      </c>
      <c r="N21" s="38">
        <v>93</v>
      </c>
      <c r="O21" s="38">
        <v>87</v>
      </c>
      <c r="P21" s="107">
        <v>89</v>
      </c>
      <c r="Q21" s="107">
        <v>81</v>
      </c>
      <c r="R21" s="45">
        <f t="shared" si="0"/>
        <v>1113</v>
      </c>
      <c r="S21" s="25">
        <f t="shared" si="1"/>
        <v>85.615384615384613</v>
      </c>
      <c r="T21" s="11">
        <f t="shared" si="2"/>
        <v>7</v>
      </c>
      <c r="U21" s="11"/>
      <c r="V21" s="11"/>
    </row>
    <row r="22" spans="1:22" ht="20.100000000000001" customHeight="1" x14ac:dyDescent="0.25">
      <c r="A22" s="156">
        <v>19</v>
      </c>
      <c r="B22" s="141"/>
      <c r="C22" s="145">
        <v>16</v>
      </c>
      <c r="D22" s="145" t="s">
        <v>23</v>
      </c>
      <c r="E22" s="107">
        <v>77</v>
      </c>
      <c r="F22" s="38">
        <v>79</v>
      </c>
      <c r="G22" s="38">
        <v>72</v>
      </c>
      <c r="H22" s="38">
        <v>66</v>
      </c>
      <c r="I22" s="70">
        <v>59</v>
      </c>
      <c r="J22" s="38">
        <v>64</v>
      </c>
      <c r="K22" s="38">
        <v>75</v>
      </c>
      <c r="L22" s="38">
        <v>71</v>
      </c>
      <c r="M22" s="38">
        <v>78</v>
      </c>
      <c r="N22" s="38">
        <v>80</v>
      </c>
      <c r="O22" s="38">
        <v>79</v>
      </c>
      <c r="P22" s="107">
        <v>92</v>
      </c>
      <c r="Q22" s="107">
        <v>67</v>
      </c>
      <c r="R22" s="45">
        <f t="shared" si="0"/>
        <v>959</v>
      </c>
      <c r="S22" s="25">
        <f t="shared" si="1"/>
        <v>73.769230769230774</v>
      </c>
      <c r="T22" s="11">
        <f t="shared" si="2"/>
        <v>27</v>
      </c>
      <c r="U22" s="11"/>
      <c r="V22" s="11"/>
    </row>
    <row r="23" spans="1:22" ht="20.100000000000001" customHeight="1" x14ac:dyDescent="0.25">
      <c r="A23" s="156">
        <v>20</v>
      </c>
      <c r="B23" s="141"/>
      <c r="C23" s="145">
        <v>15</v>
      </c>
      <c r="D23" s="145" t="s">
        <v>23</v>
      </c>
      <c r="E23" s="107">
        <v>88</v>
      </c>
      <c r="F23" s="38">
        <v>81</v>
      </c>
      <c r="G23" s="38">
        <v>87</v>
      </c>
      <c r="H23" s="38">
        <v>81</v>
      </c>
      <c r="I23" s="70">
        <v>70</v>
      </c>
      <c r="J23" s="38">
        <v>82</v>
      </c>
      <c r="K23" s="38">
        <v>74</v>
      </c>
      <c r="L23" s="38">
        <v>81</v>
      </c>
      <c r="M23" s="38">
        <v>85</v>
      </c>
      <c r="N23" s="38">
        <v>85</v>
      </c>
      <c r="O23" s="38">
        <v>91</v>
      </c>
      <c r="P23" s="107">
        <v>88</v>
      </c>
      <c r="Q23" s="107">
        <v>91</v>
      </c>
      <c r="R23" s="45">
        <f t="shared" si="0"/>
        <v>1084</v>
      </c>
      <c r="S23" s="25">
        <f t="shared" si="1"/>
        <v>83.384615384615387</v>
      </c>
      <c r="T23" s="11">
        <f t="shared" si="2"/>
        <v>9</v>
      </c>
      <c r="U23" s="11"/>
      <c r="V23" s="11"/>
    </row>
    <row r="24" spans="1:22" ht="20.100000000000001" customHeight="1" x14ac:dyDescent="0.25">
      <c r="A24" s="156">
        <v>21</v>
      </c>
      <c r="B24" s="141"/>
      <c r="C24" s="145">
        <v>16</v>
      </c>
      <c r="D24" s="145" t="s">
        <v>20</v>
      </c>
      <c r="E24" s="107">
        <v>64</v>
      </c>
      <c r="F24" s="38">
        <v>57</v>
      </c>
      <c r="G24" s="38">
        <v>63</v>
      </c>
      <c r="H24" s="38">
        <v>52</v>
      </c>
      <c r="I24" s="70">
        <v>58</v>
      </c>
      <c r="J24" s="38">
        <v>70</v>
      </c>
      <c r="K24" s="38">
        <v>58</v>
      </c>
      <c r="L24" s="38">
        <v>69</v>
      </c>
      <c r="M24" s="38">
        <v>61</v>
      </c>
      <c r="N24" s="38">
        <v>72</v>
      </c>
      <c r="O24" s="38">
        <v>65</v>
      </c>
      <c r="P24" s="107">
        <v>88</v>
      </c>
      <c r="Q24" s="107">
        <v>68</v>
      </c>
      <c r="R24" s="45">
        <f t="shared" si="0"/>
        <v>845</v>
      </c>
      <c r="S24" s="25">
        <f t="shared" si="1"/>
        <v>65</v>
      </c>
      <c r="T24" s="11">
        <f t="shared" si="2"/>
        <v>38</v>
      </c>
      <c r="U24" s="11"/>
      <c r="V24" s="11"/>
    </row>
    <row r="25" spans="1:22" ht="20.100000000000001" customHeight="1" x14ac:dyDescent="0.25">
      <c r="A25" s="155">
        <v>22</v>
      </c>
      <c r="B25" s="141"/>
      <c r="C25" s="145">
        <v>15</v>
      </c>
      <c r="D25" s="145" t="s">
        <v>23</v>
      </c>
      <c r="E25" s="107">
        <v>89</v>
      </c>
      <c r="F25" s="38">
        <v>85</v>
      </c>
      <c r="G25" s="38">
        <v>86</v>
      </c>
      <c r="H25" s="38">
        <v>82</v>
      </c>
      <c r="I25" s="70">
        <v>81</v>
      </c>
      <c r="J25" s="38">
        <v>86</v>
      </c>
      <c r="K25" s="38">
        <v>88</v>
      </c>
      <c r="L25" s="38">
        <v>87</v>
      </c>
      <c r="M25" s="38">
        <v>96</v>
      </c>
      <c r="N25" s="38">
        <v>93</v>
      </c>
      <c r="O25" s="38">
        <v>89</v>
      </c>
      <c r="P25" s="107">
        <v>95</v>
      </c>
      <c r="Q25" s="107">
        <v>92</v>
      </c>
      <c r="R25" s="45">
        <f t="shared" si="0"/>
        <v>1149</v>
      </c>
      <c r="S25" s="25">
        <f t="shared" si="1"/>
        <v>88.384615384615387</v>
      </c>
      <c r="T25" s="11">
        <f t="shared" si="2"/>
        <v>6</v>
      </c>
      <c r="U25" s="11"/>
      <c r="V25" s="11"/>
    </row>
    <row r="26" spans="1:22" ht="20.100000000000001" customHeight="1" x14ac:dyDescent="0.25">
      <c r="A26" s="155">
        <v>23</v>
      </c>
      <c r="B26" s="141"/>
      <c r="C26" s="145">
        <v>16</v>
      </c>
      <c r="D26" s="145" t="s">
        <v>20</v>
      </c>
      <c r="E26" s="107">
        <v>77</v>
      </c>
      <c r="F26" s="38">
        <v>84</v>
      </c>
      <c r="G26" s="38">
        <v>90</v>
      </c>
      <c r="H26" s="38">
        <v>91</v>
      </c>
      <c r="I26" s="70">
        <v>79</v>
      </c>
      <c r="J26" s="38">
        <v>85</v>
      </c>
      <c r="K26" s="38">
        <v>90</v>
      </c>
      <c r="L26" s="38">
        <v>87</v>
      </c>
      <c r="M26" s="38">
        <v>97</v>
      </c>
      <c r="N26" s="38">
        <v>93</v>
      </c>
      <c r="O26" s="38">
        <v>95</v>
      </c>
      <c r="P26" s="107">
        <v>97</v>
      </c>
      <c r="Q26" s="107">
        <v>86</v>
      </c>
      <c r="R26" s="45">
        <f t="shared" si="0"/>
        <v>1151</v>
      </c>
      <c r="S26" s="25">
        <f t="shared" si="1"/>
        <v>88.538461538461533</v>
      </c>
      <c r="T26" s="11">
        <f t="shared" si="2"/>
        <v>5</v>
      </c>
      <c r="U26" s="11"/>
      <c r="V26" s="11"/>
    </row>
    <row r="27" spans="1:22" ht="20.100000000000001" customHeight="1" x14ac:dyDescent="0.25">
      <c r="A27" s="156">
        <v>24</v>
      </c>
      <c r="B27" s="141"/>
      <c r="C27" s="145">
        <v>15</v>
      </c>
      <c r="D27" s="145" t="s">
        <v>23</v>
      </c>
      <c r="E27" s="107">
        <v>82</v>
      </c>
      <c r="F27" s="38">
        <v>77</v>
      </c>
      <c r="G27" s="38">
        <v>73</v>
      </c>
      <c r="H27" s="38">
        <v>73</v>
      </c>
      <c r="I27" s="70">
        <v>62</v>
      </c>
      <c r="J27" s="38">
        <v>70</v>
      </c>
      <c r="K27" s="38">
        <v>66</v>
      </c>
      <c r="L27" s="38">
        <v>76</v>
      </c>
      <c r="M27" s="38">
        <v>81</v>
      </c>
      <c r="N27" s="38">
        <v>83</v>
      </c>
      <c r="O27" s="38">
        <v>86</v>
      </c>
      <c r="P27" s="107">
        <v>81</v>
      </c>
      <c r="Q27" s="107">
        <v>85</v>
      </c>
      <c r="R27" s="45">
        <f t="shared" si="0"/>
        <v>995</v>
      </c>
      <c r="S27" s="25">
        <f t="shared" si="1"/>
        <v>76.538461538461533</v>
      </c>
      <c r="T27" s="11">
        <f t="shared" si="2"/>
        <v>21</v>
      </c>
      <c r="U27" s="11"/>
      <c r="V27" s="11"/>
    </row>
    <row r="28" spans="1:22" ht="20.100000000000001" customHeight="1" x14ac:dyDescent="0.25">
      <c r="A28" s="155">
        <v>25</v>
      </c>
      <c r="B28" s="141"/>
      <c r="C28" s="145">
        <v>15</v>
      </c>
      <c r="D28" s="145" t="s">
        <v>23</v>
      </c>
      <c r="E28" s="107">
        <v>89</v>
      </c>
      <c r="F28" s="38">
        <v>74</v>
      </c>
      <c r="G28" s="70">
        <v>91</v>
      </c>
      <c r="H28" s="38">
        <v>80</v>
      </c>
      <c r="I28" s="70">
        <v>76</v>
      </c>
      <c r="J28" s="38">
        <v>90</v>
      </c>
      <c r="K28" s="38">
        <v>82</v>
      </c>
      <c r="L28" s="38">
        <v>83</v>
      </c>
      <c r="M28" s="38">
        <v>86</v>
      </c>
      <c r="N28" s="38">
        <v>86</v>
      </c>
      <c r="O28" s="38">
        <v>87</v>
      </c>
      <c r="P28" s="107">
        <v>97</v>
      </c>
      <c r="Q28" s="107">
        <v>84</v>
      </c>
      <c r="R28" s="45">
        <f t="shared" si="0"/>
        <v>1105</v>
      </c>
      <c r="S28" s="25">
        <f t="shared" si="1"/>
        <v>85</v>
      </c>
      <c r="T28" s="11">
        <f t="shared" si="2"/>
        <v>8</v>
      </c>
      <c r="U28" s="11"/>
      <c r="V28" s="11"/>
    </row>
    <row r="29" spans="1:22" ht="20.100000000000001" customHeight="1" x14ac:dyDescent="0.25">
      <c r="A29" s="156">
        <v>26</v>
      </c>
      <c r="B29" s="141"/>
      <c r="C29" s="145">
        <v>16</v>
      </c>
      <c r="D29" s="145" t="s">
        <v>20</v>
      </c>
      <c r="E29" s="107">
        <v>90</v>
      </c>
      <c r="F29" s="38">
        <v>85</v>
      </c>
      <c r="G29" s="70">
        <v>79</v>
      </c>
      <c r="H29" s="38">
        <v>80</v>
      </c>
      <c r="I29" s="70">
        <v>72</v>
      </c>
      <c r="J29" s="38">
        <v>84</v>
      </c>
      <c r="K29" s="38">
        <v>79</v>
      </c>
      <c r="L29" s="38">
        <v>78</v>
      </c>
      <c r="M29" s="38">
        <v>94</v>
      </c>
      <c r="N29" s="38">
        <v>84</v>
      </c>
      <c r="O29" s="38">
        <v>84</v>
      </c>
      <c r="P29" s="107">
        <v>78</v>
      </c>
      <c r="Q29" s="107">
        <v>74</v>
      </c>
      <c r="R29" s="45">
        <f t="shared" si="0"/>
        <v>1061</v>
      </c>
      <c r="S29" s="25">
        <f t="shared" si="1"/>
        <v>81.615384615384613</v>
      </c>
      <c r="T29" s="11">
        <f t="shared" si="2"/>
        <v>11</v>
      </c>
      <c r="U29" s="11"/>
      <c r="V29" s="11"/>
    </row>
    <row r="30" spans="1:22" ht="20.100000000000001" customHeight="1" x14ac:dyDescent="0.25">
      <c r="A30" s="156">
        <v>27</v>
      </c>
      <c r="B30" s="141"/>
      <c r="C30" s="145">
        <v>15</v>
      </c>
      <c r="D30" s="145" t="s">
        <v>20</v>
      </c>
      <c r="E30" s="107">
        <v>88</v>
      </c>
      <c r="F30" s="38">
        <v>71</v>
      </c>
      <c r="G30" s="70">
        <v>87</v>
      </c>
      <c r="H30" s="38">
        <v>68</v>
      </c>
      <c r="I30" s="70">
        <v>65</v>
      </c>
      <c r="J30" s="38">
        <v>73</v>
      </c>
      <c r="K30" s="38">
        <v>62</v>
      </c>
      <c r="L30" s="38">
        <v>68</v>
      </c>
      <c r="M30" s="38">
        <v>76</v>
      </c>
      <c r="N30" s="38">
        <v>76</v>
      </c>
      <c r="O30" s="38">
        <v>80</v>
      </c>
      <c r="P30" s="107">
        <v>94</v>
      </c>
      <c r="Q30" s="107">
        <v>89</v>
      </c>
      <c r="R30" s="45">
        <f t="shared" si="0"/>
        <v>997</v>
      </c>
      <c r="S30" s="25">
        <f t="shared" si="1"/>
        <v>76.692307692307693</v>
      </c>
      <c r="T30" s="11">
        <f t="shared" si="2"/>
        <v>20</v>
      </c>
      <c r="U30" s="11"/>
      <c r="V30" s="11"/>
    </row>
    <row r="31" spans="1:22" ht="20.100000000000001" customHeight="1" x14ac:dyDescent="0.25">
      <c r="A31" s="156">
        <v>28</v>
      </c>
      <c r="B31" s="141"/>
      <c r="C31" s="145">
        <v>16</v>
      </c>
      <c r="D31" s="145" t="s">
        <v>23</v>
      </c>
      <c r="E31" s="107">
        <v>70</v>
      </c>
      <c r="F31" s="38">
        <v>47</v>
      </c>
      <c r="G31" s="38">
        <v>60</v>
      </c>
      <c r="H31" s="38">
        <v>53</v>
      </c>
      <c r="I31" s="70">
        <v>51</v>
      </c>
      <c r="J31" s="38">
        <v>58</v>
      </c>
      <c r="K31" s="38">
        <v>70</v>
      </c>
      <c r="L31" s="38">
        <v>55</v>
      </c>
      <c r="M31" s="38">
        <v>61</v>
      </c>
      <c r="N31" s="38">
        <v>74</v>
      </c>
      <c r="O31" s="38">
        <v>68</v>
      </c>
      <c r="P31" s="107">
        <v>84</v>
      </c>
      <c r="Q31" s="107">
        <v>80</v>
      </c>
      <c r="R31" s="45">
        <f t="shared" si="0"/>
        <v>831</v>
      </c>
      <c r="S31" s="25">
        <f t="shared" si="1"/>
        <v>63.92307692307692</v>
      </c>
      <c r="T31" s="11">
        <f t="shared" si="2"/>
        <v>41</v>
      </c>
      <c r="U31" s="11"/>
      <c r="V31" s="11"/>
    </row>
    <row r="32" spans="1:22" ht="20.100000000000001" customHeight="1" x14ac:dyDescent="0.25">
      <c r="A32" s="155">
        <v>29</v>
      </c>
      <c r="B32" s="141"/>
      <c r="C32" s="145">
        <v>15</v>
      </c>
      <c r="D32" s="145" t="s">
        <v>23</v>
      </c>
      <c r="E32" s="107">
        <v>77</v>
      </c>
      <c r="F32" s="38">
        <v>86</v>
      </c>
      <c r="G32" s="38">
        <v>76</v>
      </c>
      <c r="H32" s="38">
        <v>60</v>
      </c>
      <c r="I32" s="38">
        <v>71</v>
      </c>
      <c r="J32" s="38">
        <v>86</v>
      </c>
      <c r="K32" s="38">
        <v>82</v>
      </c>
      <c r="L32" s="38">
        <v>77</v>
      </c>
      <c r="M32" s="38">
        <v>92</v>
      </c>
      <c r="N32" s="38">
        <v>86</v>
      </c>
      <c r="O32" s="38">
        <v>89</v>
      </c>
      <c r="P32" s="107">
        <v>91</v>
      </c>
      <c r="Q32" s="107">
        <v>97</v>
      </c>
      <c r="R32" s="45">
        <f t="shared" si="0"/>
        <v>1070</v>
      </c>
      <c r="S32" s="25">
        <f t="shared" si="1"/>
        <v>82.307692307692307</v>
      </c>
      <c r="T32" s="11">
        <f t="shared" si="2"/>
        <v>10</v>
      </c>
      <c r="U32" s="11"/>
      <c r="V32" s="11"/>
    </row>
    <row r="33" spans="1:22" ht="20.100000000000001" customHeight="1" x14ac:dyDescent="0.25">
      <c r="A33" s="156">
        <v>30</v>
      </c>
      <c r="B33" s="142"/>
      <c r="C33" s="148">
        <v>15</v>
      </c>
      <c r="D33" s="148" t="s">
        <v>23</v>
      </c>
      <c r="E33" s="107">
        <v>84</v>
      </c>
      <c r="F33" s="38">
        <v>56</v>
      </c>
      <c r="G33" s="38">
        <v>54</v>
      </c>
      <c r="H33" s="38">
        <v>50</v>
      </c>
      <c r="I33" s="70">
        <v>53</v>
      </c>
      <c r="J33" s="38">
        <v>52</v>
      </c>
      <c r="K33" s="38">
        <v>58</v>
      </c>
      <c r="L33" s="38">
        <v>57</v>
      </c>
      <c r="M33" s="38">
        <v>66</v>
      </c>
      <c r="N33" s="38">
        <v>71</v>
      </c>
      <c r="O33" s="38">
        <v>67</v>
      </c>
      <c r="P33" s="107">
        <v>81</v>
      </c>
      <c r="Q33" s="107">
        <v>92</v>
      </c>
      <c r="R33" s="45">
        <f t="shared" si="0"/>
        <v>841</v>
      </c>
      <c r="S33" s="25">
        <f t="shared" si="1"/>
        <v>64.692307692307693</v>
      </c>
      <c r="T33" s="11">
        <f t="shared" si="2"/>
        <v>39</v>
      </c>
      <c r="U33" s="11"/>
      <c r="V33" s="11"/>
    </row>
    <row r="34" spans="1:22" ht="20.100000000000001" customHeight="1" x14ac:dyDescent="0.25">
      <c r="A34" s="155">
        <v>31</v>
      </c>
      <c r="B34" s="141"/>
      <c r="C34" s="145">
        <v>15</v>
      </c>
      <c r="D34" s="145" t="s">
        <v>23</v>
      </c>
      <c r="E34" s="107">
        <v>83</v>
      </c>
      <c r="F34" s="38">
        <v>61</v>
      </c>
      <c r="G34" s="38">
        <v>53</v>
      </c>
      <c r="H34" s="38">
        <v>56</v>
      </c>
      <c r="I34" s="70">
        <v>56</v>
      </c>
      <c r="J34" s="38">
        <v>69</v>
      </c>
      <c r="K34" s="38">
        <v>68</v>
      </c>
      <c r="L34" s="38">
        <v>65</v>
      </c>
      <c r="M34" s="38">
        <v>71</v>
      </c>
      <c r="N34" s="38">
        <v>76</v>
      </c>
      <c r="O34" s="38">
        <v>62</v>
      </c>
      <c r="P34" s="107">
        <v>94</v>
      </c>
      <c r="Q34" s="107">
        <v>92</v>
      </c>
      <c r="R34" s="45">
        <f t="shared" si="0"/>
        <v>906</v>
      </c>
      <c r="S34" s="25">
        <f t="shared" si="1"/>
        <v>69.692307692307693</v>
      </c>
      <c r="T34" s="11">
        <f t="shared" si="2"/>
        <v>31</v>
      </c>
      <c r="U34" s="11"/>
      <c r="V34" s="11"/>
    </row>
    <row r="35" spans="1:22" ht="20.100000000000001" customHeight="1" x14ac:dyDescent="0.25">
      <c r="A35" s="155">
        <v>32</v>
      </c>
      <c r="B35" s="141"/>
      <c r="C35" s="145">
        <v>18</v>
      </c>
      <c r="D35" s="145" t="s">
        <v>23</v>
      </c>
      <c r="E35" s="107">
        <v>85</v>
      </c>
      <c r="F35" s="38">
        <v>86</v>
      </c>
      <c r="G35" s="38">
        <v>79</v>
      </c>
      <c r="H35" s="38">
        <v>79</v>
      </c>
      <c r="I35" s="70">
        <v>70</v>
      </c>
      <c r="J35" s="38">
        <v>84</v>
      </c>
      <c r="K35" s="38">
        <v>74</v>
      </c>
      <c r="L35" s="38">
        <v>76</v>
      </c>
      <c r="M35" s="38">
        <v>79</v>
      </c>
      <c r="N35" s="38">
        <v>79</v>
      </c>
      <c r="O35" s="38">
        <v>83</v>
      </c>
      <c r="P35" s="107">
        <v>96</v>
      </c>
      <c r="Q35" s="107">
        <v>71</v>
      </c>
      <c r="R35" s="45">
        <f t="shared" si="0"/>
        <v>1041</v>
      </c>
      <c r="S35" s="25">
        <f t="shared" si="1"/>
        <v>80.07692307692308</v>
      </c>
      <c r="T35" s="11">
        <f t="shared" si="2"/>
        <v>15</v>
      </c>
      <c r="U35" s="11"/>
      <c r="V35" s="11"/>
    </row>
    <row r="36" spans="1:22" ht="20.100000000000001" customHeight="1" x14ac:dyDescent="0.25">
      <c r="A36" s="155">
        <v>33</v>
      </c>
      <c r="B36" s="141"/>
      <c r="C36" s="145">
        <v>17</v>
      </c>
      <c r="D36" s="145" t="s">
        <v>23</v>
      </c>
      <c r="E36" s="107">
        <v>91</v>
      </c>
      <c r="F36" s="38">
        <v>80</v>
      </c>
      <c r="G36" s="38">
        <v>82</v>
      </c>
      <c r="H36" s="38">
        <v>73</v>
      </c>
      <c r="I36" s="70">
        <v>75</v>
      </c>
      <c r="J36" s="38">
        <v>76</v>
      </c>
      <c r="K36" s="38">
        <v>75</v>
      </c>
      <c r="L36" s="38">
        <v>74</v>
      </c>
      <c r="M36" s="38">
        <v>88</v>
      </c>
      <c r="N36" s="38">
        <v>89</v>
      </c>
      <c r="O36" s="38">
        <v>85</v>
      </c>
      <c r="P36" s="107">
        <v>87</v>
      </c>
      <c r="Q36" s="107">
        <v>70</v>
      </c>
      <c r="R36" s="45">
        <f t="shared" si="0"/>
        <v>1045</v>
      </c>
      <c r="S36" s="25">
        <f t="shared" si="1"/>
        <v>80.384615384615387</v>
      </c>
      <c r="T36" s="11">
        <f t="shared" si="2"/>
        <v>14</v>
      </c>
      <c r="U36" s="11"/>
      <c r="V36" s="11"/>
    </row>
    <row r="37" spans="1:22" ht="20.100000000000001" customHeight="1" x14ac:dyDescent="0.25">
      <c r="A37" s="156">
        <v>34</v>
      </c>
      <c r="B37" s="141"/>
      <c r="C37" s="145">
        <v>15</v>
      </c>
      <c r="D37" s="145" t="s">
        <v>20</v>
      </c>
      <c r="E37" s="107">
        <v>84</v>
      </c>
      <c r="F37" s="38">
        <v>46</v>
      </c>
      <c r="G37" s="38">
        <v>53</v>
      </c>
      <c r="H37" s="38">
        <v>42</v>
      </c>
      <c r="I37" s="70">
        <v>41</v>
      </c>
      <c r="J37" s="38">
        <v>47</v>
      </c>
      <c r="K37" s="38">
        <v>62</v>
      </c>
      <c r="L37" s="38">
        <v>48</v>
      </c>
      <c r="M37" s="38">
        <v>54</v>
      </c>
      <c r="N37" s="38">
        <v>65</v>
      </c>
      <c r="O37" s="38">
        <v>67</v>
      </c>
      <c r="P37" s="107">
        <v>86</v>
      </c>
      <c r="Q37" s="107">
        <v>60</v>
      </c>
      <c r="R37" s="45">
        <f t="shared" si="0"/>
        <v>755</v>
      </c>
      <c r="S37" s="25">
        <f t="shared" si="1"/>
        <v>58.07692307692308</v>
      </c>
      <c r="T37" s="11">
        <f t="shared" si="2"/>
        <v>46</v>
      </c>
      <c r="U37" s="11"/>
      <c r="V37" s="11"/>
    </row>
    <row r="38" spans="1:22" ht="20.100000000000001" customHeight="1" x14ac:dyDescent="0.25">
      <c r="A38" s="156">
        <v>35</v>
      </c>
      <c r="B38" s="141"/>
      <c r="C38" s="145">
        <v>15</v>
      </c>
      <c r="D38" s="145" t="s">
        <v>23</v>
      </c>
      <c r="E38" s="107">
        <v>81</v>
      </c>
      <c r="F38" s="38">
        <v>80</v>
      </c>
      <c r="G38" s="38">
        <v>81</v>
      </c>
      <c r="H38" s="38">
        <v>50</v>
      </c>
      <c r="I38" s="70">
        <v>60</v>
      </c>
      <c r="J38" s="38">
        <v>72</v>
      </c>
      <c r="K38" s="38">
        <v>79</v>
      </c>
      <c r="L38" s="38">
        <v>67</v>
      </c>
      <c r="M38" s="38">
        <v>81</v>
      </c>
      <c r="N38" s="38">
        <v>80</v>
      </c>
      <c r="O38" s="38">
        <v>81</v>
      </c>
      <c r="P38" s="107">
        <v>94</v>
      </c>
      <c r="Q38" s="107">
        <v>78</v>
      </c>
      <c r="R38" s="45">
        <f t="shared" si="0"/>
        <v>984</v>
      </c>
      <c r="S38" s="25">
        <f t="shared" si="1"/>
        <v>75.692307692307693</v>
      </c>
      <c r="T38" s="11">
        <f t="shared" si="2"/>
        <v>23</v>
      </c>
      <c r="U38" s="11"/>
      <c r="V38" s="11"/>
    </row>
    <row r="39" spans="1:22" ht="20.100000000000001" customHeight="1" x14ac:dyDescent="0.25">
      <c r="A39" s="156">
        <v>36</v>
      </c>
      <c r="B39" s="141"/>
      <c r="C39" s="145">
        <v>15</v>
      </c>
      <c r="D39" s="145" t="s">
        <v>23</v>
      </c>
      <c r="E39" s="107">
        <v>86</v>
      </c>
      <c r="F39" s="38">
        <v>86</v>
      </c>
      <c r="G39" s="38">
        <v>78</v>
      </c>
      <c r="H39" s="38">
        <v>69</v>
      </c>
      <c r="I39" s="70">
        <v>71</v>
      </c>
      <c r="J39" s="38">
        <v>83</v>
      </c>
      <c r="K39" s="38">
        <v>75</v>
      </c>
      <c r="L39" s="38">
        <v>72</v>
      </c>
      <c r="M39" s="38">
        <v>92</v>
      </c>
      <c r="N39" s="38">
        <v>81</v>
      </c>
      <c r="O39" s="38">
        <v>88</v>
      </c>
      <c r="P39" s="107">
        <v>91</v>
      </c>
      <c r="Q39" s="107">
        <v>85</v>
      </c>
      <c r="R39" s="45">
        <f t="shared" si="0"/>
        <v>1057</v>
      </c>
      <c r="S39" s="25">
        <f t="shared" si="1"/>
        <v>81.307692307692307</v>
      </c>
      <c r="T39" s="11">
        <f t="shared" si="2"/>
        <v>12</v>
      </c>
      <c r="U39" s="11"/>
      <c r="V39" s="11"/>
    </row>
    <row r="40" spans="1:22" ht="20.100000000000001" customHeight="1" x14ac:dyDescent="0.25">
      <c r="A40" s="155">
        <v>37</v>
      </c>
      <c r="B40" s="141"/>
      <c r="C40" s="145">
        <v>15</v>
      </c>
      <c r="D40" s="145" t="s">
        <v>23</v>
      </c>
      <c r="E40" s="107">
        <v>76</v>
      </c>
      <c r="F40" s="38">
        <v>61</v>
      </c>
      <c r="G40" s="38">
        <v>69</v>
      </c>
      <c r="H40" s="38">
        <v>61</v>
      </c>
      <c r="I40" s="70">
        <v>65</v>
      </c>
      <c r="J40" s="38">
        <v>68</v>
      </c>
      <c r="K40" s="38">
        <v>65</v>
      </c>
      <c r="L40" s="38">
        <v>69</v>
      </c>
      <c r="M40" s="38">
        <v>72</v>
      </c>
      <c r="N40" s="38">
        <v>77</v>
      </c>
      <c r="O40" s="38">
        <v>77</v>
      </c>
      <c r="P40" s="107">
        <v>93</v>
      </c>
      <c r="Q40" s="107">
        <v>89</v>
      </c>
      <c r="R40" s="45">
        <f t="shared" si="0"/>
        <v>942</v>
      </c>
      <c r="S40" s="25">
        <f t="shared" si="1"/>
        <v>72.461538461538467</v>
      </c>
      <c r="T40" s="11">
        <f t="shared" si="2"/>
        <v>29</v>
      </c>
      <c r="U40" s="11"/>
      <c r="V40" s="11"/>
    </row>
    <row r="41" spans="1:22" ht="20.100000000000001" customHeight="1" x14ac:dyDescent="0.25">
      <c r="A41" s="155">
        <v>38</v>
      </c>
      <c r="B41" s="141"/>
      <c r="C41" s="145">
        <v>15</v>
      </c>
      <c r="D41" s="145" t="s">
        <v>20</v>
      </c>
      <c r="E41" s="107">
        <v>58</v>
      </c>
      <c r="F41" s="38">
        <v>67</v>
      </c>
      <c r="G41" s="38">
        <v>45</v>
      </c>
      <c r="H41" s="38">
        <v>39</v>
      </c>
      <c r="I41" s="70">
        <v>43</v>
      </c>
      <c r="J41" s="38">
        <v>51</v>
      </c>
      <c r="K41" s="38">
        <v>68</v>
      </c>
      <c r="L41" s="38">
        <v>63</v>
      </c>
      <c r="M41" s="38">
        <v>65</v>
      </c>
      <c r="N41" s="38">
        <v>52</v>
      </c>
      <c r="O41" s="38">
        <v>52</v>
      </c>
      <c r="P41" s="107">
        <v>76</v>
      </c>
      <c r="Q41" s="107">
        <v>56</v>
      </c>
      <c r="R41" s="45">
        <f t="shared" si="0"/>
        <v>735</v>
      </c>
      <c r="S41" s="25">
        <f t="shared" si="1"/>
        <v>56.53846153846154</v>
      </c>
      <c r="T41" s="11">
        <f t="shared" si="2"/>
        <v>50</v>
      </c>
      <c r="U41" s="11"/>
      <c r="V41" s="11"/>
    </row>
    <row r="42" spans="1:22" ht="20.100000000000001" customHeight="1" x14ac:dyDescent="0.25">
      <c r="A42" s="156">
        <v>39</v>
      </c>
      <c r="B42" s="141"/>
      <c r="C42" s="145">
        <v>16</v>
      </c>
      <c r="D42" s="145" t="s">
        <v>23</v>
      </c>
      <c r="E42" s="107">
        <v>85</v>
      </c>
      <c r="F42" s="38">
        <v>70</v>
      </c>
      <c r="G42" s="38">
        <v>76</v>
      </c>
      <c r="H42" s="38">
        <v>67</v>
      </c>
      <c r="I42" s="70">
        <v>56</v>
      </c>
      <c r="J42" s="38">
        <v>72</v>
      </c>
      <c r="K42" s="38">
        <v>72</v>
      </c>
      <c r="L42" s="38">
        <v>61</v>
      </c>
      <c r="M42" s="38">
        <v>75</v>
      </c>
      <c r="N42" s="38">
        <v>76</v>
      </c>
      <c r="O42" s="38">
        <v>82</v>
      </c>
      <c r="P42" s="107">
        <v>93</v>
      </c>
      <c r="Q42" s="107">
        <v>81</v>
      </c>
      <c r="R42" s="45">
        <f t="shared" si="0"/>
        <v>966</v>
      </c>
      <c r="S42" s="25">
        <f t="shared" si="1"/>
        <v>74.307692307692307</v>
      </c>
      <c r="T42" s="11">
        <f t="shared" si="2"/>
        <v>25</v>
      </c>
      <c r="U42" s="11"/>
      <c r="V42" s="11"/>
    </row>
    <row r="43" spans="1:22" ht="20.100000000000001" customHeight="1" x14ac:dyDescent="0.25">
      <c r="A43" s="155">
        <v>40</v>
      </c>
      <c r="B43" s="141"/>
      <c r="C43" s="145">
        <v>16</v>
      </c>
      <c r="D43" s="145" t="s">
        <v>20</v>
      </c>
      <c r="E43" s="107">
        <v>83</v>
      </c>
      <c r="F43" s="38">
        <v>63</v>
      </c>
      <c r="G43" s="38">
        <v>63</v>
      </c>
      <c r="H43" s="38">
        <v>60</v>
      </c>
      <c r="I43" s="70">
        <v>52</v>
      </c>
      <c r="J43" s="38">
        <v>64</v>
      </c>
      <c r="K43" s="38">
        <v>55</v>
      </c>
      <c r="L43" s="38">
        <v>58</v>
      </c>
      <c r="M43" s="38">
        <v>64</v>
      </c>
      <c r="N43" s="38">
        <v>81</v>
      </c>
      <c r="O43" s="38">
        <v>69</v>
      </c>
      <c r="P43" s="107">
        <v>74</v>
      </c>
      <c r="Q43" s="107">
        <v>84</v>
      </c>
      <c r="R43" s="45">
        <f t="shared" si="0"/>
        <v>870</v>
      </c>
      <c r="S43" s="25">
        <f t="shared" si="1"/>
        <v>66.92307692307692</v>
      </c>
      <c r="T43" s="11">
        <f t="shared" si="2"/>
        <v>34</v>
      </c>
      <c r="U43" s="11"/>
      <c r="V43" s="11"/>
    </row>
    <row r="44" spans="1:22" ht="20.100000000000001" customHeight="1" x14ac:dyDescent="0.25">
      <c r="A44" s="156">
        <v>41</v>
      </c>
      <c r="B44" s="141"/>
      <c r="C44" s="145">
        <v>17</v>
      </c>
      <c r="D44" s="145" t="s">
        <v>23</v>
      </c>
      <c r="E44" s="107">
        <v>80</v>
      </c>
      <c r="F44" s="38">
        <v>55</v>
      </c>
      <c r="G44" s="38">
        <v>59</v>
      </c>
      <c r="H44" s="38">
        <v>48</v>
      </c>
      <c r="I44" s="70">
        <v>40</v>
      </c>
      <c r="J44" s="38">
        <v>51</v>
      </c>
      <c r="K44" s="38">
        <v>52</v>
      </c>
      <c r="L44" s="38">
        <v>47</v>
      </c>
      <c r="M44" s="38">
        <v>59</v>
      </c>
      <c r="N44" s="38">
        <v>71</v>
      </c>
      <c r="O44" s="38">
        <v>58</v>
      </c>
      <c r="P44" s="107">
        <v>80</v>
      </c>
      <c r="Q44" s="107">
        <v>60</v>
      </c>
      <c r="R44" s="45">
        <f t="shared" si="0"/>
        <v>760</v>
      </c>
      <c r="S44" s="25">
        <f t="shared" si="1"/>
        <v>58.46153846153846</v>
      </c>
      <c r="T44" s="11">
        <f t="shared" si="2"/>
        <v>45</v>
      </c>
      <c r="U44" s="11"/>
      <c r="V44" s="11"/>
    </row>
    <row r="45" spans="1:22" ht="20.100000000000001" customHeight="1" x14ac:dyDescent="0.25">
      <c r="A45" s="156">
        <v>42</v>
      </c>
      <c r="B45" s="141"/>
      <c r="C45" s="145">
        <v>18</v>
      </c>
      <c r="D45" s="145" t="s">
        <v>20</v>
      </c>
      <c r="E45" s="107">
        <v>55</v>
      </c>
      <c r="F45" s="38">
        <v>57</v>
      </c>
      <c r="G45" s="38">
        <v>52</v>
      </c>
      <c r="H45" s="38">
        <v>54</v>
      </c>
      <c r="I45" s="70">
        <v>45</v>
      </c>
      <c r="J45" s="38">
        <v>68</v>
      </c>
      <c r="K45" s="38">
        <v>72</v>
      </c>
      <c r="L45" s="38">
        <v>72</v>
      </c>
      <c r="M45" s="38">
        <v>64</v>
      </c>
      <c r="N45" s="38">
        <v>52</v>
      </c>
      <c r="O45" s="38">
        <v>81</v>
      </c>
      <c r="P45" s="107">
        <v>84</v>
      </c>
      <c r="Q45" s="107">
        <v>76</v>
      </c>
      <c r="R45" s="45">
        <f t="shared" si="0"/>
        <v>832</v>
      </c>
      <c r="S45" s="25">
        <f t="shared" si="1"/>
        <v>64</v>
      </c>
      <c r="T45" s="11">
        <f t="shared" si="2"/>
        <v>40</v>
      </c>
      <c r="U45" s="11"/>
      <c r="V45" s="11"/>
    </row>
    <row r="46" spans="1:22" ht="20.100000000000001" customHeight="1" x14ac:dyDescent="0.25">
      <c r="A46" s="156">
        <v>43</v>
      </c>
      <c r="B46" s="141"/>
      <c r="C46" s="145">
        <v>16</v>
      </c>
      <c r="D46" s="145" t="s">
        <v>20</v>
      </c>
      <c r="E46" s="107">
        <v>79</v>
      </c>
      <c r="F46" s="38">
        <v>61</v>
      </c>
      <c r="G46" s="70">
        <v>64</v>
      </c>
      <c r="H46" s="38">
        <v>67</v>
      </c>
      <c r="I46" s="70">
        <v>59</v>
      </c>
      <c r="J46" s="38">
        <v>75</v>
      </c>
      <c r="K46" s="38">
        <v>63</v>
      </c>
      <c r="L46" s="38">
        <v>63</v>
      </c>
      <c r="M46" s="38">
        <v>71</v>
      </c>
      <c r="N46" s="38">
        <v>69</v>
      </c>
      <c r="O46" s="38">
        <v>75</v>
      </c>
      <c r="P46" s="107">
        <v>88</v>
      </c>
      <c r="Q46" s="107">
        <v>70</v>
      </c>
      <c r="R46" s="45">
        <f t="shared" si="0"/>
        <v>904</v>
      </c>
      <c r="S46" s="25">
        <f t="shared" si="1"/>
        <v>69.538461538461533</v>
      </c>
      <c r="T46" s="11">
        <f t="shared" si="2"/>
        <v>32</v>
      </c>
      <c r="U46" s="11"/>
      <c r="V46" s="11"/>
    </row>
    <row r="47" spans="1:22" ht="20.100000000000001" customHeight="1" x14ac:dyDescent="0.25">
      <c r="A47" s="155">
        <v>44</v>
      </c>
      <c r="B47" s="141"/>
      <c r="C47" s="145">
        <v>15</v>
      </c>
      <c r="D47" s="145" t="s">
        <v>20</v>
      </c>
      <c r="E47" s="107">
        <v>85</v>
      </c>
      <c r="F47" s="38">
        <v>70</v>
      </c>
      <c r="G47" s="70">
        <v>68</v>
      </c>
      <c r="H47" s="38">
        <v>72</v>
      </c>
      <c r="I47" s="70">
        <v>71</v>
      </c>
      <c r="J47" s="38">
        <v>79</v>
      </c>
      <c r="K47" s="38">
        <v>84</v>
      </c>
      <c r="L47" s="38">
        <v>80</v>
      </c>
      <c r="M47" s="38">
        <v>85</v>
      </c>
      <c r="N47" s="38">
        <v>94</v>
      </c>
      <c r="O47" s="38">
        <v>84</v>
      </c>
      <c r="P47" s="107">
        <v>96</v>
      </c>
      <c r="Q47" s="107">
        <v>82</v>
      </c>
      <c r="R47" s="45">
        <f t="shared" si="0"/>
        <v>1050</v>
      </c>
      <c r="S47" s="25">
        <f t="shared" si="1"/>
        <v>80.769230769230774</v>
      </c>
      <c r="T47" s="11">
        <f t="shared" si="2"/>
        <v>13</v>
      </c>
      <c r="U47" s="11"/>
      <c r="V47" s="11"/>
    </row>
    <row r="48" spans="1:22" ht="20.100000000000001" customHeight="1" x14ac:dyDescent="0.25">
      <c r="A48" s="156">
        <v>45</v>
      </c>
      <c r="B48" s="141"/>
      <c r="C48" s="145">
        <v>15</v>
      </c>
      <c r="D48" s="145" t="s">
        <v>23</v>
      </c>
      <c r="E48" s="107">
        <v>63</v>
      </c>
      <c r="F48" s="38">
        <v>53</v>
      </c>
      <c r="G48" s="70">
        <v>47</v>
      </c>
      <c r="H48" s="38">
        <v>55</v>
      </c>
      <c r="I48" s="70">
        <v>43</v>
      </c>
      <c r="J48" s="38">
        <v>48</v>
      </c>
      <c r="K48" s="38">
        <v>58</v>
      </c>
      <c r="L48" s="38">
        <v>49</v>
      </c>
      <c r="M48" s="38">
        <v>59</v>
      </c>
      <c r="N48" s="38">
        <v>65</v>
      </c>
      <c r="O48" s="38">
        <v>63</v>
      </c>
      <c r="P48" s="107">
        <v>79</v>
      </c>
      <c r="Q48" s="107">
        <v>63</v>
      </c>
      <c r="R48" s="45">
        <f t="shared" si="0"/>
        <v>745</v>
      </c>
      <c r="S48" s="25">
        <f t="shared" si="1"/>
        <v>57.307692307692307</v>
      </c>
      <c r="T48" s="11">
        <f t="shared" si="2"/>
        <v>48</v>
      </c>
      <c r="U48" s="11"/>
      <c r="V48" s="11"/>
    </row>
    <row r="49" spans="1:22" ht="20.100000000000001" customHeight="1" x14ac:dyDescent="0.25">
      <c r="A49" s="155">
        <v>46</v>
      </c>
      <c r="B49" s="141"/>
      <c r="C49" s="145">
        <v>16</v>
      </c>
      <c r="D49" s="145" t="s">
        <v>23</v>
      </c>
      <c r="E49" s="107">
        <v>81</v>
      </c>
      <c r="F49" s="38">
        <v>65</v>
      </c>
      <c r="G49" s="38">
        <v>64</v>
      </c>
      <c r="H49" s="38">
        <v>53</v>
      </c>
      <c r="I49" s="70">
        <v>45</v>
      </c>
      <c r="J49" s="38">
        <v>66</v>
      </c>
      <c r="K49" s="38">
        <v>64</v>
      </c>
      <c r="L49" s="38">
        <v>61</v>
      </c>
      <c r="M49" s="38">
        <v>64</v>
      </c>
      <c r="N49" s="38">
        <v>70</v>
      </c>
      <c r="O49" s="38">
        <v>73</v>
      </c>
      <c r="P49" s="107">
        <v>89</v>
      </c>
      <c r="Q49" s="107">
        <v>72</v>
      </c>
      <c r="R49" s="45">
        <f t="shared" si="0"/>
        <v>867</v>
      </c>
      <c r="S49" s="25">
        <f t="shared" si="1"/>
        <v>66.692307692307693</v>
      </c>
      <c r="T49" s="11">
        <f t="shared" si="2"/>
        <v>35</v>
      </c>
      <c r="U49" s="11"/>
      <c r="V49" s="11"/>
    </row>
    <row r="50" spans="1:22" ht="20.100000000000001" customHeight="1" x14ac:dyDescent="0.25">
      <c r="A50" s="155">
        <v>47</v>
      </c>
      <c r="B50" s="141"/>
      <c r="C50" s="145">
        <v>15</v>
      </c>
      <c r="D50" s="145" t="s">
        <v>20</v>
      </c>
      <c r="E50" s="107">
        <v>73</v>
      </c>
      <c r="F50" s="38">
        <v>72</v>
      </c>
      <c r="G50" s="38">
        <v>53</v>
      </c>
      <c r="H50" s="38">
        <v>48</v>
      </c>
      <c r="I50" s="38">
        <v>47</v>
      </c>
      <c r="J50" s="38">
        <v>57</v>
      </c>
      <c r="K50" s="38">
        <v>41</v>
      </c>
      <c r="L50" s="38">
        <v>46</v>
      </c>
      <c r="M50" s="38">
        <v>76</v>
      </c>
      <c r="N50" s="38">
        <v>70</v>
      </c>
      <c r="O50" s="38">
        <v>65</v>
      </c>
      <c r="P50" s="107">
        <v>78</v>
      </c>
      <c r="Q50" s="107">
        <v>53</v>
      </c>
      <c r="R50" s="45">
        <f t="shared" si="0"/>
        <v>779</v>
      </c>
      <c r="S50" s="25">
        <f t="shared" si="1"/>
        <v>59.92307692307692</v>
      </c>
      <c r="T50" s="11">
        <f t="shared" si="2"/>
        <v>43</v>
      </c>
      <c r="U50" s="11"/>
      <c r="V50" s="11"/>
    </row>
    <row r="51" spans="1:22" ht="20.100000000000001" customHeight="1" x14ac:dyDescent="0.25">
      <c r="A51" s="155">
        <v>48</v>
      </c>
      <c r="B51" s="141"/>
      <c r="C51" s="145">
        <v>14</v>
      </c>
      <c r="D51" s="145" t="s">
        <v>23</v>
      </c>
      <c r="E51" s="107">
        <v>83</v>
      </c>
      <c r="F51" s="38">
        <v>54</v>
      </c>
      <c r="G51" s="38">
        <v>70</v>
      </c>
      <c r="H51" s="38">
        <v>67</v>
      </c>
      <c r="I51" s="70">
        <v>62</v>
      </c>
      <c r="J51" s="38">
        <v>70</v>
      </c>
      <c r="K51" s="38">
        <v>77</v>
      </c>
      <c r="L51" s="38">
        <v>72</v>
      </c>
      <c r="M51" s="38">
        <v>66</v>
      </c>
      <c r="N51" s="38">
        <v>77</v>
      </c>
      <c r="O51" s="38">
        <v>81</v>
      </c>
      <c r="P51" s="107">
        <v>94</v>
      </c>
      <c r="Q51" s="107">
        <v>89</v>
      </c>
      <c r="R51" s="45">
        <f t="shared" si="0"/>
        <v>962</v>
      </c>
      <c r="S51" s="25">
        <f t="shared" si="1"/>
        <v>74</v>
      </c>
      <c r="T51" s="11">
        <f t="shared" si="2"/>
        <v>26</v>
      </c>
      <c r="U51" s="11"/>
      <c r="V51" s="11"/>
    </row>
    <row r="52" spans="1:22" ht="19.5" customHeight="1" x14ac:dyDescent="0.25">
      <c r="A52" s="156">
        <v>49</v>
      </c>
      <c r="B52" s="141"/>
      <c r="C52" s="145">
        <v>15</v>
      </c>
      <c r="D52" s="145" t="s">
        <v>23</v>
      </c>
      <c r="E52" s="107">
        <v>78</v>
      </c>
      <c r="F52" s="38">
        <v>77</v>
      </c>
      <c r="G52" s="38">
        <v>82</v>
      </c>
      <c r="H52" s="38">
        <v>77</v>
      </c>
      <c r="I52" s="70">
        <v>65</v>
      </c>
      <c r="J52" s="38">
        <v>81</v>
      </c>
      <c r="K52" s="38">
        <v>76</v>
      </c>
      <c r="L52" s="38">
        <v>75</v>
      </c>
      <c r="M52" s="38">
        <v>86</v>
      </c>
      <c r="N52" s="38">
        <v>86</v>
      </c>
      <c r="O52" s="38">
        <v>81</v>
      </c>
      <c r="P52" s="107">
        <v>87</v>
      </c>
      <c r="Q52" s="107">
        <v>83</v>
      </c>
      <c r="R52" s="45">
        <f t="shared" si="0"/>
        <v>1034</v>
      </c>
      <c r="S52" s="25">
        <f t="shared" si="1"/>
        <v>79.538461538461533</v>
      </c>
      <c r="T52" s="11">
        <f t="shared" si="2"/>
        <v>16</v>
      </c>
      <c r="U52" s="11"/>
      <c r="V52" s="11"/>
    </row>
    <row r="53" spans="1:22" ht="19.5" customHeight="1" x14ac:dyDescent="0.25">
      <c r="A53" s="164">
        <v>50</v>
      </c>
      <c r="B53" s="141"/>
      <c r="C53" s="145">
        <v>16</v>
      </c>
      <c r="D53" s="145" t="s">
        <v>20</v>
      </c>
      <c r="E53" s="108">
        <v>69</v>
      </c>
      <c r="F53" s="76">
        <v>61</v>
      </c>
      <c r="G53" s="76">
        <v>51</v>
      </c>
      <c r="H53" s="76">
        <v>49</v>
      </c>
      <c r="I53" s="76">
        <v>44</v>
      </c>
      <c r="J53" s="76">
        <v>62</v>
      </c>
      <c r="K53" s="76">
        <v>58</v>
      </c>
      <c r="L53" s="76">
        <v>56</v>
      </c>
      <c r="M53" s="76">
        <v>56</v>
      </c>
      <c r="N53" s="76">
        <v>62</v>
      </c>
      <c r="O53" s="76">
        <v>56</v>
      </c>
      <c r="P53" s="108">
        <v>74</v>
      </c>
      <c r="Q53" s="108">
        <v>51</v>
      </c>
      <c r="R53" s="45">
        <f t="shared" si="0"/>
        <v>749</v>
      </c>
      <c r="S53" s="25">
        <f t="shared" si="1"/>
        <v>57.615384615384613</v>
      </c>
      <c r="T53" s="11">
        <f t="shared" si="2"/>
        <v>47</v>
      </c>
      <c r="U53" s="76"/>
      <c r="V53" s="76"/>
    </row>
    <row r="54" spans="1:22" ht="19.5" customHeight="1" x14ac:dyDescent="0.25">
      <c r="A54" s="164">
        <v>51</v>
      </c>
      <c r="B54" s="139"/>
      <c r="C54" s="136">
        <v>16</v>
      </c>
      <c r="D54" s="136" t="s">
        <v>20</v>
      </c>
      <c r="E54" s="108">
        <v>70</v>
      </c>
      <c r="F54" s="76">
        <v>56</v>
      </c>
      <c r="G54" s="76">
        <v>49</v>
      </c>
      <c r="H54" s="76">
        <v>44</v>
      </c>
      <c r="I54" s="76">
        <v>36</v>
      </c>
      <c r="J54" s="76">
        <v>45</v>
      </c>
      <c r="K54" s="76">
        <v>41</v>
      </c>
      <c r="L54" s="76">
        <v>45</v>
      </c>
      <c r="M54" s="76">
        <v>51</v>
      </c>
      <c r="N54" s="76">
        <v>60</v>
      </c>
      <c r="O54" s="76">
        <v>56</v>
      </c>
      <c r="P54" s="108">
        <v>75</v>
      </c>
      <c r="Q54" s="108">
        <v>52</v>
      </c>
      <c r="R54" s="45">
        <f t="shared" si="0"/>
        <v>680</v>
      </c>
      <c r="S54" s="25">
        <f t="shared" si="1"/>
        <v>52.307692307692307</v>
      </c>
      <c r="T54" s="11">
        <f t="shared" si="2"/>
        <v>51</v>
      </c>
      <c r="U54" s="76"/>
      <c r="V54" s="76"/>
    </row>
    <row r="55" spans="1:22" ht="19.5" customHeight="1" x14ac:dyDescent="0.25">
      <c r="A55" s="165">
        <v>52</v>
      </c>
      <c r="B55" s="169"/>
      <c r="C55" s="168"/>
      <c r="D55" s="168"/>
      <c r="E55" s="109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109"/>
      <c r="Q55" s="109"/>
      <c r="R55" s="86"/>
      <c r="S55" s="87"/>
      <c r="T55" s="88"/>
      <c r="U55" s="85"/>
      <c r="V55" s="85"/>
    </row>
    <row r="56" spans="1:22" ht="19.5" customHeight="1" x14ac:dyDescent="0.25">
      <c r="A56" s="166">
        <v>53</v>
      </c>
      <c r="B56" s="153"/>
      <c r="C56" s="42"/>
      <c r="D56" s="42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spans="1:22" ht="19.5" customHeight="1" x14ac:dyDescent="0.25">
      <c r="A57" s="167">
        <v>54</v>
      </c>
      <c r="B57" s="153"/>
      <c r="C57" s="42"/>
      <c r="D57" s="42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spans="1:22" ht="19.5" customHeight="1" x14ac:dyDescent="0.25">
      <c r="A58" s="166">
        <v>55</v>
      </c>
      <c r="B58" s="153"/>
      <c r="C58" s="42"/>
      <c r="D58" s="42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</sheetData>
  <mergeCells count="2">
    <mergeCell ref="A1:V1"/>
    <mergeCell ref="A2:V2"/>
  </mergeCells>
  <pageMargins left="0.7" right="0.7" top="0.75" bottom="0.75" header="0.3" footer="0.3"/>
  <pageSetup paperSize="9" scale="76" fitToHeight="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8"/>
  <sheetViews>
    <sheetView workbookViewId="0">
      <selection activeCell="B4" sqref="B4:B54"/>
    </sheetView>
  </sheetViews>
  <sheetFormatPr defaultRowHeight="15" x14ac:dyDescent="0.25"/>
  <cols>
    <col min="1" max="1" width="6.7109375" style="10" customWidth="1"/>
    <col min="2" max="2" width="35.140625" bestFit="1" customWidth="1"/>
    <col min="3" max="3" width="4.7109375" customWidth="1"/>
    <col min="4" max="4" width="4.140625" customWidth="1"/>
    <col min="5" max="22" width="6.7109375" customWidth="1"/>
  </cols>
  <sheetData>
    <row r="1" spans="1:22" ht="20.25" x14ac:dyDescent="0.25">
      <c r="A1" s="222" t="s">
        <v>55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4"/>
    </row>
    <row r="2" spans="1:22" ht="18" thickBot="1" x14ac:dyDescent="0.3">
      <c r="A2" s="225" t="s">
        <v>38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</row>
    <row r="3" spans="1:22" ht="67.5" customHeight="1" thickBot="1" x14ac:dyDescent="0.3">
      <c r="A3" s="13" t="s">
        <v>24</v>
      </c>
      <c r="B3" s="14" t="s">
        <v>1</v>
      </c>
      <c r="C3" s="15" t="s">
        <v>2</v>
      </c>
      <c r="D3" s="14" t="s">
        <v>3</v>
      </c>
      <c r="E3" s="53" t="s">
        <v>4</v>
      </c>
      <c r="F3" s="53" t="s">
        <v>5</v>
      </c>
      <c r="G3" s="53" t="s">
        <v>6</v>
      </c>
      <c r="H3" s="53" t="s">
        <v>7</v>
      </c>
      <c r="I3" s="53" t="s">
        <v>8</v>
      </c>
      <c r="J3" s="53" t="s">
        <v>9</v>
      </c>
      <c r="K3" s="53" t="s">
        <v>11</v>
      </c>
      <c r="L3" s="53" t="s">
        <v>10</v>
      </c>
      <c r="M3" s="55" t="s">
        <v>78</v>
      </c>
      <c r="N3" s="55" t="s">
        <v>13</v>
      </c>
      <c r="O3" s="55" t="s">
        <v>65</v>
      </c>
      <c r="P3" s="53" t="s">
        <v>14</v>
      </c>
      <c r="Q3" s="53" t="s">
        <v>66</v>
      </c>
      <c r="R3" s="19" t="s">
        <v>15</v>
      </c>
      <c r="S3" s="17" t="s">
        <v>16</v>
      </c>
      <c r="T3" s="17" t="s">
        <v>17</v>
      </c>
      <c r="U3" s="18" t="s">
        <v>18</v>
      </c>
      <c r="V3" s="20" t="s">
        <v>19</v>
      </c>
    </row>
    <row r="4" spans="1:22" ht="20.100000000000001" customHeight="1" x14ac:dyDescent="0.25">
      <c r="A4" s="154">
        <v>1</v>
      </c>
      <c r="B4" s="141"/>
      <c r="C4" s="145">
        <v>15</v>
      </c>
      <c r="D4" s="145" t="s">
        <v>23</v>
      </c>
      <c r="E4" s="11">
        <v>67</v>
      </c>
      <c r="F4" s="11">
        <v>74</v>
      </c>
      <c r="G4" s="11">
        <v>48</v>
      </c>
      <c r="H4" s="11">
        <v>61</v>
      </c>
      <c r="I4" s="11">
        <v>55</v>
      </c>
      <c r="J4" s="11">
        <v>69</v>
      </c>
      <c r="K4" s="11">
        <v>69</v>
      </c>
      <c r="L4" s="11">
        <v>69</v>
      </c>
      <c r="M4" s="11">
        <v>70</v>
      </c>
      <c r="N4" s="11">
        <v>94</v>
      </c>
      <c r="O4" s="11">
        <v>71</v>
      </c>
      <c r="P4" s="11">
        <v>90</v>
      </c>
      <c r="Q4" s="11">
        <v>62</v>
      </c>
      <c r="R4" s="11">
        <f>SUM(E4:Q4)</f>
        <v>899</v>
      </c>
      <c r="S4" s="25">
        <f>AVERAGE(E4:Q4)</f>
        <v>69.15384615384616</v>
      </c>
      <c r="T4" s="11">
        <f>RANK(S4,$S$4:$S$54)</f>
        <v>32</v>
      </c>
      <c r="U4" s="11"/>
      <c r="V4" s="11"/>
    </row>
    <row r="5" spans="1:22" ht="20.100000000000001" customHeight="1" x14ac:dyDescent="0.25">
      <c r="A5" s="155">
        <v>2</v>
      </c>
      <c r="B5" s="141"/>
      <c r="C5" s="145">
        <v>15</v>
      </c>
      <c r="D5" s="145" t="s">
        <v>23</v>
      </c>
      <c r="E5" s="11">
        <v>70</v>
      </c>
      <c r="F5" s="11">
        <v>64</v>
      </c>
      <c r="G5" s="11">
        <v>54</v>
      </c>
      <c r="H5" s="11">
        <v>61</v>
      </c>
      <c r="I5" s="11">
        <v>42</v>
      </c>
      <c r="J5" s="11">
        <v>48</v>
      </c>
      <c r="K5" s="11">
        <v>48</v>
      </c>
      <c r="L5" s="11">
        <v>76</v>
      </c>
      <c r="M5" s="11">
        <v>63</v>
      </c>
      <c r="N5" s="11">
        <v>76</v>
      </c>
      <c r="O5" s="11">
        <v>60</v>
      </c>
      <c r="P5" s="11">
        <v>87</v>
      </c>
      <c r="Q5" s="11">
        <v>61</v>
      </c>
      <c r="R5" s="11">
        <f t="shared" ref="R5:R54" si="0">SUM(E5:Q5)</f>
        <v>810</v>
      </c>
      <c r="S5" s="25">
        <f t="shared" ref="S5:S54" si="1">AVERAGE(E5:Q5)</f>
        <v>62.307692307692307</v>
      </c>
      <c r="T5" s="11">
        <f t="shared" ref="T5:T54" si="2">RANK(S5,$S$4:$S$54)</f>
        <v>41</v>
      </c>
      <c r="U5" s="11"/>
      <c r="V5" s="11"/>
    </row>
    <row r="6" spans="1:22" ht="20.100000000000001" customHeight="1" x14ac:dyDescent="0.25">
      <c r="A6" s="156">
        <v>3</v>
      </c>
      <c r="B6" s="141"/>
      <c r="C6" s="145">
        <v>17</v>
      </c>
      <c r="D6" s="145" t="s">
        <v>20</v>
      </c>
      <c r="E6" s="11">
        <v>91</v>
      </c>
      <c r="F6" s="11">
        <v>91</v>
      </c>
      <c r="G6" s="11">
        <v>95</v>
      </c>
      <c r="H6" s="11">
        <v>100</v>
      </c>
      <c r="I6" s="11">
        <v>96</v>
      </c>
      <c r="J6" s="11">
        <v>98</v>
      </c>
      <c r="K6" s="11">
        <v>88</v>
      </c>
      <c r="L6" s="11">
        <v>97</v>
      </c>
      <c r="M6" s="11">
        <v>94</v>
      </c>
      <c r="N6" s="11">
        <v>100</v>
      </c>
      <c r="O6" s="11">
        <v>88</v>
      </c>
      <c r="P6" s="11">
        <v>92</v>
      </c>
      <c r="Q6" s="11">
        <v>88</v>
      </c>
      <c r="R6" s="11">
        <f t="shared" si="0"/>
        <v>1218</v>
      </c>
      <c r="S6" s="25">
        <f t="shared" si="1"/>
        <v>93.692307692307693</v>
      </c>
      <c r="T6" s="11">
        <f t="shared" si="2"/>
        <v>1</v>
      </c>
      <c r="U6" s="11"/>
      <c r="V6" s="11"/>
    </row>
    <row r="7" spans="1:22" ht="20.100000000000001" customHeight="1" x14ac:dyDescent="0.25">
      <c r="A7" s="155">
        <v>4</v>
      </c>
      <c r="B7" s="141"/>
      <c r="C7" s="145">
        <v>15</v>
      </c>
      <c r="D7" s="145" t="s">
        <v>23</v>
      </c>
      <c r="E7" s="11">
        <v>85</v>
      </c>
      <c r="F7" s="11">
        <v>94</v>
      </c>
      <c r="G7" s="11">
        <v>90</v>
      </c>
      <c r="H7" s="11">
        <v>93</v>
      </c>
      <c r="I7" s="11">
        <v>92</v>
      </c>
      <c r="J7" s="11">
        <v>92</v>
      </c>
      <c r="K7" s="11">
        <v>91</v>
      </c>
      <c r="L7" s="11">
        <v>97</v>
      </c>
      <c r="M7" s="11">
        <v>96</v>
      </c>
      <c r="N7" s="11">
        <v>100</v>
      </c>
      <c r="O7" s="11">
        <v>93</v>
      </c>
      <c r="P7" s="11">
        <v>95</v>
      </c>
      <c r="Q7" s="11">
        <v>84</v>
      </c>
      <c r="R7" s="11">
        <f t="shared" si="0"/>
        <v>1202</v>
      </c>
      <c r="S7" s="25">
        <f t="shared" si="1"/>
        <v>92.461538461538467</v>
      </c>
      <c r="T7" s="11">
        <f t="shared" si="2"/>
        <v>3</v>
      </c>
      <c r="U7" s="11"/>
      <c r="V7" s="11"/>
    </row>
    <row r="8" spans="1:22" ht="20.100000000000001" customHeight="1" x14ac:dyDescent="0.25">
      <c r="A8" s="155">
        <v>5</v>
      </c>
      <c r="B8" s="141"/>
      <c r="C8" s="145">
        <v>14</v>
      </c>
      <c r="D8" s="145" t="s">
        <v>20</v>
      </c>
      <c r="E8" s="11">
        <v>80</v>
      </c>
      <c r="F8" s="11">
        <v>80</v>
      </c>
      <c r="G8" s="11">
        <v>88</v>
      </c>
      <c r="H8" s="11">
        <v>75</v>
      </c>
      <c r="I8" s="11">
        <v>79</v>
      </c>
      <c r="J8" s="11">
        <v>83</v>
      </c>
      <c r="K8" s="11">
        <v>63</v>
      </c>
      <c r="L8" s="11">
        <v>85</v>
      </c>
      <c r="M8" s="11">
        <v>68</v>
      </c>
      <c r="N8" s="11">
        <v>96</v>
      </c>
      <c r="O8" s="11">
        <v>68</v>
      </c>
      <c r="P8" s="11">
        <v>84</v>
      </c>
      <c r="Q8" s="11">
        <v>56</v>
      </c>
      <c r="R8" s="11">
        <f t="shared" si="0"/>
        <v>1005</v>
      </c>
      <c r="S8" s="25">
        <f t="shared" si="1"/>
        <v>77.307692307692307</v>
      </c>
      <c r="T8" s="11">
        <f t="shared" si="2"/>
        <v>17</v>
      </c>
      <c r="U8" s="11"/>
      <c r="V8" s="11"/>
    </row>
    <row r="9" spans="1:22" ht="20.100000000000001" customHeight="1" x14ac:dyDescent="0.25">
      <c r="A9" s="156">
        <v>6</v>
      </c>
      <c r="B9" s="141"/>
      <c r="C9" s="145">
        <v>16</v>
      </c>
      <c r="D9" s="145" t="s">
        <v>20</v>
      </c>
      <c r="E9" s="11">
        <v>81</v>
      </c>
      <c r="F9" s="11">
        <v>72</v>
      </c>
      <c r="G9" s="11">
        <v>61</v>
      </c>
      <c r="H9" s="11">
        <v>64</v>
      </c>
      <c r="I9" s="11">
        <v>69</v>
      </c>
      <c r="J9" s="11">
        <v>73</v>
      </c>
      <c r="K9" s="11">
        <v>79</v>
      </c>
      <c r="L9" s="11">
        <v>97</v>
      </c>
      <c r="M9" s="11">
        <v>85</v>
      </c>
      <c r="N9" s="11">
        <v>89</v>
      </c>
      <c r="O9" s="11">
        <v>81</v>
      </c>
      <c r="P9" s="11">
        <v>97</v>
      </c>
      <c r="Q9" s="11">
        <v>53</v>
      </c>
      <c r="R9" s="11">
        <f t="shared" si="0"/>
        <v>1001</v>
      </c>
      <c r="S9" s="25">
        <f t="shared" si="1"/>
        <v>77</v>
      </c>
      <c r="T9" s="11">
        <f t="shared" si="2"/>
        <v>20</v>
      </c>
      <c r="U9" s="11"/>
      <c r="V9" s="11"/>
    </row>
    <row r="10" spans="1:22" ht="20.100000000000001" customHeight="1" x14ac:dyDescent="0.25">
      <c r="A10" s="155">
        <v>7</v>
      </c>
      <c r="B10" s="141"/>
      <c r="C10" s="145">
        <v>15</v>
      </c>
      <c r="D10" s="145" t="s">
        <v>23</v>
      </c>
      <c r="E10" s="11">
        <v>89</v>
      </c>
      <c r="F10" s="11">
        <v>91</v>
      </c>
      <c r="G10" s="11">
        <v>92</v>
      </c>
      <c r="H10" s="11">
        <v>88</v>
      </c>
      <c r="I10" s="11">
        <v>91</v>
      </c>
      <c r="J10" s="11">
        <v>96</v>
      </c>
      <c r="K10" s="11">
        <v>91</v>
      </c>
      <c r="L10" s="11">
        <v>98</v>
      </c>
      <c r="M10" s="11">
        <v>91</v>
      </c>
      <c r="N10" s="11">
        <v>100</v>
      </c>
      <c r="O10" s="11">
        <v>93</v>
      </c>
      <c r="P10" s="11">
        <v>99</v>
      </c>
      <c r="Q10" s="11">
        <v>86</v>
      </c>
      <c r="R10" s="11">
        <f t="shared" si="0"/>
        <v>1205</v>
      </c>
      <c r="S10" s="25">
        <f t="shared" si="1"/>
        <v>92.692307692307693</v>
      </c>
      <c r="T10" s="11">
        <f t="shared" si="2"/>
        <v>2</v>
      </c>
      <c r="U10" s="11"/>
      <c r="V10" s="11"/>
    </row>
    <row r="11" spans="1:22" ht="20.100000000000001" customHeight="1" x14ac:dyDescent="0.25">
      <c r="A11" s="155">
        <v>8</v>
      </c>
      <c r="B11" s="141"/>
      <c r="C11" s="145">
        <v>15</v>
      </c>
      <c r="D11" s="145" t="s">
        <v>23</v>
      </c>
      <c r="E11" s="11">
        <v>73</v>
      </c>
      <c r="F11" s="11">
        <v>77</v>
      </c>
      <c r="G11" s="11">
        <v>48</v>
      </c>
      <c r="H11" s="11">
        <v>52</v>
      </c>
      <c r="I11" s="11">
        <v>54</v>
      </c>
      <c r="J11" s="11">
        <v>75</v>
      </c>
      <c r="K11" s="11">
        <v>58</v>
      </c>
      <c r="L11" s="11">
        <v>82</v>
      </c>
      <c r="M11" s="11">
        <v>84</v>
      </c>
      <c r="N11" s="11">
        <v>98</v>
      </c>
      <c r="O11" s="11">
        <v>83</v>
      </c>
      <c r="P11" s="11">
        <v>90</v>
      </c>
      <c r="Q11" s="11">
        <v>53</v>
      </c>
      <c r="R11" s="11">
        <f t="shared" si="0"/>
        <v>927</v>
      </c>
      <c r="S11" s="25">
        <f t="shared" si="1"/>
        <v>71.307692307692307</v>
      </c>
      <c r="T11" s="11">
        <f t="shared" si="2"/>
        <v>28</v>
      </c>
      <c r="U11" s="11"/>
      <c r="V11" s="11"/>
    </row>
    <row r="12" spans="1:22" ht="20.100000000000001" customHeight="1" x14ac:dyDescent="0.25">
      <c r="A12" s="156">
        <v>9</v>
      </c>
      <c r="B12" s="141"/>
      <c r="C12" s="145">
        <v>16</v>
      </c>
      <c r="D12" s="145" t="s">
        <v>23</v>
      </c>
      <c r="E12" s="11">
        <v>66</v>
      </c>
      <c r="F12" s="11">
        <v>71</v>
      </c>
      <c r="G12" s="11">
        <v>61</v>
      </c>
      <c r="H12" s="11">
        <v>57</v>
      </c>
      <c r="I12" s="11">
        <v>59</v>
      </c>
      <c r="J12" s="11">
        <v>71</v>
      </c>
      <c r="K12" s="11">
        <v>73</v>
      </c>
      <c r="L12" s="11">
        <v>86</v>
      </c>
      <c r="M12" s="11">
        <v>65</v>
      </c>
      <c r="N12" s="11">
        <v>87</v>
      </c>
      <c r="O12" s="11">
        <v>63</v>
      </c>
      <c r="P12" s="11">
        <v>77</v>
      </c>
      <c r="Q12" s="11">
        <v>57</v>
      </c>
      <c r="R12" s="11">
        <f t="shared" si="0"/>
        <v>893</v>
      </c>
      <c r="S12" s="25">
        <f t="shared" si="1"/>
        <v>68.692307692307693</v>
      </c>
      <c r="T12" s="11">
        <f t="shared" si="2"/>
        <v>35</v>
      </c>
      <c r="U12" s="11"/>
      <c r="V12" s="11"/>
    </row>
    <row r="13" spans="1:22" ht="20.100000000000001" customHeight="1" x14ac:dyDescent="0.25">
      <c r="A13" s="155">
        <v>10</v>
      </c>
      <c r="B13" s="141"/>
      <c r="C13" s="145">
        <v>16</v>
      </c>
      <c r="D13" s="145" t="s">
        <v>20</v>
      </c>
      <c r="E13" s="11">
        <v>61</v>
      </c>
      <c r="F13" s="11">
        <v>61</v>
      </c>
      <c r="G13" s="11">
        <v>39</v>
      </c>
      <c r="H13" s="11">
        <v>51</v>
      </c>
      <c r="I13" s="11">
        <v>48</v>
      </c>
      <c r="J13" s="11">
        <v>58</v>
      </c>
      <c r="K13" s="11">
        <v>51</v>
      </c>
      <c r="L13" s="11">
        <v>63</v>
      </c>
      <c r="M13" s="11">
        <v>67</v>
      </c>
      <c r="N13" s="11">
        <v>85</v>
      </c>
      <c r="O13" s="11">
        <v>49</v>
      </c>
      <c r="P13" s="11">
        <v>86</v>
      </c>
      <c r="Q13" s="11">
        <v>58</v>
      </c>
      <c r="R13" s="11">
        <f t="shared" si="0"/>
        <v>777</v>
      </c>
      <c r="S13" s="25">
        <f t="shared" si="1"/>
        <v>59.769230769230766</v>
      </c>
      <c r="T13" s="11">
        <f t="shared" si="2"/>
        <v>48</v>
      </c>
      <c r="U13" s="11"/>
      <c r="V13" s="11"/>
    </row>
    <row r="14" spans="1:22" ht="20.100000000000001" customHeight="1" x14ac:dyDescent="0.25">
      <c r="A14" s="156">
        <v>11</v>
      </c>
      <c r="B14" s="141"/>
      <c r="C14" s="145">
        <v>15</v>
      </c>
      <c r="D14" s="145" t="s">
        <v>23</v>
      </c>
      <c r="E14" s="11">
        <v>80</v>
      </c>
      <c r="F14" s="11">
        <v>80</v>
      </c>
      <c r="G14" s="11">
        <v>63</v>
      </c>
      <c r="H14" s="11">
        <v>64</v>
      </c>
      <c r="I14" s="11">
        <v>62</v>
      </c>
      <c r="J14" s="11">
        <v>77</v>
      </c>
      <c r="K14" s="11">
        <v>78</v>
      </c>
      <c r="L14" s="11">
        <v>86</v>
      </c>
      <c r="M14" s="11">
        <v>83</v>
      </c>
      <c r="N14" s="11">
        <v>92</v>
      </c>
      <c r="O14" s="11">
        <v>70</v>
      </c>
      <c r="P14" s="11">
        <v>80</v>
      </c>
      <c r="Q14" s="11">
        <v>95</v>
      </c>
      <c r="R14" s="11">
        <f t="shared" si="0"/>
        <v>1010</v>
      </c>
      <c r="S14" s="25">
        <f t="shared" si="1"/>
        <v>77.692307692307693</v>
      </c>
      <c r="T14" s="11">
        <f t="shared" si="2"/>
        <v>16</v>
      </c>
      <c r="U14" s="11"/>
      <c r="V14" s="11"/>
    </row>
    <row r="15" spans="1:22" ht="20.100000000000001" customHeight="1" x14ac:dyDescent="0.25">
      <c r="A15" s="156">
        <v>12</v>
      </c>
      <c r="B15" s="141"/>
      <c r="C15" s="145">
        <v>15</v>
      </c>
      <c r="D15" s="145" t="s">
        <v>20</v>
      </c>
      <c r="E15" s="11">
        <v>64</v>
      </c>
      <c r="F15" s="11">
        <v>62</v>
      </c>
      <c r="G15" s="11">
        <v>50</v>
      </c>
      <c r="H15" s="11">
        <v>55</v>
      </c>
      <c r="I15" s="11">
        <v>43</v>
      </c>
      <c r="J15" s="11">
        <v>57</v>
      </c>
      <c r="K15" s="11">
        <v>57</v>
      </c>
      <c r="L15" s="11">
        <v>72</v>
      </c>
      <c r="M15" s="11">
        <v>67</v>
      </c>
      <c r="N15" s="11">
        <v>80</v>
      </c>
      <c r="O15" s="11">
        <v>50</v>
      </c>
      <c r="P15" s="11">
        <v>86</v>
      </c>
      <c r="Q15" s="11">
        <v>59</v>
      </c>
      <c r="R15" s="11">
        <f t="shared" si="0"/>
        <v>802</v>
      </c>
      <c r="S15" s="25">
        <f t="shared" si="1"/>
        <v>61.692307692307693</v>
      </c>
      <c r="T15" s="11">
        <f t="shared" si="2"/>
        <v>43</v>
      </c>
      <c r="U15" s="11"/>
      <c r="V15" s="11"/>
    </row>
    <row r="16" spans="1:22" ht="20.100000000000001" customHeight="1" x14ac:dyDescent="0.25">
      <c r="A16" s="156">
        <v>13</v>
      </c>
      <c r="B16" s="141"/>
      <c r="C16" s="145">
        <v>16</v>
      </c>
      <c r="D16" s="145" t="s">
        <v>23</v>
      </c>
      <c r="E16" s="11">
        <v>82</v>
      </c>
      <c r="F16" s="11">
        <v>63</v>
      </c>
      <c r="G16" s="11">
        <v>60</v>
      </c>
      <c r="H16" s="11">
        <v>58</v>
      </c>
      <c r="I16" s="11">
        <v>54</v>
      </c>
      <c r="J16" s="11">
        <v>60</v>
      </c>
      <c r="K16" s="11">
        <v>69</v>
      </c>
      <c r="L16" s="11">
        <v>84</v>
      </c>
      <c r="M16" s="11">
        <v>79</v>
      </c>
      <c r="N16" s="11">
        <v>94</v>
      </c>
      <c r="O16" s="11">
        <v>77</v>
      </c>
      <c r="P16" s="11">
        <v>97</v>
      </c>
      <c r="Q16" s="11">
        <v>65</v>
      </c>
      <c r="R16" s="11">
        <f t="shared" si="0"/>
        <v>942</v>
      </c>
      <c r="S16" s="25">
        <f t="shared" si="1"/>
        <v>72.461538461538467</v>
      </c>
      <c r="T16" s="11">
        <f t="shared" si="2"/>
        <v>27</v>
      </c>
      <c r="U16" s="11"/>
      <c r="V16" s="11"/>
    </row>
    <row r="17" spans="1:22" ht="20.100000000000001" customHeight="1" x14ac:dyDescent="0.25">
      <c r="A17" s="155">
        <v>14</v>
      </c>
      <c r="B17" s="141"/>
      <c r="C17" s="145">
        <v>16</v>
      </c>
      <c r="D17" s="145" t="s">
        <v>20</v>
      </c>
      <c r="E17" s="11">
        <v>84</v>
      </c>
      <c r="F17" s="11">
        <v>61</v>
      </c>
      <c r="G17" s="11">
        <v>48</v>
      </c>
      <c r="H17" s="11">
        <v>68</v>
      </c>
      <c r="I17" s="11">
        <v>57</v>
      </c>
      <c r="J17" s="11">
        <v>72</v>
      </c>
      <c r="K17" s="11">
        <v>87</v>
      </c>
      <c r="L17" s="11">
        <v>90</v>
      </c>
      <c r="M17" s="11">
        <v>79</v>
      </c>
      <c r="N17" s="11">
        <v>84</v>
      </c>
      <c r="O17" s="11">
        <v>69</v>
      </c>
      <c r="P17" s="11">
        <v>92</v>
      </c>
      <c r="Q17" s="11">
        <v>56</v>
      </c>
      <c r="R17" s="11">
        <f t="shared" si="0"/>
        <v>947</v>
      </c>
      <c r="S17" s="25">
        <f t="shared" si="1"/>
        <v>72.84615384615384</v>
      </c>
      <c r="T17" s="11">
        <f t="shared" si="2"/>
        <v>26</v>
      </c>
      <c r="U17" s="11"/>
      <c r="V17" s="11"/>
    </row>
    <row r="18" spans="1:22" ht="20.100000000000001" customHeight="1" x14ac:dyDescent="0.25">
      <c r="A18" s="156">
        <v>15</v>
      </c>
      <c r="B18" s="141"/>
      <c r="C18" s="145">
        <v>15</v>
      </c>
      <c r="D18" s="145" t="s">
        <v>23</v>
      </c>
      <c r="E18" s="11">
        <v>80</v>
      </c>
      <c r="F18" s="11">
        <v>82</v>
      </c>
      <c r="G18" s="11">
        <v>74</v>
      </c>
      <c r="H18" s="11">
        <v>74</v>
      </c>
      <c r="I18" s="11">
        <v>73</v>
      </c>
      <c r="J18" s="11">
        <v>75</v>
      </c>
      <c r="K18" s="11">
        <v>74</v>
      </c>
      <c r="L18" s="11">
        <v>98</v>
      </c>
      <c r="M18" s="11">
        <v>80</v>
      </c>
      <c r="N18" s="11">
        <v>93</v>
      </c>
      <c r="O18" s="11">
        <v>75</v>
      </c>
      <c r="P18" s="11">
        <v>86</v>
      </c>
      <c r="Q18" s="11">
        <v>76</v>
      </c>
      <c r="R18" s="11">
        <f t="shared" si="0"/>
        <v>1040</v>
      </c>
      <c r="S18" s="25">
        <f t="shared" si="1"/>
        <v>80</v>
      </c>
      <c r="T18" s="11">
        <f t="shared" si="2"/>
        <v>11</v>
      </c>
      <c r="U18" s="11"/>
      <c r="V18" s="11"/>
    </row>
    <row r="19" spans="1:22" ht="20.100000000000001" customHeight="1" x14ac:dyDescent="0.25">
      <c r="A19" s="155">
        <v>16</v>
      </c>
      <c r="B19" s="141"/>
      <c r="C19" s="145">
        <v>15</v>
      </c>
      <c r="D19" s="145" t="s">
        <v>23</v>
      </c>
      <c r="E19" s="11">
        <v>73</v>
      </c>
      <c r="F19" s="11">
        <v>67</v>
      </c>
      <c r="G19" s="11">
        <v>72</v>
      </c>
      <c r="H19" s="11">
        <v>49</v>
      </c>
      <c r="I19" s="11">
        <v>61</v>
      </c>
      <c r="J19" s="11">
        <v>59</v>
      </c>
      <c r="K19" s="11">
        <v>55</v>
      </c>
      <c r="L19" s="11">
        <v>68</v>
      </c>
      <c r="M19" s="11">
        <v>76</v>
      </c>
      <c r="N19" s="11">
        <v>78</v>
      </c>
      <c r="O19" s="11">
        <v>59</v>
      </c>
      <c r="P19" s="11">
        <v>86</v>
      </c>
      <c r="Q19" s="11">
        <v>57</v>
      </c>
      <c r="R19" s="11">
        <f t="shared" si="0"/>
        <v>860</v>
      </c>
      <c r="S19" s="25">
        <f t="shared" si="1"/>
        <v>66.15384615384616</v>
      </c>
      <c r="T19" s="11">
        <f t="shared" si="2"/>
        <v>39</v>
      </c>
      <c r="U19" s="11"/>
      <c r="V19" s="11"/>
    </row>
    <row r="20" spans="1:22" ht="20.100000000000001" customHeight="1" x14ac:dyDescent="0.25">
      <c r="A20" s="155">
        <v>17</v>
      </c>
      <c r="B20" s="141"/>
      <c r="C20" s="145">
        <v>16</v>
      </c>
      <c r="D20" s="145" t="s">
        <v>23</v>
      </c>
      <c r="E20" s="11">
        <v>72</v>
      </c>
      <c r="F20" s="11">
        <v>78</v>
      </c>
      <c r="G20" s="11">
        <v>90</v>
      </c>
      <c r="H20" s="11">
        <v>83</v>
      </c>
      <c r="I20" s="11">
        <v>95</v>
      </c>
      <c r="J20" s="11">
        <v>97</v>
      </c>
      <c r="K20" s="11">
        <v>95</v>
      </c>
      <c r="L20" s="11">
        <v>100</v>
      </c>
      <c r="M20" s="11">
        <v>92</v>
      </c>
      <c r="N20" s="11">
        <v>98</v>
      </c>
      <c r="O20" s="11">
        <v>80</v>
      </c>
      <c r="P20" s="11">
        <v>95</v>
      </c>
      <c r="Q20" s="11">
        <v>76</v>
      </c>
      <c r="R20" s="11">
        <f t="shared" si="0"/>
        <v>1151</v>
      </c>
      <c r="S20" s="25">
        <f t="shared" si="1"/>
        <v>88.538461538461533</v>
      </c>
      <c r="T20" s="11">
        <f t="shared" si="2"/>
        <v>4</v>
      </c>
      <c r="U20" s="11"/>
      <c r="V20" s="11"/>
    </row>
    <row r="21" spans="1:22" ht="20.100000000000001" customHeight="1" x14ac:dyDescent="0.25">
      <c r="A21" s="155">
        <v>18</v>
      </c>
      <c r="B21" s="141"/>
      <c r="C21" s="145">
        <v>16</v>
      </c>
      <c r="D21" s="145" t="s">
        <v>20</v>
      </c>
      <c r="E21" s="11">
        <v>69</v>
      </c>
      <c r="F21" s="11">
        <v>80</v>
      </c>
      <c r="G21" s="11">
        <v>77</v>
      </c>
      <c r="H21" s="11">
        <v>74</v>
      </c>
      <c r="I21" s="11">
        <v>91</v>
      </c>
      <c r="J21" s="11">
        <v>86</v>
      </c>
      <c r="K21" s="11">
        <v>82</v>
      </c>
      <c r="L21" s="11">
        <v>90</v>
      </c>
      <c r="M21" s="11">
        <v>82</v>
      </c>
      <c r="N21" s="11">
        <v>98</v>
      </c>
      <c r="O21" s="11">
        <v>73</v>
      </c>
      <c r="P21" s="11">
        <v>91</v>
      </c>
      <c r="Q21" s="11">
        <v>57</v>
      </c>
      <c r="R21" s="11">
        <f t="shared" si="0"/>
        <v>1050</v>
      </c>
      <c r="S21" s="25">
        <f t="shared" si="1"/>
        <v>80.769230769230774</v>
      </c>
      <c r="T21" s="11">
        <f t="shared" si="2"/>
        <v>9</v>
      </c>
      <c r="U21" s="11"/>
      <c r="V21" s="11"/>
    </row>
    <row r="22" spans="1:22" ht="20.100000000000001" customHeight="1" x14ac:dyDescent="0.25">
      <c r="A22" s="156">
        <v>19</v>
      </c>
      <c r="B22" s="141"/>
      <c r="C22" s="145">
        <v>16</v>
      </c>
      <c r="D22" s="145" t="s">
        <v>23</v>
      </c>
      <c r="E22" s="11">
        <v>74</v>
      </c>
      <c r="F22" s="11">
        <v>81</v>
      </c>
      <c r="G22" s="11">
        <v>70</v>
      </c>
      <c r="H22" s="11">
        <v>72</v>
      </c>
      <c r="I22" s="11">
        <v>62</v>
      </c>
      <c r="J22" s="11">
        <v>66</v>
      </c>
      <c r="K22" s="11">
        <v>73</v>
      </c>
      <c r="L22" s="11">
        <v>87</v>
      </c>
      <c r="M22" s="11">
        <v>82</v>
      </c>
      <c r="N22" s="11">
        <v>94</v>
      </c>
      <c r="O22" s="11">
        <v>72</v>
      </c>
      <c r="P22" s="11">
        <v>97</v>
      </c>
      <c r="Q22" s="11">
        <v>74</v>
      </c>
      <c r="R22" s="11">
        <f t="shared" si="0"/>
        <v>1004</v>
      </c>
      <c r="S22" s="25">
        <f t="shared" si="1"/>
        <v>77.230769230769226</v>
      </c>
      <c r="T22" s="11">
        <f t="shared" si="2"/>
        <v>18</v>
      </c>
      <c r="U22" s="11"/>
      <c r="V22" s="11"/>
    </row>
    <row r="23" spans="1:22" ht="20.100000000000001" customHeight="1" x14ac:dyDescent="0.25">
      <c r="A23" s="156">
        <v>20</v>
      </c>
      <c r="B23" s="141"/>
      <c r="C23" s="145">
        <v>15</v>
      </c>
      <c r="D23" s="145" t="s">
        <v>23</v>
      </c>
      <c r="E23" s="11">
        <v>83</v>
      </c>
      <c r="F23" s="11">
        <v>72</v>
      </c>
      <c r="G23" s="11">
        <v>68</v>
      </c>
      <c r="H23" s="11">
        <v>77</v>
      </c>
      <c r="I23" s="11">
        <v>79</v>
      </c>
      <c r="J23" s="11">
        <v>73</v>
      </c>
      <c r="K23" s="11">
        <v>76</v>
      </c>
      <c r="L23" s="11">
        <v>96</v>
      </c>
      <c r="M23" s="11">
        <v>86</v>
      </c>
      <c r="N23" s="11">
        <v>98</v>
      </c>
      <c r="O23" s="11">
        <v>70</v>
      </c>
      <c r="P23" s="11">
        <v>92</v>
      </c>
      <c r="Q23" s="11">
        <v>69</v>
      </c>
      <c r="R23" s="11">
        <f t="shared" si="0"/>
        <v>1039</v>
      </c>
      <c r="S23" s="25">
        <f t="shared" si="1"/>
        <v>79.92307692307692</v>
      </c>
      <c r="T23" s="11">
        <f t="shared" si="2"/>
        <v>12</v>
      </c>
      <c r="U23" s="11"/>
      <c r="V23" s="11"/>
    </row>
    <row r="24" spans="1:22" ht="20.100000000000001" customHeight="1" x14ac:dyDescent="0.25">
      <c r="A24" s="156">
        <v>21</v>
      </c>
      <c r="B24" s="141"/>
      <c r="C24" s="145">
        <v>16</v>
      </c>
      <c r="D24" s="145" t="s">
        <v>20</v>
      </c>
      <c r="E24" s="11">
        <v>69</v>
      </c>
      <c r="F24" s="11">
        <v>62</v>
      </c>
      <c r="G24" s="11">
        <v>57</v>
      </c>
      <c r="H24" s="11">
        <v>59</v>
      </c>
      <c r="I24" s="11">
        <v>50</v>
      </c>
      <c r="J24" s="11">
        <v>71</v>
      </c>
      <c r="K24" s="11">
        <v>65</v>
      </c>
      <c r="L24" s="11">
        <v>82</v>
      </c>
      <c r="M24" s="11">
        <v>58</v>
      </c>
      <c r="N24" s="11">
        <v>90</v>
      </c>
      <c r="O24" s="11">
        <v>66</v>
      </c>
      <c r="P24" s="11">
        <v>82</v>
      </c>
      <c r="Q24" s="11">
        <v>60</v>
      </c>
      <c r="R24" s="11">
        <f t="shared" si="0"/>
        <v>871</v>
      </c>
      <c r="S24" s="25">
        <f t="shared" si="1"/>
        <v>67</v>
      </c>
      <c r="T24" s="11">
        <f t="shared" si="2"/>
        <v>36</v>
      </c>
      <c r="U24" s="11"/>
      <c r="V24" s="11"/>
    </row>
    <row r="25" spans="1:22" ht="20.100000000000001" customHeight="1" x14ac:dyDescent="0.25">
      <c r="A25" s="155">
        <v>22</v>
      </c>
      <c r="B25" s="141"/>
      <c r="C25" s="145">
        <v>15</v>
      </c>
      <c r="D25" s="145" t="s">
        <v>23</v>
      </c>
      <c r="E25" s="11">
        <v>85</v>
      </c>
      <c r="F25" s="11">
        <v>87</v>
      </c>
      <c r="G25" s="11">
        <v>74</v>
      </c>
      <c r="H25" s="11">
        <v>79</v>
      </c>
      <c r="I25" s="11">
        <v>88</v>
      </c>
      <c r="J25" s="11">
        <v>88</v>
      </c>
      <c r="K25" s="11">
        <v>92</v>
      </c>
      <c r="L25" s="11">
        <v>96</v>
      </c>
      <c r="M25" s="11">
        <v>95</v>
      </c>
      <c r="N25" s="11">
        <v>97</v>
      </c>
      <c r="O25" s="11">
        <v>86</v>
      </c>
      <c r="P25" s="11">
        <v>96</v>
      </c>
      <c r="Q25" s="11">
        <v>74</v>
      </c>
      <c r="R25" s="11">
        <f t="shared" si="0"/>
        <v>1137</v>
      </c>
      <c r="S25" s="25">
        <f t="shared" si="1"/>
        <v>87.461538461538467</v>
      </c>
      <c r="T25" s="11">
        <f t="shared" si="2"/>
        <v>5</v>
      </c>
      <c r="U25" s="11"/>
      <c r="V25" s="11"/>
    </row>
    <row r="26" spans="1:22" ht="20.100000000000001" customHeight="1" x14ac:dyDescent="0.25">
      <c r="A26" s="155">
        <v>23</v>
      </c>
      <c r="B26" s="141"/>
      <c r="C26" s="145">
        <v>16</v>
      </c>
      <c r="D26" s="145" t="s">
        <v>20</v>
      </c>
      <c r="E26" s="111">
        <v>72</v>
      </c>
      <c r="F26" s="111">
        <v>85</v>
      </c>
      <c r="G26" s="111">
        <v>83</v>
      </c>
      <c r="H26" s="111">
        <v>81</v>
      </c>
      <c r="I26" s="111">
        <v>89</v>
      </c>
      <c r="J26" s="111">
        <v>91</v>
      </c>
      <c r="K26" s="111">
        <v>92</v>
      </c>
      <c r="L26" s="111">
        <v>97</v>
      </c>
      <c r="M26" s="111">
        <v>87</v>
      </c>
      <c r="N26" s="111">
        <v>95</v>
      </c>
      <c r="O26" s="111">
        <v>92</v>
      </c>
      <c r="P26" s="111">
        <v>96</v>
      </c>
      <c r="Q26" s="111">
        <v>72</v>
      </c>
      <c r="R26" s="11">
        <f t="shared" si="0"/>
        <v>1132</v>
      </c>
      <c r="S26" s="25">
        <f t="shared" si="1"/>
        <v>87.07692307692308</v>
      </c>
      <c r="T26" s="11">
        <f t="shared" si="2"/>
        <v>6</v>
      </c>
      <c r="U26" s="11"/>
      <c r="V26" s="11"/>
    </row>
    <row r="27" spans="1:22" ht="20.100000000000001" customHeight="1" x14ac:dyDescent="0.25">
      <c r="A27" s="156">
        <v>24</v>
      </c>
      <c r="B27" s="141"/>
      <c r="C27" s="145">
        <v>15</v>
      </c>
      <c r="D27" s="145" t="s">
        <v>23</v>
      </c>
      <c r="E27" s="11">
        <v>86</v>
      </c>
      <c r="F27" s="11">
        <v>81</v>
      </c>
      <c r="G27" s="11">
        <v>56</v>
      </c>
      <c r="H27" s="11">
        <v>70</v>
      </c>
      <c r="I27" s="11">
        <v>65</v>
      </c>
      <c r="J27" s="11">
        <v>78</v>
      </c>
      <c r="K27" s="11">
        <v>71</v>
      </c>
      <c r="L27" s="11">
        <v>94</v>
      </c>
      <c r="M27" s="11">
        <v>84</v>
      </c>
      <c r="N27" s="11">
        <v>87</v>
      </c>
      <c r="O27" s="11">
        <v>76</v>
      </c>
      <c r="P27" s="11">
        <v>84</v>
      </c>
      <c r="Q27" s="11">
        <v>70</v>
      </c>
      <c r="R27" s="11">
        <f t="shared" si="0"/>
        <v>1002</v>
      </c>
      <c r="S27" s="25">
        <f t="shared" si="1"/>
        <v>77.07692307692308</v>
      </c>
      <c r="T27" s="11">
        <f t="shared" si="2"/>
        <v>19</v>
      </c>
      <c r="U27" s="11"/>
      <c r="V27" s="11"/>
    </row>
    <row r="28" spans="1:22" ht="20.100000000000001" customHeight="1" x14ac:dyDescent="0.25">
      <c r="A28" s="155">
        <v>25</v>
      </c>
      <c r="B28" s="141"/>
      <c r="C28" s="145">
        <v>15</v>
      </c>
      <c r="D28" s="145" t="s">
        <v>23</v>
      </c>
      <c r="E28" s="11">
        <v>81</v>
      </c>
      <c r="F28" s="11">
        <v>77</v>
      </c>
      <c r="G28" s="11">
        <v>87</v>
      </c>
      <c r="H28" s="11">
        <v>88</v>
      </c>
      <c r="I28" s="11">
        <v>72</v>
      </c>
      <c r="J28" s="11">
        <v>91</v>
      </c>
      <c r="K28" s="11">
        <v>84</v>
      </c>
      <c r="L28" s="11">
        <v>94</v>
      </c>
      <c r="M28" s="11">
        <v>89</v>
      </c>
      <c r="N28" s="11">
        <v>100</v>
      </c>
      <c r="O28" s="11">
        <v>90</v>
      </c>
      <c r="P28" s="11">
        <v>92</v>
      </c>
      <c r="Q28" s="11">
        <v>50</v>
      </c>
      <c r="R28" s="11">
        <f t="shared" si="0"/>
        <v>1095</v>
      </c>
      <c r="S28" s="25">
        <f t="shared" si="1"/>
        <v>84.230769230769226</v>
      </c>
      <c r="T28" s="11">
        <f t="shared" si="2"/>
        <v>8</v>
      </c>
      <c r="U28" s="11"/>
      <c r="V28" s="11"/>
    </row>
    <row r="29" spans="1:22" ht="20.100000000000001" customHeight="1" x14ac:dyDescent="0.25">
      <c r="A29" s="156">
        <v>26</v>
      </c>
      <c r="B29" s="141"/>
      <c r="C29" s="145">
        <v>16</v>
      </c>
      <c r="D29" s="145" t="s">
        <v>20</v>
      </c>
      <c r="E29" s="11">
        <v>87</v>
      </c>
      <c r="F29" s="11">
        <v>87</v>
      </c>
      <c r="G29" s="11">
        <v>65</v>
      </c>
      <c r="H29" s="11">
        <v>72</v>
      </c>
      <c r="I29" s="11">
        <v>77</v>
      </c>
      <c r="J29" s="11">
        <v>84</v>
      </c>
      <c r="K29" s="11">
        <v>81</v>
      </c>
      <c r="L29" s="11">
        <v>95</v>
      </c>
      <c r="M29" s="11">
        <v>91</v>
      </c>
      <c r="N29" s="11">
        <v>84</v>
      </c>
      <c r="O29" s="11">
        <v>74</v>
      </c>
      <c r="P29" s="11">
        <v>89</v>
      </c>
      <c r="Q29" s="11">
        <v>55</v>
      </c>
      <c r="R29" s="11">
        <f t="shared" si="0"/>
        <v>1041</v>
      </c>
      <c r="S29" s="25">
        <f t="shared" si="1"/>
        <v>80.07692307692308</v>
      </c>
      <c r="T29" s="11">
        <f t="shared" si="2"/>
        <v>10</v>
      </c>
      <c r="U29" s="11"/>
      <c r="V29" s="11"/>
    </row>
    <row r="30" spans="1:22" ht="20.100000000000001" customHeight="1" x14ac:dyDescent="0.25">
      <c r="A30" s="156">
        <v>27</v>
      </c>
      <c r="B30" s="141"/>
      <c r="C30" s="145">
        <v>15</v>
      </c>
      <c r="D30" s="145" t="s">
        <v>20</v>
      </c>
      <c r="E30" s="11">
        <v>83</v>
      </c>
      <c r="F30" s="11">
        <v>80</v>
      </c>
      <c r="G30" s="11">
        <v>67</v>
      </c>
      <c r="H30" s="11">
        <v>65</v>
      </c>
      <c r="I30" s="11">
        <v>59</v>
      </c>
      <c r="J30" s="11">
        <v>78</v>
      </c>
      <c r="K30" s="11">
        <v>57</v>
      </c>
      <c r="L30" s="11">
        <v>73</v>
      </c>
      <c r="M30" s="11">
        <v>78</v>
      </c>
      <c r="N30" s="11">
        <v>91</v>
      </c>
      <c r="O30" s="11">
        <v>75</v>
      </c>
      <c r="P30" s="11">
        <v>96</v>
      </c>
      <c r="Q30" s="11">
        <v>57</v>
      </c>
      <c r="R30" s="11">
        <f t="shared" si="0"/>
        <v>959</v>
      </c>
      <c r="S30" s="25">
        <f t="shared" si="1"/>
        <v>73.769230769230774</v>
      </c>
      <c r="T30" s="11">
        <f t="shared" si="2"/>
        <v>24</v>
      </c>
      <c r="U30" s="11"/>
      <c r="V30" s="11"/>
    </row>
    <row r="31" spans="1:22" ht="20.100000000000001" customHeight="1" x14ac:dyDescent="0.25">
      <c r="A31" s="156">
        <v>28</v>
      </c>
      <c r="B31" s="141"/>
      <c r="C31" s="145">
        <v>16</v>
      </c>
      <c r="D31" s="145" t="s">
        <v>23</v>
      </c>
      <c r="E31" s="11">
        <v>64</v>
      </c>
      <c r="F31" s="11">
        <v>66</v>
      </c>
      <c r="G31" s="11">
        <v>50</v>
      </c>
      <c r="H31" s="11">
        <v>54</v>
      </c>
      <c r="I31" s="11">
        <v>39</v>
      </c>
      <c r="J31" s="11">
        <v>54</v>
      </c>
      <c r="K31" s="11">
        <v>63</v>
      </c>
      <c r="L31" s="11">
        <v>67</v>
      </c>
      <c r="M31" s="11">
        <v>71</v>
      </c>
      <c r="N31" s="11">
        <v>67</v>
      </c>
      <c r="O31" s="11">
        <v>55</v>
      </c>
      <c r="P31" s="11">
        <v>88</v>
      </c>
      <c r="Q31" s="11">
        <v>50</v>
      </c>
      <c r="R31" s="11">
        <f t="shared" si="0"/>
        <v>788</v>
      </c>
      <c r="S31" s="25">
        <f t="shared" si="1"/>
        <v>60.615384615384613</v>
      </c>
      <c r="T31" s="11">
        <f t="shared" si="2"/>
        <v>46</v>
      </c>
      <c r="U31" s="11"/>
      <c r="V31" s="11"/>
    </row>
    <row r="32" spans="1:22" ht="20.100000000000001" customHeight="1" x14ac:dyDescent="0.25">
      <c r="A32" s="155">
        <v>29</v>
      </c>
      <c r="B32" s="141"/>
      <c r="C32" s="145">
        <v>15</v>
      </c>
      <c r="D32" s="145" t="s">
        <v>23</v>
      </c>
      <c r="E32" s="11">
        <v>77</v>
      </c>
      <c r="F32" s="11">
        <v>86</v>
      </c>
      <c r="G32" s="11">
        <v>76</v>
      </c>
      <c r="H32" s="11">
        <v>71</v>
      </c>
      <c r="I32" s="11">
        <v>80</v>
      </c>
      <c r="J32" s="11">
        <v>83</v>
      </c>
      <c r="K32" s="11">
        <v>77</v>
      </c>
      <c r="L32" s="11">
        <v>95</v>
      </c>
      <c r="M32" s="11">
        <v>91</v>
      </c>
      <c r="N32" s="11">
        <v>99</v>
      </c>
      <c r="O32" s="11">
        <v>94</v>
      </c>
      <c r="P32" s="11">
        <v>100</v>
      </c>
      <c r="Q32" s="11">
        <v>78</v>
      </c>
      <c r="R32" s="11">
        <f t="shared" si="0"/>
        <v>1107</v>
      </c>
      <c r="S32" s="25">
        <f t="shared" si="1"/>
        <v>85.15384615384616</v>
      </c>
      <c r="T32" s="11">
        <f t="shared" si="2"/>
        <v>7</v>
      </c>
      <c r="U32" s="11"/>
      <c r="V32" s="11"/>
    </row>
    <row r="33" spans="1:22" ht="20.100000000000001" customHeight="1" x14ac:dyDescent="0.25">
      <c r="A33" s="156">
        <v>30</v>
      </c>
      <c r="B33" s="142"/>
      <c r="C33" s="148">
        <v>15</v>
      </c>
      <c r="D33" s="148" t="s">
        <v>23</v>
      </c>
      <c r="E33" s="11">
        <v>70</v>
      </c>
      <c r="F33" s="11">
        <v>57</v>
      </c>
      <c r="G33" s="11">
        <v>46</v>
      </c>
      <c r="H33" s="11">
        <v>57</v>
      </c>
      <c r="I33" s="11">
        <v>48</v>
      </c>
      <c r="J33" s="11">
        <v>50</v>
      </c>
      <c r="K33" s="11">
        <v>44</v>
      </c>
      <c r="L33" s="11">
        <v>71</v>
      </c>
      <c r="M33" s="11">
        <v>66</v>
      </c>
      <c r="N33" s="11">
        <v>75</v>
      </c>
      <c r="O33" s="11">
        <v>57</v>
      </c>
      <c r="P33" s="11">
        <v>79</v>
      </c>
      <c r="Q33" s="11">
        <v>51</v>
      </c>
      <c r="R33" s="11">
        <f t="shared" si="0"/>
        <v>771</v>
      </c>
      <c r="S33" s="25">
        <f t="shared" si="1"/>
        <v>59.307692307692307</v>
      </c>
      <c r="T33" s="11">
        <f t="shared" si="2"/>
        <v>49</v>
      </c>
      <c r="U33" s="11"/>
      <c r="V33" s="11"/>
    </row>
    <row r="34" spans="1:22" ht="20.100000000000001" customHeight="1" x14ac:dyDescent="0.25">
      <c r="A34" s="155">
        <v>31</v>
      </c>
      <c r="B34" s="141"/>
      <c r="C34" s="145">
        <v>15</v>
      </c>
      <c r="D34" s="145" t="s">
        <v>23</v>
      </c>
      <c r="E34" s="11">
        <v>87</v>
      </c>
      <c r="F34" s="11">
        <v>65</v>
      </c>
      <c r="G34" s="11">
        <v>52</v>
      </c>
      <c r="H34" s="11">
        <v>58</v>
      </c>
      <c r="I34" s="11">
        <v>52</v>
      </c>
      <c r="J34" s="11">
        <v>62</v>
      </c>
      <c r="K34" s="11">
        <v>56</v>
      </c>
      <c r="L34" s="11">
        <v>73</v>
      </c>
      <c r="M34" s="11">
        <v>79</v>
      </c>
      <c r="N34" s="11">
        <v>83</v>
      </c>
      <c r="O34" s="11">
        <v>58</v>
      </c>
      <c r="P34" s="11">
        <v>89</v>
      </c>
      <c r="Q34" s="11">
        <v>80</v>
      </c>
      <c r="R34" s="11">
        <f t="shared" si="0"/>
        <v>894</v>
      </c>
      <c r="S34" s="25">
        <f t="shared" si="1"/>
        <v>68.769230769230774</v>
      </c>
      <c r="T34" s="11">
        <f t="shared" si="2"/>
        <v>34</v>
      </c>
      <c r="U34" s="11"/>
      <c r="V34" s="11"/>
    </row>
    <row r="35" spans="1:22" ht="20.100000000000001" customHeight="1" x14ac:dyDescent="0.25">
      <c r="A35" s="155">
        <v>32</v>
      </c>
      <c r="B35" s="141"/>
      <c r="C35" s="145">
        <v>18</v>
      </c>
      <c r="D35" s="145" t="s">
        <v>23</v>
      </c>
      <c r="E35" s="11">
        <v>80</v>
      </c>
      <c r="F35" s="11">
        <v>87</v>
      </c>
      <c r="G35" s="11">
        <v>76</v>
      </c>
      <c r="H35" s="11">
        <v>69</v>
      </c>
      <c r="I35" s="11">
        <v>73</v>
      </c>
      <c r="J35" s="11">
        <v>80</v>
      </c>
      <c r="K35" s="11">
        <v>71</v>
      </c>
      <c r="L35" s="11">
        <v>87</v>
      </c>
      <c r="M35" s="11">
        <v>76</v>
      </c>
      <c r="N35" s="11">
        <v>100</v>
      </c>
      <c r="O35" s="11">
        <v>72</v>
      </c>
      <c r="P35" s="11">
        <v>90</v>
      </c>
      <c r="Q35" s="11">
        <v>61</v>
      </c>
      <c r="R35" s="11">
        <f t="shared" si="0"/>
        <v>1022</v>
      </c>
      <c r="S35" s="25">
        <f t="shared" si="1"/>
        <v>78.615384615384613</v>
      </c>
      <c r="T35" s="11">
        <f t="shared" si="2"/>
        <v>15</v>
      </c>
      <c r="U35" s="11"/>
      <c r="V35" s="11"/>
    </row>
    <row r="36" spans="1:22" ht="20.100000000000001" customHeight="1" x14ac:dyDescent="0.25">
      <c r="A36" s="155">
        <v>33</v>
      </c>
      <c r="B36" s="141"/>
      <c r="C36" s="145">
        <v>17</v>
      </c>
      <c r="D36" s="145" t="s">
        <v>23</v>
      </c>
      <c r="E36" s="11">
        <v>85</v>
      </c>
      <c r="F36" s="11">
        <v>85</v>
      </c>
      <c r="G36" s="11">
        <v>67</v>
      </c>
      <c r="H36" s="11">
        <v>81</v>
      </c>
      <c r="I36" s="11">
        <v>63</v>
      </c>
      <c r="J36" s="11">
        <v>84</v>
      </c>
      <c r="K36" s="11">
        <v>69</v>
      </c>
      <c r="L36" s="11">
        <v>93</v>
      </c>
      <c r="M36" s="11">
        <v>79</v>
      </c>
      <c r="N36" s="11">
        <v>97</v>
      </c>
      <c r="O36" s="11">
        <v>76</v>
      </c>
      <c r="P36" s="11">
        <v>81</v>
      </c>
      <c r="Q36" s="11">
        <v>63</v>
      </c>
      <c r="R36" s="11">
        <f t="shared" si="0"/>
        <v>1023</v>
      </c>
      <c r="S36" s="25">
        <f t="shared" si="1"/>
        <v>78.692307692307693</v>
      </c>
      <c r="T36" s="11">
        <f t="shared" si="2"/>
        <v>14</v>
      </c>
      <c r="U36" s="11"/>
      <c r="V36" s="11"/>
    </row>
    <row r="37" spans="1:22" ht="20.100000000000001" customHeight="1" x14ac:dyDescent="0.25">
      <c r="A37" s="156">
        <v>34</v>
      </c>
      <c r="B37" s="141"/>
      <c r="C37" s="145">
        <v>15</v>
      </c>
      <c r="D37" s="145" t="s">
        <v>20</v>
      </c>
      <c r="E37" s="11">
        <v>72</v>
      </c>
      <c r="F37" s="11">
        <v>55</v>
      </c>
      <c r="G37" s="11">
        <v>41</v>
      </c>
      <c r="H37" s="11">
        <v>39</v>
      </c>
      <c r="I37" s="11">
        <v>47</v>
      </c>
      <c r="J37" s="11">
        <v>48</v>
      </c>
      <c r="K37" s="11">
        <v>67</v>
      </c>
      <c r="L37" s="11">
        <v>68</v>
      </c>
      <c r="M37" s="11">
        <v>56</v>
      </c>
      <c r="N37" s="11">
        <v>83</v>
      </c>
      <c r="O37" s="11">
        <v>50</v>
      </c>
      <c r="P37" s="11">
        <v>89</v>
      </c>
      <c r="Q37" s="11">
        <v>56</v>
      </c>
      <c r="R37" s="11">
        <f t="shared" si="0"/>
        <v>771</v>
      </c>
      <c r="S37" s="25">
        <f t="shared" si="1"/>
        <v>59.307692307692307</v>
      </c>
      <c r="T37" s="11">
        <f t="shared" si="2"/>
        <v>49</v>
      </c>
      <c r="U37" s="11"/>
      <c r="V37" s="11"/>
    </row>
    <row r="38" spans="1:22" ht="20.100000000000001" customHeight="1" x14ac:dyDescent="0.25">
      <c r="A38" s="156">
        <v>35</v>
      </c>
      <c r="B38" s="141"/>
      <c r="C38" s="145">
        <v>15</v>
      </c>
      <c r="D38" s="145" t="s">
        <v>23</v>
      </c>
      <c r="E38" s="11">
        <v>78</v>
      </c>
      <c r="F38" s="11">
        <v>82</v>
      </c>
      <c r="G38" s="11">
        <v>69</v>
      </c>
      <c r="H38" s="11">
        <v>64</v>
      </c>
      <c r="I38" s="11">
        <v>55</v>
      </c>
      <c r="J38" s="11">
        <v>77</v>
      </c>
      <c r="K38" s="11">
        <v>76</v>
      </c>
      <c r="L38" s="11">
        <v>80</v>
      </c>
      <c r="M38" s="11">
        <v>86</v>
      </c>
      <c r="N38" s="11">
        <v>93</v>
      </c>
      <c r="O38" s="11">
        <v>71</v>
      </c>
      <c r="P38" s="11">
        <v>93</v>
      </c>
      <c r="Q38" s="11">
        <v>60</v>
      </c>
      <c r="R38" s="11">
        <f t="shared" si="0"/>
        <v>984</v>
      </c>
      <c r="S38" s="25">
        <f t="shared" si="1"/>
        <v>75.692307692307693</v>
      </c>
      <c r="T38" s="11">
        <f t="shared" si="2"/>
        <v>22</v>
      </c>
      <c r="U38" s="11"/>
      <c r="V38" s="11"/>
    </row>
    <row r="39" spans="1:22" ht="20.100000000000001" customHeight="1" x14ac:dyDescent="0.25">
      <c r="A39" s="156">
        <v>36</v>
      </c>
      <c r="B39" s="141"/>
      <c r="C39" s="145">
        <v>15</v>
      </c>
      <c r="D39" s="145" t="s">
        <v>23</v>
      </c>
      <c r="E39" s="11">
        <v>79</v>
      </c>
      <c r="F39" s="11">
        <v>83</v>
      </c>
      <c r="G39" s="11">
        <v>69</v>
      </c>
      <c r="H39" s="11">
        <v>63</v>
      </c>
      <c r="I39" s="11">
        <v>66</v>
      </c>
      <c r="J39" s="11">
        <v>69</v>
      </c>
      <c r="K39" s="11">
        <v>64</v>
      </c>
      <c r="L39" s="11">
        <v>92</v>
      </c>
      <c r="M39" s="11">
        <v>86</v>
      </c>
      <c r="N39" s="11">
        <v>98</v>
      </c>
      <c r="O39" s="11">
        <v>83</v>
      </c>
      <c r="P39" s="11">
        <v>89</v>
      </c>
      <c r="Q39" s="11">
        <v>52</v>
      </c>
      <c r="R39" s="11">
        <f t="shared" si="0"/>
        <v>993</v>
      </c>
      <c r="S39" s="25">
        <f t="shared" si="1"/>
        <v>76.384615384615387</v>
      </c>
      <c r="T39" s="11">
        <f t="shared" si="2"/>
        <v>21</v>
      </c>
      <c r="U39" s="11"/>
      <c r="V39" s="11"/>
    </row>
    <row r="40" spans="1:22" ht="20.100000000000001" customHeight="1" x14ac:dyDescent="0.25">
      <c r="A40" s="155">
        <v>37</v>
      </c>
      <c r="B40" s="141"/>
      <c r="C40" s="145">
        <v>15</v>
      </c>
      <c r="D40" s="145" t="s">
        <v>23</v>
      </c>
      <c r="E40" s="11">
        <v>70</v>
      </c>
      <c r="F40" s="11">
        <v>70</v>
      </c>
      <c r="G40" s="11">
        <v>58</v>
      </c>
      <c r="H40" s="11">
        <v>50</v>
      </c>
      <c r="I40" s="11">
        <v>58</v>
      </c>
      <c r="J40" s="11">
        <v>61</v>
      </c>
      <c r="K40" s="11">
        <v>64</v>
      </c>
      <c r="L40" s="11">
        <v>78</v>
      </c>
      <c r="M40" s="11">
        <v>67</v>
      </c>
      <c r="N40" s="11">
        <v>89</v>
      </c>
      <c r="O40" s="11">
        <v>70</v>
      </c>
      <c r="P40" s="11">
        <v>76</v>
      </c>
      <c r="Q40" s="11">
        <v>55</v>
      </c>
      <c r="R40" s="11">
        <f t="shared" si="0"/>
        <v>866</v>
      </c>
      <c r="S40" s="25">
        <f t="shared" si="1"/>
        <v>66.615384615384613</v>
      </c>
      <c r="T40" s="11">
        <f t="shared" si="2"/>
        <v>37</v>
      </c>
      <c r="U40" s="11"/>
      <c r="V40" s="11"/>
    </row>
    <row r="41" spans="1:22" ht="20.100000000000001" customHeight="1" x14ac:dyDescent="0.25">
      <c r="A41" s="155">
        <v>38</v>
      </c>
      <c r="B41" s="141"/>
      <c r="C41" s="145">
        <v>15</v>
      </c>
      <c r="D41" s="145" t="s">
        <v>20</v>
      </c>
      <c r="E41" s="11">
        <v>63</v>
      </c>
      <c r="F41" s="11">
        <v>63</v>
      </c>
      <c r="G41" s="11">
        <v>43</v>
      </c>
      <c r="H41" s="11">
        <v>50</v>
      </c>
      <c r="I41" s="11">
        <v>38</v>
      </c>
      <c r="J41" s="11">
        <v>63</v>
      </c>
      <c r="K41" s="11">
        <v>69</v>
      </c>
      <c r="L41" s="11">
        <v>72</v>
      </c>
      <c r="M41" s="11">
        <v>66</v>
      </c>
      <c r="N41" s="11">
        <v>83</v>
      </c>
      <c r="O41" s="11">
        <v>61</v>
      </c>
      <c r="P41" s="11">
        <v>86</v>
      </c>
      <c r="Q41" s="11">
        <v>51</v>
      </c>
      <c r="R41" s="11">
        <f t="shared" si="0"/>
        <v>808</v>
      </c>
      <c r="S41" s="25">
        <f t="shared" si="1"/>
        <v>62.153846153846153</v>
      </c>
      <c r="T41" s="11">
        <f t="shared" si="2"/>
        <v>42</v>
      </c>
      <c r="U41" s="11"/>
      <c r="V41" s="11"/>
    </row>
    <row r="42" spans="1:22" ht="20.100000000000001" customHeight="1" x14ac:dyDescent="0.25">
      <c r="A42" s="156">
        <v>39</v>
      </c>
      <c r="B42" s="141"/>
      <c r="C42" s="145">
        <v>16</v>
      </c>
      <c r="D42" s="145" t="s">
        <v>23</v>
      </c>
      <c r="E42" s="11">
        <v>80</v>
      </c>
      <c r="F42" s="11">
        <v>60</v>
      </c>
      <c r="G42" s="11">
        <v>53</v>
      </c>
      <c r="H42" s="11">
        <v>57</v>
      </c>
      <c r="I42" s="11">
        <v>57</v>
      </c>
      <c r="J42" s="11">
        <v>70</v>
      </c>
      <c r="K42" s="11">
        <v>67</v>
      </c>
      <c r="L42" s="11">
        <v>85</v>
      </c>
      <c r="M42" s="11">
        <v>78</v>
      </c>
      <c r="N42" s="11">
        <v>88</v>
      </c>
      <c r="O42" s="11">
        <v>75</v>
      </c>
      <c r="P42" s="11">
        <v>86</v>
      </c>
      <c r="Q42" s="11">
        <v>52</v>
      </c>
      <c r="R42" s="11">
        <f t="shared" si="0"/>
        <v>908</v>
      </c>
      <c r="S42" s="25">
        <f t="shared" si="1"/>
        <v>69.84615384615384</v>
      </c>
      <c r="T42" s="11">
        <f t="shared" si="2"/>
        <v>31</v>
      </c>
      <c r="U42" s="11"/>
      <c r="V42" s="11"/>
    </row>
    <row r="43" spans="1:22" ht="20.100000000000001" customHeight="1" x14ac:dyDescent="0.25">
      <c r="A43" s="155">
        <v>40</v>
      </c>
      <c r="B43" s="141"/>
      <c r="C43" s="145">
        <v>16</v>
      </c>
      <c r="D43" s="145" t="s">
        <v>20</v>
      </c>
      <c r="E43" s="11">
        <v>74</v>
      </c>
      <c r="F43" s="11">
        <v>64</v>
      </c>
      <c r="G43" s="11">
        <v>50</v>
      </c>
      <c r="H43" s="11">
        <v>51</v>
      </c>
      <c r="I43" s="11">
        <v>63</v>
      </c>
      <c r="J43" s="11">
        <v>78</v>
      </c>
      <c r="K43" s="11">
        <v>61</v>
      </c>
      <c r="L43" s="11">
        <v>91</v>
      </c>
      <c r="M43" s="11">
        <v>75</v>
      </c>
      <c r="N43" s="11">
        <v>85</v>
      </c>
      <c r="O43" s="11">
        <v>60</v>
      </c>
      <c r="P43" s="11">
        <v>89</v>
      </c>
      <c r="Q43" s="11">
        <v>54</v>
      </c>
      <c r="R43" s="11">
        <f t="shared" si="0"/>
        <v>895</v>
      </c>
      <c r="S43" s="25">
        <f t="shared" si="1"/>
        <v>68.84615384615384</v>
      </c>
      <c r="T43" s="11">
        <f t="shared" si="2"/>
        <v>33</v>
      </c>
      <c r="U43" s="11"/>
      <c r="V43" s="11"/>
    </row>
    <row r="44" spans="1:22" ht="20.100000000000001" customHeight="1" x14ac:dyDescent="0.25">
      <c r="A44" s="156">
        <v>41</v>
      </c>
      <c r="B44" s="141"/>
      <c r="C44" s="145">
        <v>17</v>
      </c>
      <c r="D44" s="145" t="s">
        <v>23</v>
      </c>
      <c r="E44" s="11">
        <v>76</v>
      </c>
      <c r="F44" s="11">
        <v>61</v>
      </c>
      <c r="G44" s="11">
        <v>52</v>
      </c>
      <c r="H44" s="11">
        <v>53</v>
      </c>
      <c r="I44" s="11">
        <v>43</v>
      </c>
      <c r="J44" s="11">
        <v>52</v>
      </c>
      <c r="K44" s="11">
        <v>47</v>
      </c>
      <c r="L44" s="11">
        <v>69</v>
      </c>
      <c r="M44" s="11">
        <v>61</v>
      </c>
      <c r="N44" s="11">
        <v>77</v>
      </c>
      <c r="O44" s="11">
        <v>50</v>
      </c>
      <c r="P44" s="11">
        <v>85</v>
      </c>
      <c r="Q44" s="11">
        <v>73</v>
      </c>
      <c r="R44" s="11">
        <f t="shared" si="0"/>
        <v>799</v>
      </c>
      <c r="S44" s="25">
        <f t="shared" si="1"/>
        <v>61.46153846153846</v>
      </c>
      <c r="T44" s="11">
        <f t="shared" si="2"/>
        <v>44</v>
      </c>
      <c r="U44" s="11"/>
      <c r="V44" s="11"/>
    </row>
    <row r="45" spans="1:22" ht="20.100000000000001" customHeight="1" x14ac:dyDescent="0.25">
      <c r="A45" s="156">
        <v>42</v>
      </c>
      <c r="B45" s="141"/>
      <c r="C45" s="145">
        <v>18</v>
      </c>
      <c r="D45" s="145" t="s">
        <v>20</v>
      </c>
      <c r="E45" s="11">
        <v>68</v>
      </c>
      <c r="F45" s="11">
        <v>70</v>
      </c>
      <c r="G45" s="11">
        <v>49</v>
      </c>
      <c r="H45" s="11">
        <v>56</v>
      </c>
      <c r="I45" s="11">
        <v>34</v>
      </c>
      <c r="J45" s="11">
        <v>71</v>
      </c>
      <c r="K45" s="11">
        <v>67</v>
      </c>
      <c r="L45" s="11">
        <v>81</v>
      </c>
      <c r="M45" s="11">
        <v>66</v>
      </c>
      <c r="N45" s="11">
        <v>92</v>
      </c>
      <c r="O45" s="11">
        <v>67</v>
      </c>
      <c r="P45" s="11">
        <v>92</v>
      </c>
      <c r="Q45" s="11">
        <v>50</v>
      </c>
      <c r="R45" s="11">
        <f t="shared" si="0"/>
        <v>863</v>
      </c>
      <c r="S45" s="25">
        <f t="shared" si="1"/>
        <v>66.384615384615387</v>
      </c>
      <c r="T45" s="11">
        <f t="shared" si="2"/>
        <v>38</v>
      </c>
      <c r="U45" s="11"/>
      <c r="V45" s="11"/>
    </row>
    <row r="46" spans="1:22" ht="20.100000000000001" customHeight="1" x14ac:dyDescent="0.25">
      <c r="A46" s="156">
        <v>43</v>
      </c>
      <c r="B46" s="141"/>
      <c r="C46" s="145">
        <v>16</v>
      </c>
      <c r="D46" s="145" t="s">
        <v>20</v>
      </c>
      <c r="E46" s="11">
        <v>68</v>
      </c>
      <c r="F46" s="11">
        <v>65</v>
      </c>
      <c r="G46" s="11">
        <v>60</v>
      </c>
      <c r="H46" s="11">
        <v>68</v>
      </c>
      <c r="I46" s="11">
        <v>54</v>
      </c>
      <c r="J46" s="11">
        <v>74</v>
      </c>
      <c r="K46" s="11">
        <v>64</v>
      </c>
      <c r="L46" s="11">
        <v>80</v>
      </c>
      <c r="M46" s="11">
        <v>79</v>
      </c>
      <c r="N46" s="11">
        <v>94</v>
      </c>
      <c r="O46" s="11">
        <v>70</v>
      </c>
      <c r="P46" s="11">
        <v>98</v>
      </c>
      <c r="Q46" s="11">
        <v>53</v>
      </c>
      <c r="R46" s="11">
        <f t="shared" si="0"/>
        <v>927</v>
      </c>
      <c r="S46" s="25">
        <f t="shared" si="1"/>
        <v>71.307692307692307</v>
      </c>
      <c r="T46" s="11">
        <f t="shared" si="2"/>
        <v>28</v>
      </c>
      <c r="U46" s="11"/>
      <c r="V46" s="11"/>
    </row>
    <row r="47" spans="1:22" ht="20.100000000000001" customHeight="1" x14ac:dyDescent="0.25">
      <c r="A47" s="155">
        <v>44</v>
      </c>
      <c r="B47" s="141"/>
      <c r="C47" s="145">
        <v>15</v>
      </c>
      <c r="D47" s="145" t="s">
        <v>20</v>
      </c>
      <c r="E47" s="11">
        <v>83</v>
      </c>
      <c r="F47" s="11">
        <v>67</v>
      </c>
      <c r="G47" s="11">
        <v>65</v>
      </c>
      <c r="H47" s="11">
        <v>71</v>
      </c>
      <c r="I47" s="11">
        <v>70</v>
      </c>
      <c r="J47" s="11">
        <v>73</v>
      </c>
      <c r="K47" s="11">
        <v>77</v>
      </c>
      <c r="L47" s="11">
        <v>90</v>
      </c>
      <c r="M47" s="11">
        <v>81</v>
      </c>
      <c r="N47" s="11">
        <v>98</v>
      </c>
      <c r="O47" s="11">
        <v>77</v>
      </c>
      <c r="P47" s="11">
        <v>99</v>
      </c>
      <c r="Q47" s="11">
        <v>76</v>
      </c>
      <c r="R47" s="11">
        <f t="shared" si="0"/>
        <v>1027</v>
      </c>
      <c r="S47" s="25">
        <f t="shared" si="1"/>
        <v>79</v>
      </c>
      <c r="T47" s="11">
        <f t="shared" si="2"/>
        <v>13</v>
      </c>
      <c r="U47" s="11"/>
      <c r="V47" s="11"/>
    </row>
    <row r="48" spans="1:22" ht="20.100000000000001" customHeight="1" x14ac:dyDescent="0.25">
      <c r="A48" s="156">
        <v>45</v>
      </c>
      <c r="B48" s="141"/>
      <c r="C48" s="145">
        <v>15</v>
      </c>
      <c r="D48" s="145" t="s">
        <v>23</v>
      </c>
      <c r="E48" s="11">
        <v>61</v>
      </c>
      <c r="F48" s="11">
        <v>57</v>
      </c>
      <c r="G48" s="11">
        <v>46</v>
      </c>
      <c r="H48" s="11">
        <v>49</v>
      </c>
      <c r="I48" s="11">
        <v>52</v>
      </c>
      <c r="J48" s="11">
        <v>54</v>
      </c>
      <c r="K48" s="11">
        <v>50</v>
      </c>
      <c r="L48" s="11">
        <v>68</v>
      </c>
      <c r="M48" s="11">
        <v>64</v>
      </c>
      <c r="N48" s="11">
        <v>83</v>
      </c>
      <c r="O48" s="11">
        <v>57</v>
      </c>
      <c r="P48" s="11">
        <v>89</v>
      </c>
      <c r="Q48" s="11">
        <v>62</v>
      </c>
      <c r="R48" s="11">
        <f t="shared" si="0"/>
        <v>792</v>
      </c>
      <c r="S48" s="25">
        <f t="shared" si="1"/>
        <v>60.92307692307692</v>
      </c>
      <c r="T48" s="11">
        <f t="shared" si="2"/>
        <v>45</v>
      </c>
      <c r="U48" s="11"/>
      <c r="V48" s="11"/>
    </row>
    <row r="49" spans="1:22" ht="20.100000000000001" customHeight="1" x14ac:dyDescent="0.25">
      <c r="A49" s="155">
        <v>46</v>
      </c>
      <c r="B49" s="141"/>
      <c r="C49" s="145">
        <v>16</v>
      </c>
      <c r="D49" s="145" t="s">
        <v>23</v>
      </c>
      <c r="E49" s="11">
        <v>74</v>
      </c>
      <c r="F49" s="11">
        <v>66</v>
      </c>
      <c r="G49" s="11">
        <v>52</v>
      </c>
      <c r="H49" s="11">
        <v>59</v>
      </c>
      <c r="I49" s="11">
        <v>60</v>
      </c>
      <c r="J49" s="11">
        <v>62</v>
      </c>
      <c r="K49" s="11">
        <v>67</v>
      </c>
      <c r="L49" s="11">
        <v>85</v>
      </c>
      <c r="M49" s="11">
        <v>78</v>
      </c>
      <c r="N49" s="11">
        <v>92</v>
      </c>
      <c r="O49" s="11">
        <v>73</v>
      </c>
      <c r="P49" s="11">
        <v>87</v>
      </c>
      <c r="Q49" s="11">
        <v>54</v>
      </c>
      <c r="R49" s="11">
        <f t="shared" si="0"/>
        <v>909</v>
      </c>
      <c r="S49" s="25">
        <f t="shared" si="1"/>
        <v>69.92307692307692</v>
      </c>
      <c r="T49" s="11">
        <f t="shared" si="2"/>
        <v>30</v>
      </c>
      <c r="U49" s="11"/>
      <c r="V49" s="11"/>
    </row>
    <row r="50" spans="1:22" ht="20.100000000000001" customHeight="1" x14ac:dyDescent="0.25">
      <c r="A50" s="155">
        <v>47</v>
      </c>
      <c r="B50" s="141"/>
      <c r="C50" s="145">
        <v>15</v>
      </c>
      <c r="D50" s="145" t="s">
        <v>20</v>
      </c>
      <c r="E50" s="11">
        <v>61</v>
      </c>
      <c r="F50" s="11">
        <v>79</v>
      </c>
      <c r="G50" s="11">
        <v>57</v>
      </c>
      <c r="H50" s="11">
        <v>63</v>
      </c>
      <c r="I50" s="11">
        <v>40</v>
      </c>
      <c r="J50" s="11">
        <v>58</v>
      </c>
      <c r="K50" s="11">
        <v>47</v>
      </c>
      <c r="L50" s="11">
        <v>69</v>
      </c>
      <c r="M50" s="11">
        <v>70</v>
      </c>
      <c r="N50" s="11">
        <v>81</v>
      </c>
      <c r="O50" s="11">
        <v>56</v>
      </c>
      <c r="P50" s="11">
        <v>87</v>
      </c>
      <c r="Q50" s="11">
        <v>53</v>
      </c>
      <c r="R50" s="11">
        <f t="shared" si="0"/>
        <v>821</v>
      </c>
      <c r="S50" s="25">
        <f t="shared" si="1"/>
        <v>63.153846153846153</v>
      </c>
      <c r="T50" s="11">
        <f t="shared" si="2"/>
        <v>40</v>
      </c>
      <c r="U50" s="11"/>
      <c r="V50" s="11"/>
    </row>
    <row r="51" spans="1:22" ht="20.100000000000001" customHeight="1" x14ac:dyDescent="0.25">
      <c r="A51" s="155">
        <v>48</v>
      </c>
      <c r="B51" s="141"/>
      <c r="C51" s="145">
        <v>14</v>
      </c>
      <c r="D51" s="145" t="s">
        <v>23</v>
      </c>
      <c r="E51" s="11">
        <v>80</v>
      </c>
      <c r="F51" s="11">
        <v>59</v>
      </c>
      <c r="G51" s="11">
        <v>52</v>
      </c>
      <c r="H51" s="11">
        <v>69</v>
      </c>
      <c r="I51" s="11">
        <v>58</v>
      </c>
      <c r="J51" s="11">
        <v>72</v>
      </c>
      <c r="K51" s="11">
        <v>85</v>
      </c>
      <c r="L51" s="11">
        <v>86</v>
      </c>
      <c r="M51" s="11">
        <v>78</v>
      </c>
      <c r="N51" s="11">
        <v>91</v>
      </c>
      <c r="O51" s="11">
        <v>71</v>
      </c>
      <c r="P51" s="11">
        <v>85</v>
      </c>
      <c r="Q51" s="11">
        <v>74</v>
      </c>
      <c r="R51" s="11">
        <f t="shared" si="0"/>
        <v>960</v>
      </c>
      <c r="S51" s="25">
        <f t="shared" si="1"/>
        <v>73.84615384615384</v>
      </c>
      <c r="T51" s="11">
        <f t="shared" si="2"/>
        <v>23</v>
      </c>
      <c r="U51" s="11"/>
      <c r="V51" s="11"/>
    </row>
    <row r="52" spans="1:22" ht="19.5" customHeight="1" x14ac:dyDescent="0.25">
      <c r="A52" s="156">
        <v>49</v>
      </c>
      <c r="B52" s="141"/>
      <c r="C52" s="145">
        <v>15</v>
      </c>
      <c r="D52" s="145" t="s">
        <v>23</v>
      </c>
      <c r="E52" s="11">
        <v>79</v>
      </c>
      <c r="F52" s="11">
        <v>71</v>
      </c>
      <c r="G52" s="11">
        <v>54</v>
      </c>
      <c r="H52" s="11">
        <v>61</v>
      </c>
      <c r="I52" s="11">
        <v>64</v>
      </c>
      <c r="J52" s="11">
        <v>71</v>
      </c>
      <c r="K52" s="11">
        <v>63</v>
      </c>
      <c r="L52" s="11">
        <v>91</v>
      </c>
      <c r="M52" s="11">
        <v>84</v>
      </c>
      <c r="N52" s="11">
        <v>100</v>
      </c>
      <c r="O52" s="11">
        <v>64</v>
      </c>
      <c r="P52" s="11">
        <v>82</v>
      </c>
      <c r="Q52" s="11">
        <v>70</v>
      </c>
      <c r="R52" s="11">
        <f t="shared" si="0"/>
        <v>954</v>
      </c>
      <c r="S52" s="25">
        <f t="shared" si="1"/>
        <v>73.384615384615387</v>
      </c>
      <c r="T52" s="11">
        <f t="shared" si="2"/>
        <v>25</v>
      </c>
      <c r="U52" s="11"/>
      <c r="V52" s="11"/>
    </row>
    <row r="53" spans="1:22" ht="19.5" customHeight="1" x14ac:dyDescent="0.25">
      <c r="A53" s="164">
        <v>50</v>
      </c>
      <c r="B53" s="141"/>
      <c r="C53" s="145">
        <v>16</v>
      </c>
      <c r="D53" s="145" t="s">
        <v>20</v>
      </c>
      <c r="E53" s="11">
        <v>67</v>
      </c>
      <c r="F53" s="11">
        <v>59</v>
      </c>
      <c r="G53" s="11">
        <v>46</v>
      </c>
      <c r="H53" s="11">
        <v>55</v>
      </c>
      <c r="I53" s="11">
        <v>43</v>
      </c>
      <c r="J53" s="11">
        <v>56</v>
      </c>
      <c r="K53" s="11">
        <v>42</v>
      </c>
      <c r="L53" s="11">
        <v>71</v>
      </c>
      <c r="M53" s="11">
        <v>62</v>
      </c>
      <c r="N53" s="11">
        <v>87</v>
      </c>
      <c r="O53" s="11">
        <v>48</v>
      </c>
      <c r="P53" s="11">
        <v>85</v>
      </c>
      <c r="Q53" s="11">
        <v>58</v>
      </c>
      <c r="R53" s="11">
        <f t="shared" si="0"/>
        <v>779</v>
      </c>
      <c r="S53" s="25">
        <f t="shared" si="1"/>
        <v>59.92307692307692</v>
      </c>
      <c r="T53" s="11">
        <f t="shared" si="2"/>
        <v>47</v>
      </c>
      <c r="U53" s="11"/>
      <c r="V53" s="11"/>
    </row>
    <row r="54" spans="1:22" ht="19.5" customHeight="1" x14ac:dyDescent="0.25">
      <c r="A54" s="164">
        <v>51</v>
      </c>
      <c r="B54" s="139"/>
      <c r="C54" s="136">
        <v>16</v>
      </c>
      <c r="D54" s="136" t="s">
        <v>20</v>
      </c>
      <c r="E54" s="11">
        <v>66</v>
      </c>
      <c r="F54" s="11">
        <v>63</v>
      </c>
      <c r="G54" s="11">
        <v>43</v>
      </c>
      <c r="H54" s="11">
        <v>42</v>
      </c>
      <c r="I54" s="11">
        <v>38</v>
      </c>
      <c r="J54" s="11">
        <v>50</v>
      </c>
      <c r="K54" s="11">
        <v>41</v>
      </c>
      <c r="L54" s="11">
        <v>58</v>
      </c>
      <c r="M54" s="11">
        <v>46</v>
      </c>
      <c r="N54" s="11">
        <v>70</v>
      </c>
      <c r="O54" s="11">
        <v>38</v>
      </c>
      <c r="P54" s="11">
        <v>81</v>
      </c>
      <c r="Q54" s="11">
        <v>57</v>
      </c>
      <c r="R54" s="11">
        <f t="shared" si="0"/>
        <v>693</v>
      </c>
      <c r="S54" s="25">
        <f t="shared" si="1"/>
        <v>53.307692307692307</v>
      </c>
      <c r="T54" s="11">
        <f t="shared" si="2"/>
        <v>51</v>
      </c>
      <c r="U54" s="11"/>
      <c r="V54" s="11"/>
    </row>
    <row r="55" spans="1:22" ht="19.5" customHeight="1" x14ac:dyDescent="0.25">
      <c r="A55" s="164">
        <v>52</v>
      </c>
      <c r="B55" s="169"/>
      <c r="C55" s="168"/>
      <c r="D55" s="168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25"/>
      <c r="T55" s="11"/>
      <c r="U55" s="11"/>
      <c r="V55" s="11"/>
    </row>
    <row r="56" spans="1:22" ht="19.5" customHeight="1" x14ac:dyDescent="0.25">
      <c r="A56" s="164">
        <v>53</v>
      </c>
      <c r="B56" s="153"/>
      <c r="C56" s="42"/>
      <c r="D56" s="42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spans="1:22" ht="19.5" customHeight="1" x14ac:dyDescent="0.25">
      <c r="A57" s="164">
        <v>54</v>
      </c>
      <c r="B57" s="153"/>
      <c r="C57" s="42"/>
      <c r="D57" s="42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spans="1:22" ht="19.5" customHeight="1" x14ac:dyDescent="0.25">
      <c r="A58" s="164">
        <v>55</v>
      </c>
      <c r="B58" s="153"/>
      <c r="C58" s="42"/>
      <c r="D58" s="42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</sheetData>
  <mergeCells count="2">
    <mergeCell ref="A1:V1"/>
    <mergeCell ref="A2:V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workbookViewId="0">
      <selection activeCell="B4" sqref="B4:B54"/>
    </sheetView>
  </sheetViews>
  <sheetFormatPr defaultRowHeight="15" x14ac:dyDescent="0.25"/>
  <cols>
    <col min="1" max="1" width="6.7109375" style="10" customWidth="1"/>
    <col min="2" max="2" width="35.140625" bestFit="1" customWidth="1"/>
    <col min="3" max="3" width="4.7109375" customWidth="1"/>
    <col min="4" max="4" width="4.140625" customWidth="1"/>
    <col min="5" max="5" width="12" style="10" customWidth="1"/>
    <col min="6" max="7" width="10.5703125" style="10" customWidth="1"/>
    <col min="8" max="8" width="8.140625" customWidth="1"/>
  </cols>
  <sheetData>
    <row r="1" spans="1:12" ht="20.25" x14ac:dyDescent="0.25">
      <c r="A1" s="243" t="s">
        <v>55</v>
      </c>
      <c r="B1" s="244"/>
      <c r="C1" s="244"/>
      <c r="D1" s="244"/>
      <c r="E1" s="244"/>
      <c r="F1" s="244"/>
      <c r="G1" s="244"/>
    </row>
    <row r="2" spans="1:12" x14ac:dyDescent="0.25">
      <c r="A2" s="245" t="s">
        <v>39</v>
      </c>
      <c r="B2" s="246"/>
      <c r="C2" s="246"/>
      <c r="D2" s="246"/>
      <c r="E2" s="246"/>
      <c r="F2" s="246"/>
      <c r="G2" s="246"/>
      <c r="H2" s="246"/>
    </row>
    <row r="3" spans="1:12" ht="67.5" customHeight="1" thickBot="1" x14ac:dyDescent="0.3">
      <c r="A3" s="13" t="s">
        <v>24</v>
      </c>
      <c r="B3" s="14" t="s">
        <v>1</v>
      </c>
      <c r="C3" s="15" t="s">
        <v>2</v>
      </c>
      <c r="D3" s="14" t="s">
        <v>3</v>
      </c>
      <c r="E3" s="57" t="s">
        <v>26</v>
      </c>
      <c r="F3" s="57" t="s">
        <v>27</v>
      </c>
      <c r="G3" s="57" t="s">
        <v>16</v>
      </c>
      <c r="H3" s="91" t="s">
        <v>17</v>
      </c>
      <c r="J3" s="95"/>
      <c r="K3" s="95"/>
      <c r="L3" s="95"/>
    </row>
    <row r="4" spans="1:12" ht="20.100000000000001" customHeight="1" x14ac:dyDescent="0.25">
      <c r="A4" s="154">
        <v>1</v>
      </c>
      <c r="B4" s="141"/>
      <c r="C4" s="145">
        <v>15</v>
      </c>
      <c r="D4" s="145" t="s">
        <v>23</v>
      </c>
      <c r="E4" s="25">
        <f>'10A Sem 1'!S4</f>
        <v>72.84615384615384</v>
      </c>
      <c r="F4" s="25">
        <f>'10A Sem 2'!S4</f>
        <v>69.15384615384616</v>
      </c>
      <c r="G4" s="25">
        <f>AVERAGE(E4:F4)</f>
        <v>71</v>
      </c>
      <c r="H4" s="201">
        <f>RANK(G4,$G$4:$G$54)</f>
        <v>29</v>
      </c>
      <c r="J4" s="95"/>
      <c r="K4" s="96"/>
      <c r="L4" s="97"/>
    </row>
    <row r="5" spans="1:12" ht="20.100000000000001" customHeight="1" x14ac:dyDescent="0.25">
      <c r="A5" s="155">
        <v>2</v>
      </c>
      <c r="B5" s="141"/>
      <c r="C5" s="145">
        <v>15</v>
      </c>
      <c r="D5" s="145" t="s">
        <v>23</v>
      </c>
      <c r="E5" s="25">
        <f>'10A Sem 1'!S5</f>
        <v>63.615384615384613</v>
      </c>
      <c r="F5" s="25">
        <f>'10A Sem 2'!S5</f>
        <v>62.307692307692307</v>
      </c>
      <c r="G5" s="25">
        <f t="shared" ref="G5:G54" si="0">AVERAGE(E5:F5)</f>
        <v>62.96153846153846</v>
      </c>
      <c r="H5" s="201">
        <f t="shared" ref="H5:H54" si="1">RANK(G5,$G$4:$G$54)</f>
        <v>40</v>
      </c>
      <c r="J5" s="95"/>
      <c r="K5" s="96"/>
      <c r="L5" s="97"/>
    </row>
    <row r="6" spans="1:12" ht="20.100000000000001" customHeight="1" x14ac:dyDescent="0.25">
      <c r="A6" s="156">
        <v>3</v>
      </c>
      <c r="B6" s="141"/>
      <c r="C6" s="145">
        <v>17</v>
      </c>
      <c r="D6" s="145" t="s">
        <v>20</v>
      </c>
      <c r="E6" s="25">
        <f>'10A Sem 1'!S6</f>
        <v>96.461538461538467</v>
      </c>
      <c r="F6" s="25">
        <f>'10A Sem 2'!S6</f>
        <v>93.692307692307693</v>
      </c>
      <c r="G6" s="25">
        <f t="shared" si="0"/>
        <v>95.07692307692308</v>
      </c>
      <c r="H6" s="201">
        <f t="shared" si="1"/>
        <v>1</v>
      </c>
      <c r="J6" s="95"/>
      <c r="K6" s="96"/>
      <c r="L6" s="97"/>
    </row>
    <row r="7" spans="1:12" ht="20.100000000000001" customHeight="1" x14ac:dyDescent="0.25">
      <c r="A7" s="155">
        <v>4</v>
      </c>
      <c r="B7" s="141"/>
      <c r="C7" s="145">
        <v>15</v>
      </c>
      <c r="D7" s="145" t="s">
        <v>23</v>
      </c>
      <c r="E7" s="25">
        <f>'10A Sem 1'!S7</f>
        <v>94.230769230769226</v>
      </c>
      <c r="F7" s="25">
        <f>'10A Sem 2'!S7</f>
        <v>92.461538461538467</v>
      </c>
      <c r="G7" s="25">
        <f t="shared" si="0"/>
        <v>93.34615384615384</v>
      </c>
      <c r="H7" s="201">
        <f t="shared" si="1"/>
        <v>2</v>
      </c>
      <c r="J7" s="95"/>
      <c r="K7" s="96"/>
      <c r="L7" s="97"/>
    </row>
    <row r="8" spans="1:12" ht="20.100000000000001" customHeight="1" x14ac:dyDescent="0.25">
      <c r="A8" s="155">
        <v>5</v>
      </c>
      <c r="B8" s="141"/>
      <c r="C8" s="145">
        <v>14</v>
      </c>
      <c r="D8" s="145" t="s">
        <v>20</v>
      </c>
      <c r="E8" s="25">
        <f>'10A Sem 1'!S8</f>
        <v>78.692307692307693</v>
      </c>
      <c r="F8" s="25">
        <f>'10A Sem 2'!S8</f>
        <v>77.307692307692307</v>
      </c>
      <c r="G8" s="25">
        <f t="shared" si="0"/>
        <v>78</v>
      </c>
      <c r="H8" s="201">
        <f t="shared" si="1"/>
        <v>17</v>
      </c>
      <c r="J8" s="95"/>
      <c r="K8" s="96"/>
      <c r="L8" s="97"/>
    </row>
    <row r="9" spans="1:12" ht="20.100000000000001" customHeight="1" x14ac:dyDescent="0.25">
      <c r="A9" s="156">
        <v>6</v>
      </c>
      <c r="B9" s="141"/>
      <c r="C9" s="145">
        <v>16</v>
      </c>
      <c r="D9" s="145" t="s">
        <v>20</v>
      </c>
      <c r="E9" s="25">
        <f>'10A Sem 1'!S9</f>
        <v>78</v>
      </c>
      <c r="F9" s="25">
        <f>'10A Sem 2'!S9</f>
        <v>77</v>
      </c>
      <c r="G9" s="25">
        <f t="shared" si="0"/>
        <v>77.5</v>
      </c>
      <c r="H9" s="201">
        <f t="shared" si="1"/>
        <v>18</v>
      </c>
      <c r="J9" s="95"/>
      <c r="K9" s="96"/>
      <c r="L9" s="97"/>
    </row>
    <row r="10" spans="1:12" ht="20.100000000000001" customHeight="1" x14ac:dyDescent="0.25">
      <c r="A10" s="155">
        <v>7</v>
      </c>
      <c r="B10" s="141"/>
      <c r="C10" s="145">
        <v>15</v>
      </c>
      <c r="D10" s="145" t="s">
        <v>23</v>
      </c>
      <c r="E10" s="25">
        <f>'10A Sem 1'!S10</f>
        <v>92.15384615384616</v>
      </c>
      <c r="F10" s="25">
        <f>'10A Sem 2'!S10</f>
        <v>92.692307692307693</v>
      </c>
      <c r="G10" s="25">
        <f t="shared" si="0"/>
        <v>92.423076923076934</v>
      </c>
      <c r="H10" s="201">
        <f t="shared" si="1"/>
        <v>3</v>
      </c>
      <c r="J10" s="95"/>
      <c r="K10" s="96"/>
      <c r="L10" s="97"/>
    </row>
    <row r="11" spans="1:12" ht="20.100000000000001" customHeight="1" x14ac:dyDescent="0.25">
      <c r="A11" s="155">
        <v>8</v>
      </c>
      <c r="B11" s="141"/>
      <c r="C11" s="145">
        <v>15</v>
      </c>
      <c r="D11" s="145" t="s">
        <v>23</v>
      </c>
      <c r="E11" s="25">
        <f>'10A Sem 1'!S11</f>
        <v>67.692307692307693</v>
      </c>
      <c r="F11" s="25">
        <f>'10A Sem 2'!S11</f>
        <v>71.307692307692307</v>
      </c>
      <c r="G11" s="25">
        <f t="shared" si="0"/>
        <v>69.5</v>
      </c>
      <c r="H11" s="201">
        <f t="shared" si="1"/>
        <v>32</v>
      </c>
      <c r="J11" s="95"/>
      <c r="K11" s="96"/>
      <c r="L11" s="97"/>
    </row>
    <row r="12" spans="1:12" ht="20.100000000000001" customHeight="1" x14ac:dyDescent="0.25">
      <c r="A12" s="156">
        <v>9</v>
      </c>
      <c r="B12" s="141"/>
      <c r="C12" s="145">
        <v>16</v>
      </c>
      <c r="D12" s="145" t="s">
        <v>23</v>
      </c>
      <c r="E12" s="25">
        <f>'10A Sem 1'!S12</f>
        <v>66.615384615384613</v>
      </c>
      <c r="F12" s="25">
        <f>'10A Sem 2'!S12</f>
        <v>68.692307692307693</v>
      </c>
      <c r="G12" s="25">
        <f t="shared" si="0"/>
        <v>67.65384615384616</v>
      </c>
      <c r="H12" s="201">
        <f t="shared" si="1"/>
        <v>36</v>
      </c>
      <c r="J12" s="95"/>
      <c r="K12" s="96"/>
      <c r="L12" s="97"/>
    </row>
    <row r="13" spans="1:12" ht="20.100000000000001" customHeight="1" x14ac:dyDescent="0.25">
      <c r="A13" s="155">
        <v>10</v>
      </c>
      <c r="B13" s="141"/>
      <c r="C13" s="145">
        <v>16</v>
      </c>
      <c r="D13" s="145" t="s">
        <v>20</v>
      </c>
      <c r="E13" s="25">
        <f>'10A Sem 1'!S13</f>
        <v>57</v>
      </c>
      <c r="F13" s="25">
        <f>'10A Sem 2'!S13</f>
        <v>59.769230769230766</v>
      </c>
      <c r="G13" s="25">
        <f t="shared" si="0"/>
        <v>58.384615384615387</v>
      </c>
      <c r="H13" s="201">
        <f t="shared" si="1"/>
        <v>50</v>
      </c>
      <c r="J13" s="95"/>
      <c r="K13" s="96"/>
      <c r="L13" s="97"/>
    </row>
    <row r="14" spans="1:12" ht="20.100000000000001" customHeight="1" x14ac:dyDescent="0.25">
      <c r="A14" s="156">
        <v>11</v>
      </c>
      <c r="B14" s="141"/>
      <c r="C14" s="145">
        <v>15</v>
      </c>
      <c r="D14" s="145" t="s">
        <v>23</v>
      </c>
      <c r="E14" s="25">
        <f>'10A Sem 1'!S14</f>
        <v>76.538461538461533</v>
      </c>
      <c r="F14" s="25">
        <f>'10A Sem 2'!S14</f>
        <v>77.692307692307693</v>
      </c>
      <c r="G14" s="25">
        <f t="shared" si="0"/>
        <v>77.115384615384613</v>
      </c>
      <c r="H14" s="201">
        <f t="shared" si="1"/>
        <v>19</v>
      </c>
      <c r="J14" s="95"/>
      <c r="K14" s="96"/>
      <c r="L14" s="97"/>
    </row>
    <row r="15" spans="1:12" ht="20.100000000000001" customHeight="1" x14ac:dyDescent="0.25">
      <c r="A15" s="156">
        <v>12</v>
      </c>
      <c r="B15" s="141"/>
      <c r="C15" s="145">
        <v>15</v>
      </c>
      <c r="D15" s="145" t="s">
        <v>20</v>
      </c>
      <c r="E15" s="25">
        <f>'10A Sem 1'!S15</f>
        <v>59.53846153846154</v>
      </c>
      <c r="F15" s="25">
        <f>'10A Sem 2'!S15</f>
        <v>61.692307692307693</v>
      </c>
      <c r="G15" s="25">
        <f t="shared" si="0"/>
        <v>60.615384615384613</v>
      </c>
      <c r="H15" s="201">
        <f t="shared" si="1"/>
        <v>44</v>
      </c>
      <c r="J15" s="95"/>
      <c r="K15" s="96"/>
      <c r="L15" s="97"/>
    </row>
    <row r="16" spans="1:12" ht="20.100000000000001" customHeight="1" x14ac:dyDescent="0.25">
      <c r="A16" s="156">
        <v>13</v>
      </c>
      <c r="B16" s="141"/>
      <c r="C16" s="145">
        <v>16</v>
      </c>
      <c r="D16" s="145" t="s">
        <v>23</v>
      </c>
      <c r="E16" s="25">
        <f>'10A Sem 1'!S16</f>
        <v>71</v>
      </c>
      <c r="F16" s="25">
        <f>'10A Sem 2'!S16</f>
        <v>72.461538461538467</v>
      </c>
      <c r="G16" s="25">
        <f t="shared" si="0"/>
        <v>71.730769230769226</v>
      </c>
      <c r="H16" s="201">
        <f t="shared" si="1"/>
        <v>28</v>
      </c>
      <c r="J16" s="95"/>
      <c r="K16" s="96"/>
      <c r="L16" s="97"/>
    </row>
    <row r="17" spans="1:12" ht="20.100000000000001" customHeight="1" x14ac:dyDescent="0.25">
      <c r="A17" s="155">
        <v>14</v>
      </c>
      <c r="B17" s="141"/>
      <c r="C17" s="145">
        <v>16</v>
      </c>
      <c r="D17" s="145" t="s">
        <v>20</v>
      </c>
      <c r="E17" s="25">
        <f>'10A Sem 1'!S17</f>
        <v>75.07692307692308</v>
      </c>
      <c r="F17" s="25">
        <f>'10A Sem 2'!S17</f>
        <v>72.84615384615384</v>
      </c>
      <c r="G17" s="25">
        <f t="shared" si="0"/>
        <v>73.961538461538453</v>
      </c>
      <c r="H17" s="201">
        <f t="shared" si="1"/>
        <v>25</v>
      </c>
      <c r="J17" s="95"/>
      <c r="K17" s="96"/>
      <c r="L17" s="97"/>
    </row>
    <row r="18" spans="1:12" ht="20.100000000000001" customHeight="1" x14ac:dyDescent="0.25">
      <c r="A18" s="156">
        <v>15</v>
      </c>
      <c r="B18" s="141"/>
      <c r="C18" s="145">
        <v>15</v>
      </c>
      <c r="D18" s="145" t="s">
        <v>23</v>
      </c>
      <c r="E18" s="25">
        <f>'10A Sem 1'!S18</f>
        <v>77.384615384615387</v>
      </c>
      <c r="F18" s="25">
        <f>'10A Sem 2'!S18</f>
        <v>80</v>
      </c>
      <c r="G18" s="25">
        <f t="shared" si="0"/>
        <v>78.692307692307693</v>
      </c>
      <c r="H18" s="201">
        <f t="shared" si="1"/>
        <v>16</v>
      </c>
      <c r="J18" s="95"/>
      <c r="K18" s="96"/>
      <c r="L18" s="97"/>
    </row>
    <row r="19" spans="1:12" ht="20.100000000000001" customHeight="1" x14ac:dyDescent="0.25">
      <c r="A19" s="155">
        <v>16</v>
      </c>
      <c r="B19" s="141"/>
      <c r="C19" s="145">
        <v>15</v>
      </c>
      <c r="D19" s="145" t="s">
        <v>23</v>
      </c>
      <c r="E19" s="25">
        <f>'10A Sem 1'!S19</f>
        <v>66.461538461538467</v>
      </c>
      <c r="F19" s="25">
        <f>'10A Sem 2'!S19</f>
        <v>66.15384615384616</v>
      </c>
      <c r="G19" s="25">
        <f t="shared" si="0"/>
        <v>66.307692307692321</v>
      </c>
      <c r="H19" s="201">
        <f t="shared" si="1"/>
        <v>37</v>
      </c>
      <c r="J19" s="95"/>
      <c r="K19" s="96"/>
      <c r="L19" s="97"/>
    </row>
    <row r="20" spans="1:12" ht="20.100000000000001" customHeight="1" x14ac:dyDescent="0.25">
      <c r="A20" s="155">
        <v>17</v>
      </c>
      <c r="B20" s="141"/>
      <c r="C20" s="145">
        <v>16</v>
      </c>
      <c r="D20" s="145" t="s">
        <v>23</v>
      </c>
      <c r="E20" s="25">
        <f>'10A Sem 1'!S20</f>
        <v>92.92307692307692</v>
      </c>
      <c r="F20" s="25">
        <f>'10A Sem 2'!S20</f>
        <v>88.538461538461533</v>
      </c>
      <c r="G20" s="25">
        <f t="shared" si="0"/>
        <v>90.730769230769226</v>
      </c>
      <c r="H20" s="201">
        <f t="shared" si="1"/>
        <v>4</v>
      </c>
      <c r="J20" s="95"/>
      <c r="K20" s="96"/>
      <c r="L20" s="97"/>
    </row>
    <row r="21" spans="1:12" ht="20.100000000000001" customHeight="1" x14ac:dyDescent="0.25">
      <c r="A21" s="155">
        <v>18</v>
      </c>
      <c r="B21" s="141"/>
      <c r="C21" s="145">
        <v>16</v>
      </c>
      <c r="D21" s="145" t="s">
        <v>20</v>
      </c>
      <c r="E21" s="25">
        <f>'10A Sem 1'!S21</f>
        <v>85.615384615384613</v>
      </c>
      <c r="F21" s="25">
        <f>'10A Sem 2'!S21</f>
        <v>80.769230769230774</v>
      </c>
      <c r="G21" s="25">
        <f t="shared" si="0"/>
        <v>83.192307692307693</v>
      </c>
      <c r="H21" s="201">
        <f t="shared" si="1"/>
        <v>9</v>
      </c>
      <c r="J21" s="95"/>
      <c r="K21" s="96"/>
      <c r="L21" s="97"/>
    </row>
    <row r="22" spans="1:12" ht="20.100000000000001" customHeight="1" x14ac:dyDescent="0.25">
      <c r="A22" s="156">
        <v>19</v>
      </c>
      <c r="B22" s="141"/>
      <c r="C22" s="145">
        <v>16</v>
      </c>
      <c r="D22" s="145" t="s">
        <v>23</v>
      </c>
      <c r="E22" s="25">
        <f>'10A Sem 1'!S22</f>
        <v>73.769230769230774</v>
      </c>
      <c r="F22" s="25">
        <f>'10A Sem 2'!S22</f>
        <v>77.230769230769226</v>
      </c>
      <c r="G22" s="25">
        <f t="shared" si="0"/>
        <v>75.5</v>
      </c>
      <c r="H22" s="201">
        <f t="shared" si="1"/>
        <v>23</v>
      </c>
      <c r="J22" s="95"/>
      <c r="K22" s="96"/>
      <c r="L22" s="97"/>
    </row>
    <row r="23" spans="1:12" ht="20.100000000000001" customHeight="1" x14ac:dyDescent="0.25">
      <c r="A23" s="156">
        <v>20</v>
      </c>
      <c r="B23" s="141"/>
      <c r="C23" s="145">
        <v>15</v>
      </c>
      <c r="D23" s="145" t="s">
        <v>23</v>
      </c>
      <c r="E23" s="25">
        <f>'10A Sem 1'!S23</f>
        <v>83.384615384615387</v>
      </c>
      <c r="F23" s="25">
        <f>'10A Sem 2'!S23</f>
        <v>79.92307692307692</v>
      </c>
      <c r="G23" s="25">
        <f t="shared" si="0"/>
        <v>81.65384615384616</v>
      </c>
      <c r="H23" s="201">
        <f t="shared" si="1"/>
        <v>10</v>
      </c>
      <c r="J23" s="95"/>
      <c r="K23" s="96"/>
      <c r="L23" s="97"/>
    </row>
    <row r="24" spans="1:12" ht="20.100000000000001" customHeight="1" x14ac:dyDescent="0.25">
      <c r="A24" s="156">
        <v>21</v>
      </c>
      <c r="B24" s="141"/>
      <c r="C24" s="145">
        <v>16</v>
      </c>
      <c r="D24" s="145" t="s">
        <v>20</v>
      </c>
      <c r="E24" s="25">
        <f>'10A Sem 1'!S24</f>
        <v>65</v>
      </c>
      <c r="F24" s="25">
        <f>'10A Sem 2'!S24</f>
        <v>67</v>
      </c>
      <c r="G24" s="25">
        <f t="shared" si="0"/>
        <v>66</v>
      </c>
      <c r="H24" s="201">
        <f t="shared" si="1"/>
        <v>38</v>
      </c>
      <c r="J24" s="95"/>
      <c r="K24" s="96"/>
      <c r="L24" s="97"/>
    </row>
    <row r="25" spans="1:12" ht="20.100000000000001" customHeight="1" x14ac:dyDescent="0.25">
      <c r="A25" s="155">
        <v>22</v>
      </c>
      <c r="B25" s="141"/>
      <c r="C25" s="145">
        <v>15</v>
      </c>
      <c r="D25" s="145" t="s">
        <v>23</v>
      </c>
      <c r="E25" s="25">
        <f>'10A Sem 1'!S25</f>
        <v>88.384615384615387</v>
      </c>
      <c r="F25" s="25">
        <f>'10A Sem 2'!S25</f>
        <v>87.461538461538467</v>
      </c>
      <c r="G25" s="25">
        <f t="shared" si="0"/>
        <v>87.923076923076934</v>
      </c>
      <c r="H25" s="201">
        <f t="shared" si="1"/>
        <v>5</v>
      </c>
      <c r="J25" s="95"/>
      <c r="K25" s="96"/>
      <c r="L25" s="97"/>
    </row>
    <row r="26" spans="1:12" ht="20.100000000000001" customHeight="1" x14ac:dyDescent="0.25">
      <c r="A26" s="155">
        <v>23</v>
      </c>
      <c r="B26" s="141"/>
      <c r="C26" s="145">
        <v>16</v>
      </c>
      <c r="D26" s="145" t="s">
        <v>20</v>
      </c>
      <c r="E26" s="110">
        <f>'10A Sem 1'!S26</f>
        <v>88.538461538461533</v>
      </c>
      <c r="F26" s="110">
        <f>'10A Sem 2'!S26</f>
        <v>87.07692307692308</v>
      </c>
      <c r="G26" s="25">
        <f t="shared" si="0"/>
        <v>87.807692307692307</v>
      </c>
      <c r="H26" s="201">
        <f t="shared" si="1"/>
        <v>6</v>
      </c>
      <c r="J26" s="95"/>
      <c r="K26" s="96"/>
      <c r="L26" s="98"/>
    </row>
    <row r="27" spans="1:12" ht="20.100000000000001" customHeight="1" x14ac:dyDescent="0.25">
      <c r="A27" s="156">
        <v>24</v>
      </c>
      <c r="B27" s="141"/>
      <c r="C27" s="145">
        <v>15</v>
      </c>
      <c r="D27" s="145" t="s">
        <v>23</v>
      </c>
      <c r="E27" s="25">
        <f>'10A Sem 1'!S27</f>
        <v>76.538461538461533</v>
      </c>
      <c r="F27" s="25">
        <f>'10A Sem 2'!S27</f>
        <v>77.07692307692308</v>
      </c>
      <c r="G27" s="25">
        <f t="shared" si="0"/>
        <v>76.807692307692307</v>
      </c>
      <c r="H27" s="201">
        <f t="shared" si="1"/>
        <v>20</v>
      </c>
      <c r="J27" s="95"/>
      <c r="K27" s="96"/>
      <c r="L27" s="97"/>
    </row>
    <row r="28" spans="1:12" ht="20.100000000000001" customHeight="1" x14ac:dyDescent="0.25">
      <c r="A28" s="155">
        <v>25</v>
      </c>
      <c r="B28" s="141"/>
      <c r="C28" s="145">
        <v>15</v>
      </c>
      <c r="D28" s="145" t="s">
        <v>23</v>
      </c>
      <c r="E28" s="25">
        <f>'10A Sem 1'!S28</f>
        <v>85</v>
      </c>
      <c r="F28" s="25">
        <f>'10A Sem 2'!S28</f>
        <v>84.230769230769226</v>
      </c>
      <c r="G28" s="25">
        <f t="shared" si="0"/>
        <v>84.615384615384613</v>
      </c>
      <c r="H28" s="201">
        <f t="shared" si="1"/>
        <v>7</v>
      </c>
      <c r="J28" s="95"/>
      <c r="K28" s="96"/>
      <c r="L28" s="97"/>
    </row>
    <row r="29" spans="1:12" ht="20.100000000000001" customHeight="1" x14ac:dyDescent="0.25">
      <c r="A29" s="156">
        <v>26</v>
      </c>
      <c r="B29" s="141"/>
      <c r="C29" s="145">
        <v>16</v>
      </c>
      <c r="D29" s="145" t="s">
        <v>20</v>
      </c>
      <c r="E29" s="25">
        <f>'10A Sem 1'!S29</f>
        <v>81.615384615384613</v>
      </c>
      <c r="F29" s="25">
        <f>'10A Sem 2'!S29</f>
        <v>80.07692307692308</v>
      </c>
      <c r="G29" s="25">
        <f t="shared" si="0"/>
        <v>80.84615384615384</v>
      </c>
      <c r="H29" s="201">
        <f t="shared" si="1"/>
        <v>11</v>
      </c>
      <c r="J29" s="95"/>
      <c r="K29" s="96"/>
      <c r="L29" s="97"/>
    </row>
    <row r="30" spans="1:12" ht="20.100000000000001" customHeight="1" x14ac:dyDescent="0.25">
      <c r="A30" s="156">
        <v>27</v>
      </c>
      <c r="B30" s="141"/>
      <c r="C30" s="145">
        <v>15</v>
      </c>
      <c r="D30" s="145" t="s">
        <v>20</v>
      </c>
      <c r="E30" s="25">
        <f>'10A Sem 1'!S30</f>
        <v>76.692307692307693</v>
      </c>
      <c r="F30" s="25">
        <f>'10A Sem 2'!S30</f>
        <v>73.769230769230774</v>
      </c>
      <c r="G30" s="25">
        <f t="shared" si="0"/>
        <v>75.230769230769226</v>
      </c>
      <c r="H30" s="201">
        <f t="shared" si="1"/>
        <v>24</v>
      </c>
      <c r="J30" s="95"/>
      <c r="K30" s="96"/>
      <c r="L30" s="97"/>
    </row>
    <row r="31" spans="1:12" ht="20.100000000000001" customHeight="1" x14ac:dyDescent="0.25">
      <c r="A31" s="156">
        <v>28</v>
      </c>
      <c r="B31" s="141"/>
      <c r="C31" s="145">
        <v>16</v>
      </c>
      <c r="D31" s="145" t="s">
        <v>23</v>
      </c>
      <c r="E31" s="25">
        <f>'10A Sem 1'!S31</f>
        <v>63.92307692307692</v>
      </c>
      <c r="F31" s="25">
        <f>'10A Sem 2'!S31</f>
        <v>60.615384615384613</v>
      </c>
      <c r="G31" s="25">
        <f t="shared" si="0"/>
        <v>62.269230769230766</v>
      </c>
      <c r="H31" s="201">
        <f t="shared" si="1"/>
        <v>41</v>
      </c>
      <c r="J31" s="95"/>
      <c r="K31" s="96"/>
      <c r="L31" s="97"/>
    </row>
    <row r="32" spans="1:12" ht="20.100000000000001" customHeight="1" x14ac:dyDescent="0.25">
      <c r="A32" s="155">
        <v>29</v>
      </c>
      <c r="B32" s="141"/>
      <c r="C32" s="145">
        <v>15</v>
      </c>
      <c r="D32" s="145" t="s">
        <v>23</v>
      </c>
      <c r="E32" s="25">
        <f>'10A Sem 1'!S32</f>
        <v>82.307692307692307</v>
      </c>
      <c r="F32" s="25">
        <f>'10A Sem 2'!S32</f>
        <v>85.15384615384616</v>
      </c>
      <c r="G32" s="25">
        <f t="shared" si="0"/>
        <v>83.730769230769226</v>
      </c>
      <c r="H32" s="201">
        <f t="shared" si="1"/>
        <v>8</v>
      </c>
      <c r="J32" s="95"/>
      <c r="K32" s="96"/>
      <c r="L32" s="97"/>
    </row>
    <row r="33" spans="1:12" ht="20.100000000000001" customHeight="1" x14ac:dyDescent="0.25">
      <c r="A33" s="156">
        <v>30</v>
      </c>
      <c r="B33" s="142"/>
      <c r="C33" s="148">
        <v>15</v>
      </c>
      <c r="D33" s="148" t="s">
        <v>23</v>
      </c>
      <c r="E33" s="25">
        <f>'10A Sem 1'!S33</f>
        <v>64.692307692307693</v>
      </c>
      <c r="F33" s="25">
        <f>'10A Sem 2'!S33</f>
        <v>59.307692307692307</v>
      </c>
      <c r="G33" s="25">
        <f t="shared" si="0"/>
        <v>62</v>
      </c>
      <c r="H33" s="201">
        <f t="shared" si="1"/>
        <v>42</v>
      </c>
      <c r="J33" s="95"/>
      <c r="K33" s="96"/>
      <c r="L33" s="97"/>
    </row>
    <row r="34" spans="1:12" ht="20.100000000000001" customHeight="1" x14ac:dyDescent="0.25">
      <c r="A34" s="155">
        <v>31</v>
      </c>
      <c r="B34" s="141"/>
      <c r="C34" s="145">
        <v>15</v>
      </c>
      <c r="D34" s="145" t="s">
        <v>23</v>
      </c>
      <c r="E34" s="25">
        <f>'10A Sem 1'!S34</f>
        <v>69.692307692307693</v>
      </c>
      <c r="F34" s="25">
        <f>'10A Sem 2'!S34</f>
        <v>68.769230769230774</v>
      </c>
      <c r="G34" s="25">
        <f t="shared" si="0"/>
        <v>69.230769230769226</v>
      </c>
      <c r="H34" s="201">
        <f t="shared" si="1"/>
        <v>33</v>
      </c>
      <c r="J34" s="95"/>
      <c r="K34" s="96"/>
      <c r="L34" s="97"/>
    </row>
    <row r="35" spans="1:12" ht="20.100000000000001" customHeight="1" x14ac:dyDescent="0.25">
      <c r="A35" s="155">
        <v>32</v>
      </c>
      <c r="B35" s="141"/>
      <c r="C35" s="145">
        <v>18</v>
      </c>
      <c r="D35" s="145" t="s">
        <v>23</v>
      </c>
      <c r="E35" s="25">
        <f>'10A Sem 1'!S35</f>
        <v>80.07692307692308</v>
      </c>
      <c r="F35" s="25">
        <f>'10A Sem 2'!S35</f>
        <v>78.615384615384613</v>
      </c>
      <c r="G35" s="25">
        <f t="shared" si="0"/>
        <v>79.34615384615384</v>
      </c>
      <c r="H35" s="201">
        <f t="shared" si="1"/>
        <v>14</v>
      </c>
      <c r="J35" s="95"/>
      <c r="K35" s="96"/>
      <c r="L35" s="97"/>
    </row>
    <row r="36" spans="1:12" ht="20.100000000000001" customHeight="1" x14ac:dyDescent="0.25">
      <c r="A36" s="155">
        <v>33</v>
      </c>
      <c r="B36" s="141"/>
      <c r="C36" s="145">
        <v>17</v>
      </c>
      <c r="D36" s="145" t="s">
        <v>23</v>
      </c>
      <c r="E36" s="25">
        <f>'10A Sem 1'!S36</f>
        <v>80.384615384615387</v>
      </c>
      <c r="F36" s="25">
        <f>'10A Sem 2'!S36</f>
        <v>78.692307692307693</v>
      </c>
      <c r="G36" s="25">
        <f t="shared" si="0"/>
        <v>79.538461538461547</v>
      </c>
      <c r="H36" s="201">
        <f t="shared" si="1"/>
        <v>13</v>
      </c>
      <c r="J36" s="95"/>
      <c r="K36" s="96"/>
      <c r="L36" s="97"/>
    </row>
    <row r="37" spans="1:12" ht="20.100000000000001" customHeight="1" x14ac:dyDescent="0.25">
      <c r="A37" s="156">
        <v>34</v>
      </c>
      <c r="B37" s="141"/>
      <c r="C37" s="145">
        <v>15</v>
      </c>
      <c r="D37" s="145" t="s">
        <v>20</v>
      </c>
      <c r="E37" s="25">
        <f>'10A Sem 1'!S37</f>
        <v>58.07692307692308</v>
      </c>
      <c r="F37" s="25">
        <f>'10A Sem 2'!S37</f>
        <v>59.307692307692307</v>
      </c>
      <c r="G37" s="25">
        <f t="shared" si="0"/>
        <v>58.692307692307693</v>
      </c>
      <c r="H37" s="201">
        <f t="shared" si="1"/>
        <v>49</v>
      </c>
      <c r="J37" s="95"/>
      <c r="K37" s="96"/>
      <c r="L37" s="97"/>
    </row>
    <row r="38" spans="1:12" ht="20.100000000000001" customHeight="1" x14ac:dyDescent="0.25">
      <c r="A38" s="156">
        <v>35</v>
      </c>
      <c r="B38" s="141"/>
      <c r="C38" s="145">
        <v>15</v>
      </c>
      <c r="D38" s="145" t="s">
        <v>23</v>
      </c>
      <c r="E38" s="25">
        <f>'10A Sem 1'!S38</f>
        <v>75.692307692307693</v>
      </c>
      <c r="F38" s="25">
        <f>'10A Sem 2'!S38</f>
        <v>75.692307692307693</v>
      </c>
      <c r="G38" s="25">
        <f t="shared" si="0"/>
        <v>75.692307692307693</v>
      </c>
      <c r="H38" s="201">
        <f t="shared" si="1"/>
        <v>22</v>
      </c>
      <c r="J38" s="95"/>
      <c r="K38" s="96"/>
      <c r="L38" s="97"/>
    </row>
    <row r="39" spans="1:12" ht="20.100000000000001" customHeight="1" x14ac:dyDescent="0.25">
      <c r="A39" s="156">
        <v>36</v>
      </c>
      <c r="B39" s="141"/>
      <c r="C39" s="145">
        <v>15</v>
      </c>
      <c r="D39" s="145" t="s">
        <v>23</v>
      </c>
      <c r="E39" s="25">
        <f>'10A Sem 1'!S39</f>
        <v>81.307692307692307</v>
      </c>
      <c r="F39" s="25">
        <f>'10A Sem 2'!S39</f>
        <v>76.384615384615387</v>
      </c>
      <c r="G39" s="25">
        <f t="shared" si="0"/>
        <v>78.84615384615384</v>
      </c>
      <c r="H39" s="201">
        <f t="shared" si="1"/>
        <v>15</v>
      </c>
      <c r="J39" s="95"/>
      <c r="K39" s="96"/>
      <c r="L39" s="97"/>
    </row>
    <row r="40" spans="1:12" ht="20.100000000000001" customHeight="1" x14ac:dyDescent="0.25">
      <c r="A40" s="155">
        <v>37</v>
      </c>
      <c r="B40" s="141"/>
      <c r="C40" s="145">
        <v>15</v>
      </c>
      <c r="D40" s="145" t="s">
        <v>23</v>
      </c>
      <c r="E40" s="25">
        <f>'10A Sem 1'!S40</f>
        <v>72.461538461538467</v>
      </c>
      <c r="F40" s="25">
        <f>'10A Sem 2'!S40</f>
        <v>66.615384615384613</v>
      </c>
      <c r="G40" s="25">
        <f t="shared" si="0"/>
        <v>69.538461538461547</v>
      </c>
      <c r="H40" s="201">
        <f t="shared" si="1"/>
        <v>31</v>
      </c>
      <c r="J40" s="95"/>
      <c r="K40" s="96"/>
      <c r="L40" s="97"/>
    </row>
    <row r="41" spans="1:12" ht="20.100000000000001" customHeight="1" x14ac:dyDescent="0.25">
      <c r="A41" s="155">
        <v>38</v>
      </c>
      <c r="B41" s="141"/>
      <c r="C41" s="145">
        <v>15</v>
      </c>
      <c r="D41" s="145" t="s">
        <v>20</v>
      </c>
      <c r="E41" s="25">
        <f>'10A Sem 1'!S41</f>
        <v>56.53846153846154</v>
      </c>
      <c r="F41" s="25">
        <f>'10A Sem 2'!S41</f>
        <v>62.153846153846153</v>
      </c>
      <c r="G41" s="25">
        <f t="shared" si="0"/>
        <v>59.346153846153847</v>
      </c>
      <c r="H41" s="201">
        <f t="shared" si="1"/>
        <v>46</v>
      </c>
      <c r="J41" s="95"/>
      <c r="K41" s="96"/>
      <c r="L41" s="97"/>
    </row>
    <row r="42" spans="1:12" ht="20.100000000000001" customHeight="1" x14ac:dyDescent="0.25">
      <c r="A42" s="156">
        <v>39</v>
      </c>
      <c r="B42" s="141"/>
      <c r="C42" s="145">
        <v>16</v>
      </c>
      <c r="D42" s="145" t="s">
        <v>23</v>
      </c>
      <c r="E42" s="25">
        <f>'10A Sem 1'!S42</f>
        <v>74.307692307692307</v>
      </c>
      <c r="F42" s="25">
        <f>'10A Sem 2'!S42</f>
        <v>69.84615384615384</v>
      </c>
      <c r="G42" s="25">
        <f t="shared" si="0"/>
        <v>72.076923076923066</v>
      </c>
      <c r="H42" s="201">
        <f t="shared" si="1"/>
        <v>27</v>
      </c>
      <c r="J42" s="95"/>
      <c r="K42" s="96"/>
      <c r="L42" s="97"/>
    </row>
    <row r="43" spans="1:12" ht="20.100000000000001" customHeight="1" x14ac:dyDescent="0.25">
      <c r="A43" s="155">
        <v>40</v>
      </c>
      <c r="B43" s="141"/>
      <c r="C43" s="145">
        <v>16</v>
      </c>
      <c r="D43" s="145" t="s">
        <v>20</v>
      </c>
      <c r="E43" s="25">
        <f>'10A Sem 1'!S43</f>
        <v>66.92307692307692</v>
      </c>
      <c r="F43" s="25">
        <f>'10A Sem 2'!S43</f>
        <v>68.84615384615384</v>
      </c>
      <c r="G43" s="25">
        <f t="shared" si="0"/>
        <v>67.884615384615387</v>
      </c>
      <c r="H43" s="201">
        <f t="shared" si="1"/>
        <v>35</v>
      </c>
      <c r="J43" s="95"/>
      <c r="K43" s="96"/>
      <c r="L43" s="97"/>
    </row>
    <row r="44" spans="1:12" ht="20.100000000000001" customHeight="1" x14ac:dyDescent="0.25">
      <c r="A44" s="156">
        <v>41</v>
      </c>
      <c r="B44" s="141"/>
      <c r="C44" s="145">
        <v>17</v>
      </c>
      <c r="D44" s="145" t="s">
        <v>23</v>
      </c>
      <c r="E44" s="25">
        <f>'10A Sem 1'!S44</f>
        <v>58.46153846153846</v>
      </c>
      <c r="F44" s="25">
        <f>'10A Sem 2'!S44</f>
        <v>61.46153846153846</v>
      </c>
      <c r="G44" s="25">
        <f t="shared" si="0"/>
        <v>59.96153846153846</v>
      </c>
      <c r="H44" s="201">
        <f t="shared" si="1"/>
        <v>45</v>
      </c>
      <c r="J44" s="95"/>
      <c r="K44" s="96"/>
      <c r="L44" s="97"/>
    </row>
    <row r="45" spans="1:12" ht="20.100000000000001" customHeight="1" x14ac:dyDescent="0.25">
      <c r="A45" s="156">
        <v>42</v>
      </c>
      <c r="B45" s="141"/>
      <c r="C45" s="145">
        <v>18</v>
      </c>
      <c r="D45" s="145" t="s">
        <v>20</v>
      </c>
      <c r="E45" s="25">
        <f>'10A Sem 1'!S45</f>
        <v>64</v>
      </c>
      <c r="F45" s="25">
        <f>'10A Sem 2'!S45</f>
        <v>66.384615384615387</v>
      </c>
      <c r="G45" s="25">
        <f t="shared" si="0"/>
        <v>65.192307692307693</v>
      </c>
      <c r="H45" s="201">
        <f t="shared" si="1"/>
        <v>39</v>
      </c>
      <c r="J45" s="95"/>
      <c r="K45" s="96"/>
      <c r="L45" s="97"/>
    </row>
    <row r="46" spans="1:12" ht="20.100000000000001" customHeight="1" x14ac:dyDescent="0.25">
      <c r="A46" s="156">
        <v>43</v>
      </c>
      <c r="B46" s="141"/>
      <c r="C46" s="145">
        <v>16</v>
      </c>
      <c r="D46" s="145" t="s">
        <v>20</v>
      </c>
      <c r="E46" s="25">
        <f>'10A Sem 1'!S46</f>
        <v>69.538461538461533</v>
      </c>
      <c r="F46" s="25">
        <f>'10A Sem 2'!S46</f>
        <v>71.307692307692307</v>
      </c>
      <c r="G46" s="25">
        <f t="shared" si="0"/>
        <v>70.42307692307692</v>
      </c>
      <c r="H46" s="201">
        <f t="shared" si="1"/>
        <v>30</v>
      </c>
      <c r="J46" s="95"/>
      <c r="K46" s="96"/>
      <c r="L46" s="97"/>
    </row>
    <row r="47" spans="1:12" ht="20.100000000000001" customHeight="1" x14ac:dyDescent="0.25">
      <c r="A47" s="155">
        <v>44</v>
      </c>
      <c r="B47" s="141"/>
      <c r="C47" s="145">
        <v>15</v>
      </c>
      <c r="D47" s="145" t="s">
        <v>20</v>
      </c>
      <c r="E47" s="25">
        <f>'10A Sem 1'!S47</f>
        <v>80.769230769230774</v>
      </c>
      <c r="F47" s="25">
        <f>'10A Sem 2'!S47</f>
        <v>79</v>
      </c>
      <c r="G47" s="25">
        <f t="shared" si="0"/>
        <v>79.884615384615387</v>
      </c>
      <c r="H47" s="201">
        <f t="shared" si="1"/>
        <v>12</v>
      </c>
      <c r="J47" s="95"/>
      <c r="K47" s="96"/>
      <c r="L47" s="97"/>
    </row>
    <row r="48" spans="1:12" ht="20.100000000000001" customHeight="1" x14ac:dyDescent="0.25">
      <c r="A48" s="156">
        <v>45</v>
      </c>
      <c r="B48" s="141"/>
      <c r="C48" s="145">
        <v>15</v>
      </c>
      <c r="D48" s="145" t="s">
        <v>23</v>
      </c>
      <c r="E48" s="25">
        <f>'10A Sem 1'!S48</f>
        <v>57.307692307692307</v>
      </c>
      <c r="F48" s="25">
        <f>'10A Sem 2'!S48</f>
        <v>60.92307692307692</v>
      </c>
      <c r="G48" s="25">
        <f t="shared" si="0"/>
        <v>59.115384615384613</v>
      </c>
      <c r="H48" s="201">
        <f t="shared" si="1"/>
        <v>47</v>
      </c>
      <c r="J48" s="95"/>
      <c r="K48" s="96"/>
      <c r="L48" s="97"/>
    </row>
    <row r="49" spans="1:12" ht="20.100000000000001" customHeight="1" x14ac:dyDescent="0.25">
      <c r="A49" s="155">
        <v>46</v>
      </c>
      <c r="B49" s="141"/>
      <c r="C49" s="145">
        <v>16</v>
      </c>
      <c r="D49" s="145" t="s">
        <v>23</v>
      </c>
      <c r="E49" s="25">
        <f>'10A Sem 1'!S49</f>
        <v>66.692307692307693</v>
      </c>
      <c r="F49" s="25">
        <f>'10A Sem 2'!S49</f>
        <v>69.92307692307692</v>
      </c>
      <c r="G49" s="25">
        <f t="shared" si="0"/>
        <v>68.307692307692307</v>
      </c>
      <c r="H49" s="201">
        <f t="shared" si="1"/>
        <v>34</v>
      </c>
      <c r="J49" s="95"/>
      <c r="K49" s="96"/>
      <c r="L49" s="97"/>
    </row>
    <row r="50" spans="1:12" ht="20.100000000000001" customHeight="1" x14ac:dyDescent="0.25">
      <c r="A50" s="155">
        <v>47</v>
      </c>
      <c r="B50" s="141"/>
      <c r="C50" s="145">
        <v>15</v>
      </c>
      <c r="D50" s="145" t="s">
        <v>20</v>
      </c>
      <c r="E50" s="25">
        <f>'10A Sem 1'!S50</f>
        <v>59.92307692307692</v>
      </c>
      <c r="F50" s="25">
        <f>'10A Sem 2'!S50</f>
        <v>63.153846153846153</v>
      </c>
      <c r="G50" s="25">
        <f t="shared" si="0"/>
        <v>61.538461538461533</v>
      </c>
      <c r="H50" s="201">
        <f t="shared" si="1"/>
        <v>43</v>
      </c>
      <c r="J50" s="95"/>
      <c r="K50" s="96"/>
      <c r="L50" s="97"/>
    </row>
    <row r="51" spans="1:12" ht="20.100000000000001" customHeight="1" x14ac:dyDescent="0.25">
      <c r="A51" s="155">
        <v>48</v>
      </c>
      <c r="B51" s="141"/>
      <c r="C51" s="145">
        <v>14</v>
      </c>
      <c r="D51" s="145" t="s">
        <v>23</v>
      </c>
      <c r="E51" s="25">
        <f>'10A Sem 1'!S51</f>
        <v>74</v>
      </c>
      <c r="F51" s="25">
        <f>'10A Sem 2'!S51</f>
        <v>73.84615384615384</v>
      </c>
      <c r="G51" s="25">
        <f t="shared" si="0"/>
        <v>73.92307692307692</v>
      </c>
      <c r="H51" s="201">
        <f t="shared" si="1"/>
        <v>26</v>
      </c>
      <c r="J51" s="95"/>
      <c r="K51" s="96"/>
      <c r="L51" s="97"/>
    </row>
    <row r="52" spans="1:12" ht="19.5" customHeight="1" x14ac:dyDescent="0.25">
      <c r="A52" s="156">
        <v>49</v>
      </c>
      <c r="B52" s="141"/>
      <c r="C52" s="145">
        <v>15</v>
      </c>
      <c r="D52" s="145" t="s">
        <v>23</v>
      </c>
      <c r="E52" s="25">
        <f>'10A Sem 1'!S52</f>
        <v>79.538461538461533</v>
      </c>
      <c r="F52" s="25">
        <f>'10A Sem 2'!S52</f>
        <v>73.384615384615387</v>
      </c>
      <c r="G52" s="25">
        <f t="shared" si="0"/>
        <v>76.461538461538453</v>
      </c>
      <c r="H52" s="201">
        <f t="shared" si="1"/>
        <v>21</v>
      </c>
      <c r="J52" s="95"/>
      <c r="K52" s="96"/>
      <c r="L52" s="97"/>
    </row>
    <row r="53" spans="1:12" ht="19.5" customHeight="1" x14ac:dyDescent="0.25">
      <c r="A53" s="163">
        <v>50</v>
      </c>
      <c r="B53" s="141"/>
      <c r="C53" s="145">
        <v>16</v>
      </c>
      <c r="D53" s="145" t="s">
        <v>20</v>
      </c>
      <c r="E53" s="25">
        <f>'10A Sem 1'!S53</f>
        <v>57.615384615384613</v>
      </c>
      <c r="F53" s="25">
        <f>'10A Sem 2'!S53</f>
        <v>59.92307692307692</v>
      </c>
      <c r="G53" s="25">
        <f t="shared" si="0"/>
        <v>58.769230769230766</v>
      </c>
      <c r="H53" s="201">
        <f t="shared" si="1"/>
        <v>48</v>
      </c>
      <c r="J53" s="95"/>
      <c r="K53" s="96"/>
      <c r="L53" s="97"/>
    </row>
    <row r="54" spans="1:12" ht="19.5" customHeight="1" x14ac:dyDescent="0.25">
      <c r="A54" s="163">
        <v>51</v>
      </c>
      <c r="B54" s="139"/>
      <c r="C54" s="136">
        <v>16</v>
      </c>
      <c r="D54" s="136" t="s">
        <v>20</v>
      </c>
      <c r="E54" s="25">
        <f>'10A Sem 1'!S54</f>
        <v>52.307692307692307</v>
      </c>
      <c r="F54" s="25">
        <f>'10A Sem 2'!S54</f>
        <v>53.307692307692307</v>
      </c>
      <c r="G54" s="25">
        <f t="shared" si="0"/>
        <v>52.807692307692307</v>
      </c>
      <c r="H54" s="201">
        <f t="shared" si="1"/>
        <v>51</v>
      </c>
      <c r="J54" s="95"/>
      <c r="K54" s="96"/>
      <c r="L54" s="97"/>
    </row>
  </sheetData>
  <mergeCells count="2">
    <mergeCell ref="A1:G1"/>
    <mergeCell ref="A2:H2"/>
  </mergeCells>
  <pageMargins left="0.7" right="0.7" top="0.75" bottom="0.75" header="0.3" footer="0.3"/>
  <pageSetup scale="9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18"/>
  <sheetViews>
    <sheetView workbookViewId="0">
      <selection activeCell="B6" sqref="B6:B173"/>
    </sheetView>
  </sheetViews>
  <sheetFormatPr defaultRowHeight="15" x14ac:dyDescent="0.25"/>
  <cols>
    <col min="1" max="1" width="4" customWidth="1"/>
    <col min="2" max="2" width="35.28515625" customWidth="1"/>
    <col min="3" max="4" width="4.140625" style="9" customWidth="1"/>
    <col min="6" max="6" width="6.85546875" customWidth="1"/>
    <col min="7" max="7" width="6.5703125" customWidth="1"/>
    <col min="8" max="8" width="7.85546875" customWidth="1"/>
    <col min="9" max="9" width="6.140625" customWidth="1"/>
    <col min="10" max="10" width="6.5703125" customWidth="1"/>
    <col min="11" max="11" width="6.42578125" customWidth="1"/>
    <col min="12" max="12" width="6.140625" customWidth="1"/>
    <col min="13" max="13" width="6.5703125" customWidth="1"/>
    <col min="14" max="14" width="5.42578125" customWidth="1"/>
    <col min="15" max="18" width="6.42578125" customWidth="1"/>
    <col min="19" max="19" width="8" customWidth="1"/>
    <col min="20" max="20" width="6.42578125" customWidth="1"/>
    <col min="21" max="21" width="9.140625" customWidth="1"/>
    <col min="22" max="23" width="5" style="28" customWidth="1"/>
    <col min="24" max="24" width="4.7109375" customWidth="1"/>
    <col min="25" max="25" width="30.85546875" customWidth="1"/>
    <col min="26" max="26" width="3.85546875" customWidth="1"/>
    <col min="27" max="27" width="3.7109375" customWidth="1"/>
  </cols>
  <sheetData>
    <row r="1" spans="1:26" ht="20.25" x14ac:dyDescent="0.25">
      <c r="A1" s="222" t="s">
        <v>59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4"/>
    </row>
    <row r="2" spans="1:26" ht="18.75" customHeight="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87"/>
      <c r="R2" s="187"/>
      <c r="S2" s="2"/>
      <c r="T2" s="2"/>
      <c r="U2" s="2"/>
      <c r="V2" s="26"/>
      <c r="W2" s="27"/>
    </row>
    <row r="3" spans="1:26" ht="17.25" x14ac:dyDescent="0.25">
      <c r="A3" s="225" t="s">
        <v>40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3"/>
      <c r="Y3" s="3"/>
      <c r="Z3" s="3"/>
    </row>
    <row r="4" spans="1:26" ht="3.75" customHeight="1" thickBo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3"/>
      <c r="Y4" s="3"/>
      <c r="Z4" s="3"/>
    </row>
    <row r="5" spans="1:26" ht="66.75" customHeight="1" thickBot="1" x14ac:dyDescent="0.3">
      <c r="A5" s="61" t="s">
        <v>28</v>
      </c>
      <c r="B5" s="61" t="s">
        <v>1</v>
      </c>
      <c r="C5" s="65" t="s">
        <v>2</v>
      </c>
      <c r="D5" s="65" t="s">
        <v>3</v>
      </c>
      <c r="E5" s="53" t="s">
        <v>25</v>
      </c>
      <c r="F5" s="53" t="s">
        <v>4</v>
      </c>
      <c r="G5" s="53" t="s">
        <v>5</v>
      </c>
      <c r="H5" s="53" t="s">
        <v>6</v>
      </c>
      <c r="I5" s="53" t="s">
        <v>7</v>
      </c>
      <c r="J5" s="53" t="s">
        <v>8</v>
      </c>
      <c r="K5" s="53" t="s">
        <v>9</v>
      </c>
      <c r="L5" s="53" t="s">
        <v>11</v>
      </c>
      <c r="M5" s="53" t="s">
        <v>10</v>
      </c>
      <c r="N5" s="55" t="s">
        <v>12</v>
      </c>
      <c r="O5" s="55" t="s">
        <v>13</v>
      </c>
      <c r="P5" s="55" t="s">
        <v>65</v>
      </c>
      <c r="Q5" s="53" t="s">
        <v>14</v>
      </c>
      <c r="R5" s="53" t="s">
        <v>66</v>
      </c>
      <c r="S5" s="55" t="s">
        <v>15</v>
      </c>
      <c r="T5" s="53" t="s">
        <v>16</v>
      </c>
      <c r="U5" s="53" t="s">
        <v>17</v>
      </c>
      <c r="V5" s="53" t="s">
        <v>18</v>
      </c>
      <c r="W5" s="66" t="s">
        <v>19</v>
      </c>
    </row>
    <row r="6" spans="1:26" ht="17.25" customHeight="1" thickBot="1" x14ac:dyDescent="0.3">
      <c r="A6" s="251">
        <v>1</v>
      </c>
      <c r="B6" s="218"/>
      <c r="C6" s="213">
        <v>16</v>
      </c>
      <c r="D6" s="217" t="s">
        <v>20</v>
      </c>
      <c r="E6" s="62" t="s">
        <v>21</v>
      </c>
      <c r="F6" s="60">
        <f>'10B Sem 1'!E4</f>
        <v>76</v>
      </c>
      <c r="G6" s="60">
        <f>'10B Sem 1'!F4</f>
        <v>53</v>
      </c>
      <c r="H6" s="60">
        <f>'10B Sem 1'!G4</f>
        <v>83</v>
      </c>
      <c r="I6" s="60">
        <f>'10B Sem 1'!H4</f>
        <v>48</v>
      </c>
      <c r="J6" s="60">
        <f>'10B Sem 1'!I4</f>
        <v>52</v>
      </c>
      <c r="K6" s="60">
        <f>'10B Sem 1'!J4</f>
        <v>61</v>
      </c>
      <c r="L6" s="60">
        <f>'10B Sem 1'!K4</f>
        <v>72</v>
      </c>
      <c r="M6" s="60">
        <f>'10B Sem 1'!L4</f>
        <v>60</v>
      </c>
      <c r="N6" s="60">
        <f>'10B Sem 1'!M4</f>
        <v>57</v>
      </c>
      <c r="O6" s="60">
        <f>'10B Sem 1'!N4</f>
        <v>77</v>
      </c>
      <c r="P6" s="60">
        <f>'10B Sem 1'!O4</f>
        <v>65</v>
      </c>
      <c r="Q6" s="60">
        <f>'10B Sem 1'!P4</f>
        <v>73</v>
      </c>
      <c r="R6" s="60">
        <f>'10B Sem 1'!Q4</f>
        <v>62</v>
      </c>
      <c r="S6" s="60">
        <f>'10B Sem 1'!R4</f>
        <v>839</v>
      </c>
      <c r="T6" s="60">
        <f>'10B Sem 1'!S4</f>
        <v>64.538461538461533</v>
      </c>
      <c r="U6" s="60">
        <f>'10B Sem 1'!T4</f>
        <v>47</v>
      </c>
      <c r="V6" s="60">
        <f>'10B Sem 1'!U4</f>
        <v>0</v>
      </c>
      <c r="W6" s="60">
        <f>'10B Sem 1'!V4</f>
        <v>0</v>
      </c>
    </row>
    <row r="7" spans="1:26" ht="17.25" customHeight="1" thickBot="1" x14ac:dyDescent="0.3">
      <c r="A7" s="251"/>
      <c r="B7" s="218"/>
      <c r="C7" s="213">
        <v>16</v>
      </c>
      <c r="D7" s="217" t="s">
        <v>20</v>
      </c>
      <c r="E7" s="21" t="s">
        <v>22</v>
      </c>
      <c r="F7" s="29">
        <f>'10B Sem 2'!E4</f>
        <v>80</v>
      </c>
      <c r="G7" s="29">
        <f>'10B Sem 2'!F4</f>
        <v>62</v>
      </c>
      <c r="H7" s="29">
        <f>'10B Sem 2'!G4</f>
        <v>69</v>
      </c>
      <c r="I7" s="29">
        <f>'10B Sem 2'!H4</f>
        <v>64</v>
      </c>
      <c r="J7" s="29">
        <f>'10B Sem 2'!I4</f>
        <v>50</v>
      </c>
      <c r="K7" s="29">
        <f>'10B Sem 2'!J4</f>
        <v>58</v>
      </c>
      <c r="L7" s="29">
        <f>'10B Sem 2'!K4</f>
        <v>70</v>
      </c>
      <c r="M7" s="29">
        <f>'10B Sem 2'!L4</f>
        <v>79</v>
      </c>
      <c r="N7" s="29">
        <f>'10B Sem 2'!M4</f>
        <v>75</v>
      </c>
      <c r="O7" s="29">
        <f>'10B Sem 2'!N4</f>
        <v>78</v>
      </c>
      <c r="P7" s="29">
        <f>'10B Sem 2'!O4</f>
        <v>50</v>
      </c>
      <c r="Q7" s="29">
        <f>'10B Sem 2'!P4</f>
        <v>89</v>
      </c>
      <c r="R7" s="29">
        <f>'10B Sem 2'!Q4</f>
        <v>58</v>
      </c>
      <c r="S7" s="22">
        <f>'10B Sem 2'!R4</f>
        <v>882</v>
      </c>
      <c r="T7" s="22">
        <f>'10B Sem 2'!S4</f>
        <v>67.84615384615384</v>
      </c>
      <c r="U7" s="22">
        <f>'10B Sem 2'!T4</f>
        <v>42</v>
      </c>
      <c r="V7" s="22">
        <f>'10B Sem 2'!U4</f>
        <v>0</v>
      </c>
      <c r="W7" s="22">
        <f>'10B Sem 2'!V4</f>
        <v>0</v>
      </c>
    </row>
    <row r="8" spans="1:26" ht="17.25" customHeight="1" thickBot="1" x14ac:dyDescent="0.3">
      <c r="A8" s="251"/>
      <c r="B8" s="218"/>
      <c r="C8" s="213">
        <v>16</v>
      </c>
      <c r="D8" s="217" t="s">
        <v>20</v>
      </c>
      <c r="E8" s="21" t="s">
        <v>16</v>
      </c>
      <c r="F8" s="22">
        <f>AVERAGE(F6:F7)</f>
        <v>78</v>
      </c>
      <c r="G8" s="22">
        <f t="shared" ref="G8:W8" si="0">AVERAGE(G6:G7)</f>
        <v>57.5</v>
      </c>
      <c r="H8" s="22">
        <f t="shared" si="0"/>
        <v>76</v>
      </c>
      <c r="I8" s="22">
        <f t="shared" si="0"/>
        <v>56</v>
      </c>
      <c r="J8" s="22">
        <f t="shared" si="0"/>
        <v>51</v>
      </c>
      <c r="K8" s="22">
        <f t="shared" si="0"/>
        <v>59.5</v>
      </c>
      <c r="L8" s="22">
        <f t="shared" si="0"/>
        <v>71</v>
      </c>
      <c r="M8" s="22">
        <f t="shared" si="0"/>
        <v>69.5</v>
      </c>
      <c r="N8" s="22">
        <f t="shared" si="0"/>
        <v>66</v>
      </c>
      <c r="O8" s="22">
        <f t="shared" si="0"/>
        <v>77.5</v>
      </c>
      <c r="P8" s="22">
        <f t="shared" si="0"/>
        <v>57.5</v>
      </c>
      <c r="Q8" s="22">
        <f t="shared" si="0"/>
        <v>81</v>
      </c>
      <c r="R8" s="22">
        <f t="shared" si="0"/>
        <v>60</v>
      </c>
      <c r="S8" s="22">
        <f t="shared" si="0"/>
        <v>860.5</v>
      </c>
      <c r="T8" s="22">
        <f t="shared" si="0"/>
        <v>66.192307692307679</v>
      </c>
      <c r="U8" s="22">
        <f>'10B Sem avr'!$H$4</f>
        <v>43</v>
      </c>
      <c r="V8" s="22">
        <f t="shared" si="0"/>
        <v>0</v>
      </c>
      <c r="W8" s="22">
        <f t="shared" si="0"/>
        <v>0</v>
      </c>
    </row>
    <row r="9" spans="1:26" ht="17.25" customHeight="1" thickBot="1" x14ac:dyDescent="0.3">
      <c r="A9" s="247">
        <v>2</v>
      </c>
      <c r="B9" s="218"/>
      <c r="C9" s="213">
        <v>16</v>
      </c>
      <c r="D9" s="217" t="s">
        <v>20</v>
      </c>
      <c r="E9" s="21" t="s">
        <v>21</v>
      </c>
      <c r="F9" s="22">
        <f>'10B Sem 1'!E5</f>
        <v>81</v>
      </c>
      <c r="G9" s="22">
        <f>'10B Sem 1'!F5</f>
        <v>73</v>
      </c>
      <c r="H9" s="22">
        <f>'10B Sem 1'!G5</f>
        <v>82</v>
      </c>
      <c r="I9" s="22">
        <f>'10B Sem 1'!H5</f>
        <v>55</v>
      </c>
      <c r="J9" s="22">
        <f>'10B Sem 1'!I5</f>
        <v>68</v>
      </c>
      <c r="K9" s="22">
        <f>'10B Sem 1'!J5</f>
        <v>73</v>
      </c>
      <c r="L9" s="22">
        <f>'10B Sem 1'!K5</f>
        <v>72</v>
      </c>
      <c r="M9" s="22">
        <f>'10B Sem 1'!L5</f>
        <v>69</v>
      </c>
      <c r="N9" s="22">
        <f>'10B Sem 1'!M5</f>
        <v>78</v>
      </c>
      <c r="O9" s="22">
        <f>'10B Sem 1'!N5</f>
        <v>81</v>
      </c>
      <c r="P9" s="22">
        <f>'10B Sem 1'!O5</f>
        <v>74</v>
      </c>
      <c r="Q9" s="22">
        <f>'10B Sem 1'!P5</f>
        <v>88</v>
      </c>
      <c r="R9" s="22">
        <f>'10B Sem 1'!Q5</f>
        <v>79</v>
      </c>
      <c r="S9" s="22">
        <f>'10B Sem 1'!R5</f>
        <v>973</v>
      </c>
      <c r="T9" s="22">
        <f>'10B Sem 1'!S5</f>
        <v>74.84615384615384</v>
      </c>
      <c r="U9" s="22">
        <f>'10B Sem 1'!T5</f>
        <v>28</v>
      </c>
      <c r="V9" s="22">
        <f>'10B Sem 1'!U5</f>
        <v>0</v>
      </c>
      <c r="W9" s="22">
        <f>'10B Sem 1'!V5</f>
        <v>0</v>
      </c>
    </row>
    <row r="10" spans="1:26" ht="17.25" customHeight="1" thickBot="1" x14ac:dyDescent="0.3">
      <c r="A10" s="247"/>
      <c r="B10" s="218"/>
      <c r="C10" s="213">
        <v>16</v>
      </c>
      <c r="D10" s="217" t="s">
        <v>20</v>
      </c>
      <c r="E10" s="21" t="s">
        <v>22</v>
      </c>
      <c r="F10" s="22">
        <f>'10B Sem 2'!E5</f>
        <v>71</v>
      </c>
      <c r="G10" s="22">
        <f>'10B Sem 2'!F5</f>
        <v>76</v>
      </c>
      <c r="H10" s="22">
        <f>'10B Sem 2'!G5</f>
        <v>57</v>
      </c>
      <c r="I10" s="22">
        <f>'10B Sem 2'!H5</f>
        <v>57</v>
      </c>
      <c r="J10" s="22">
        <f>'10B Sem 2'!I5</f>
        <v>62</v>
      </c>
      <c r="K10" s="22">
        <f>'10B Sem 2'!J5</f>
        <v>63</v>
      </c>
      <c r="L10" s="22">
        <f>'10B Sem 2'!K5</f>
        <v>58</v>
      </c>
      <c r="M10" s="22">
        <f>'10B Sem 2'!L5</f>
        <v>87</v>
      </c>
      <c r="N10" s="22">
        <f>'10B Sem 2'!M5</f>
        <v>72</v>
      </c>
      <c r="O10" s="22">
        <f>'10B Sem 2'!N5</f>
        <v>94</v>
      </c>
      <c r="P10" s="22">
        <f>'10B Sem 2'!O5</f>
        <v>61</v>
      </c>
      <c r="Q10" s="22">
        <f>'10B Sem 2'!P5</f>
        <v>95</v>
      </c>
      <c r="R10" s="22">
        <f>'10B Sem 2'!Q5</f>
        <v>64</v>
      </c>
      <c r="S10" s="22">
        <f>'10B Sem 2'!R5</f>
        <v>917</v>
      </c>
      <c r="T10" s="22">
        <f>'10B Sem 2'!S5</f>
        <v>70.538461538461533</v>
      </c>
      <c r="U10" s="22">
        <f>'10B Sem 2'!T5</f>
        <v>38</v>
      </c>
      <c r="V10" s="22">
        <f>'10B Sem 2'!U5</f>
        <v>0</v>
      </c>
      <c r="W10" s="22">
        <f>'10B Sem 2'!V5</f>
        <v>0</v>
      </c>
    </row>
    <row r="11" spans="1:26" ht="17.25" customHeight="1" thickBot="1" x14ac:dyDescent="0.3">
      <c r="A11" s="247"/>
      <c r="B11" s="218"/>
      <c r="C11" s="213">
        <v>16</v>
      </c>
      <c r="D11" s="217" t="s">
        <v>20</v>
      </c>
      <c r="E11" s="21" t="s">
        <v>16</v>
      </c>
      <c r="F11" s="22">
        <f>AVERAGE(F9:F10)</f>
        <v>76</v>
      </c>
      <c r="G11" s="22">
        <f t="shared" ref="G11:W11" si="1">AVERAGE(G9:G10)</f>
        <v>74.5</v>
      </c>
      <c r="H11" s="22">
        <f t="shared" si="1"/>
        <v>69.5</v>
      </c>
      <c r="I11" s="22">
        <f t="shared" si="1"/>
        <v>56</v>
      </c>
      <c r="J11" s="22">
        <f t="shared" si="1"/>
        <v>65</v>
      </c>
      <c r="K11" s="22">
        <f t="shared" si="1"/>
        <v>68</v>
      </c>
      <c r="L11" s="22">
        <f t="shared" si="1"/>
        <v>65</v>
      </c>
      <c r="M11" s="22">
        <f t="shared" si="1"/>
        <v>78</v>
      </c>
      <c r="N11" s="22">
        <f t="shared" si="1"/>
        <v>75</v>
      </c>
      <c r="O11" s="22">
        <f t="shared" si="1"/>
        <v>87.5</v>
      </c>
      <c r="P11" s="22">
        <f t="shared" si="1"/>
        <v>67.5</v>
      </c>
      <c r="Q11" s="22">
        <f t="shared" si="1"/>
        <v>91.5</v>
      </c>
      <c r="R11" s="22">
        <f t="shared" si="1"/>
        <v>71.5</v>
      </c>
      <c r="S11" s="22">
        <f t="shared" si="1"/>
        <v>945</v>
      </c>
      <c r="T11" s="22">
        <f t="shared" si="1"/>
        <v>72.692307692307679</v>
      </c>
      <c r="U11" s="22">
        <f>'10B Sem avr'!$H$5</f>
        <v>35</v>
      </c>
      <c r="V11" s="22">
        <f t="shared" si="1"/>
        <v>0</v>
      </c>
      <c r="W11" s="22">
        <f t="shared" si="1"/>
        <v>0</v>
      </c>
    </row>
    <row r="12" spans="1:26" ht="17.25" customHeight="1" thickBot="1" x14ac:dyDescent="0.3">
      <c r="A12" s="249">
        <v>3</v>
      </c>
      <c r="B12" s="218"/>
      <c r="C12" s="213">
        <v>16</v>
      </c>
      <c r="D12" s="217" t="s">
        <v>54</v>
      </c>
      <c r="E12" s="21" t="s">
        <v>21</v>
      </c>
      <c r="F12" s="22">
        <f>'10B Sem 1'!E6</f>
        <v>74</v>
      </c>
      <c r="G12" s="22">
        <f>'10B Sem 1'!F6</f>
        <v>47</v>
      </c>
      <c r="H12" s="22">
        <f>'10B Sem 1'!G6</f>
        <v>47</v>
      </c>
      <c r="I12" s="22">
        <f>'10B Sem 1'!H6</f>
        <v>44</v>
      </c>
      <c r="J12" s="22">
        <f>'10B Sem 1'!I6</f>
        <v>33</v>
      </c>
      <c r="K12" s="22">
        <f>'10B Sem 1'!J6</f>
        <v>41</v>
      </c>
      <c r="L12" s="22">
        <f>'10B Sem 1'!K6</f>
        <v>45</v>
      </c>
      <c r="M12" s="22">
        <f>'10B Sem 1'!L6</f>
        <v>42</v>
      </c>
      <c r="N12" s="22">
        <f>'10B Sem 1'!M6</f>
        <v>53</v>
      </c>
      <c r="O12" s="22">
        <f>'10B Sem 1'!N6</f>
        <v>60</v>
      </c>
      <c r="P12" s="22">
        <f>'10B Sem 1'!O6</f>
        <v>54</v>
      </c>
      <c r="Q12" s="22">
        <f>'10B Sem 1'!P6</f>
        <v>79</v>
      </c>
      <c r="R12" s="22">
        <f>'10B Sem 1'!Q6</f>
        <v>55</v>
      </c>
      <c r="S12" s="22">
        <f>'10B Sem 1'!R6</f>
        <v>674</v>
      </c>
      <c r="T12" s="22">
        <f>'10B Sem 1'!S6</f>
        <v>51.846153846153847</v>
      </c>
      <c r="U12" s="22">
        <f>'10B Sem 1'!T6</f>
        <v>55</v>
      </c>
      <c r="V12" s="22">
        <f>'10B Sem 1'!U6</f>
        <v>0</v>
      </c>
      <c r="W12" s="22">
        <f>'10B Sem 1'!V6</f>
        <v>0</v>
      </c>
    </row>
    <row r="13" spans="1:26" ht="17.25" customHeight="1" thickBot="1" x14ac:dyDescent="0.3">
      <c r="A13" s="249"/>
      <c r="B13" s="218"/>
      <c r="C13" s="213">
        <v>16</v>
      </c>
      <c r="D13" s="217" t="s">
        <v>54</v>
      </c>
      <c r="E13" s="21" t="s">
        <v>22</v>
      </c>
      <c r="F13" s="22">
        <f>'10B Sem 2'!E6</f>
        <v>70</v>
      </c>
      <c r="G13" s="22">
        <f>'10B Sem 2'!F6</f>
        <v>63</v>
      </c>
      <c r="H13" s="22">
        <f>'10B Sem 2'!G6</f>
        <v>49</v>
      </c>
      <c r="I13" s="22">
        <f>'10B Sem 2'!H6</f>
        <v>46</v>
      </c>
      <c r="J13" s="22">
        <f>'10B Sem 2'!I6</f>
        <v>31</v>
      </c>
      <c r="K13" s="22">
        <f>'10B Sem 2'!J6</f>
        <v>36</v>
      </c>
      <c r="L13" s="22">
        <f>'10B Sem 2'!K6</f>
        <v>31</v>
      </c>
      <c r="M13" s="22">
        <f>'10B Sem 2'!L6</f>
        <v>63</v>
      </c>
      <c r="N13" s="22">
        <f>'10B Sem 2'!M6</f>
        <v>57</v>
      </c>
      <c r="O13" s="22">
        <f>'10B Sem 2'!N6</f>
        <v>58</v>
      </c>
      <c r="P13" s="22">
        <f>'10B Sem 2'!O6</f>
        <v>40</v>
      </c>
      <c r="Q13" s="22">
        <f>'10B Sem 2'!P6</f>
        <v>74</v>
      </c>
      <c r="R13" s="22">
        <f>'10B Sem 2'!Q6</f>
        <v>51</v>
      </c>
      <c r="S13" s="22">
        <f>'10B Sem 2'!R6</f>
        <v>669</v>
      </c>
      <c r="T13" s="22">
        <f>'10B Sem 2'!S6</f>
        <v>51.46153846153846</v>
      </c>
      <c r="U13" s="22">
        <f>'10B Sem 2'!T6</f>
        <v>55</v>
      </c>
      <c r="V13" s="22">
        <f>'10B Sem 2'!U6</f>
        <v>0</v>
      </c>
      <c r="W13" s="22">
        <f>'10B Sem 2'!V6</f>
        <v>0</v>
      </c>
    </row>
    <row r="14" spans="1:26" ht="17.25" customHeight="1" thickBot="1" x14ac:dyDescent="0.3">
      <c r="A14" s="249"/>
      <c r="B14" s="218"/>
      <c r="C14" s="213">
        <v>16</v>
      </c>
      <c r="D14" s="217" t="s">
        <v>54</v>
      </c>
      <c r="E14" s="21" t="s">
        <v>16</v>
      </c>
      <c r="F14" s="22">
        <f>AVERAGE(F12:F13)</f>
        <v>72</v>
      </c>
      <c r="G14" s="22">
        <f t="shared" ref="G14:W14" si="2">AVERAGE(G12:G13)</f>
        <v>55</v>
      </c>
      <c r="H14" s="22">
        <f t="shared" si="2"/>
        <v>48</v>
      </c>
      <c r="I14" s="22">
        <f t="shared" si="2"/>
        <v>45</v>
      </c>
      <c r="J14" s="22">
        <f t="shared" si="2"/>
        <v>32</v>
      </c>
      <c r="K14" s="22">
        <f t="shared" si="2"/>
        <v>38.5</v>
      </c>
      <c r="L14" s="22">
        <f t="shared" si="2"/>
        <v>38</v>
      </c>
      <c r="M14" s="22">
        <f t="shared" si="2"/>
        <v>52.5</v>
      </c>
      <c r="N14" s="22">
        <f t="shared" si="2"/>
        <v>55</v>
      </c>
      <c r="O14" s="22">
        <f t="shared" si="2"/>
        <v>59</v>
      </c>
      <c r="P14" s="22">
        <f t="shared" si="2"/>
        <v>47</v>
      </c>
      <c r="Q14" s="22">
        <f t="shared" si="2"/>
        <v>76.5</v>
      </c>
      <c r="R14" s="22">
        <f t="shared" si="2"/>
        <v>53</v>
      </c>
      <c r="S14" s="22">
        <f t="shared" si="2"/>
        <v>671.5</v>
      </c>
      <c r="T14" s="22">
        <f t="shared" si="2"/>
        <v>51.653846153846153</v>
      </c>
      <c r="U14" s="22">
        <f>'10B Sem avr'!$H$6</f>
        <v>55</v>
      </c>
      <c r="V14" s="22">
        <f t="shared" si="2"/>
        <v>0</v>
      </c>
      <c r="W14" s="22">
        <f t="shared" si="2"/>
        <v>0</v>
      </c>
    </row>
    <row r="15" spans="1:26" ht="17.25" customHeight="1" thickBot="1" x14ac:dyDescent="0.3">
      <c r="A15" s="247">
        <v>4</v>
      </c>
      <c r="B15" s="218"/>
      <c r="C15" s="213">
        <v>16</v>
      </c>
      <c r="D15" s="217" t="s">
        <v>23</v>
      </c>
      <c r="E15" s="21" t="s">
        <v>21</v>
      </c>
      <c r="F15" s="22">
        <f>'10B Sem 1'!E7</f>
        <v>84</v>
      </c>
      <c r="G15" s="22">
        <f>'10B Sem 1'!F7</f>
        <v>63</v>
      </c>
      <c r="H15" s="22">
        <f>'10B Sem 1'!G7</f>
        <v>68</v>
      </c>
      <c r="I15" s="22">
        <f>'10B Sem 1'!H7</f>
        <v>51</v>
      </c>
      <c r="J15" s="22">
        <f>'10B Sem 1'!I7</f>
        <v>54</v>
      </c>
      <c r="K15" s="22">
        <f>'10B Sem 1'!J7</f>
        <v>71</v>
      </c>
      <c r="L15" s="22">
        <f>'10B Sem 1'!K7</f>
        <v>69</v>
      </c>
      <c r="M15" s="22">
        <f>'10B Sem 1'!L7</f>
        <v>60</v>
      </c>
      <c r="N15" s="22">
        <f>'10B Sem 1'!M7</f>
        <v>75</v>
      </c>
      <c r="O15" s="22">
        <f>'10B Sem 1'!N7</f>
        <v>74</v>
      </c>
      <c r="P15" s="22">
        <f>'10B Sem 1'!O7</f>
        <v>61</v>
      </c>
      <c r="Q15" s="22">
        <f>'10B Sem 1'!P7</f>
        <v>88</v>
      </c>
      <c r="R15" s="22">
        <f>'10B Sem 1'!Q7</f>
        <v>78</v>
      </c>
      <c r="S15" s="22">
        <f>'10B Sem 1'!R7</f>
        <v>896</v>
      </c>
      <c r="T15" s="22">
        <f>'10B Sem 1'!S7</f>
        <v>68.92307692307692</v>
      </c>
      <c r="U15" s="22">
        <f>'10B Sem 1'!T7</f>
        <v>39</v>
      </c>
      <c r="V15" s="22">
        <f>'10B Sem 1'!U7</f>
        <v>0</v>
      </c>
      <c r="W15" s="22">
        <f>'10B Sem 1'!V7</f>
        <v>0</v>
      </c>
    </row>
    <row r="16" spans="1:26" ht="17.25" customHeight="1" thickBot="1" x14ac:dyDescent="0.3">
      <c r="A16" s="247"/>
      <c r="B16" s="218"/>
      <c r="C16" s="213">
        <v>16</v>
      </c>
      <c r="D16" s="217" t="s">
        <v>23</v>
      </c>
      <c r="E16" s="21" t="s">
        <v>22</v>
      </c>
      <c r="F16" s="22">
        <f>'10B Sem 2'!E7</f>
        <v>85</v>
      </c>
      <c r="G16" s="22">
        <f>'10B Sem 2'!F7</f>
        <v>61</v>
      </c>
      <c r="H16" s="22">
        <f>'10B Sem 2'!G7</f>
        <v>49</v>
      </c>
      <c r="I16" s="22">
        <f>'10B Sem 2'!H7</f>
        <v>52</v>
      </c>
      <c r="J16" s="22">
        <f>'10B Sem 2'!I7</f>
        <v>57</v>
      </c>
      <c r="K16" s="22">
        <f>'10B Sem 2'!J7</f>
        <v>61</v>
      </c>
      <c r="L16" s="22">
        <f>'10B Sem 2'!K7</f>
        <v>85</v>
      </c>
      <c r="M16" s="22">
        <f>'10B Sem 2'!L7</f>
        <v>87</v>
      </c>
      <c r="N16" s="22">
        <f>'10B Sem 2'!M7</f>
        <v>78</v>
      </c>
      <c r="O16" s="22">
        <f>'10B Sem 2'!N7</f>
        <v>81</v>
      </c>
      <c r="P16" s="22">
        <f>'10B Sem 2'!O7</f>
        <v>74</v>
      </c>
      <c r="Q16" s="22">
        <f>'10B Sem 2'!P7</f>
        <v>89</v>
      </c>
      <c r="R16" s="22">
        <f>'10B Sem 2'!Q7</f>
        <v>79</v>
      </c>
      <c r="S16" s="22">
        <f>'10B Sem 2'!R7</f>
        <v>938</v>
      </c>
      <c r="T16" s="22">
        <f>'10B Sem 2'!S7</f>
        <v>72.15384615384616</v>
      </c>
      <c r="U16" s="22">
        <f>'10B Sem 2'!T7</f>
        <v>34</v>
      </c>
      <c r="V16" s="22">
        <f>'10B Sem 2'!U7</f>
        <v>0</v>
      </c>
      <c r="W16" s="22">
        <f>'10B Sem 2'!V7</f>
        <v>0</v>
      </c>
    </row>
    <row r="17" spans="1:23" ht="17.25" customHeight="1" thickBot="1" x14ac:dyDescent="0.3">
      <c r="A17" s="247"/>
      <c r="B17" s="218"/>
      <c r="C17" s="213">
        <v>16</v>
      </c>
      <c r="D17" s="217" t="s">
        <v>23</v>
      </c>
      <c r="E17" s="21" t="s">
        <v>16</v>
      </c>
      <c r="F17" s="22">
        <f>AVERAGE(F15:F16)</f>
        <v>84.5</v>
      </c>
      <c r="G17" s="22">
        <f t="shared" ref="G17:W17" si="3">AVERAGE(G15:G16)</f>
        <v>62</v>
      </c>
      <c r="H17" s="22">
        <f t="shared" si="3"/>
        <v>58.5</v>
      </c>
      <c r="I17" s="22">
        <f t="shared" si="3"/>
        <v>51.5</v>
      </c>
      <c r="J17" s="22">
        <f t="shared" si="3"/>
        <v>55.5</v>
      </c>
      <c r="K17" s="22">
        <f t="shared" si="3"/>
        <v>66</v>
      </c>
      <c r="L17" s="22">
        <f t="shared" si="3"/>
        <v>77</v>
      </c>
      <c r="M17" s="22">
        <f t="shared" si="3"/>
        <v>73.5</v>
      </c>
      <c r="N17" s="22">
        <f t="shared" si="3"/>
        <v>76.5</v>
      </c>
      <c r="O17" s="22">
        <f t="shared" si="3"/>
        <v>77.5</v>
      </c>
      <c r="P17" s="22">
        <f t="shared" si="3"/>
        <v>67.5</v>
      </c>
      <c r="Q17" s="22">
        <f t="shared" si="3"/>
        <v>88.5</v>
      </c>
      <c r="R17" s="22">
        <f t="shared" si="3"/>
        <v>78.5</v>
      </c>
      <c r="S17" s="22">
        <f t="shared" si="3"/>
        <v>917</v>
      </c>
      <c r="T17" s="22">
        <f t="shared" si="3"/>
        <v>70.538461538461547</v>
      </c>
      <c r="U17" s="22">
        <f>'10B Sem avr'!$H$7</f>
        <v>38</v>
      </c>
      <c r="V17" s="22">
        <f t="shared" si="3"/>
        <v>0</v>
      </c>
      <c r="W17" s="22">
        <f t="shared" si="3"/>
        <v>0</v>
      </c>
    </row>
    <row r="18" spans="1:23" ht="17.25" customHeight="1" thickBot="1" x14ac:dyDescent="0.3">
      <c r="A18" s="247">
        <v>5</v>
      </c>
      <c r="B18" s="218"/>
      <c r="C18" s="213">
        <v>15</v>
      </c>
      <c r="D18" s="217" t="s">
        <v>20</v>
      </c>
      <c r="E18" s="21" t="s">
        <v>21</v>
      </c>
      <c r="F18" s="22">
        <f>'10B Sem 1'!E8</f>
        <v>77</v>
      </c>
      <c r="G18" s="22">
        <f>'10B Sem 1'!F8</f>
        <v>71</v>
      </c>
      <c r="H18" s="22">
        <f>'10B Sem 1'!G8</f>
        <v>55</v>
      </c>
      <c r="I18" s="22">
        <f>'10B Sem 1'!H8</f>
        <v>37</v>
      </c>
      <c r="J18" s="22">
        <f>'10B Sem 1'!I8</f>
        <v>48</v>
      </c>
      <c r="K18" s="22">
        <f>'10B Sem 1'!J8</f>
        <v>45</v>
      </c>
      <c r="L18" s="22">
        <f>'10B Sem 1'!K8</f>
        <v>45</v>
      </c>
      <c r="M18" s="22">
        <f>'10B Sem 1'!L8</f>
        <v>53</v>
      </c>
      <c r="N18" s="22">
        <f>'10B Sem 1'!M8</f>
        <v>62</v>
      </c>
      <c r="O18" s="22">
        <f>'10B Sem 1'!N8</f>
        <v>80</v>
      </c>
      <c r="P18" s="22">
        <f>'10B Sem 1'!O8</f>
        <v>56</v>
      </c>
      <c r="Q18" s="22">
        <f>'10B Sem 1'!P8</f>
        <v>76</v>
      </c>
      <c r="R18" s="22">
        <f>'10B Sem 1'!Q8</f>
        <v>70</v>
      </c>
      <c r="S18" s="22">
        <f>'10B Sem 1'!R8</f>
        <v>775</v>
      </c>
      <c r="T18" s="22">
        <f>'10B Sem 1'!S8</f>
        <v>59.615384615384613</v>
      </c>
      <c r="U18" s="22">
        <f>'10B Sem 1'!T8</f>
        <v>50</v>
      </c>
      <c r="V18" s="22">
        <f>'10B Sem 1'!U8</f>
        <v>0</v>
      </c>
      <c r="W18" s="22">
        <f>'10B Sem 1'!V8</f>
        <v>0</v>
      </c>
    </row>
    <row r="19" spans="1:23" ht="17.25" customHeight="1" thickBot="1" x14ac:dyDescent="0.3">
      <c r="A19" s="247"/>
      <c r="B19" s="218"/>
      <c r="C19" s="213">
        <v>15</v>
      </c>
      <c r="D19" s="217" t="s">
        <v>20</v>
      </c>
      <c r="E19" s="21" t="s">
        <v>22</v>
      </c>
      <c r="F19" s="22">
        <f>'10B Sem 2'!E8</f>
        <v>82</v>
      </c>
      <c r="G19" s="22">
        <f>'10B Sem 2'!F8</f>
        <v>74</v>
      </c>
      <c r="H19" s="22">
        <f>'10B Sem 2'!G8</f>
        <v>44</v>
      </c>
      <c r="I19" s="22">
        <f>'10B Sem 2'!H8</f>
        <v>48</v>
      </c>
      <c r="J19" s="22">
        <f>'10B Sem 2'!I8</f>
        <v>40</v>
      </c>
      <c r="K19" s="22">
        <f>'10B Sem 2'!J8</f>
        <v>52</v>
      </c>
      <c r="L19" s="22">
        <f>'10B Sem 2'!K8</f>
        <v>39</v>
      </c>
      <c r="M19" s="22">
        <f>'10B Sem 2'!L8</f>
        <v>70</v>
      </c>
      <c r="N19" s="22">
        <f>'10B Sem 2'!M8</f>
        <v>63</v>
      </c>
      <c r="O19" s="22">
        <f>'10B Sem 2'!N8</f>
        <v>83</v>
      </c>
      <c r="P19" s="22">
        <f>'10B Sem 2'!O8</f>
        <v>52</v>
      </c>
      <c r="Q19" s="22">
        <f>'10B Sem 2'!P8</f>
        <v>95</v>
      </c>
      <c r="R19" s="22">
        <f>'10B Sem 2'!Q8</f>
        <v>69</v>
      </c>
      <c r="S19" s="22">
        <f>'10B Sem 2'!R8</f>
        <v>811</v>
      </c>
      <c r="T19" s="22">
        <f>'10B Sem 2'!S8</f>
        <v>62.384615384615387</v>
      </c>
      <c r="U19" s="22">
        <f>'10B Sem 2'!T8</f>
        <v>50</v>
      </c>
      <c r="V19" s="22">
        <f>'10B Sem 2'!U8</f>
        <v>0</v>
      </c>
      <c r="W19" s="22">
        <f>'10B Sem 2'!V8</f>
        <v>0</v>
      </c>
    </row>
    <row r="20" spans="1:23" ht="17.25" customHeight="1" thickBot="1" x14ac:dyDescent="0.3">
      <c r="A20" s="247"/>
      <c r="B20" s="218"/>
      <c r="C20" s="213">
        <v>15</v>
      </c>
      <c r="D20" s="217" t="s">
        <v>20</v>
      </c>
      <c r="E20" s="21" t="s">
        <v>16</v>
      </c>
      <c r="F20" s="22">
        <f>AVERAGE(F18:F19)</f>
        <v>79.5</v>
      </c>
      <c r="G20" s="22">
        <f t="shared" ref="G20:W20" si="4">AVERAGE(G18:G19)</f>
        <v>72.5</v>
      </c>
      <c r="H20" s="22">
        <f t="shared" si="4"/>
        <v>49.5</v>
      </c>
      <c r="I20" s="22">
        <f t="shared" si="4"/>
        <v>42.5</v>
      </c>
      <c r="J20" s="22">
        <f t="shared" si="4"/>
        <v>44</v>
      </c>
      <c r="K20" s="22">
        <f t="shared" si="4"/>
        <v>48.5</v>
      </c>
      <c r="L20" s="22">
        <f t="shared" si="4"/>
        <v>42</v>
      </c>
      <c r="M20" s="22">
        <f t="shared" si="4"/>
        <v>61.5</v>
      </c>
      <c r="N20" s="22">
        <f t="shared" si="4"/>
        <v>62.5</v>
      </c>
      <c r="O20" s="22">
        <f t="shared" si="4"/>
        <v>81.5</v>
      </c>
      <c r="P20" s="22">
        <f t="shared" si="4"/>
        <v>54</v>
      </c>
      <c r="Q20" s="22">
        <f t="shared" si="4"/>
        <v>85.5</v>
      </c>
      <c r="R20" s="22">
        <f t="shared" si="4"/>
        <v>69.5</v>
      </c>
      <c r="S20" s="22">
        <f t="shared" si="4"/>
        <v>793</v>
      </c>
      <c r="T20" s="22">
        <f t="shared" si="4"/>
        <v>61</v>
      </c>
      <c r="U20" s="22">
        <f>'10B Sem avr'!$H$8</f>
        <v>51</v>
      </c>
      <c r="V20" s="22">
        <f t="shared" si="4"/>
        <v>0</v>
      </c>
      <c r="W20" s="22">
        <f t="shared" si="4"/>
        <v>0</v>
      </c>
    </row>
    <row r="21" spans="1:23" ht="17.25" customHeight="1" thickBot="1" x14ac:dyDescent="0.3">
      <c r="A21" s="249">
        <v>6</v>
      </c>
      <c r="B21" s="218"/>
      <c r="C21" s="213">
        <v>16</v>
      </c>
      <c r="D21" s="217" t="s">
        <v>20</v>
      </c>
      <c r="E21" s="21" t="s">
        <v>21</v>
      </c>
      <c r="F21" s="22">
        <f>'10B Sem 1'!E9</f>
        <v>78</v>
      </c>
      <c r="G21" s="22">
        <f>'10B Sem 1'!F9</f>
        <v>62</v>
      </c>
      <c r="H21" s="22">
        <f>'10B Sem 1'!G9</f>
        <v>89</v>
      </c>
      <c r="I21" s="22">
        <f>'10B Sem 1'!H9</f>
        <v>73</v>
      </c>
      <c r="J21" s="22">
        <f>'10B Sem 1'!I9</f>
        <v>61</v>
      </c>
      <c r="K21" s="22">
        <f>'10B Sem 1'!J9</f>
        <v>79</v>
      </c>
      <c r="L21" s="22">
        <f>'10B Sem 1'!K9</f>
        <v>63</v>
      </c>
      <c r="M21" s="22">
        <f>'10B Sem 1'!L9</f>
        <v>65</v>
      </c>
      <c r="N21" s="22">
        <f>'10B Sem 1'!M9</f>
        <v>68</v>
      </c>
      <c r="O21" s="22">
        <f>'10B Sem 1'!N9</f>
        <v>92</v>
      </c>
      <c r="P21" s="22">
        <f>'10B Sem 1'!O9</f>
        <v>82</v>
      </c>
      <c r="Q21" s="22">
        <f>'10B Sem 1'!P9</f>
        <v>87</v>
      </c>
      <c r="R21" s="22">
        <f>'10B Sem 1'!Q9</f>
        <v>74</v>
      </c>
      <c r="S21" s="22">
        <f>'10B Sem 1'!R9</f>
        <v>973</v>
      </c>
      <c r="T21" s="22">
        <f>'10B Sem 1'!S9</f>
        <v>74.84615384615384</v>
      </c>
      <c r="U21" s="22">
        <f>'10B Sem 1'!T9</f>
        <v>28</v>
      </c>
      <c r="V21" s="22">
        <f>'10B Sem 1'!U9</f>
        <v>0</v>
      </c>
      <c r="W21" s="22">
        <f>'10B Sem 1'!V9</f>
        <v>0</v>
      </c>
    </row>
    <row r="22" spans="1:23" ht="17.25" customHeight="1" thickBot="1" x14ac:dyDescent="0.3">
      <c r="A22" s="249"/>
      <c r="B22" s="218"/>
      <c r="C22" s="213">
        <v>16</v>
      </c>
      <c r="D22" s="217" t="s">
        <v>20</v>
      </c>
      <c r="E22" s="21" t="s">
        <v>22</v>
      </c>
      <c r="F22" s="22">
        <f>'10B Sem 2'!E9</f>
        <v>76</v>
      </c>
      <c r="G22" s="22">
        <f>'10B Sem 2'!F9</f>
        <v>67</v>
      </c>
      <c r="H22" s="22">
        <f>'10B Sem 2'!G9</f>
        <v>86</v>
      </c>
      <c r="I22" s="22">
        <f>'10B Sem 2'!H9</f>
        <v>78</v>
      </c>
      <c r="J22" s="22">
        <f>'10B Sem 2'!I9</f>
        <v>71</v>
      </c>
      <c r="K22" s="22">
        <f>'10B Sem 2'!J9</f>
        <v>84</v>
      </c>
      <c r="L22" s="22">
        <f>'10B Sem 2'!K9</f>
        <v>78</v>
      </c>
      <c r="M22" s="22">
        <f>'10B Sem 2'!L9</f>
        <v>89</v>
      </c>
      <c r="N22" s="22">
        <f>'10B Sem 2'!M9</f>
        <v>81</v>
      </c>
      <c r="O22" s="22">
        <f>'10B Sem 2'!N9</f>
        <v>97</v>
      </c>
      <c r="P22" s="22">
        <f>'10B Sem 2'!O9</f>
        <v>90</v>
      </c>
      <c r="Q22" s="22">
        <f>'10B Sem 2'!P9</f>
        <v>96</v>
      </c>
      <c r="R22" s="22">
        <f>'10B Sem 2'!Q9</f>
        <v>69</v>
      </c>
      <c r="S22" s="22">
        <f>'10B Sem 2'!R9</f>
        <v>1062</v>
      </c>
      <c r="T22" s="22">
        <f>'10B Sem 2'!S9</f>
        <v>81.692307692307693</v>
      </c>
      <c r="U22" s="22">
        <f>'10B Sem 2'!T9</f>
        <v>16</v>
      </c>
      <c r="V22" s="22">
        <f>'10B Sem 2'!U9</f>
        <v>0</v>
      </c>
      <c r="W22" s="22">
        <f>'10B Sem 2'!V9</f>
        <v>0</v>
      </c>
    </row>
    <row r="23" spans="1:23" ht="17.25" customHeight="1" thickBot="1" x14ac:dyDescent="0.3">
      <c r="A23" s="249"/>
      <c r="B23" s="218"/>
      <c r="C23" s="213">
        <v>16</v>
      </c>
      <c r="D23" s="217" t="s">
        <v>20</v>
      </c>
      <c r="E23" s="21" t="s">
        <v>16</v>
      </c>
      <c r="F23" s="22">
        <f>AVERAGE(F21:F22)</f>
        <v>77</v>
      </c>
      <c r="G23" s="22">
        <f t="shared" ref="G23:W23" si="5">AVERAGE(G21:G22)</f>
        <v>64.5</v>
      </c>
      <c r="H23" s="22">
        <f t="shared" si="5"/>
        <v>87.5</v>
      </c>
      <c r="I23" s="22">
        <f t="shared" si="5"/>
        <v>75.5</v>
      </c>
      <c r="J23" s="22">
        <f t="shared" si="5"/>
        <v>66</v>
      </c>
      <c r="K23" s="22">
        <f t="shared" si="5"/>
        <v>81.5</v>
      </c>
      <c r="L23" s="22">
        <f t="shared" si="5"/>
        <v>70.5</v>
      </c>
      <c r="M23" s="22">
        <f t="shared" si="5"/>
        <v>77</v>
      </c>
      <c r="N23" s="22">
        <f t="shared" si="5"/>
        <v>74.5</v>
      </c>
      <c r="O23" s="22">
        <f t="shared" si="5"/>
        <v>94.5</v>
      </c>
      <c r="P23" s="22">
        <f t="shared" si="5"/>
        <v>86</v>
      </c>
      <c r="Q23" s="22">
        <f t="shared" si="5"/>
        <v>91.5</v>
      </c>
      <c r="R23" s="22">
        <f t="shared" si="5"/>
        <v>71.5</v>
      </c>
      <c r="S23" s="22">
        <f t="shared" si="5"/>
        <v>1017.5</v>
      </c>
      <c r="T23" s="22">
        <f t="shared" si="5"/>
        <v>78.269230769230774</v>
      </c>
      <c r="U23" s="22">
        <f>'10B Sem avr'!$H$9</f>
        <v>23</v>
      </c>
      <c r="V23" s="22">
        <f t="shared" si="5"/>
        <v>0</v>
      </c>
      <c r="W23" s="22">
        <f t="shared" si="5"/>
        <v>0</v>
      </c>
    </row>
    <row r="24" spans="1:23" ht="17.25" customHeight="1" thickBot="1" x14ac:dyDescent="0.3">
      <c r="A24" s="247">
        <v>7</v>
      </c>
      <c r="B24" s="218"/>
      <c r="C24" s="213">
        <v>14</v>
      </c>
      <c r="D24" s="217" t="s">
        <v>23</v>
      </c>
      <c r="E24" s="21" t="s">
        <v>21</v>
      </c>
      <c r="F24" s="22">
        <f>'10B Sem 1'!E10</f>
        <v>82</v>
      </c>
      <c r="G24" s="22">
        <f>'10B Sem 1'!F10</f>
        <v>71</v>
      </c>
      <c r="H24" s="22">
        <f>'10B Sem 1'!G10</f>
        <v>70</v>
      </c>
      <c r="I24" s="22">
        <f>'10B Sem 1'!H10</f>
        <v>40</v>
      </c>
      <c r="J24" s="22">
        <f>'10B Sem 1'!I10</f>
        <v>41</v>
      </c>
      <c r="K24" s="22">
        <f>'10B Sem 1'!J10</f>
        <v>64</v>
      </c>
      <c r="L24" s="22">
        <f>'10B Sem 1'!K10</f>
        <v>66</v>
      </c>
      <c r="M24" s="22">
        <f>'10B Sem 1'!L10</f>
        <v>64</v>
      </c>
      <c r="N24" s="22">
        <f>'10B Sem 1'!M10</f>
        <v>68</v>
      </c>
      <c r="O24" s="22">
        <f>'10B Sem 1'!N10</f>
        <v>78</v>
      </c>
      <c r="P24" s="22">
        <f>'10B Sem 1'!O10</f>
        <v>64</v>
      </c>
      <c r="Q24" s="22">
        <f>'10B Sem 1'!P10</f>
        <v>71</v>
      </c>
      <c r="R24" s="22">
        <f>'10B Sem 1'!Q10</f>
        <v>66</v>
      </c>
      <c r="S24" s="22">
        <f>'10B Sem 1'!R10</f>
        <v>845</v>
      </c>
      <c r="T24" s="22">
        <f>'10B Sem 1'!S10</f>
        <v>65</v>
      </c>
      <c r="U24" s="22">
        <f>'10B Sem 1'!T10</f>
        <v>46</v>
      </c>
      <c r="V24" s="22">
        <f>'10B Sem 1'!U10</f>
        <v>0</v>
      </c>
      <c r="W24" s="22">
        <f>'10B Sem 1'!V10</f>
        <v>0</v>
      </c>
    </row>
    <row r="25" spans="1:23" ht="17.25" customHeight="1" thickBot="1" x14ac:dyDescent="0.3">
      <c r="A25" s="247"/>
      <c r="B25" s="218"/>
      <c r="C25" s="213">
        <v>14</v>
      </c>
      <c r="D25" s="217" t="s">
        <v>23</v>
      </c>
      <c r="E25" s="21" t="s">
        <v>22</v>
      </c>
      <c r="F25" s="22">
        <f>'10B Sem 2'!E10</f>
        <v>79</v>
      </c>
      <c r="G25" s="22">
        <f>'10B Sem 2'!F10</f>
        <v>65</v>
      </c>
      <c r="H25" s="22">
        <f>'10B Sem 2'!G10</f>
        <v>62</v>
      </c>
      <c r="I25" s="22">
        <f>'10B Sem 2'!H10</f>
        <v>56</v>
      </c>
      <c r="J25" s="22">
        <f>'10B Sem 2'!I10</f>
        <v>52</v>
      </c>
      <c r="K25" s="22">
        <f>'10B Sem 2'!J10</f>
        <v>66</v>
      </c>
      <c r="L25" s="22">
        <f>'10B Sem 2'!K10</f>
        <v>65</v>
      </c>
      <c r="M25" s="22">
        <f>'10B Sem 2'!L10</f>
        <v>84</v>
      </c>
      <c r="N25" s="22">
        <f>'10B Sem 2'!M10</f>
        <v>79</v>
      </c>
      <c r="O25" s="22">
        <f>'10B Sem 2'!N10</f>
        <v>79</v>
      </c>
      <c r="P25" s="22">
        <f>'10B Sem 2'!O10</f>
        <v>59</v>
      </c>
      <c r="Q25" s="22">
        <f>'10B Sem 2'!P10</f>
        <v>73</v>
      </c>
      <c r="R25" s="22">
        <f>'10B Sem 2'!Q10</f>
        <v>62</v>
      </c>
      <c r="S25" s="22">
        <f>'10B Sem 2'!R10</f>
        <v>881</v>
      </c>
      <c r="T25" s="22">
        <f>'10B Sem 2'!S10</f>
        <v>67.769230769230774</v>
      </c>
      <c r="U25" s="22">
        <f>'10B Sem 2'!T10</f>
        <v>43</v>
      </c>
      <c r="V25" s="22">
        <f>'10B Sem 2'!U10</f>
        <v>0</v>
      </c>
      <c r="W25" s="22">
        <f>'10B Sem 2'!V10</f>
        <v>0</v>
      </c>
    </row>
    <row r="26" spans="1:23" ht="17.25" customHeight="1" thickBot="1" x14ac:dyDescent="0.3">
      <c r="A26" s="247"/>
      <c r="B26" s="218"/>
      <c r="C26" s="213">
        <v>14</v>
      </c>
      <c r="D26" s="217" t="s">
        <v>23</v>
      </c>
      <c r="E26" s="21" t="s">
        <v>16</v>
      </c>
      <c r="F26" s="22">
        <f>AVERAGE(F24:F25)</f>
        <v>80.5</v>
      </c>
      <c r="G26" s="22">
        <f t="shared" ref="G26:W26" si="6">AVERAGE(G24:G25)</f>
        <v>68</v>
      </c>
      <c r="H26" s="22">
        <f t="shared" si="6"/>
        <v>66</v>
      </c>
      <c r="I26" s="22">
        <f t="shared" si="6"/>
        <v>48</v>
      </c>
      <c r="J26" s="22">
        <f t="shared" si="6"/>
        <v>46.5</v>
      </c>
      <c r="K26" s="22">
        <f t="shared" si="6"/>
        <v>65</v>
      </c>
      <c r="L26" s="22">
        <f t="shared" si="6"/>
        <v>65.5</v>
      </c>
      <c r="M26" s="22">
        <f t="shared" si="6"/>
        <v>74</v>
      </c>
      <c r="N26" s="22">
        <f t="shared" si="6"/>
        <v>73.5</v>
      </c>
      <c r="O26" s="22">
        <f t="shared" si="6"/>
        <v>78.5</v>
      </c>
      <c r="P26" s="22">
        <f t="shared" si="6"/>
        <v>61.5</v>
      </c>
      <c r="Q26" s="22">
        <f t="shared" si="6"/>
        <v>72</v>
      </c>
      <c r="R26" s="22">
        <f t="shared" si="6"/>
        <v>64</v>
      </c>
      <c r="S26" s="22">
        <f t="shared" si="6"/>
        <v>863</v>
      </c>
      <c r="T26" s="22">
        <f t="shared" si="6"/>
        <v>66.384615384615387</v>
      </c>
      <c r="U26" s="22">
        <f>'10B Sem avr'!$H$10</f>
        <v>42</v>
      </c>
      <c r="V26" s="22">
        <f t="shared" si="6"/>
        <v>0</v>
      </c>
      <c r="W26" s="22">
        <f t="shared" si="6"/>
        <v>0</v>
      </c>
    </row>
    <row r="27" spans="1:23" ht="17.25" customHeight="1" thickBot="1" x14ac:dyDescent="0.3">
      <c r="A27" s="247">
        <v>8</v>
      </c>
      <c r="B27" s="218"/>
      <c r="C27" s="213">
        <v>15</v>
      </c>
      <c r="D27" s="217" t="s">
        <v>20</v>
      </c>
      <c r="E27" s="21" t="s">
        <v>21</v>
      </c>
      <c r="F27" s="22">
        <f>'10B Sem 1'!E11</f>
        <v>82</v>
      </c>
      <c r="G27" s="22">
        <f>'10B Sem 1'!F11</f>
        <v>63</v>
      </c>
      <c r="H27" s="22">
        <f>'10B Sem 1'!G11</f>
        <v>52</v>
      </c>
      <c r="I27" s="22">
        <f>'10B Sem 1'!H11</f>
        <v>50</v>
      </c>
      <c r="J27" s="22">
        <f>'10B Sem 1'!I11</f>
        <v>63</v>
      </c>
      <c r="K27" s="22">
        <f>'10B Sem 1'!J11</f>
        <v>79</v>
      </c>
      <c r="L27" s="22">
        <f>'10B Sem 1'!K11</f>
        <v>62</v>
      </c>
      <c r="M27" s="22">
        <f>'10B Sem 1'!L11</f>
        <v>65</v>
      </c>
      <c r="N27" s="22">
        <f>'10B Sem 1'!M11</f>
        <v>68</v>
      </c>
      <c r="O27" s="22">
        <f>'10B Sem 1'!N11</f>
        <v>66</v>
      </c>
      <c r="P27" s="22">
        <f>'10B Sem 1'!O11</f>
        <v>72</v>
      </c>
      <c r="Q27" s="22">
        <f>'10B Sem 1'!P11</f>
        <v>77</v>
      </c>
      <c r="R27" s="22">
        <f>'10B Sem 1'!Q11</f>
        <v>66</v>
      </c>
      <c r="S27" s="22">
        <f>'10B Sem 1'!R11</f>
        <v>865</v>
      </c>
      <c r="T27" s="22">
        <f>'10B Sem 1'!S11</f>
        <v>66.538461538461533</v>
      </c>
      <c r="U27" s="22">
        <f>'10B Sem 1'!T11</f>
        <v>42</v>
      </c>
      <c r="V27" s="22">
        <f>'10B Sem 1'!U11</f>
        <v>0</v>
      </c>
      <c r="W27" s="22">
        <f>'10B Sem 1'!V11</f>
        <v>0</v>
      </c>
    </row>
    <row r="28" spans="1:23" ht="17.25" customHeight="1" thickBot="1" x14ac:dyDescent="0.3">
      <c r="A28" s="247"/>
      <c r="B28" s="218"/>
      <c r="C28" s="213">
        <v>15</v>
      </c>
      <c r="D28" s="217" t="s">
        <v>20</v>
      </c>
      <c r="E28" s="21" t="s">
        <v>22</v>
      </c>
      <c r="F28" s="22">
        <f>'10B Sem 2'!E11</f>
        <v>72</v>
      </c>
      <c r="G28" s="22">
        <f>'10B Sem 2'!F11</f>
        <v>57</v>
      </c>
      <c r="H28" s="22">
        <f>'10B Sem 2'!G11</f>
        <v>50</v>
      </c>
      <c r="I28" s="22">
        <f>'10B Sem 2'!H11</f>
        <v>48</v>
      </c>
      <c r="J28" s="22">
        <f>'10B Sem 2'!I11</f>
        <v>57</v>
      </c>
      <c r="K28" s="22">
        <f>'10B Sem 2'!J11</f>
        <v>68</v>
      </c>
      <c r="L28" s="22">
        <f>'10B Sem 2'!K11</f>
        <v>66</v>
      </c>
      <c r="M28" s="22">
        <f>'10B Sem 2'!L11</f>
        <v>81</v>
      </c>
      <c r="N28" s="22">
        <f>'10B Sem 2'!M11</f>
        <v>69</v>
      </c>
      <c r="O28" s="22">
        <f>'10B Sem 2'!N11</f>
        <v>81</v>
      </c>
      <c r="P28" s="22">
        <f>'10B Sem 2'!O11</f>
        <v>58</v>
      </c>
      <c r="Q28" s="22">
        <f>'10B Sem 2'!P11</f>
        <v>87</v>
      </c>
      <c r="R28" s="22">
        <f>'10B Sem 2'!Q11</f>
        <v>55</v>
      </c>
      <c r="S28" s="22">
        <f>'10B Sem 2'!R11</f>
        <v>849</v>
      </c>
      <c r="T28" s="22">
        <f>'10B Sem 2'!S11</f>
        <v>65.307692307692307</v>
      </c>
      <c r="U28" s="22">
        <f>'10B Sem 2'!T11</f>
        <v>45</v>
      </c>
      <c r="V28" s="22">
        <f>'10B Sem 2'!U11</f>
        <v>0</v>
      </c>
      <c r="W28" s="22">
        <f>'10B Sem 2'!V11</f>
        <v>0</v>
      </c>
    </row>
    <row r="29" spans="1:23" ht="17.25" customHeight="1" thickBot="1" x14ac:dyDescent="0.3">
      <c r="A29" s="247"/>
      <c r="B29" s="218"/>
      <c r="C29" s="213">
        <v>15</v>
      </c>
      <c r="D29" s="217" t="s">
        <v>20</v>
      </c>
      <c r="E29" s="21" t="s">
        <v>16</v>
      </c>
      <c r="F29" s="22">
        <f>AVERAGE(F27:F28)</f>
        <v>77</v>
      </c>
      <c r="G29" s="22">
        <f t="shared" ref="G29:W29" si="7">AVERAGE(G27:G28)</f>
        <v>60</v>
      </c>
      <c r="H29" s="22">
        <f t="shared" si="7"/>
        <v>51</v>
      </c>
      <c r="I29" s="22">
        <f t="shared" si="7"/>
        <v>49</v>
      </c>
      <c r="J29" s="22">
        <f t="shared" si="7"/>
        <v>60</v>
      </c>
      <c r="K29" s="22">
        <f t="shared" si="7"/>
        <v>73.5</v>
      </c>
      <c r="L29" s="22">
        <f t="shared" si="7"/>
        <v>64</v>
      </c>
      <c r="M29" s="22">
        <f t="shared" si="7"/>
        <v>73</v>
      </c>
      <c r="N29" s="22">
        <f t="shared" si="7"/>
        <v>68.5</v>
      </c>
      <c r="O29" s="22">
        <f t="shared" si="7"/>
        <v>73.5</v>
      </c>
      <c r="P29" s="22">
        <f t="shared" si="7"/>
        <v>65</v>
      </c>
      <c r="Q29" s="22">
        <f t="shared" si="7"/>
        <v>82</v>
      </c>
      <c r="R29" s="22">
        <f t="shared" si="7"/>
        <v>60.5</v>
      </c>
      <c r="S29" s="22">
        <f t="shared" si="7"/>
        <v>857</v>
      </c>
      <c r="T29" s="22">
        <f t="shared" si="7"/>
        <v>65.92307692307692</v>
      </c>
      <c r="U29" s="22">
        <f>'10B Sem avr'!$H$11</f>
        <v>44</v>
      </c>
      <c r="V29" s="22">
        <f t="shared" si="7"/>
        <v>0</v>
      </c>
      <c r="W29" s="22">
        <f t="shared" si="7"/>
        <v>0</v>
      </c>
    </row>
    <row r="30" spans="1:23" ht="17.25" customHeight="1" thickBot="1" x14ac:dyDescent="0.3">
      <c r="A30" s="249">
        <v>9</v>
      </c>
      <c r="B30" s="234"/>
      <c r="C30" s="247">
        <v>15</v>
      </c>
      <c r="D30" s="248" t="s">
        <v>23</v>
      </c>
      <c r="E30" s="21" t="s">
        <v>21</v>
      </c>
      <c r="F30" s="22">
        <f>'10B Sem 1'!E12</f>
        <v>90</v>
      </c>
      <c r="G30" s="22">
        <f>'10B Sem 1'!F12</f>
        <v>78</v>
      </c>
      <c r="H30" s="22">
        <f>'10B Sem 1'!G12</f>
        <v>91</v>
      </c>
      <c r="I30" s="22">
        <f>'10B Sem 1'!H12</f>
        <v>77</v>
      </c>
      <c r="J30" s="22">
        <f>'10B Sem 1'!I12</f>
        <v>66</v>
      </c>
      <c r="K30" s="22">
        <f>'10B Sem 1'!J12</f>
        <v>82</v>
      </c>
      <c r="L30" s="22">
        <f>'10B Sem 1'!K12</f>
        <v>86</v>
      </c>
      <c r="M30" s="22">
        <f>'10B Sem 1'!L12</f>
        <v>84</v>
      </c>
      <c r="N30" s="22">
        <f>'10B Sem 1'!M12</f>
        <v>81</v>
      </c>
      <c r="O30" s="22">
        <f>'10B Sem 1'!N12</f>
        <v>86</v>
      </c>
      <c r="P30" s="22">
        <f>'10B Sem 1'!O12</f>
        <v>74</v>
      </c>
      <c r="Q30" s="22">
        <f>'10B Sem 1'!P12</f>
        <v>99</v>
      </c>
      <c r="R30" s="22">
        <f>'10B Sem 1'!Q12</f>
        <v>82</v>
      </c>
      <c r="S30" s="22">
        <f>'10B Sem 1'!R12</f>
        <v>1076</v>
      </c>
      <c r="T30" s="22">
        <f>'10B Sem 1'!S12</f>
        <v>82.769230769230774</v>
      </c>
      <c r="U30" s="22">
        <f>'10B Sem 1'!T12</f>
        <v>12</v>
      </c>
      <c r="V30" s="22">
        <f>'10B Sem 1'!U12</f>
        <v>0</v>
      </c>
      <c r="W30" s="22">
        <f>'10B Sem 1'!V12</f>
        <v>0</v>
      </c>
    </row>
    <row r="31" spans="1:23" ht="17.25" customHeight="1" thickBot="1" x14ac:dyDescent="0.3">
      <c r="A31" s="249"/>
      <c r="B31" s="234"/>
      <c r="C31" s="247">
        <v>15</v>
      </c>
      <c r="D31" s="248" t="s">
        <v>23</v>
      </c>
      <c r="E31" s="21" t="s">
        <v>22</v>
      </c>
      <c r="F31" s="22">
        <f>'10B Sem 2'!E12</f>
        <v>84</v>
      </c>
      <c r="G31" s="22">
        <f>'10B Sem 2'!F12</f>
        <v>74</v>
      </c>
      <c r="H31" s="22">
        <f>'10B Sem 2'!G12</f>
        <v>76</v>
      </c>
      <c r="I31" s="22">
        <f>'10B Sem 2'!H12</f>
        <v>77</v>
      </c>
      <c r="J31" s="22">
        <f>'10B Sem 2'!I12</f>
        <v>68</v>
      </c>
      <c r="K31" s="22">
        <f>'10B Sem 2'!J12</f>
        <v>75</v>
      </c>
      <c r="L31" s="22">
        <f>'10B Sem 2'!K12</f>
        <v>69</v>
      </c>
      <c r="M31" s="22">
        <f>'10B Sem 2'!L12</f>
        <v>98</v>
      </c>
      <c r="N31" s="22">
        <f>'10B Sem 2'!M12</f>
        <v>75</v>
      </c>
      <c r="O31" s="22">
        <f>'10B Sem 2'!N12</f>
        <v>77</v>
      </c>
      <c r="P31" s="22">
        <f>'10B Sem 2'!O12</f>
        <v>86</v>
      </c>
      <c r="Q31" s="22">
        <f>'10B Sem 2'!P12</f>
        <v>82</v>
      </c>
      <c r="R31" s="22">
        <f>'10B Sem 2'!Q12</f>
        <v>71</v>
      </c>
      <c r="S31" s="22">
        <f>'10B Sem 2'!R12</f>
        <v>1012</v>
      </c>
      <c r="T31" s="22">
        <f>'10B Sem 2'!S12</f>
        <v>77.84615384615384</v>
      </c>
      <c r="U31" s="22">
        <f>'10B Sem 2'!T12</f>
        <v>25</v>
      </c>
      <c r="V31" s="22">
        <f>'10B Sem 2'!U12</f>
        <v>0</v>
      </c>
      <c r="W31" s="22">
        <f>'10B Sem 2'!V12</f>
        <v>0</v>
      </c>
    </row>
    <row r="32" spans="1:23" ht="17.25" customHeight="1" thickBot="1" x14ac:dyDescent="0.3">
      <c r="A32" s="249"/>
      <c r="B32" s="234"/>
      <c r="C32" s="247">
        <v>15</v>
      </c>
      <c r="D32" s="248" t="s">
        <v>23</v>
      </c>
      <c r="E32" s="21" t="s">
        <v>16</v>
      </c>
      <c r="F32" s="22">
        <f>AVERAGE(F30:F31)</f>
        <v>87</v>
      </c>
      <c r="G32" s="22">
        <f t="shared" ref="G32:W32" si="8">AVERAGE(G30:G31)</f>
        <v>76</v>
      </c>
      <c r="H32" s="22">
        <f t="shared" si="8"/>
        <v>83.5</v>
      </c>
      <c r="I32" s="22">
        <f t="shared" si="8"/>
        <v>77</v>
      </c>
      <c r="J32" s="22">
        <f t="shared" si="8"/>
        <v>67</v>
      </c>
      <c r="K32" s="22">
        <f t="shared" si="8"/>
        <v>78.5</v>
      </c>
      <c r="L32" s="22">
        <f t="shared" si="8"/>
        <v>77.5</v>
      </c>
      <c r="M32" s="22">
        <f t="shared" si="8"/>
        <v>91</v>
      </c>
      <c r="N32" s="22">
        <f t="shared" si="8"/>
        <v>78</v>
      </c>
      <c r="O32" s="22">
        <f t="shared" si="8"/>
        <v>81.5</v>
      </c>
      <c r="P32" s="22">
        <f t="shared" si="8"/>
        <v>80</v>
      </c>
      <c r="Q32" s="22">
        <f t="shared" si="8"/>
        <v>90.5</v>
      </c>
      <c r="R32" s="22">
        <f t="shared" si="8"/>
        <v>76.5</v>
      </c>
      <c r="S32" s="22">
        <f t="shared" si="8"/>
        <v>1044</v>
      </c>
      <c r="T32" s="22">
        <f t="shared" si="8"/>
        <v>80.307692307692307</v>
      </c>
      <c r="U32" s="22">
        <f>'10B Sem avr'!$H$12</f>
        <v>18</v>
      </c>
      <c r="V32" s="22">
        <f t="shared" si="8"/>
        <v>0</v>
      </c>
      <c r="W32" s="22">
        <f t="shared" si="8"/>
        <v>0</v>
      </c>
    </row>
    <row r="33" spans="1:23" ht="17.25" customHeight="1" thickBot="1" x14ac:dyDescent="0.3">
      <c r="A33" s="247">
        <v>10</v>
      </c>
      <c r="B33" s="234"/>
      <c r="C33" s="247">
        <v>15</v>
      </c>
      <c r="D33" s="248" t="s">
        <v>23</v>
      </c>
      <c r="E33" s="21" t="s">
        <v>21</v>
      </c>
      <c r="F33" s="22">
        <f>'10B Sem 1'!E13</f>
        <v>89</v>
      </c>
      <c r="G33" s="22">
        <f>'10B Sem 1'!F13</f>
        <v>70</v>
      </c>
      <c r="H33" s="22">
        <f>'10B Sem 1'!G13</f>
        <v>88</v>
      </c>
      <c r="I33" s="22">
        <f>'10B Sem 1'!H13</f>
        <v>83</v>
      </c>
      <c r="J33" s="22">
        <f>'10B Sem 1'!I13</f>
        <v>78</v>
      </c>
      <c r="K33" s="22">
        <f>'10B Sem 1'!J13</f>
        <v>80</v>
      </c>
      <c r="L33" s="22">
        <f>'10B Sem 1'!K13</f>
        <v>78</v>
      </c>
      <c r="M33" s="22">
        <f>'10B Sem 1'!L13</f>
        <v>79</v>
      </c>
      <c r="N33" s="22">
        <f>'10B Sem 1'!M13</f>
        <v>87</v>
      </c>
      <c r="O33" s="22">
        <f>'10B Sem 1'!N13</f>
        <v>89</v>
      </c>
      <c r="P33" s="22">
        <f>'10B Sem 1'!O13</f>
        <v>76</v>
      </c>
      <c r="Q33" s="22">
        <f>'10B Sem 1'!P13</f>
        <v>87</v>
      </c>
      <c r="R33" s="22">
        <f>'10B Sem 1'!Q13</f>
        <v>84</v>
      </c>
      <c r="S33" s="22">
        <f>'10B Sem 1'!R13</f>
        <v>1068</v>
      </c>
      <c r="T33" s="22">
        <f>'10B Sem 1'!S13</f>
        <v>82.15384615384616</v>
      </c>
      <c r="U33" s="22">
        <f>'10B Sem 1'!T13</f>
        <v>13</v>
      </c>
      <c r="V33" s="22">
        <f>'10B Sem 1'!U13</f>
        <v>0</v>
      </c>
      <c r="W33" s="22">
        <f>'10B Sem 1'!V13</f>
        <v>0</v>
      </c>
    </row>
    <row r="34" spans="1:23" ht="17.25" customHeight="1" thickBot="1" x14ac:dyDescent="0.3">
      <c r="A34" s="247"/>
      <c r="B34" s="234"/>
      <c r="C34" s="247">
        <v>15</v>
      </c>
      <c r="D34" s="248" t="s">
        <v>23</v>
      </c>
      <c r="E34" s="21" t="s">
        <v>22</v>
      </c>
      <c r="F34" s="22">
        <f>'10B Sem 2'!E13</f>
        <v>86</v>
      </c>
      <c r="G34" s="22">
        <f>'10B Sem 2'!F13</f>
        <v>68</v>
      </c>
      <c r="H34" s="22">
        <f>'10B Sem 2'!G13</f>
        <v>74</v>
      </c>
      <c r="I34" s="22">
        <f>'10B Sem 2'!H13</f>
        <v>71</v>
      </c>
      <c r="J34" s="22">
        <f>'10B Sem 2'!I13</f>
        <v>70</v>
      </c>
      <c r="K34" s="22">
        <f>'10B Sem 2'!J13</f>
        <v>77</v>
      </c>
      <c r="L34" s="22">
        <f>'10B Sem 2'!K13</f>
        <v>80</v>
      </c>
      <c r="M34" s="22">
        <f>'10B Sem 2'!L13</f>
        <v>94</v>
      </c>
      <c r="N34" s="22">
        <f>'10B Sem 2'!M13</f>
        <v>80</v>
      </c>
      <c r="O34" s="22">
        <f>'10B Sem 2'!N13</f>
        <v>85</v>
      </c>
      <c r="P34" s="22">
        <f>'10B Sem 2'!O13</f>
        <v>73</v>
      </c>
      <c r="Q34" s="22">
        <f>'10B Sem 2'!P13</f>
        <v>90</v>
      </c>
      <c r="R34" s="22">
        <f>'10B Sem 2'!Q13</f>
        <v>80</v>
      </c>
      <c r="S34" s="22">
        <f>'10B Sem 2'!R13</f>
        <v>1028</v>
      </c>
      <c r="T34" s="22">
        <f>'10B Sem 2'!S13</f>
        <v>79.07692307692308</v>
      </c>
      <c r="U34" s="22">
        <f>'10B Sem 2'!T13</f>
        <v>23</v>
      </c>
      <c r="V34" s="22">
        <f>'10B Sem 2'!U13</f>
        <v>0</v>
      </c>
      <c r="W34" s="22">
        <f>'10B Sem 2'!V13</f>
        <v>0</v>
      </c>
    </row>
    <row r="35" spans="1:23" ht="17.25" customHeight="1" thickBot="1" x14ac:dyDescent="0.3">
      <c r="A35" s="247"/>
      <c r="B35" s="234"/>
      <c r="C35" s="247">
        <v>15</v>
      </c>
      <c r="D35" s="248" t="s">
        <v>23</v>
      </c>
      <c r="E35" s="21" t="s">
        <v>16</v>
      </c>
      <c r="F35" s="22">
        <f>AVERAGE(F33:F34)</f>
        <v>87.5</v>
      </c>
      <c r="G35" s="22">
        <f t="shared" ref="G35:W35" si="9">AVERAGE(G33:G34)</f>
        <v>69</v>
      </c>
      <c r="H35" s="22">
        <f t="shared" si="9"/>
        <v>81</v>
      </c>
      <c r="I35" s="22">
        <f t="shared" si="9"/>
        <v>77</v>
      </c>
      <c r="J35" s="22">
        <f t="shared" si="9"/>
        <v>74</v>
      </c>
      <c r="K35" s="22">
        <f t="shared" si="9"/>
        <v>78.5</v>
      </c>
      <c r="L35" s="22">
        <f t="shared" si="9"/>
        <v>79</v>
      </c>
      <c r="M35" s="22">
        <f t="shared" si="9"/>
        <v>86.5</v>
      </c>
      <c r="N35" s="22">
        <f t="shared" si="9"/>
        <v>83.5</v>
      </c>
      <c r="O35" s="22">
        <f t="shared" si="9"/>
        <v>87</v>
      </c>
      <c r="P35" s="22">
        <f t="shared" si="9"/>
        <v>74.5</v>
      </c>
      <c r="Q35" s="22">
        <f t="shared" si="9"/>
        <v>88.5</v>
      </c>
      <c r="R35" s="22">
        <f t="shared" si="9"/>
        <v>82</v>
      </c>
      <c r="S35" s="22">
        <f t="shared" si="9"/>
        <v>1048</v>
      </c>
      <c r="T35" s="22">
        <f t="shared" si="9"/>
        <v>80.615384615384613</v>
      </c>
      <c r="U35" s="22">
        <f>'10B Sem avr'!$H$13</f>
        <v>15</v>
      </c>
      <c r="V35" s="22">
        <f t="shared" si="9"/>
        <v>0</v>
      </c>
      <c r="W35" s="22">
        <f t="shared" si="9"/>
        <v>0</v>
      </c>
    </row>
    <row r="36" spans="1:23" ht="17.25" customHeight="1" thickBot="1" x14ac:dyDescent="0.3">
      <c r="A36" s="249">
        <v>11</v>
      </c>
      <c r="B36" s="218"/>
      <c r="C36" s="213">
        <v>15</v>
      </c>
      <c r="D36" s="217" t="s">
        <v>23</v>
      </c>
      <c r="E36" s="21" t="s">
        <v>21</v>
      </c>
      <c r="F36" s="22">
        <f>'10B Sem 1'!E14</f>
        <v>91</v>
      </c>
      <c r="G36" s="22">
        <f>'10B Sem 1'!F14</f>
        <v>79</v>
      </c>
      <c r="H36" s="22">
        <f>'10B Sem 1'!G14</f>
        <v>76</v>
      </c>
      <c r="I36" s="22">
        <f>'10B Sem 1'!H14</f>
        <v>65</v>
      </c>
      <c r="J36" s="22">
        <f>'10B Sem 1'!I14</f>
        <v>63</v>
      </c>
      <c r="K36" s="22">
        <f>'10B Sem 1'!J14</f>
        <v>79</v>
      </c>
      <c r="L36" s="22">
        <f>'10B Sem 1'!K14</f>
        <v>91</v>
      </c>
      <c r="M36" s="22">
        <f>'10B Sem 1'!L14</f>
        <v>78</v>
      </c>
      <c r="N36" s="22">
        <f>'10B Sem 1'!M14</f>
        <v>86</v>
      </c>
      <c r="O36" s="22">
        <f>'10B Sem 1'!N14</f>
        <v>78</v>
      </c>
      <c r="P36" s="22">
        <f>'10B Sem 1'!O14</f>
        <v>85</v>
      </c>
      <c r="Q36" s="22">
        <f>'10B Sem 1'!P14</f>
        <v>82</v>
      </c>
      <c r="R36" s="22">
        <f>'10B Sem 1'!Q14</f>
        <v>83</v>
      </c>
      <c r="S36" s="22">
        <f>'10B Sem 1'!R14</f>
        <v>1036</v>
      </c>
      <c r="T36" s="22">
        <f>'10B Sem 1'!S14</f>
        <v>79.692307692307693</v>
      </c>
      <c r="U36" s="22">
        <f>'10B Sem 1'!T14</f>
        <v>19</v>
      </c>
      <c r="V36" s="22">
        <f>'10B Sem 1'!U14</f>
        <v>0</v>
      </c>
      <c r="W36" s="22">
        <f>'10B Sem 1'!V14</f>
        <v>0</v>
      </c>
    </row>
    <row r="37" spans="1:23" ht="17.25" customHeight="1" thickBot="1" x14ac:dyDescent="0.3">
      <c r="A37" s="249"/>
      <c r="B37" s="218"/>
      <c r="C37" s="213">
        <v>15</v>
      </c>
      <c r="D37" s="217" t="s">
        <v>23</v>
      </c>
      <c r="E37" s="21" t="s">
        <v>22</v>
      </c>
      <c r="F37" s="22">
        <f>'10B Sem 2'!E14</f>
        <v>84</v>
      </c>
      <c r="G37" s="22">
        <f>'10B Sem 2'!F14</f>
        <v>78</v>
      </c>
      <c r="H37" s="22">
        <f>'10B Sem 2'!G14</f>
        <v>53</v>
      </c>
      <c r="I37" s="22">
        <f>'10B Sem 2'!H14</f>
        <v>51</v>
      </c>
      <c r="J37" s="22">
        <f>'10B Sem 2'!I14</f>
        <v>56</v>
      </c>
      <c r="K37" s="22">
        <f>'10B Sem 2'!J14</f>
        <v>63</v>
      </c>
      <c r="L37" s="22">
        <f>'10B Sem 2'!K14</f>
        <v>86</v>
      </c>
      <c r="M37" s="22">
        <f>'10B Sem 2'!L14</f>
        <v>96</v>
      </c>
      <c r="N37" s="22">
        <f>'10B Sem 2'!M14</f>
        <v>80</v>
      </c>
      <c r="O37" s="22">
        <f>'10B Sem 2'!N14</f>
        <v>87</v>
      </c>
      <c r="P37" s="22">
        <f>'10B Sem 2'!O14</f>
        <v>81</v>
      </c>
      <c r="Q37" s="22">
        <f>'10B Sem 2'!P14</f>
        <v>91</v>
      </c>
      <c r="R37" s="22">
        <f>'10B Sem 2'!Q14</f>
        <v>81</v>
      </c>
      <c r="S37" s="22">
        <f>'10B Sem 2'!R14</f>
        <v>987</v>
      </c>
      <c r="T37" s="22">
        <f>'10B Sem 2'!S14</f>
        <v>75.92307692307692</v>
      </c>
      <c r="U37" s="22">
        <f>'10B Sem 2'!T14</f>
        <v>30</v>
      </c>
      <c r="V37" s="22">
        <f>'10B Sem 2'!U14</f>
        <v>0</v>
      </c>
      <c r="W37" s="22">
        <f>'10B Sem 2'!V14</f>
        <v>0</v>
      </c>
    </row>
    <row r="38" spans="1:23" ht="17.25" customHeight="1" thickBot="1" x14ac:dyDescent="0.3">
      <c r="A38" s="249"/>
      <c r="B38" s="218"/>
      <c r="C38" s="213">
        <v>15</v>
      </c>
      <c r="D38" s="217" t="s">
        <v>23</v>
      </c>
      <c r="E38" s="21" t="s">
        <v>16</v>
      </c>
      <c r="F38" s="22">
        <f>AVERAGE(F36:F37)</f>
        <v>87.5</v>
      </c>
      <c r="G38" s="22">
        <f t="shared" ref="G38:W38" si="10">AVERAGE(G36:G37)</f>
        <v>78.5</v>
      </c>
      <c r="H38" s="22">
        <f t="shared" si="10"/>
        <v>64.5</v>
      </c>
      <c r="I38" s="22">
        <f t="shared" si="10"/>
        <v>58</v>
      </c>
      <c r="J38" s="22">
        <f t="shared" si="10"/>
        <v>59.5</v>
      </c>
      <c r="K38" s="22">
        <f t="shared" si="10"/>
        <v>71</v>
      </c>
      <c r="L38" s="22">
        <f t="shared" si="10"/>
        <v>88.5</v>
      </c>
      <c r="M38" s="22">
        <f t="shared" si="10"/>
        <v>87</v>
      </c>
      <c r="N38" s="22">
        <f t="shared" si="10"/>
        <v>83</v>
      </c>
      <c r="O38" s="22">
        <f t="shared" si="10"/>
        <v>82.5</v>
      </c>
      <c r="P38" s="22">
        <f t="shared" si="10"/>
        <v>83</v>
      </c>
      <c r="Q38" s="22">
        <f t="shared" si="10"/>
        <v>86.5</v>
      </c>
      <c r="R38" s="22">
        <f t="shared" si="10"/>
        <v>82</v>
      </c>
      <c r="S38" s="22">
        <f t="shared" si="10"/>
        <v>1011.5</v>
      </c>
      <c r="T38" s="22">
        <f t="shared" si="10"/>
        <v>77.807692307692307</v>
      </c>
      <c r="U38" s="22">
        <f>'10B Sem avr'!$H$14</f>
        <v>25</v>
      </c>
      <c r="V38" s="22">
        <f t="shared" si="10"/>
        <v>0</v>
      </c>
      <c r="W38" s="22">
        <f t="shared" si="10"/>
        <v>0</v>
      </c>
    </row>
    <row r="39" spans="1:23" ht="17.25" customHeight="1" thickBot="1" x14ac:dyDescent="0.3">
      <c r="A39" s="249">
        <v>12</v>
      </c>
      <c r="B39" s="218"/>
      <c r="C39" s="213">
        <v>15</v>
      </c>
      <c r="D39" s="217" t="s">
        <v>23</v>
      </c>
      <c r="E39" s="21" t="s">
        <v>21</v>
      </c>
      <c r="F39" s="22">
        <f>'10B Sem 1'!E15</f>
        <v>81</v>
      </c>
      <c r="G39" s="22">
        <f>'10B Sem 1'!F15</f>
        <v>69</v>
      </c>
      <c r="H39" s="22">
        <f>'10B Sem 1'!G15</f>
        <v>78</v>
      </c>
      <c r="I39" s="22">
        <f>'10B Sem 1'!H15</f>
        <v>67</v>
      </c>
      <c r="J39" s="22">
        <f>'10B Sem 1'!I15</f>
        <v>62</v>
      </c>
      <c r="K39" s="22">
        <f>'10B Sem 1'!J15</f>
        <v>66</v>
      </c>
      <c r="L39" s="22">
        <f>'10B Sem 1'!K15</f>
        <v>75</v>
      </c>
      <c r="M39" s="22">
        <f>'10B Sem 1'!L15</f>
        <v>71</v>
      </c>
      <c r="N39" s="22">
        <f>'10B Sem 1'!M15</f>
        <v>69</v>
      </c>
      <c r="O39" s="22">
        <f>'10B Sem 1'!N15</f>
        <v>73</v>
      </c>
      <c r="P39" s="22">
        <f>'10B Sem 1'!O15</f>
        <v>80</v>
      </c>
      <c r="Q39" s="22">
        <f>'10B Sem 1'!P15</f>
        <v>91</v>
      </c>
      <c r="R39" s="22">
        <f>'10B Sem 1'!Q15</f>
        <v>87</v>
      </c>
      <c r="S39" s="22">
        <f>'10B Sem 1'!R15</f>
        <v>969</v>
      </c>
      <c r="T39" s="22">
        <f>'10B Sem 1'!S15</f>
        <v>74.538461538461533</v>
      </c>
      <c r="U39" s="22">
        <f>'10B Sem 1'!T15</f>
        <v>32</v>
      </c>
      <c r="V39" s="22">
        <f>'10B Sem 1'!U15</f>
        <v>0</v>
      </c>
      <c r="W39" s="22">
        <f>'10B Sem 1'!V15</f>
        <v>0</v>
      </c>
    </row>
    <row r="40" spans="1:23" ht="17.25" customHeight="1" thickBot="1" x14ac:dyDescent="0.3">
      <c r="A40" s="249"/>
      <c r="B40" s="218"/>
      <c r="C40" s="213">
        <v>15</v>
      </c>
      <c r="D40" s="217" t="s">
        <v>23</v>
      </c>
      <c r="E40" s="21" t="s">
        <v>22</v>
      </c>
      <c r="F40" s="22">
        <f>'10B Sem 2'!E15</f>
        <v>74</v>
      </c>
      <c r="G40" s="22">
        <f>'10B Sem 2'!F15</f>
        <v>69</v>
      </c>
      <c r="H40" s="22">
        <f>'10B Sem 2'!G15</f>
        <v>69</v>
      </c>
      <c r="I40" s="22">
        <f>'10B Sem 2'!H15</f>
        <v>51</v>
      </c>
      <c r="J40" s="22">
        <f>'10B Sem 2'!I15</f>
        <v>59</v>
      </c>
      <c r="K40" s="22">
        <f>'10B Sem 2'!J15</f>
        <v>78</v>
      </c>
      <c r="L40" s="22">
        <f>'10B Sem 2'!K15</f>
        <v>87</v>
      </c>
      <c r="M40" s="22">
        <f>'10B Sem 2'!L15</f>
        <v>92</v>
      </c>
      <c r="N40" s="22">
        <f>'10B Sem 2'!M15</f>
        <v>73</v>
      </c>
      <c r="O40" s="22">
        <f>'10B Sem 2'!N15</f>
        <v>88</v>
      </c>
      <c r="P40" s="22">
        <f>'10B Sem 2'!O15</f>
        <v>77</v>
      </c>
      <c r="Q40" s="22">
        <f>'10B Sem 2'!P15</f>
        <v>96</v>
      </c>
      <c r="R40" s="22">
        <f>'10B Sem 2'!Q15</f>
        <v>77</v>
      </c>
      <c r="S40" s="22">
        <f>'10B Sem 2'!R15</f>
        <v>990</v>
      </c>
      <c r="T40" s="22">
        <f>'10B Sem 2'!S15</f>
        <v>76.15384615384616</v>
      </c>
      <c r="U40" s="22">
        <f>'10B Sem 2'!T15</f>
        <v>29</v>
      </c>
      <c r="V40" s="22">
        <f>'10B Sem 2'!U15</f>
        <v>0</v>
      </c>
      <c r="W40" s="22">
        <f>'10B Sem 2'!V15</f>
        <v>0</v>
      </c>
    </row>
    <row r="41" spans="1:23" ht="17.25" customHeight="1" thickBot="1" x14ac:dyDescent="0.3">
      <c r="A41" s="249"/>
      <c r="B41" s="218"/>
      <c r="C41" s="213">
        <v>15</v>
      </c>
      <c r="D41" s="217" t="s">
        <v>23</v>
      </c>
      <c r="E41" s="21" t="s">
        <v>16</v>
      </c>
      <c r="F41" s="22">
        <f>AVERAGE(F39:F40)</f>
        <v>77.5</v>
      </c>
      <c r="G41" s="22">
        <f t="shared" ref="G41:W41" si="11">AVERAGE(G39:G40)</f>
        <v>69</v>
      </c>
      <c r="H41" s="22">
        <f t="shared" si="11"/>
        <v>73.5</v>
      </c>
      <c r="I41" s="22">
        <f t="shared" si="11"/>
        <v>59</v>
      </c>
      <c r="J41" s="22">
        <f t="shared" si="11"/>
        <v>60.5</v>
      </c>
      <c r="K41" s="22">
        <f t="shared" si="11"/>
        <v>72</v>
      </c>
      <c r="L41" s="22">
        <f t="shared" si="11"/>
        <v>81</v>
      </c>
      <c r="M41" s="22">
        <f t="shared" si="11"/>
        <v>81.5</v>
      </c>
      <c r="N41" s="22">
        <f t="shared" si="11"/>
        <v>71</v>
      </c>
      <c r="O41" s="22">
        <f t="shared" si="11"/>
        <v>80.5</v>
      </c>
      <c r="P41" s="22">
        <f t="shared" si="11"/>
        <v>78.5</v>
      </c>
      <c r="Q41" s="22">
        <f t="shared" si="11"/>
        <v>93.5</v>
      </c>
      <c r="R41" s="22">
        <f t="shared" si="11"/>
        <v>82</v>
      </c>
      <c r="S41" s="22">
        <f t="shared" si="11"/>
        <v>979.5</v>
      </c>
      <c r="T41" s="22">
        <f t="shared" si="11"/>
        <v>75.34615384615384</v>
      </c>
      <c r="U41" s="22">
        <f>'10B Sem avr'!$H$15</f>
        <v>30</v>
      </c>
      <c r="V41" s="22">
        <f t="shared" si="11"/>
        <v>0</v>
      </c>
      <c r="W41" s="22">
        <f t="shared" si="11"/>
        <v>0</v>
      </c>
    </row>
    <row r="42" spans="1:23" ht="17.25" customHeight="1" thickBot="1" x14ac:dyDescent="0.3">
      <c r="A42" s="249">
        <v>13</v>
      </c>
      <c r="B42" s="218"/>
      <c r="C42" s="213">
        <v>15</v>
      </c>
      <c r="D42" s="217" t="s">
        <v>20</v>
      </c>
      <c r="E42" s="21" t="s">
        <v>21</v>
      </c>
      <c r="F42" s="22">
        <f>'10B Sem 1'!E16</f>
        <v>86</v>
      </c>
      <c r="G42" s="22">
        <f>'10B Sem 1'!F16</f>
        <v>69</v>
      </c>
      <c r="H42" s="22">
        <f>'10B Sem 1'!G16</f>
        <v>69</v>
      </c>
      <c r="I42" s="22">
        <f>'10B Sem 1'!H16</f>
        <v>66</v>
      </c>
      <c r="J42" s="22">
        <f>'10B Sem 1'!I16</f>
        <v>45</v>
      </c>
      <c r="K42" s="22">
        <f>'10B Sem 1'!J16</f>
        <v>70</v>
      </c>
      <c r="L42" s="22">
        <f>'10B Sem 1'!K16</f>
        <v>77</v>
      </c>
      <c r="M42" s="22">
        <f>'10B Sem 1'!L16</f>
        <v>70</v>
      </c>
      <c r="N42" s="22">
        <f>'10B Sem 1'!M16</f>
        <v>79</v>
      </c>
      <c r="O42" s="22">
        <f>'10B Sem 1'!N16</f>
        <v>81</v>
      </c>
      <c r="P42" s="22">
        <f>'10B Sem 1'!O16</f>
        <v>85</v>
      </c>
      <c r="Q42" s="22">
        <f>'10B Sem 1'!P16</f>
        <v>82</v>
      </c>
      <c r="R42" s="22">
        <f>'10B Sem 1'!Q16</f>
        <v>59</v>
      </c>
      <c r="S42" s="22">
        <f>'10B Sem 1'!R16</f>
        <v>938</v>
      </c>
      <c r="T42" s="22">
        <f>'10B Sem 1'!S16</f>
        <v>72.15384615384616</v>
      </c>
      <c r="U42" s="22">
        <f>'10B Sem 1'!T16</f>
        <v>36</v>
      </c>
      <c r="V42" s="22">
        <f>'10B Sem 1'!U16</f>
        <v>0</v>
      </c>
      <c r="W42" s="22">
        <f>'10B Sem 1'!V16</f>
        <v>0</v>
      </c>
    </row>
    <row r="43" spans="1:23" ht="17.25" customHeight="1" thickBot="1" x14ac:dyDescent="0.3">
      <c r="A43" s="249"/>
      <c r="B43" s="218"/>
      <c r="C43" s="213">
        <v>15</v>
      </c>
      <c r="D43" s="217" t="s">
        <v>20</v>
      </c>
      <c r="E43" s="21" t="s">
        <v>22</v>
      </c>
      <c r="F43" s="22">
        <f>'10B Sem 2'!E16</f>
        <v>82</v>
      </c>
      <c r="G43" s="22">
        <f>'10B Sem 2'!F16</f>
        <v>73</v>
      </c>
      <c r="H43" s="22">
        <f>'10B Sem 2'!G16</f>
        <v>70</v>
      </c>
      <c r="I43" s="22">
        <f>'10B Sem 2'!H16</f>
        <v>70</v>
      </c>
      <c r="J43" s="22">
        <f>'10B Sem 2'!I16</f>
        <v>62</v>
      </c>
      <c r="K43" s="22">
        <f>'10B Sem 2'!J16</f>
        <v>82</v>
      </c>
      <c r="L43" s="22">
        <f>'10B Sem 2'!K16</f>
        <v>86</v>
      </c>
      <c r="M43" s="22">
        <f>'10B Sem 2'!L16</f>
        <v>97</v>
      </c>
      <c r="N43" s="22">
        <f>'10B Sem 2'!M16</f>
        <v>84</v>
      </c>
      <c r="O43" s="22">
        <f>'10B Sem 2'!N16</f>
        <v>89</v>
      </c>
      <c r="P43" s="22">
        <f>'10B Sem 2'!O16</f>
        <v>86</v>
      </c>
      <c r="Q43" s="22">
        <f>'10B Sem 2'!P16</f>
        <v>98</v>
      </c>
      <c r="R43" s="22">
        <f>'10B Sem 2'!Q16</f>
        <v>69</v>
      </c>
      <c r="S43" s="22">
        <f>'10B Sem 2'!R16</f>
        <v>1048</v>
      </c>
      <c r="T43" s="22">
        <f>'10B Sem 2'!S16</f>
        <v>80.615384615384613</v>
      </c>
      <c r="U43" s="22">
        <f>'10B Sem 2'!T16</f>
        <v>19</v>
      </c>
      <c r="V43" s="22">
        <f>'10B Sem 2'!U16</f>
        <v>0</v>
      </c>
      <c r="W43" s="22">
        <f>'10B Sem 2'!V16</f>
        <v>0</v>
      </c>
    </row>
    <row r="44" spans="1:23" ht="17.25" customHeight="1" thickBot="1" x14ac:dyDescent="0.3">
      <c r="A44" s="249"/>
      <c r="B44" s="218"/>
      <c r="C44" s="213">
        <v>15</v>
      </c>
      <c r="D44" s="217" t="s">
        <v>20</v>
      </c>
      <c r="E44" s="21" t="s">
        <v>16</v>
      </c>
      <c r="F44" s="22">
        <f>AVERAGE(F42:F43)</f>
        <v>84</v>
      </c>
      <c r="G44" s="22">
        <f t="shared" ref="G44:W44" si="12">AVERAGE(G42:G43)</f>
        <v>71</v>
      </c>
      <c r="H44" s="22">
        <f t="shared" si="12"/>
        <v>69.5</v>
      </c>
      <c r="I44" s="22">
        <f t="shared" si="12"/>
        <v>68</v>
      </c>
      <c r="J44" s="22">
        <f t="shared" si="12"/>
        <v>53.5</v>
      </c>
      <c r="K44" s="22">
        <f t="shared" si="12"/>
        <v>76</v>
      </c>
      <c r="L44" s="22">
        <f t="shared" si="12"/>
        <v>81.5</v>
      </c>
      <c r="M44" s="22">
        <f t="shared" si="12"/>
        <v>83.5</v>
      </c>
      <c r="N44" s="22">
        <f t="shared" si="12"/>
        <v>81.5</v>
      </c>
      <c r="O44" s="22">
        <f t="shared" si="12"/>
        <v>85</v>
      </c>
      <c r="P44" s="22">
        <f t="shared" si="12"/>
        <v>85.5</v>
      </c>
      <c r="Q44" s="22">
        <f t="shared" si="12"/>
        <v>90</v>
      </c>
      <c r="R44" s="22">
        <f t="shared" si="12"/>
        <v>64</v>
      </c>
      <c r="S44" s="22">
        <f t="shared" si="12"/>
        <v>993</v>
      </c>
      <c r="T44" s="22">
        <f t="shared" si="12"/>
        <v>76.384615384615387</v>
      </c>
      <c r="U44" s="22">
        <f>'10B Sem avr'!$H$16</f>
        <v>27</v>
      </c>
      <c r="V44" s="22">
        <f t="shared" si="12"/>
        <v>0</v>
      </c>
      <c r="W44" s="22">
        <f t="shared" si="12"/>
        <v>0</v>
      </c>
    </row>
    <row r="45" spans="1:23" ht="17.25" customHeight="1" thickBot="1" x14ac:dyDescent="0.3">
      <c r="A45" s="247">
        <v>14</v>
      </c>
      <c r="B45" s="218"/>
      <c r="C45" s="213">
        <v>16</v>
      </c>
      <c r="D45" s="217" t="s">
        <v>20</v>
      </c>
      <c r="E45" s="21" t="s">
        <v>21</v>
      </c>
      <c r="F45" s="117">
        <f>'10B Sem 1'!E17</f>
        <v>87</v>
      </c>
      <c r="G45" s="117">
        <f>'10B Sem 1'!F17</f>
        <v>57</v>
      </c>
      <c r="H45" s="117">
        <f>'10B Sem 1'!G17</f>
        <v>60</v>
      </c>
      <c r="I45" s="117">
        <f>'10B Sem 1'!H17</f>
        <v>56</v>
      </c>
      <c r="J45" s="117">
        <f>'10B Sem 1'!I17</f>
        <v>52</v>
      </c>
      <c r="K45" s="117">
        <f>'10B Sem 1'!J17</f>
        <v>68</v>
      </c>
      <c r="L45" s="117">
        <f>'10B Sem 1'!K17</f>
        <v>66</v>
      </c>
      <c r="M45" s="117">
        <f>'10B Sem 1'!L17</f>
        <v>59</v>
      </c>
      <c r="N45" s="117">
        <f>'10B Sem 1'!M17</f>
        <v>63</v>
      </c>
      <c r="O45" s="117">
        <f>'10B Sem 1'!N17</f>
        <v>86</v>
      </c>
      <c r="P45" s="117">
        <f>'10B Sem 1'!O17</f>
        <v>69</v>
      </c>
      <c r="Q45" s="117">
        <f>'10B Sem 1'!P17</f>
        <v>84</v>
      </c>
      <c r="R45" s="117">
        <f>'10B Sem 1'!Q17</f>
        <v>67</v>
      </c>
      <c r="S45" s="117">
        <f>'10B Sem 1'!R17</f>
        <v>874</v>
      </c>
      <c r="T45" s="117">
        <f>'10B Sem 1'!S17</f>
        <v>67.230769230769226</v>
      </c>
      <c r="U45" s="117">
        <f>'10B Sem 1'!T17</f>
        <v>41</v>
      </c>
      <c r="V45" s="35">
        <f>'10B Sem 1'!U17</f>
        <v>0</v>
      </c>
      <c r="W45" s="35">
        <f>'10B Sem 1'!V17</f>
        <v>0</v>
      </c>
    </row>
    <row r="46" spans="1:23" ht="17.25" customHeight="1" thickBot="1" x14ac:dyDescent="0.3">
      <c r="A46" s="247"/>
      <c r="B46" s="218"/>
      <c r="C46" s="213">
        <v>16</v>
      </c>
      <c r="D46" s="217" t="s">
        <v>20</v>
      </c>
      <c r="E46" s="21" t="s">
        <v>22</v>
      </c>
      <c r="F46" s="117">
        <f>'10B Sem 2'!E17</f>
        <v>79</v>
      </c>
      <c r="G46" s="117">
        <f>'10B Sem 2'!F17</f>
        <v>61</v>
      </c>
      <c r="H46" s="117">
        <f>'10B Sem 2'!G17</f>
        <v>51</v>
      </c>
      <c r="I46" s="117">
        <f>'10B Sem 2'!H17</f>
        <v>67</v>
      </c>
      <c r="J46" s="117">
        <f>'10B Sem 2'!I17</f>
        <v>62</v>
      </c>
      <c r="K46" s="117">
        <f>'10B Sem 2'!J17</f>
        <v>61</v>
      </c>
      <c r="L46" s="117">
        <f>'10B Sem 2'!K17</f>
        <v>62</v>
      </c>
      <c r="M46" s="117">
        <f>'10B Sem 2'!L17</f>
        <v>79</v>
      </c>
      <c r="N46" s="117">
        <f>'10B Sem 2'!M17</f>
        <v>72</v>
      </c>
      <c r="O46" s="117">
        <f>'10B Sem 2'!N17</f>
        <v>93</v>
      </c>
      <c r="P46" s="117">
        <f>'10B Sem 2'!O17</f>
        <v>66</v>
      </c>
      <c r="Q46" s="117">
        <f>'10B Sem 2'!P17</f>
        <v>87</v>
      </c>
      <c r="R46" s="117">
        <f>'10B Sem 2'!Q17</f>
        <v>67</v>
      </c>
      <c r="S46" s="117">
        <f>'10B Sem 2'!R17</f>
        <v>907</v>
      </c>
      <c r="T46" s="117">
        <f>'10B Sem 2'!S17</f>
        <v>69.769230769230774</v>
      </c>
      <c r="U46" s="117">
        <f>'10B Sem 2'!T17</f>
        <v>39</v>
      </c>
      <c r="V46" s="35">
        <f>'10B Sem 2'!U17</f>
        <v>0</v>
      </c>
      <c r="W46" s="35">
        <f>'10B Sem 2'!V17</f>
        <v>0</v>
      </c>
    </row>
    <row r="47" spans="1:23" ht="17.25" customHeight="1" thickBot="1" x14ac:dyDescent="0.3">
      <c r="A47" s="247"/>
      <c r="B47" s="218"/>
      <c r="C47" s="213">
        <v>16</v>
      </c>
      <c r="D47" s="217" t="s">
        <v>20</v>
      </c>
      <c r="E47" s="21" t="s">
        <v>16</v>
      </c>
      <c r="F47" s="117">
        <f>AVERAGE(F45:F46)</f>
        <v>83</v>
      </c>
      <c r="G47" s="117">
        <f t="shared" ref="G47:W47" si="13">AVERAGE(G45:G46)</f>
        <v>59</v>
      </c>
      <c r="H47" s="117">
        <f t="shared" si="13"/>
        <v>55.5</v>
      </c>
      <c r="I47" s="117">
        <f t="shared" si="13"/>
        <v>61.5</v>
      </c>
      <c r="J47" s="117">
        <f t="shared" si="13"/>
        <v>57</v>
      </c>
      <c r="K47" s="117">
        <f t="shared" si="13"/>
        <v>64.5</v>
      </c>
      <c r="L47" s="117">
        <f t="shared" si="13"/>
        <v>64</v>
      </c>
      <c r="M47" s="117">
        <f t="shared" si="13"/>
        <v>69</v>
      </c>
      <c r="N47" s="117">
        <f t="shared" si="13"/>
        <v>67.5</v>
      </c>
      <c r="O47" s="117">
        <f t="shared" si="13"/>
        <v>89.5</v>
      </c>
      <c r="P47" s="117">
        <f t="shared" si="13"/>
        <v>67.5</v>
      </c>
      <c r="Q47" s="117">
        <f t="shared" si="13"/>
        <v>85.5</v>
      </c>
      <c r="R47" s="117">
        <f t="shared" si="13"/>
        <v>67</v>
      </c>
      <c r="S47" s="117">
        <f t="shared" si="13"/>
        <v>890.5</v>
      </c>
      <c r="T47" s="117">
        <f t="shared" si="13"/>
        <v>68.5</v>
      </c>
      <c r="U47" s="117">
        <f>'10B Sem avr'!$H$17</f>
        <v>40</v>
      </c>
      <c r="V47" s="117">
        <f t="shared" si="13"/>
        <v>0</v>
      </c>
      <c r="W47" s="117">
        <f t="shared" si="13"/>
        <v>0</v>
      </c>
    </row>
    <row r="48" spans="1:23" ht="17.25" customHeight="1" thickBot="1" x14ac:dyDescent="0.3">
      <c r="A48" s="249">
        <v>15</v>
      </c>
      <c r="B48" s="218"/>
      <c r="C48" s="213">
        <v>15</v>
      </c>
      <c r="D48" s="217" t="s">
        <v>20</v>
      </c>
      <c r="E48" s="21" t="s">
        <v>21</v>
      </c>
      <c r="F48" s="117">
        <f>'10B Sem 1'!E18</f>
        <v>86</v>
      </c>
      <c r="G48" s="117">
        <f>'10B Sem 1'!F18</f>
        <v>84</v>
      </c>
      <c r="H48" s="118">
        <f>'10B Sem 1'!G18</f>
        <v>88</v>
      </c>
      <c r="I48" s="117">
        <f>'10B Sem 1'!H18</f>
        <v>70</v>
      </c>
      <c r="J48" s="117">
        <f>'10B Sem 1'!I18</f>
        <v>71</v>
      </c>
      <c r="K48" s="117">
        <f>'10B Sem 1'!J18</f>
        <v>81</v>
      </c>
      <c r="L48" s="117">
        <f>'10B Sem 1'!K18</f>
        <v>74</v>
      </c>
      <c r="M48" s="117">
        <f>'10B Sem 1'!L18</f>
        <v>66</v>
      </c>
      <c r="N48" s="117">
        <f>'10B Sem 1'!M18</f>
        <v>79</v>
      </c>
      <c r="O48" s="117">
        <f>'10B Sem 1'!N18</f>
        <v>76</v>
      </c>
      <c r="P48" s="117">
        <f>'10B Sem 1'!O18</f>
        <v>84</v>
      </c>
      <c r="Q48" s="117">
        <f>'10B Sem 1'!P18</f>
        <v>85</v>
      </c>
      <c r="R48" s="117">
        <f>'10B Sem 1'!Q18</f>
        <v>68</v>
      </c>
      <c r="S48" s="117">
        <f>'10B Sem 1'!R18</f>
        <v>1012</v>
      </c>
      <c r="T48" s="117">
        <f>'10B Sem 1'!S18</f>
        <v>77.84615384615384</v>
      </c>
      <c r="U48" s="117">
        <f>'10B Sem 1'!T18</f>
        <v>21</v>
      </c>
      <c r="V48" s="117">
        <f>'10B Sem 1'!U18</f>
        <v>0</v>
      </c>
      <c r="W48" s="117">
        <f>'10B Sem 1'!V18</f>
        <v>0</v>
      </c>
    </row>
    <row r="49" spans="1:28" ht="17.25" customHeight="1" thickBot="1" x14ac:dyDescent="0.3">
      <c r="A49" s="249"/>
      <c r="B49" s="218"/>
      <c r="C49" s="213">
        <v>15</v>
      </c>
      <c r="D49" s="217" t="s">
        <v>20</v>
      </c>
      <c r="E49" s="21" t="s">
        <v>22</v>
      </c>
      <c r="F49" s="22">
        <f>'10B Sem 2'!E18</f>
        <v>69</v>
      </c>
      <c r="G49" s="22">
        <f>'10B Sem 2'!F18</f>
        <v>88</v>
      </c>
      <c r="H49" s="23">
        <f>'10B Sem 2'!G18</f>
        <v>87</v>
      </c>
      <c r="I49" s="22">
        <f>'10B Sem 2'!H18</f>
        <v>74</v>
      </c>
      <c r="J49" s="22">
        <f>'10B Sem 2'!I18</f>
        <v>78</v>
      </c>
      <c r="K49" s="22">
        <f>'10B Sem 2'!J18</f>
        <v>94</v>
      </c>
      <c r="L49" s="22">
        <f>'10B Sem 2'!K18</f>
        <v>69</v>
      </c>
      <c r="M49" s="22">
        <f>'10B Sem 2'!L18</f>
        <v>95</v>
      </c>
      <c r="N49" s="22">
        <f>'10B Sem 2'!M18</f>
        <v>83</v>
      </c>
      <c r="O49" s="22">
        <f>'10B Sem 2'!N18</f>
        <v>91</v>
      </c>
      <c r="P49" s="22">
        <f>'10B Sem 2'!O18</f>
        <v>78</v>
      </c>
      <c r="Q49" s="22">
        <f>'10B Sem 2'!P18</f>
        <v>99</v>
      </c>
      <c r="R49" s="22">
        <f>'10B Sem 2'!Q18</f>
        <v>75</v>
      </c>
      <c r="S49" s="22">
        <f>'10B Sem 2'!R18</f>
        <v>1080</v>
      </c>
      <c r="T49" s="22">
        <f>'10B Sem 2'!S18</f>
        <v>83.07692307692308</v>
      </c>
      <c r="U49" s="22">
        <f>'10B Sem 2'!T18</f>
        <v>14</v>
      </c>
      <c r="V49" s="22">
        <f>'10B Sem 2'!U18</f>
        <v>0</v>
      </c>
      <c r="W49" s="22">
        <f>'10B Sem 2'!V18</f>
        <v>0</v>
      </c>
      <c r="X49" s="5"/>
      <c r="Y49" s="5"/>
      <c r="Z49" s="5"/>
      <c r="AA49" s="5"/>
      <c r="AB49" s="5"/>
    </row>
    <row r="50" spans="1:28" ht="17.25" customHeight="1" thickBot="1" x14ac:dyDescent="0.3">
      <c r="A50" s="249"/>
      <c r="B50" s="218"/>
      <c r="C50" s="213">
        <v>15</v>
      </c>
      <c r="D50" s="217" t="s">
        <v>20</v>
      </c>
      <c r="E50" s="21" t="s">
        <v>16</v>
      </c>
      <c r="F50" s="22">
        <f>AVERAGE(F48:F49)</f>
        <v>77.5</v>
      </c>
      <c r="G50" s="22">
        <f t="shared" ref="G50:W50" si="14">AVERAGE(G48:G49)</f>
        <v>86</v>
      </c>
      <c r="H50" s="22">
        <f t="shared" si="14"/>
        <v>87.5</v>
      </c>
      <c r="I50" s="22">
        <f t="shared" si="14"/>
        <v>72</v>
      </c>
      <c r="J50" s="22">
        <f t="shared" si="14"/>
        <v>74.5</v>
      </c>
      <c r="K50" s="22">
        <f t="shared" si="14"/>
        <v>87.5</v>
      </c>
      <c r="L50" s="22">
        <f t="shared" si="14"/>
        <v>71.5</v>
      </c>
      <c r="M50" s="22">
        <f t="shared" si="14"/>
        <v>80.5</v>
      </c>
      <c r="N50" s="22">
        <f t="shared" si="14"/>
        <v>81</v>
      </c>
      <c r="O50" s="22">
        <f t="shared" si="14"/>
        <v>83.5</v>
      </c>
      <c r="P50" s="22">
        <f t="shared" si="14"/>
        <v>81</v>
      </c>
      <c r="Q50" s="22">
        <f t="shared" si="14"/>
        <v>92</v>
      </c>
      <c r="R50" s="22">
        <f t="shared" si="14"/>
        <v>71.5</v>
      </c>
      <c r="S50" s="22">
        <f t="shared" si="14"/>
        <v>1046</v>
      </c>
      <c r="T50" s="22">
        <f t="shared" si="14"/>
        <v>80.461538461538453</v>
      </c>
      <c r="U50" s="22">
        <f>'10B Sem avr'!$H$18</f>
        <v>17</v>
      </c>
      <c r="V50" s="22">
        <f t="shared" si="14"/>
        <v>0</v>
      </c>
      <c r="W50" s="22">
        <f t="shared" si="14"/>
        <v>0</v>
      </c>
      <c r="X50" s="5"/>
      <c r="Y50" s="5"/>
      <c r="Z50" s="5"/>
      <c r="AA50" s="5"/>
      <c r="AB50" s="5"/>
    </row>
    <row r="51" spans="1:28" ht="17.25" customHeight="1" thickBot="1" x14ac:dyDescent="0.3">
      <c r="A51" s="247">
        <v>16</v>
      </c>
      <c r="B51" s="218"/>
      <c r="C51" s="213">
        <v>16</v>
      </c>
      <c r="D51" s="217" t="s">
        <v>23</v>
      </c>
      <c r="E51" s="21" t="s">
        <v>21</v>
      </c>
      <c r="F51" s="22">
        <f>'10B Sem 1'!E19</f>
        <v>87</v>
      </c>
      <c r="G51" s="22">
        <f>'10B Sem 1'!F19</f>
        <v>75</v>
      </c>
      <c r="H51" s="22">
        <f>'10B Sem 1'!G19</f>
        <v>85</v>
      </c>
      <c r="I51" s="22">
        <f>'10B Sem 1'!H19</f>
        <v>84</v>
      </c>
      <c r="J51" s="22">
        <f>'10B Sem 1'!I19</f>
        <v>67</v>
      </c>
      <c r="K51" s="22">
        <f>'10B Sem 1'!J19</f>
        <v>78</v>
      </c>
      <c r="L51" s="22">
        <f>'10B Sem 1'!K19</f>
        <v>75</v>
      </c>
      <c r="M51" s="22">
        <f>'10B Sem 1'!L19</f>
        <v>66</v>
      </c>
      <c r="N51" s="22">
        <f>'10B Sem 1'!M19</f>
        <v>73</v>
      </c>
      <c r="O51" s="22">
        <f>'10B Sem 1'!N19</f>
        <v>77</v>
      </c>
      <c r="P51" s="22">
        <f>'10B Sem 1'!O19</f>
        <v>79</v>
      </c>
      <c r="Q51" s="22">
        <f>'10B Sem 1'!P19</f>
        <v>98</v>
      </c>
      <c r="R51" s="22">
        <f>'10B Sem 1'!Q19</f>
        <v>96</v>
      </c>
      <c r="S51" s="22">
        <f>'10B Sem 1'!R19</f>
        <v>1040</v>
      </c>
      <c r="T51" s="22">
        <f>'10B Sem 1'!S19</f>
        <v>80</v>
      </c>
      <c r="U51" s="22">
        <f>'10B Sem 1'!T19</f>
        <v>18</v>
      </c>
      <c r="V51" s="22">
        <f>'10B Sem 1'!U19</f>
        <v>0</v>
      </c>
      <c r="W51" s="22">
        <f>'10B Sem 1'!V19</f>
        <v>0</v>
      </c>
      <c r="X51" s="5"/>
      <c r="Y51" s="5"/>
      <c r="Z51" s="5"/>
      <c r="AA51" s="5"/>
      <c r="AB51" s="5"/>
    </row>
    <row r="52" spans="1:28" ht="17.25" customHeight="1" thickBot="1" x14ac:dyDescent="0.3">
      <c r="A52" s="247"/>
      <c r="B52" s="218"/>
      <c r="C52" s="213">
        <v>16</v>
      </c>
      <c r="D52" s="217" t="s">
        <v>23</v>
      </c>
      <c r="E52" s="21" t="s">
        <v>22</v>
      </c>
      <c r="F52" s="22">
        <f>'10B Sem 2'!E19</f>
        <v>86</v>
      </c>
      <c r="G52" s="22">
        <f>'10B Sem 2'!F19</f>
        <v>75</v>
      </c>
      <c r="H52" s="22">
        <f>'10B Sem 2'!G19</f>
        <v>84</v>
      </c>
      <c r="I52" s="22">
        <f>'10B Sem 2'!H19</f>
        <v>75</v>
      </c>
      <c r="J52" s="22">
        <f>'10B Sem 2'!I19</f>
        <v>72</v>
      </c>
      <c r="K52" s="22">
        <f>'10B Sem 2'!J19</f>
        <v>79</v>
      </c>
      <c r="L52" s="22">
        <f>'10B Sem 2'!K19</f>
        <v>75</v>
      </c>
      <c r="M52" s="22">
        <f>'10B Sem 2'!L19</f>
        <v>94</v>
      </c>
      <c r="N52" s="22">
        <f>'10B Sem 2'!M19</f>
        <v>76</v>
      </c>
      <c r="O52" s="22">
        <f>'10B Sem 2'!N19</f>
        <v>86</v>
      </c>
      <c r="P52" s="22">
        <f>'10B Sem 2'!O19</f>
        <v>65</v>
      </c>
      <c r="Q52" s="22">
        <f>'10B Sem 2'!P19</f>
        <v>95</v>
      </c>
      <c r="R52" s="22">
        <f>'10B Sem 2'!Q19</f>
        <v>85</v>
      </c>
      <c r="S52" s="22">
        <f>'10B Sem 2'!R19</f>
        <v>1047</v>
      </c>
      <c r="T52" s="22">
        <f>'10B Sem 2'!S19</f>
        <v>80.538461538461533</v>
      </c>
      <c r="U52" s="22">
        <f>'10B Sem 2'!T19</f>
        <v>20</v>
      </c>
      <c r="V52" s="22">
        <f>'10B Sem 2'!U19</f>
        <v>0</v>
      </c>
      <c r="W52" s="22">
        <f>'10B Sem 2'!V19</f>
        <v>0</v>
      </c>
      <c r="X52" s="5"/>
      <c r="Y52" s="5"/>
      <c r="Z52" s="5"/>
      <c r="AA52" s="5"/>
      <c r="AB52" s="5"/>
    </row>
    <row r="53" spans="1:28" ht="17.25" customHeight="1" thickBot="1" x14ac:dyDescent="0.3">
      <c r="A53" s="247"/>
      <c r="B53" s="218"/>
      <c r="C53" s="213">
        <v>16</v>
      </c>
      <c r="D53" s="217" t="s">
        <v>23</v>
      </c>
      <c r="E53" s="21" t="s">
        <v>16</v>
      </c>
      <c r="F53" s="22">
        <f>AVERAGE(F51:F52)</f>
        <v>86.5</v>
      </c>
      <c r="G53" s="22">
        <f t="shared" ref="G53:W53" si="15">AVERAGE(G51:G52)</f>
        <v>75</v>
      </c>
      <c r="H53" s="22">
        <f t="shared" si="15"/>
        <v>84.5</v>
      </c>
      <c r="I53" s="22">
        <f t="shared" si="15"/>
        <v>79.5</v>
      </c>
      <c r="J53" s="22">
        <f t="shared" si="15"/>
        <v>69.5</v>
      </c>
      <c r="K53" s="22">
        <f t="shared" si="15"/>
        <v>78.5</v>
      </c>
      <c r="L53" s="22">
        <f t="shared" si="15"/>
        <v>75</v>
      </c>
      <c r="M53" s="22">
        <f t="shared" si="15"/>
        <v>80</v>
      </c>
      <c r="N53" s="22">
        <f t="shared" si="15"/>
        <v>74.5</v>
      </c>
      <c r="O53" s="22">
        <f t="shared" si="15"/>
        <v>81.5</v>
      </c>
      <c r="P53" s="22">
        <f t="shared" si="15"/>
        <v>72</v>
      </c>
      <c r="Q53" s="22">
        <f t="shared" si="15"/>
        <v>96.5</v>
      </c>
      <c r="R53" s="22">
        <f t="shared" si="15"/>
        <v>90.5</v>
      </c>
      <c r="S53" s="22">
        <f t="shared" si="15"/>
        <v>1043.5</v>
      </c>
      <c r="T53" s="22">
        <f t="shared" si="15"/>
        <v>80.269230769230774</v>
      </c>
      <c r="U53" s="22">
        <f>'10B Sem avr'!$H$19</f>
        <v>19</v>
      </c>
      <c r="V53" s="22">
        <f t="shared" si="15"/>
        <v>0</v>
      </c>
      <c r="W53" s="22">
        <f t="shared" si="15"/>
        <v>0</v>
      </c>
      <c r="X53" s="5"/>
      <c r="Y53" s="5"/>
      <c r="Z53" s="5"/>
      <c r="AA53" s="5"/>
      <c r="AB53" s="5"/>
    </row>
    <row r="54" spans="1:28" ht="17.25" customHeight="1" thickBot="1" x14ac:dyDescent="0.3">
      <c r="A54" s="247">
        <v>17</v>
      </c>
      <c r="B54" s="218"/>
      <c r="C54" s="213">
        <v>16</v>
      </c>
      <c r="D54" s="217" t="s">
        <v>23</v>
      </c>
      <c r="E54" s="21" t="s">
        <v>21</v>
      </c>
      <c r="F54" s="22">
        <f>'10B Sem 1'!E20</f>
        <v>73</v>
      </c>
      <c r="G54" s="22">
        <f>'10B Sem 1'!F20</f>
        <v>58</v>
      </c>
      <c r="H54" s="22">
        <f>'10B Sem 1'!G20</f>
        <v>62</v>
      </c>
      <c r="I54" s="22">
        <f>'10B Sem 1'!H20</f>
        <v>64</v>
      </c>
      <c r="J54" s="22">
        <f>'10B Sem 1'!I20</f>
        <v>51</v>
      </c>
      <c r="K54" s="22">
        <f>'10B Sem 1'!J20</f>
        <v>54</v>
      </c>
      <c r="L54" s="22">
        <f>'10B Sem 1'!K20</f>
        <v>51</v>
      </c>
      <c r="M54" s="22">
        <f>'10B Sem 1'!L20</f>
        <v>61</v>
      </c>
      <c r="N54" s="22">
        <f>'10B Sem 1'!M20</f>
        <v>67</v>
      </c>
      <c r="O54" s="22">
        <f>'10B Sem 1'!N20</f>
        <v>70</v>
      </c>
      <c r="P54" s="22">
        <f>'10B Sem 1'!O20</f>
        <v>72</v>
      </c>
      <c r="Q54" s="22">
        <f>'10B Sem 1'!P20</f>
        <v>94</v>
      </c>
      <c r="R54" s="22">
        <f>'10B Sem 1'!Q20</f>
        <v>83</v>
      </c>
      <c r="S54" s="22">
        <f>'10B Sem 1'!R20</f>
        <v>860</v>
      </c>
      <c r="T54" s="22">
        <f>'10B Sem 1'!S20</f>
        <v>66.15384615384616</v>
      </c>
      <c r="U54" s="22">
        <f>'10B Sem 1'!T20</f>
        <v>44</v>
      </c>
      <c r="V54" s="22">
        <f>'10B Sem 1'!U20</f>
        <v>0</v>
      </c>
      <c r="W54" s="22">
        <f>'10B Sem 1'!V20</f>
        <v>0</v>
      </c>
      <c r="X54" s="5"/>
      <c r="Y54" s="5"/>
      <c r="Z54" s="5"/>
      <c r="AA54" s="5"/>
      <c r="AB54" s="5"/>
    </row>
    <row r="55" spans="1:28" ht="17.25" customHeight="1" thickBot="1" x14ac:dyDescent="0.3">
      <c r="A55" s="247"/>
      <c r="B55" s="218"/>
      <c r="C55" s="213">
        <v>16</v>
      </c>
      <c r="D55" s="217" t="s">
        <v>23</v>
      </c>
      <c r="E55" s="21" t="s">
        <v>22</v>
      </c>
      <c r="F55" s="22">
        <f>'10B Sem 2'!E20</f>
        <v>79</v>
      </c>
      <c r="G55" s="22">
        <f>'10B Sem 2'!F20</f>
        <v>70</v>
      </c>
      <c r="H55" s="22">
        <f>'10B Sem 2'!G20</f>
        <v>39</v>
      </c>
      <c r="I55" s="22">
        <f>'10B Sem 2'!H20</f>
        <v>53</v>
      </c>
      <c r="J55" s="22">
        <f>'10B Sem 2'!I20</f>
        <v>57</v>
      </c>
      <c r="K55" s="22">
        <f>'10B Sem 2'!J20</f>
        <v>53</v>
      </c>
      <c r="L55" s="22">
        <f>'10B Sem 2'!K20</f>
        <v>58</v>
      </c>
      <c r="M55" s="22">
        <f>'10B Sem 2'!L20</f>
        <v>66</v>
      </c>
      <c r="N55" s="22">
        <f>'10B Sem 2'!M20</f>
        <v>65</v>
      </c>
      <c r="O55" s="22">
        <f>'10B Sem 2'!N20</f>
        <v>90</v>
      </c>
      <c r="P55" s="22">
        <f>'10B Sem 2'!O20</f>
        <v>63</v>
      </c>
      <c r="Q55" s="22">
        <f>'10B Sem 2'!P20</f>
        <v>88</v>
      </c>
      <c r="R55" s="22">
        <f>'10B Sem 2'!Q20</f>
        <v>70</v>
      </c>
      <c r="S55" s="22">
        <f>'10B Sem 2'!R20</f>
        <v>851</v>
      </c>
      <c r="T55" s="22">
        <f>'10B Sem 2'!S20</f>
        <v>65.461538461538467</v>
      </c>
      <c r="U55" s="22">
        <f>'10B Sem 2'!T20</f>
        <v>44</v>
      </c>
      <c r="V55" s="22">
        <f>'10B Sem 2'!U20</f>
        <v>0</v>
      </c>
      <c r="W55" s="22">
        <f>'10B Sem 2'!V20</f>
        <v>0</v>
      </c>
      <c r="X55" s="5"/>
      <c r="Y55" s="5"/>
      <c r="Z55" s="5"/>
      <c r="AA55" s="5"/>
      <c r="AB55" s="5"/>
    </row>
    <row r="56" spans="1:28" ht="17.25" customHeight="1" thickBot="1" x14ac:dyDescent="0.3">
      <c r="A56" s="247"/>
      <c r="B56" s="218"/>
      <c r="C56" s="213">
        <v>16</v>
      </c>
      <c r="D56" s="217" t="s">
        <v>23</v>
      </c>
      <c r="E56" s="21" t="s">
        <v>16</v>
      </c>
      <c r="F56" s="22">
        <f>AVERAGE(F54:F55)</f>
        <v>76</v>
      </c>
      <c r="G56" s="22">
        <f t="shared" ref="G56:W56" si="16">AVERAGE(G54:G55)</f>
        <v>64</v>
      </c>
      <c r="H56" s="22">
        <f t="shared" si="16"/>
        <v>50.5</v>
      </c>
      <c r="I56" s="22">
        <f t="shared" si="16"/>
        <v>58.5</v>
      </c>
      <c r="J56" s="22">
        <f t="shared" si="16"/>
        <v>54</v>
      </c>
      <c r="K56" s="22">
        <f t="shared" si="16"/>
        <v>53.5</v>
      </c>
      <c r="L56" s="22">
        <f t="shared" si="16"/>
        <v>54.5</v>
      </c>
      <c r="M56" s="22">
        <f t="shared" si="16"/>
        <v>63.5</v>
      </c>
      <c r="N56" s="22">
        <f t="shared" si="16"/>
        <v>66</v>
      </c>
      <c r="O56" s="22">
        <f t="shared" si="16"/>
        <v>80</v>
      </c>
      <c r="P56" s="22">
        <f t="shared" si="16"/>
        <v>67.5</v>
      </c>
      <c r="Q56" s="22">
        <f t="shared" si="16"/>
        <v>91</v>
      </c>
      <c r="R56" s="22">
        <f t="shared" si="16"/>
        <v>76.5</v>
      </c>
      <c r="S56" s="22">
        <f t="shared" si="16"/>
        <v>855.5</v>
      </c>
      <c r="T56" s="22">
        <f t="shared" si="16"/>
        <v>65.807692307692321</v>
      </c>
      <c r="U56" s="22">
        <f>'10B Sem avr'!$H$20</f>
        <v>45</v>
      </c>
      <c r="V56" s="22">
        <f t="shared" si="16"/>
        <v>0</v>
      </c>
      <c r="W56" s="22">
        <f t="shared" si="16"/>
        <v>0</v>
      </c>
      <c r="X56" s="5"/>
      <c r="Y56" s="5"/>
      <c r="Z56" s="5"/>
      <c r="AA56" s="5"/>
      <c r="AB56" s="5"/>
    </row>
    <row r="57" spans="1:28" ht="17.25" customHeight="1" thickBot="1" x14ac:dyDescent="0.3">
      <c r="A57" s="247">
        <v>18</v>
      </c>
      <c r="B57" s="218"/>
      <c r="C57" s="213">
        <v>16</v>
      </c>
      <c r="D57" s="217" t="s">
        <v>23</v>
      </c>
      <c r="E57" s="21" t="s">
        <v>21</v>
      </c>
      <c r="F57" s="22">
        <f>'10B Sem 1'!E21</f>
        <v>80</v>
      </c>
      <c r="G57" s="22">
        <f>'10B Sem 1'!F21</f>
        <v>54</v>
      </c>
      <c r="H57" s="23">
        <f>'10B Sem 1'!G21</f>
        <v>70</v>
      </c>
      <c r="I57" s="22">
        <f>'10B Sem 1'!H21</f>
        <v>65</v>
      </c>
      <c r="J57" s="22">
        <f>'10B Sem 1'!I21</f>
        <v>54</v>
      </c>
      <c r="K57" s="22">
        <f>'10B Sem 1'!J21</f>
        <v>52</v>
      </c>
      <c r="L57" s="22">
        <f>'10B Sem 1'!K21</f>
        <v>65</v>
      </c>
      <c r="M57" s="22">
        <f>'10B Sem 1'!L21</f>
        <v>58</v>
      </c>
      <c r="N57" s="22">
        <f>'10B Sem 1'!M21</f>
        <v>68</v>
      </c>
      <c r="O57" s="22">
        <f>'10B Sem 1'!N21</f>
        <v>75</v>
      </c>
      <c r="P57" s="22">
        <f>'10B Sem 1'!O21</f>
        <v>72</v>
      </c>
      <c r="Q57" s="22">
        <f>'10B Sem 1'!P21</f>
        <v>80</v>
      </c>
      <c r="R57" s="22">
        <f>'10B Sem 1'!Q21</f>
        <v>69</v>
      </c>
      <c r="S57" s="22">
        <f>'10B Sem 1'!R21</f>
        <v>862</v>
      </c>
      <c r="T57" s="22">
        <f>'10B Sem 1'!S21</f>
        <v>66.307692307692307</v>
      </c>
      <c r="U57" s="22">
        <f>'10B Sem 1'!T21</f>
        <v>43</v>
      </c>
      <c r="V57" s="22">
        <f>'10B Sem 1'!U21</f>
        <v>0</v>
      </c>
      <c r="W57" s="22">
        <f>'10B Sem 1'!V21</f>
        <v>0</v>
      </c>
      <c r="X57" s="5"/>
      <c r="Y57" s="5"/>
      <c r="Z57" s="5"/>
      <c r="AA57" s="5"/>
      <c r="AB57" s="5"/>
    </row>
    <row r="58" spans="1:28" ht="18.75" customHeight="1" thickBot="1" x14ac:dyDescent="0.3">
      <c r="A58" s="247"/>
      <c r="B58" s="218"/>
      <c r="C58" s="213">
        <v>16</v>
      </c>
      <c r="D58" s="217" t="s">
        <v>23</v>
      </c>
      <c r="E58" s="21" t="s">
        <v>22</v>
      </c>
      <c r="F58" s="22">
        <f>'10B Sem 2'!E21</f>
        <v>75</v>
      </c>
      <c r="G58" s="22">
        <f>'10B Sem 2'!F21</f>
        <v>64</v>
      </c>
      <c r="H58" s="23">
        <f>'10B Sem 2'!G21</f>
        <v>50</v>
      </c>
      <c r="I58" s="22">
        <f>'10B Sem 2'!H21</f>
        <v>55</v>
      </c>
      <c r="J58" s="22">
        <f>'10B Sem 2'!I21</f>
        <v>54</v>
      </c>
      <c r="K58" s="22">
        <f>'10B Sem 2'!J21</f>
        <v>52</v>
      </c>
      <c r="L58" s="22">
        <f>'10B Sem 2'!K21</f>
        <v>57</v>
      </c>
      <c r="M58" s="22">
        <f>'10B Sem 2'!L21</f>
        <v>72</v>
      </c>
      <c r="N58" s="22">
        <f>'10B Sem 2'!M21</f>
        <v>73</v>
      </c>
      <c r="O58" s="22">
        <f>'10B Sem 2'!N21</f>
        <v>78</v>
      </c>
      <c r="P58" s="22">
        <f>'10B Sem 2'!O21</f>
        <v>62</v>
      </c>
      <c r="Q58" s="22">
        <f>'10B Sem 2'!P21</f>
        <v>73</v>
      </c>
      <c r="R58" s="22">
        <f>'10B Sem 2'!Q21</f>
        <v>61</v>
      </c>
      <c r="S58" s="22">
        <f>'10B Sem 2'!R21</f>
        <v>826</v>
      </c>
      <c r="T58" s="22">
        <f>'10B Sem 2'!S21</f>
        <v>63.53846153846154</v>
      </c>
      <c r="U58" s="22">
        <f>'10B Sem 2'!T21</f>
        <v>49</v>
      </c>
      <c r="V58" s="22">
        <f>'10B Sem 2'!U21</f>
        <v>0</v>
      </c>
      <c r="W58" s="22">
        <f>'10B Sem 2'!V21</f>
        <v>0</v>
      </c>
      <c r="X58" s="5"/>
      <c r="Y58" s="5"/>
      <c r="Z58" s="5"/>
      <c r="AA58" s="5"/>
      <c r="AB58" s="5"/>
    </row>
    <row r="59" spans="1:28" ht="18.75" customHeight="1" thickBot="1" x14ac:dyDescent="0.3">
      <c r="A59" s="247"/>
      <c r="B59" s="218"/>
      <c r="C59" s="213">
        <v>16</v>
      </c>
      <c r="D59" s="217" t="s">
        <v>23</v>
      </c>
      <c r="E59" s="21" t="s">
        <v>16</v>
      </c>
      <c r="F59" s="22">
        <f>AVERAGE(F57:F58)</f>
        <v>77.5</v>
      </c>
      <c r="G59" s="22">
        <f t="shared" ref="G59:W59" si="17">AVERAGE(G57:G58)</f>
        <v>59</v>
      </c>
      <c r="H59" s="22">
        <f t="shared" si="17"/>
        <v>60</v>
      </c>
      <c r="I59" s="22">
        <f t="shared" si="17"/>
        <v>60</v>
      </c>
      <c r="J59" s="22">
        <f t="shared" si="17"/>
        <v>54</v>
      </c>
      <c r="K59" s="22">
        <f t="shared" si="17"/>
        <v>52</v>
      </c>
      <c r="L59" s="22">
        <f t="shared" si="17"/>
        <v>61</v>
      </c>
      <c r="M59" s="22">
        <f t="shared" si="17"/>
        <v>65</v>
      </c>
      <c r="N59" s="22">
        <f t="shared" si="17"/>
        <v>70.5</v>
      </c>
      <c r="O59" s="22">
        <f t="shared" si="17"/>
        <v>76.5</v>
      </c>
      <c r="P59" s="22">
        <f t="shared" si="17"/>
        <v>67</v>
      </c>
      <c r="Q59" s="22">
        <f t="shared" si="17"/>
        <v>76.5</v>
      </c>
      <c r="R59" s="22">
        <f t="shared" si="17"/>
        <v>65</v>
      </c>
      <c r="S59" s="22">
        <f t="shared" si="17"/>
        <v>844</v>
      </c>
      <c r="T59" s="22">
        <f t="shared" si="17"/>
        <v>64.92307692307692</v>
      </c>
      <c r="U59" s="22">
        <f>'10B Sem avr'!$H$21</f>
        <v>46</v>
      </c>
      <c r="V59" s="22">
        <f t="shared" si="17"/>
        <v>0</v>
      </c>
      <c r="W59" s="22">
        <f t="shared" si="17"/>
        <v>0</v>
      </c>
      <c r="X59" s="5"/>
      <c r="Y59" s="5"/>
      <c r="Z59" s="5"/>
      <c r="AA59" s="5"/>
      <c r="AB59" s="5"/>
    </row>
    <row r="60" spans="1:28" ht="18.75" customHeight="1" thickBot="1" x14ac:dyDescent="0.3">
      <c r="A60" s="249">
        <v>19</v>
      </c>
      <c r="B60" s="218"/>
      <c r="C60" s="213">
        <v>16</v>
      </c>
      <c r="D60" s="217" t="s">
        <v>20</v>
      </c>
      <c r="E60" s="21" t="s">
        <v>21</v>
      </c>
      <c r="F60" s="22">
        <f>'10B Sem 1'!E22</f>
        <v>81</v>
      </c>
      <c r="G60" s="22">
        <f>'10B Sem 1'!F22</f>
        <v>81</v>
      </c>
      <c r="H60" s="22">
        <f>'10B Sem 1'!G22</f>
        <v>80</v>
      </c>
      <c r="I60" s="22">
        <f>'10B Sem 1'!H22</f>
        <v>68</v>
      </c>
      <c r="J60" s="22">
        <f>'10B Sem 1'!I22</f>
        <v>67</v>
      </c>
      <c r="K60" s="22">
        <f>'10B Sem 1'!J22</f>
        <v>85</v>
      </c>
      <c r="L60" s="22">
        <f>'10B Sem 1'!K22</f>
        <v>72</v>
      </c>
      <c r="M60" s="22">
        <f>'10B Sem 1'!L22</f>
        <v>79</v>
      </c>
      <c r="N60" s="22">
        <f>'10B Sem 1'!M22</f>
        <v>87</v>
      </c>
      <c r="O60" s="22">
        <f>'10B Sem 1'!N22</f>
        <v>85</v>
      </c>
      <c r="P60" s="22">
        <f>'10B Sem 1'!O22</f>
        <v>82</v>
      </c>
      <c r="Q60" s="22">
        <f>'10B Sem 1'!P22</f>
        <v>98</v>
      </c>
      <c r="R60" s="22">
        <f>'10B Sem 1'!Q22</f>
        <v>80</v>
      </c>
      <c r="S60" s="22">
        <f>'10B Sem 1'!R22</f>
        <v>1045</v>
      </c>
      <c r="T60" s="22">
        <f>'10B Sem 1'!S22</f>
        <v>80.384615384615387</v>
      </c>
      <c r="U60" s="22">
        <f>'10B Sem 1'!T22</f>
        <v>17</v>
      </c>
      <c r="V60" s="22">
        <f>'10B Sem 1'!U22</f>
        <v>0</v>
      </c>
      <c r="W60" s="22">
        <f>'10B Sem 1'!V22</f>
        <v>0</v>
      </c>
      <c r="X60" s="5"/>
      <c r="Y60" s="5"/>
      <c r="Z60" s="5"/>
      <c r="AA60" s="5"/>
      <c r="AB60" s="5"/>
    </row>
    <row r="61" spans="1:28" ht="18.75" customHeight="1" thickBot="1" x14ac:dyDescent="0.3">
      <c r="A61" s="249"/>
      <c r="B61" s="218"/>
      <c r="C61" s="213">
        <v>16</v>
      </c>
      <c r="D61" s="217" t="s">
        <v>20</v>
      </c>
      <c r="E61" s="21" t="s">
        <v>22</v>
      </c>
      <c r="F61" s="22">
        <f>'10B Sem 2'!E22</f>
        <v>73</v>
      </c>
      <c r="G61" s="22">
        <f>'10B Sem 2'!F22</f>
        <v>75</v>
      </c>
      <c r="H61" s="22">
        <f>'10B Sem 2'!G22</f>
        <v>87</v>
      </c>
      <c r="I61" s="22">
        <f>'10B Sem 2'!H22</f>
        <v>77</v>
      </c>
      <c r="J61" s="22">
        <f>'10B Sem 2'!I22</f>
        <v>74</v>
      </c>
      <c r="K61" s="22">
        <f>'10B Sem 2'!J22</f>
        <v>85</v>
      </c>
      <c r="L61" s="22">
        <f>'10B Sem 2'!K22</f>
        <v>86</v>
      </c>
      <c r="M61" s="22">
        <f>'10B Sem 2'!L22</f>
        <v>93</v>
      </c>
      <c r="N61" s="22">
        <f>'10B Sem 2'!M22</f>
        <v>87</v>
      </c>
      <c r="O61" s="22">
        <f>'10B Sem 2'!N22</f>
        <v>96</v>
      </c>
      <c r="P61" s="22">
        <f>'10B Sem 2'!O22</f>
        <v>85</v>
      </c>
      <c r="Q61" s="22">
        <f>'10B Sem 2'!P22</f>
        <v>99</v>
      </c>
      <c r="R61" s="22">
        <f>'10B Sem 2'!Q22</f>
        <v>76</v>
      </c>
      <c r="S61" s="22">
        <f>'10B Sem 2'!R22</f>
        <v>1093</v>
      </c>
      <c r="T61" s="22">
        <f>'10B Sem 2'!S22</f>
        <v>84.07692307692308</v>
      </c>
      <c r="U61" s="22">
        <f>'10B Sem 2'!T22</f>
        <v>11</v>
      </c>
      <c r="V61" s="22">
        <f>'10B Sem 2'!U22</f>
        <v>0</v>
      </c>
      <c r="W61" s="22">
        <f>'10B Sem 2'!V22</f>
        <v>0</v>
      </c>
      <c r="X61" s="5"/>
      <c r="Y61" s="5"/>
      <c r="Z61" s="5"/>
      <c r="AA61" s="5"/>
      <c r="AB61" s="5"/>
    </row>
    <row r="62" spans="1:28" ht="18.75" customHeight="1" thickBot="1" x14ac:dyDescent="0.3">
      <c r="A62" s="249"/>
      <c r="B62" s="218"/>
      <c r="C62" s="213">
        <v>16</v>
      </c>
      <c r="D62" s="217" t="s">
        <v>20</v>
      </c>
      <c r="E62" s="21" t="s">
        <v>16</v>
      </c>
      <c r="F62" s="22">
        <f>AVERAGE(F60:F61)</f>
        <v>77</v>
      </c>
      <c r="G62" s="22">
        <f t="shared" ref="G62:W62" si="18">AVERAGE(G60:G61)</f>
        <v>78</v>
      </c>
      <c r="H62" s="22">
        <f t="shared" si="18"/>
        <v>83.5</v>
      </c>
      <c r="I62" s="22">
        <f t="shared" si="18"/>
        <v>72.5</v>
      </c>
      <c r="J62" s="22">
        <f t="shared" si="18"/>
        <v>70.5</v>
      </c>
      <c r="K62" s="22">
        <f t="shared" si="18"/>
        <v>85</v>
      </c>
      <c r="L62" s="22">
        <f t="shared" si="18"/>
        <v>79</v>
      </c>
      <c r="M62" s="22">
        <f t="shared" si="18"/>
        <v>86</v>
      </c>
      <c r="N62" s="22">
        <f t="shared" si="18"/>
        <v>87</v>
      </c>
      <c r="O62" s="22">
        <f t="shared" si="18"/>
        <v>90.5</v>
      </c>
      <c r="P62" s="22">
        <f t="shared" si="18"/>
        <v>83.5</v>
      </c>
      <c r="Q62" s="22">
        <f t="shared" si="18"/>
        <v>98.5</v>
      </c>
      <c r="R62" s="22">
        <f t="shared" si="18"/>
        <v>78</v>
      </c>
      <c r="S62" s="22">
        <f t="shared" si="18"/>
        <v>1069</v>
      </c>
      <c r="T62" s="22">
        <f t="shared" si="18"/>
        <v>82.230769230769226</v>
      </c>
      <c r="U62" s="22">
        <f>'10B Sem avr'!$H$22</f>
        <v>13</v>
      </c>
      <c r="V62" s="22">
        <f t="shared" si="18"/>
        <v>0</v>
      </c>
      <c r="W62" s="22">
        <f t="shared" si="18"/>
        <v>0</v>
      </c>
      <c r="X62" s="5"/>
      <c r="Y62" s="5"/>
      <c r="Z62" s="5"/>
      <c r="AA62" s="5"/>
      <c r="AB62" s="5"/>
    </row>
    <row r="63" spans="1:28" ht="18.75" customHeight="1" thickBot="1" x14ac:dyDescent="0.3">
      <c r="A63" s="249">
        <v>20</v>
      </c>
      <c r="B63" s="234"/>
      <c r="C63" s="247">
        <v>16</v>
      </c>
      <c r="D63" s="248" t="s">
        <v>23</v>
      </c>
      <c r="E63" s="21" t="s">
        <v>21</v>
      </c>
      <c r="F63" s="22">
        <f>'10B Sem 1'!E23</f>
        <v>86</v>
      </c>
      <c r="G63" s="22">
        <f>'10B Sem 1'!F23</f>
        <v>93</v>
      </c>
      <c r="H63" s="22">
        <f>'10B Sem 1'!G23</f>
        <v>95</v>
      </c>
      <c r="I63" s="22">
        <f>'10B Sem 1'!H23</f>
        <v>96</v>
      </c>
      <c r="J63" s="22">
        <f>'10B Sem 1'!I23</f>
        <v>89</v>
      </c>
      <c r="K63" s="22">
        <f>'10B Sem 1'!J23</f>
        <v>91</v>
      </c>
      <c r="L63" s="22">
        <f>'10B Sem 1'!K23</f>
        <v>93</v>
      </c>
      <c r="M63" s="22">
        <f>'10B Sem 1'!L23</f>
        <v>84</v>
      </c>
      <c r="N63" s="22">
        <f>'10B Sem 1'!M23</f>
        <v>91</v>
      </c>
      <c r="O63" s="22">
        <f>'10B Sem 1'!N23</f>
        <v>87</v>
      </c>
      <c r="P63" s="22">
        <f>'10B Sem 1'!O23</f>
        <v>91</v>
      </c>
      <c r="Q63" s="22">
        <f>'10B Sem 1'!P23</f>
        <v>95</v>
      </c>
      <c r="R63" s="22">
        <f>'10B Sem 1'!Q23</f>
        <v>88</v>
      </c>
      <c r="S63" s="22">
        <f>'10B Sem 1'!R23</f>
        <v>1179</v>
      </c>
      <c r="T63" s="22">
        <f>'10B Sem 1'!S23</f>
        <v>90.692307692307693</v>
      </c>
      <c r="U63" s="22">
        <f>'10B Sem 1'!T23</f>
        <v>4</v>
      </c>
      <c r="V63" s="22">
        <f>'10B Sem 1'!U23</f>
        <v>0</v>
      </c>
      <c r="W63" s="22">
        <f>'10B Sem 1'!V23</f>
        <v>0</v>
      </c>
      <c r="X63" s="5"/>
      <c r="Y63" s="5"/>
      <c r="Z63" s="5"/>
      <c r="AA63" s="5"/>
      <c r="AB63" s="5"/>
    </row>
    <row r="64" spans="1:28" ht="18.75" customHeight="1" thickBot="1" x14ac:dyDescent="0.3">
      <c r="A64" s="249"/>
      <c r="B64" s="234"/>
      <c r="C64" s="247">
        <v>16</v>
      </c>
      <c r="D64" s="248" t="s">
        <v>23</v>
      </c>
      <c r="E64" s="21" t="s">
        <v>22</v>
      </c>
      <c r="F64" s="22">
        <f>'10B Sem 2'!E23</f>
        <v>83</v>
      </c>
      <c r="G64" s="22">
        <f>'10B Sem 2'!F23</f>
        <v>92</v>
      </c>
      <c r="H64" s="22">
        <f>'10B Sem 2'!G23</f>
        <v>90</v>
      </c>
      <c r="I64" s="22">
        <f>'10B Sem 2'!H23</f>
        <v>85</v>
      </c>
      <c r="J64" s="22">
        <f>'10B Sem 2'!I23</f>
        <v>88</v>
      </c>
      <c r="K64" s="22">
        <f>'10B Sem 2'!J23</f>
        <v>91</v>
      </c>
      <c r="L64" s="22">
        <f>'10B Sem 2'!K23</f>
        <v>88</v>
      </c>
      <c r="M64" s="22">
        <f>'10B Sem 2'!L23</f>
        <v>99</v>
      </c>
      <c r="N64" s="22">
        <f>'10B Sem 2'!M23</f>
        <v>88</v>
      </c>
      <c r="O64" s="22">
        <f>'10B Sem 2'!N23</f>
        <v>94</v>
      </c>
      <c r="P64" s="22">
        <f>'10B Sem 2'!O23</f>
        <v>90</v>
      </c>
      <c r="Q64" s="22">
        <f>'10B Sem 2'!P23</f>
        <v>99</v>
      </c>
      <c r="R64" s="22">
        <f>'10B Sem 2'!Q23</f>
        <v>89</v>
      </c>
      <c r="S64" s="22">
        <f>'10B Sem 2'!R23</f>
        <v>1176</v>
      </c>
      <c r="T64" s="22">
        <f>'10B Sem 2'!S23</f>
        <v>90.461538461538467</v>
      </c>
      <c r="U64" s="22">
        <f>'10B Sem 2'!T23</f>
        <v>4</v>
      </c>
      <c r="V64" s="22">
        <f>'10B Sem 2'!U23</f>
        <v>0</v>
      </c>
      <c r="W64" s="22">
        <f>'10B Sem 2'!V23</f>
        <v>0</v>
      </c>
      <c r="X64" s="5"/>
      <c r="Y64" s="5"/>
      <c r="Z64" s="5"/>
      <c r="AA64" s="5"/>
      <c r="AB64" s="5"/>
    </row>
    <row r="65" spans="1:28" ht="18.75" customHeight="1" thickBot="1" x14ac:dyDescent="0.3">
      <c r="A65" s="249"/>
      <c r="B65" s="234"/>
      <c r="C65" s="247">
        <v>16</v>
      </c>
      <c r="D65" s="248" t="s">
        <v>23</v>
      </c>
      <c r="E65" s="21" t="s">
        <v>16</v>
      </c>
      <c r="F65" s="22">
        <f>AVERAGE(F63:F64)</f>
        <v>84.5</v>
      </c>
      <c r="G65" s="22">
        <f t="shared" ref="G65:W65" si="19">AVERAGE(G63:G64)</f>
        <v>92.5</v>
      </c>
      <c r="H65" s="22">
        <f t="shared" si="19"/>
        <v>92.5</v>
      </c>
      <c r="I65" s="22">
        <f t="shared" si="19"/>
        <v>90.5</v>
      </c>
      <c r="J65" s="22">
        <f t="shared" si="19"/>
        <v>88.5</v>
      </c>
      <c r="K65" s="22">
        <f t="shared" si="19"/>
        <v>91</v>
      </c>
      <c r="L65" s="22">
        <f t="shared" si="19"/>
        <v>90.5</v>
      </c>
      <c r="M65" s="22">
        <f t="shared" si="19"/>
        <v>91.5</v>
      </c>
      <c r="N65" s="22">
        <f t="shared" si="19"/>
        <v>89.5</v>
      </c>
      <c r="O65" s="22">
        <f t="shared" si="19"/>
        <v>90.5</v>
      </c>
      <c r="P65" s="22">
        <f t="shared" si="19"/>
        <v>90.5</v>
      </c>
      <c r="Q65" s="22">
        <f t="shared" si="19"/>
        <v>97</v>
      </c>
      <c r="R65" s="22">
        <f t="shared" si="19"/>
        <v>88.5</v>
      </c>
      <c r="S65" s="22">
        <f t="shared" si="19"/>
        <v>1177.5</v>
      </c>
      <c r="T65" s="22">
        <f t="shared" si="19"/>
        <v>90.57692307692308</v>
      </c>
      <c r="U65" s="22">
        <f>'10B Sem avr'!$H$23</f>
        <v>5</v>
      </c>
      <c r="V65" s="22">
        <f t="shared" si="19"/>
        <v>0</v>
      </c>
      <c r="W65" s="22">
        <f t="shared" si="19"/>
        <v>0</v>
      </c>
      <c r="X65" s="5"/>
      <c r="Y65" s="5"/>
      <c r="Z65" s="5"/>
      <c r="AA65" s="5"/>
      <c r="AB65" s="5"/>
    </row>
    <row r="66" spans="1:28" ht="18.75" customHeight="1" thickBot="1" x14ac:dyDescent="0.3">
      <c r="A66" s="249">
        <v>21</v>
      </c>
      <c r="B66" s="218"/>
      <c r="C66" s="213">
        <v>16</v>
      </c>
      <c r="D66" s="217" t="s">
        <v>20</v>
      </c>
      <c r="E66" s="21" t="s">
        <v>21</v>
      </c>
      <c r="F66" s="22">
        <f>'10B Sem 1'!E24</f>
        <v>86</v>
      </c>
      <c r="G66" s="22">
        <f>'10B Sem 1'!F24</f>
        <v>80</v>
      </c>
      <c r="H66" s="22">
        <f>'10B Sem 1'!G24</f>
        <v>92</v>
      </c>
      <c r="I66" s="22">
        <f>'10B Sem 1'!H24</f>
        <v>92</v>
      </c>
      <c r="J66" s="22">
        <f>'10B Sem 1'!I24</f>
        <v>82</v>
      </c>
      <c r="K66" s="22">
        <f>'10B Sem 1'!J24</f>
        <v>88</v>
      </c>
      <c r="L66" s="22">
        <f>'10B Sem 1'!K24</f>
        <v>81</v>
      </c>
      <c r="M66" s="22">
        <f>'10B Sem 1'!L24</f>
        <v>74</v>
      </c>
      <c r="N66" s="22">
        <f>'10B Sem 1'!M24</f>
        <v>84</v>
      </c>
      <c r="O66" s="22">
        <f>'10B Sem 1'!N24</f>
        <v>88</v>
      </c>
      <c r="P66" s="22">
        <f>'10B Sem 1'!O24</f>
        <v>89</v>
      </c>
      <c r="Q66" s="22">
        <f>'10B Sem 1'!P24</f>
        <v>92</v>
      </c>
      <c r="R66" s="22">
        <f>'10B Sem 1'!Q24</f>
        <v>87</v>
      </c>
      <c r="S66" s="22">
        <f>'10B Sem 1'!R24</f>
        <v>1115</v>
      </c>
      <c r="T66" s="22">
        <f>'10B Sem 1'!S24</f>
        <v>85.769230769230774</v>
      </c>
      <c r="U66" s="22">
        <f>'10B Sem 1'!T24</f>
        <v>9</v>
      </c>
      <c r="V66" s="22">
        <f>'10B Sem 1'!U24</f>
        <v>0</v>
      </c>
      <c r="W66" s="22">
        <f>'10B Sem 1'!V24</f>
        <v>0</v>
      </c>
      <c r="X66" s="5"/>
      <c r="Y66" s="5"/>
      <c r="Z66" s="5"/>
      <c r="AA66" s="5"/>
      <c r="AB66" s="5"/>
    </row>
    <row r="67" spans="1:28" ht="18.75" customHeight="1" thickBot="1" x14ac:dyDescent="0.3">
      <c r="A67" s="249"/>
      <c r="B67" s="218"/>
      <c r="C67" s="213">
        <v>16</v>
      </c>
      <c r="D67" s="217" t="s">
        <v>20</v>
      </c>
      <c r="E67" s="21" t="s">
        <v>22</v>
      </c>
      <c r="F67" s="22">
        <f>'10B Sem 2'!E24</f>
        <v>86</v>
      </c>
      <c r="G67" s="22">
        <f>'10B Sem 2'!F24</f>
        <v>82</v>
      </c>
      <c r="H67" s="22">
        <f>'10B Sem 2'!G24</f>
        <v>83</v>
      </c>
      <c r="I67" s="22">
        <f>'10B Sem 2'!H24</f>
        <v>85</v>
      </c>
      <c r="J67" s="22">
        <f>'10B Sem 2'!I24</f>
        <v>84</v>
      </c>
      <c r="K67" s="22">
        <f>'10B Sem 2'!J24</f>
        <v>91</v>
      </c>
      <c r="L67" s="22">
        <f>'10B Sem 2'!K24</f>
        <v>80</v>
      </c>
      <c r="M67" s="22">
        <f>'10B Sem 2'!L24</f>
        <v>98</v>
      </c>
      <c r="N67" s="22">
        <f>'10B Sem 2'!M24</f>
        <v>87</v>
      </c>
      <c r="O67" s="22">
        <f>'10B Sem 2'!N24</f>
        <v>96</v>
      </c>
      <c r="P67" s="22">
        <f>'10B Sem 2'!O24</f>
        <v>80</v>
      </c>
      <c r="Q67" s="22">
        <f>'10B Sem 2'!P24</f>
        <v>96</v>
      </c>
      <c r="R67" s="22">
        <f>'10B Sem 2'!Q24</f>
        <v>80</v>
      </c>
      <c r="S67" s="22">
        <f>'10B Sem 2'!R24</f>
        <v>1128</v>
      </c>
      <c r="T67" s="22">
        <f>'10B Sem 2'!S24</f>
        <v>86.769230769230774</v>
      </c>
      <c r="U67" s="22">
        <f>'10B Sem 2'!T24</f>
        <v>8</v>
      </c>
      <c r="V67" s="22">
        <f>'10B Sem 2'!U24</f>
        <v>0</v>
      </c>
      <c r="W67" s="22">
        <f>'10B Sem 2'!V24</f>
        <v>0</v>
      </c>
      <c r="X67" s="5"/>
      <c r="Y67" s="5"/>
      <c r="Z67" s="5"/>
      <c r="AA67" s="5"/>
      <c r="AB67" s="5"/>
    </row>
    <row r="68" spans="1:28" ht="18.75" customHeight="1" thickBot="1" x14ac:dyDescent="0.3">
      <c r="A68" s="249"/>
      <c r="B68" s="218"/>
      <c r="C68" s="213">
        <v>16</v>
      </c>
      <c r="D68" s="217" t="s">
        <v>20</v>
      </c>
      <c r="E68" s="21" t="s">
        <v>16</v>
      </c>
      <c r="F68" s="22">
        <f>AVERAGE(F66:F67)</f>
        <v>86</v>
      </c>
      <c r="G68" s="22">
        <f t="shared" ref="G68:W68" si="20">AVERAGE(G66:G67)</f>
        <v>81</v>
      </c>
      <c r="H68" s="22">
        <f t="shared" si="20"/>
        <v>87.5</v>
      </c>
      <c r="I68" s="22">
        <f t="shared" si="20"/>
        <v>88.5</v>
      </c>
      <c r="J68" s="22">
        <f t="shared" si="20"/>
        <v>83</v>
      </c>
      <c r="K68" s="22">
        <f t="shared" si="20"/>
        <v>89.5</v>
      </c>
      <c r="L68" s="22">
        <f t="shared" si="20"/>
        <v>80.5</v>
      </c>
      <c r="M68" s="22">
        <f t="shared" si="20"/>
        <v>86</v>
      </c>
      <c r="N68" s="22">
        <f t="shared" si="20"/>
        <v>85.5</v>
      </c>
      <c r="O68" s="22">
        <f t="shared" si="20"/>
        <v>92</v>
      </c>
      <c r="P68" s="22">
        <f t="shared" si="20"/>
        <v>84.5</v>
      </c>
      <c r="Q68" s="22">
        <f t="shared" si="20"/>
        <v>94</v>
      </c>
      <c r="R68" s="22">
        <f t="shared" si="20"/>
        <v>83.5</v>
      </c>
      <c r="S68" s="22">
        <f t="shared" si="20"/>
        <v>1121.5</v>
      </c>
      <c r="T68" s="22">
        <f t="shared" si="20"/>
        <v>86.269230769230774</v>
      </c>
      <c r="U68" s="22">
        <f>'10B Sem avr'!$H$24</f>
        <v>9</v>
      </c>
      <c r="V68" s="22">
        <f t="shared" si="20"/>
        <v>0</v>
      </c>
      <c r="W68" s="22">
        <f t="shared" si="20"/>
        <v>0</v>
      </c>
      <c r="X68" s="5"/>
      <c r="Y68" s="5"/>
      <c r="Z68" s="5"/>
      <c r="AA68" s="5"/>
      <c r="AB68" s="5"/>
    </row>
    <row r="69" spans="1:28" ht="18.75" customHeight="1" thickBot="1" x14ac:dyDescent="0.3">
      <c r="A69" s="247">
        <v>22</v>
      </c>
      <c r="B69" s="218"/>
      <c r="C69" s="213">
        <v>15</v>
      </c>
      <c r="D69" s="217" t="s">
        <v>20</v>
      </c>
      <c r="E69" s="21" t="s">
        <v>21</v>
      </c>
      <c r="F69" s="22">
        <f>'10B Sem 1'!E25</f>
        <v>85</v>
      </c>
      <c r="G69" s="22">
        <f>'10B Sem 1'!F25</f>
        <v>79</v>
      </c>
      <c r="H69" s="22">
        <f>'10B Sem 1'!G25</f>
        <v>66</v>
      </c>
      <c r="I69" s="22">
        <f>'10B Sem 1'!H25</f>
        <v>59</v>
      </c>
      <c r="J69" s="22">
        <f>'10B Sem 1'!I25</f>
        <v>61</v>
      </c>
      <c r="K69" s="22">
        <f>'10B Sem 1'!J25</f>
        <v>76</v>
      </c>
      <c r="L69" s="22">
        <f>'10B Sem 1'!K25</f>
        <v>77</v>
      </c>
      <c r="M69" s="22">
        <f>'10B Sem 1'!L25</f>
        <v>69</v>
      </c>
      <c r="N69" s="22">
        <f>'10B Sem 1'!M25</f>
        <v>88</v>
      </c>
      <c r="O69" s="22">
        <f>'10B Sem 1'!N25</f>
        <v>79</v>
      </c>
      <c r="P69" s="22">
        <f>'10B Sem 1'!O25</f>
        <v>79</v>
      </c>
      <c r="Q69" s="22">
        <f>'10B Sem 1'!P25</f>
        <v>83</v>
      </c>
      <c r="R69" s="22">
        <f>'10B Sem 1'!Q25</f>
        <v>70</v>
      </c>
      <c r="S69" s="22">
        <f>'10B Sem 1'!R25</f>
        <v>971</v>
      </c>
      <c r="T69" s="22">
        <f>'10B Sem 1'!S25</f>
        <v>74.692307692307693</v>
      </c>
      <c r="U69" s="22">
        <f>'10B Sem 1'!T25</f>
        <v>30</v>
      </c>
      <c r="V69" s="22">
        <f>'10B Sem 1'!U25</f>
        <v>0</v>
      </c>
      <c r="W69" s="22">
        <f>'10B Sem 1'!V25</f>
        <v>0</v>
      </c>
      <c r="X69" s="5"/>
      <c r="Y69" s="5"/>
      <c r="Z69" s="5"/>
      <c r="AA69" s="5"/>
      <c r="AB69" s="5"/>
    </row>
    <row r="70" spans="1:28" ht="18.75" customHeight="1" thickBot="1" x14ac:dyDescent="0.3">
      <c r="A70" s="247"/>
      <c r="B70" s="218"/>
      <c r="C70" s="213">
        <v>15</v>
      </c>
      <c r="D70" s="217" t="s">
        <v>20</v>
      </c>
      <c r="E70" s="21" t="s">
        <v>22</v>
      </c>
      <c r="F70" s="22">
        <f>'10B Sem 2'!E25</f>
        <v>80</v>
      </c>
      <c r="G70" s="22">
        <f>'10B Sem 2'!F25</f>
        <v>80</v>
      </c>
      <c r="H70" s="22">
        <f>'10B Sem 2'!G25</f>
        <v>53</v>
      </c>
      <c r="I70" s="22">
        <f>'10B Sem 2'!H25</f>
        <v>63</v>
      </c>
      <c r="J70" s="22">
        <f>'10B Sem 2'!I25</f>
        <v>58</v>
      </c>
      <c r="K70" s="22">
        <f>'10B Sem 2'!J25</f>
        <v>65</v>
      </c>
      <c r="L70" s="22">
        <f>'10B Sem 2'!K25</f>
        <v>80</v>
      </c>
      <c r="M70" s="22">
        <f>'10B Sem 2'!L25</f>
        <v>84</v>
      </c>
      <c r="N70" s="22">
        <f>'10B Sem 2'!M25</f>
        <v>77</v>
      </c>
      <c r="O70" s="22">
        <f>'10B Sem 2'!N25</f>
        <v>88</v>
      </c>
      <c r="P70" s="22">
        <f>'10B Sem 2'!O25</f>
        <v>64</v>
      </c>
      <c r="Q70" s="22">
        <f>'10B Sem 2'!P25</f>
        <v>88</v>
      </c>
      <c r="R70" s="22">
        <f>'10B Sem 2'!Q25</f>
        <v>80</v>
      </c>
      <c r="S70" s="22">
        <f>'10B Sem 2'!R25</f>
        <v>960</v>
      </c>
      <c r="T70" s="22">
        <f>'10B Sem 2'!S25</f>
        <v>73.84615384615384</v>
      </c>
      <c r="U70" s="22">
        <f>'10B Sem 2'!T25</f>
        <v>32</v>
      </c>
      <c r="V70" s="22">
        <f>'10B Sem 2'!U25</f>
        <v>0</v>
      </c>
      <c r="W70" s="22">
        <f>'10B Sem 2'!V25</f>
        <v>0</v>
      </c>
      <c r="X70" s="5"/>
      <c r="Y70" s="5"/>
      <c r="Z70" s="5"/>
      <c r="AA70" s="5"/>
      <c r="AB70" s="5"/>
    </row>
    <row r="71" spans="1:28" ht="18.75" customHeight="1" thickBot="1" x14ac:dyDescent="0.3">
      <c r="A71" s="247"/>
      <c r="B71" s="218"/>
      <c r="C71" s="213">
        <v>15</v>
      </c>
      <c r="D71" s="217" t="s">
        <v>20</v>
      </c>
      <c r="E71" s="21" t="s">
        <v>16</v>
      </c>
      <c r="F71" s="22">
        <f>AVERAGE(F69:F70)</f>
        <v>82.5</v>
      </c>
      <c r="G71" s="22">
        <f t="shared" ref="G71:W71" si="21">AVERAGE(G69:G70)</f>
        <v>79.5</v>
      </c>
      <c r="H71" s="22">
        <f t="shared" si="21"/>
        <v>59.5</v>
      </c>
      <c r="I71" s="22">
        <f t="shared" si="21"/>
        <v>61</v>
      </c>
      <c r="J71" s="22">
        <f t="shared" si="21"/>
        <v>59.5</v>
      </c>
      <c r="K71" s="22">
        <f t="shared" si="21"/>
        <v>70.5</v>
      </c>
      <c r="L71" s="22">
        <f t="shared" si="21"/>
        <v>78.5</v>
      </c>
      <c r="M71" s="22">
        <f t="shared" si="21"/>
        <v>76.5</v>
      </c>
      <c r="N71" s="22">
        <f t="shared" si="21"/>
        <v>82.5</v>
      </c>
      <c r="O71" s="22">
        <f t="shared" si="21"/>
        <v>83.5</v>
      </c>
      <c r="P71" s="22">
        <f t="shared" si="21"/>
        <v>71.5</v>
      </c>
      <c r="Q71" s="22">
        <f t="shared" si="21"/>
        <v>85.5</v>
      </c>
      <c r="R71" s="22">
        <f t="shared" si="21"/>
        <v>75</v>
      </c>
      <c r="S71" s="22">
        <f t="shared" si="21"/>
        <v>965.5</v>
      </c>
      <c r="T71" s="22">
        <f t="shared" si="21"/>
        <v>74.269230769230774</v>
      </c>
      <c r="U71" s="22">
        <f>'10B Sem avr'!$H$25</f>
        <v>32</v>
      </c>
      <c r="V71" s="22">
        <f t="shared" si="21"/>
        <v>0</v>
      </c>
      <c r="W71" s="22">
        <f t="shared" si="21"/>
        <v>0</v>
      </c>
      <c r="X71" s="5"/>
      <c r="Y71" s="5"/>
      <c r="Z71" s="5"/>
      <c r="AA71" s="5"/>
      <c r="AB71" s="5"/>
    </row>
    <row r="72" spans="1:28" ht="18.75" customHeight="1" thickBot="1" x14ac:dyDescent="0.3">
      <c r="A72" s="247">
        <v>23</v>
      </c>
      <c r="B72" s="218"/>
      <c r="C72" s="213">
        <v>16</v>
      </c>
      <c r="D72" s="217" t="s">
        <v>23</v>
      </c>
      <c r="E72" s="21" t="s">
        <v>21</v>
      </c>
      <c r="F72" s="22">
        <f>'10B Sem 1'!E26</f>
        <v>69</v>
      </c>
      <c r="G72" s="22">
        <f>'10B Sem 1'!F26</f>
        <v>63</v>
      </c>
      <c r="H72" s="22">
        <f>'10B Sem 1'!G26</f>
        <v>69</v>
      </c>
      <c r="I72" s="22">
        <f>'10B Sem 1'!H26</f>
        <v>36</v>
      </c>
      <c r="J72" s="22">
        <f>'10B Sem 1'!I26</f>
        <v>39</v>
      </c>
      <c r="K72" s="22">
        <f>'10B Sem 1'!J26</f>
        <v>59</v>
      </c>
      <c r="L72" s="22">
        <f>'10B Sem 1'!K26</f>
        <v>46</v>
      </c>
      <c r="M72" s="22">
        <f>'10B Sem 1'!L26</f>
        <v>52</v>
      </c>
      <c r="N72" s="22">
        <f>'10B Sem 1'!M26</f>
        <v>61</v>
      </c>
      <c r="O72" s="22">
        <f>'10B Sem 1'!N26</f>
        <v>60</v>
      </c>
      <c r="P72" s="22">
        <f>'10B Sem 1'!O26</f>
        <v>66</v>
      </c>
      <c r="Q72" s="22">
        <f>'10B Sem 1'!P26</f>
        <v>81</v>
      </c>
      <c r="R72" s="22">
        <f>'10B Sem 1'!Q26</f>
        <v>62</v>
      </c>
      <c r="S72" s="22">
        <f>'10B Sem 1'!R26</f>
        <v>763</v>
      </c>
      <c r="T72" s="22">
        <f>'10B Sem 1'!S26</f>
        <v>58.692307692307693</v>
      </c>
      <c r="U72" s="22">
        <f>'10B Sem 1'!T26</f>
        <v>53</v>
      </c>
      <c r="V72" s="22">
        <f>'10B Sem 1'!U26</f>
        <v>0</v>
      </c>
      <c r="W72" s="22">
        <f>'10B Sem 1'!V26</f>
        <v>0</v>
      </c>
      <c r="X72" s="5"/>
      <c r="Y72" s="5"/>
      <c r="Z72" s="5"/>
      <c r="AA72" s="5"/>
      <c r="AB72" s="5"/>
    </row>
    <row r="73" spans="1:28" ht="18.75" customHeight="1" thickBot="1" x14ac:dyDescent="0.3">
      <c r="A73" s="247"/>
      <c r="B73" s="218"/>
      <c r="C73" s="213">
        <v>16</v>
      </c>
      <c r="D73" s="217" t="s">
        <v>23</v>
      </c>
      <c r="E73" s="21" t="s">
        <v>22</v>
      </c>
      <c r="F73" s="22">
        <f>'10B Sem 2'!E26</f>
        <v>61</v>
      </c>
      <c r="G73" s="22">
        <f>'10B Sem 2'!F26</f>
        <v>46</v>
      </c>
      <c r="H73" s="22">
        <f>'10B Sem 2'!G26</f>
        <v>50</v>
      </c>
      <c r="I73" s="22">
        <f>'10B Sem 2'!H26</f>
        <v>49</v>
      </c>
      <c r="J73" s="22">
        <f>'10B Sem 2'!I26</f>
        <v>39</v>
      </c>
      <c r="K73" s="22">
        <f>'10B Sem 2'!J26</f>
        <v>64</v>
      </c>
      <c r="L73" s="22">
        <f>'10B Sem 2'!K26</f>
        <v>67</v>
      </c>
      <c r="M73" s="22">
        <f>'10B Sem 2'!L26</f>
        <v>73</v>
      </c>
      <c r="N73" s="22">
        <f>'10B Sem 2'!M26</f>
        <v>50</v>
      </c>
      <c r="O73" s="22">
        <f>'10B Sem 2'!N26</f>
        <v>75</v>
      </c>
      <c r="P73" s="22">
        <f>'10B Sem 2'!O26</f>
        <v>69</v>
      </c>
      <c r="Q73" s="22">
        <f>'10B Sem 2'!P26</f>
        <v>84</v>
      </c>
      <c r="R73" s="22">
        <f>'10B Sem 2'!Q26</f>
        <v>64</v>
      </c>
      <c r="S73" s="22">
        <f>'10B Sem 2'!R26</f>
        <v>791</v>
      </c>
      <c r="T73" s="22">
        <f>'10B Sem 2'!S26</f>
        <v>60.846153846153847</v>
      </c>
      <c r="U73" s="22">
        <f>'10B Sem 2'!T26</f>
        <v>51</v>
      </c>
      <c r="V73" s="22">
        <f>'10B Sem 2'!U26</f>
        <v>0</v>
      </c>
      <c r="W73" s="22">
        <f>'10B Sem 2'!V26</f>
        <v>0</v>
      </c>
      <c r="X73" s="5"/>
      <c r="Y73" s="5"/>
      <c r="Z73" s="5"/>
      <c r="AA73" s="5"/>
      <c r="AB73" s="5"/>
    </row>
    <row r="74" spans="1:28" ht="18.75" customHeight="1" thickBot="1" x14ac:dyDescent="0.3">
      <c r="A74" s="247"/>
      <c r="B74" s="218"/>
      <c r="C74" s="213">
        <v>16</v>
      </c>
      <c r="D74" s="217" t="s">
        <v>23</v>
      </c>
      <c r="E74" s="21" t="s">
        <v>16</v>
      </c>
      <c r="F74" s="22">
        <f>AVERAGE(F72:F73)</f>
        <v>65</v>
      </c>
      <c r="G74" s="22">
        <f t="shared" ref="G74:W74" si="22">AVERAGE(G72:G73)</f>
        <v>54.5</v>
      </c>
      <c r="H74" s="22">
        <f t="shared" si="22"/>
        <v>59.5</v>
      </c>
      <c r="I74" s="22">
        <f t="shared" si="22"/>
        <v>42.5</v>
      </c>
      <c r="J74" s="22">
        <f t="shared" si="22"/>
        <v>39</v>
      </c>
      <c r="K74" s="22">
        <f t="shared" si="22"/>
        <v>61.5</v>
      </c>
      <c r="L74" s="22">
        <f t="shared" si="22"/>
        <v>56.5</v>
      </c>
      <c r="M74" s="22">
        <f t="shared" si="22"/>
        <v>62.5</v>
      </c>
      <c r="N74" s="22">
        <f t="shared" si="22"/>
        <v>55.5</v>
      </c>
      <c r="O74" s="22">
        <f t="shared" si="22"/>
        <v>67.5</v>
      </c>
      <c r="P74" s="22">
        <f t="shared" si="22"/>
        <v>67.5</v>
      </c>
      <c r="Q74" s="22">
        <f t="shared" si="22"/>
        <v>82.5</v>
      </c>
      <c r="R74" s="22">
        <f t="shared" si="22"/>
        <v>63</v>
      </c>
      <c r="S74" s="22">
        <f t="shared" si="22"/>
        <v>777</v>
      </c>
      <c r="T74" s="22">
        <f t="shared" si="22"/>
        <v>59.769230769230774</v>
      </c>
      <c r="U74" s="22">
        <f>'10B Sem avr'!$H$26</f>
        <v>52</v>
      </c>
      <c r="V74" s="22">
        <f t="shared" si="22"/>
        <v>0</v>
      </c>
      <c r="W74" s="22">
        <f t="shared" si="22"/>
        <v>0</v>
      </c>
      <c r="X74" s="5"/>
      <c r="Y74" s="5"/>
      <c r="Z74" s="5"/>
      <c r="AA74" s="5"/>
      <c r="AB74" s="5"/>
    </row>
    <row r="75" spans="1:28" ht="18.75" customHeight="1" thickBot="1" x14ac:dyDescent="0.3">
      <c r="A75" s="249">
        <v>24</v>
      </c>
      <c r="B75" s="218"/>
      <c r="C75" s="213">
        <v>16</v>
      </c>
      <c r="D75" s="217" t="s">
        <v>23</v>
      </c>
      <c r="E75" s="21" t="s">
        <v>21</v>
      </c>
      <c r="F75" s="22">
        <f>'10B Sem 1'!E27</f>
        <v>84</v>
      </c>
      <c r="G75" s="22">
        <f>'10B Sem 1'!F27</f>
        <v>60</v>
      </c>
      <c r="H75" s="23">
        <f>'10B Sem 1'!G27</f>
        <v>82</v>
      </c>
      <c r="I75" s="23">
        <f>'10B Sem 1'!H27</f>
        <v>69</v>
      </c>
      <c r="J75" s="22">
        <f>'10B Sem 1'!I27</f>
        <v>61</v>
      </c>
      <c r="K75" s="23">
        <f>'10B Sem 1'!J27</f>
        <v>78</v>
      </c>
      <c r="L75" s="22">
        <f>'10B Sem 1'!K27</f>
        <v>79</v>
      </c>
      <c r="M75" s="22">
        <f>'10B Sem 1'!L27</f>
        <v>83</v>
      </c>
      <c r="N75" s="22">
        <f>'10B Sem 1'!M27</f>
        <v>78</v>
      </c>
      <c r="O75" s="22">
        <f>'10B Sem 1'!N27</f>
        <v>80</v>
      </c>
      <c r="P75" s="22">
        <f>'10B Sem 1'!O27</f>
        <v>78</v>
      </c>
      <c r="Q75" s="22">
        <f>'10B Sem 1'!P27</f>
        <v>88</v>
      </c>
      <c r="R75" s="22">
        <f>'10B Sem 1'!Q27</f>
        <v>84</v>
      </c>
      <c r="S75" s="22">
        <f>'10B Sem 1'!R27</f>
        <v>1004</v>
      </c>
      <c r="T75" s="22">
        <f>'10B Sem 1'!S27</f>
        <v>77.230769230769226</v>
      </c>
      <c r="U75" s="22">
        <f>'10B Sem 1'!T27</f>
        <v>22</v>
      </c>
      <c r="V75" s="22">
        <f>'10B Sem 1'!U27</f>
        <v>0</v>
      </c>
      <c r="W75" s="22">
        <f>'10B Sem 1'!V27</f>
        <v>0</v>
      </c>
      <c r="X75" s="5"/>
      <c r="Y75" s="5"/>
      <c r="Z75" s="5"/>
      <c r="AA75" s="5"/>
      <c r="AB75" s="5"/>
    </row>
    <row r="76" spans="1:28" ht="18.75" customHeight="1" thickBot="1" x14ac:dyDescent="0.3">
      <c r="A76" s="249"/>
      <c r="B76" s="218"/>
      <c r="C76" s="213">
        <v>16</v>
      </c>
      <c r="D76" s="217" t="s">
        <v>23</v>
      </c>
      <c r="E76" s="21" t="s">
        <v>22</v>
      </c>
      <c r="F76" s="22">
        <f>'10B Sem 2'!E27</f>
        <v>80</v>
      </c>
      <c r="G76" s="22">
        <f>'10B Sem 2'!F27</f>
        <v>68</v>
      </c>
      <c r="H76" s="23">
        <f>'10B Sem 2'!G27</f>
        <v>71</v>
      </c>
      <c r="I76" s="23">
        <f>'10B Sem 2'!H27</f>
        <v>71</v>
      </c>
      <c r="J76" s="22">
        <f>'10B Sem 2'!I27</f>
        <v>61</v>
      </c>
      <c r="K76" s="23">
        <f>'10B Sem 2'!J27</f>
        <v>83</v>
      </c>
      <c r="L76" s="22">
        <f>'10B Sem 2'!K27</f>
        <v>86</v>
      </c>
      <c r="M76" s="22">
        <f>'10B Sem 2'!L27</f>
        <v>94</v>
      </c>
      <c r="N76" s="22">
        <f>'10B Sem 2'!M27</f>
        <v>86</v>
      </c>
      <c r="O76" s="22">
        <f>'10B Sem 2'!N27</f>
        <v>86</v>
      </c>
      <c r="P76" s="22">
        <f>'10B Sem 2'!O27</f>
        <v>81</v>
      </c>
      <c r="Q76" s="22">
        <f>'10B Sem 2'!P27</f>
        <v>91</v>
      </c>
      <c r="R76" s="22">
        <f>'10B Sem 2'!Q27</f>
        <v>88</v>
      </c>
      <c r="S76" s="22">
        <f>'10B Sem 2'!R27</f>
        <v>1046</v>
      </c>
      <c r="T76" s="22">
        <f>'10B Sem 2'!S27</f>
        <v>80.461538461538467</v>
      </c>
      <c r="U76" s="22">
        <f>'10B Sem 2'!T27</f>
        <v>21</v>
      </c>
      <c r="V76" s="22">
        <f>'10B Sem 2'!U27</f>
        <v>0</v>
      </c>
      <c r="W76" s="22">
        <f>'10B Sem 2'!V27</f>
        <v>0</v>
      </c>
      <c r="X76" s="5"/>
      <c r="Y76" s="5"/>
      <c r="Z76" s="5"/>
      <c r="AA76" s="5"/>
      <c r="AB76" s="5"/>
    </row>
    <row r="77" spans="1:28" ht="18.75" customHeight="1" thickBot="1" x14ac:dyDescent="0.3">
      <c r="A77" s="249"/>
      <c r="B77" s="218"/>
      <c r="C77" s="213">
        <v>16</v>
      </c>
      <c r="D77" s="217" t="s">
        <v>23</v>
      </c>
      <c r="E77" s="21" t="s">
        <v>16</v>
      </c>
      <c r="F77" s="22">
        <f>AVERAGE(F75:F76)</f>
        <v>82</v>
      </c>
      <c r="G77" s="22">
        <f t="shared" ref="G77:W77" si="23">AVERAGE(G75:G76)</f>
        <v>64</v>
      </c>
      <c r="H77" s="22">
        <f t="shared" si="23"/>
        <v>76.5</v>
      </c>
      <c r="I77" s="22">
        <f t="shared" si="23"/>
        <v>70</v>
      </c>
      <c r="J77" s="22">
        <f t="shared" si="23"/>
        <v>61</v>
      </c>
      <c r="K77" s="22">
        <f t="shared" si="23"/>
        <v>80.5</v>
      </c>
      <c r="L77" s="22">
        <f t="shared" si="23"/>
        <v>82.5</v>
      </c>
      <c r="M77" s="22">
        <f t="shared" si="23"/>
        <v>88.5</v>
      </c>
      <c r="N77" s="22">
        <f t="shared" si="23"/>
        <v>82</v>
      </c>
      <c r="O77" s="22">
        <f t="shared" si="23"/>
        <v>83</v>
      </c>
      <c r="P77" s="22">
        <f t="shared" si="23"/>
        <v>79.5</v>
      </c>
      <c r="Q77" s="22">
        <f t="shared" si="23"/>
        <v>89.5</v>
      </c>
      <c r="R77" s="22">
        <f t="shared" si="23"/>
        <v>86</v>
      </c>
      <c r="S77" s="22">
        <f t="shared" si="23"/>
        <v>1025</v>
      </c>
      <c r="T77" s="22">
        <f t="shared" si="23"/>
        <v>78.84615384615384</v>
      </c>
      <c r="U77" s="22">
        <f>'10B Sem avr'!$H$27</f>
        <v>21</v>
      </c>
      <c r="V77" s="22">
        <f t="shared" si="23"/>
        <v>0</v>
      </c>
      <c r="W77" s="22">
        <f t="shared" si="23"/>
        <v>0</v>
      </c>
      <c r="X77" s="5"/>
      <c r="Y77" s="5"/>
      <c r="Z77" s="5"/>
      <c r="AA77" s="5"/>
      <c r="AB77" s="5"/>
    </row>
    <row r="78" spans="1:28" ht="18.75" customHeight="1" thickBot="1" x14ac:dyDescent="0.3">
      <c r="A78" s="247">
        <v>25</v>
      </c>
      <c r="B78" s="218"/>
      <c r="C78" s="213">
        <v>16</v>
      </c>
      <c r="D78" s="217" t="s">
        <v>23</v>
      </c>
      <c r="E78" s="21" t="s">
        <v>21</v>
      </c>
      <c r="F78" s="22">
        <f>'10B Sem 1'!E28</f>
        <v>81</v>
      </c>
      <c r="G78" s="23">
        <f>'10B Sem 1'!F28</f>
        <v>62</v>
      </c>
      <c r="H78" s="23">
        <f>'10B Sem 1'!G28</f>
        <v>65</v>
      </c>
      <c r="I78" s="22">
        <f>'10B Sem 1'!H28</f>
        <v>75</v>
      </c>
      <c r="J78" s="23">
        <f>'10B Sem 1'!I28</f>
        <v>51</v>
      </c>
      <c r="K78" s="22">
        <f>'10B Sem 1'!J28</f>
        <v>65</v>
      </c>
      <c r="L78" s="22">
        <f>'10B Sem 1'!K28</f>
        <v>77</v>
      </c>
      <c r="M78" s="22">
        <f>'10B Sem 1'!L28</f>
        <v>67</v>
      </c>
      <c r="N78" s="22">
        <f>'10B Sem 1'!M28</f>
        <v>68</v>
      </c>
      <c r="O78" s="22">
        <f>'10B Sem 1'!N28</f>
        <v>75</v>
      </c>
      <c r="P78" s="22">
        <f>'10B Sem 1'!O28</f>
        <v>69</v>
      </c>
      <c r="Q78" s="22">
        <f>'10B Sem 1'!P28</f>
        <v>81</v>
      </c>
      <c r="R78" s="22">
        <f>'10B Sem 1'!Q28</f>
        <v>69</v>
      </c>
      <c r="S78" s="22">
        <f>'10B Sem 1'!R28</f>
        <v>905</v>
      </c>
      <c r="T78" s="22">
        <f>'10B Sem 1'!S28</f>
        <v>69.615384615384613</v>
      </c>
      <c r="U78" s="22">
        <f>'10B Sem 1'!T28</f>
        <v>38</v>
      </c>
      <c r="V78" s="22">
        <f>'10B Sem 1'!U28</f>
        <v>0</v>
      </c>
      <c r="W78" s="22">
        <f>'10B Sem 1'!V28</f>
        <v>0</v>
      </c>
      <c r="X78" s="5"/>
      <c r="Y78" s="5"/>
      <c r="Z78" s="5"/>
      <c r="AA78" s="5"/>
      <c r="AB78" s="5"/>
    </row>
    <row r="79" spans="1:28" ht="18.75" customHeight="1" thickBot="1" x14ac:dyDescent="0.3">
      <c r="A79" s="247"/>
      <c r="B79" s="218"/>
      <c r="C79" s="213">
        <v>16</v>
      </c>
      <c r="D79" s="217" t="s">
        <v>23</v>
      </c>
      <c r="E79" s="21" t="s">
        <v>22</v>
      </c>
      <c r="F79" s="22">
        <f>'10B Sem 2'!E28</f>
        <v>79</v>
      </c>
      <c r="G79" s="23">
        <f>'10B Sem 2'!F28</f>
        <v>46</v>
      </c>
      <c r="H79" s="23">
        <f>'10B Sem 2'!G28</f>
        <v>69</v>
      </c>
      <c r="I79" s="22">
        <f>'10B Sem 2'!H28</f>
        <v>62</v>
      </c>
      <c r="J79" s="23">
        <f>'10B Sem 2'!I28</f>
        <v>65</v>
      </c>
      <c r="K79" s="22">
        <f>'10B Sem 2'!J28</f>
        <v>71</v>
      </c>
      <c r="L79" s="22">
        <f>'10B Sem 2'!K28</f>
        <v>79</v>
      </c>
      <c r="M79" s="22">
        <f>'10B Sem 2'!L28</f>
        <v>87</v>
      </c>
      <c r="N79" s="22">
        <f>'10B Sem 2'!M28</f>
        <v>69</v>
      </c>
      <c r="O79" s="22">
        <f>'10B Sem 2'!N28</f>
        <v>82</v>
      </c>
      <c r="P79" s="22">
        <f>'10B Sem 2'!O28</f>
        <v>76</v>
      </c>
      <c r="Q79" s="22">
        <f>'10B Sem 2'!P28</f>
        <v>88</v>
      </c>
      <c r="R79" s="22">
        <f>'10B Sem 2'!Q28</f>
        <v>65</v>
      </c>
      <c r="S79" s="22">
        <f>'10B Sem 2'!R28</f>
        <v>938</v>
      </c>
      <c r="T79" s="22">
        <f>'10B Sem 2'!S28</f>
        <v>72.15384615384616</v>
      </c>
      <c r="U79" s="22">
        <f>'10B Sem 2'!T28</f>
        <v>34</v>
      </c>
      <c r="V79" s="22">
        <f>'10B Sem 2'!U28</f>
        <v>0</v>
      </c>
      <c r="W79" s="22">
        <f>'10B Sem 2'!V28</f>
        <v>0</v>
      </c>
      <c r="X79" s="5"/>
      <c r="Y79" s="5"/>
      <c r="Z79" s="5"/>
      <c r="AA79" s="5"/>
      <c r="AB79" s="5"/>
    </row>
    <row r="80" spans="1:28" ht="18.75" customHeight="1" thickBot="1" x14ac:dyDescent="0.3">
      <c r="A80" s="247"/>
      <c r="B80" s="218"/>
      <c r="C80" s="213">
        <v>16</v>
      </c>
      <c r="D80" s="217" t="s">
        <v>23</v>
      </c>
      <c r="E80" s="21" t="s">
        <v>16</v>
      </c>
      <c r="F80" s="22">
        <f>AVERAGE(F78:F79)</f>
        <v>80</v>
      </c>
      <c r="G80" s="22">
        <f t="shared" ref="G80:W80" si="24">AVERAGE(G78:G79)</f>
        <v>54</v>
      </c>
      <c r="H80" s="22">
        <f t="shared" si="24"/>
        <v>67</v>
      </c>
      <c r="I80" s="22">
        <f t="shared" si="24"/>
        <v>68.5</v>
      </c>
      <c r="J80" s="22">
        <f t="shared" si="24"/>
        <v>58</v>
      </c>
      <c r="K80" s="22">
        <f t="shared" si="24"/>
        <v>68</v>
      </c>
      <c r="L80" s="22">
        <f t="shared" si="24"/>
        <v>78</v>
      </c>
      <c r="M80" s="22">
        <f t="shared" si="24"/>
        <v>77</v>
      </c>
      <c r="N80" s="22">
        <f t="shared" si="24"/>
        <v>68.5</v>
      </c>
      <c r="O80" s="22">
        <f t="shared" si="24"/>
        <v>78.5</v>
      </c>
      <c r="P80" s="22">
        <f t="shared" si="24"/>
        <v>72.5</v>
      </c>
      <c r="Q80" s="22">
        <f t="shared" si="24"/>
        <v>84.5</v>
      </c>
      <c r="R80" s="22">
        <f t="shared" si="24"/>
        <v>67</v>
      </c>
      <c r="S80" s="22">
        <f t="shared" si="24"/>
        <v>921.5</v>
      </c>
      <c r="T80" s="22">
        <f t="shared" si="24"/>
        <v>70.884615384615387</v>
      </c>
      <c r="U80" s="22">
        <f>'10B Sem avr'!$H$28</f>
        <v>37</v>
      </c>
      <c r="V80" s="22">
        <f t="shared" si="24"/>
        <v>0</v>
      </c>
      <c r="W80" s="22">
        <f t="shared" si="24"/>
        <v>0</v>
      </c>
      <c r="X80" s="5"/>
      <c r="Y80" s="5"/>
      <c r="Z80" s="5"/>
      <c r="AA80" s="5"/>
      <c r="AB80" s="5"/>
    </row>
    <row r="81" spans="1:28" ht="18.75" customHeight="1" thickBot="1" x14ac:dyDescent="0.3">
      <c r="A81" s="249">
        <v>26</v>
      </c>
      <c r="B81" s="218"/>
      <c r="C81" s="213">
        <v>15</v>
      </c>
      <c r="D81" s="217" t="s">
        <v>23</v>
      </c>
      <c r="E81" s="21" t="s">
        <v>21</v>
      </c>
      <c r="F81" s="22">
        <f>'10B Sem 1'!E29</f>
        <v>79</v>
      </c>
      <c r="G81" s="22">
        <f>'10B Sem 1'!F29</f>
        <v>75</v>
      </c>
      <c r="H81" s="22">
        <f>'10B Sem 1'!G29</f>
        <v>46</v>
      </c>
      <c r="I81" s="22">
        <f>'10B Sem 1'!H29</f>
        <v>62</v>
      </c>
      <c r="J81" s="22">
        <f>'10B Sem 1'!I29</f>
        <v>43</v>
      </c>
      <c r="K81" s="22">
        <f>'10B Sem 1'!J29</f>
        <v>57</v>
      </c>
      <c r="L81" s="22">
        <f>'10B Sem 1'!K29</f>
        <v>67</v>
      </c>
      <c r="M81" s="22">
        <f>'10B Sem 1'!L29</f>
        <v>51</v>
      </c>
      <c r="N81" s="22">
        <f>'10B Sem 1'!M29</f>
        <v>84</v>
      </c>
      <c r="O81" s="22">
        <f>'10B Sem 1'!N29</f>
        <v>71</v>
      </c>
      <c r="P81" s="22">
        <f>'10B Sem 1'!O29</f>
        <v>82</v>
      </c>
      <c r="Q81" s="22">
        <f>'10B Sem 1'!P29</f>
        <v>94</v>
      </c>
      <c r="R81" s="22">
        <f>'10B Sem 1'!Q29</f>
        <v>75</v>
      </c>
      <c r="S81" s="22">
        <f>'10B Sem 1'!R29</f>
        <v>886</v>
      </c>
      <c r="T81" s="22">
        <f>'10B Sem 1'!S29</f>
        <v>68.15384615384616</v>
      </c>
      <c r="U81" s="22">
        <f>'10B Sem 1'!T29</f>
        <v>40</v>
      </c>
      <c r="V81" s="22">
        <f>'10B Sem 1'!U29</f>
        <v>0</v>
      </c>
      <c r="W81" s="22">
        <f>'10B Sem 1'!V29</f>
        <v>0</v>
      </c>
      <c r="X81" s="5"/>
      <c r="Y81" s="5"/>
      <c r="Z81" s="5"/>
      <c r="AA81" s="5"/>
      <c r="AB81" s="5"/>
    </row>
    <row r="82" spans="1:28" ht="18.75" customHeight="1" thickBot="1" x14ac:dyDescent="0.3">
      <c r="A82" s="249"/>
      <c r="B82" s="218"/>
      <c r="C82" s="213">
        <v>15</v>
      </c>
      <c r="D82" s="217" t="s">
        <v>23</v>
      </c>
      <c r="E82" s="21" t="s">
        <v>22</v>
      </c>
      <c r="F82" s="22">
        <f>'10B Sem 2'!E29</f>
        <v>69</v>
      </c>
      <c r="G82" s="22">
        <f>'10B Sem 2'!F29</f>
        <v>78</v>
      </c>
      <c r="H82" s="22">
        <f>'10B Sem 2'!G29</f>
        <v>36</v>
      </c>
      <c r="I82" s="22">
        <f>'10B Sem 2'!H29</f>
        <v>62</v>
      </c>
      <c r="J82" s="22">
        <f>'10B Sem 2'!I29</f>
        <v>51</v>
      </c>
      <c r="K82" s="22">
        <f>'10B Sem 2'!J29</f>
        <v>63</v>
      </c>
      <c r="L82" s="22">
        <f>'10B Sem 2'!K29</f>
        <v>67</v>
      </c>
      <c r="M82" s="22">
        <f>'10B Sem 2'!L29</f>
        <v>78</v>
      </c>
      <c r="N82" s="22">
        <f>'10B Sem 2'!M29</f>
        <v>75</v>
      </c>
      <c r="O82" s="22">
        <f>'10B Sem 2'!N29</f>
        <v>86</v>
      </c>
      <c r="P82" s="22">
        <f>'10B Sem 2'!O29</f>
        <v>75</v>
      </c>
      <c r="Q82" s="22">
        <f>'10B Sem 2'!P29</f>
        <v>89</v>
      </c>
      <c r="R82" s="22">
        <f>'10B Sem 2'!Q29</f>
        <v>64</v>
      </c>
      <c r="S82" s="22">
        <f>'10B Sem 2'!R29</f>
        <v>893</v>
      </c>
      <c r="T82" s="22">
        <f>'10B Sem 2'!S29</f>
        <v>68.692307692307693</v>
      </c>
      <c r="U82" s="22">
        <f>'10B Sem 2'!T29</f>
        <v>41</v>
      </c>
      <c r="V82" s="22">
        <f>'10B Sem 2'!U29</f>
        <v>0</v>
      </c>
      <c r="W82" s="22">
        <f>'10B Sem 2'!V29</f>
        <v>0</v>
      </c>
      <c r="X82" s="5"/>
      <c r="Y82" s="5"/>
      <c r="Z82" s="5"/>
      <c r="AA82" s="5"/>
      <c r="AB82" s="5"/>
    </row>
    <row r="83" spans="1:28" ht="18.75" customHeight="1" thickBot="1" x14ac:dyDescent="0.3">
      <c r="A83" s="249"/>
      <c r="B83" s="218"/>
      <c r="C83" s="213">
        <v>15</v>
      </c>
      <c r="D83" s="217" t="s">
        <v>23</v>
      </c>
      <c r="E83" s="21" t="s">
        <v>16</v>
      </c>
      <c r="F83" s="22">
        <f>AVERAGE(F81:F82)</f>
        <v>74</v>
      </c>
      <c r="G83" s="22">
        <f t="shared" ref="G83:W83" si="25">AVERAGE(G81:G82)</f>
        <v>76.5</v>
      </c>
      <c r="H83" s="22">
        <f t="shared" si="25"/>
        <v>41</v>
      </c>
      <c r="I83" s="22">
        <f t="shared" si="25"/>
        <v>62</v>
      </c>
      <c r="J83" s="22">
        <f t="shared" si="25"/>
        <v>47</v>
      </c>
      <c r="K83" s="22">
        <f t="shared" si="25"/>
        <v>60</v>
      </c>
      <c r="L83" s="22">
        <f t="shared" si="25"/>
        <v>67</v>
      </c>
      <c r="M83" s="22">
        <f t="shared" si="25"/>
        <v>64.5</v>
      </c>
      <c r="N83" s="22">
        <f t="shared" si="25"/>
        <v>79.5</v>
      </c>
      <c r="O83" s="22">
        <f t="shared" si="25"/>
        <v>78.5</v>
      </c>
      <c r="P83" s="22">
        <f t="shared" si="25"/>
        <v>78.5</v>
      </c>
      <c r="Q83" s="22">
        <f t="shared" si="25"/>
        <v>91.5</v>
      </c>
      <c r="R83" s="22">
        <f t="shared" si="25"/>
        <v>69.5</v>
      </c>
      <c r="S83" s="22">
        <f t="shared" si="25"/>
        <v>889.5</v>
      </c>
      <c r="T83" s="22">
        <f t="shared" si="25"/>
        <v>68.423076923076934</v>
      </c>
      <c r="U83" s="22">
        <f>'10B Sem avr'!$H$29</f>
        <v>41</v>
      </c>
      <c r="V83" s="22">
        <f t="shared" si="25"/>
        <v>0</v>
      </c>
      <c r="W83" s="22">
        <f t="shared" si="25"/>
        <v>0</v>
      </c>
      <c r="X83" s="5"/>
      <c r="Y83" s="5"/>
      <c r="Z83" s="5"/>
      <c r="AA83" s="5"/>
      <c r="AB83" s="5"/>
    </row>
    <row r="84" spans="1:28" ht="18.75" customHeight="1" thickBot="1" x14ac:dyDescent="0.3">
      <c r="A84" s="249">
        <v>27</v>
      </c>
      <c r="B84" s="218"/>
      <c r="C84" s="213">
        <v>14</v>
      </c>
      <c r="D84" s="217" t="s">
        <v>20</v>
      </c>
      <c r="E84" s="21" t="s">
        <v>21</v>
      </c>
      <c r="F84" s="22">
        <f>'10B Sem 1'!E30</f>
        <v>79</v>
      </c>
      <c r="G84" s="22">
        <f>'10B Sem 1'!F30</f>
        <v>90</v>
      </c>
      <c r="H84" s="23">
        <f>'10B Sem 1'!G30</f>
        <v>64</v>
      </c>
      <c r="I84" s="22">
        <f>'10B Sem 1'!H30</f>
        <v>64</v>
      </c>
      <c r="J84" s="22">
        <f>'10B Sem 1'!I30</f>
        <v>57</v>
      </c>
      <c r="K84" s="22">
        <f>'10B Sem 1'!J30</f>
        <v>69</v>
      </c>
      <c r="L84" s="22">
        <f>'10B Sem 1'!K30</f>
        <v>79</v>
      </c>
      <c r="M84" s="22">
        <f>'10B Sem 1'!L30</f>
        <v>70</v>
      </c>
      <c r="N84" s="22">
        <f>'10B Sem 1'!M30</f>
        <v>89</v>
      </c>
      <c r="O84" s="22">
        <f>'10B Sem 1'!N30</f>
        <v>87</v>
      </c>
      <c r="P84" s="22">
        <f>'10B Sem 1'!O30</f>
        <v>84</v>
      </c>
      <c r="Q84" s="22">
        <f>'10B Sem 1'!P30</f>
        <v>88</v>
      </c>
      <c r="R84" s="22">
        <f>'10B Sem 1'!Q30</f>
        <v>73</v>
      </c>
      <c r="S84" s="22">
        <f>'10B Sem 1'!R30</f>
        <v>993</v>
      </c>
      <c r="T84" s="22">
        <f>'10B Sem 1'!S30</f>
        <v>76.384615384615387</v>
      </c>
      <c r="U84" s="22">
        <f>'10B Sem 1'!T30</f>
        <v>24</v>
      </c>
      <c r="V84" s="22">
        <f>'10B Sem 1'!U30</f>
        <v>0</v>
      </c>
      <c r="W84" s="22">
        <f>'10B Sem 1'!V30</f>
        <v>0</v>
      </c>
      <c r="X84" s="5"/>
      <c r="Y84" s="5"/>
      <c r="Z84" s="5"/>
      <c r="AA84" s="5"/>
      <c r="AB84" s="5"/>
    </row>
    <row r="85" spans="1:28" ht="18.75" customHeight="1" thickBot="1" x14ac:dyDescent="0.3">
      <c r="A85" s="249"/>
      <c r="B85" s="218"/>
      <c r="C85" s="213">
        <v>14</v>
      </c>
      <c r="D85" s="217" t="s">
        <v>20</v>
      </c>
      <c r="E85" s="21" t="s">
        <v>22</v>
      </c>
      <c r="F85" s="22">
        <f>'10B Sem 2'!E30</f>
        <v>73</v>
      </c>
      <c r="G85" s="22">
        <f>'10B Sem 2'!F30</f>
        <v>90</v>
      </c>
      <c r="H85" s="23">
        <f>'10B Sem 2'!G30</f>
        <v>55</v>
      </c>
      <c r="I85" s="22">
        <f>'10B Sem 2'!H30</f>
        <v>45</v>
      </c>
      <c r="J85" s="22">
        <f>'10B Sem 2'!I30</f>
        <v>60</v>
      </c>
      <c r="K85" s="22">
        <f>'10B Sem 2'!J30</f>
        <v>64</v>
      </c>
      <c r="L85" s="22">
        <f>'10B Sem 2'!K30</f>
        <v>66</v>
      </c>
      <c r="M85" s="22">
        <f>'10B Sem 2'!L30</f>
        <v>87</v>
      </c>
      <c r="N85" s="22">
        <f>'10B Sem 2'!M30</f>
        <v>76</v>
      </c>
      <c r="O85" s="22">
        <f>'10B Sem 2'!N30</f>
        <v>91</v>
      </c>
      <c r="P85" s="22">
        <f>'10B Sem 2'!O30</f>
        <v>71</v>
      </c>
      <c r="Q85" s="22">
        <f>'10B Sem 2'!P30</f>
        <v>89</v>
      </c>
      <c r="R85" s="22">
        <f>'10B Sem 2'!Q30</f>
        <v>61</v>
      </c>
      <c r="S85" s="22">
        <f>'10B Sem 2'!R30</f>
        <v>928</v>
      </c>
      <c r="T85" s="22">
        <f>'10B Sem 2'!S30</f>
        <v>71.384615384615387</v>
      </c>
      <c r="U85" s="22">
        <f>'10B Sem 2'!T30</f>
        <v>36</v>
      </c>
      <c r="V85" s="22">
        <f>'10B Sem 2'!U30</f>
        <v>0</v>
      </c>
      <c r="W85" s="22">
        <f>'10B Sem 2'!V30</f>
        <v>0</v>
      </c>
      <c r="X85" s="5"/>
      <c r="Y85" s="5"/>
      <c r="Z85" s="5"/>
      <c r="AA85" s="5"/>
      <c r="AB85" s="5"/>
    </row>
    <row r="86" spans="1:28" ht="18.75" customHeight="1" thickBot="1" x14ac:dyDescent="0.3">
      <c r="A86" s="249"/>
      <c r="B86" s="218"/>
      <c r="C86" s="213">
        <v>14</v>
      </c>
      <c r="D86" s="217" t="s">
        <v>20</v>
      </c>
      <c r="E86" s="21" t="s">
        <v>16</v>
      </c>
      <c r="F86" s="22">
        <f>AVERAGE(F84:F85)</f>
        <v>76</v>
      </c>
      <c r="G86" s="22">
        <f t="shared" ref="G86:W86" si="26">AVERAGE(G84:G85)</f>
        <v>90</v>
      </c>
      <c r="H86" s="22">
        <f t="shared" si="26"/>
        <v>59.5</v>
      </c>
      <c r="I86" s="22">
        <f t="shared" si="26"/>
        <v>54.5</v>
      </c>
      <c r="J86" s="22">
        <f t="shared" si="26"/>
        <v>58.5</v>
      </c>
      <c r="K86" s="22">
        <f t="shared" si="26"/>
        <v>66.5</v>
      </c>
      <c r="L86" s="22">
        <f t="shared" si="26"/>
        <v>72.5</v>
      </c>
      <c r="M86" s="22">
        <f t="shared" si="26"/>
        <v>78.5</v>
      </c>
      <c r="N86" s="22">
        <f t="shared" si="26"/>
        <v>82.5</v>
      </c>
      <c r="O86" s="22">
        <f t="shared" si="26"/>
        <v>89</v>
      </c>
      <c r="P86" s="22">
        <f t="shared" si="26"/>
        <v>77.5</v>
      </c>
      <c r="Q86" s="22">
        <f t="shared" si="26"/>
        <v>88.5</v>
      </c>
      <c r="R86" s="22">
        <f t="shared" si="26"/>
        <v>67</v>
      </c>
      <c r="S86" s="22">
        <f t="shared" si="26"/>
        <v>960.5</v>
      </c>
      <c r="T86" s="22">
        <f t="shared" si="26"/>
        <v>73.884615384615387</v>
      </c>
      <c r="U86" s="22">
        <f>'10B Sem avr'!$H$30</f>
        <v>33</v>
      </c>
      <c r="V86" s="22">
        <f t="shared" si="26"/>
        <v>0</v>
      </c>
      <c r="W86" s="22">
        <f t="shared" si="26"/>
        <v>0</v>
      </c>
      <c r="X86" s="5"/>
      <c r="Y86" s="5"/>
      <c r="Z86" s="5"/>
      <c r="AA86" s="5"/>
      <c r="AB86" s="5"/>
    </row>
    <row r="87" spans="1:28" ht="18.75" customHeight="1" thickBot="1" x14ac:dyDescent="0.3">
      <c r="A87" s="249">
        <v>28</v>
      </c>
      <c r="B87" s="218"/>
      <c r="C87" s="213">
        <v>15</v>
      </c>
      <c r="D87" s="217" t="s">
        <v>23</v>
      </c>
      <c r="E87" s="21" t="s">
        <v>21</v>
      </c>
      <c r="F87" s="22">
        <f>'10B Sem 1'!E31</f>
        <v>86</v>
      </c>
      <c r="G87" s="22">
        <f>'10B Sem 1'!F31</f>
        <v>70</v>
      </c>
      <c r="H87" s="22">
        <f>'10B Sem 1'!G31</f>
        <v>91</v>
      </c>
      <c r="I87" s="22">
        <f>'10B Sem 1'!H31</f>
        <v>75</v>
      </c>
      <c r="J87" s="22">
        <f>'10B Sem 1'!I31</f>
        <v>74</v>
      </c>
      <c r="K87" s="22">
        <f>'10B Sem 1'!J31</f>
        <v>90</v>
      </c>
      <c r="L87" s="22">
        <f>'10B Sem 1'!K31</f>
        <v>78</v>
      </c>
      <c r="M87" s="22">
        <f>'10B Sem 1'!L31</f>
        <v>73</v>
      </c>
      <c r="N87" s="22">
        <f>'10B Sem 1'!M31</f>
        <v>82</v>
      </c>
      <c r="O87" s="22">
        <f>'10B Sem 1'!N31</f>
        <v>91</v>
      </c>
      <c r="P87" s="22">
        <f>'10B Sem 1'!O31</f>
        <v>77</v>
      </c>
      <c r="Q87" s="22">
        <f>'10B Sem 1'!P31</f>
        <v>91</v>
      </c>
      <c r="R87" s="22">
        <f>'10B Sem 1'!Q31</f>
        <v>87</v>
      </c>
      <c r="S87" s="22">
        <f>'10B Sem 1'!R31</f>
        <v>1065</v>
      </c>
      <c r="T87" s="22">
        <f>'10B Sem 1'!S31</f>
        <v>81.92307692307692</v>
      </c>
      <c r="U87" s="22">
        <f>'10B Sem 1'!T31</f>
        <v>14</v>
      </c>
      <c r="V87" s="22">
        <f>'10B Sem 1'!U31</f>
        <v>0</v>
      </c>
      <c r="W87" s="22">
        <f>'10B Sem 1'!V31</f>
        <v>0</v>
      </c>
      <c r="X87" s="5"/>
      <c r="Y87" s="5"/>
      <c r="Z87" s="5"/>
      <c r="AA87" s="5"/>
      <c r="AB87" s="5"/>
    </row>
    <row r="88" spans="1:28" ht="18.75" customHeight="1" thickBot="1" x14ac:dyDescent="0.3">
      <c r="A88" s="249"/>
      <c r="B88" s="218"/>
      <c r="C88" s="213">
        <v>15</v>
      </c>
      <c r="D88" s="217" t="s">
        <v>23</v>
      </c>
      <c r="E88" s="21" t="s">
        <v>22</v>
      </c>
      <c r="F88" s="22">
        <f>'10B Sem 2'!E31</f>
        <v>81</v>
      </c>
      <c r="G88" s="22">
        <f>'10B Sem 2'!F31</f>
        <v>76</v>
      </c>
      <c r="H88" s="22">
        <f>'10B Sem 2'!G31</f>
        <v>85</v>
      </c>
      <c r="I88" s="22">
        <f>'10B Sem 2'!H31</f>
        <v>75</v>
      </c>
      <c r="J88" s="22">
        <f>'10B Sem 2'!I31</f>
        <v>83</v>
      </c>
      <c r="K88" s="22">
        <f>'10B Sem 2'!J31</f>
        <v>91</v>
      </c>
      <c r="L88" s="22">
        <f>'10B Sem 2'!K31</f>
        <v>84</v>
      </c>
      <c r="M88" s="22">
        <f>'10B Sem 2'!L31</f>
        <v>91</v>
      </c>
      <c r="N88" s="22">
        <f>'10B Sem 2'!M31</f>
        <v>83</v>
      </c>
      <c r="O88" s="22">
        <f>'10B Sem 2'!N31</f>
        <v>89</v>
      </c>
      <c r="P88" s="22">
        <f>'10B Sem 2'!O31</f>
        <v>83</v>
      </c>
      <c r="Q88" s="22">
        <f>'10B Sem 2'!P31</f>
        <v>97</v>
      </c>
      <c r="R88" s="22">
        <f>'10B Sem 2'!Q31</f>
        <v>74</v>
      </c>
      <c r="S88" s="22">
        <f>'10B Sem 2'!R31</f>
        <v>1092</v>
      </c>
      <c r="T88" s="22">
        <f>'10B Sem 2'!S31</f>
        <v>84</v>
      </c>
      <c r="U88" s="22">
        <f>'10B Sem 2'!T31</f>
        <v>12</v>
      </c>
      <c r="V88" s="22">
        <f>'10B Sem 2'!U31</f>
        <v>0</v>
      </c>
      <c r="W88" s="22">
        <f>'10B Sem 2'!V31</f>
        <v>0</v>
      </c>
      <c r="X88" s="5"/>
      <c r="Y88" s="5"/>
      <c r="Z88" s="5"/>
      <c r="AA88" s="5"/>
      <c r="AB88" s="5"/>
    </row>
    <row r="89" spans="1:28" ht="18.75" customHeight="1" thickBot="1" x14ac:dyDescent="0.3">
      <c r="A89" s="249"/>
      <c r="B89" s="218"/>
      <c r="C89" s="213">
        <v>15</v>
      </c>
      <c r="D89" s="217" t="s">
        <v>23</v>
      </c>
      <c r="E89" s="21" t="s">
        <v>16</v>
      </c>
      <c r="F89" s="22">
        <f>AVERAGE(F87:F88)</f>
        <v>83.5</v>
      </c>
      <c r="G89" s="22">
        <f t="shared" ref="G89:W89" si="27">AVERAGE(G87:G88)</f>
        <v>73</v>
      </c>
      <c r="H89" s="22">
        <f t="shared" si="27"/>
        <v>88</v>
      </c>
      <c r="I89" s="22">
        <f t="shared" si="27"/>
        <v>75</v>
      </c>
      <c r="J89" s="22">
        <f t="shared" si="27"/>
        <v>78.5</v>
      </c>
      <c r="K89" s="22">
        <f t="shared" si="27"/>
        <v>90.5</v>
      </c>
      <c r="L89" s="22">
        <f t="shared" si="27"/>
        <v>81</v>
      </c>
      <c r="M89" s="22">
        <f t="shared" si="27"/>
        <v>82</v>
      </c>
      <c r="N89" s="22">
        <f t="shared" si="27"/>
        <v>82.5</v>
      </c>
      <c r="O89" s="22">
        <f t="shared" si="27"/>
        <v>90</v>
      </c>
      <c r="P89" s="22">
        <f t="shared" si="27"/>
        <v>80</v>
      </c>
      <c r="Q89" s="22">
        <f t="shared" si="27"/>
        <v>94</v>
      </c>
      <c r="R89" s="22">
        <f t="shared" si="27"/>
        <v>80.5</v>
      </c>
      <c r="S89" s="22">
        <f t="shared" si="27"/>
        <v>1078.5</v>
      </c>
      <c r="T89" s="22">
        <f t="shared" si="27"/>
        <v>82.961538461538453</v>
      </c>
      <c r="U89" s="22">
        <f>'10B Sem avr'!$H$31</f>
        <v>11</v>
      </c>
      <c r="V89" s="22">
        <f t="shared" si="27"/>
        <v>0</v>
      </c>
      <c r="W89" s="22">
        <f t="shared" si="27"/>
        <v>0</v>
      </c>
      <c r="X89" s="5"/>
      <c r="Y89" s="5"/>
      <c r="Z89" s="5"/>
      <c r="AA89" s="5"/>
      <c r="AB89" s="5"/>
    </row>
    <row r="90" spans="1:28" ht="18.75" customHeight="1" thickBot="1" x14ac:dyDescent="0.3">
      <c r="A90" s="247">
        <v>29</v>
      </c>
      <c r="B90" s="218"/>
      <c r="C90" s="213">
        <v>16</v>
      </c>
      <c r="D90" s="217" t="s">
        <v>20</v>
      </c>
      <c r="E90" s="21" t="s">
        <v>21</v>
      </c>
      <c r="F90" s="22">
        <f>'10B Sem 1'!E32</f>
        <v>0</v>
      </c>
      <c r="G90" s="22">
        <f>'10B Sem 1'!F32</f>
        <v>0</v>
      </c>
      <c r="H90" s="22">
        <f>'10B Sem 1'!G32</f>
        <v>0</v>
      </c>
      <c r="I90" s="22">
        <f>'10B Sem 1'!H32</f>
        <v>0</v>
      </c>
      <c r="J90" s="22">
        <f>'10B Sem 1'!I32</f>
        <v>0</v>
      </c>
      <c r="K90" s="22">
        <f>'10B Sem 1'!J32</f>
        <v>0</v>
      </c>
      <c r="L90" s="22">
        <f>'10B Sem 1'!K32</f>
        <v>0</v>
      </c>
      <c r="M90" s="22">
        <f>'10B Sem 1'!L32</f>
        <v>0</v>
      </c>
      <c r="N90" s="22">
        <f>'10B Sem 1'!M32</f>
        <v>0</v>
      </c>
      <c r="O90" s="22">
        <f>'10B Sem 1'!N32</f>
        <v>0</v>
      </c>
      <c r="P90" s="22">
        <f>'10B Sem 1'!O32</f>
        <v>0</v>
      </c>
      <c r="Q90" s="22">
        <f>'10B Sem 1'!P32</f>
        <v>0</v>
      </c>
      <c r="R90" s="22">
        <f>'10B Sem 1'!Q32</f>
        <v>0</v>
      </c>
      <c r="S90" s="22">
        <f>'10B Sem 1'!R32</f>
        <v>0</v>
      </c>
      <c r="T90" s="22">
        <f>'10B Sem 1'!S32</f>
        <v>0</v>
      </c>
      <c r="U90" s="22">
        <f>'10B Sem 1'!T32</f>
        <v>56</v>
      </c>
      <c r="V90" s="22">
        <f>'10B Sem 1'!U32</f>
        <v>0</v>
      </c>
      <c r="W90" s="22">
        <f>'10B Sem 1'!V32</f>
        <v>0</v>
      </c>
      <c r="X90" s="5"/>
      <c r="Y90" s="5"/>
      <c r="Z90" s="5"/>
      <c r="AA90" s="5"/>
      <c r="AB90" s="5"/>
    </row>
    <row r="91" spans="1:28" ht="18.75" customHeight="1" thickBot="1" x14ac:dyDescent="0.3">
      <c r="A91" s="247"/>
      <c r="B91" s="218"/>
      <c r="C91" s="213">
        <v>16</v>
      </c>
      <c r="D91" s="217" t="s">
        <v>20</v>
      </c>
      <c r="E91" s="21" t="s">
        <v>22</v>
      </c>
      <c r="F91" s="22">
        <f>'10B Sem 2'!E32</f>
        <v>0</v>
      </c>
      <c r="G91" s="22">
        <f>'10B Sem 2'!F32</f>
        <v>0</v>
      </c>
      <c r="H91" s="22">
        <f>'10B Sem 2'!G32</f>
        <v>0</v>
      </c>
      <c r="I91" s="22">
        <f>'10B Sem 2'!H32</f>
        <v>0</v>
      </c>
      <c r="J91" s="22">
        <f>'10B Sem 2'!I32</f>
        <v>0</v>
      </c>
      <c r="K91" s="22">
        <f>'10B Sem 2'!J32</f>
        <v>0</v>
      </c>
      <c r="L91" s="22">
        <f>'10B Sem 2'!K32</f>
        <v>0</v>
      </c>
      <c r="M91" s="22">
        <f>'10B Sem 2'!L32</f>
        <v>0</v>
      </c>
      <c r="N91" s="22">
        <f>'10B Sem 2'!M32</f>
        <v>0</v>
      </c>
      <c r="O91" s="22">
        <f>'10B Sem 2'!N32</f>
        <v>0</v>
      </c>
      <c r="P91" s="22">
        <f>'10B Sem 2'!O32</f>
        <v>0</v>
      </c>
      <c r="Q91" s="22">
        <f>'10B Sem 2'!P32</f>
        <v>0</v>
      </c>
      <c r="R91" s="22">
        <f>'10B Sem 2'!Q32</f>
        <v>0</v>
      </c>
      <c r="S91" s="22">
        <f>'10B Sem 2'!R32</f>
        <v>0</v>
      </c>
      <c r="T91" s="22">
        <f>'10B Sem 2'!S32</f>
        <v>0</v>
      </c>
      <c r="U91" s="22">
        <f>'10B Sem 2'!T32</f>
        <v>56</v>
      </c>
      <c r="V91" s="22">
        <f>'10B Sem 2'!U32</f>
        <v>0</v>
      </c>
      <c r="W91" s="22">
        <f>'10B Sem 2'!V32</f>
        <v>0</v>
      </c>
      <c r="X91" s="5"/>
      <c r="Y91" s="5"/>
      <c r="Z91" s="5"/>
      <c r="AA91" s="5"/>
      <c r="AB91" s="5"/>
    </row>
    <row r="92" spans="1:28" ht="18.75" customHeight="1" thickBot="1" x14ac:dyDescent="0.3">
      <c r="A92" s="247"/>
      <c r="B92" s="218"/>
      <c r="C92" s="213">
        <v>16</v>
      </c>
      <c r="D92" s="217" t="s">
        <v>20</v>
      </c>
      <c r="E92" s="21" t="s">
        <v>16</v>
      </c>
      <c r="F92" s="22">
        <f>AVERAGE(F90:F91)</f>
        <v>0</v>
      </c>
      <c r="G92" s="22">
        <f t="shared" ref="G92:W92" si="28">AVERAGE(G90:G91)</f>
        <v>0</v>
      </c>
      <c r="H92" s="22">
        <f t="shared" si="28"/>
        <v>0</v>
      </c>
      <c r="I92" s="22">
        <f t="shared" si="28"/>
        <v>0</v>
      </c>
      <c r="J92" s="22">
        <f t="shared" si="28"/>
        <v>0</v>
      </c>
      <c r="K92" s="22">
        <f t="shared" si="28"/>
        <v>0</v>
      </c>
      <c r="L92" s="22">
        <f t="shared" si="28"/>
        <v>0</v>
      </c>
      <c r="M92" s="22">
        <f t="shared" si="28"/>
        <v>0</v>
      </c>
      <c r="N92" s="22">
        <f t="shared" si="28"/>
        <v>0</v>
      </c>
      <c r="O92" s="22">
        <f t="shared" si="28"/>
        <v>0</v>
      </c>
      <c r="P92" s="22">
        <f t="shared" si="28"/>
        <v>0</v>
      </c>
      <c r="Q92" s="22">
        <f t="shared" si="28"/>
        <v>0</v>
      </c>
      <c r="R92" s="22">
        <f t="shared" si="28"/>
        <v>0</v>
      </c>
      <c r="S92" s="22">
        <f t="shared" si="28"/>
        <v>0</v>
      </c>
      <c r="T92" s="22">
        <f t="shared" si="28"/>
        <v>0</v>
      </c>
      <c r="U92" s="22">
        <f>'10B Sem avr'!$H$32</f>
        <v>56</v>
      </c>
      <c r="V92" s="22">
        <f t="shared" si="28"/>
        <v>0</v>
      </c>
      <c r="W92" s="22">
        <f t="shared" si="28"/>
        <v>0</v>
      </c>
      <c r="X92" s="5"/>
      <c r="Y92" s="5"/>
      <c r="Z92" s="5"/>
      <c r="AA92" s="5"/>
      <c r="AB92" s="5"/>
    </row>
    <row r="93" spans="1:28" ht="18.75" customHeight="1" thickBot="1" x14ac:dyDescent="0.3">
      <c r="A93" s="249">
        <v>30</v>
      </c>
      <c r="B93" s="218"/>
      <c r="C93" s="213">
        <v>15</v>
      </c>
      <c r="D93" s="217" t="s">
        <v>23</v>
      </c>
      <c r="E93" s="21" t="s">
        <v>21</v>
      </c>
      <c r="F93" s="22">
        <f>'10B Sem 1'!E33</f>
        <v>74</v>
      </c>
      <c r="G93" s="23">
        <f>'10B Sem 1'!F33</f>
        <v>56</v>
      </c>
      <c r="H93" s="23">
        <f>'10B Sem 1'!G33</f>
        <v>51</v>
      </c>
      <c r="I93" s="23">
        <f>'10B Sem 1'!H33</f>
        <v>42</v>
      </c>
      <c r="J93" s="22">
        <f>'10B Sem 1'!I33</f>
        <v>49</v>
      </c>
      <c r="K93" s="22">
        <f>'10B Sem 1'!J33</f>
        <v>60</v>
      </c>
      <c r="L93" s="22">
        <f>'10B Sem 1'!K33</f>
        <v>64</v>
      </c>
      <c r="M93" s="22">
        <f>'10B Sem 1'!L33</f>
        <v>60</v>
      </c>
      <c r="N93" s="22">
        <f>'10B Sem 1'!M33</f>
        <v>57</v>
      </c>
      <c r="O93" s="22">
        <f>'10B Sem 1'!N33</f>
        <v>62</v>
      </c>
      <c r="P93" s="23">
        <f>'10B Sem 1'!O33</f>
        <v>58</v>
      </c>
      <c r="Q93" s="23">
        <f>'10B Sem 1'!P33</f>
        <v>79</v>
      </c>
      <c r="R93" s="23">
        <f>'10B Sem 1'!Q33</f>
        <v>59</v>
      </c>
      <c r="S93" s="22">
        <f>'10B Sem 1'!R33</f>
        <v>771</v>
      </c>
      <c r="T93" s="22">
        <f>'10B Sem 1'!S33</f>
        <v>59.307692307692307</v>
      </c>
      <c r="U93" s="22">
        <f>'10B Sem 1'!T33</f>
        <v>51</v>
      </c>
      <c r="V93" s="22">
        <f>'10B Sem 1'!U33</f>
        <v>0</v>
      </c>
      <c r="W93" s="22">
        <f>'10B Sem 1'!V33</f>
        <v>0</v>
      </c>
      <c r="X93" s="5"/>
      <c r="Y93" s="5"/>
      <c r="Z93" s="5"/>
      <c r="AA93" s="5"/>
      <c r="AB93" s="5"/>
    </row>
    <row r="94" spans="1:28" ht="18.75" customHeight="1" thickBot="1" x14ac:dyDescent="0.3">
      <c r="A94" s="249"/>
      <c r="B94" s="218"/>
      <c r="C94" s="213">
        <v>15</v>
      </c>
      <c r="D94" s="217" t="s">
        <v>23</v>
      </c>
      <c r="E94" s="21" t="s">
        <v>22</v>
      </c>
      <c r="F94" s="22">
        <f>'10B Sem 2'!E33</f>
        <v>69</v>
      </c>
      <c r="G94" s="23">
        <f>'10B Sem 2'!F33</f>
        <v>62</v>
      </c>
      <c r="H94" s="23">
        <f>'10B Sem 2'!G33</f>
        <v>42</v>
      </c>
      <c r="I94" s="23">
        <f>'10B Sem 2'!H33</f>
        <v>47</v>
      </c>
      <c r="J94" s="22">
        <f>'10B Sem 2'!I33</f>
        <v>53</v>
      </c>
      <c r="K94" s="22">
        <f>'10B Sem 2'!J33</f>
        <v>58</v>
      </c>
      <c r="L94" s="22">
        <f>'10B Sem 2'!K33</f>
        <v>67</v>
      </c>
      <c r="M94" s="22">
        <f>'10B Sem 2'!L33</f>
        <v>81</v>
      </c>
      <c r="N94" s="22">
        <f>'10B Sem 2'!M33</f>
        <v>77</v>
      </c>
      <c r="O94" s="22">
        <f>'10B Sem 2'!N33</f>
        <v>74</v>
      </c>
      <c r="P94" s="23">
        <f>'10B Sem 2'!O33</f>
        <v>58</v>
      </c>
      <c r="Q94" s="23">
        <f>'10B Sem 2'!P33</f>
        <v>86</v>
      </c>
      <c r="R94" s="23">
        <f>'10B Sem 2'!Q33</f>
        <v>65</v>
      </c>
      <c r="S94" s="22">
        <f>'10B Sem 2'!R33</f>
        <v>839</v>
      </c>
      <c r="T94" s="22">
        <f>'10B Sem 2'!S33</f>
        <v>64.538461538461533</v>
      </c>
      <c r="U94" s="22">
        <f>'10B Sem 2'!T33</f>
        <v>46</v>
      </c>
      <c r="V94" s="22">
        <f>'10B Sem 2'!U33</f>
        <v>0</v>
      </c>
      <c r="W94" s="22">
        <f>'10B Sem 2'!V33</f>
        <v>0</v>
      </c>
      <c r="X94" s="5"/>
      <c r="Y94" s="5"/>
      <c r="Z94" s="5"/>
      <c r="AA94" s="5"/>
      <c r="AB94" s="5"/>
    </row>
    <row r="95" spans="1:28" ht="18.75" customHeight="1" thickBot="1" x14ac:dyDescent="0.3">
      <c r="A95" s="249"/>
      <c r="B95" s="218"/>
      <c r="C95" s="213">
        <v>15</v>
      </c>
      <c r="D95" s="217" t="s">
        <v>23</v>
      </c>
      <c r="E95" s="21" t="s">
        <v>16</v>
      </c>
      <c r="F95" s="22">
        <f>AVERAGE(F93:F94)</f>
        <v>71.5</v>
      </c>
      <c r="G95" s="22">
        <f t="shared" ref="G95:W95" si="29">AVERAGE(G93:G94)</f>
        <v>59</v>
      </c>
      <c r="H95" s="22">
        <f t="shared" si="29"/>
        <v>46.5</v>
      </c>
      <c r="I95" s="22">
        <f t="shared" si="29"/>
        <v>44.5</v>
      </c>
      <c r="J95" s="22">
        <f t="shared" si="29"/>
        <v>51</v>
      </c>
      <c r="K95" s="22">
        <f t="shared" si="29"/>
        <v>59</v>
      </c>
      <c r="L95" s="22">
        <f t="shared" si="29"/>
        <v>65.5</v>
      </c>
      <c r="M95" s="22">
        <f t="shared" si="29"/>
        <v>70.5</v>
      </c>
      <c r="N95" s="22">
        <f t="shared" si="29"/>
        <v>67</v>
      </c>
      <c r="O95" s="22">
        <f t="shared" si="29"/>
        <v>68</v>
      </c>
      <c r="P95" s="22">
        <f t="shared" si="29"/>
        <v>58</v>
      </c>
      <c r="Q95" s="22">
        <f t="shared" si="29"/>
        <v>82.5</v>
      </c>
      <c r="R95" s="22">
        <f t="shared" si="29"/>
        <v>62</v>
      </c>
      <c r="S95" s="22">
        <f t="shared" si="29"/>
        <v>805</v>
      </c>
      <c r="T95" s="22">
        <f t="shared" si="29"/>
        <v>61.92307692307692</v>
      </c>
      <c r="U95" s="22">
        <f>'10B Sem avr'!$H$33</f>
        <v>49</v>
      </c>
      <c r="V95" s="22">
        <f t="shared" si="29"/>
        <v>0</v>
      </c>
      <c r="W95" s="22">
        <f t="shared" si="29"/>
        <v>0</v>
      </c>
      <c r="X95" s="5"/>
      <c r="Y95" s="5"/>
      <c r="Z95" s="5"/>
      <c r="AA95" s="5"/>
      <c r="AB95" s="5"/>
    </row>
    <row r="96" spans="1:28" ht="18.75" customHeight="1" thickBot="1" x14ac:dyDescent="0.3">
      <c r="A96" s="247">
        <v>31</v>
      </c>
      <c r="B96" s="218"/>
      <c r="C96" s="213">
        <v>16</v>
      </c>
      <c r="D96" s="217" t="s">
        <v>20</v>
      </c>
      <c r="E96" s="21" t="s">
        <v>21</v>
      </c>
      <c r="F96" s="22">
        <f>'10B Sem 1'!E34</f>
        <v>88</v>
      </c>
      <c r="G96" s="22">
        <f>'10B Sem 1'!F34</f>
        <v>80</v>
      </c>
      <c r="H96" s="23">
        <f>'10B Sem 1'!G34</f>
        <v>66</v>
      </c>
      <c r="I96" s="22">
        <f>'10B Sem 1'!H34</f>
        <v>60</v>
      </c>
      <c r="J96" s="22">
        <f>'10B Sem 1'!I34</f>
        <v>54</v>
      </c>
      <c r="K96" s="22">
        <f>'10B Sem 1'!J34</f>
        <v>84</v>
      </c>
      <c r="L96" s="23">
        <f>'10B Sem 1'!K34</f>
        <v>64</v>
      </c>
      <c r="M96" s="22">
        <f>'10B Sem 1'!L34</f>
        <v>70</v>
      </c>
      <c r="N96" s="22">
        <f>'10B Sem 1'!M34</f>
        <v>85</v>
      </c>
      <c r="O96" s="22">
        <f>'10B Sem 1'!N34</f>
        <v>88</v>
      </c>
      <c r="P96" s="22">
        <f>'10B Sem 1'!O34</f>
        <v>85</v>
      </c>
      <c r="Q96" s="22">
        <f>'10B Sem 1'!P34</f>
        <v>92</v>
      </c>
      <c r="R96" s="22">
        <f>'10B Sem 1'!Q34</f>
        <v>77</v>
      </c>
      <c r="S96" s="22">
        <f>'10B Sem 1'!R34</f>
        <v>993</v>
      </c>
      <c r="T96" s="22">
        <f>'10B Sem 1'!S34</f>
        <v>76.384615384615387</v>
      </c>
      <c r="U96" s="22">
        <f>'10B Sem 1'!T34</f>
        <v>24</v>
      </c>
      <c r="V96" s="22">
        <f>'10B Sem 1'!U34</f>
        <v>0</v>
      </c>
      <c r="W96" s="22">
        <f>'10B Sem 1'!V34</f>
        <v>0</v>
      </c>
      <c r="X96" s="5"/>
      <c r="Y96" s="5"/>
      <c r="Z96" s="5"/>
      <c r="AA96" s="5"/>
      <c r="AB96" s="5"/>
    </row>
    <row r="97" spans="1:28" ht="18.75" customHeight="1" thickBot="1" x14ac:dyDescent="0.3">
      <c r="A97" s="247"/>
      <c r="B97" s="218"/>
      <c r="C97" s="213">
        <v>16</v>
      </c>
      <c r="D97" s="217" t="s">
        <v>20</v>
      </c>
      <c r="E97" s="21" t="s">
        <v>22</v>
      </c>
      <c r="F97" s="22">
        <f>'10B Sem 2'!E34</f>
        <v>84</v>
      </c>
      <c r="G97" s="22">
        <f>'10B Sem 2'!F34</f>
        <v>76</v>
      </c>
      <c r="H97" s="23">
        <f>'10B Sem 2'!G34</f>
        <v>66</v>
      </c>
      <c r="I97" s="22">
        <f>'10B Sem 2'!H34</f>
        <v>57</v>
      </c>
      <c r="J97" s="22">
        <f>'10B Sem 2'!I34</f>
        <v>61</v>
      </c>
      <c r="K97" s="22">
        <f>'10B Sem 2'!J34</f>
        <v>70</v>
      </c>
      <c r="L97" s="23">
        <f>'10B Sem 2'!K34</f>
        <v>69</v>
      </c>
      <c r="M97" s="22">
        <f>'10B Sem 2'!L34</f>
        <v>89</v>
      </c>
      <c r="N97" s="22">
        <f>'10B Sem 2'!M34</f>
        <v>76</v>
      </c>
      <c r="O97" s="22">
        <f>'10B Sem 2'!N34</f>
        <v>88</v>
      </c>
      <c r="P97" s="22">
        <f>'10B Sem 2'!O34</f>
        <v>67</v>
      </c>
      <c r="Q97" s="22">
        <f>'10B Sem 2'!P34</f>
        <v>91</v>
      </c>
      <c r="R97" s="22">
        <f>'10B Sem 2'!Q34</f>
        <v>66</v>
      </c>
      <c r="S97" s="22">
        <f>'10B Sem 2'!R34</f>
        <v>960</v>
      </c>
      <c r="T97" s="22">
        <f>'10B Sem 2'!S34</f>
        <v>73.84615384615384</v>
      </c>
      <c r="U97" s="22">
        <f>'10B Sem 2'!T34</f>
        <v>32</v>
      </c>
      <c r="V97" s="22">
        <f>'10B Sem 2'!U34</f>
        <v>0</v>
      </c>
      <c r="W97" s="22">
        <f>'10B Sem 2'!V34</f>
        <v>0</v>
      </c>
      <c r="X97" s="5"/>
      <c r="Y97" s="5"/>
      <c r="Z97" s="5"/>
      <c r="AA97" s="5"/>
      <c r="AB97" s="5"/>
    </row>
    <row r="98" spans="1:28" ht="18.75" customHeight="1" thickBot="1" x14ac:dyDescent="0.3">
      <c r="A98" s="247"/>
      <c r="B98" s="218"/>
      <c r="C98" s="213">
        <v>16</v>
      </c>
      <c r="D98" s="217" t="s">
        <v>20</v>
      </c>
      <c r="E98" s="21" t="s">
        <v>16</v>
      </c>
      <c r="F98" s="22">
        <f>AVERAGE(F96:F97)</f>
        <v>86</v>
      </c>
      <c r="G98" s="22">
        <f t="shared" ref="G98:W98" si="30">AVERAGE(G96:G97)</f>
        <v>78</v>
      </c>
      <c r="H98" s="22">
        <f t="shared" si="30"/>
        <v>66</v>
      </c>
      <c r="I98" s="22">
        <f t="shared" si="30"/>
        <v>58.5</v>
      </c>
      <c r="J98" s="22">
        <f t="shared" si="30"/>
        <v>57.5</v>
      </c>
      <c r="K98" s="22">
        <f t="shared" si="30"/>
        <v>77</v>
      </c>
      <c r="L98" s="22">
        <f t="shared" si="30"/>
        <v>66.5</v>
      </c>
      <c r="M98" s="22">
        <f t="shared" si="30"/>
        <v>79.5</v>
      </c>
      <c r="N98" s="22">
        <f t="shared" si="30"/>
        <v>80.5</v>
      </c>
      <c r="O98" s="22">
        <f t="shared" si="30"/>
        <v>88</v>
      </c>
      <c r="P98" s="22">
        <f t="shared" si="30"/>
        <v>76</v>
      </c>
      <c r="Q98" s="22">
        <f t="shared" si="30"/>
        <v>91.5</v>
      </c>
      <c r="R98" s="22">
        <f t="shared" si="30"/>
        <v>71.5</v>
      </c>
      <c r="S98" s="22">
        <f t="shared" si="30"/>
        <v>976.5</v>
      </c>
      <c r="T98" s="22">
        <f t="shared" si="30"/>
        <v>75.115384615384613</v>
      </c>
      <c r="U98" s="22">
        <f>'10B Sem avr'!$H$34</f>
        <v>31</v>
      </c>
      <c r="V98" s="22">
        <f t="shared" si="30"/>
        <v>0</v>
      </c>
      <c r="W98" s="22">
        <f t="shared" si="30"/>
        <v>0</v>
      </c>
      <c r="X98" s="5"/>
      <c r="Y98" s="5"/>
      <c r="Z98" s="5"/>
      <c r="AA98" s="5"/>
      <c r="AB98" s="5"/>
    </row>
    <row r="99" spans="1:28" ht="18.75" customHeight="1" thickBot="1" x14ac:dyDescent="0.3">
      <c r="A99" s="247">
        <v>32</v>
      </c>
      <c r="B99" s="218"/>
      <c r="C99" s="213">
        <v>15</v>
      </c>
      <c r="D99" s="217" t="s">
        <v>23</v>
      </c>
      <c r="E99" s="21" t="s">
        <v>21</v>
      </c>
      <c r="F99" s="22">
        <f>'10B Sem 1'!E35</f>
        <v>89</v>
      </c>
      <c r="G99" s="22">
        <f>'10B Sem 1'!F35</f>
        <v>84</v>
      </c>
      <c r="H99" s="22">
        <f>'10B Sem 1'!G35</f>
        <v>90</v>
      </c>
      <c r="I99" s="22">
        <f>'10B Sem 1'!H35</f>
        <v>89</v>
      </c>
      <c r="J99" s="22">
        <f>'10B Sem 1'!I35</f>
        <v>80</v>
      </c>
      <c r="K99" s="22">
        <f>'10B Sem 1'!J35</f>
        <v>93</v>
      </c>
      <c r="L99" s="22">
        <f>'10B Sem 1'!K35</f>
        <v>91</v>
      </c>
      <c r="M99" s="22">
        <f>'10B Sem 1'!L35</f>
        <v>95</v>
      </c>
      <c r="N99" s="22">
        <f>'10B Sem 1'!M35</f>
        <v>95</v>
      </c>
      <c r="O99" s="22">
        <f>'10B Sem 1'!N35</f>
        <v>98</v>
      </c>
      <c r="P99" s="22">
        <f>'10B Sem 1'!O35</f>
        <v>92</v>
      </c>
      <c r="Q99" s="22">
        <f>'10B Sem 1'!P35</f>
        <v>94</v>
      </c>
      <c r="R99" s="22">
        <f>'10B Sem 1'!Q35</f>
        <v>85</v>
      </c>
      <c r="S99" s="22">
        <f>'10B Sem 1'!R35</f>
        <v>1175</v>
      </c>
      <c r="T99" s="22">
        <f>'10B Sem 1'!S35</f>
        <v>90.384615384615387</v>
      </c>
      <c r="U99" s="22">
        <f>'10B Sem 1'!T35</f>
        <v>5</v>
      </c>
      <c r="V99" s="22">
        <f>'10B Sem 1'!U35</f>
        <v>0</v>
      </c>
      <c r="W99" s="22">
        <f>'10B Sem 1'!V35</f>
        <v>0</v>
      </c>
      <c r="X99" s="5"/>
      <c r="Y99" s="5"/>
      <c r="Z99" s="5"/>
      <c r="AA99" s="5"/>
      <c r="AB99" s="5"/>
    </row>
    <row r="100" spans="1:28" ht="17.25" customHeight="1" thickBot="1" x14ac:dyDescent="0.3">
      <c r="A100" s="247"/>
      <c r="B100" s="218"/>
      <c r="C100" s="213">
        <v>15</v>
      </c>
      <c r="D100" s="217" t="s">
        <v>23</v>
      </c>
      <c r="E100" s="21" t="s">
        <v>22</v>
      </c>
      <c r="F100" s="22">
        <f>'10B Sem 2'!E35</f>
        <v>88</v>
      </c>
      <c r="G100" s="22">
        <f>'10B Sem 2'!F35</f>
        <v>78</v>
      </c>
      <c r="H100" s="22">
        <f>'10B Sem 2'!G35</f>
        <v>82</v>
      </c>
      <c r="I100" s="22">
        <f>'10B Sem 2'!H35</f>
        <v>81</v>
      </c>
      <c r="J100" s="22">
        <f>'10B Sem 2'!I35</f>
        <v>86</v>
      </c>
      <c r="K100" s="22">
        <f>'10B Sem 2'!J35</f>
        <v>91</v>
      </c>
      <c r="L100" s="22">
        <f>'10B Sem 2'!K35</f>
        <v>92</v>
      </c>
      <c r="M100" s="22">
        <f>'10B Sem 2'!L35</f>
        <v>100</v>
      </c>
      <c r="N100" s="22">
        <f>'10B Sem 2'!M35</f>
        <v>99</v>
      </c>
      <c r="O100" s="22">
        <f>'10B Sem 2'!N35</f>
        <v>100</v>
      </c>
      <c r="P100" s="22">
        <f>'10B Sem 2'!O35</f>
        <v>87</v>
      </c>
      <c r="Q100" s="22">
        <f>'10B Sem 2'!P35</f>
        <v>96</v>
      </c>
      <c r="R100" s="22">
        <f>'10B Sem 2'!Q35</f>
        <v>100</v>
      </c>
      <c r="S100" s="22">
        <f>'10B Sem 2'!R35</f>
        <v>1180</v>
      </c>
      <c r="T100" s="22">
        <f>'10B Sem 2'!S35</f>
        <v>90.769230769230774</v>
      </c>
      <c r="U100" s="22">
        <f>'10B Sem 2'!T35</f>
        <v>3</v>
      </c>
      <c r="V100" s="22">
        <f>'10B Sem 2'!U35</f>
        <v>0</v>
      </c>
      <c r="W100" s="22">
        <f>'10B Sem 2'!V35</f>
        <v>0</v>
      </c>
      <c r="X100" s="5"/>
      <c r="Y100" s="5"/>
      <c r="Z100" s="5"/>
      <c r="AA100" s="5"/>
      <c r="AB100" s="5"/>
    </row>
    <row r="101" spans="1:28" ht="17.25" customHeight="1" thickBot="1" x14ac:dyDescent="0.3">
      <c r="A101" s="247"/>
      <c r="B101" s="218"/>
      <c r="C101" s="213">
        <v>15</v>
      </c>
      <c r="D101" s="217" t="s">
        <v>23</v>
      </c>
      <c r="E101" s="21" t="s">
        <v>16</v>
      </c>
      <c r="F101" s="22">
        <f>AVERAGE(F99:F100)</f>
        <v>88.5</v>
      </c>
      <c r="G101" s="22">
        <f t="shared" ref="G101:W101" si="31">AVERAGE(G99:G100)</f>
        <v>81</v>
      </c>
      <c r="H101" s="22">
        <f t="shared" si="31"/>
        <v>86</v>
      </c>
      <c r="I101" s="22">
        <f t="shared" si="31"/>
        <v>85</v>
      </c>
      <c r="J101" s="22">
        <f t="shared" si="31"/>
        <v>83</v>
      </c>
      <c r="K101" s="22">
        <f t="shared" si="31"/>
        <v>92</v>
      </c>
      <c r="L101" s="22">
        <f t="shared" si="31"/>
        <v>91.5</v>
      </c>
      <c r="M101" s="22">
        <f t="shared" si="31"/>
        <v>97.5</v>
      </c>
      <c r="N101" s="22">
        <f t="shared" si="31"/>
        <v>97</v>
      </c>
      <c r="O101" s="22">
        <f t="shared" si="31"/>
        <v>99</v>
      </c>
      <c r="P101" s="22">
        <f t="shared" si="31"/>
        <v>89.5</v>
      </c>
      <c r="Q101" s="22">
        <f t="shared" si="31"/>
        <v>95</v>
      </c>
      <c r="R101" s="22">
        <f t="shared" si="31"/>
        <v>92.5</v>
      </c>
      <c r="S101" s="22">
        <f t="shared" si="31"/>
        <v>1177.5</v>
      </c>
      <c r="T101" s="22">
        <f t="shared" si="31"/>
        <v>90.57692307692308</v>
      </c>
      <c r="U101" s="22">
        <f>'10B Sem avr'!$H$35</f>
        <v>5</v>
      </c>
      <c r="V101" s="22">
        <f t="shared" si="31"/>
        <v>0</v>
      </c>
      <c r="W101" s="22">
        <f t="shared" si="31"/>
        <v>0</v>
      </c>
      <c r="X101" s="5"/>
      <c r="Y101" s="5"/>
      <c r="Z101" s="5"/>
      <c r="AA101" s="5"/>
      <c r="AB101" s="5"/>
    </row>
    <row r="102" spans="1:28" ht="17.25" customHeight="1" thickBot="1" x14ac:dyDescent="0.3">
      <c r="A102" s="247">
        <v>33</v>
      </c>
      <c r="B102" s="218"/>
      <c r="C102" s="213">
        <v>15</v>
      </c>
      <c r="D102" s="217" t="s">
        <v>23</v>
      </c>
      <c r="E102" s="21" t="s">
        <v>21</v>
      </c>
      <c r="F102" s="22">
        <f>'10B Sem 1'!E36</f>
        <v>90</v>
      </c>
      <c r="G102" s="22">
        <f>'10B Sem 1'!F36</f>
        <v>86</v>
      </c>
      <c r="H102" s="23">
        <f>'10B Sem 1'!G36</f>
        <v>89</v>
      </c>
      <c r="I102" s="22">
        <f>'10B Sem 1'!H36</f>
        <v>87</v>
      </c>
      <c r="J102" s="22">
        <f>'10B Sem 1'!I36</f>
        <v>89</v>
      </c>
      <c r="K102" s="22">
        <f>'10B Sem 1'!J36</f>
        <v>97</v>
      </c>
      <c r="L102" s="22">
        <f>'10B Sem 1'!K36</f>
        <v>93</v>
      </c>
      <c r="M102" s="22">
        <f>'10B Sem 1'!L36</f>
        <v>97</v>
      </c>
      <c r="N102" s="22">
        <f>'10B Sem 1'!M36</f>
        <v>98</v>
      </c>
      <c r="O102" s="22">
        <f>'10B Sem 1'!N36</f>
        <v>96</v>
      </c>
      <c r="P102" s="22">
        <f>'10B Sem 1'!O36</f>
        <v>91</v>
      </c>
      <c r="Q102" s="22">
        <f>'10B Sem 1'!P36</f>
        <v>99</v>
      </c>
      <c r="R102" s="22">
        <f>'10B Sem 1'!Q36</f>
        <v>96</v>
      </c>
      <c r="S102" s="22">
        <f>'10B Sem 1'!R36</f>
        <v>1208</v>
      </c>
      <c r="T102" s="22">
        <f>'10B Sem 1'!S36</f>
        <v>92.92307692307692</v>
      </c>
      <c r="U102" s="22">
        <f>'10B Sem 1'!T36</f>
        <v>2</v>
      </c>
      <c r="V102" s="22">
        <f>'10B Sem 1'!U36</f>
        <v>0</v>
      </c>
      <c r="W102" s="22">
        <f>'10B Sem 1'!V36</f>
        <v>0</v>
      </c>
      <c r="X102" s="5"/>
      <c r="Y102" s="5"/>
      <c r="Z102" s="5"/>
      <c r="AA102" s="5"/>
      <c r="AB102" s="5"/>
    </row>
    <row r="103" spans="1:28" ht="17.25" customHeight="1" thickBot="1" x14ac:dyDescent="0.3">
      <c r="A103" s="247"/>
      <c r="B103" s="218"/>
      <c r="C103" s="213">
        <v>15</v>
      </c>
      <c r="D103" s="217" t="s">
        <v>23</v>
      </c>
      <c r="E103" s="21" t="s">
        <v>22</v>
      </c>
      <c r="F103" s="22">
        <f>'10B Sem 2'!E36</f>
        <v>85</v>
      </c>
      <c r="G103" s="22">
        <f>'10B Sem 2'!F36</f>
        <v>86</v>
      </c>
      <c r="H103" s="23">
        <f>'10B Sem 2'!G36</f>
        <v>83</v>
      </c>
      <c r="I103" s="22">
        <f>'10B Sem 2'!H36</f>
        <v>80</v>
      </c>
      <c r="J103" s="22">
        <f>'10B Sem 2'!I36</f>
        <v>80</v>
      </c>
      <c r="K103" s="22">
        <f>'10B Sem 2'!J36</f>
        <v>95</v>
      </c>
      <c r="L103" s="22">
        <f>'10B Sem 2'!K36</f>
        <v>94</v>
      </c>
      <c r="M103" s="22">
        <f>'10B Sem 2'!L36</f>
        <v>99</v>
      </c>
      <c r="N103" s="22">
        <f>'10B Sem 2'!M36</f>
        <v>95</v>
      </c>
      <c r="O103" s="22">
        <f>'10B Sem 2'!N36</f>
        <v>98</v>
      </c>
      <c r="P103" s="22">
        <f>'10B Sem 2'!O36</f>
        <v>84</v>
      </c>
      <c r="Q103" s="22">
        <f>'10B Sem 2'!P36</f>
        <v>95</v>
      </c>
      <c r="R103" s="22">
        <f>'10B Sem 2'!Q36</f>
        <v>96</v>
      </c>
      <c r="S103" s="22">
        <f>'10B Sem 2'!R36</f>
        <v>1170</v>
      </c>
      <c r="T103" s="22">
        <f>'10B Sem 2'!S36</f>
        <v>90</v>
      </c>
      <c r="U103" s="22">
        <f>'10B Sem 2'!T36</f>
        <v>5</v>
      </c>
      <c r="V103" s="22">
        <f>'10B Sem 2'!U36</f>
        <v>0</v>
      </c>
      <c r="W103" s="22">
        <f>'10B Sem 2'!V36</f>
        <v>0</v>
      </c>
      <c r="X103" s="5"/>
      <c r="Y103" s="5"/>
      <c r="Z103" s="5"/>
      <c r="AA103" s="5"/>
      <c r="AB103" s="5"/>
    </row>
    <row r="104" spans="1:28" ht="17.25" customHeight="1" thickBot="1" x14ac:dyDescent="0.3">
      <c r="A104" s="247"/>
      <c r="B104" s="218"/>
      <c r="C104" s="213">
        <v>15</v>
      </c>
      <c r="D104" s="217" t="s">
        <v>23</v>
      </c>
      <c r="E104" s="21" t="s">
        <v>16</v>
      </c>
      <c r="F104" s="22">
        <f>AVERAGE(F102:F103)</f>
        <v>87.5</v>
      </c>
      <c r="G104" s="22">
        <f t="shared" ref="G104:W104" si="32">AVERAGE(G102:G103)</f>
        <v>86</v>
      </c>
      <c r="H104" s="22">
        <f t="shared" si="32"/>
        <v>86</v>
      </c>
      <c r="I104" s="22">
        <f t="shared" si="32"/>
        <v>83.5</v>
      </c>
      <c r="J104" s="22">
        <f t="shared" si="32"/>
        <v>84.5</v>
      </c>
      <c r="K104" s="22">
        <f t="shared" si="32"/>
        <v>96</v>
      </c>
      <c r="L104" s="22">
        <f t="shared" si="32"/>
        <v>93.5</v>
      </c>
      <c r="M104" s="22">
        <f t="shared" si="32"/>
        <v>98</v>
      </c>
      <c r="N104" s="22">
        <f t="shared" si="32"/>
        <v>96.5</v>
      </c>
      <c r="O104" s="22">
        <f t="shared" si="32"/>
        <v>97</v>
      </c>
      <c r="P104" s="22">
        <f t="shared" si="32"/>
        <v>87.5</v>
      </c>
      <c r="Q104" s="22">
        <f t="shared" si="32"/>
        <v>97</v>
      </c>
      <c r="R104" s="22">
        <f t="shared" si="32"/>
        <v>96</v>
      </c>
      <c r="S104" s="22">
        <f t="shared" si="32"/>
        <v>1189</v>
      </c>
      <c r="T104" s="22">
        <f t="shared" si="32"/>
        <v>91.461538461538453</v>
      </c>
      <c r="U104" s="22">
        <f>'10B Sem avr'!$H$36</f>
        <v>3</v>
      </c>
      <c r="V104" s="22">
        <f t="shared" si="32"/>
        <v>0</v>
      </c>
      <c r="W104" s="22">
        <f t="shared" si="32"/>
        <v>0</v>
      </c>
      <c r="X104" s="5"/>
      <c r="Y104" s="5"/>
      <c r="Z104" s="5"/>
      <c r="AA104" s="5"/>
      <c r="AB104" s="5"/>
    </row>
    <row r="105" spans="1:28" ht="17.25" customHeight="1" thickBot="1" x14ac:dyDescent="0.3">
      <c r="A105" s="249">
        <v>34</v>
      </c>
      <c r="B105" s="218"/>
      <c r="C105" s="213">
        <v>15</v>
      </c>
      <c r="D105" s="217" t="s">
        <v>20</v>
      </c>
      <c r="E105" s="21" t="s">
        <v>21</v>
      </c>
      <c r="F105" s="22">
        <f>'10B Sem 1'!E37</f>
        <v>82</v>
      </c>
      <c r="G105" s="22">
        <f>'10B Sem 1'!F37</f>
        <v>86</v>
      </c>
      <c r="H105" s="22">
        <f>'10B Sem 1'!G37</f>
        <v>75</v>
      </c>
      <c r="I105" s="22">
        <f>'10B Sem 1'!H37</f>
        <v>70</v>
      </c>
      <c r="J105" s="22">
        <f>'10B Sem 1'!I37</f>
        <v>60</v>
      </c>
      <c r="K105" s="22">
        <f>'10B Sem 1'!J37</f>
        <v>69</v>
      </c>
      <c r="L105" s="22">
        <f>'10B Sem 1'!K37</f>
        <v>74</v>
      </c>
      <c r="M105" s="22">
        <f>'10B Sem 1'!L37</f>
        <v>70</v>
      </c>
      <c r="N105" s="22">
        <f>'10B Sem 1'!M37</f>
        <v>78</v>
      </c>
      <c r="O105" s="22">
        <f>'10B Sem 1'!N37</f>
        <v>82</v>
      </c>
      <c r="P105" s="22">
        <f>'10B Sem 1'!O37</f>
        <v>86</v>
      </c>
      <c r="Q105" s="22">
        <f>'10B Sem 1'!P37</f>
        <v>88</v>
      </c>
      <c r="R105" s="22">
        <f>'10B Sem 1'!Q37</f>
        <v>63</v>
      </c>
      <c r="S105" s="22">
        <f>'10B Sem 1'!R37</f>
        <v>983</v>
      </c>
      <c r="T105" s="22">
        <f>'10B Sem 1'!S37</f>
        <v>75.615384615384613</v>
      </c>
      <c r="U105" s="22">
        <f>'10B Sem 1'!T37</f>
        <v>26</v>
      </c>
      <c r="V105" s="22">
        <f>'10B Sem 1'!U37</f>
        <v>0</v>
      </c>
      <c r="W105" s="22">
        <f>'10B Sem 1'!V37</f>
        <v>0</v>
      </c>
      <c r="X105" s="5"/>
      <c r="Y105" s="5"/>
      <c r="Z105" s="5"/>
      <c r="AA105" s="5"/>
      <c r="AB105" s="5"/>
    </row>
    <row r="106" spans="1:28" ht="17.25" customHeight="1" thickBot="1" x14ac:dyDescent="0.3">
      <c r="A106" s="249"/>
      <c r="B106" s="218"/>
      <c r="C106" s="213">
        <v>15</v>
      </c>
      <c r="D106" s="217" t="s">
        <v>20</v>
      </c>
      <c r="E106" s="21" t="s">
        <v>22</v>
      </c>
      <c r="F106" s="22">
        <f>'10B Sem 2'!E37</f>
        <v>83</v>
      </c>
      <c r="G106" s="22">
        <f>'10B Sem 2'!F37</f>
        <v>86</v>
      </c>
      <c r="H106" s="22">
        <f>'10B Sem 2'!G37</f>
        <v>67</v>
      </c>
      <c r="I106" s="22">
        <f>'10B Sem 2'!H37</f>
        <v>66</v>
      </c>
      <c r="J106" s="22">
        <f>'10B Sem 2'!I37</f>
        <v>61</v>
      </c>
      <c r="K106" s="22">
        <f>'10B Sem 2'!J37</f>
        <v>86</v>
      </c>
      <c r="L106" s="22">
        <f>'10B Sem 2'!K37</f>
        <v>80</v>
      </c>
      <c r="M106" s="22">
        <f>'10B Sem 2'!L37</f>
        <v>89</v>
      </c>
      <c r="N106" s="22">
        <f>'10B Sem 2'!M37</f>
        <v>73</v>
      </c>
      <c r="O106" s="22">
        <f>'10B Sem 2'!N37</f>
        <v>92</v>
      </c>
      <c r="P106" s="22">
        <f>'10B Sem 2'!O37</f>
        <v>71</v>
      </c>
      <c r="Q106" s="22">
        <f>'10B Sem 2'!P37</f>
        <v>99</v>
      </c>
      <c r="R106" s="22">
        <f>'10B Sem 2'!Q37</f>
        <v>66</v>
      </c>
      <c r="S106" s="22">
        <f>'10B Sem 2'!R37</f>
        <v>1019</v>
      </c>
      <c r="T106" s="22">
        <f>'10B Sem 2'!S37</f>
        <v>78.384615384615387</v>
      </c>
      <c r="U106" s="22">
        <f>'10B Sem 2'!T37</f>
        <v>24</v>
      </c>
      <c r="V106" s="22">
        <f>'10B Sem 2'!U37</f>
        <v>0</v>
      </c>
      <c r="W106" s="22">
        <f>'10B Sem 2'!V37</f>
        <v>0</v>
      </c>
      <c r="X106" s="5"/>
      <c r="Y106" s="5"/>
      <c r="Z106" s="5"/>
      <c r="AA106" s="5"/>
      <c r="AB106" s="5"/>
    </row>
    <row r="107" spans="1:28" ht="17.25" customHeight="1" thickBot="1" x14ac:dyDescent="0.3">
      <c r="A107" s="249"/>
      <c r="B107" s="218"/>
      <c r="C107" s="213">
        <v>15</v>
      </c>
      <c r="D107" s="217" t="s">
        <v>20</v>
      </c>
      <c r="E107" s="21" t="s">
        <v>16</v>
      </c>
      <c r="F107" s="22">
        <f>AVERAGE(F105:F106)</f>
        <v>82.5</v>
      </c>
      <c r="G107" s="22">
        <f t="shared" ref="G107:W107" si="33">AVERAGE(G105:G106)</f>
        <v>86</v>
      </c>
      <c r="H107" s="22">
        <f t="shared" si="33"/>
        <v>71</v>
      </c>
      <c r="I107" s="22">
        <f t="shared" si="33"/>
        <v>68</v>
      </c>
      <c r="J107" s="22">
        <f t="shared" si="33"/>
        <v>60.5</v>
      </c>
      <c r="K107" s="22">
        <f t="shared" si="33"/>
        <v>77.5</v>
      </c>
      <c r="L107" s="22">
        <f t="shared" si="33"/>
        <v>77</v>
      </c>
      <c r="M107" s="22">
        <f t="shared" si="33"/>
        <v>79.5</v>
      </c>
      <c r="N107" s="22">
        <f t="shared" si="33"/>
        <v>75.5</v>
      </c>
      <c r="O107" s="22">
        <f t="shared" si="33"/>
        <v>87</v>
      </c>
      <c r="P107" s="22">
        <f t="shared" si="33"/>
        <v>78.5</v>
      </c>
      <c r="Q107" s="22">
        <f t="shared" si="33"/>
        <v>93.5</v>
      </c>
      <c r="R107" s="22">
        <f t="shared" si="33"/>
        <v>64.5</v>
      </c>
      <c r="S107" s="22">
        <f t="shared" si="33"/>
        <v>1001</v>
      </c>
      <c r="T107" s="22">
        <f t="shared" si="33"/>
        <v>77</v>
      </c>
      <c r="U107" s="22">
        <f>'10B Sem avr'!$H$37</f>
        <v>26</v>
      </c>
      <c r="V107" s="22">
        <f t="shared" si="33"/>
        <v>0</v>
      </c>
      <c r="W107" s="22">
        <f t="shared" si="33"/>
        <v>0</v>
      </c>
      <c r="X107" s="5"/>
      <c r="Y107" s="5"/>
      <c r="Z107" s="5"/>
      <c r="AA107" s="5"/>
      <c r="AB107" s="5"/>
    </row>
    <row r="108" spans="1:28" ht="17.25" customHeight="1" thickBot="1" x14ac:dyDescent="0.3">
      <c r="A108" s="249">
        <v>35</v>
      </c>
      <c r="B108" s="218"/>
      <c r="C108" s="213">
        <v>16</v>
      </c>
      <c r="D108" s="217" t="s">
        <v>23</v>
      </c>
      <c r="E108" s="21" t="s">
        <v>21</v>
      </c>
      <c r="F108" s="22">
        <f>'10B Sem 1'!E38</f>
        <v>85</v>
      </c>
      <c r="G108" s="22">
        <f>'10B Sem 1'!F38</f>
        <v>59</v>
      </c>
      <c r="H108" s="22">
        <f>'10B Sem 1'!G38</f>
        <v>69</v>
      </c>
      <c r="I108" s="22">
        <f>'10B Sem 1'!H38</f>
        <v>65</v>
      </c>
      <c r="J108" s="22">
        <f>'10B Sem 1'!I38</f>
        <v>54</v>
      </c>
      <c r="K108" s="22">
        <f>'10B Sem 1'!J38</f>
        <v>69</v>
      </c>
      <c r="L108" s="22">
        <f>'10B Sem 1'!K38</f>
        <v>87</v>
      </c>
      <c r="M108" s="22">
        <f>'10B Sem 1'!L38</f>
        <v>68</v>
      </c>
      <c r="N108" s="22">
        <f>'10B Sem 1'!M38</f>
        <v>70</v>
      </c>
      <c r="O108" s="22">
        <f>'10B Sem 1'!N38</f>
        <v>77</v>
      </c>
      <c r="P108" s="22">
        <f>'10B Sem 1'!O38</f>
        <v>79</v>
      </c>
      <c r="Q108" s="22">
        <f>'10B Sem 1'!P38</f>
        <v>80</v>
      </c>
      <c r="R108" s="22">
        <f>'10B Sem 1'!Q38</f>
        <v>89</v>
      </c>
      <c r="S108" s="22">
        <f>'10B Sem 1'!R38</f>
        <v>951</v>
      </c>
      <c r="T108" s="22">
        <f>'10B Sem 1'!S38</f>
        <v>73.15384615384616</v>
      </c>
      <c r="U108" s="22">
        <f>'10B Sem 1'!T38</f>
        <v>35</v>
      </c>
      <c r="V108" s="22">
        <f>'10B Sem 1'!U38</f>
        <v>0</v>
      </c>
      <c r="W108" s="22">
        <f>'10B Sem 1'!V38</f>
        <v>0</v>
      </c>
      <c r="X108" s="5"/>
      <c r="Y108" s="5"/>
      <c r="Z108" s="5"/>
      <c r="AA108" s="5"/>
      <c r="AB108" s="5"/>
    </row>
    <row r="109" spans="1:28" ht="17.25" customHeight="1" thickBot="1" x14ac:dyDescent="0.3">
      <c r="A109" s="249"/>
      <c r="B109" s="218"/>
      <c r="C109" s="213">
        <v>16</v>
      </c>
      <c r="D109" s="217" t="s">
        <v>23</v>
      </c>
      <c r="E109" s="21" t="s">
        <v>22</v>
      </c>
      <c r="F109" s="22">
        <f>'10B Sem 2'!E38</f>
        <v>78</v>
      </c>
      <c r="G109" s="22">
        <f>'10B Sem 2'!F38</f>
        <v>60</v>
      </c>
      <c r="H109" s="22">
        <f>'10B Sem 2'!G38</f>
        <v>62</v>
      </c>
      <c r="I109" s="22">
        <f>'10B Sem 2'!H38</f>
        <v>63</v>
      </c>
      <c r="J109" s="22">
        <f>'10B Sem 2'!I38</f>
        <v>68</v>
      </c>
      <c r="K109" s="22">
        <f>'10B Sem 2'!J38</f>
        <v>81</v>
      </c>
      <c r="L109" s="22">
        <f>'10B Sem 2'!K38</f>
        <v>84</v>
      </c>
      <c r="M109" s="22">
        <f>'10B Sem 2'!L38</f>
        <v>89</v>
      </c>
      <c r="N109" s="22">
        <f>'10B Sem 2'!M38</f>
        <v>73</v>
      </c>
      <c r="O109" s="22">
        <f>'10B Sem 2'!N38</f>
        <v>84</v>
      </c>
      <c r="P109" s="22">
        <f>'10B Sem 2'!O38</f>
        <v>64</v>
      </c>
      <c r="Q109" s="22">
        <f>'10B Sem 2'!P38</f>
        <v>89</v>
      </c>
      <c r="R109" s="22">
        <f>'10B Sem 2'!Q38</f>
        <v>71</v>
      </c>
      <c r="S109" s="22">
        <f>'10B Sem 2'!R38</f>
        <v>966</v>
      </c>
      <c r="T109" s="22">
        <f>'10B Sem 2'!S38</f>
        <v>74.307692307692307</v>
      </c>
      <c r="U109" s="22">
        <f>'10B Sem 2'!T38</f>
        <v>31</v>
      </c>
      <c r="V109" s="22">
        <f>'10B Sem 2'!U38</f>
        <v>0</v>
      </c>
      <c r="W109" s="22">
        <f>'10B Sem 2'!V38</f>
        <v>0</v>
      </c>
      <c r="X109" s="5"/>
      <c r="Y109" s="5"/>
      <c r="Z109" s="5"/>
      <c r="AA109" s="5"/>
      <c r="AB109" s="5"/>
    </row>
    <row r="110" spans="1:28" ht="17.25" customHeight="1" thickBot="1" x14ac:dyDescent="0.3">
      <c r="A110" s="249"/>
      <c r="B110" s="218"/>
      <c r="C110" s="213">
        <v>16</v>
      </c>
      <c r="D110" s="217" t="s">
        <v>23</v>
      </c>
      <c r="E110" s="21" t="s">
        <v>16</v>
      </c>
      <c r="F110" s="22">
        <f>AVERAGE(F108:F109)</f>
        <v>81.5</v>
      </c>
      <c r="G110" s="22">
        <f t="shared" ref="G110:W110" si="34">AVERAGE(G108:G109)</f>
        <v>59.5</v>
      </c>
      <c r="H110" s="22">
        <f t="shared" si="34"/>
        <v>65.5</v>
      </c>
      <c r="I110" s="22">
        <f t="shared" si="34"/>
        <v>64</v>
      </c>
      <c r="J110" s="22">
        <f t="shared" si="34"/>
        <v>61</v>
      </c>
      <c r="K110" s="22">
        <f t="shared" si="34"/>
        <v>75</v>
      </c>
      <c r="L110" s="22">
        <f t="shared" si="34"/>
        <v>85.5</v>
      </c>
      <c r="M110" s="22">
        <f t="shared" si="34"/>
        <v>78.5</v>
      </c>
      <c r="N110" s="22">
        <f t="shared" si="34"/>
        <v>71.5</v>
      </c>
      <c r="O110" s="22">
        <f t="shared" si="34"/>
        <v>80.5</v>
      </c>
      <c r="P110" s="22">
        <f t="shared" si="34"/>
        <v>71.5</v>
      </c>
      <c r="Q110" s="22">
        <f t="shared" si="34"/>
        <v>84.5</v>
      </c>
      <c r="R110" s="22">
        <f t="shared" si="34"/>
        <v>80</v>
      </c>
      <c r="S110" s="22">
        <f t="shared" si="34"/>
        <v>958.5</v>
      </c>
      <c r="T110" s="22">
        <f t="shared" si="34"/>
        <v>73.730769230769226</v>
      </c>
      <c r="U110" s="22">
        <f>'10B Sem avr'!$H$38</f>
        <v>34</v>
      </c>
      <c r="V110" s="22">
        <f t="shared" si="34"/>
        <v>0</v>
      </c>
      <c r="W110" s="22">
        <f t="shared" si="34"/>
        <v>0</v>
      </c>
      <c r="X110" s="5"/>
      <c r="Y110" s="5"/>
      <c r="Z110" s="5"/>
      <c r="AA110" s="5"/>
      <c r="AB110" s="5"/>
    </row>
    <row r="111" spans="1:28" ht="17.25" customHeight="1" thickBot="1" x14ac:dyDescent="0.3">
      <c r="A111" s="249">
        <v>36</v>
      </c>
      <c r="B111" s="218"/>
      <c r="C111" s="213">
        <v>16</v>
      </c>
      <c r="D111" s="217" t="s">
        <v>23</v>
      </c>
      <c r="E111" s="21" t="s">
        <v>21</v>
      </c>
      <c r="F111" s="22">
        <f>'10B Sem 1'!E39</f>
        <v>82</v>
      </c>
      <c r="G111" s="22">
        <f>'10B Sem 1'!F39</f>
        <v>84</v>
      </c>
      <c r="H111" s="23">
        <f>'10B Sem 1'!G39</f>
        <v>76</v>
      </c>
      <c r="I111" s="22">
        <f>'10B Sem 1'!H39</f>
        <v>63</v>
      </c>
      <c r="J111" s="22">
        <f>'10B Sem 1'!I39</f>
        <v>58</v>
      </c>
      <c r="K111" s="22">
        <f>'10B Sem 1'!J39</f>
        <v>88</v>
      </c>
      <c r="L111" s="22">
        <f>'10B Sem 1'!K39</f>
        <v>86</v>
      </c>
      <c r="M111" s="22">
        <f>'10B Sem 1'!L39</f>
        <v>79</v>
      </c>
      <c r="N111" s="22">
        <f>'10B Sem 1'!M39</f>
        <v>91</v>
      </c>
      <c r="O111" s="22">
        <f>'10B Sem 1'!N39</f>
        <v>84</v>
      </c>
      <c r="P111" s="22">
        <f>'10B Sem 1'!O39</f>
        <v>84</v>
      </c>
      <c r="Q111" s="22">
        <f>'10B Sem 1'!P39</f>
        <v>90</v>
      </c>
      <c r="R111" s="22">
        <f>'10B Sem 1'!Q39</f>
        <v>87</v>
      </c>
      <c r="S111" s="22">
        <f>'10B Sem 1'!R39</f>
        <v>1052</v>
      </c>
      <c r="T111" s="22">
        <f>'10B Sem 1'!S39</f>
        <v>80.92307692307692</v>
      </c>
      <c r="U111" s="22">
        <f>'10B Sem 1'!T39</f>
        <v>16</v>
      </c>
      <c r="V111" s="22">
        <f>'10B Sem 1'!U39</f>
        <v>0</v>
      </c>
      <c r="W111" s="22">
        <f>'10B Sem 1'!V39</f>
        <v>0</v>
      </c>
      <c r="X111" s="5"/>
      <c r="Y111" s="5"/>
      <c r="Z111" s="5"/>
      <c r="AA111" s="5"/>
      <c r="AB111" s="5"/>
    </row>
    <row r="112" spans="1:28" ht="17.25" customHeight="1" thickBot="1" x14ac:dyDescent="0.3">
      <c r="A112" s="249"/>
      <c r="B112" s="218"/>
      <c r="C112" s="213">
        <v>16</v>
      </c>
      <c r="D112" s="217" t="s">
        <v>23</v>
      </c>
      <c r="E112" s="21" t="s">
        <v>22</v>
      </c>
      <c r="F112" s="22">
        <f>'10B Sem 2'!E39</f>
        <v>76</v>
      </c>
      <c r="G112" s="22">
        <f>'10B Sem 2'!F39</f>
        <v>85</v>
      </c>
      <c r="H112" s="23">
        <f>'10B Sem 2'!G39</f>
        <v>56</v>
      </c>
      <c r="I112" s="22">
        <f>'10B Sem 2'!H39</f>
        <v>63</v>
      </c>
      <c r="J112" s="22">
        <f>'10B Sem 2'!I39</f>
        <v>62</v>
      </c>
      <c r="K112" s="22">
        <f>'10B Sem 2'!J39</f>
        <v>75</v>
      </c>
      <c r="L112" s="22">
        <f>'10B Sem 2'!K39</f>
        <v>87</v>
      </c>
      <c r="M112" s="22">
        <f>'10B Sem 2'!L39</f>
        <v>96</v>
      </c>
      <c r="N112" s="22">
        <f>'10B Sem 2'!M39</f>
        <v>92</v>
      </c>
      <c r="O112" s="22">
        <f>'10B Sem 2'!N39</f>
        <v>94</v>
      </c>
      <c r="P112" s="22">
        <f>'10B Sem 2'!O39</f>
        <v>87</v>
      </c>
      <c r="Q112" s="22">
        <f>'10B Sem 2'!P39</f>
        <v>90</v>
      </c>
      <c r="R112" s="22">
        <f>'10B Sem 2'!Q39</f>
        <v>81</v>
      </c>
      <c r="S112" s="22">
        <f>'10B Sem 2'!R39</f>
        <v>1044</v>
      </c>
      <c r="T112" s="22">
        <f>'10B Sem 2'!S39</f>
        <v>80.307692307692307</v>
      </c>
      <c r="U112" s="22">
        <f>'10B Sem 2'!T39</f>
        <v>22</v>
      </c>
      <c r="V112" s="22">
        <f>'10B Sem 2'!U39</f>
        <v>0</v>
      </c>
      <c r="W112" s="22">
        <f>'10B Sem 2'!V39</f>
        <v>0</v>
      </c>
      <c r="X112" s="5"/>
      <c r="Y112" s="5"/>
      <c r="Z112" s="5"/>
      <c r="AA112" s="5"/>
      <c r="AB112" s="5"/>
    </row>
    <row r="113" spans="1:28" ht="17.25" customHeight="1" thickBot="1" x14ac:dyDescent="0.3">
      <c r="A113" s="249"/>
      <c r="B113" s="218"/>
      <c r="C113" s="213">
        <v>16</v>
      </c>
      <c r="D113" s="217" t="s">
        <v>23</v>
      </c>
      <c r="E113" s="21" t="s">
        <v>16</v>
      </c>
      <c r="F113" s="22">
        <f>AVERAGE(F111:F112)</f>
        <v>79</v>
      </c>
      <c r="G113" s="22">
        <f t="shared" ref="G113:W113" si="35">AVERAGE(G111:G112)</f>
        <v>84.5</v>
      </c>
      <c r="H113" s="22">
        <f t="shared" si="35"/>
        <v>66</v>
      </c>
      <c r="I113" s="22">
        <f t="shared" si="35"/>
        <v>63</v>
      </c>
      <c r="J113" s="22">
        <f t="shared" si="35"/>
        <v>60</v>
      </c>
      <c r="K113" s="22">
        <f t="shared" si="35"/>
        <v>81.5</v>
      </c>
      <c r="L113" s="22">
        <f t="shared" si="35"/>
        <v>86.5</v>
      </c>
      <c r="M113" s="22">
        <f t="shared" si="35"/>
        <v>87.5</v>
      </c>
      <c r="N113" s="22">
        <f t="shared" si="35"/>
        <v>91.5</v>
      </c>
      <c r="O113" s="22">
        <f t="shared" si="35"/>
        <v>89</v>
      </c>
      <c r="P113" s="22">
        <f t="shared" si="35"/>
        <v>85.5</v>
      </c>
      <c r="Q113" s="22">
        <f t="shared" si="35"/>
        <v>90</v>
      </c>
      <c r="R113" s="22">
        <f t="shared" si="35"/>
        <v>84</v>
      </c>
      <c r="S113" s="22">
        <f t="shared" si="35"/>
        <v>1048</v>
      </c>
      <c r="T113" s="22">
        <f t="shared" si="35"/>
        <v>80.615384615384613</v>
      </c>
      <c r="U113" s="22">
        <f>'10B Sem avr'!$H$39</f>
        <v>15</v>
      </c>
      <c r="V113" s="22">
        <f t="shared" si="35"/>
        <v>0</v>
      </c>
      <c r="W113" s="22">
        <f t="shared" si="35"/>
        <v>0</v>
      </c>
      <c r="X113" s="5"/>
      <c r="Y113" s="5"/>
      <c r="Z113" s="5"/>
      <c r="AA113" s="5"/>
      <c r="AB113" s="5"/>
    </row>
    <row r="114" spans="1:28" ht="17.25" customHeight="1" thickBot="1" x14ac:dyDescent="0.3">
      <c r="A114" s="247">
        <v>37</v>
      </c>
      <c r="B114" s="218"/>
      <c r="C114" s="213">
        <v>16</v>
      </c>
      <c r="D114" s="217" t="s">
        <v>20</v>
      </c>
      <c r="E114" s="21" t="s">
        <v>21</v>
      </c>
      <c r="F114" s="22">
        <f>'10B Sem 1'!E40</f>
        <v>77</v>
      </c>
      <c r="G114" s="22">
        <f>'10B Sem 1'!F40</f>
        <v>75</v>
      </c>
      <c r="H114" s="22">
        <f>'10B Sem 1'!G40</f>
        <v>76</v>
      </c>
      <c r="I114" s="22">
        <f>'10B Sem 1'!H40</f>
        <v>69</v>
      </c>
      <c r="J114" s="22">
        <f>'10B Sem 1'!I40</f>
        <v>57</v>
      </c>
      <c r="K114" s="22">
        <f>'10B Sem 1'!J40</f>
        <v>78</v>
      </c>
      <c r="L114" s="22">
        <f>'10B Sem 1'!K40</f>
        <v>72</v>
      </c>
      <c r="M114" s="22">
        <f>'10B Sem 1'!L40</f>
        <v>65</v>
      </c>
      <c r="N114" s="22">
        <f>'10B Sem 1'!M40</f>
        <v>77</v>
      </c>
      <c r="O114" s="22">
        <f>'10B Sem 1'!N40</f>
        <v>80</v>
      </c>
      <c r="P114" s="22">
        <f>'10B Sem 1'!O40</f>
        <v>77</v>
      </c>
      <c r="Q114" s="22">
        <f>'10B Sem 1'!P40</f>
        <v>81</v>
      </c>
      <c r="R114" s="22">
        <f>'10B Sem 1'!Q40</f>
        <v>73</v>
      </c>
      <c r="S114" s="22">
        <f>'10B Sem 1'!R40</f>
        <v>957</v>
      </c>
      <c r="T114" s="22">
        <f>'10B Sem 1'!S40</f>
        <v>73.615384615384613</v>
      </c>
      <c r="U114" s="22">
        <f>'10B Sem 1'!T40</f>
        <v>34</v>
      </c>
      <c r="V114" s="22">
        <f>'10B Sem 1'!U40</f>
        <v>0</v>
      </c>
      <c r="W114" s="22">
        <f>'10B Sem 1'!V40</f>
        <v>0</v>
      </c>
      <c r="X114" s="5"/>
      <c r="Y114" s="5"/>
      <c r="Z114" s="5"/>
      <c r="AA114" s="5"/>
      <c r="AB114" s="5"/>
    </row>
    <row r="115" spans="1:28" ht="17.25" customHeight="1" thickBot="1" x14ac:dyDescent="0.3">
      <c r="A115" s="247"/>
      <c r="B115" s="218"/>
      <c r="C115" s="213">
        <v>16</v>
      </c>
      <c r="D115" s="217" t="s">
        <v>20</v>
      </c>
      <c r="E115" s="21" t="s">
        <v>22</v>
      </c>
      <c r="F115" s="22">
        <f>'10B Sem 2'!E40</f>
        <v>73</v>
      </c>
      <c r="G115" s="22">
        <f>'10B Sem 2'!F40</f>
        <v>72</v>
      </c>
      <c r="H115" s="22">
        <f>'10B Sem 2'!G40</f>
        <v>58</v>
      </c>
      <c r="I115" s="22">
        <f>'10B Sem 2'!H40</f>
        <v>68</v>
      </c>
      <c r="J115" s="22">
        <f>'10B Sem 2'!I40</f>
        <v>60</v>
      </c>
      <c r="K115" s="22">
        <f>'10B Sem 2'!J40</f>
        <v>72</v>
      </c>
      <c r="L115" s="22">
        <f>'10B Sem 2'!K40</f>
        <v>64</v>
      </c>
      <c r="M115" s="22">
        <f>'10B Sem 2'!L40</f>
        <v>72</v>
      </c>
      <c r="N115" s="22">
        <f>'10B Sem 2'!M40</f>
        <v>68</v>
      </c>
      <c r="O115" s="22">
        <f>'10B Sem 2'!N40</f>
        <v>93</v>
      </c>
      <c r="P115" s="22">
        <f>'10B Sem 2'!O40</f>
        <v>73</v>
      </c>
      <c r="Q115" s="22">
        <f>'10B Sem 2'!P40</f>
        <v>89</v>
      </c>
      <c r="R115" s="22">
        <f>'10B Sem 2'!Q40</f>
        <v>60</v>
      </c>
      <c r="S115" s="22">
        <f>'10B Sem 2'!R40</f>
        <v>922</v>
      </c>
      <c r="T115" s="22">
        <f>'10B Sem 2'!S40</f>
        <v>70.92307692307692</v>
      </c>
      <c r="U115" s="22">
        <f>'10B Sem 2'!T40</f>
        <v>37</v>
      </c>
      <c r="V115" s="22">
        <f>'10B Sem 2'!U40</f>
        <v>0</v>
      </c>
      <c r="W115" s="22">
        <f>'10B Sem 2'!V40</f>
        <v>0</v>
      </c>
      <c r="X115" s="5"/>
      <c r="Y115" s="5"/>
      <c r="Z115" s="5"/>
      <c r="AA115" s="5"/>
      <c r="AB115" s="5"/>
    </row>
    <row r="116" spans="1:28" ht="17.25" customHeight="1" thickBot="1" x14ac:dyDescent="0.3">
      <c r="A116" s="247"/>
      <c r="B116" s="218"/>
      <c r="C116" s="213">
        <v>16</v>
      </c>
      <c r="D116" s="217" t="s">
        <v>20</v>
      </c>
      <c r="E116" s="21" t="s">
        <v>16</v>
      </c>
      <c r="F116" s="22">
        <f>AVERAGE(F114:F115)</f>
        <v>75</v>
      </c>
      <c r="G116" s="22">
        <f t="shared" ref="G116:W116" si="36">AVERAGE(G114:G115)</f>
        <v>73.5</v>
      </c>
      <c r="H116" s="22">
        <f t="shared" si="36"/>
        <v>67</v>
      </c>
      <c r="I116" s="22">
        <f t="shared" si="36"/>
        <v>68.5</v>
      </c>
      <c r="J116" s="22">
        <f t="shared" si="36"/>
        <v>58.5</v>
      </c>
      <c r="K116" s="22">
        <f t="shared" si="36"/>
        <v>75</v>
      </c>
      <c r="L116" s="22">
        <f t="shared" si="36"/>
        <v>68</v>
      </c>
      <c r="M116" s="22">
        <f t="shared" si="36"/>
        <v>68.5</v>
      </c>
      <c r="N116" s="22">
        <f t="shared" si="36"/>
        <v>72.5</v>
      </c>
      <c r="O116" s="22">
        <f t="shared" si="36"/>
        <v>86.5</v>
      </c>
      <c r="P116" s="22">
        <f t="shared" si="36"/>
        <v>75</v>
      </c>
      <c r="Q116" s="22">
        <f t="shared" si="36"/>
        <v>85</v>
      </c>
      <c r="R116" s="22">
        <f t="shared" si="36"/>
        <v>66.5</v>
      </c>
      <c r="S116" s="22">
        <f t="shared" si="36"/>
        <v>939.5</v>
      </c>
      <c r="T116" s="22">
        <f t="shared" si="36"/>
        <v>72.269230769230774</v>
      </c>
      <c r="U116" s="22">
        <f>'10B Sem avr'!$H$40</f>
        <v>36</v>
      </c>
      <c r="V116" s="22">
        <f t="shared" si="36"/>
        <v>0</v>
      </c>
      <c r="W116" s="22">
        <f t="shared" si="36"/>
        <v>0</v>
      </c>
      <c r="X116" s="5"/>
      <c r="Y116" s="5"/>
      <c r="Z116" s="5"/>
      <c r="AA116" s="5"/>
      <c r="AB116" s="5"/>
    </row>
    <row r="117" spans="1:28" ht="17.25" customHeight="1" thickBot="1" x14ac:dyDescent="0.3">
      <c r="A117" s="247">
        <v>38</v>
      </c>
      <c r="B117" s="218"/>
      <c r="C117" s="213">
        <v>16</v>
      </c>
      <c r="D117" s="217" t="s">
        <v>20</v>
      </c>
      <c r="E117" s="21" t="s">
        <v>21</v>
      </c>
      <c r="F117" s="22">
        <f>'10B Sem 1'!E41</f>
        <v>69</v>
      </c>
      <c r="G117" s="22">
        <f>'10B Sem 1'!F41</f>
        <v>72</v>
      </c>
      <c r="H117" s="22">
        <f>'10B Sem 1'!G41</f>
        <v>86</v>
      </c>
      <c r="I117" s="22">
        <f>'10B Sem 1'!H41</f>
        <v>87</v>
      </c>
      <c r="J117" s="22">
        <f>'10B Sem 1'!I41</f>
        <v>80</v>
      </c>
      <c r="K117" s="22">
        <f>'10B Sem 1'!J41</f>
        <v>89</v>
      </c>
      <c r="L117" s="22">
        <f>'10B Sem 1'!K41</f>
        <v>90</v>
      </c>
      <c r="M117" s="22">
        <f>'10B Sem 1'!L41</f>
        <v>88</v>
      </c>
      <c r="N117" s="22">
        <f>'10B Sem 1'!M41</f>
        <v>86</v>
      </c>
      <c r="O117" s="22">
        <f>'10B Sem 1'!N41</f>
        <v>89</v>
      </c>
      <c r="P117" s="22">
        <f>'10B Sem 1'!O41</f>
        <v>88</v>
      </c>
      <c r="Q117" s="22">
        <f>'10B Sem 1'!P41</f>
        <v>99</v>
      </c>
      <c r="R117" s="22">
        <f>'10B Sem 1'!Q41</f>
        <v>86</v>
      </c>
      <c r="S117" s="22">
        <f>'10B Sem 1'!R41</f>
        <v>1109</v>
      </c>
      <c r="T117" s="22">
        <f>'10B Sem 1'!S41</f>
        <v>85.307692307692307</v>
      </c>
      <c r="U117" s="22">
        <f>'10B Sem 1'!T41</f>
        <v>10</v>
      </c>
      <c r="V117" s="22">
        <f>'10B Sem 1'!U41</f>
        <v>0</v>
      </c>
      <c r="W117" s="22">
        <f>'10B Sem 1'!V41</f>
        <v>0</v>
      </c>
      <c r="X117" s="5"/>
      <c r="Y117" s="5"/>
      <c r="Z117" s="5"/>
      <c r="AA117" s="5"/>
      <c r="AB117" s="5"/>
    </row>
    <row r="118" spans="1:28" ht="17.25" customHeight="1" thickBot="1" x14ac:dyDescent="0.3">
      <c r="A118" s="247"/>
      <c r="B118" s="218"/>
      <c r="C118" s="213">
        <v>16</v>
      </c>
      <c r="D118" s="217" t="s">
        <v>20</v>
      </c>
      <c r="E118" s="21" t="s">
        <v>22</v>
      </c>
      <c r="F118" s="22">
        <f>'10B Sem 2'!E41</f>
        <v>66</v>
      </c>
      <c r="G118" s="22">
        <f>'10B Sem 2'!F41</f>
        <v>85</v>
      </c>
      <c r="H118" s="22">
        <f>'10B Sem 2'!G41</f>
        <v>80</v>
      </c>
      <c r="I118" s="22">
        <f>'10B Sem 2'!H41</f>
        <v>77</v>
      </c>
      <c r="J118" s="22">
        <f>'10B Sem 2'!I41</f>
        <v>87</v>
      </c>
      <c r="K118" s="22">
        <f>'10B Sem 2'!J41</f>
        <v>94</v>
      </c>
      <c r="L118" s="22">
        <f>'10B Sem 2'!K41</f>
        <v>73</v>
      </c>
      <c r="M118" s="22">
        <f>'10B Sem 2'!L41</f>
        <v>98</v>
      </c>
      <c r="N118" s="22">
        <f>'10B Sem 2'!M41</f>
        <v>89</v>
      </c>
      <c r="O118" s="22">
        <f>'10B Sem 2'!N41</f>
        <v>99</v>
      </c>
      <c r="P118" s="22">
        <f>'10B Sem 2'!O41</f>
        <v>81</v>
      </c>
      <c r="Q118" s="22">
        <f>'10B Sem 2'!P41</f>
        <v>92</v>
      </c>
      <c r="R118" s="22">
        <f>'10B Sem 2'!Q41</f>
        <v>80</v>
      </c>
      <c r="S118" s="22">
        <f>'10B Sem 2'!R41</f>
        <v>1101</v>
      </c>
      <c r="T118" s="22">
        <f>'10B Sem 2'!S41</f>
        <v>84.692307692307693</v>
      </c>
      <c r="U118" s="22">
        <f>'10B Sem 2'!T41</f>
        <v>10</v>
      </c>
      <c r="V118" s="22">
        <f>'10B Sem 2'!U41</f>
        <v>0</v>
      </c>
      <c r="W118" s="22">
        <f>'10B Sem 2'!V41</f>
        <v>0</v>
      </c>
      <c r="X118" s="5"/>
      <c r="Y118" s="5"/>
      <c r="Z118" s="5"/>
      <c r="AA118" s="5"/>
      <c r="AB118" s="5"/>
    </row>
    <row r="119" spans="1:28" ht="17.25" customHeight="1" thickBot="1" x14ac:dyDescent="0.3">
      <c r="A119" s="247"/>
      <c r="B119" s="218"/>
      <c r="C119" s="213">
        <v>16</v>
      </c>
      <c r="D119" s="217" t="s">
        <v>20</v>
      </c>
      <c r="E119" s="21" t="s">
        <v>16</v>
      </c>
      <c r="F119" s="22">
        <f>AVERAGE(F117:F118)</f>
        <v>67.5</v>
      </c>
      <c r="G119" s="22">
        <f t="shared" ref="G119:W119" si="37">AVERAGE(G117:G118)</f>
        <v>78.5</v>
      </c>
      <c r="H119" s="22">
        <f t="shared" si="37"/>
        <v>83</v>
      </c>
      <c r="I119" s="22">
        <f t="shared" si="37"/>
        <v>82</v>
      </c>
      <c r="J119" s="22">
        <f t="shared" si="37"/>
        <v>83.5</v>
      </c>
      <c r="K119" s="22">
        <f t="shared" si="37"/>
        <v>91.5</v>
      </c>
      <c r="L119" s="22">
        <f t="shared" si="37"/>
        <v>81.5</v>
      </c>
      <c r="M119" s="22">
        <f t="shared" si="37"/>
        <v>93</v>
      </c>
      <c r="N119" s="22">
        <f t="shared" si="37"/>
        <v>87.5</v>
      </c>
      <c r="O119" s="22">
        <f t="shared" si="37"/>
        <v>94</v>
      </c>
      <c r="P119" s="22">
        <f t="shared" si="37"/>
        <v>84.5</v>
      </c>
      <c r="Q119" s="22">
        <f t="shared" si="37"/>
        <v>95.5</v>
      </c>
      <c r="R119" s="22">
        <f t="shared" si="37"/>
        <v>83</v>
      </c>
      <c r="S119" s="22">
        <f t="shared" si="37"/>
        <v>1105</v>
      </c>
      <c r="T119" s="22">
        <f t="shared" si="37"/>
        <v>85</v>
      </c>
      <c r="U119" s="22">
        <f>'10B Sem avr'!$H$41</f>
        <v>10</v>
      </c>
      <c r="V119" s="22">
        <f t="shared" si="37"/>
        <v>0</v>
      </c>
      <c r="W119" s="22">
        <f t="shared" si="37"/>
        <v>0</v>
      </c>
      <c r="X119" s="5"/>
      <c r="Y119" s="5"/>
      <c r="Z119" s="5"/>
      <c r="AA119" s="5"/>
      <c r="AB119" s="5"/>
    </row>
    <row r="120" spans="1:28" ht="17.25" customHeight="1" thickBot="1" x14ac:dyDescent="0.3">
      <c r="A120" s="249">
        <v>39</v>
      </c>
      <c r="B120" s="218"/>
      <c r="C120" s="213">
        <v>16</v>
      </c>
      <c r="D120" s="217" t="s">
        <v>20</v>
      </c>
      <c r="E120" s="21" t="s">
        <v>21</v>
      </c>
      <c r="F120" s="22">
        <f>'10B Sem 1'!E42</f>
        <v>82</v>
      </c>
      <c r="G120" s="22">
        <f>'10B Sem 1'!F42</f>
        <v>86</v>
      </c>
      <c r="H120" s="23">
        <f>'10B Sem 1'!G42</f>
        <v>86</v>
      </c>
      <c r="I120" s="22">
        <f>'10B Sem 1'!H42</f>
        <v>83</v>
      </c>
      <c r="J120" s="22">
        <f>'10B Sem 1'!I42</f>
        <v>79</v>
      </c>
      <c r="K120" s="22">
        <f>'10B Sem 1'!J42</f>
        <v>88</v>
      </c>
      <c r="L120" s="22">
        <f>'10B Sem 1'!K42</f>
        <v>81</v>
      </c>
      <c r="M120" s="22">
        <f>'10B Sem 1'!L42</f>
        <v>79</v>
      </c>
      <c r="N120" s="22">
        <f>'10B Sem 1'!M42</f>
        <v>88</v>
      </c>
      <c r="O120" s="22">
        <f>'10B Sem 1'!N42</f>
        <v>88</v>
      </c>
      <c r="P120" s="22">
        <f>'10B Sem 1'!O42</f>
        <v>76</v>
      </c>
      <c r="Q120" s="22">
        <f>'10B Sem 1'!P42</f>
        <v>90</v>
      </c>
      <c r="R120" s="22">
        <f>'10B Sem 1'!Q42</f>
        <v>81</v>
      </c>
      <c r="S120" s="22">
        <f>'10B Sem 1'!R42</f>
        <v>1087</v>
      </c>
      <c r="T120" s="22">
        <f>'10B Sem 1'!S42</f>
        <v>83.615384615384613</v>
      </c>
      <c r="U120" s="22">
        <f>'10B Sem 1'!T42</f>
        <v>11</v>
      </c>
      <c r="V120" s="22">
        <f>'10B Sem 1'!U42</f>
        <v>0</v>
      </c>
      <c r="W120" s="22">
        <f>'10B Sem 1'!V42</f>
        <v>0</v>
      </c>
      <c r="X120" s="5"/>
      <c r="Y120" s="5"/>
      <c r="Z120" s="5"/>
      <c r="AA120" s="5"/>
      <c r="AB120" s="5"/>
    </row>
    <row r="121" spans="1:28" ht="17.25" customHeight="1" thickBot="1" x14ac:dyDescent="0.3">
      <c r="A121" s="249"/>
      <c r="B121" s="218"/>
      <c r="C121" s="213">
        <v>16</v>
      </c>
      <c r="D121" s="217" t="s">
        <v>20</v>
      </c>
      <c r="E121" s="21" t="s">
        <v>22</v>
      </c>
      <c r="F121" s="22">
        <f>'10B Sem 2'!E42</f>
        <v>76</v>
      </c>
      <c r="G121" s="22">
        <f>'10B Sem 2'!F42</f>
        <v>81</v>
      </c>
      <c r="H121" s="23">
        <f>'10B Sem 2'!G42</f>
        <v>75</v>
      </c>
      <c r="I121" s="22">
        <f>'10B Sem 2'!H42</f>
        <v>84</v>
      </c>
      <c r="J121" s="22">
        <f>'10B Sem 2'!I42</f>
        <v>79</v>
      </c>
      <c r="K121" s="22">
        <f>'10B Sem 2'!J42</f>
        <v>88</v>
      </c>
      <c r="L121" s="22">
        <f>'10B Sem 2'!K42</f>
        <v>73</v>
      </c>
      <c r="M121" s="22">
        <f>'10B Sem 2'!L42</f>
        <v>95</v>
      </c>
      <c r="N121" s="22">
        <f>'10B Sem 2'!M42</f>
        <v>85</v>
      </c>
      <c r="O121" s="22">
        <f>'10B Sem 2'!N42</f>
        <v>95</v>
      </c>
      <c r="P121" s="22">
        <f>'10B Sem 2'!O42</f>
        <v>63</v>
      </c>
      <c r="Q121" s="22">
        <f>'10B Sem 2'!P42</f>
        <v>99</v>
      </c>
      <c r="R121" s="22">
        <f>'10B Sem 2'!Q42</f>
        <v>75</v>
      </c>
      <c r="S121" s="22">
        <f>'10B Sem 2'!R42</f>
        <v>1068</v>
      </c>
      <c r="T121" s="22">
        <f>'10B Sem 2'!S42</f>
        <v>82.15384615384616</v>
      </c>
      <c r="U121" s="22">
        <f>'10B Sem 2'!T42</f>
        <v>15</v>
      </c>
      <c r="V121" s="22">
        <f>'10B Sem 2'!U42</f>
        <v>0</v>
      </c>
      <c r="W121" s="22">
        <f>'10B Sem 2'!V42</f>
        <v>0</v>
      </c>
      <c r="X121" s="5"/>
      <c r="Y121" s="5"/>
      <c r="Z121" s="5"/>
      <c r="AA121" s="5"/>
      <c r="AB121" s="5"/>
    </row>
    <row r="122" spans="1:28" ht="17.25" customHeight="1" thickBot="1" x14ac:dyDescent="0.3">
      <c r="A122" s="249"/>
      <c r="B122" s="218"/>
      <c r="C122" s="213">
        <v>16</v>
      </c>
      <c r="D122" s="217" t="s">
        <v>20</v>
      </c>
      <c r="E122" s="21" t="s">
        <v>16</v>
      </c>
      <c r="F122" s="22">
        <f>AVERAGE(F120:F121)</f>
        <v>79</v>
      </c>
      <c r="G122" s="22">
        <f t="shared" ref="G122:W122" si="38">AVERAGE(G120:G121)</f>
        <v>83.5</v>
      </c>
      <c r="H122" s="22">
        <f t="shared" si="38"/>
        <v>80.5</v>
      </c>
      <c r="I122" s="22">
        <f t="shared" si="38"/>
        <v>83.5</v>
      </c>
      <c r="J122" s="22">
        <f t="shared" si="38"/>
        <v>79</v>
      </c>
      <c r="K122" s="22">
        <f t="shared" si="38"/>
        <v>88</v>
      </c>
      <c r="L122" s="22">
        <f t="shared" si="38"/>
        <v>77</v>
      </c>
      <c r="M122" s="22">
        <f t="shared" si="38"/>
        <v>87</v>
      </c>
      <c r="N122" s="22">
        <f t="shared" si="38"/>
        <v>86.5</v>
      </c>
      <c r="O122" s="22">
        <f t="shared" si="38"/>
        <v>91.5</v>
      </c>
      <c r="P122" s="22">
        <f t="shared" si="38"/>
        <v>69.5</v>
      </c>
      <c r="Q122" s="22">
        <f t="shared" si="38"/>
        <v>94.5</v>
      </c>
      <c r="R122" s="22">
        <f t="shared" si="38"/>
        <v>78</v>
      </c>
      <c r="S122" s="22">
        <f t="shared" si="38"/>
        <v>1077.5</v>
      </c>
      <c r="T122" s="22">
        <f t="shared" si="38"/>
        <v>82.884615384615387</v>
      </c>
      <c r="U122" s="22">
        <f>'10B Sem avr'!$H$42</f>
        <v>12</v>
      </c>
      <c r="V122" s="22">
        <f t="shared" si="38"/>
        <v>0</v>
      </c>
      <c r="W122" s="22">
        <f t="shared" si="38"/>
        <v>0</v>
      </c>
      <c r="X122" s="5"/>
      <c r="Y122" s="5"/>
      <c r="Z122" s="5"/>
      <c r="AA122" s="5"/>
      <c r="AB122" s="5"/>
    </row>
    <row r="123" spans="1:28" ht="17.25" customHeight="1" thickBot="1" x14ac:dyDescent="0.3">
      <c r="A123" s="247">
        <v>40</v>
      </c>
      <c r="B123" s="218"/>
      <c r="C123" s="213">
        <v>15</v>
      </c>
      <c r="D123" s="217" t="s">
        <v>20</v>
      </c>
      <c r="E123" s="21" t="s">
        <v>21</v>
      </c>
      <c r="F123" s="22">
        <f>'10B Sem 1'!E43</f>
        <v>79</v>
      </c>
      <c r="G123" s="22">
        <f>'10B Sem 1'!F43</f>
        <v>59</v>
      </c>
      <c r="H123" s="22">
        <f>'10B Sem 1'!G43</f>
        <v>90</v>
      </c>
      <c r="I123" s="22">
        <f>'10B Sem 1'!H43</f>
        <v>84</v>
      </c>
      <c r="J123" s="22">
        <f>'10B Sem 1'!I43</f>
        <v>61</v>
      </c>
      <c r="K123" s="22">
        <f>'10B Sem 1'!J43</f>
        <v>83</v>
      </c>
      <c r="L123" s="23">
        <f>'10B Sem 1'!K43</f>
        <v>59</v>
      </c>
      <c r="M123" s="22">
        <f>'10B Sem 1'!L43</f>
        <v>73</v>
      </c>
      <c r="N123" s="22">
        <f>'10B Sem 1'!M43</f>
        <v>66</v>
      </c>
      <c r="O123" s="22">
        <f>'10B Sem 1'!N43</f>
        <v>83</v>
      </c>
      <c r="P123" s="22">
        <f>'10B Sem 1'!O43</f>
        <v>68</v>
      </c>
      <c r="Q123" s="22">
        <f>'10B Sem 1'!P43</f>
        <v>97</v>
      </c>
      <c r="R123" s="22">
        <f>'10B Sem 1'!Q43</f>
        <v>74</v>
      </c>
      <c r="S123" s="22">
        <f>'10B Sem 1'!R43</f>
        <v>976</v>
      </c>
      <c r="T123" s="22">
        <f>'10B Sem 1'!S43</f>
        <v>75.07692307692308</v>
      </c>
      <c r="U123" s="22">
        <f>'10B Sem 1'!T43</f>
        <v>27</v>
      </c>
      <c r="V123" s="22">
        <f>'10B Sem 1'!U43</f>
        <v>0</v>
      </c>
      <c r="W123" s="22">
        <f>'10B Sem 1'!V43</f>
        <v>0</v>
      </c>
      <c r="X123" s="5"/>
      <c r="Y123" s="5"/>
      <c r="Z123" s="5"/>
      <c r="AA123" s="5"/>
      <c r="AB123" s="5"/>
    </row>
    <row r="124" spans="1:28" ht="17.25" customHeight="1" thickBot="1" x14ac:dyDescent="0.3">
      <c r="A124" s="247"/>
      <c r="B124" s="218"/>
      <c r="C124" s="213">
        <v>15</v>
      </c>
      <c r="D124" s="217" t="s">
        <v>20</v>
      </c>
      <c r="E124" s="21" t="s">
        <v>22</v>
      </c>
      <c r="F124" s="22">
        <f>'10B Sem 2'!E43</f>
        <v>81</v>
      </c>
      <c r="G124" s="22">
        <f>'10B Sem 2'!F43</f>
        <v>70</v>
      </c>
      <c r="H124" s="22">
        <f>'10B Sem 2'!G43</f>
        <v>92</v>
      </c>
      <c r="I124" s="22">
        <f>'10B Sem 2'!H43</f>
        <v>74</v>
      </c>
      <c r="J124" s="22">
        <f>'10B Sem 2'!I43</f>
        <v>72</v>
      </c>
      <c r="K124" s="22">
        <f>'10B Sem 2'!J43</f>
        <v>93</v>
      </c>
      <c r="L124" s="23">
        <f>'10B Sem 2'!K43</f>
        <v>85</v>
      </c>
      <c r="M124" s="22">
        <f>'10B Sem 2'!L43</f>
        <v>91</v>
      </c>
      <c r="N124" s="22">
        <f>'10B Sem 2'!M43</f>
        <v>74</v>
      </c>
      <c r="O124" s="22">
        <f>'10B Sem 2'!N43</f>
        <v>94</v>
      </c>
      <c r="P124" s="22">
        <f>'10B Sem 2'!O43</f>
        <v>72</v>
      </c>
      <c r="Q124" s="22">
        <f>'10B Sem 2'!P43</f>
        <v>92</v>
      </c>
      <c r="R124" s="22">
        <f>'10B Sem 2'!Q43</f>
        <v>69</v>
      </c>
      <c r="S124" s="22">
        <f>'10B Sem 2'!R43</f>
        <v>1059</v>
      </c>
      <c r="T124" s="22">
        <f>'10B Sem 2'!S43</f>
        <v>81.461538461538467</v>
      </c>
      <c r="U124" s="22">
        <f>'10B Sem 2'!T43</f>
        <v>17</v>
      </c>
      <c r="V124" s="22">
        <f>'10B Sem 2'!U43</f>
        <v>0</v>
      </c>
      <c r="W124" s="22">
        <f>'10B Sem 2'!V43</f>
        <v>0</v>
      </c>
      <c r="X124" s="5"/>
      <c r="Y124" s="5"/>
      <c r="Z124" s="5"/>
      <c r="AA124" s="5"/>
      <c r="AB124" s="5"/>
    </row>
    <row r="125" spans="1:28" ht="17.25" customHeight="1" thickBot="1" x14ac:dyDescent="0.3">
      <c r="A125" s="247"/>
      <c r="B125" s="218"/>
      <c r="C125" s="213">
        <v>15</v>
      </c>
      <c r="D125" s="217" t="s">
        <v>20</v>
      </c>
      <c r="E125" s="21" t="s">
        <v>16</v>
      </c>
      <c r="F125" s="22">
        <f>AVERAGE(F123:F124)</f>
        <v>80</v>
      </c>
      <c r="G125" s="22">
        <f t="shared" ref="G125:W125" si="39">AVERAGE(G123:G124)</f>
        <v>64.5</v>
      </c>
      <c r="H125" s="22">
        <f t="shared" si="39"/>
        <v>91</v>
      </c>
      <c r="I125" s="22">
        <f t="shared" si="39"/>
        <v>79</v>
      </c>
      <c r="J125" s="22">
        <f t="shared" si="39"/>
        <v>66.5</v>
      </c>
      <c r="K125" s="22">
        <f t="shared" si="39"/>
        <v>88</v>
      </c>
      <c r="L125" s="22">
        <f t="shared" si="39"/>
        <v>72</v>
      </c>
      <c r="M125" s="22">
        <f t="shared" si="39"/>
        <v>82</v>
      </c>
      <c r="N125" s="22">
        <f t="shared" si="39"/>
        <v>70</v>
      </c>
      <c r="O125" s="22">
        <f t="shared" si="39"/>
        <v>88.5</v>
      </c>
      <c r="P125" s="22">
        <f t="shared" si="39"/>
        <v>70</v>
      </c>
      <c r="Q125" s="22">
        <f t="shared" si="39"/>
        <v>94.5</v>
      </c>
      <c r="R125" s="22">
        <f t="shared" si="39"/>
        <v>71.5</v>
      </c>
      <c r="S125" s="22">
        <f t="shared" si="39"/>
        <v>1017.5</v>
      </c>
      <c r="T125" s="22">
        <f t="shared" si="39"/>
        <v>78.269230769230774</v>
      </c>
      <c r="U125" s="22">
        <f>'10B Sem avr'!$H$43</f>
        <v>23</v>
      </c>
      <c r="V125" s="22">
        <f t="shared" si="39"/>
        <v>0</v>
      </c>
      <c r="W125" s="22">
        <f t="shared" si="39"/>
        <v>0</v>
      </c>
      <c r="X125" s="5"/>
      <c r="Y125" s="5"/>
      <c r="Z125" s="5"/>
      <c r="AA125" s="5"/>
      <c r="AB125" s="5"/>
    </row>
    <row r="126" spans="1:28" ht="17.25" customHeight="1" thickBot="1" x14ac:dyDescent="0.3">
      <c r="A126" s="249">
        <v>41</v>
      </c>
      <c r="B126" s="218"/>
      <c r="C126" s="213">
        <v>15</v>
      </c>
      <c r="D126" s="217" t="s">
        <v>20</v>
      </c>
      <c r="E126" s="21" t="s">
        <v>21</v>
      </c>
      <c r="F126" s="22">
        <f>'10B Sem 1'!E44</f>
        <v>79</v>
      </c>
      <c r="G126" s="22">
        <f>'10B Sem 1'!F44</f>
        <v>62</v>
      </c>
      <c r="H126" s="22">
        <f>'10B Sem 1'!G44</f>
        <v>97</v>
      </c>
      <c r="I126" s="22">
        <f>'10B Sem 1'!H44</f>
        <v>88</v>
      </c>
      <c r="J126" s="22">
        <f>'10B Sem 1'!I44</f>
        <v>69</v>
      </c>
      <c r="K126" s="22">
        <f>'10B Sem 1'!J44</f>
        <v>68</v>
      </c>
      <c r="L126" s="22">
        <f>'10B Sem 1'!K44</f>
        <v>67</v>
      </c>
      <c r="M126" s="22">
        <f>'10B Sem 1'!L44</f>
        <v>66</v>
      </c>
      <c r="N126" s="22">
        <f>'10B Sem 1'!M44</f>
        <v>66</v>
      </c>
      <c r="O126" s="22">
        <f>'10B Sem 1'!N44</f>
        <v>87</v>
      </c>
      <c r="P126" s="22">
        <f>'10B Sem 1'!O44</f>
        <v>61</v>
      </c>
      <c r="Q126" s="22">
        <f>'10B Sem 1'!P44</f>
        <v>87</v>
      </c>
      <c r="R126" s="22">
        <f>'10B Sem 1'!Q44</f>
        <v>70</v>
      </c>
      <c r="S126" s="22">
        <f>'10B Sem 1'!R44</f>
        <v>967</v>
      </c>
      <c r="T126" s="22">
        <f>'10B Sem 1'!S44</f>
        <v>74.384615384615387</v>
      </c>
      <c r="U126" s="22">
        <f>'10B Sem 1'!T44</f>
        <v>33</v>
      </c>
      <c r="V126" s="22">
        <f>'10B Sem 1'!U44</f>
        <v>0</v>
      </c>
      <c r="W126" s="22">
        <f>'10B Sem 1'!V44</f>
        <v>0</v>
      </c>
      <c r="X126" s="5"/>
      <c r="Y126" s="5"/>
      <c r="Z126" s="5"/>
      <c r="AA126" s="5"/>
      <c r="AB126" s="5"/>
    </row>
    <row r="127" spans="1:28" ht="17.25" customHeight="1" thickBot="1" x14ac:dyDescent="0.3">
      <c r="A127" s="249"/>
      <c r="B127" s="218"/>
      <c r="C127" s="213">
        <v>15</v>
      </c>
      <c r="D127" s="217" t="s">
        <v>20</v>
      </c>
      <c r="E127" s="21" t="s">
        <v>22</v>
      </c>
      <c r="F127" s="22">
        <f>'10B Sem 2'!E44</f>
        <v>67</v>
      </c>
      <c r="G127" s="22">
        <f>'10B Sem 2'!F44</f>
        <v>69</v>
      </c>
      <c r="H127" s="22">
        <f>'10B Sem 2'!G44</f>
        <v>92</v>
      </c>
      <c r="I127" s="22">
        <f>'10B Sem 2'!H44</f>
        <v>85</v>
      </c>
      <c r="J127" s="22">
        <f>'10B Sem 2'!I44</f>
        <v>80</v>
      </c>
      <c r="K127" s="22">
        <f>'10B Sem 2'!J44</f>
        <v>77</v>
      </c>
      <c r="L127" s="22">
        <f>'10B Sem 2'!K44</f>
        <v>65</v>
      </c>
      <c r="M127" s="22">
        <f>'10B Sem 2'!L44</f>
        <v>87</v>
      </c>
      <c r="N127" s="22">
        <f>'10B Sem 2'!M44</f>
        <v>70</v>
      </c>
      <c r="O127" s="22">
        <f>'10B Sem 2'!N44</f>
        <v>91</v>
      </c>
      <c r="P127" s="22">
        <f>'10B Sem 2'!O44</f>
        <v>66</v>
      </c>
      <c r="Q127" s="22">
        <f>'10B Sem 2'!P44</f>
        <v>92</v>
      </c>
      <c r="R127" s="22">
        <f>'10B Sem 2'!Q44</f>
        <v>70</v>
      </c>
      <c r="S127" s="22">
        <f>'10B Sem 2'!R44</f>
        <v>1011</v>
      </c>
      <c r="T127" s="22">
        <f>'10B Sem 2'!S44</f>
        <v>77.769230769230774</v>
      </c>
      <c r="U127" s="22">
        <f>'10B Sem 2'!T44</f>
        <v>26</v>
      </c>
      <c r="V127" s="22">
        <f>'10B Sem 2'!U44</f>
        <v>0</v>
      </c>
      <c r="W127" s="22">
        <f>'10B Sem 2'!V44</f>
        <v>0</v>
      </c>
      <c r="X127" s="5"/>
      <c r="Y127" s="5"/>
      <c r="Z127" s="5"/>
      <c r="AA127" s="5"/>
      <c r="AB127" s="5"/>
    </row>
    <row r="128" spans="1:28" ht="17.25" customHeight="1" thickBot="1" x14ac:dyDescent="0.3">
      <c r="A128" s="249"/>
      <c r="B128" s="218"/>
      <c r="C128" s="213">
        <v>15</v>
      </c>
      <c r="D128" s="217" t="s">
        <v>20</v>
      </c>
      <c r="E128" s="21" t="s">
        <v>16</v>
      </c>
      <c r="F128" s="22">
        <f>AVERAGE(F126:F127)</f>
        <v>73</v>
      </c>
      <c r="G128" s="22">
        <f t="shared" ref="G128:W128" si="40">AVERAGE(G126:G127)</f>
        <v>65.5</v>
      </c>
      <c r="H128" s="22">
        <f t="shared" si="40"/>
        <v>94.5</v>
      </c>
      <c r="I128" s="22">
        <f t="shared" si="40"/>
        <v>86.5</v>
      </c>
      <c r="J128" s="22">
        <f t="shared" si="40"/>
        <v>74.5</v>
      </c>
      <c r="K128" s="22">
        <f t="shared" si="40"/>
        <v>72.5</v>
      </c>
      <c r="L128" s="22">
        <f t="shared" si="40"/>
        <v>66</v>
      </c>
      <c r="M128" s="22">
        <f t="shared" si="40"/>
        <v>76.5</v>
      </c>
      <c r="N128" s="22">
        <f t="shared" si="40"/>
        <v>68</v>
      </c>
      <c r="O128" s="22">
        <f t="shared" si="40"/>
        <v>89</v>
      </c>
      <c r="P128" s="22">
        <f t="shared" si="40"/>
        <v>63.5</v>
      </c>
      <c r="Q128" s="22">
        <f t="shared" si="40"/>
        <v>89.5</v>
      </c>
      <c r="R128" s="22">
        <f t="shared" si="40"/>
        <v>70</v>
      </c>
      <c r="S128" s="22">
        <f t="shared" si="40"/>
        <v>989</v>
      </c>
      <c r="T128" s="22">
        <f t="shared" si="40"/>
        <v>76.07692307692308</v>
      </c>
      <c r="U128" s="22">
        <f>'10B Sem avr'!$H$44</f>
        <v>28</v>
      </c>
      <c r="V128" s="22">
        <f t="shared" si="40"/>
        <v>0</v>
      </c>
      <c r="W128" s="22">
        <f t="shared" si="40"/>
        <v>0</v>
      </c>
      <c r="X128" s="5"/>
      <c r="Y128" s="5"/>
      <c r="Z128" s="5"/>
      <c r="AA128" s="5"/>
      <c r="AB128" s="5"/>
    </row>
    <row r="129" spans="1:28" ht="17.25" customHeight="1" thickBot="1" x14ac:dyDescent="0.3">
      <c r="A129" s="249">
        <v>42</v>
      </c>
      <c r="B129" s="218"/>
      <c r="C129" s="213">
        <v>16</v>
      </c>
      <c r="D129" s="217" t="s">
        <v>23</v>
      </c>
      <c r="E129" s="21" t="s">
        <v>21</v>
      </c>
      <c r="F129" s="22">
        <f>'10B Sem 1'!E45</f>
        <v>88</v>
      </c>
      <c r="G129" s="23">
        <f>'10B Sem 1'!F45</f>
        <v>85</v>
      </c>
      <c r="H129" s="23">
        <f>'10B Sem 1'!G45</f>
        <v>90</v>
      </c>
      <c r="I129" s="23">
        <f>'10B Sem 1'!H45</f>
        <v>98</v>
      </c>
      <c r="J129" s="22">
        <f>'10B Sem 1'!I45</f>
        <v>78</v>
      </c>
      <c r="K129" s="22">
        <f>'10B Sem 1'!J45</f>
        <v>91</v>
      </c>
      <c r="L129" s="22">
        <f>'10B Sem 1'!K45</f>
        <v>87</v>
      </c>
      <c r="M129" s="22">
        <f>'10B Sem 1'!L45</f>
        <v>89</v>
      </c>
      <c r="N129" s="22">
        <f>'10B Sem 1'!M45</f>
        <v>89</v>
      </c>
      <c r="O129" s="23">
        <f>'10B Sem 1'!N45</f>
        <v>88</v>
      </c>
      <c r="P129" s="22">
        <f>'10B Sem 1'!O45</f>
        <v>87</v>
      </c>
      <c r="Q129" s="22">
        <f>'10B Sem 1'!P45</f>
        <v>95</v>
      </c>
      <c r="R129" s="22">
        <f>'10B Sem 1'!Q45</f>
        <v>80</v>
      </c>
      <c r="S129" s="22">
        <f>'10B Sem 1'!R45</f>
        <v>1145</v>
      </c>
      <c r="T129" s="22">
        <f>'10B Sem 1'!S45</f>
        <v>88.07692307692308</v>
      </c>
      <c r="U129" s="22">
        <f>'10B Sem 1'!T45</f>
        <v>8</v>
      </c>
      <c r="V129" s="22">
        <f>'10B Sem 1'!U45</f>
        <v>0</v>
      </c>
      <c r="W129" s="22">
        <f>'10B Sem 1'!V45</f>
        <v>0</v>
      </c>
      <c r="X129" s="5"/>
      <c r="Y129" s="5"/>
      <c r="Z129" s="5"/>
      <c r="AA129" s="5"/>
      <c r="AB129" s="5"/>
    </row>
    <row r="130" spans="1:28" ht="17.25" customHeight="1" thickBot="1" x14ac:dyDescent="0.3">
      <c r="A130" s="249"/>
      <c r="B130" s="218"/>
      <c r="C130" s="213">
        <v>16</v>
      </c>
      <c r="D130" s="217" t="s">
        <v>23</v>
      </c>
      <c r="E130" s="21" t="s">
        <v>22</v>
      </c>
      <c r="F130" s="22">
        <f>'10B Sem 2'!E45</f>
        <v>90</v>
      </c>
      <c r="G130" s="23">
        <f>'10B Sem 2'!F45</f>
        <v>79</v>
      </c>
      <c r="H130" s="23">
        <f>'10B Sem 2'!G45</f>
        <v>86</v>
      </c>
      <c r="I130" s="23">
        <f>'10B Sem 2'!H45</f>
        <v>81</v>
      </c>
      <c r="J130" s="22">
        <f>'10B Sem 2'!I45</f>
        <v>80</v>
      </c>
      <c r="K130" s="22">
        <f>'10B Sem 2'!J45</f>
        <v>91</v>
      </c>
      <c r="L130" s="22">
        <f>'10B Sem 2'!K45</f>
        <v>84</v>
      </c>
      <c r="M130" s="22">
        <f>'10B Sem 2'!L45</f>
        <v>97</v>
      </c>
      <c r="N130" s="22">
        <f>'10B Sem 2'!M45</f>
        <v>89</v>
      </c>
      <c r="O130" s="23">
        <f>'10B Sem 2'!N45</f>
        <v>96</v>
      </c>
      <c r="P130" s="22">
        <f>'10B Sem 2'!O45</f>
        <v>90</v>
      </c>
      <c r="Q130" s="22">
        <f>'10B Sem 2'!P45</f>
        <v>93</v>
      </c>
      <c r="R130" s="22">
        <f>'10B Sem 2'!Q45</f>
        <v>83</v>
      </c>
      <c r="S130" s="22">
        <f>'10B Sem 2'!R45</f>
        <v>1139</v>
      </c>
      <c r="T130" s="22">
        <f>'10B Sem 2'!S45</f>
        <v>87.615384615384613</v>
      </c>
      <c r="U130" s="22">
        <f>'10B Sem 2'!T45</f>
        <v>7</v>
      </c>
      <c r="V130" s="22">
        <f>'10B Sem 2'!U45</f>
        <v>0</v>
      </c>
      <c r="W130" s="22">
        <f>'10B Sem 2'!V45</f>
        <v>0</v>
      </c>
      <c r="X130" s="5"/>
      <c r="Y130" s="5"/>
      <c r="Z130" s="5"/>
      <c r="AA130" s="5"/>
      <c r="AB130" s="5"/>
    </row>
    <row r="131" spans="1:28" ht="17.25" customHeight="1" thickBot="1" x14ac:dyDescent="0.3">
      <c r="A131" s="249"/>
      <c r="B131" s="218"/>
      <c r="C131" s="213">
        <v>16</v>
      </c>
      <c r="D131" s="217" t="s">
        <v>23</v>
      </c>
      <c r="E131" s="21" t="s">
        <v>16</v>
      </c>
      <c r="F131" s="22">
        <f>AVERAGE(F129:F130)</f>
        <v>89</v>
      </c>
      <c r="G131" s="22">
        <f t="shared" ref="G131:W131" si="41">AVERAGE(G129:G130)</f>
        <v>82</v>
      </c>
      <c r="H131" s="22">
        <f t="shared" si="41"/>
        <v>88</v>
      </c>
      <c r="I131" s="22">
        <f t="shared" si="41"/>
        <v>89.5</v>
      </c>
      <c r="J131" s="22">
        <f t="shared" si="41"/>
        <v>79</v>
      </c>
      <c r="K131" s="22">
        <f t="shared" si="41"/>
        <v>91</v>
      </c>
      <c r="L131" s="22">
        <f t="shared" si="41"/>
        <v>85.5</v>
      </c>
      <c r="M131" s="22">
        <f t="shared" si="41"/>
        <v>93</v>
      </c>
      <c r="N131" s="22">
        <f t="shared" si="41"/>
        <v>89</v>
      </c>
      <c r="O131" s="22">
        <f t="shared" si="41"/>
        <v>92</v>
      </c>
      <c r="P131" s="22">
        <f t="shared" si="41"/>
        <v>88.5</v>
      </c>
      <c r="Q131" s="22">
        <f t="shared" si="41"/>
        <v>94</v>
      </c>
      <c r="R131" s="22">
        <f t="shared" si="41"/>
        <v>81.5</v>
      </c>
      <c r="S131" s="22">
        <f t="shared" si="41"/>
        <v>1142</v>
      </c>
      <c r="T131" s="22">
        <f t="shared" si="41"/>
        <v>87.84615384615384</v>
      </c>
      <c r="U131" s="22">
        <f>'10B Sem avr'!$H$45</f>
        <v>7</v>
      </c>
      <c r="V131" s="22">
        <f t="shared" si="41"/>
        <v>0</v>
      </c>
      <c r="W131" s="22">
        <f t="shared" si="41"/>
        <v>0</v>
      </c>
      <c r="X131" s="5"/>
      <c r="Y131" s="5"/>
      <c r="Z131" s="5"/>
      <c r="AA131" s="5"/>
      <c r="AB131" s="5"/>
    </row>
    <row r="132" spans="1:28" ht="17.25" customHeight="1" thickBot="1" x14ac:dyDescent="0.3">
      <c r="A132" s="249">
        <v>43</v>
      </c>
      <c r="B132" s="218"/>
      <c r="C132" s="213">
        <v>15</v>
      </c>
      <c r="D132" s="217" t="s">
        <v>20</v>
      </c>
      <c r="E132" s="21" t="s">
        <v>21</v>
      </c>
      <c r="F132" s="22">
        <f>'10B Sem 1'!E46</f>
        <v>84</v>
      </c>
      <c r="G132" s="23">
        <f>'10B Sem 1'!F46</f>
        <v>75</v>
      </c>
      <c r="H132" s="23">
        <f>'10B Sem 1'!G46</f>
        <v>86</v>
      </c>
      <c r="I132" s="22">
        <f>'10B Sem 1'!H46</f>
        <v>76</v>
      </c>
      <c r="J132" s="23">
        <f>'10B Sem 1'!I46</f>
        <v>60</v>
      </c>
      <c r="K132" s="22">
        <f>'10B Sem 1'!J46</f>
        <v>70</v>
      </c>
      <c r="L132" s="23">
        <f>'10B Sem 1'!K46</f>
        <v>81</v>
      </c>
      <c r="M132" s="23">
        <f>'10B Sem 1'!L46</f>
        <v>64</v>
      </c>
      <c r="N132" s="22">
        <f>'10B Sem 1'!M46</f>
        <v>81</v>
      </c>
      <c r="O132" s="22">
        <f>'10B Sem 1'!N46</f>
        <v>81</v>
      </c>
      <c r="P132" s="23">
        <f>'10B Sem 1'!O46</f>
        <v>78</v>
      </c>
      <c r="Q132" s="23">
        <f>'10B Sem 1'!P46</f>
        <v>90</v>
      </c>
      <c r="R132" s="23">
        <f>'10B Sem 1'!Q46</f>
        <v>75</v>
      </c>
      <c r="S132" s="22">
        <f>'10B Sem 1'!R46</f>
        <v>1001</v>
      </c>
      <c r="T132" s="22">
        <f>'10B Sem 1'!S46</f>
        <v>77</v>
      </c>
      <c r="U132" s="22">
        <f>'10B Sem 1'!T46</f>
        <v>23</v>
      </c>
      <c r="V132" s="22">
        <f>'10B Sem 1'!U46</f>
        <v>0</v>
      </c>
      <c r="W132" s="22">
        <f>'10B Sem 1'!V46</f>
        <v>0</v>
      </c>
      <c r="X132" s="5"/>
      <c r="Y132" s="5"/>
      <c r="Z132" s="5"/>
      <c r="AA132" s="5"/>
      <c r="AB132" s="5"/>
    </row>
    <row r="133" spans="1:28" ht="17.25" customHeight="1" thickBot="1" x14ac:dyDescent="0.3">
      <c r="A133" s="249"/>
      <c r="B133" s="218"/>
      <c r="C133" s="213">
        <v>15</v>
      </c>
      <c r="D133" s="217" t="s">
        <v>20</v>
      </c>
      <c r="E133" s="21" t="s">
        <v>22</v>
      </c>
      <c r="F133" s="22">
        <f>'10B Sem 2'!E46</f>
        <v>80</v>
      </c>
      <c r="G133" s="23">
        <f>'10B Sem 2'!F46</f>
        <v>63</v>
      </c>
      <c r="H133" s="23">
        <f>'10B Sem 2'!G46</f>
        <v>76</v>
      </c>
      <c r="I133" s="22">
        <f>'10B Sem 2'!H46</f>
        <v>70</v>
      </c>
      <c r="J133" s="23">
        <f>'10B Sem 2'!I46</f>
        <v>68</v>
      </c>
      <c r="K133" s="22">
        <f>'10B Sem 2'!J46</f>
        <v>77</v>
      </c>
      <c r="L133" s="23">
        <f>'10B Sem 2'!K46</f>
        <v>83</v>
      </c>
      <c r="M133" s="23">
        <f>'10B Sem 2'!L46</f>
        <v>91</v>
      </c>
      <c r="N133" s="22">
        <f>'10B Sem 2'!M46</f>
        <v>81</v>
      </c>
      <c r="O133" s="22">
        <f>'10B Sem 2'!N46</f>
        <v>96</v>
      </c>
      <c r="P133" s="23">
        <f>'10B Sem 2'!O46</f>
        <v>75</v>
      </c>
      <c r="Q133" s="23">
        <f>'10B Sem 2'!P46</f>
        <v>93</v>
      </c>
      <c r="R133" s="23">
        <f>'10B Sem 2'!Q46</f>
        <v>96</v>
      </c>
      <c r="S133" s="22">
        <f>'10B Sem 2'!R46</f>
        <v>1049</v>
      </c>
      <c r="T133" s="22">
        <f>'10B Sem 2'!S46</f>
        <v>80.692307692307693</v>
      </c>
      <c r="U133" s="22">
        <f>'10B Sem 2'!T46</f>
        <v>18</v>
      </c>
      <c r="V133" s="22">
        <f>'10B Sem 2'!U46</f>
        <v>0</v>
      </c>
      <c r="W133" s="22">
        <f>'10B Sem 2'!V46</f>
        <v>0</v>
      </c>
      <c r="X133" s="5"/>
      <c r="Y133" s="5"/>
      <c r="Z133" s="5"/>
      <c r="AA133" s="5"/>
      <c r="AB133" s="5"/>
    </row>
    <row r="134" spans="1:28" ht="17.25" customHeight="1" thickBot="1" x14ac:dyDescent="0.3">
      <c r="A134" s="249"/>
      <c r="B134" s="218"/>
      <c r="C134" s="213">
        <v>15</v>
      </c>
      <c r="D134" s="217" t="s">
        <v>20</v>
      </c>
      <c r="E134" s="21" t="s">
        <v>16</v>
      </c>
      <c r="F134" s="22">
        <f>AVERAGE(F132:F133)</f>
        <v>82</v>
      </c>
      <c r="G134" s="22">
        <f t="shared" ref="G134:W134" si="42">AVERAGE(G132:G133)</f>
        <v>69</v>
      </c>
      <c r="H134" s="22">
        <f t="shared" si="42"/>
        <v>81</v>
      </c>
      <c r="I134" s="22">
        <f t="shared" si="42"/>
        <v>73</v>
      </c>
      <c r="J134" s="22">
        <f t="shared" si="42"/>
        <v>64</v>
      </c>
      <c r="K134" s="22">
        <f t="shared" si="42"/>
        <v>73.5</v>
      </c>
      <c r="L134" s="22">
        <f t="shared" si="42"/>
        <v>82</v>
      </c>
      <c r="M134" s="22">
        <f t="shared" si="42"/>
        <v>77.5</v>
      </c>
      <c r="N134" s="22">
        <f t="shared" si="42"/>
        <v>81</v>
      </c>
      <c r="O134" s="22">
        <f t="shared" si="42"/>
        <v>88.5</v>
      </c>
      <c r="P134" s="22">
        <f t="shared" si="42"/>
        <v>76.5</v>
      </c>
      <c r="Q134" s="22">
        <f t="shared" si="42"/>
        <v>91.5</v>
      </c>
      <c r="R134" s="22">
        <f t="shared" si="42"/>
        <v>85.5</v>
      </c>
      <c r="S134" s="22">
        <f t="shared" si="42"/>
        <v>1025</v>
      </c>
      <c r="T134" s="22">
        <f t="shared" si="42"/>
        <v>78.84615384615384</v>
      </c>
      <c r="U134" s="22">
        <f>'10B Sem avr'!$H$46</f>
        <v>21</v>
      </c>
      <c r="V134" s="22">
        <f t="shared" si="42"/>
        <v>0</v>
      </c>
      <c r="W134" s="22">
        <f t="shared" si="42"/>
        <v>0</v>
      </c>
      <c r="X134" s="5"/>
      <c r="Y134" s="5"/>
      <c r="Z134" s="5"/>
      <c r="AA134" s="5"/>
      <c r="AB134" s="5"/>
    </row>
    <row r="135" spans="1:28" ht="17.25" customHeight="1" thickBot="1" x14ac:dyDescent="0.3">
      <c r="A135" s="247">
        <v>44</v>
      </c>
      <c r="B135" s="218"/>
      <c r="C135" s="213">
        <v>15</v>
      </c>
      <c r="D135" s="217" t="s">
        <v>23</v>
      </c>
      <c r="E135" s="21" t="s">
        <v>21</v>
      </c>
      <c r="F135" s="22">
        <f>'10B Sem 1'!E47</f>
        <v>90</v>
      </c>
      <c r="G135" s="22">
        <f>'10B Sem 1'!F47</f>
        <v>79</v>
      </c>
      <c r="H135" s="22">
        <f>'10B Sem 1'!G47</f>
        <v>90</v>
      </c>
      <c r="I135" s="22">
        <f>'10B Sem 1'!H47</f>
        <v>87</v>
      </c>
      <c r="J135" s="22">
        <f>'10B Sem 1'!I47</f>
        <v>82</v>
      </c>
      <c r="K135" s="22">
        <f>'10B Sem 1'!J47</f>
        <v>91</v>
      </c>
      <c r="L135" s="22">
        <f>'10B Sem 1'!K47</f>
        <v>89</v>
      </c>
      <c r="M135" s="22">
        <f>'10B Sem 1'!L47</f>
        <v>87</v>
      </c>
      <c r="N135" s="22">
        <f>'10B Sem 1'!M47</f>
        <v>90</v>
      </c>
      <c r="O135" s="22">
        <f>'10B Sem 1'!N47</f>
        <v>93</v>
      </c>
      <c r="P135" s="22">
        <f>'10B Sem 1'!O47</f>
        <v>92</v>
      </c>
      <c r="Q135" s="22">
        <f>'10B Sem 1'!P47</f>
        <v>93</v>
      </c>
      <c r="R135" s="22">
        <f>'10B Sem 1'!Q47</f>
        <v>84</v>
      </c>
      <c r="S135" s="22">
        <f>'10B Sem 1'!R47</f>
        <v>1147</v>
      </c>
      <c r="T135" s="22">
        <f>'10B Sem 1'!S47</f>
        <v>88.230769230769226</v>
      </c>
      <c r="U135" s="22">
        <f>'10B Sem 1'!T47</f>
        <v>7</v>
      </c>
      <c r="V135" s="22">
        <f>'10B Sem 1'!U47</f>
        <v>0</v>
      </c>
      <c r="W135" s="22">
        <f>'10B Sem 1'!V47</f>
        <v>0</v>
      </c>
      <c r="X135" s="5"/>
      <c r="Y135" s="5"/>
      <c r="Z135" s="5"/>
      <c r="AA135" s="5"/>
      <c r="AB135" s="5"/>
    </row>
    <row r="136" spans="1:28" ht="17.25" customHeight="1" thickBot="1" x14ac:dyDescent="0.3">
      <c r="A136" s="247"/>
      <c r="B136" s="218"/>
      <c r="C136" s="213">
        <v>15</v>
      </c>
      <c r="D136" s="217" t="s">
        <v>23</v>
      </c>
      <c r="E136" s="21" t="s">
        <v>22</v>
      </c>
      <c r="F136" s="22">
        <f>'10B Sem 2'!E47</f>
        <v>85</v>
      </c>
      <c r="G136" s="22">
        <f>'10B Sem 2'!F47</f>
        <v>77</v>
      </c>
      <c r="H136" s="22">
        <f>'10B Sem 2'!G47</f>
        <v>74</v>
      </c>
      <c r="I136" s="22">
        <f>'10B Sem 2'!H47</f>
        <v>84</v>
      </c>
      <c r="J136" s="22">
        <f>'10B Sem 2'!I47</f>
        <v>84</v>
      </c>
      <c r="K136" s="22">
        <f>'10B Sem 2'!J47</f>
        <v>91</v>
      </c>
      <c r="L136" s="22">
        <f>'10B Sem 2'!K47</f>
        <v>79</v>
      </c>
      <c r="M136" s="22">
        <f>'10B Sem 2'!L47</f>
        <v>100</v>
      </c>
      <c r="N136" s="22">
        <f>'10B Sem 2'!M47</f>
        <v>91</v>
      </c>
      <c r="O136" s="22">
        <f>'10B Sem 2'!N47</f>
        <v>97</v>
      </c>
      <c r="P136" s="22">
        <f>'10B Sem 2'!O47</f>
        <v>80</v>
      </c>
      <c r="Q136" s="22">
        <f>'10B Sem 2'!P47</f>
        <v>89</v>
      </c>
      <c r="R136" s="22">
        <f>'10B Sem 2'!Q47</f>
        <v>80</v>
      </c>
      <c r="S136" s="22">
        <f>'10B Sem 2'!R47</f>
        <v>1111</v>
      </c>
      <c r="T136" s="22">
        <f>'10B Sem 2'!S47</f>
        <v>85.461538461538467</v>
      </c>
      <c r="U136" s="22">
        <f>'10B Sem 2'!T47</f>
        <v>9</v>
      </c>
      <c r="V136" s="22">
        <f>'10B Sem 2'!U47</f>
        <v>0</v>
      </c>
      <c r="W136" s="22">
        <f>'10B Sem 2'!V47</f>
        <v>0</v>
      </c>
      <c r="X136" s="5"/>
      <c r="Y136" s="5"/>
      <c r="Z136" s="5"/>
      <c r="AA136" s="5"/>
      <c r="AB136" s="5"/>
    </row>
    <row r="137" spans="1:28" ht="17.25" customHeight="1" thickBot="1" x14ac:dyDescent="0.3">
      <c r="A137" s="247"/>
      <c r="B137" s="218"/>
      <c r="C137" s="213">
        <v>15</v>
      </c>
      <c r="D137" s="217" t="s">
        <v>23</v>
      </c>
      <c r="E137" s="21" t="s">
        <v>16</v>
      </c>
      <c r="F137" s="22">
        <f>AVERAGE(F135:F136)</f>
        <v>87.5</v>
      </c>
      <c r="G137" s="22">
        <f t="shared" ref="G137:W137" si="43">AVERAGE(G135:G136)</f>
        <v>78</v>
      </c>
      <c r="H137" s="22">
        <f t="shared" si="43"/>
        <v>82</v>
      </c>
      <c r="I137" s="22">
        <f t="shared" si="43"/>
        <v>85.5</v>
      </c>
      <c r="J137" s="22">
        <f t="shared" si="43"/>
        <v>83</v>
      </c>
      <c r="K137" s="22">
        <f t="shared" si="43"/>
        <v>91</v>
      </c>
      <c r="L137" s="22">
        <f t="shared" si="43"/>
        <v>84</v>
      </c>
      <c r="M137" s="22">
        <f t="shared" si="43"/>
        <v>93.5</v>
      </c>
      <c r="N137" s="22">
        <f t="shared" si="43"/>
        <v>90.5</v>
      </c>
      <c r="O137" s="22">
        <f t="shared" si="43"/>
        <v>95</v>
      </c>
      <c r="P137" s="22">
        <f t="shared" si="43"/>
        <v>86</v>
      </c>
      <c r="Q137" s="22">
        <f t="shared" si="43"/>
        <v>91</v>
      </c>
      <c r="R137" s="22">
        <f t="shared" si="43"/>
        <v>82</v>
      </c>
      <c r="S137" s="22">
        <f t="shared" si="43"/>
        <v>1129</v>
      </c>
      <c r="T137" s="22">
        <f t="shared" si="43"/>
        <v>86.84615384615384</v>
      </c>
      <c r="U137" s="22">
        <f>'10B Sem avr'!$H$47</f>
        <v>8</v>
      </c>
      <c r="V137" s="22">
        <f t="shared" si="43"/>
        <v>0</v>
      </c>
      <c r="W137" s="22">
        <f t="shared" si="43"/>
        <v>0</v>
      </c>
      <c r="X137" s="5"/>
      <c r="Y137" s="5"/>
      <c r="Z137" s="5"/>
      <c r="AA137" s="5"/>
      <c r="AB137" s="5"/>
    </row>
    <row r="138" spans="1:28" ht="17.25" customHeight="1" thickBot="1" x14ac:dyDescent="0.3">
      <c r="A138" s="249">
        <v>45</v>
      </c>
      <c r="B138" s="234"/>
      <c r="C138" s="247">
        <v>15</v>
      </c>
      <c r="D138" s="248" t="s">
        <v>23</v>
      </c>
      <c r="E138" s="21" t="s">
        <v>21</v>
      </c>
      <c r="F138" s="22">
        <f>'10B Sem 1'!E48</f>
        <v>71</v>
      </c>
      <c r="G138" s="22">
        <f>'10B Sem 1'!F48</f>
        <v>69</v>
      </c>
      <c r="H138" s="22">
        <f>'10B Sem 1'!G48</f>
        <v>40</v>
      </c>
      <c r="I138" s="22">
        <f>'10B Sem 1'!H48</f>
        <v>37</v>
      </c>
      <c r="J138" s="22">
        <f>'10B Sem 1'!I48</f>
        <v>40</v>
      </c>
      <c r="K138" s="22">
        <f>'10B Sem 1'!J48</f>
        <v>43</v>
      </c>
      <c r="L138" s="22">
        <f>'10B Sem 1'!K48</f>
        <v>50</v>
      </c>
      <c r="M138" s="22">
        <f>'10B Sem 1'!L48</f>
        <v>43</v>
      </c>
      <c r="N138" s="22">
        <f>'10B Sem 1'!M48</f>
        <v>60</v>
      </c>
      <c r="O138" s="22">
        <f>'10B Sem 1'!N48</f>
        <v>76</v>
      </c>
      <c r="P138" s="22">
        <f>'10B Sem 1'!O48</f>
        <v>56</v>
      </c>
      <c r="Q138" s="22">
        <f>'10B Sem 1'!P48</f>
        <v>74</v>
      </c>
      <c r="R138" s="22">
        <f>'10B Sem 1'!Q48</f>
        <v>55</v>
      </c>
      <c r="S138" s="22">
        <f>'10B Sem 1'!R48</f>
        <v>714</v>
      </c>
      <c r="T138" s="22">
        <f>'10B Sem 1'!S48</f>
        <v>54.92307692307692</v>
      </c>
      <c r="U138" s="22">
        <f>'10B Sem 1'!T48</f>
        <v>54</v>
      </c>
      <c r="V138" s="22">
        <f>'10B Sem 1'!U48</f>
        <v>0</v>
      </c>
      <c r="W138" s="22">
        <f>'10B Sem 1'!V48</f>
        <v>0</v>
      </c>
      <c r="X138" s="5"/>
      <c r="Y138" s="5"/>
      <c r="Z138" s="5"/>
      <c r="AA138" s="5"/>
      <c r="AB138" s="5"/>
    </row>
    <row r="139" spans="1:28" ht="18" customHeight="1" thickBot="1" x14ac:dyDescent="0.3">
      <c r="A139" s="249"/>
      <c r="B139" s="234"/>
      <c r="C139" s="247">
        <v>15</v>
      </c>
      <c r="D139" s="248" t="s">
        <v>23</v>
      </c>
      <c r="E139" s="21" t="s">
        <v>22</v>
      </c>
      <c r="F139" s="22">
        <f>'10B Sem 2'!E48</f>
        <v>65</v>
      </c>
      <c r="G139" s="22">
        <f>'10B Sem 2'!F48</f>
        <v>69</v>
      </c>
      <c r="H139" s="22">
        <f>'10B Sem 2'!G48</f>
        <v>30</v>
      </c>
      <c r="I139" s="22">
        <f>'10B Sem 2'!H48</f>
        <v>52</v>
      </c>
      <c r="J139" s="22">
        <f>'10B Sem 2'!I48</f>
        <v>42</v>
      </c>
      <c r="K139" s="22">
        <f>'10B Sem 2'!J48</f>
        <v>38</v>
      </c>
      <c r="L139" s="22">
        <f>'10B Sem 2'!K48</f>
        <v>51</v>
      </c>
      <c r="M139" s="22">
        <f>'10B Sem 2'!L48</f>
        <v>61</v>
      </c>
      <c r="N139" s="22">
        <f>'10B Sem 2'!M48</f>
        <v>59</v>
      </c>
      <c r="O139" s="22">
        <f>'10B Sem 2'!N48</f>
        <v>73</v>
      </c>
      <c r="P139" s="22">
        <f>'10B Sem 2'!O48</f>
        <v>44</v>
      </c>
      <c r="Q139" s="22">
        <f>'10B Sem 2'!P48</f>
        <v>86</v>
      </c>
      <c r="R139" s="22">
        <f>'10B Sem 2'!Q48</f>
        <v>62</v>
      </c>
      <c r="S139" s="22">
        <f>'10B Sem 2'!R48</f>
        <v>732</v>
      </c>
      <c r="T139" s="22">
        <f>'10B Sem 2'!S48</f>
        <v>56.307692307692307</v>
      </c>
      <c r="U139" s="22">
        <f>'10B Sem 2'!T48</f>
        <v>54</v>
      </c>
      <c r="V139" s="22">
        <f>'10B Sem 2'!U48</f>
        <v>0</v>
      </c>
      <c r="W139" s="22">
        <f>'10B Sem 2'!V48</f>
        <v>0</v>
      </c>
    </row>
    <row r="140" spans="1:28" ht="18" customHeight="1" thickBot="1" x14ac:dyDescent="0.3">
      <c r="A140" s="249"/>
      <c r="B140" s="234"/>
      <c r="C140" s="247">
        <v>15</v>
      </c>
      <c r="D140" s="248" t="s">
        <v>23</v>
      </c>
      <c r="E140" s="21" t="s">
        <v>16</v>
      </c>
      <c r="F140" s="22">
        <f>AVERAGE(F138:F139)</f>
        <v>68</v>
      </c>
      <c r="G140" s="22">
        <f t="shared" ref="G140:W140" si="44">AVERAGE(G138:G139)</f>
        <v>69</v>
      </c>
      <c r="H140" s="22">
        <f t="shared" si="44"/>
        <v>35</v>
      </c>
      <c r="I140" s="22">
        <f t="shared" si="44"/>
        <v>44.5</v>
      </c>
      <c r="J140" s="22">
        <f t="shared" si="44"/>
        <v>41</v>
      </c>
      <c r="K140" s="22">
        <f t="shared" si="44"/>
        <v>40.5</v>
      </c>
      <c r="L140" s="22">
        <f t="shared" si="44"/>
        <v>50.5</v>
      </c>
      <c r="M140" s="22">
        <f t="shared" si="44"/>
        <v>52</v>
      </c>
      <c r="N140" s="22">
        <f t="shared" si="44"/>
        <v>59.5</v>
      </c>
      <c r="O140" s="22">
        <f t="shared" si="44"/>
        <v>74.5</v>
      </c>
      <c r="P140" s="22">
        <f t="shared" si="44"/>
        <v>50</v>
      </c>
      <c r="Q140" s="22">
        <f t="shared" si="44"/>
        <v>80</v>
      </c>
      <c r="R140" s="22">
        <f t="shared" si="44"/>
        <v>58.5</v>
      </c>
      <c r="S140" s="22">
        <f t="shared" si="44"/>
        <v>723</v>
      </c>
      <c r="T140" s="22">
        <f t="shared" si="44"/>
        <v>55.615384615384613</v>
      </c>
      <c r="U140" s="22">
        <f>'10B Sem avr'!$H$48</f>
        <v>54</v>
      </c>
      <c r="V140" s="22">
        <f t="shared" si="44"/>
        <v>0</v>
      </c>
      <c r="W140" s="22">
        <f t="shared" si="44"/>
        <v>0</v>
      </c>
    </row>
    <row r="141" spans="1:28" ht="18" customHeight="1" thickBot="1" x14ac:dyDescent="0.3">
      <c r="A141" s="247">
        <v>46</v>
      </c>
      <c r="B141" s="218"/>
      <c r="C141" s="213">
        <v>15</v>
      </c>
      <c r="D141" s="217" t="s">
        <v>23</v>
      </c>
      <c r="E141" s="21" t="s">
        <v>21</v>
      </c>
      <c r="F141" s="22">
        <f>'10B Sem 1'!E49</f>
        <v>67</v>
      </c>
      <c r="G141" s="22">
        <f>'10B Sem 1'!F49</f>
        <v>65</v>
      </c>
      <c r="H141" s="22">
        <f>'10B Sem 1'!G49</f>
        <v>67</v>
      </c>
      <c r="I141" s="22">
        <f>'10B Sem 1'!H49</f>
        <v>55</v>
      </c>
      <c r="J141" s="22">
        <f>'10B Sem 1'!I49</f>
        <v>50</v>
      </c>
      <c r="K141" s="22">
        <f>'10B Sem 1'!J49</f>
        <v>63</v>
      </c>
      <c r="L141" s="23">
        <f>'10B Sem 1'!K49</f>
        <v>50</v>
      </c>
      <c r="M141" s="22">
        <f>'10B Sem 1'!L49</f>
        <v>58</v>
      </c>
      <c r="N141" s="22">
        <f>'10B Sem 1'!M49</f>
        <v>68</v>
      </c>
      <c r="O141" s="22">
        <f>'10B Sem 1'!N49</f>
        <v>68</v>
      </c>
      <c r="P141" s="22">
        <f>'10B Sem 1'!O49</f>
        <v>61</v>
      </c>
      <c r="Q141" s="22">
        <f>'10B Sem 1'!P49</f>
        <v>83</v>
      </c>
      <c r="R141" s="22">
        <f>'10B Sem 1'!Q49</f>
        <v>74</v>
      </c>
      <c r="S141" s="22">
        <f>'10B Sem 1'!R49</f>
        <v>829</v>
      </c>
      <c r="T141" s="22">
        <f>'10B Sem 1'!S49</f>
        <v>63.769230769230766</v>
      </c>
      <c r="U141" s="22">
        <f>'10B Sem 1'!T49</f>
        <v>48</v>
      </c>
      <c r="V141" s="22">
        <f>'10B Sem 1'!U49</f>
        <v>0</v>
      </c>
      <c r="W141" s="22">
        <f>'10B Sem 1'!V49</f>
        <v>0</v>
      </c>
    </row>
    <row r="142" spans="1:28" ht="18" customHeight="1" thickBot="1" x14ac:dyDescent="0.3">
      <c r="A142" s="247"/>
      <c r="B142" s="218"/>
      <c r="C142" s="213">
        <v>15</v>
      </c>
      <c r="D142" s="217" t="s">
        <v>23</v>
      </c>
      <c r="E142" s="21" t="s">
        <v>22</v>
      </c>
      <c r="F142" s="22">
        <f>'10B Sem 2'!E49</f>
        <v>67</v>
      </c>
      <c r="G142" s="22">
        <f>'10B Sem 2'!F49</f>
        <v>63</v>
      </c>
      <c r="H142" s="22">
        <f>'10B Sem 2'!G49</f>
        <v>51</v>
      </c>
      <c r="I142" s="22">
        <f>'10B Sem 2'!H49</f>
        <v>59</v>
      </c>
      <c r="J142" s="22">
        <f>'10B Sem 2'!I49</f>
        <v>52</v>
      </c>
      <c r="K142" s="22">
        <f>'10B Sem 2'!J49</f>
        <v>57</v>
      </c>
      <c r="L142" s="23">
        <f>'10B Sem 2'!K49</f>
        <v>59</v>
      </c>
      <c r="M142" s="22">
        <f>'10B Sem 2'!L49</f>
        <v>72</v>
      </c>
      <c r="N142" s="22">
        <f>'10B Sem 2'!M49</f>
        <v>73</v>
      </c>
      <c r="O142" s="22">
        <f>'10B Sem 2'!N49</f>
        <v>80</v>
      </c>
      <c r="P142" s="22">
        <f>'10B Sem 2'!O49</f>
        <v>50</v>
      </c>
      <c r="Q142" s="22">
        <f>'10B Sem 2'!P49</f>
        <v>89</v>
      </c>
      <c r="R142" s="22">
        <f>'10B Sem 2'!Q49</f>
        <v>63</v>
      </c>
      <c r="S142" s="22">
        <f>'10B Sem 2'!R49</f>
        <v>835</v>
      </c>
      <c r="T142" s="22">
        <f>'10B Sem 2'!S49</f>
        <v>64.230769230769226</v>
      </c>
      <c r="U142" s="22">
        <f>'10B Sem 2'!T49</f>
        <v>48</v>
      </c>
      <c r="V142" s="22">
        <f>'10B Sem 2'!U49</f>
        <v>0</v>
      </c>
      <c r="W142" s="22">
        <f>'10B Sem 2'!V49</f>
        <v>0</v>
      </c>
    </row>
    <row r="143" spans="1:28" ht="18" customHeight="1" thickBot="1" x14ac:dyDescent="0.3">
      <c r="A143" s="247"/>
      <c r="B143" s="218"/>
      <c r="C143" s="213">
        <v>15</v>
      </c>
      <c r="D143" s="217" t="s">
        <v>23</v>
      </c>
      <c r="E143" s="21" t="s">
        <v>16</v>
      </c>
      <c r="F143" s="22">
        <f>AVERAGE(F141:F142)</f>
        <v>67</v>
      </c>
      <c r="G143" s="22">
        <f t="shared" ref="G143:W143" si="45">AVERAGE(G141:G142)</f>
        <v>64</v>
      </c>
      <c r="H143" s="22">
        <f t="shared" si="45"/>
        <v>59</v>
      </c>
      <c r="I143" s="22">
        <f t="shared" si="45"/>
        <v>57</v>
      </c>
      <c r="J143" s="22">
        <f t="shared" si="45"/>
        <v>51</v>
      </c>
      <c r="K143" s="22">
        <f t="shared" si="45"/>
        <v>60</v>
      </c>
      <c r="L143" s="22">
        <f t="shared" si="45"/>
        <v>54.5</v>
      </c>
      <c r="M143" s="22">
        <f t="shared" si="45"/>
        <v>65</v>
      </c>
      <c r="N143" s="22">
        <f t="shared" si="45"/>
        <v>70.5</v>
      </c>
      <c r="O143" s="22">
        <f t="shared" si="45"/>
        <v>74</v>
      </c>
      <c r="P143" s="22">
        <f t="shared" si="45"/>
        <v>55.5</v>
      </c>
      <c r="Q143" s="22">
        <f t="shared" si="45"/>
        <v>86</v>
      </c>
      <c r="R143" s="22">
        <f t="shared" si="45"/>
        <v>68.5</v>
      </c>
      <c r="S143" s="22">
        <f t="shared" si="45"/>
        <v>832</v>
      </c>
      <c r="T143" s="22">
        <f t="shared" si="45"/>
        <v>64</v>
      </c>
      <c r="U143" s="22">
        <f>'10B Sem avr'!$H$49</f>
        <v>48</v>
      </c>
      <c r="V143" s="22">
        <f t="shared" si="45"/>
        <v>0</v>
      </c>
      <c r="W143" s="22">
        <f t="shared" si="45"/>
        <v>0</v>
      </c>
    </row>
    <row r="144" spans="1:28" ht="18" customHeight="1" thickBot="1" x14ac:dyDescent="0.3">
      <c r="A144" s="247">
        <v>47</v>
      </c>
      <c r="B144" s="234"/>
      <c r="C144" s="247">
        <v>14</v>
      </c>
      <c r="D144" s="248" t="s">
        <v>23</v>
      </c>
      <c r="E144" s="21" t="s">
        <v>21</v>
      </c>
      <c r="F144" s="22">
        <f>'10B Sem 1'!E50</f>
        <v>73</v>
      </c>
      <c r="G144" s="22">
        <f>'10B Sem 1'!F50</f>
        <v>58</v>
      </c>
      <c r="H144" s="22">
        <f>'10B Sem 1'!G50</f>
        <v>56</v>
      </c>
      <c r="I144" s="22">
        <f>'10B Sem 1'!H50</f>
        <v>52</v>
      </c>
      <c r="J144" s="22">
        <f>'10B Sem 1'!I50</f>
        <v>46</v>
      </c>
      <c r="K144" s="22">
        <f>'10B Sem 1'!J50</f>
        <v>55</v>
      </c>
      <c r="L144" s="22">
        <f>'10B Sem 1'!K50</f>
        <v>68</v>
      </c>
      <c r="M144" s="22">
        <f>'10B Sem 1'!L50</f>
        <v>59</v>
      </c>
      <c r="N144" s="22">
        <f>'10B Sem 1'!M50</f>
        <v>67</v>
      </c>
      <c r="O144" s="22">
        <f>'10B Sem 1'!N50</f>
        <v>70</v>
      </c>
      <c r="P144" s="22">
        <f>'10B Sem 1'!O50</f>
        <v>63</v>
      </c>
      <c r="Q144" s="22">
        <f>'10B Sem 1'!P50</f>
        <v>78</v>
      </c>
      <c r="R144" s="22">
        <f>'10B Sem 1'!Q50</f>
        <v>60</v>
      </c>
      <c r="S144" s="22">
        <f>'10B Sem 1'!R50</f>
        <v>805</v>
      </c>
      <c r="T144" s="22">
        <f>'10B Sem 1'!S50</f>
        <v>61.92307692307692</v>
      </c>
      <c r="U144" s="22">
        <f>'10B Sem 1'!T50</f>
        <v>49</v>
      </c>
      <c r="V144" s="22">
        <f>'10B Sem 1'!U50</f>
        <v>0</v>
      </c>
      <c r="W144" s="22">
        <f>'10B Sem 1'!V50</f>
        <v>0</v>
      </c>
    </row>
    <row r="145" spans="1:23" ht="18" customHeight="1" thickBot="1" x14ac:dyDescent="0.3">
      <c r="A145" s="247"/>
      <c r="B145" s="234"/>
      <c r="C145" s="247">
        <v>14</v>
      </c>
      <c r="D145" s="248" t="s">
        <v>23</v>
      </c>
      <c r="E145" s="21" t="s">
        <v>22</v>
      </c>
      <c r="F145" s="22">
        <f>'10B Sem 2'!E50</f>
        <v>67</v>
      </c>
      <c r="G145" s="22">
        <f>'10B Sem 2'!F50</f>
        <v>54</v>
      </c>
      <c r="H145" s="22">
        <f>'10B Sem 2'!G50</f>
        <v>39</v>
      </c>
      <c r="I145" s="22">
        <f>'10B Sem 2'!H50</f>
        <v>55</v>
      </c>
      <c r="J145" s="22">
        <f>'10B Sem 2'!I50</f>
        <v>47</v>
      </c>
      <c r="K145" s="22">
        <f>'10B Sem 2'!J50</f>
        <v>50</v>
      </c>
      <c r="L145" s="22">
        <f>'10B Sem 2'!K50</f>
        <v>69</v>
      </c>
      <c r="M145" s="22">
        <f>'10B Sem 2'!L50</f>
        <v>71</v>
      </c>
      <c r="N145" s="22">
        <f>'10B Sem 2'!M50</f>
        <v>55</v>
      </c>
      <c r="O145" s="22">
        <f>'10B Sem 2'!N50</f>
        <v>72</v>
      </c>
      <c r="P145" s="22">
        <f>'10B Sem 2'!O50</f>
        <v>57</v>
      </c>
      <c r="Q145" s="22">
        <f>'10B Sem 2'!P50</f>
        <v>86</v>
      </c>
      <c r="R145" s="22">
        <f>'10B Sem 2'!Q50</f>
        <v>66</v>
      </c>
      <c r="S145" s="22">
        <f>'10B Sem 2'!R50</f>
        <v>788</v>
      </c>
      <c r="T145" s="22">
        <f>'10B Sem 2'!S50</f>
        <v>60.615384615384613</v>
      </c>
      <c r="U145" s="22">
        <f>'10B Sem 2'!T50</f>
        <v>52</v>
      </c>
      <c r="V145" s="22">
        <f>'10B Sem 2'!U50</f>
        <v>0</v>
      </c>
      <c r="W145" s="22">
        <f>'10B Sem 2'!V50</f>
        <v>0</v>
      </c>
    </row>
    <row r="146" spans="1:23" ht="18" customHeight="1" thickBot="1" x14ac:dyDescent="0.3">
      <c r="A146" s="247"/>
      <c r="B146" s="234"/>
      <c r="C146" s="247">
        <v>14</v>
      </c>
      <c r="D146" s="248" t="s">
        <v>23</v>
      </c>
      <c r="E146" s="21" t="s">
        <v>16</v>
      </c>
      <c r="F146" s="22">
        <f>AVERAGE(F144:F145)</f>
        <v>70</v>
      </c>
      <c r="G146" s="22">
        <f t="shared" ref="G146:W146" si="46">AVERAGE(G144:G145)</f>
        <v>56</v>
      </c>
      <c r="H146" s="22">
        <f t="shared" si="46"/>
        <v>47.5</v>
      </c>
      <c r="I146" s="22">
        <f t="shared" si="46"/>
        <v>53.5</v>
      </c>
      <c r="J146" s="22">
        <f t="shared" si="46"/>
        <v>46.5</v>
      </c>
      <c r="K146" s="22">
        <f t="shared" si="46"/>
        <v>52.5</v>
      </c>
      <c r="L146" s="22">
        <f t="shared" si="46"/>
        <v>68.5</v>
      </c>
      <c r="M146" s="22">
        <f t="shared" si="46"/>
        <v>65</v>
      </c>
      <c r="N146" s="22">
        <f t="shared" si="46"/>
        <v>61</v>
      </c>
      <c r="O146" s="22">
        <f t="shared" si="46"/>
        <v>71</v>
      </c>
      <c r="P146" s="22">
        <f t="shared" si="46"/>
        <v>60</v>
      </c>
      <c r="Q146" s="22">
        <f t="shared" si="46"/>
        <v>82</v>
      </c>
      <c r="R146" s="22">
        <f t="shared" si="46"/>
        <v>63</v>
      </c>
      <c r="S146" s="22">
        <f t="shared" si="46"/>
        <v>796.5</v>
      </c>
      <c r="T146" s="22">
        <f t="shared" si="46"/>
        <v>61.269230769230766</v>
      </c>
      <c r="U146" s="22">
        <f>'10B Sem avr'!$H$50</f>
        <v>50</v>
      </c>
      <c r="V146" s="22">
        <f t="shared" si="46"/>
        <v>0</v>
      </c>
      <c r="W146" s="22">
        <f t="shared" si="46"/>
        <v>0</v>
      </c>
    </row>
    <row r="147" spans="1:23" ht="18" customHeight="1" thickBot="1" x14ac:dyDescent="0.3">
      <c r="A147" s="247">
        <v>48</v>
      </c>
      <c r="B147" s="218"/>
      <c r="C147" s="213">
        <v>16</v>
      </c>
      <c r="D147" s="217" t="s">
        <v>23</v>
      </c>
      <c r="E147" s="21" t="s">
        <v>21</v>
      </c>
      <c r="F147" s="22">
        <f>'10B Sem 1'!E51</f>
        <v>85</v>
      </c>
      <c r="G147" s="22">
        <f>'10B Sem 1'!F51</f>
        <v>80</v>
      </c>
      <c r="H147" s="22">
        <f>'10B Sem 1'!G51</f>
        <v>96</v>
      </c>
      <c r="I147" s="22">
        <f>'10B Sem 1'!H51</f>
        <v>92</v>
      </c>
      <c r="J147" s="22">
        <f>'10B Sem 1'!I51</f>
        <v>84</v>
      </c>
      <c r="K147" s="22">
        <f>'10B Sem 1'!J51</f>
        <v>91</v>
      </c>
      <c r="L147" s="22">
        <f>'10B Sem 1'!K51</f>
        <v>89</v>
      </c>
      <c r="M147" s="22">
        <f>'10B Sem 1'!L51</f>
        <v>97</v>
      </c>
      <c r="N147" s="22">
        <f>'10B Sem 1'!M51</f>
        <v>93</v>
      </c>
      <c r="O147" s="22">
        <f>'10B Sem 1'!N51</f>
        <v>87</v>
      </c>
      <c r="P147" s="22">
        <f>'10B Sem 1'!O51</f>
        <v>92</v>
      </c>
      <c r="Q147" s="22">
        <f>'10B Sem 1'!P51</f>
        <v>99</v>
      </c>
      <c r="R147" s="22">
        <f>'10B Sem 1'!Q51</f>
        <v>87</v>
      </c>
      <c r="S147" s="22">
        <f>'10B Sem 1'!R51</f>
        <v>1172</v>
      </c>
      <c r="T147" s="22">
        <f>'10B Sem 1'!S51</f>
        <v>90.15384615384616</v>
      </c>
      <c r="U147" s="22">
        <f>'10B Sem 1'!T51</f>
        <v>6</v>
      </c>
      <c r="V147" s="22">
        <f>'10B Sem 1'!U51</f>
        <v>0</v>
      </c>
      <c r="W147" s="22">
        <f>'10B Sem 1'!V51</f>
        <v>0</v>
      </c>
    </row>
    <row r="148" spans="1:23" ht="18" customHeight="1" thickBot="1" x14ac:dyDescent="0.3">
      <c r="A148" s="247"/>
      <c r="B148" s="218"/>
      <c r="C148" s="213">
        <v>16</v>
      </c>
      <c r="D148" s="217" t="s">
        <v>23</v>
      </c>
      <c r="E148" s="21" t="s">
        <v>22</v>
      </c>
      <c r="F148" s="22">
        <f>'10B Sem 2'!E51</f>
        <v>81</v>
      </c>
      <c r="G148" s="22">
        <f>'10B Sem 2'!F51</f>
        <v>82</v>
      </c>
      <c r="H148" s="22">
        <f>'10B Sem 2'!G51</f>
        <v>92</v>
      </c>
      <c r="I148" s="22">
        <f>'10B Sem 2'!H51</f>
        <v>95</v>
      </c>
      <c r="J148" s="22">
        <f>'10B Sem 2'!I51</f>
        <v>93</v>
      </c>
      <c r="K148" s="22">
        <f>'10B Sem 2'!J51</f>
        <v>96</v>
      </c>
      <c r="L148" s="22">
        <f>'10B Sem 2'!K51</f>
        <v>94</v>
      </c>
      <c r="M148" s="22">
        <f>'10B Sem 2'!L51</f>
        <v>100</v>
      </c>
      <c r="N148" s="22">
        <f>'10B Sem 2'!M51</f>
        <v>94</v>
      </c>
      <c r="O148" s="22">
        <f>'10B Sem 2'!N51</f>
        <v>100</v>
      </c>
      <c r="P148" s="22">
        <f>'10B Sem 2'!O51</f>
        <v>94</v>
      </c>
      <c r="Q148" s="22">
        <f>'10B Sem 2'!P51</f>
        <v>100</v>
      </c>
      <c r="R148" s="22">
        <f>'10B Sem 2'!Q51</f>
        <v>94</v>
      </c>
      <c r="S148" s="22">
        <f>'10B Sem 2'!R51</f>
        <v>1215</v>
      </c>
      <c r="T148" s="22">
        <f>'10B Sem 2'!S51</f>
        <v>93.461538461538467</v>
      </c>
      <c r="U148" s="22">
        <f>'10B Sem 2'!T51</f>
        <v>2</v>
      </c>
      <c r="V148" s="22">
        <f>'10B Sem 2'!U51</f>
        <v>0</v>
      </c>
      <c r="W148" s="22">
        <f>'10B Sem 2'!V51</f>
        <v>0</v>
      </c>
    </row>
    <row r="149" spans="1:23" ht="18" customHeight="1" thickBot="1" x14ac:dyDescent="0.3">
      <c r="A149" s="247"/>
      <c r="B149" s="218"/>
      <c r="C149" s="213">
        <v>16</v>
      </c>
      <c r="D149" s="217" t="s">
        <v>23</v>
      </c>
      <c r="E149" s="21" t="s">
        <v>16</v>
      </c>
      <c r="F149" s="22">
        <f>AVERAGE(F147:F148)</f>
        <v>83</v>
      </c>
      <c r="G149" s="22">
        <f t="shared" ref="G149:W149" si="47">AVERAGE(G147:G148)</f>
        <v>81</v>
      </c>
      <c r="H149" s="22">
        <f t="shared" si="47"/>
        <v>94</v>
      </c>
      <c r="I149" s="22">
        <f t="shared" si="47"/>
        <v>93.5</v>
      </c>
      <c r="J149" s="22">
        <f t="shared" si="47"/>
        <v>88.5</v>
      </c>
      <c r="K149" s="22">
        <f t="shared" si="47"/>
        <v>93.5</v>
      </c>
      <c r="L149" s="22">
        <f t="shared" si="47"/>
        <v>91.5</v>
      </c>
      <c r="M149" s="22">
        <f t="shared" si="47"/>
        <v>98.5</v>
      </c>
      <c r="N149" s="22">
        <f t="shared" si="47"/>
        <v>93.5</v>
      </c>
      <c r="O149" s="22">
        <f t="shared" si="47"/>
        <v>93.5</v>
      </c>
      <c r="P149" s="22">
        <f t="shared" si="47"/>
        <v>93</v>
      </c>
      <c r="Q149" s="22">
        <f t="shared" si="47"/>
        <v>99.5</v>
      </c>
      <c r="R149" s="22">
        <f t="shared" si="47"/>
        <v>90.5</v>
      </c>
      <c r="S149" s="22">
        <f t="shared" si="47"/>
        <v>1193.5</v>
      </c>
      <c r="T149" s="22">
        <f t="shared" si="47"/>
        <v>91.807692307692321</v>
      </c>
      <c r="U149" s="22">
        <f>'10B Sem avr'!$H$51</f>
        <v>2</v>
      </c>
      <c r="V149" s="22">
        <f t="shared" si="47"/>
        <v>0</v>
      </c>
      <c r="W149" s="22">
        <f t="shared" si="47"/>
        <v>0</v>
      </c>
    </row>
    <row r="150" spans="1:23" ht="18" customHeight="1" thickBot="1" x14ac:dyDescent="0.3">
      <c r="A150" s="249">
        <v>49</v>
      </c>
      <c r="B150" s="218"/>
      <c r="C150" s="213">
        <v>16</v>
      </c>
      <c r="D150" s="217" t="s">
        <v>20</v>
      </c>
      <c r="E150" s="21" t="s">
        <v>21</v>
      </c>
      <c r="F150" s="22">
        <f>'10B Sem 1'!E52</f>
        <v>87</v>
      </c>
      <c r="G150" s="22">
        <f>'10B Sem 1'!F52</f>
        <v>68</v>
      </c>
      <c r="H150" s="22">
        <f>'10B Sem 1'!G52</f>
        <v>80</v>
      </c>
      <c r="I150" s="22">
        <f>'10B Sem 1'!H52</f>
        <v>67</v>
      </c>
      <c r="J150" s="22">
        <f>'10B Sem 1'!I52</f>
        <v>66</v>
      </c>
      <c r="K150" s="22">
        <f>'10B Sem 1'!J52</f>
        <v>83</v>
      </c>
      <c r="L150" s="22">
        <f>'10B Sem 1'!K52</f>
        <v>72</v>
      </c>
      <c r="M150" s="22">
        <f>'10B Sem 1'!L52</f>
        <v>71</v>
      </c>
      <c r="N150" s="22">
        <f>'10B Sem 1'!M52</f>
        <v>87</v>
      </c>
      <c r="O150" s="22">
        <f>'10B Sem 1'!N52</f>
        <v>85</v>
      </c>
      <c r="P150" s="22">
        <f>'10B Sem 1'!O52</f>
        <v>80</v>
      </c>
      <c r="Q150" s="22">
        <f>'10B Sem 1'!P52</f>
        <v>93</v>
      </c>
      <c r="R150" s="22">
        <f>'10B Sem 1'!Q52</f>
        <v>94</v>
      </c>
      <c r="S150" s="22">
        <f>'10B Sem 1'!R52</f>
        <v>1033</v>
      </c>
      <c r="T150" s="22">
        <f>'10B Sem 1'!S52</f>
        <v>79.461538461538467</v>
      </c>
      <c r="U150" s="22">
        <f>'10B Sem 1'!T52</f>
        <v>20</v>
      </c>
      <c r="V150" s="22">
        <f>'10B Sem 1'!U52</f>
        <v>0</v>
      </c>
      <c r="W150" s="22">
        <f>'10B Sem 1'!V52</f>
        <v>0</v>
      </c>
    </row>
    <row r="151" spans="1:23" ht="18" customHeight="1" thickBot="1" x14ac:dyDescent="0.3">
      <c r="A151" s="249"/>
      <c r="B151" s="218"/>
      <c r="C151" s="213">
        <v>16</v>
      </c>
      <c r="D151" s="217" t="s">
        <v>20</v>
      </c>
      <c r="E151" s="21" t="s">
        <v>22</v>
      </c>
      <c r="F151" s="22">
        <f>'10B Sem 2'!E52</f>
        <v>81</v>
      </c>
      <c r="G151" s="22">
        <f>'10B Sem 2'!F52</f>
        <v>74</v>
      </c>
      <c r="H151" s="22">
        <f>'10B Sem 2'!G52</f>
        <v>73</v>
      </c>
      <c r="I151" s="22">
        <f>'10B Sem 2'!H52</f>
        <v>94</v>
      </c>
      <c r="J151" s="22">
        <f>'10B Sem 2'!I52</f>
        <v>76</v>
      </c>
      <c r="K151" s="22">
        <f>'10B Sem 2'!J52</f>
        <v>84</v>
      </c>
      <c r="L151" s="22">
        <f>'10B Sem 2'!K52</f>
        <v>72</v>
      </c>
      <c r="M151" s="22">
        <f>'10B Sem 2'!L52</f>
        <v>94</v>
      </c>
      <c r="N151" s="22">
        <f>'10B Sem 2'!M52</f>
        <v>84</v>
      </c>
      <c r="O151" s="22">
        <f>'10B Sem 2'!N52</f>
        <v>97</v>
      </c>
      <c r="P151" s="22">
        <f>'10B Sem 2'!O52</f>
        <v>69</v>
      </c>
      <c r="Q151" s="22">
        <f>'10B Sem 2'!P52</f>
        <v>96</v>
      </c>
      <c r="R151" s="22">
        <f>'10B Sem 2'!Q52</f>
        <v>98</v>
      </c>
      <c r="S151" s="22">
        <f>'10B Sem 2'!R52</f>
        <v>1092</v>
      </c>
      <c r="T151" s="22">
        <f>'10B Sem 2'!S52</f>
        <v>84</v>
      </c>
      <c r="U151" s="22">
        <f>'10B Sem 2'!T52</f>
        <v>12</v>
      </c>
      <c r="V151" s="22">
        <f>'10B Sem 2'!U52</f>
        <v>0</v>
      </c>
      <c r="W151" s="22">
        <f>'10B Sem 2'!V52</f>
        <v>0</v>
      </c>
    </row>
    <row r="152" spans="1:23" ht="18" customHeight="1" thickBot="1" x14ac:dyDescent="0.3">
      <c r="A152" s="249"/>
      <c r="B152" s="218"/>
      <c r="C152" s="213">
        <v>16</v>
      </c>
      <c r="D152" s="217" t="s">
        <v>20</v>
      </c>
      <c r="E152" s="21" t="s">
        <v>16</v>
      </c>
      <c r="F152" s="22">
        <f>AVERAGE(F150:F151)</f>
        <v>84</v>
      </c>
      <c r="G152" s="22">
        <f t="shared" ref="G152:W152" si="48">AVERAGE(G150:G151)</f>
        <v>71</v>
      </c>
      <c r="H152" s="22">
        <f t="shared" si="48"/>
        <v>76.5</v>
      </c>
      <c r="I152" s="22">
        <f t="shared" si="48"/>
        <v>80.5</v>
      </c>
      <c r="J152" s="22">
        <f t="shared" si="48"/>
        <v>71</v>
      </c>
      <c r="K152" s="22">
        <f t="shared" si="48"/>
        <v>83.5</v>
      </c>
      <c r="L152" s="22">
        <f t="shared" si="48"/>
        <v>72</v>
      </c>
      <c r="M152" s="22">
        <f t="shared" si="48"/>
        <v>82.5</v>
      </c>
      <c r="N152" s="22">
        <f t="shared" si="48"/>
        <v>85.5</v>
      </c>
      <c r="O152" s="22">
        <f t="shared" si="48"/>
        <v>91</v>
      </c>
      <c r="P152" s="22">
        <f t="shared" si="48"/>
        <v>74.5</v>
      </c>
      <c r="Q152" s="22">
        <f t="shared" si="48"/>
        <v>94.5</v>
      </c>
      <c r="R152" s="22">
        <f t="shared" si="48"/>
        <v>96</v>
      </c>
      <c r="S152" s="22">
        <f t="shared" si="48"/>
        <v>1062.5</v>
      </c>
      <c r="T152" s="22">
        <f t="shared" si="48"/>
        <v>81.730769230769226</v>
      </c>
      <c r="U152" s="22">
        <f>'10B Sem avr'!$H$52</f>
        <v>14</v>
      </c>
      <c r="V152" s="22">
        <f t="shared" si="48"/>
        <v>0</v>
      </c>
      <c r="W152" s="22">
        <f t="shared" si="48"/>
        <v>0</v>
      </c>
    </row>
    <row r="153" spans="1:23" ht="18" customHeight="1" thickBot="1" x14ac:dyDescent="0.3">
      <c r="A153" s="249">
        <v>50</v>
      </c>
      <c r="B153" s="226"/>
      <c r="C153" s="247">
        <v>16</v>
      </c>
      <c r="D153" s="248" t="s">
        <v>20</v>
      </c>
      <c r="E153" s="21" t="s">
        <v>21</v>
      </c>
      <c r="F153" s="22">
        <f>'10B Sem 1'!E53</f>
        <v>75</v>
      </c>
      <c r="G153" s="22">
        <f>'10B Sem 1'!F53</f>
        <v>80</v>
      </c>
      <c r="H153" s="22">
        <f>'10B Sem 1'!G53</f>
        <v>45</v>
      </c>
      <c r="I153" s="22">
        <f>'10B Sem 1'!H53</f>
        <v>38</v>
      </c>
      <c r="J153" s="22">
        <f>'10B Sem 1'!I53</f>
        <v>45</v>
      </c>
      <c r="K153" s="22">
        <f>'10B Sem 1'!J53</f>
        <v>47</v>
      </c>
      <c r="L153" s="22">
        <f>'10B Sem 1'!K53</f>
        <v>55</v>
      </c>
      <c r="M153" s="22">
        <f>'10B Sem 1'!L53</f>
        <v>39</v>
      </c>
      <c r="N153" s="22">
        <f>'10B Sem 1'!M53</f>
        <v>72</v>
      </c>
      <c r="O153" s="22">
        <f>'10B Sem 1'!N53</f>
        <v>76</v>
      </c>
      <c r="P153" s="22">
        <f>'10B Sem 1'!O53</f>
        <v>58</v>
      </c>
      <c r="Q153" s="22">
        <f>'10B Sem 1'!P53</f>
        <v>82</v>
      </c>
      <c r="R153" s="22">
        <f>'10B Sem 1'!Q53</f>
        <v>54</v>
      </c>
      <c r="S153" s="22">
        <f>'10B Sem 1'!R53</f>
        <v>766</v>
      </c>
      <c r="T153" s="22">
        <f>'10B Sem 1'!S53</f>
        <v>58.92307692307692</v>
      </c>
      <c r="U153" s="22">
        <f>'10B Sem 1'!T53</f>
        <v>52</v>
      </c>
      <c r="V153" s="32">
        <f>'10B Sem 1'!U53</f>
        <v>0</v>
      </c>
      <c r="W153" s="32">
        <f>'10B Sem 1'!V53</f>
        <v>0</v>
      </c>
    </row>
    <row r="154" spans="1:23" ht="18" customHeight="1" thickBot="1" x14ac:dyDescent="0.3">
      <c r="A154" s="249"/>
      <c r="B154" s="226"/>
      <c r="C154" s="247">
        <v>16</v>
      </c>
      <c r="D154" s="248" t="s">
        <v>20</v>
      </c>
      <c r="E154" s="21" t="s">
        <v>22</v>
      </c>
      <c r="F154" s="22">
        <f>'10B Sem 2'!E53</f>
        <v>73</v>
      </c>
      <c r="G154" s="22">
        <f>'10B Sem 2'!F53</f>
        <v>79</v>
      </c>
      <c r="H154" s="22">
        <f>'10B Sem 2'!G53</f>
        <v>40</v>
      </c>
      <c r="I154" s="22">
        <f>'10B Sem 2'!H53</f>
        <v>53</v>
      </c>
      <c r="J154" s="22">
        <f>'10B Sem 2'!I53</f>
        <v>40</v>
      </c>
      <c r="K154" s="22">
        <f>'10B Sem 2'!J53</f>
        <v>53</v>
      </c>
      <c r="L154" s="22">
        <f>'10B Sem 2'!K53</f>
        <v>44</v>
      </c>
      <c r="M154" s="22">
        <f>'10B Sem 2'!L53</f>
        <v>61</v>
      </c>
      <c r="N154" s="22">
        <f>'10B Sem 2'!M53</f>
        <v>64</v>
      </c>
      <c r="O154" s="22">
        <f>'10B Sem 2'!N53</f>
        <v>91</v>
      </c>
      <c r="P154" s="22">
        <f>'10B Sem 2'!O53</f>
        <v>50</v>
      </c>
      <c r="Q154" s="22">
        <f>'10B Sem 2'!P53</f>
        <v>85</v>
      </c>
      <c r="R154" s="22">
        <f>'10B Sem 2'!Q53</f>
        <v>55</v>
      </c>
      <c r="S154" s="22">
        <f>'10B Sem 2'!R53</f>
        <v>788</v>
      </c>
      <c r="T154" s="22">
        <f>'10B Sem 2'!S53</f>
        <v>60.615384615384613</v>
      </c>
      <c r="U154" s="22">
        <f>'10B Sem 2'!T53</f>
        <v>52</v>
      </c>
      <c r="V154" s="32">
        <f>'10B Sem 2'!U53</f>
        <v>0</v>
      </c>
      <c r="W154" s="32">
        <f>'10B Sem 2'!V53</f>
        <v>0</v>
      </c>
    </row>
    <row r="155" spans="1:23" ht="18" customHeight="1" thickBot="1" x14ac:dyDescent="0.3">
      <c r="A155" s="249"/>
      <c r="B155" s="226"/>
      <c r="C155" s="247">
        <v>16</v>
      </c>
      <c r="D155" s="248" t="s">
        <v>20</v>
      </c>
      <c r="E155" s="21" t="s">
        <v>16</v>
      </c>
      <c r="F155" s="22">
        <f>AVERAGE(F153:F154)</f>
        <v>74</v>
      </c>
      <c r="G155" s="22">
        <f t="shared" ref="G155:W155" si="49">AVERAGE(G153:G154)</f>
        <v>79.5</v>
      </c>
      <c r="H155" s="22">
        <f t="shared" si="49"/>
        <v>42.5</v>
      </c>
      <c r="I155" s="22">
        <f t="shared" si="49"/>
        <v>45.5</v>
      </c>
      <c r="J155" s="22">
        <f t="shared" si="49"/>
        <v>42.5</v>
      </c>
      <c r="K155" s="22">
        <f t="shared" si="49"/>
        <v>50</v>
      </c>
      <c r="L155" s="22">
        <f t="shared" si="49"/>
        <v>49.5</v>
      </c>
      <c r="M155" s="22">
        <f t="shared" si="49"/>
        <v>50</v>
      </c>
      <c r="N155" s="22">
        <f t="shared" si="49"/>
        <v>68</v>
      </c>
      <c r="O155" s="22">
        <f t="shared" si="49"/>
        <v>83.5</v>
      </c>
      <c r="P155" s="22">
        <f t="shared" si="49"/>
        <v>54</v>
      </c>
      <c r="Q155" s="22">
        <f t="shared" si="49"/>
        <v>83.5</v>
      </c>
      <c r="R155" s="22">
        <f t="shared" si="49"/>
        <v>54.5</v>
      </c>
      <c r="S155" s="22">
        <f t="shared" si="49"/>
        <v>777</v>
      </c>
      <c r="T155" s="22">
        <f t="shared" si="49"/>
        <v>59.769230769230766</v>
      </c>
      <c r="U155" s="22">
        <f>'10B Sem avr'!$H$53</f>
        <v>53</v>
      </c>
      <c r="V155" s="22">
        <f t="shared" si="49"/>
        <v>0</v>
      </c>
      <c r="W155" s="22">
        <f t="shared" si="49"/>
        <v>0</v>
      </c>
    </row>
    <row r="156" spans="1:23" ht="18" customHeight="1" thickBot="1" x14ac:dyDescent="0.3">
      <c r="A156" s="249">
        <v>51</v>
      </c>
      <c r="B156" s="226"/>
      <c r="C156" s="247">
        <v>15</v>
      </c>
      <c r="D156" s="248" t="s">
        <v>23</v>
      </c>
      <c r="E156" s="21" t="s">
        <v>21</v>
      </c>
      <c r="F156" s="11">
        <f>'10B Sem 1'!E54</f>
        <v>79</v>
      </c>
      <c r="G156" s="11">
        <f>'10B Sem 1'!F54</f>
        <v>62</v>
      </c>
      <c r="H156" s="11">
        <f>'10B Sem 1'!G54</f>
        <v>66</v>
      </c>
      <c r="I156" s="11">
        <f>'10B Sem 1'!H54</f>
        <v>74</v>
      </c>
      <c r="J156" s="11">
        <f>'10B Sem 1'!I54</f>
        <v>57</v>
      </c>
      <c r="K156" s="11">
        <f>'10B Sem 1'!J54</f>
        <v>80</v>
      </c>
      <c r="L156" s="11">
        <f>'10B Sem 1'!K54</f>
        <v>76</v>
      </c>
      <c r="M156" s="11">
        <f>'10B Sem 1'!L54</f>
        <v>78</v>
      </c>
      <c r="N156" s="11">
        <f>'10B Sem 1'!M54</f>
        <v>77</v>
      </c>
      <c r="O156" s="11">
        <f>'10B Sem 1'!N54</f>
        <v>82</v>
      </c>
      <c r="P156" s="11">
        <f>'10B Sem 1'!O54</f>
        <v>76</v>
      </c>
      <c r="Q156" s="11">
        <f>'10B Sem 1'!P54</f>
        <v>87</v>
      </c>
      <c r="R156" s="11">
        <f>'10B Sem 1'!Q54</f>
        <v>77</v>
      </c>
      <c r="S156" s="11">
        <f>'10B Sem 1'!R54</f>
        <v>971</v>
      </c>
      <c r="T156" s="11">
        <f>'10B Sem 1'!S54</f>
        <v>74.692307692307693</v>
      </c>
      <c r="U156" s="11">
        <f>'10B Sem 1'!T54</f>
        <v>30</v>
      </c>
      <c r="V156" s="29">
        <f>'10B Sem 1'!U54</f>
        <v>0</v>
      </c>
      <c r="W156" s="29">
        <f>'10B Sem 1'!V54</f>
        <v>0</v>
      </c>
    </row>
    <row r="157" spans="1:23" ht="18" customHeight="1" thickBot="1" x14ac:dyDescent="0.3">
      <c r="A157" s="249"/>
      <c r="B157" s="226"/>
      <c r="C157" s="247">
        <v>15</v>
      </c>
      <c r="D157" s="248" t="s">
        <v>23</v>
      </c>
      <c r="E157" s="21" t="s">
        <v>22</v>
      </c>
      <c r="F157" s="11">
        <f>'10B Sem 2'!E54</f>
        <v>76</v>
      </c>
      <c r="G157" s="11">
        <f>'10B Sem 2'!F54</f>
        <v>68</v>
      </c>
      <c r="H157" s="11">
        <f>'10B Sem 2'!G54</f>
        <v>57</v>
      </c>
      <c r="I157" s="11">
        <f>'10B Sem 2'!H54</f>
        <v>66</v>
      </c>
      <c r="J157" s="11">
        <f>'10B Sem 2'!I54</f>
        <v>62</v>
      </c>
      <c r="K157" s="11">
        <f>'10B Sem 2'!J54</f>
        <v>82</v>
      </c>
      <c r="L157" s="11">
        <f>'10B Sem 2'!K54</f>
        <v>80</v>
      </c>
      <c r="M157" s="11">
        <f>'10B Sem 2'!L54</f>
        <v>92</v>
      </c>
      <c r="N157" s="11">
        <f>'10B Sem 2'!M54</f>
        <v>83</v>
      </c>
      <c r="O157" s="11">
        <f>'10B Sem 2'!N54</f>
        <v>86</v>
      </c>
      <c r="P157" s="11">
        <f>'10B Sem 2'!O54</f>
        <v>70</v>
      </c>
      <c r="Q157" s="11">
        <f>'10B Sem 2'!P54</f>
        <v>98</v>
      </c>
      <c r="R157" s="11">
        <f>'10B Sem 2'!Q54</f>
        <v>78</v>
      </c>
      <c r="S157" s="11">
        <f>'10B Sem 2'!R54</f>
        <v>998</v>
      </c>
      <c r="T157" s="11">
        <f>'10B Sem 2'!S54</f>
        <v>76.769230769230774</v>
      </c>
      <c r="U157" s="11">
        <f>'10B Sem 2'!T54</f>
        <v>28</v>
      </c>
      <c r="V157" s="11">
        <f>'10B Sem 2'!U54</f>
        <v>0</v>
      </c>
      <c r="W157" s="11">
        <f>'10B Sem 2'!V54</f>
        <v>0</v>
      </c>
    </row>
    <row r="158" spans="1:23" ht="18" customHeight="1" thickBot="1" x14ac:dyDescent="0.3">
      <c r="A158" s="249"/>
      <c r="B158" s="226"/>
      <c r="C158" s="247">
        <v>15</v>
      </c>
      <c r="D158" s="248" t="s">
        <v>23</v>
      </c>
      <c r="E158" s="21" t="s">
        <v>16</v>
      </c>
      <c r="F158" s="11">
        <f>AVERAGE(F156:F157)</f>
        <v>77.5</v>
      </c>
      <c r="G158" s="11">
        <f t="shared" ref="G158:W158" si="50">AVERAGE(G156:G157)</f>
        <v>65</v>
      </c>
      <c r="H158" s="11">
        <f t="shared" si="50"/>
        <v>61.5</v>
      </c>
      <c r="I158" s="11">
        <f t="shared" si="50"/>
        <v>70</v>
      </c>
      <c r="J158" s="11">
        <f t="shared" si="50"/>
        <v>59.5</v>
      </c>
      <c r="K158" s="11">
        <f t="shared" si="50"/>
        <v>81</v>
      </c>
      <c r="L158" s="11">
        <f t="shared" si="50"/>
        <v>78</v>
      </c>
      <c r="M158" s="11">
        <f t="shared" si="50"/>
        <v>85</v>
      </c>
      <c r="N158" s="11">
        <f t="shared" si="50"/>
        <v>80</v>
      </c>
      <c r="O158" s="11">
        <f t="shared" si="50"/>
        <v>84</v>
      </c>
      <c r="P158" s="11">
        <f t="shared" si="50"/>
        <v>73</v>
      </c>
      <c r="Q158" s="11">
        <f t="shared" si="50"/>
        <v>92.5</v>
      </c>
      <c r="R158" s="11">
        <f t="shared" si="50"/>
        <v>77.5</v>
      </c>
      <c r="S158" s="11">
        <f t="shared" si="50"/>
        <v>984.5</v>
      </c>
      <c r="T158" s="11">
        <f t="shared" si="50"/>
        <v>75.730769230769226</v>
      </c>
      <c r="U158" s="11">
        <f>'10B Sem avr'!$H$54</f>
        <v>29</v>
      </c>
      <c r="V158" s="11">
        <f t="shared" si="50"/>
        <v>0</v>
      </c>
      <c r="W158" s="11">
        <f t="shared" si="50"/>
        <v>0</v>
      </c>
    </row>
    <row r="159" spans="1:23" ht="18" customHeight="1" thickBot="1" x14ac:dyDescent="0.3">
      <c r="A159" s="249">
        <v>52</v>
      </c>
      <c r="B159" s="226"/>
      <c r="C159" s="247">
        <v>15</v>
      </c>
      <c r="D159" s="248" t="s">
        <v>23</v>
      </c>
      <c r="E159" s="21" t="s">
        <v>21</v>
      </c>
      <c r="F159" s="11">
        <f>'10B Sem 1'!E55</f>
        <v>79</v>
      </c>
      <c r="G159" s="11">
        <f>'10B Sem 1'!F55</f>
        <v>71</v>
      </c>
      <c r="H159" s="11">
        <f>'10B Sem 1'!G55</f>
        <v>48</v>
      </c>
      <c r="I159" s="11">
        <f>'10B Sem 1'!H55</f>
        <v>53</v>
      </c>
      <c r="J159" s="11">
        <f>'10B Sem 1'!I55</f>
        <v>47</v>
      </c>
      <c r="K159" s="11">
        <f>'10B Sem 1'!J55</f>
        <v>57</v>
      </c>
      <c r="L159" s="11">
        <f>'10B Sem 1'!K55</f>
        <v>69</v>
      </c>
      <c r="M159" s="11">
        <f>'10B Sem 1'!L55</f>
        <v>66</v>
      </c>
      <c r="N159" s="11">
        <f>'10B Sem 1'!M55</f>
        <v>80</v>
      </c>
      <c r="O159" s="11">
        <f>'10B Sem 1'!N55</f>
        <v>68</v>
      </c>
      <c r="P159" s="11">
        <f>'10B Sem 1'!O55</f>
        <v>66</v>
      </c>
      <c r="Q159" s="11">
        <f>'10B Sem 1'!P55</f>
        <v>81</v>
      </c>
      <c r="R159" s="11">
        <f>'10B Sem 1'!Q55</f>
        <v>62</v>
      </c>
      <c r="S159" s="11">
        <f>'10B Sem 1'!R55</f>
        <v>847</v>
      </c>
      <c r="T159" s="11">
        <f>'10B Sem 1'!S55</f>
        <v>65.15384615384616</v>
      </c>
      <c r="U159" s="11">
        <f>'10B Sem 1'!T55</f>
        <v>45</v>
      </c>
      <c r="V159" s="11">
        <f>'10B Sem 1'!U55</f>
        <v>0</v>
      </c>
      <c r="W159" s="11">
        <f>'10B Sem 1'!V55</f>
        <v>0</v>
      </c>
    </row>
    <row r="160" spans="1:23" ht="18" customHeight="1" thickBot="1" x14ac:dyDescent="0.3">
      <c r="A160" s="249"/>
      <c r="B160" s="226"/>
      <c r="C160" s="247">
        <v>15</v>
      </c>
      <c r="D160" s="248" t="s">
        <v>23</v>
      </c>
      <c r="E160" s="21" t="s">
        <v>22</v>
      </c>
      <c r="F160" s="11">
        <f>'10B Sem 2'!E55</f>
        <v>80</v>
      </c>
      <c r="G160" s="11">
        <f>'10B Sem 2'!F55</f>
        <v>66</v>
      </c>
      <c r="H160" s="11">
        <f>'10B Sem 2'!G55</f>
        <v>39</v>
      </c>
      <c r="I160" s="11">
        <f>'10B Sem 2'!H55</f>
        <v>59</v>
      </c>
      <c r="J160" s="11">
        <f>'10B Sem 2'!I55</f>
        <v>43</v>
      </c>
      <c r="K160" s="11">
        <f>'10B Sem 2'!J55</f>
        <v>54</v>
      </c>
      <c r="L160" s="11">
        <f>'10B Sem 2'!K55</f>
        <v>55</v>
      </c>
      <c r="M160" s="11">
        <f>'10B Sem 2'!L55</f>
        <v>76</v>
      </c>
      <c r="N160" s="11">
        <f>'10B Sem 2'!M55</f>
        <v>79</v>
      </c>
      <c r="O160" s="11">
        <f>'10B Sem 2'!N55</f>
        <v>82</v>
      </c>
      <c r="P160" s="11">
        <f>'10B Sem 2'!O55</f>
        <v>62</v>
      </c>
      <c r="Q160" s="11">
        <f>'10B Sem 2'!P55</f>
        <v>78</v>
      </c>
      <c r="R160" s="11">
        <f>'10B Sem 2'!Q55</f>
        <v>65</v>
      </c>
      <c r="S160" s="11">
        <f>'10B Sem 2'!R55</f>
        <v>838</v>
      </c>
      <c r="T160" s="11">
        <f>'10B Sem 2'!S55</f>
        <v>64.461538461538467</v>
      </c>
      <c r="U160" s="11">
        <f>'10B Sem 2'!T55</f>
        <v>47</v>
      </c>
      <c r="V160" s="11">
        <f>'10B Sem 2'!U55</f>
        <v>0</v>
      </c>
      <c r="W160" s="11">
        <f>'10B Sem 2'!V55</f>
        <v>0</v>
      </c>
    </row>
    <row r="161" spans="1:23" ht="18" customHeight="1" thickBot="1" x14ac:dyDescent="0.3">
      <c r="A161" s="249"/>
      <c r="B161" s="226"/>
      <c r="C161" s="247">
        <v>15</v>
      </c>
      <c r="D161" s="248" t="s">
        <v>23</v>
      </c>
      <c r="E161" s="21" t="s">
        <v>16</v>
      </c>
      <c r="F161" s="11">
        <f>AVERAGE(F159:F160)</f>
        <v>79.5</v>
      </c>
      <c r="G161" s="11">
        <f t="shared" ref="G161:W161" si="51">AVERAGE(G159:G160)</f>
        <v>68.5</v>
      </c>
      <c r="H161" s="11">
        <f t="shared" si="51"/>
        <v>43.5</v>
      </c>
      <c r="I161" s="11">
        <f t="shared" si="51"/>
        <v>56</v>
      </c>
      <c r="J161" s="11">
        <f t="shared" si="51"/>
        <v>45</v>
      </c>
      <c r="K161" s="11">
        <f t="shared" si="51"/>
        <v>55.5</v>
      </c>
      <c r="L161" s="11">
        <f t="shared" si="51"/>
        <v>62</v>
      </c>
      <c r="M161" s="11">
        <f t="shared" si="51"/>
        <v>71</v>
      </c>
      <c r="N161" s="11">
        <f t="shared" si="51"/>
        <v>79.5</v>
      </c>
      <c r="O161" s="11">
        <f t="shared" si="51"/>
        <v>75</v>
      </c>
      <c r="P161" s="11">
        <f t="shared" si="51"/>
        <v>64</v>
      </c>
      <c r="Q161" s="11">
        <f t="shared" si="51"/>
        <v>79.5</v>
      </c>
      <c r="R161" s="11">
        <f t="shared" si="51"/>
        <v>63.5</v>
      </c>
      <c r="S161" s="11">
        <f t="shared" si="51"/>
        <v>842.5</v>
      </c>
      <c r="T161" s="11">
        <f t="shared" si="51"/>
        <v>64.807692307692321</v>
      </c>
      <c r="U161" s="11">
        <f>'10B Sem avr'!$H$55</f>
        <v>47</v>
      </c>
      <c r="V161" s="11">
        <f t="shared" si="51"/>
        <v>0</v>
      </c>
      <c r="W161" s="11">
        <f t="shared" si="51"/>
        <v>0</v>
      </c>
    </row>
    <row r="162" spans="1:23" ht="18" customHeight="1" thickBot="1" x14ac:dyDescent="0.3">
      <c r="A162" s="249">
        <v>53</v>
      </c>
      <c r="B162" s="226"/>
      <c r="C162" s="247">
        <v>16</v>
      </c>
      <c r="D162" s="248" t="s">
        <v>23</v>
      </c>
      <c r="E162" s="21" t="s">
        <v>21</v>
      </c>
      <c r="F162" s="11">
        <f>'10B Sem 1'!E56</f>
        <v>97</v>
      </c>
      <c r="G162" s="11">
        <f>'10B Sem 1'!F56</f>
        <v>96</v>
      </c>
      <c r="H162" s="11">
        <f>'10B Sem 1'!G56</f>
        <v>100</v>
      </c>
      <c r="I162" s="11">
        <f>'10B Sem 1'!H56</f>
        <v>100</v>
      </c>
      <c r="J162" s="11">
        <f>'10B Sem 1'!I56</f>
        <v>94</v>
      </c>
      <c r="K162" s="11">
        <f>'10B Sem 1'!J56</f>
        <v>96</v>
      </c>
      <c r="L162" s="11">
        <f>'10B Sem 1'!K56</f>
        <v>97</v>
      </c>
      <c r="M162" s="11">
        <f>'10B Sem 1'!L56</f>
        <v>100</v>
      </c>
      <c r="N162" s="11">
        <f>'10B Sem 1'!M56</f>
        <v>99</v>
      </c>
      <c r="O162" s="11">
        <f>'10B Sem 1'!N56</f>
        <v>100</v>
      </c>
      <c r="P162" s="11">
        <f>'10B Sem 1'!O56</f>
        <v>98</v>
      </c>
      <c r="Q162" s="11">
        <f>'10B Sem 1'!P56</f>
        <v>98</v>
      </c>
      <c r="R162" s="11">
        <f>'10B Sem 1'!Q56</f>
        <v>98</v>
      </c>
      <c r="S162" s="11">
        <f>'10B Sem 1'!R56</f>
        <v>1273</v>
      </c>
      <c r="T162" s="11">
        <f>'10B Sem 1'!S56</f>
        <v>97.92307692307692</v>
      </c>
      <c r="U162" s="11">
        <f>'10B Sem 1'!T56</f>
        <v>1</v>
      </c>
      <c r="V162" s="11">
        <f>'10B Sem 1'!U56</f>
        <v>0</v>
      </c>
      <c r="W162" s="11">
        <f>'10B Sem 1'!V56</f>
        <v>0</v>
      </c>
    </row>
    <row r="163" spans="1:23" ht="18" customHeight="1" thickBot="1" x14ac:dyDescent="0.3">
      <c r="A163" s="249"/>
      <c r="B163" s="226"/>
      <c r="C163" s="247">
        <v>16</v>
      </c>
      <c r="D163" s="248" t="s">
        <v>23</v>
      </c>
      <c r="E163" s="21" t="s">
        <v>22</v>
      </c>
      <c r="F163" s="11">
        <f>'10B Sem 2'!E56</f>
        <v>90</v>
      </c>
      <c r="G163" s="11">
        <f>'10B Sem 2'!F56</f>
        <v>97</v>
      </c>
      <c r="H163" s="11">
        <f>'10B Sem 2'!G56</f>
        <v>94</v>
      </c>
      <c r="I163" s="11">
        <f>'10B Sem 2'!H56</f>
        <v>100</v>
      </c>
      <c r="J163" s="11">
        <f>'10B Sem 2'!I56</f>
        <v>100</v>
      </c>
      <c r="K163" s="11">
        <f>'10B Sem 2'!J56</f>
        <v>99</v>
      </c>
      <c r="L163" s="11">
        <f>'10B Sem 2'!K56</f>
        <v>97</v>
      </c>
      <c r="M163" s="11">
        <f>'10B Sem 2'!L56</f>
        <v>100</v>
      </c>
      <c r="N163" s="11">
        <f>'10B Sem 2'!M56</f>
        <v>100</v>
      </c>
      <c r="O163" s="11">
        <f>'10B Sem 2'!N56</f>
        <v>100</v>
      </c>
      <c r="P163" s="11">
        <f>'10B Sem 2'!O56</f>
        <v>96</v>
      </c>
      <c r="Q163" s="11">
        <f>'10B Sem 2'!P56</f>
        <v>98</v>
      </c>
      <c r="R163" s="11">
        <f>'10B Sem 2'!Q56</f>
        <v>100</v>
      </c>
      <c r="S163" s="11">
        <f>'10B Sem 2'!R56</f>
        <v>1271</v>
      </c>
      <c r="T163" s="11">
        <f>'10B Sem 2'!S56</f>
        <v>97.769230769230774</v>
      </c>
      <c r="U163" s="11">
        <f>'10B Sem 2'!T56</f>
        <v>1</v>
      </c>
      <c r="V163" s="11">
        <f>'10B Sem 2'!U56</f>
        <v>0</v>
      </c>
      <c r="W163" s="11">
        <f>'10B Sem 2'!V56</f>
        <v>0</v>
      </c>
    </row>
    <row r="164" spans="1:23" ht="18" customHeight="1" thickBot="1" x14ac:dyDescent="0.3">
      <c r="A164" s="249"/>
      <c r="B164" s="226"/>
      <c r="C164" s="247">
        <v>16</v>
      </c>
      <c r="D164" s="248" t="s">
        <v>23</v>
      </c>
      <c r="E164" s="21" t="s">
        <v>16</v>
      </c>
      <c r="F164" s="11">
        <f>AVERAGE(F162:F163)</f>
        <v>93.5</v>
      </c>
      <c r="G164" s="11">
        <f t="shared" ref="G164:W164" si="52">AVERAGE(G162:G163)</f>
        <v>96.5</v>
      </c>
      <c r="H164" s="11">
        <f t="shared" si="52"/>
        <v>97</v>
      </c>
      <c r="I164" s="11">
        <f t="shared" si="52"/>
        <v>100</v>
      </c>
      <c r="J164" s="11">
        <f t="shared" si="52"/>
        <v>97</v>
      </c>
      <c r="K164" s="11">
        <f t="shared" si="52"/>
        <v>97.5</v>
      </c>
      <c r="L164" s="11">
        <f t="shared" si="52"/>
        <v>97</v>
      </c>
      <c r="M164" s="11">
        <f t="shared" si="52"/>
        <v>100</v>
      </c>
      <c r="N164" s="11">
        <f t="shared" si="52"/>
        <v>99.5</v>
      </c>
      <c r="O164" s="11">
        <f t="shared" si="52"/>
        <v>100</v>
      </c>
      <c r="P164" s="11">
        <f t="shared" si="52"/>
        <v>97</v>
      </c>
      <c r="Q164" s="11">
        <f t="shared" si="52"/>
        <v>98</v>
      </c>
      <c r="R164" s="11">
        <f t="shared" si="52"/>
        <v>99</v>
      </c>
      <c r="S164" s="11">
        <f t="shared" si="52"/>
        <v>1272</v>
      </c>
      <c r="T164" s="11">
        <f t="shared" si="52"/>
        <v>97.84615384615384</v>
      </c>
      <c r="U164" s="11">
        <f>'10B Sem avr'!$H$56</f>
        <v>1</v>
      </c>
      <c r="V164" s="11">
        <f t="shared" si="52"/>
        <v>0</v>
      </c>
      <c r="W164" s="11">
        <f t="shared" si="52"/>
        <v>0</v>
      </c>
    </row>
    <row r="165" spans="1:23" ht="18" customHeight="1" thickBot="1" x14ac:dyDescent="0.3">
      <c r="A165" s="249">
        <v>54</v>
      </c>
      <c r="B165" s="226"/>
      <c r="C165" s="247">
        <v>15</v>
      </c>
      <c r="D165" s="248" t="s">
        <v>20</v>
      </c>
      <c r="E165" s="21" t="s">
        <v>21</v>
      </c>
      <c r="F165" s="11">
        <f>'10B Sem 1'!E57</f>
        <v>89</v>
      </c>
      <c r="G165" s="11">
        <f>'10B Sem 1'!F57</f>
        <v>82</v>
      </c>
      <c r="H165" s="11">
        <f>'10B Sem 1'!G57</f>
        <v>87</v>
      </c>
      <c r="I165" s="11">
        <f>'10B Sem 1'!H57</f>
        <v>63</v>
      </c>
      <c r="J165" s="11">
        <f>'10B Sem 1'!I57</f>
        <v>71</v>
      </c>
      <c r="K165" s="11">
        <f>'10B Sem 1'!J57</f>
        <v>89</v>
      </c>
      <c r="L165" s="11">
        <f>'10B Sem 1'!K57</f>
        <v>72</v>
      </c>
      <c r="M165" s="11">
        <f>'10B Sem 1'!L57</f>
        <v>73</v>
      </c>
      <c r="N165" s="11">
        <f>'10B Sem 1'!M57</f>
        <v>91</v>
      </c>
      <c r="O165" s="11">
        <f>'10B Sem 1'!N57</f>
        <v>93</v>
      </c>
      <c r="P165" s="11">
        <f>'10B Sem 1'!O57</f>
        <v>82</v>
      </c>
      <c r="Q165" s="11">
        <f>'10B Sem 1'!P57</f>
        <v>87</v>
      </c>
      <c r="R165" s="11">
        <f>'10B Sem 1'!Q57</f>
        <v>75</v>
      </c>
      <c r="S165" s="11">
        <f>'10B Sem 1'!R57</f>
        <v>1054</v>
      </c>
      <c r="T165" s="11">
        <f>'10B Sem 1'!S57</f>
        <v>81.07692307692308</v>
      </c>
      <c r="U165" s="11">
        <f>'10B Sem 1'!T57</f>
        <v>15</v>
      </c>
      <c r="V165" s="11">
        <f>'10B Sem 1'!U57</f>
        <v>0</v>
      </c>
      <c r="W165" s="11">
        <f>'10B Sem 1'!V57</f>
        <v>0</v>
      </c>
    </row>
    <row r="166" spans="1:23" ht="18" customHeight="1" thickBot="1" x14ac:dyDescent="0.3">
      <c r="A166" s="249"/>
      <c r="B166" s="226"/>
      <c r="C166" s="247">
        <v>15</v>
      </c>
      <c r="D166" s="248" t="s">
        <v>20</v>
      </c>
      <c r="E166" s="21" t="s">
        <v>22</v>
      </c>
      <c r="F166" s="11">
        <f>'10B Sem 2'!E57</f>
        <v>85</v>
      </c>
      <c r="G166" s="11">
        <f>'10B Sem 2'!F57</f>
        <v>82</v>
      </c>
      <c r="H166" s="11">
        <f>'10B Sem 2'!G57</f>
        <v>61</v>
      </c>
      <c r="I166" s="11">
        <f>'10B Sem 2'!H57</f>
        <v>63</v>
      </c>
      <c r="J166" s="11">
        <f>'10B Sem 2'!I57</f>
        <v>66</v>
      </c>
      <c r="K166" s="11">
        <f>'10B Sem 2'!J57</f>
        <v>76</v>
      </c>
      <c r="L166" s="11">
        <f>'10B Sem 2'!K57</f>
        <v>72</v>
      </c>
      <c r="M166" s="11">
        <f>'10B Sem 2'!L57</f>
        <v>92</v>
      </c>
      <c r="N166" s="11">
        <f>'10B Sem 2'!M57</f>
        <v>86</v>
      </c>
      <c r="O166" s="11">
        <f>'10B Sem 2'!N57</f>
        <v>100</v>
      </c>
      <c r="P166" s="11">
        <f>'10B Sem 2'!O57</f>
        <v>71</v>
      </c>
      <c r="Q166" s="11">
        <f>'10B Sem 2'!P57</f>
        <v>94</v>
      </c>
      <c r="R166" s="11">
        <f>'10B Sem 2'!Q57</f>
        <v>60</v>
      </c>
      <c r="S166" s="11">
        <f>'10B Sem 2'!R57</f>
        <v>1008</v>
      </c>
      <c r="T166" s="11">
        <f>'10B Sem 2'!S57</f>
        <v>77.538461538461533</v>
      </c>
      <c r="U166" s="11">
        <f>'10B Sem 2'!T57</f>
        <v>27</v>
      </c>
      <c r="V166" s="11">
        <f>'10B Sem 2'!U57</f>
        <v>0</v>
      </c>
      <c r="W166" s="11">
        <f>'10B Sem 2'!V57</f>
        <v>0</v>
      </c>
    </row>
    <row r="167" spans="1:23" ht="18" customHeight="1" thickBot="1" x14ac:dyDescent="0.3">
      <c r="A167" s="249"/>
      <c r="B167" s="226"/>
      <c r="C167" s="247">
        <v>15</v>
      </c>
      <c r="D167" s="248" t="s">
        <v>20</v>
      </c>
      <c r="E167" s="21" t="s">
        <v>16</v>
      </c>
      <c r="F167" s="11">
        <f>AVERAGE(F165:F166)</f>
        <v>87</v>
      </c>
      <c r="G167" s="11">
        <f t="shared" ref="G167:W167" si="53">AVERAGE(G165:G166)</f>
        <v>82</v>
      </c>
      <c r="H167" s="11">
        <f t="shared" si="53"/>
        <v>74</v>
      </c>
      <c r="I167" s="11">
        <f t="shared" si="53"/>
        <v>63</v>
      </c>
      <c r="J167" s="11">
        <f t="shared" si="53"/>
        <v>68.5</v>
      </c>
      <c r="K167" s="11">
        <f t="shared" si="53"/>
        <v>82.5</v>
      </c>
      <c r="L167" s="11">
        <f t="shared" si="53"/>
        <v>72</v>
      </c>
      <c r="M167" s="11">
        <f t="shared" si="53"/>
        <v>82.5</v>
      </c>
      <c r="N167" s="11">
        <f t="shared" si="53"/>
        <v>88.5</v>
      </c>
      <c r="O167" s="11">
        <f t="shared" si="53"/>
        <v>96.5</v>
      </c>
      <c r="P167" s="11">
        <f t="shared" si="53"/>
        <v>76.5</v>
      </c>
      <c r="Q167" s="11">
        <f t="shared" si="53"/>
        <v>90.5</v>
      </c>
      <c r="R167" s="11">
        <f t="shared" si="53"/>
        <v>67.5</v>
      </c>
      <c r="S167" s="11">
        <f t="shared" si="53"/>
        <v>1031</v>
      </c>
      <c r="T167" s="11">
        <f t="shared" si="53"/>
        <v>79.307692307692307</v>
      </c>
      <c r="U167" s="11">
        <f>'10B Sem avr'!$H$57</f>
        <v>20</v>
      </c>
      <c r="V167" s="11">
        <f t="shared" si="53"/>
        <v>0</v>
      </c>
      <c r="W167" s="11">
        <f t="shared" si="53"/>
        <v>0</v>
      </c>
    </row>
    <row r="168" spans="1:23" ht="18" customHeight="1" thickBot="1" x14ac:dyDescent="0.3">
      <c r="A168" s="249">
        <v>55</v>
      </c>
      <c r="B168" s="226"/>
      <c r="C168" s="247">
        <v>16</v>
      </c>
      <c r="D168" s="248" t="s">
        <v>20</v>
      </c>
      <c r="E168" s="21" t="s">
        <v>21</v>
      </c>
      <c r="F168" s="11">
        <f>'10B Sem 1'!E58</f>
        <v>95</v>
      </c>
      <c r="G168" s="11">
        <f>'10B Sem 1'!F58</f>
        <v>92</v>
      </c>
      <c r="H168" s="11">
        <f>'10B Sem 1'!G58</f>
        <v>98</v>
      </c>
      <c r="I168" s="11">
        <f>'10B Sem 1'!H58</f>
        <v>93</v>
      </c>
      <c r="J168" s="11">
        <f>'10B Sem 1'!I58</f>
        <v>86</v>
      </c>
      <c r="K168" s="11">
        <f>'10B Sem 1'!J58</f>
        <v>92</v>
      </c>
      <c r="L168" s="11">
        <f>'10B Sem 1'!K58</f>
        <v>90</v>
      </c>
      <c r="M168" s="11">
        <f>'10B Sem 1'!L58</f>
        <v>91</v>
      </c>
      <c r="N168" s="11">
        <f>'10B Sem 1'!M58</f>
        <v>90</v>
      </c>
      <c r="O168" s="11">
        <f>'10B Sem 1'!N58</f>
        <v>91</v>
      </c>
      <c r="P168" s="11">
        <f>'10B Sem 1'!O58</f>
        <v>95</v>
      </c>
      <c r="Q168" s="11">
        <f>'10B Sem 1'!P58</f>
        <v>95</v>
      </c>
      <c r="R168" s="11">
        <f>'10B Sem 1'!Q58</f>
        <v>95</v>
      </c>
      <c r="S168" s="11">
        <f>'10B Sem 1'!R58</f>
        <v>1203</v>
      </c>
      <c r="T168" s="11">
        <f>'10B Sem 1'!S58</f>
        <v>92.538461538461533</v>
      </c>
      <c r="U168" s="11">
        <f>'10B Sem 1'!T58</f>
        <v>3</v>
      </c>
      <c r="V168" s="11">
        <f>'10B Sem 1'!U58</f>
        <v>0</v>
      </c>
      <c r="W168" s="11">
        <f>'10B Sem 1'!V58</f>
        <v>0</v>
      </c>
    </row>
    <row r="169" spans="1:23" ht="18" customHeight="1" thickBot="1" x14ac:dyDescent="0.3">
      <c r="A169" s="249"/>
      <c r="B169" s="226"/>
      <c r="C169" s="247">
        <v>16</v>
      </c>
      <c r="D169" s="248" t="s">
        <v>20</v>
      </c>
      <c r="E169" s="21" t="s">
        <v>22</v>
      </c>
      <c r="F169" s="11">
        <f>'10B Sem 2'!E58</f>
        <v>89</v>
      </c>
      <c r="G169" s="11">
        <f>'10B Sem 2'!F58</f>
        <v>90</v>
      </c>
      <c r="H169" s="11">
        <f>'10B Sem 2'!G58</f>
        <v>84</v>
      </c>
      <c r="I169" s="11">
        <f>'10B Sem 2'!H58</f>
        <v>89</v>
      </c>
      <c r="J169" s="11">
        <f>'10B Sem 2'!I58</f>
        <v>88</v>
      </c>
      <c r="K169" s="11">
        <f>'10B Sem 2'!J58</f>
        <v>87</v>
      </c>
      <c r="L169" s="11">
        <f>'10B Sem 2'!K58</f>
        <v>93</v>
      </c>
      <c r="M169" s="11">
        <f>'10B Sem 2'!L58</f>
        <v>99</v>
      </c>
      <c r="N169" s="11">
        <f>'10B Sem 2'!M58</f>
        <v>91</v>
      </c>
      <c r="O169" s="11">
        <f>'10B Sem 2'!N58</f>
        <v>98</v>
      </c>
      <c r="P169" s="11">
        <f>'10B Sem 2'!O58</f>
        <v>84</v>
      </c>
      <c r="Q169" s="11">
        <f>'10B Sem 2'!P58</f>
        <v>96</v>
      </c>
      <c r="R169" s="11">
        <f>'10B Sem 2'!Q58</f>
        <v>82</v>
      </c>
      <c r="S169" s="11">
        <f>'10B Sem 2'!R58</f>
        <v>1170</v>
      </c>
      <c r="T169" s="11">
        <f>'10B Sem 2'!S58</f>
        <v>90</v>
      </c>
      <c r="U169" s="11">
        <f>'10B Sem 2'!T58</f>
        <v>5</v>
      </c>
      <c r="V169" s="11">
        <f>'10B Sem 2'!U58</f>
        <v>0</v>
      </c>
      <c r="W169" s="11">
        <f>'10B Sem 2'!V58</f>
        <v>0</v>
      </c>
    </row>
    <row r="170" spans="1:23" ht="18" customHeight="1" thickBot="1" x14ac:dyDescent="0.3">
      <c r="A170" s="249"/>
      <c r="B170" s="226"/>
      <c r="C170" s="247">
        <v>16</v>
      </c>
      <c r="D170" s="248" t="s">
        <v>20</v>
      </c>
      <c r="E170" s="21" t="s">
        <v>16</v>
      </c>
      <c r="F170" s="11">
        <f>AVERAGE(F168:F169)</f>
        <v>92</v>
      </c>
      <c r="G170" s="11">
        <f t="shared" ref="G170:W170" si="54">AVERAGE(G168:G169)</f>
        <v>91</v>
      </c>
      <c r="H170" s="11">
        <f t="shared" si="54"/>
        <v>91</v>
      </c>
      <c r="I170" s="11">
        <f t="shared" si="54"/>
        <v>91</v>
      </c>
      <c r="J170" s="11">
        <f t="shared" si="54"/>
        <v>87</v>
      </c>
      <c r="K170" s="11">
        <f t="shared" si="54"/>
        <v>89.5</v>
      </c>
      <c r="L170" s="11">
        <f t="shared" si="54"/>
        <v>91.5</v>
      </c>
      <c r="M170" s="11">
        <f t="shared" si="54"/>
        <v>95</v>
      </c>
      <c r="N170" s="11">
        <f t="shared" si="54"/>
        <v>90.5</v>
      </c>
      <c r="O170" s="11">
        <f t="shared" si="54"/>
        <v>94.5</v>
      </c>
      <c r="P170" s="11">
        <f t="shared" si="54"/>
        <v>89.5</v>
      </c>
      <c r="Q170" s="11">
        <f t="shared" si="54"/>
        <v>95.5</v>
      </c>
      <c r="R170" s="11">
        <f t="shared" si="54"/>
        <v>88.5</v>
      </c>
      <c r="S170" s="11">
        <f t="shared" si="54"/>
        <v>1186.5</v>
      </c>
      <c r="T170" s="11">
        <f t="shared" si="54"/>
        <v>91.269230769230774</v>
      </c>
      <c r="U170" s="11">
        <f>'10B Sem avr'!$H$58</f>
        <v>4</v>
      </c>
      <c r="V170" s="11">
        <f t="shared" si="54"/>
        <v>0</v>
      </c>
      <c r="W170" s="11">
        <f t="shared" si="54"/>
        <v>0</v>
      </c>
    </row>
    <row r="171" spans="1:23" ht="18.75" customHeight="1" thickBot="1" x14ac:dyDescent="0.3">
      <c r="A171" s="249">
        <v>56</v>
      </c>
      <c r="B171" s="226"/>
      <c r="C171" s="247">
        <v>15</v>
      </c>
      <c r="D171" s="248" t="s">
        <v>20</v>
      </c>
      <c r="E171" s="21" t="s">
        <v>21</v>
      </c>
      <c r="F171" s="11">
        <f>'10B Sem 1'!E59</f>
        <v>65</v>
      </c>
      <c r="G171" s="11">
        <f>'10B Sem 1'!F59</f>
        <v>75</v>
      </c>
      <c r="H171" s="11">
        <f>'10B Sem 1'!G59</f>
        <v>82</v>
      </c>
      <c r="I171" s="11">
        <f>'10B Sem 1'!H59</f>
        <v>75</v>
      </c>
      <c r="J171" s="11">
        <f>'10B Sem 1'!I59</f>
        <v>64</v>
      </c>
      <c r="K171" s="11">
        <f>'10B Sem 1'!J59</f>
        <v>75</v>
      </c>
      <c r="L171" s="11">
        <f>'10B Sem 1'!K59</f>
        <v>60</v>
      </c>
      <c r="M171" s="11">
        <f>'10B Sem 1'!L59</f>
        <v>59</v>
      </c>
      <c r="N171" s="11">
        <f>'10B Sem 1'!M59</f>
        <v>77</v>
      </c>
      <c r="O171" s="11">
        <f>'10B Sem 1'!N59</f>
        <v>73</v>
      </c>
      <c r="P171" s="11">
        <f>'10B Sem 1'!O59</f>
        <v>67</v>
      </c>
      <c r="Q171" s="11">
        <f>'10B Sem 1'!P59</f>
        <v>84</v>
      </c>
      <c r="R171" s="11">
        <f>'10B Sem 1'!Q59</f>
        <v>60</v>
      </c>
      <c r="S171" s="11">
        <f>'10B Sem 1'!R59</f>
        <v>916</v>
      </c>
      <c r="T171" s="11">
        <f>'10B Sem 1'!S59</f>
        <v>70.461538461538467</v>
      </c>
      <c r="U171" s="11">
        <f>'10B Sem 1'!T59</f>
        <v>37</v>
      </c>
      <c r="V171" s="11">
        <f>'10B Sem 1'!U59</f>
        <v>0</v>
      </c>
      <c r="W171" s="11">
        <f>'10B Sem 1'!V59</f>
        <v>0</v>
      </c>
    </row>
    <row r="172" spans="1:23" ht="18.75" customHeight="1" thickBot="1" x14ac:dyDescent="0.3">
      <c r="A172" s="249"/>
      <c r="B172" s="226"/>
      <c r="C172" s="247">
        <v>16</v>
      </c>
      <c r="D172" s="248" t="s">
        <v>20</v>
      </c>
      <c r="E172" s="21" t="s">
        <v>22</v>
      </c>
      <c r="F172" s="11">
        <f>'10B Sem 2'!E59</f>
        <v>72</v>
      </c>
      <c r="G172" s="11">
        <f>'10B Sem 2'!F59</f>
        <v>72</v>
      </c>
      <c r="H172" s="11">
        <f>'10B Sem 2'!G59</f>
        <v>65</v>
      </c>
      <c r="I172" s="11">
        <f>'10B Sem 2'!H59</f>
        <v>74</v>
      </c>
      <c r="J172" s="11">
        <f>'10B Sem 2'!I59</f>
        <v>70</v>
      </c>
      <c r="K172" s="11">
        <f>'10B Sem 2'!J59</f>
        <v>67</v>
      </c>
      <c r="L172" s="11">
        <f>'10B Sem 2'!K59</f>
        <v>50</v>
      </c>
      <c r="M172" s="11">
        <f>'10B Sem 2'!L59</f>
        <v>84</v>
      </c>
      <c r="N172" s="11">
        <f>'10B Sem 2'!M59</f>
        <v>71</v>
      </c>
      <c r="O172" s="11">
        <f>'10B Sem 2'!N59</f>
        <v>87</v>
      </c>
      <c r="P172" s="11">
        <f>'10B Sem 2'!O59</f>
        <v>51</v>
      </c>
      <c r="Q172" s="11">
        <f>'10B Sem 2'!P59</f>
        <v>86</v>
      </c>
      <c r="R172" s="11">
        <f>'10B Sem 2'!Q59</f>
        <v>52</v>
      </c>
      <c r="S172" s="11">
        <f>'10B Sem 2'!R59</f>
        <v>901</v>
      </c>
      <c r="T172" s="11">
        <f>'10B Sem 2'!S59</f>
        <v>69.307692307692307</v>
      </c>
      <c r="U172" s="11">
        <f>'10B Sem 2'!T59</f>
        <v>40</v>
      </c>
      <c r="V172" s="11">
        <f>'10B Sem 2'!U59</f>
        <v>0</v>
      </c>
      <c r="W172" s="11">
        <f>'10B Sem 2'!V59</f>
        <v>0</v>
      </c>
    </row>
    <row r="173" spans="1:23" ht="18.75" customHeight="1" thickBot="1" x14ac:dyDescent="0.3">
      <c r="A173" s="249"/>
      <c r="B173" s="226"/>
      <c r="C173" s="247">
        <v>16</v>
      </c>
      <c r="D173" s="248" t="s">
        <v>20</v>
      </c>
      <c r="E173" s="21" t="s">
        <v>16</v>
      </c>
      <c r="F173" s="11">
        <f>AVERAGE(F171:F172)</f>
        <v>68.5</v>
      </c>
      <c r="G173" s="11">
        <f t="shared" ref="G173:W173" si="55">AVERAGE(G171:G172)</f>
        <v>73.5</v>
      </c>
      <c r="H173" s="11">
        <f t="shared" si="55"/>
        <v>73.5</v>
      </c>
      <c r="I173" s="11">
        <f t="shared" si="55"/>
        <v>74.5</v>
      </c>
      <c r="J173" s="11">
        <f t="shared" si="55"/>
        <v>67</v>
      </c>
      <c r="K173" s="11">
        <f t="shared" si="55"/>
        <v>71</v>
      </c>
      <c r="L173" s="11">
        <f t="shared" si="55"/>
        <v>55</v>
      </c>
      <c r="M173" s="11">
        <f t="shared" si="55"/>
        <v>71.5</v>
      </c>
      <c r="N173" s="11">
        <f t="shared" si="55"/>
        <v>74</v>
      </c>
      <c r="O173" s="11">
        <f t="shared" si="55"/>
        <v>80</v>
      </c>
      <c r="P173" s="11">
        <f t="shared" si="55"/>
        <v>59</v>
      </c>
      <c r="Q173" s="11">
        <f t="shared" si="55"/>
        <v>85</v>
      </c>
      <c r="R173" s="11">
        <f t="shared" si="55"/>
        <v>56</v>
      </c>
      <c r="S173" s="11">
        <f t="shared" si="55"/>
        <v>908.5</v>
      </c>
      <c r="T173" s="11">
        <f t="shared" si="55"/>
        <v>69.884615384615387</v>
      </c>
      <c r="U173" s="11">
        <f>'10B Sem avr'!$H$59</f>
        <v>39</v>
      </c>
      <c r="V173" s="11">
        <f t="shared" si="55"/>
        <v>0</v>
      </c>
      <c r="W173" s="11">
        <f t="shared" si="55"/>
        <v>0</v>
      </c>
    </row>
    <row r="174" spans="1:23" ht="18.75" customHeight="1" x14ac:dyDescent="0.25">
      <c r="A174" s="6"/>
      <c r="B174" s="5"/>
      <c r="C174" s="5"/>
      <c r="D174" s="5"/>
      <c r="E174" s="5"/>
    </row>
    <row r="175" spans="1:23" ht="18.75" customHeight="1" x14ac:dyDescent="0.25">
      <c r="A175" s="6"/>
      <c r="B175" s="5"/>
      <c r="C175" s="5"/>
      <c r="D175" s="5"/>
      <c r="E175" s="5"/>
    </row>
    <row r="176" spans="1:23" ht="18.75" customHeight="1" x14ac:dyDescent="0.25">
      <c r="A176" s="6"/>
      <c r="B176" s="5"/>
      <c r="C176" s="5"/>
      <c r="D176" s="5"/>
      <c r="E176" s="5"/>
    </row>
    <row r="177" spans="1:5" ht="18.75" customHeight="1" x14ac:dyDescent="0.25">
      <c r="A177" s="6"/>
      <c r="B177" s="5"/>
      <c r="C177" s="5"/>
      <c r="D177" s="5"/>
      <c r="E177" s="5"/>
    </row>
    <row r="178" spans="1:5" ht="18.75" customHeight="1" x14ac:dyDescent="0.25">
      <c r="A178" s="6"/>
      <c r="B178" s="5"/>
      <c r="C178" s="5"/>
      <c r="D178" s="5"/>
      <c r="E178" s="5"/>
    </row>
    <row r="179" spans="1:5" ht="18.75" customHeight="1" x14ac:dyDescent="0.25">
      <c r="A179" s="6"/>
      <c r="B179" s="5"/>
      <c r="C179" s="5"/>
      <c r="D179" s="5"/>
      <c r="E179" s="5"/>
    </row>
    <row r="180" spans="1:5" ht="18.75" customHeight="1" x14ac:dyDescent="0.25">
      <c r="A180" s="6"/>
      <c r="B180" s="5"/>
      <c r="C180" s="5"/>
      <c r="D180" s="5"/>
      <c r="E180" s="5"/>
    </row>
    <row r="181" spans="1:5" ht="18.75" customHeight="1" x14ac:dyDescent="0.25">
      <c r="A181" s="6"/>
      <c r="B181" s="5"/>
      <c r="C181" s="5"/>
      <c r="D181" s="5"/>
      <c r="E181" s="5"/>
    </row>
    <row r="182" spans="1:5" ht="18.75" customHeight="1" x14ac:dyDescent="0.25">
      <c r="A182" s="6"/>
      <c r="B182" s="5"/>
      <c r="C182" s="5"/>
      <c r="D182" s="5"/>
      <c r="E182" s="5"/>
    </row>
    <row r="183" spans="1:5" ht="18.75" customHeight="1" x14ac:dyDescent="0.25">
      <c r="A183" s="6"/>
      <c r="B183" s="5"/>
      <c r="C183" s="5"/>
      <c r="D183" s="5"/>
      <c r="E183" s="5"/>
    </row>
    <row r="184" spans="1:5" ht="18.75" customHeight="1" x14ac:dyDescent="0.25">
      <c r="A184" s="6"/>
      <c r="B184" s="5"/>
      <c r="C184" s="5"/>
      <c r="D184" s="5"/>
      <c r="E184" s="5"/>
    </row>
    <row r="185" spans="1:5" ht="18.75" customHeight="1" x14ac:dyDescent="0.25">
      <c r="A185" s="6"/>
      <c r="B185" s="5"/>
      <c r="C185" s="5"/>
      <c r="D185" s="5"/>
      <c r="E185" s="5"/>
    </row>
    <row r="186" spans="1:5" ht="18.75" customHeight="1" x14ac:dyDescent="0.25">
      <c r="A186" s="6"/>
      <c r="B186" s="5"/>
      <c r="C186" s="5"/>
      <c r="D186" s="5"/>
      <c r="E186" s="5"/>
    </row>
    <row r="187" spans="1:5" ht="15.75" x14ac:dyDescent="0.25">
      <c r="A187" s="6"/>
      <c r="B187" s="5"/>
      <c r="C187" s="5"/>
      <c r="D187" s="5"/>
      <c r="E187" s="5"/>
    </row>
    <row r="188" spans="1:5" ht="15.75" x14ac:dyDescent="0.25">
      <c r="A188" s="6"/>
      <c r="B188" s="5"/>
      <c r="C188" s="5"/>
      <c r="D188" s="5"/>
      <c r="E188" s="5"/>
    </row>
    <row r="189" spans="1:5" ht="15.75" x14ac:dyDescent="0.25">
      <c r="B189" s="5"/>
      <c r="C189" s="5"/>
      <c r="D189" s="5"/>
      <c r="E189" s="5"/>
    </row>
    <row r="190" spans="1:5" ht="19.5" customHeight="1" x14ac:dyDescent="0.25">
      <c r="B190" s="5"/>
      <c r="C190" s="5"/>
      <c r="D190" s="5"/>
      <c r="E190" s="5"/>
    </row>
    <row r="191" spans="1:5" ht="15.75" x14ac:dyDescent="0.25">
      <c r="B191" s="5"/>
      <c r="C191" s="5"/>
      <c r="D191" s="5"/>
      <c r="E191" s="5"/>
    </row>
    <row r="192" spans="1:5" ht="15.75" x14ac:dyDescent="0.25">
      <c r="B192" s="5"/>
      <c r="C192"/>
      <c r="D192"/>
    </row>
    <row r="193" spans="3:4" ht="16.5" customHeight="1" x14ac:dyDescent="0.25">
      <c r="C193"/>
      <c r="D193"/>
    </row>
    <row r="194" spans="3:4" x14ac:dyDescent="0.25">
      <c r="C194"/>
      <c r="D194"/>
    </row>
    <row r="195" spans="3:4" x14ac:dyDescent="0.25">
      <c r="C195"/>
      <c r="D195"/>
    </row>
    <row r="196" spans="3:4" x14ac:dyDescent="0.25">
      <c r="C196"/>
      <c r="D196"/>
    </row>
    <row r="197" spans="3:4" x14ac:dyDescent="0.25">
      <c r="C197"/>
      <c r="D197"/>
    </row>
    <row r="198" spans="3:4" x14ac:dyDescent="0.25">
      <c r="C198"/>
      <c r="D198"/>
    </row>
    <row r="199" spans="3:4" x14ac:dyDescent="0.25">
      <c r="C199"/>
      <c r="D199"/>
    </row>
    <row r="200" spans="3:4" x14ac:dyDescent="0.25">
      <c r="C200"/>
      <c r="D200"/>
    </row>
    <row r="201" spans="3:4" x14ac:dyDescent="0.25">
      <c r="C201"/>
      <c r="D201"/>
    </row>
    <row r="202" spans="3:4" ht="17.25" customHeight="1" x14ac:dyDescent="0.25">
      <c r="C202"/>
      <c r="D202"/>
    </row>
    <row r="203" spans="3:4" x14ac:dyDescent="0.25">
      <c r="C203"/>
      <c r="D203"/>
    </row>
    <row r="204" spans="3:4" x14ac:dyDescent="0.25">
      <c r="C204"/>
      <c r="D204"/>
    </row>
    <row r="205" spans="3:4" ht="19.5" customHeight="1" x14ac:dyDescent="0.25">
      <c r="C205"/>
      <c r="D205"/>
    </row>
    <row r="206" spans="3:4" x14ac:dyDescent="0.25">
      <c r="C206"/>
      <c r="D206"/>
    </row>
    <row r="207" spans="3:4" x14ac:dyDescent="0.25">
      <c r="C207"/>
      <c r="D207"/>
    </row>
    <row r="208" spans="3:4" x14ac:dyDescent="0.25">
      <c r="C208"/>
      <c r="D208"/>
    </row>
    <row r="209" spans="3:4" x14ac:dyDescent="0.25">
      <c r="C209"/>
      <c r="D209"/>
    </row>
    <row r="210" spans="3:4" x14ac:dyDescent="0.25">
      <c r="C210"/>
      <c r="D210"/>
    </row>
    <row r="211" spans="3:4" x14ac:dyDescent="0.25">
      <c r="C211"/>
      <c r="D211"/>
    </row>
    <row r="212" spans="3:4" x14ac:dyDescent="0.25">
      <c r="C212"/>
      <c r="D212"/>
    </row>
    <row r="213" spans="3:4" x14ac:dyDescent="0.25">
      <c r="C213"/>
      <c r="D213"/>
    </row>
    <row r="214" spans="3:4" x14ac:dyDescent="0.25">
      <c r="C214"/>
      <c r="D214"/>
    </row>
    <row r="215" spans="3:4" x14ac:dyDescent="0.25">
      <c r="C215"/>
      <c r="D215"/>
    </row>
    <row r="216" spans="3:4" x14ac:dyDescent="0.25">
      <c r="C216"/>
      <c r="D216"/>
    </row>
    <row r="217" spans="3:4" x14ac:dyDescent="0.25">
      <c r="C217"/>
      <c r="D217"/>
    </row>
    <row r="218" spans="3:4" x14ac:dyDescent="0.25">
      <c r="C218"/>
      <c r="D218"/>
    </row>
  </sheetData>
  <mergeCells count="226">
    <mergeCell ref="A153:A155"/>
    <mergeCell ref="B153:B155"/>
    <mergeCell ref="C153:C155"/>
    <mergeCell ref="D153:D155"/>
    <mergeCell ref="C102:C104"/>
    <mergeCell ref="D102:D104"/>
    <mergeCell ref="D30:D32"/>
    <mergeCell ref="D33:D35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41:A143"/>
    <mergeCell ref="B141:B143"/>
    <mergeCell ref="C141:C143"/>
    <mergeCell ref="D141:D143"/>
    <mergeCell ref="A144:A146"/>
    <mergeCell ref="B144:B146"/>
    <mergeCell ref="C144:C146"/>
    <mergeCell ref="D144:D146"/>
    <mergeCell ref="A135:A137"/>
    <mergeCell ref="B135:B137"/>
    <mergeCell ref="C135:C137"/>
    <mergeCell ref="D135:D137"/>
    <mergeCell ref="A138:A140"/>
    <mergeCell ref="B138:B140"/>
    <mergeCell ref="C138:C140"/>
    <mergeCell ref="D138:D140"/>
    <mergeCell ref="A129:A131"/>
    <mergeCell ref="B129:B131"/>
    <mergeCell ref="C129:C131"/>
    <mergeCell ref="D129:D131"/>
    <mergeCell ref="A132:A134"/>
    <mergeCell ref="B132:B134"/>
    <mergeCell ref="C132:C134"/>
    <mergeCell ref="D132:D134"/>
    <mergeCell ref="A123:A125"/>
    <mergeCell ref="B123:B125"/>
    <mergeCell ref="C123:C125"/>
    <mergeCell ref="D123:D125"/>
    <mergeCell ref="A126:A128"/>
    <mergeCell ref="B126:B128"/>
    <mergeCell ref="C126:C128"/>
    <mergeCell ref="D126:D128"/>
    <mergeCell ref="A117:A119"/>
    <mergeCell ref="B117:B119"/>
    <mergeCell ref="C117:C119"/>
    <mergeCell ref="D117:D119"/>
    <mergeCell ref="A120:A122"/>
    <mergeCell ref="B120:B122"/>
    <mergeCell ref="C120:C122"/>
    <mergeCell ref="D120:D122"/>
    <mergeCell ref="A111:A113"/>
    <mergeCell ref="B111:B113"/>
    <mergeCell ref="C111:C113"/>
    <mergeCell ref="D111:D113"/>
    <mergeCell ref="A114:A116"/>
    <mergeCell ref="B114:B116"/>
    <mergeCell ref="C114:C116"/>
    <mergeCell ref="D114:D116"/>
    <mergeCell ref="A105:A107"/>
    <mergeCell ref="B105:B107"/>
    <mergeCell ref="C105:C107"/>
    <mergeCell ref="D105:D107"/>
    <mergeCell ref="A108:A110"/>
    <mergeCell ref="B108:B110"/>
    <mergeCell ref="C108:C110"/>
    <mergeCell ref="D108:D110"/>
    <mergeCell ref="A99:A101"/>
    <mergeCell ref="B99:B101"/>
    <mergeCell ref="C99:C101"/>
    <mergeCell ref="D99:D101"/>
    <mergeCell ref="A102:A104"/>
    <mergeCell ref="B102:B104"/>
    <mergeCell ref="A93:A95"/>
    <mergeCell ref="B93:B95"/>
    <mergeCell ref="C93:C95"/>
    <mergeCell ref="D93:D95"/>
    <mergeCell ref="A96:A98"/>
    <mergeCell ref="B96:B98"/>
    <mergeCell ref="C96:C98"/>
    <mergeCell ref="D96:D98"/>
    <mergeCell ref="A87:A89"/>
    <mergeCell ref="B87:B89"/>
    <mergeCell ref="C87:C89"/>
    <mergeCell ref="D87:D89"/>
    <mergeCell ref="A90:A92"/>
    <mergeCell ref="B90:B92"/>
    <mergeCell ref="C90:C92"/>
    <mergeCell ref="D90:D92"/>
    <mergeCell ref="A81:A83"/>
    <mergeCell ref="B81:B83"/>
    <mergeCell ref="C81:C83"/>
    <mergeCell ref="D81:D83"/>
    <mergeCell ref="A84:A86"/>
    <mergeCell ref="B84:B86"/>
    <mergeCell ref="C84:C86"/>
    <mergeCell ref="D84:D86"/>
    <mergeCell ref="A75:A77"/>
    <mergeCell ref="B75:B77"/>
    <mergeCell ref="C75:C77"/>
    <mergeCell ref="D75:D77"/>
    <mergeCell ref="A78:A80"/>
    <mergeCell ref="B78:B80"/>
    <mergeCell ref="C78:C80"/>
    <mergeCell ref="D78:D80"/>
    <mergeCell ref="A69:A71"/>
    <mergeCell ref="B69:B71"/>
    <mergeCell ref="C69:C71"/>
    <mergeCell ref="D69:D71"/>
    <mergeCell ref="A72:A74"/>
    <mergeCell ref="B72:B74"/>
    <mergeCell ref="C72:C74"/>
    <mergeCell ref="D72:D74"/>
    <mergeCell ref="A63:A65"/>
    <mergeCell ref="B63:B65"/>
    <mergeCell ref="C63:C65"/>
    <mergeCell ref="D63:D65"/>
    <mergeCell ref="A66:A68"/>
    <mergeCell ref="B66:B68"/>
    <mergeCell ref="C66:C68"/>
    <mergeCell ref="D66:D68"/>
    <mergeCell ref="A57:A59"/>
    <mergeCell ref="B57:B59"/>
    <mergeCell ref="C57:C59"/>
    <mergeCell ref="D57:D59"/>
    <mergeCell ref="A60:A62"/>
    <mergeCell ref="B60:B62"/>
    <mergeCell ref="C60:C62"/>
    <mergeCell ref="D60:D62"/>
    <mergeCell ref="A51:A53"/>
    <mergeCell ref="B51:B53"/>
    <mergeCell ref="C51:C53"/>
    <mergeCell ref="D51:D53"/>
    <mergeCell ref="A54:A56"/>
    <mergeCell ref="B54:B56"/>
    <mergeCell ref="C54:C56"/>
    <mergeCell ref="D54:D56"/>
    <mergeCell ref="A45:A47"/>
    <mergeCell ref="B45:B47"/>
    <mergeCell ref="C45:C47"/>
    <mergeCell ref="D45:D47"/>
    <mergeCell ref="A48:A50"/>
    <mergeCell ref="B48:B50"/>
    <mergeCell ref="C48:C50"/>
    <mergeCell ref="D48:D50"/>
    <mergeCell ref="A39:A41"/>
    <mergeCell ref="B39:B41"/>
    <mergeCell ref="C39:C41"/>
    <mergeCell ref="D39:D41"/>
    <mergeCell ref="A42:A44"/>
    <mergeCell ref="B42:B44"/>
    <mergeCell ref="C42:C44"/>
    <mergeCell ref="D42:D44"/>
    <mergeCell ref="A33:A35"/>
    <mergeCell ref="B33:B35"/>
    <mergeCell ref="C33:C35"/>
    <mergeCell ref="A36:A38"/>
    <mergeCell ref="B36:B38"/>
    <mergeCell ref="C36:C38"/>
    <mergeCell ref="D36:D38"/>
    <mergeCell ref="A27:A29"/>
    <mergeCell ref="B27:B29"/>
    <mergeCell ref="C27:C29"/>
    <mergeCell ref="D27:D29"/>
    <mergeCell ref="A30:A32"/>
    <mergeCell ref="B30:B32"/>
    <mergeCell ref="C30:C32"/>
    <mergeCell ref="A21:A23"/>
    <mergeCell ref="B21:B23"/>
    <mergeCell ref="C21:C23"/>
    <mergeCell ref="D21:D23"/>
    <mergeCell ref="A24:A26"/>
    <mergeCell ref="B24:B26"/>
    <mergeCell ref="C24:C26"/>
    <mergeCell ref="D24:D26"/>
    <mergeCell ref="A18:A20"/>
    <mergeCell ref="B18:B20"/>
    <mergeCell ref="C18:C20"/>
    <mergeCell ref="D18:D20"/>
    <mergeCell ref="A9:A11"/>
    <mergeCell ref="B9:B11"/>
    <mergeCell ref="C9:C11"/>
    <mergeCell ref="D9:D11"/>
    <mergeCell ref="A12:A14"/>
    <mergeCell ref="B12:B14"/>
    <mergeCell ref="C12:C14"/>
    <mergeCell ref="D12:D14"/>
    <mergeCell ref="A1:W1"/>
    <mergeCell ref="A3:W3"/>
    <mergeCell ref="A6:A8"/>
    <mergeCell ref="B6:B8"/>
    <mergeCell ref="C6:C8"/>
    <mergeCell ref="D6:D8"/>
    <mergeCell ref="A15:A17"/>
    <mergeCell ref="B15:B17"/>
    <mergeCell ref="C15:C17"/>
    <mergeCell ref="D15:D17"/>
    <mergeCell ref="A156:A158"/>
    <mergeCell ref="A159:A161"/>
    <mergeCell ref="A162:A164"/>
    <mergeCell ref="B156:B158"/>
    <mergeCell ref="C156:C158"/>
    <mergeCell ref="D156:D158"/>
    <mergeCell ref="B159:B161"/>
    <mergeCell ref="C159:C161"/>
    <mergeCell ref="D159:D161"/>
    <mergeCell ref="B162:B164"/>
    <mergeCell ref="C162:C164"/>
    <mergeCell ref="D162:D164"/>
    <mergeCell ref="A171:A173"/>
    <mergeCell ref="B171:B173"/>
    <mergeCell ref="C171:C173"/>
    <mergeCell ref="D171:D173"/>
    <mergeCell ref="A165:A167"/>
    <mergeCell ref="B165:B167"/>
    <mergeCell ref="C165:C167"/>
    <mergeCell ref="D165:D167"/>
    <mergeCell ref="A168:A170"/>
    <mergeCell ref="B168:B170"/>
    <mergeCell ref="C168:C170"/>
    <mergeCell ref="D168:D170"/>
  </mergeCells>
  <pageMargins left="0.7" right="0.7" top="0.75" bottom="0.75" header="0.3" footer="0.3"/>
  <pageSetup paperSize="9" scale="75" fitToHeight="0" orientation="landscape" verticalDpi="4294967295" r:id="rId1"/>
  <ignoredErrors>
    <ignoredError sqref="U8:U173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9"/>
  <sheetViews>
    <sheetView workbookViewId="0">
      <selection activeCell="B4" sqref="B4:B59"/>
    </sheetView>
  </sheetViews>
  <sheetFormatPr defaultRowHeight="15" x14ac:dyDescent="0.25"/>
  <cols>
    <col min="1" max="1" width="6.7109375" style="10" customWidth="1"/>
    <col min="2" max="2" width="35.140625" bestFit="1" customWidth="1"/>
    <col min="3" max="3" width="4.7109375" customWidth="1"/>
    <col min="4" max="4" width="4.140625" customWidth="1"/>
    <col min="5" max="17" width="6.7109375" customWidth="1"/>
    <col min="18" max="22" width="6.7109375" style="10" customWidth="1"/>
  </cols>
  <sheetData>
    <row r="1" spans="1:22" ht="20.25" x14ac:dyDescent="0.25">
      <c r="A1" s="222" t="s">
        <v>59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4"/>
    </row>
    <row r="2" spans="1:22" ht="18" thickBot="1" x14ac:dyDescent="0.3">
      <c r="A2" s="225" t="s">
        <v>40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</row>
    <row r="3" spans="1:22" ht="67.5" customHeight="1" thickBot="1" x14ac:dyDescent="0.3">
      <c r="A3" s="13" t="s">
        <v>24</v>
      </c>
      <c r="B3" s="112" t="s">
        <v>1</v>
      </c>
      <c r="C3" s="106" t="s">
        <v>2</v>
      </c>
      <c r="D3" s="105" t="s">
        <v>3</v>
      </c>
      <c r="E3" s="53" t="s">
        <v>4</v>
      </c>
      <c r="F3" s="53" t="s">
        <v>5</v>
      </c>
      <c r="G3" s="53" t="s">
        <v>6</v>
      </c>
      <c r="H3" s="53" t="s">
        <v>7</v>
      </c>
      <c r="I3" s="53" t="s">
        <v>8</v>
      </c>
      <c r="J3" s="53" t="s">
        <v>9</v>
      </c>
      <c r="K3" s="53" t="s">
        <v>11</v>
      </c>
      <c r="L3" s="53" t="s">
        <v>10</v>
      </c>
      <c r="M3" s="55" t="s">
        <v>69</v>
      </c>
      <c r="N3" s="55" t="s">
        <v>13</v>
      </c>
      <c r="O3" s="55" t="s">
        <v>65</v>
      </c>
      <c r="P3" s="53" t="s">
        <v>14</v>
      </c>
      <c r="Q3" s="53" t="s">
        <v>66</v>
      </c>
      <c r="R3" s="19" t="s">
        <v>15</v>
      </c>
      <c r="S3" s="17" t="s">
        <v>16</v>
      </c>
      <c r="T3" s="17" t="s">
        <v>17</v>
      </c>
      <c r="U3" s="18" t="s">
        <v>18</v>
      </c>
      <c r="V3" s="20" t="s">
        <v>19</v>
      </c>
    </row>
    <row r="4" spans="1:22" ht="20.100000000000001" customHeight="1" x14ac:dyDescent="0.25">
      <c r="A4" s="154">
        <v>1</v>
      </c>
      <c r="B4" s="141"/>
      <c r="C4" s="145">
        <v>16</v>
      </c>
      <c r="D4" s="145" t="s">
        <v>20</v>
      </c>
      <c r="E4" s="107">
        <v>76</v>
      </c>
      <c r="F4" s="38">
        <v>53</v>
      </c>
      <c r="G4" s="38">
        <v>83</v>
      </c>
      <c r="H4" s="38">
        <v>48</v>
      </c>
      <c r="I4" s="38">
        <v>52</v>
      </c>
      <c r="J4" s="38">
        <v>61</v>
      </c>
      <c r="K4" s="38">
        <v>72</v>
      </c>
      <c r="L4" s="38">
        <v>60</v>
      </c>
      <c r="M4" s="38">
        <v>57</v>
      </c>
      <c r="N4" s="38">
        <v>77</v>
      </c>
      <c r="O4" s="38">
        <v>65</v>
      </c>
      <c r="P4" s="38">
        <v>73</v>
      </c>
      <c r="Q4" s="38">
        <v>62</v>
      </c>
      <c r="R4" s="11">
        <f>SUM(E4:Q4)</f>
        <v>839</v>
      </c>
      <c r="S4" s="25">
        <f>AVERAGE(E4:Q4)</f>
        <v>64.538461538461533</v>
      </c>
      <c r="T4" s="11">
        <f>RANK(S4,$S$4:$S$59)</f>
        <v>47</v>
      </c>
      <c r="U4" s="11"/>
      <c r="V4" s="11"/>
    </row>
    <row r="5" spans="1:22" ht="20.100000000000001" customHeight="1" x14ac:dyDescent="0.25">
      <c r="A5" s="155">
        <v>2</v>
      </c>
      <c r="B5" s="141"/>
      <c r="C5" s="145">
        <v>16</v>
      </c>
      <c r="D5" s="145" t="s">
        <v>20</v>
      </c>
      <c r="E5" s="107">
        <v>81</v>
      </c>
      <c r="F5" s="38">
        <v>73</v>
      </c>
      <c r="G5" s="38">
        <v>82</v>
      </c>
      <c r="H5" s="38">
        <v>55</v>
      </c>
      <c r="I5" s="38">
        <v>68</v>
      </c>
      <c r="J5" s="38">
        <v>73</v>
      </c>
      <c r="K5" s="38">
        <v>72</v>
      </c>
      <c r="L5" s="38">
        <v>69</v>
      </c>
      <c r="M5" s="38">
        <v>78</v>
      </c>
      <c r="N5" s="38">
        <v>81</v>
      </c>
      <c r="O5" s="38">
        <v>74</v>
      </c>
      <c r="P5" s="38">
        <v>88</v>
      </c>
      <c r="Q5" s="38">
        <v>79</v>
      </c>
      <c r="R5" s="11">
        <f t="shared" ref="R5:R59" si="0">SUM(E5:Q5)</f>
        <v>973</v>
      </c>
      <c r="S5" s="25">
        <f t="shared" ref="S5:S59" si="1">AVERAGE(E5:Q5)</f>
        <v>74.84615384615384</v>
      </c>
      <c r="T5" s="11">
        <f t="shared" ref="T5:T59" si="2">RANK(S5,$S$4:$S$59)</f>
        <v>28</v>
      </c>
      <c r="U5" s="11"/>
      <c r="V5" s="11"/>
    </row>
    <row r="6" spans="1:22" ht="20.100000000000001" customHeight="1" x14ac:dyDescent="0.25">
      <c r="A6" s="156">
        <v>3</v>
      </c>
      <c r="B6" s="141"/>
      <c r="C6" s="145">
        <v>16</v>
      </c>
      <c r="D6" s="145" t="s">
        <v>54</v>
      </c>
      <c r="E6" s="107">
        <v>74</v>
      </c>
      <c r="F6" s="38">
        <v>47</v>
      </c>
      <c r="G6" s="38">
        <v>47</v>
      </c>
      <c r="H6" s="38">
        <v>44</v>
      </c>
      <c r="I6" s="38">
        <v>33</v>
      </c>
      <c r="J6" s="38">
        <v>41</v>
      </c>
      <c r="K6" s="38">
        <v>45</v>
      </c>
      <c r="L6" s="38">
        <v>42</v>
      </c>
      <c r="M6" s="38">
        <v>53</v>
      </c>
      <c r="N6" s="38">
        <v>60</v>
      </c>
      <c r="O6" s="38">
        <v>54</v>
      </c>
      <c r="P6" s="38">
        <v>79</v>
      </c>
      <c r="Q6" s="38">
        <v>55</v>
      </c>
      <c r="R6" s="11">
        <f t="shared" si="0"/>
        <v>674</v>
      </c>
      <c r="S6" s="25">
        <f t="shared" si="1"/>
        <v>51.846153846153847</v>
      </c>
      <c r="T6" s="11">
        <f t="shared" si="2"/>
        <v>55</v>
      </c>
      <c r="U6" s="11"/>
      <c r="V6" s="11"/>
    </row>
    <row r="7" spans="1:22" ht="20.100000000000001" customHeight="1" x14ac:dyDescent="0.25">
      <c r="A7" s="155">
        <v>4</v>
      </c>
      <c r="B7" s="141"/>
      <c r="C7" s="145">
        <v>16</v>
      </c>
      <c r="D7" s="145" t="s">
        <v>23</v>
      </c>
      <c r="E7" s="107">
        <v>84</v>
      </c>
      <c r="F7" s="38">
        <v>63</v>
      </c>
      <c r="G7" s="38">
        <v>68</v>
      </c>
      <c r="H7" s="38">
        <v>51</v>
      </c>
      <c r="I7" s="38">
        <v>54</v>
      </c>
      <c r="J7" s="38">
        <v>71</v>
      </c>
      <c r="K7" s="38">
        <v>69</v>
      </c>
      <c r="L7" s="38">
        <v>60</v>
      </c>
      <c r="M7" s="38">
        <v>75</v>
      </c>
      <c r="N7" s="38">
        <v>74</v>
      </c>
      <c r="O7" s="38">
        <v>61</v>
      </c>
      <c r="P7" s="38">
        <v>88</v>
      </c>
      <c r="Q7" s="38">
        <v>78</v>
      </c>
      <c r="R7" s="11">
        <f t="shared" si="0"/>
        <v>896</v>
      </c>
      <c r="S7" s="25">
        <f t="shared" si="1"/>
        <v>68.92307692307692</v>
      </c>
      <c r="T7" s="11">
        <f t="shared" si="2"/>
        <v>39</v>
      </c>
      <c r="U7" s="11"/>
      <c r="V7" s="11"/>
    </row>
    <row r="8" spans="1:22" ht="20.100000000000001" customHeight="1" x14ac:dyDescent="0.25">
      <c r="A8" s="155">
        <v>5</v>
      </c>
      <c r="B8" s="141"/>
      <c r="C8" s="145">
        <v>15</v>
      </c>
      <c r="D8" s="145" t="s">
        <v>20</v>
      </c>
      <c r="E8" s="107">
        <v>77</v>
      </c>
      <c r="F8" s="38">
        <v>71</v>
      </c>
      <c r="G8" s="38">
        <v>55</v>
      </c>
      <c r="H8" s="38">
        <v>37</v>
      </c>
      <c r="I8" s="38">
        <v>48</v>
      </c>
      <c r="J8" s="38">
        <v>45</v>
      </c>
      <c r="K8" s="38">
        <v>45</v>
      </c>
      <c r="L8" s="38">
        <v>53</v>
      </c>
      <c r="M8" s="38">
        <v>62</v>
      </c>
      <c r="N8" s="38">
        <v>80</v>
      </c>
      <c r="O8" s="38">
        <v>56</v>
      </c>
      <c r="P8" s="38">
        <v>76</v>
      </c>
      <c r="Q8" s="38">
        <v>70</v>
      </c>
      <c r="R8" s="11">
        <f t="shared" si="0"/>
        <v>775</v>
      </c>
      <c r="S8" s="25">
        <f t="shared" si="1"/>
        <v>59.615384615384613</v>
      </c>
      <c r="T8" s="11">
        <f t="shared" si="2"/>
        <v>50</v>
      </c>
      <c r="U8" s="11"/>
      <c r="V8" s="11"/>
    </row>
    <row r="9" spans="1:22" ht="20.100000000000001" customHeight="1" x14ac:dyDescent="0.25">
      <c r="A9" s="156">
        <v>6</v>
      </c>
      <c r="B9" s="141"/>
      <c r="C9" s="145">
        <v>16</v>
      </c>
      <c r="D9" s="145" t="s">
        <v>20</v>
      </c>
      <c r="E9" s="107">
        <v>78</v>
      </c>
      <c r="F9" s="38">
        <v>62</v>
      </c>
      <c r="G9" s="38">
        <v>89</v>
      </c>
      <c r="H9" s="38">
        <v>73</v>
      </c>
      <c r="I9" s="38">
        <v>61</v>
      </c>
      <c r="J9" s="38">
        <v>79</v>
      </c>
      <c r="K9" s="38">
        <v>63</v>
      </c>
      <c r="L9" s="38">
        <v>65</v>
      </c>
      <c r="M9" s="38">
        <v>68</v>
      </c>
      <c r="N9" s="38">
        <v>92</v>
      </c>
      <c r="O9" s="38">
        <v>82</v>
      </c>
      <c r="P9" s="38">
        <v>87</v>
      </c>
      <c r="Q9" s="38">
        <v>74</v>
      </c>
      <c r="R9" s="11">
        <f t="shared" si="0"/>
        <v>973</v>
      </c>
      <c r="S9" s="25">
        <f t="shared" si="1"/>
        <v>74.84615384615384</v>
      </c>
      <c r="T9" s="11">
        <f t="shared" si="2"/>
        <v>28</v>
      </c>
      <c r="U9" s="11"/>
      <c r="V9" s="11"/>
    </row>
    <row r="10" spans="1:22" ht="20.100000000000001" customHeight="1" x14ac:dyDescent="0.25">
      <c r="A10" s="155">
        <v>7</v>
      </c>
      <c r="B10" s="141"/>
      <c r="C10" s="145">
        <v>14</v>
      </c>
      <c r="D10" s="145" t="s">
        <v>23</v>
      </c>
      <c r="E10" s="107">
        <v>82</v>
      </c>
      <c r="F10" s="38">
        <v>71</v>
      </c>
      <c r="G10" s="38">
        <v>70</v>
      </c>
      <c r="H10" s="38">
        <v>40</v>
      </c>
      <c r="I10" s="38">
        <v>41</v>
      </c>
      <c r="J10" s="38">
        <v>64</v>
      </c>
      <c r="K10" s="38">
        <v>66</v>
      </c>
      <c r="L10" s="38">
        <v>64</v>
      </c>
      <c r="M10" s="38">
        <v>68</v>
      </c>
      <c r="N10" s="38">
        <v>78</v>
      </c>
      <c r="O10" s="38">
        <v>64</v>
      </c>
      <c r="P10" s="38">
        <v>71</v>
      </c>
      <c r="Q10" s="38">
        <v>66</v>
      </c>
      <c r="R10" s="11">
        <f t="shared" si="0"/>
        <v>845</v>
      </c>
      <c r="S10" s="25">
        <f t="shared" si="1"/>
        <v>65</v>
      </c>
      <c r="T10" s="11">
        <f t="shared" si="2"/>
        <v>46</v>
      </c>
      <c r="U10" s="11"/>
      <c r="V10" s="11"/>
    </row>
    <row r="11" spans="1:22" ht="20.100000000000001" customHeight="1" x14ac:dyDescent="0.25">
      <c r="A11" s="155">
        <v>8</v>
      </c>
      <c r="B11" s="141"/>
      <c r="C11" s="145">
        <v>15</v>
      </c>
      <c r="D11" s="145" t="s">
        <v>20</v>
      </c>
      <c r="E11" s="107">
        <v>82</v>
      </c>
      <c r="F11" s="38">
        <v>63</v>
      </c>
      <c r="G11" s="38">
        <v>52</v>
      </c>
      <c r="H11" s="38">
        <v>50</v>
      </c>
      <c r="I11" s="38">
        <v>63</v>
      </c>
      <c r="J11" s="38">
        <v>79</v>
      </c>
      <c r="K11" s="38">
        <v>62</v>
      </c>
      <c r="L11" s="38">
        <v>65</v>
      </c>
      <c r="M11" s="38">
        <v>68</v>
      </c>
      <c r="N11" s="38">
        <v>66</v>
      </c>
      <c r="O11" s="38">
        <v>72</v>
      </c>
      <c r="P11" s="38">
        <v>77</v>
      </c>
      <c r="Q11" s="38">
        <v>66</v>
      </c>
      <c r="R11" s="11">
        <f t="shared" si="0"/>
        <v>865</v>
      </c>
      <c r="S11" s="25">
        <f t="shared" si="1"/>
        <v>66.538461538461533</v>
      </c>
      <c r="T11" s="11">
        <f t="shared" si="2"/>
        <v>42</v>
      </c>
      <c r="U11" s="11"/>
      <c r="V11" s="11"/>
    </row>
    <row r="12" spans="1:22" ht="20.100000000000001" customHeight="1" x14ac:dyDescent="0.25">
      <c r="A12" s="156">
        <v>9</v>
      </c>
      <c r="B12" s="141"/>
      <c r="C12" s="145">
        <v>15</v>
      </c>
      <c r="D12" s="145" t="s">
        <v>23</v>
      </c>
      <c r="E12" s="107">
        <v>90</v>
      </c>
      <c r="F12" s="38">
        <v>78</v>
      </c>
      <c r="G12" s="38">
        <v>91</v>
      </c>
      <c r="H12" s="38">
        <v>77</v>
      </c>
      <c r="I12" s="38">
        <v>66</v>
      </c>
      <c r="J12" s="38">
        <v>82</v>
      </c>
      <c r="K12" s="38">
        <v>86</v>
      </c>
      <c r="L12" s="38">
        <v>84</v>
      </c>
      <c r="M12" s="38">
        <v>81</v>
      </c>
      <c r="N12" s="38">
        <v>86</v>
      </c>
      <c r="O12" s="38">
        <v>74</v>
      </c>
      <c r="P12" s="38">
        <v>99</v>
      </c>
      <c r="Q12" s="38">
        <v>82</v>
      </c>
      <c r="R12" s="11">
        <f t="shared" si="0"/>
        <v>1076</v>
      </c>
      <c r="S12" s="25">
        <f t="shared" si="1"/>
        <v>82.769230769230774</v>
      </c>
      <c r="T12" s="11">
        <f t="shared" si="2"/>
        <v>12</v>
      </c>
      <c r="U12" s="11"/>
      <c r="V12" s="11"/>
    </row>
    <row r="13" spans="1:22" ht="20.100000000000001" customHeight="1" x14ac:dyDescent="0.25">
      <c r="A13" s="155">
        <v>10</v>
      </c>
      <c r="B13" s="141"/>
      <c r="C13" s="145">
        <v>15</v>
      </c>
      <c r="D13" s="145" t="s">
        <v>23</v>
      </c>
      <c r="E13" s="107">
        <v>89</v>
      </c>
      <c r="F13" s="38">
        <v>70</v>
      </c>
      <c r="G13" s="38">
        <v>88</v>
      </c>
      <c r="H13" s="38">
        <v>83</v>
      </c>
      <c r="I13" s="38">
        <v>78</v>
      </c>
      <c r="J13" s="38">
        <v>80</v>
      </c>
      <c r="K13" s="38">
        <v>78</v>
      </c>
      <c r="L13" s="38">
        <v>79</v>
      </c>
      <c r="M13" s="38">
        <v>87</v>
      </c>
      <c r="N13" s="38">
        <v>89</v>
      </c>
      <c r="O13" s="38">
        <v>76</v>
      </c>
      <c r="P13" s="38">
        <v>87</v>
      </c>
      <c r="Q13" s="38">
        <v>84</v>
      </c>
      <c r="R13" s="11">
        <f t="shared" si="0"/>
        <v>1068</v>
      </c>
      <c r="S13" s="25">
        <f t="shared" si="1"/>
        <v>82.15384615384616</v>
      </c>
      <c r="T13" s="11">
        <f t="shared" si="2"/>
        <v>13</v>
      </c>
      <c r="U13" s="11"/>
      <c r="V13" s="11"/>
    </row>
    <row r="14" spans="1:22" ht="20.100000000000001" customHeight="1" x14ac:dyDescent="0.25">
      <c r="A14" s="156">
        <v>11</v>
      </c>
      <c r="B14" s="141"/>
      <c r="C14" s="145">
        <v>15</v>
      </c>
      <c r="D14" s="145" t="s">
        <v>23</v>
      </c>
      <c r="E14" s="107">
        <v>91</v>
      </c>
      <c r="F14" s="38">
        <v>79</v>
      </c>
      <c r="G14" s="38">
        <v>76</v>
      </c>
      <c r="H14" s="38">
        <v>65</v>
      </c>
      <c r="I14" s="38">
        <v>63</v>
      </c>
      <c r="J14" s="38">
        <v>79</v>
      </c>
      <c r="K14" s="38">
        <v>91</v>
      </c>
      <c r="L14" s="38">
        <v>78</v>
      </c>
      <c r="M14" s="38">
        <v>86</v>
      </c>
      <c r="N14" s="38">
        <v>78</v>
      </c>
      <c r="O14" s="38">
        <v>85</v>
      </c>
      <c r="P14" s="38">
        <v>82</v>
      </c>
      <c r="Q14" s="38">
        <v>83</v>
      </c>
      <c r="R14" s="11">
        <f t="shared" si="0"/>
        <v>1036</v>
      </c>
      <c r="S14" s="25">
        <f t="shared" si="1"/>
        <v>79.692307692307693</v>
      </c>
      <c r="T14" s="11">
        <f t="shared" si="2"/>
        <v>19</v>
      </c>
      <c r="U14" s="11"/>
      <c r="V14" s="11"/>
    </row>
    <row r="15" spans="1:22" ht="20.100000000000001" customHeight="1" x14ac:dyDescent="0.25">
      <c r="A15" s="156">
        <v>12</v>
      </c>
      <c r="B15" s="141"/>
      <c r="C15" s="145">
        <v>15</v>
      </c>
      <c r="D15" s="145" t="s">
        <v>23</v>
      </c>
      <c r="E15" s="107">
        <v>81</v>
      </c>
      <c r="F15" s="38">
        <v>69</v>
      </c>
      <c r="G15" s="38">
        <v>78</v>
      </c>
      <c r="H15" s="38">
        <v>67</v>
      </c>
      <c r="I15" s="38">
        <v>62</v>
      </c>
      <c r="J15" s="38">
        <v>66</v>
      </c>
      <c r="K15" s="38">
        <v>75</v>
      </c>
      <c r="L15" s="38">
        <v>71</v>
      </c>
      <c r="M15" s="38">
        <v>69</v>
      </c>
      <c r="N15" s="38">
        <v>73</v>
      </c>
      <c r="O15" s="38">
        <v>80</v>
      </c>
      <c r="P15" s="38">
        <v>91</v>
      </c>
      <c r="Q15" s="38">
        <v>87</v>
      </c>
      <c r="R15" s="11">
        <f t="shared" si="0"/>
        <v>969</v>
      </c>
      <c r="S15" s="25">
        <f t="shared" si="1"/>
        <v>74.538461538461533</v>
      </c>
      <c r="T15" s="11">
        <f t="shared" si="2"/>
        <v>32</v>
      </c>
      <c r="U15" s="11"/>
      <c r="V15" s="11"/>
    </row>
    <row r="16" spans="1:22" ht="20.100000000000001" customHeight="1" x14ac:dyDescent="0.25">
      <c r="A16" s="156">
        <v>13</v>
      </c>
      <c r="B16" s="141"/>
      <c r="C16" s="145">
        <v>15</v>
      </c>
      <c r="D16" s="145" t="s">
        <v>20</v>
      </c>
      <c r="E16" s="107">
        <v>86</v>
      </c>
      <c r="F16" s="38">
        <v>69</v>
      </c>
      <c r="G16" s="38">
        <v>69</v>
      </c>
      <c r="H16" s="38">
        <v>66</v>
      </c>
      <c r="I16" s="38">
        <v>45</v>
      </c>
      <c r="J16" s="38">
        <v>70</v>
      </c>
      <c r="K16" s="38">
        <v>77</v>
      </c>
      <c r="L16" s="38">
        <v>70</v>
      </c>
      <c r="M16" s="38">
        <v>79</v>
      </c>
      <c r="N16" s="38">
        <v>81</v>
      </c>
      <c r="O16" s="38">
        <v>85</v>
      </c>
      <c r="P16" s="38">
        <v>82</v>
      </c>
      <c r="Q16" s="38">
        <v>59</v>
      </c>
      <c r="R16" s="11">
        <f t="shared" si="0"/>
        <v>938</v>
      </c>
      <c r="S16" s="25">
        <f t="shared" si="1"/>
        <v>72.15384615384616</v>
      </c>
      <c r="T16" s="11">
        <f t="shared" si="2"/>
        <v>36</v>
      </c>
      <c r="U16" s="11"/>
      <c r="V16" s="11"/>
    </row>
    <row r="17" spans="1:22" ht="20.100000000000001" customHeight="1" x14ac:dyDescent="0.25">
      <c r="A17" s="155">
        <v>14</v>
      </c>
      <c r="B17" s="141"/>
      <c r="C17" s="145">
        <v>16</v>
      </c>
      <c r="D17" s="145" t="s">
        <v>20</v>
      </c>
      <c r="E17" s="107">
        <v>87</v>
      </c>
      <c r="F17" s="38">
        <v>57</v>
      </c>
      <c r="G17" s="38">
        <v>60</v>
      </c>
      <c r="H17" s="38">
        <v>56</v>
      </c>
      <c r="I17" s="38">
        <v>52</v>
      </c>
      <c r="J17" s="38">
        <v>68</v>
      </c>
      <c r="K17" s="38">
        <v>66</v>
      </c>
      <c r="L17" s="38">
        <v>59</v>
      </c>
      <c r="M17" s="38">
        <v>63</v>
      </c>
      <c r="N17" s="38">
        <v>86</v>
      </c>
      <c r="O17" s="38">
        <v>69</v>
      </c>
      <c r="P17" s="38">
        <v>84</v>
      </c>
      <c r="Q17" s="38">
        <v>67</v>
      </c>
      <c r="R17" s="11">
        <f t="shared" si="0"/>
        <v>874</v>
      </c>
      <c r="S17" s="25">
        <f t="shared" si="1"/>
        <v>67.230769230769226</v>
      </c>
      <c r="T17" s="11">
        <f t="shared" si="2"/>
        <v>41</v>
      </c>
      <c r="U17" s="11"/>
      <c r="V17" s="11"/>
    </row>
    <row r="18" spans="1:22" ht="20.100000000000001" customHeight="1" x14ac:dyDescent="0.25">
      <c r="A18" s="156">
        <v>15</v>
      </c>
      <c r="B18" s="141"/>
      <c r="C18" s="145">
        <v>15</v>
      </c>
      <c r="D18" s="145" t="s">
        <v>20</v>
      </c>
      <c r="E18" s="107">
        <v>86</v>
      </c>
      <c r="F18" s="38">
        <v>84</v>
      </c>
      <c r="G18" s="38">
        <v>88</v>
      </c>
      <c r="H18" s="38">
        <v>70</v>
      </c>
      <c r="I18" s="38">
        <v>71</v>
      </c>
      <c r="J18" s="38">
        <v>81</v>
      </c>
      <c r="K18" s="38">
        <v>74</v>
      </c>
      <c r="L18" s="38">
        <v>66</v>
      </c>
      <c r="M18" s="38">
        <v>79</v>
      </c>
      <c r="N18" s="38">
        <v>76</v>
      </c>
      <c r="O18" s="38">
        <v>84</v>
      </c>
      <c r="P18" s="38">
        <v>85</v>
      </c>
      <c r="Q18" s="38">
        <v>68</v>
      </c>
      <c r="R18" s="11">
        <f t="shared" si="0"/>
        <v>1012</v>
      </c>
      <c r="S18" s="25">
        <f t="shared" si="1"/>
        <v>77.84615384615384</v>
      </c>
      <c r="T18" s="11">
        <f t="shared" si="2"/>
        <v>21</v>
      </c>
      <c r="U18" s="11"/>
      <c r="V18" s="11"/>
    </row>
    <row r="19" spans="1:22" ht="20.100000000000001" customHeight="1" x14ac:dyDescent="0.25">
      <c r="A19" s="155">
        <v>16</v>
      </c>
      <c r="B19" s="141"/>
      <c r="C19" s="145">
        <v>16</v>
      </c>
      <c r="D19" s="145" t="s">
        <v>23</v>
      </c>
      <c r="E19" s="107">
        <v>87</v>
      </c>
      <c r="F19" s="38">
        <v>75</v>
      </c>
      <c r="G19" s="38">
        <v>85</v>
      </c>
      <c r="H19" s="38">
        <v>84</v>
      </c>
      <c r="I19" s="38">
        <v>67</v>
      </c>
      <c r="J19" s="38">
        <v>78</v>
      </c>
      <c r="K19" s="38">
        <v>75</v>
      </c>
      <c r="L19" s="38">
        <v>66</v>
      </c>
      <c r="M19" s="38">
        <v>73</v>
      </c>
      <c r="N19" s="38">
        <v>77</v>
      </c>
      <c r="O19" s="38">
        <v>79</v>
      </c>
      <c r="P19" s="38">
        <v>98</v>
      </c>
      <c r="Q19" s="38">
        <v>96</v>
      </c>
      <c r="R19" s="11">
        <f t="shared" si="0"/>
        <v>1040</v>
      </c>
      <c r="S19" s="25">
        <f t="shared" si="1"/>
        <v>80</v>
      </c>
      <c r="T19" s="11">
        <f t="shared" si="2"/>
        <v>18</v>
      </c>
      <c r="U19" s="11"/>
      <c r="V19" s="11"/>
    </row>
    <row r="20" spans="1:22" ht="20.100000000000001" customHeight="1" x14ac:dyDescent="0.25">
      <c r="A20" s="155">
        <v>17</v>
      </c>
      <c r="B20" s="141"/>
      <c r="C20" s="145">
        <v>16</v>
      </c>
      <c r="D20" s="145" t="s">
        <v>23</v>
      </c>
      <c r="E20" s="107">
        <v>73</v>
      </c>
      <c r="F20" s="38">
        <v>58</v>
      </c>
      <c r="G20" s="38">
        <v>62</v>
      </c>
      <c r="H20" s="38">
        <v>64</v>
      </c>
      <c r="I20" s="38">
        <v>51</v>
      </c>
      <c r="J20" s="38">
        <v>54</v>
      </c>
      <c r="K20" s="38">
        <v>51</v>
      </c>
      <c r="L20" s="38">
        <v>61</v>
      </c>
      <c r="M20" s="38">
        <v>67</v>
      </c>
      <c r="N20" s="38">
        <v>70</v>
      </c>
      <c r="O20" s="38">
        <v>72</v>
      </c>
      <c r="P20" s="38">
        <v>94</v>
      </c>
      <c r="Q20" s="38">
        <v>83</v>
      </c>
      <c r="R20" s="11">
        <f t="shared" si="0"/>
        <v>860</v>
      </c>
      <c r="S20" s="25">
        <f t="shared" si="1"/>
        <v>66.15384615384616</v>
      </c>
      <c r="T20" s="11">
        <f t="shared" si="2"/>
        <v>44</v>
      </c>
      <c r="U20" s="11"/>
      <c r="V20" s="11"/>
    </row>
    <row r="21" spans="1:22" ht="20.100000000000001" customHeight="1" x14ac:dyDescent="0.25">
      <c r="A21" s="155">
        <v>18</v>
      </c>
      <c r="B21" s="141"/>
      <c r="C21" s="145">
        <v>16</v>
      </c>
      <c r="D21" s="145" t="s">
        <v>23</v>
      </c>
      <c r="E21" s="107">
        <v>80</v>
      </c>
      <c r="F21" s="38">
        <v>54</v>
      </c>
      <c r="G21" s="38">
        <v>70</v>
      </c>
      <c r="H21" s="38">
        <v>65</v>
      </c>
      <c r="I21" s="38">
        <v>54</v>
      </c>
      <c r="J21" s="38">
        <v>52</v>
      </c>
      <c r="K21" s="38">
        <v>65</v>
      </c>
      <c r="L21" s="38">
        <v>58</v>
      </c>
      <c r="M21" s="38">
        <v>68</v>
      </c>
      <c r="N21" s="38">
        <v>75</v>
      </c>
      <c r="O21" s="38">
        <v>72</v>
      </c>
      <c r="P21" s="38">
        <v>80</v>
      </c>
      <c r="Q21" s="38">
        <v>69</v>
      </c>
      <c r="R21" s="11">
        <f t="shared" si="0"/>
        <v>862</v>
      </c>
      <c r="S21" s="25">
        <f t="shared" si="1"/>
        <v>66.307692307692307</v>
      </c>
      <c r="T21" s="11">
        <f t="shared" si="2"/>
        <v>43</v>
      </c>
      <c r="U21" s="11"/>
      <c r="V21" s="11"/>
    </row>
    <row r="22" spans="1:22" ht="20.100000000000001" customHeight="1" x14ac:dyDescent="0.25">
      <c r="A22" s="156">
        <v>19</v>
      </c>
      <c r="B22" s="141"/>
      <c r="C22" s="145">
        <v>16</v>
      </c>
      <c r="D22" s="145" t="s">
        <v>20</v>
      </c>
      <c r="E22" s="107">
        <v>81</v>
      </c>
      <c r="F22" s="38">
        <v>81</v>
      </c>
      <c r="G22" s="38">
        <v>80</v>
      </c>
      <c r="H22" s="38">
        <v>68</v>
      </c>
      <c r="I22" s="38">
        <v>67</v>
      </c>
      <c r="J22" s="38">
        <v>85</v>
      </c>
      <c r="K22" s="38">
        <v>72</v>
      </c>
      <c r="L22" s="38">
        <v>79</v>
      </c>
      <c r="M22" s="38">
        <v>87</v>
      </c>
      <c r="N22" s="38">
        <v>85</v>
      </c>
      <c r="O22" s="38">
        <v>82</v>
      </c>
      <c r="P22" s="38">
        <v>98</v>
      </c>
      <c r="Q22" s="38">
        <v>80</v>
      </c>
      <c r="R22" s="11">
        <f t="shared" si="0"/>
        <v>1045</v>
      </c>
      <c r="S22" s="25">
        <f t="shared" si="1"/>
        <v>80.384615384615387</v>
      </c>
      <c r="T22" s="11">
        <f t="shared" si="2"/>
        <v>17</v>
      </c>
      <c r="U22" s="11"/>
      <c r="V22" s="11"/>
    </row>
    <row r="23" spans="1:22" ht="20.100000000000001" customHeight="1" x14ac:dyDescent="0.25">
      <c r="A23" s="156">
        <v>20</v>
      </c>
      <c r="B23" s="141"/>
      <c r="C23" s="145">
        <v>16</v>
      </c>
      <c r="D23" s="145" t="s">
        <v>23</v>
      </c>
      <c r="E23" s="107">
        <v>86</v>
      </c>
      <c r="F23" s="38">
        <v>93</v>
      </c>
      <c r="G23" s="38">
        <v>95</v>
      </c>
      <c r="H23" s="38">
        <v>96</v>
      </c>
      <c r="I23" s="38">
        <v>89</v>
      </c>
      <c r="J23" s="38">
        <v>91</v>
      </c>
      <c r="K23" s="38">
        <v>93</v>
      </c>
      <c r="L23" s="38">
        <v>84</v>
      </c>
      <c r="M23" s="38">
        <v>91</v>
      </c>
      <c r="N23" s="38">
        <v>87</v>
      </c>
      <c r="O23" s="38">
        <v>91</v>
      </c>
      <c r="P23" s="38">
        <v>95</v>
      </c>
      <c r="Q23" s="38">
        <v>88</v>
      </c>
      <c r="R23" s="11">
        <f t="shared" si="0"/>
        <v>1179</v>
      </c>
      <c r="S23" s="25">
        <f t="shared" si="1"/>
        <v>90.692307692307693</v>
      </c>
      <c r="T23" s="11">
        <f t="shared" si="2"/>
        <v>4</v>
      </c>
      <c r="U23" s="11"/>
      <c r="V23" s="11"/>
    </row>
    <row r="24" spans="1:22" ht="20.100000000000001" customHeight="1" x14ac:dyDescent="0.25">
      <c r="A24" s="156">
        <v>21</v>
      </c>
      <c r="B24" s="141"/>
      <c r="C24" s="145">
        <v>16</v>
      </c>
      <c r="D24" s="145" t="s">
        <v>20</v>
      </c>
      <c r="E24" s="107">
        <v>86</v>
      </c>
      <c r="F24" s="38">
        <v>80</v>
      </c>
      <c r="G24" s="38">
        <v>92</v>
      </c>
      <c r="H24" s="38">
        <v>92</v>
      </c>
      <c r="I24" s="38">
        <v>82</v>
      </c>
      <c r="J24" s="38">
        <v>88</v>
      </c>
      <c r="K24" s="38">
        <v>81</v>
      </c>
      <c r="L24" s="38">
        <v>74</v>
      </c>
      <c r="M24" s="38">
        <v>84</v>
      </c>
      <c r="N24" s="38">
        <v>88</v>
      </c>
      <c r="O24" s="38">
        <v>89</v>
      </c>
      <c r="P24" s="38">
        <v>92</v>
      </c>
      <c r="Q24" s="38">
        <v>87</v>
      </c>
      <c r="R24" s="11">
        <f t="shared" si="0"/>
        <v>1115</v>
      </c>
      <c r="S24" s="25">
        <f t="shared" si="1"/>
        <v>85.769230769230774</v>
      </c>
      <c r="T24" s="11">
        <f t="shared" si="2"/>
        <v>9</v>
      </c>
      <c r="U24" s="11"/>
      <c r="V24" s="11"/>
    </row>
    <row r="25" spans="1:22" ht="20.100000000000001" customHeight="1" x14ac:dyDescent="0.25">
      <c r="A25" s="155">
        <v>22</v>
      </c>
      <c r="B25" s="141"/>
      <c r="C25" s="145">
        <v>15</v>
      </c>
      <c r="D25" s="145" t="s">
        <v>20</v>
      </c>
      <c r="E25" s="107">
        <v>85</v>
      </c>
      <c r="F25" s="38">
        <v>79</v>
      </c>
      <c r="G25" s="38">
        <v>66</v>
      </c>
      <c r="H25" s="38">
        <v>59</v>
      </c>
      <c r="I25" s="38">
        <v>61</v>
      </c>
      <c r="J25" s="38">
        <v>76</v>
      </c>
      <c r="K25" s="38">
        <v>77</v>
      </c>
      <c r="L25" s="38">
        <v>69</v>
      </c>
      <c r="M25" s="38">
        <v>88</v>
      </c>
      <c r="N25" s="38">
        <v>79</v>
      </c>
      <c r="O25" s="38">
        <v>79</v>
      </c>
      <c r="P25" s="38">
        <v>83</v>
      </c>
      <c r="Q25" s="38">
        <v>70</v>
      </c>
      <c r="R25" s="11">
        <f t="shared" si="0"/>
        <v>971</v>
      </c>
      <c r="S25" s="25">
        <f t="shared" si="1"/>
        <v>74.692307692307693</v>
      </c>
      <c r="T25" s="11">
        <f t="shared" si="2"/>
        <v>30</v>
      </c>
      <c r="U25" s="11"/>
      <c r="V25" s="11"/>
    </row>
    <row r="26" spans="1:22" ht="20.100000000000001" customHeight="1" x14ac:dyDescent="0.25">
      <c r="A26" s="155">
        <v>23</v>
      </c>
      <c r="B26" s="141"/>
      <c r="C26" s="145">
        <v>16</v>
      </c>
      <c r="D26" s="145" t="s">
        <v>23</v>
      </c>
      <c r="E26" s="107">
        <v>69</v>
      </c>
      <c r="F26" s="38">
        <v>63</v>
      </c>
      <c r="G26" s="38">
        <v>69</v>
      </c>
      <c r="H26" s="38">
        <v>36</v>
      </c>
      <c r="I26" s="38">
        <v>39</v>
      </c>
      <c r="J26" s="38">
        <v>59</v>
      </c>
      <c r="K26" s="38">
        <v>46</v>
      </c>
      <c r="L26" s="38">
        <v>52</v>
      </c>
      <c r="M26" s="38">
        <v>61</v>
      </c>
      <c r="N26" s="38">
        <v>60</v>
      </c>
      <c r="O26" s="38">
        <v>66</v>
      </c>
      <c r="P26" s="38">
        <v>81</v>
      </c>
      <c r="Q26" s="38">
        <v>62</v>
      </c>
      <c r="R26" s="11">
        <f t="shared" si="0"/>
        <v>763</v>
      </c>
      <c r="S26" s="25">
        <f t="shared" si="1"/>
        <v>58.692307692307693</v>
      </c>
      <c r="T26" s="11">
        <f t="shared" si="2"/>
        <v>53</v>
      </c>
      <c r="U26" s="11"/>
      <c r="V26" s="11"/>
    </row>
    <row r="27" spans="1:22" ht="20.100000000000001" customHeight="1" x14ac:dyDescent="0.25">
      <c r="A27" s="156">
        <v>24</v>
      </c>
      <c r="B27" s="141"/>
      <c r="C27" s="145">
        <v>16</v>
      </c>
      <c r="D27" s="145" t="s">
        <v>23</v>
      </c>
      <c r="E27" s="107">
        <v>84</v>
      </c>
      <c r="F27" s="38">
        <v>60</v>
      </c>
      <c r="G27" s="38">
        <v>82</v>
      </c>
      <c r="H27" s="38">
        <v>69</v>
      </c>
      <c r="I27" s="38">
        <v>61</v>
      </c>
      <c r="J27" s="38">
        <v>78</v>
      </c>
      <c r="K27" s="38">
        <v>79</v>
      </c>
      <c r="L27" s="38">
        <v>83</v>
      </c>
      <c r="M27" s="38">
        <v>78</v>
      </c>
      <c r="N27" s="38">
        <v>80</v>
      </c>
      <c r="O27" s="38">
        <v>78</v>
      </c>
      <c r="P27" s="38">
        <v>88</v>
      </c>
      <c r="Q27" s="38">
        <v>84</v>
      </c>
      <c r="R27" s="11">
        <f t="shared" si="0"/>
        <v>1004</v>
      </c>
      <c r="S27" s="25">
        <f t="shared" si="1"/>
        <v>77.230769230769226</v>
      </c>
      <c r="T27" s="11">
        <f t="shared" si="2"/>
        <v>22</v>
      </c>
      <c r="U27" s="11"/>
      <c r="V27" s="11"/>
    </row>
    <row r="28" spans="1:22" ht="20.100000000000001" customHeight="1" x14ac:dyDescent="0.25">
      <c r="A28" s="155">
        <v>25</v>
      </c>
      <c r="B28" s="141"/>
      <c r="C28" s="145">
        <v>16</v>
      </c>
      <c r="D28" s="145" t="s">
        <v>23</v>
      </c>
      <c r="E28" s="107">
        <v>81</v>
      </c>
      <c r="F28" s="38">
        <v>62</v>
      </c>
      <c r="G28" s="38">
        <v>65</v>
      </c>
      <c r="H28" s="38">
        <v>75</v>
      </c>
      <c r="I28" s="38">
        <v>51</v>
      </c>
      <c r="J28" s="38">
        <v>65</v>
      </c>
      <c r="K28" s="38">
        <v>77</v>
      </c>
      <c r="L28" s="38">
        <v>67</v>
      </c>
      <c r="M28" s="38">
        <v>68</v>
      </c>
      <c r="N28" s="38">
        <v>75</v>
      </c>
      <c r="O28" s="38">
        <v>69</v>
      </c>
      <c r="P28" s="38">
        <v>81</v>
      </c>
      <c r="Q28" s="38">
        <v>69</v>
      </c>
      <c r="R28" s="11">
        <f t="shared" si="0"/>
        <v>905</v>
      </c>
      <c r="S28" s="25">
        <f t="shared" si="1"/>
        <v>69.615384615384613</v>
      </c>
      <c r="T28" s="11">
        <f t="shared" si="2"/>
        <v>38</v>
      </c>
      <c r="U28" s="11"/>
      <c r="V28" s="11"/>
    </row>
    <row r="29" spans="1:22" ht="20.100000000000001" customHeight="1" x14ac:dyDescent="0.25">
      <c r="A29" s="156">
        <v>26</v>
      </c>
      <c r="B29" s="141"/>
      <c r="C29" s="145">
        <v>15</v>
      </c>
      <c r="D29" s="145" t="s">
        <v>23</v>
      </c>
      <c r="E29" s="107">
        <v>79</v>
      </c>
      <c r="F29" s="38">
        <v>75</v>
      </c>
      <c r="G29" s="38">
        <v>46</v>
      </c>
      <c r="H29" s="38">
        <v>62</v>
      </c>
      <c r="I29" s="38">
        <v>43</v>
      </c>
      <c r="J29" s="38">
        <v>57</v>
      </c>
      <c r="K29" s="38">
        <v>67</v>
      </c>
      <c r="L29" s="38">
        <v>51</v>
      </c>
      <c r="M29" s="38">
        <v>84</v>
      </c>
      <c r="N29" s="38">
        <v>71</v>
      </c>
      <c r="O29" s="38">
        <v>82</v>
      </c>
      <c r="P29" s="38">
        <v>94</v>
      </c>
      <c r="Q29" s="38">
        <v>75</v>
      </c>
      <c r="R29" s="11">
        <f t="shared" si="0"/>
        <v>886</v>
      </c>
      <c r="S29" s="25">
        <f t="shared" si="1"/>
        <v>68.15384615384616</v>
      </c>
      <c r="T29" s="11">
        <f t="shared" si="2"/>
        <v>40</v>
      </c>
      <c r="U29" s="11"/>
      <c r="V29" s="11"/>
    </row>
    <row r="30" spans="1:22" ht="20.100000000000001" customHeight="1" x14ac:dyDescent="0.25">
      <c r="A30" s="156">
        <v>27</v>
      </c>
      <c r="B30" s="141"/>
      <c r="C30" s="145">
        <v>14</v>
      </c>
      <c r="D30" s="145" t="s">
        <v>20</v>
      </c>
      <c r="E30" s="107">
        <v>79</v>
      </c>
      <c r="F30" s="38">
        <v>90</v>
      </c>
      <c r="G30" s="38">
        <v>64</v>
      </c>
      <c r="H30" s="38">
        <v>64</v>
      </c>
      <c r="I30" s="38">
        <v>57</v>
      </c>
      <c r="J30" s="38">
        <v>69</v>
      </c>
      <c r="K30" s="38">
        <v>79</v>
      </c>
      <c r="L30" s="38">
        <v>70</v>
      </c>
      <c r="M30" s="38">
        <v>89</v>
      </c>
      <c r="N30" s="38">
        <v>87</v>
      </c>
      <c r="O30" s="38">
        <v>84</v>
      </c>
      <c r="P30" s="38">
        <v>88</v>
      </c>
      <c r="Q30" s="38">
        <v>73</v>
      </c>
      <c r="R30" s="11">
        <f t="shared" si="0"/>
        <v>993</v>
      </c>
      <c r="S30" s="25">
        <f t="shared" si="1"/>
        <v>76.384615384615387</v>
      </c>
      <c r="T30" s="11">
        <f t="shared" si="2"/>
        <v>24</v>
      </c>
      <c r="U30" s="11"/>
      <c r="V30" s="11"/>
    </row>
    <row r="31" spans="1:22" ht="20.100000000000001" customHeight="1" x14ac:dyDescent="0.25">
      <c r="A31" s="156">
        <v>28</v>
      </c>
      <c r="B31" s="141"/>
      <c r="C31" s="145">
        <v>15</v>
      </c>
      <c r="D31" s="145" t="s">
        <v>23</v>
      </c>
      <c r="E31" s="107">
        <v>86</v>
      </c>
      <c r="F31" s="38">
        <v>70</v>
      </c>
      <c r="G31" s="38">
        <v>91</v>
      </c>
      <c r="H31" s="38">
        <v>75</v>
      </c>
      <c r="I31" s="38">
        <v>74</v>
      </c>
      <c r="J31" s="38">
        <v>90</v>
      </c>
      <c r="K31" s="38">
        <v>78</v>
      </c>
      <c r="L31" s="38">
        <v>73</v>
      </c>
      <c r="M31" s="38">
        <v>82</v>
      </c>
      <c r="N31" s="38">
        <v>91</v>
      </c>
      <c r="O31" s="38">
        <v>77</v>
      </c>
      <c r="P31" s="38">
        <v>91</v>
      </c>
      <c r="Q31" s="38">
        <v>87</v>
      </c>
      <c r="R31" s="11">
        <f t="shared" si="0"/>
        <v>1065</v>
      </c>
      <c r="S31" s="25">
        <f t="shared" si="1"/>
        <v>81.92307692307692</v>
      </c>
      <c r="T31" s="11">
        <f t="shared" si="2"/>
        <v>14</v>
      </c>
      <c r="U31" s="11"/>
      <c r="V31" s="11"/>
    </row>
    <row r="32" spans="1:22" ht="20.100000000000001" customHeight="1" x14ac:dyDescent="0.25">
      <c r="A32" s="155">
        <v>29</v>
      </c>
      <c r="B32" s="141"/>
      <c r="C32" s="145">
        <v>16</v>
      </c>
      <c r="D32" s="145" t="s">
        <v>20</v>
      </c>
      <c r="E32" s="107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11">
        <f t="shared" si="0"/>
        <v>0</v>
      </c>
      <c r="S32" s="25">
        <v>0</v>
      </c>
      <c r="T32" s="11">
        <f t="shared" si="2"/>
        <v>56</v>
      </c>
      <c r="U32" s="11"/>
      <c r="V32" s="11"/>
    </row>
    <row r="33" spans="1:22" ht="20.100000000000001" customHeight="1" x14ac:dyDescent="0.25">
      <c r="A33" s="156">
        <v>30</v>
      </c>
      <c r="B33" s="142"/>
      <c r="C33" s="148">
        <v>15</v>
      </c>
      <c r="D33" s="148" t="s">
        <v>23</v>
      </c>
      <c r="E33" s="107">
        <v>74</v>
      </c>
      <c r="F33" s="38">
        <v>56</v>
      </c>
      <c r="G33" s="38">
        <v>51</v>
      </c>
      <c r="H33" s="38">
        <v>42</v>
      </c>
      <c r="I33" s="38">
        <v>49</v>
      </c>
      <c r="J33" s="38">
        <v>60</v>
      </c>
      <c r="K33" s="38">
        <v>64</v>
      </c>
      <c r="L33" s="38">
        <v>60</v>
      </c>
      <c r="M33" s="38">
        <v>57</v>
      </c>
      <c r="N33" s="38">
        <v>62</v>
      </c>
      <c r="O33" s="38">
        <v>58</v>
      </c>
      <c r="P33" s="38">
        <v>79</v>
      </c>
      <c r="Q33" s="38">
        <v>59</v>
      </c>
      <c r="R33" s="11">
        <f t="shared" si="0"/>
        <v>771</v>
      </c>
      <c r="S33" s="25">
        <f t="shared" si="1"/>
        <v>59.307692307692307</v>
      </c>
      <c r="T33" s="11">
        <f t="shared" si="2"/>
        <v>51</v>
      </c>
      <c r="U33" s="11"/>
      <c r="V33" s="11"/>
    </row>
    <row r="34" spans="1:22" ht="20.100000000000001" customHeight="1" x14ac:dyDescent="0.25">
      <c r="A34" s="155">
        <v>31</v>
      </c>
      <c r="B34" s="141"/>
      <c r="C34" s="145">
        <v>16</v>
      </c>
      <c r="D34" s="145" t="s">
        <v>20</v>
      </c>
      <c r="E34" s="107">
        <v>88</v>
      </c>
      <c r="F34" s="38">
        <v>80</v>
      </c>
      <c r="G34" s="38">
        <v>66</v>
      </c>
      <c r="H34" s="38">
        <v>60</v>
      </c>
      <c r="I34" s="38">
        <v>54</v>
      </c>
      <c r="J34" s="38">
        <v>84</v>
      </c>
      <c r="K34" s="38">
        <v>64</v>
      </c>
      <c r="L34" s="38">
        <v>70</v>
      </c>
      <c r="M34" s="38">
        <v>85</v>
      </c>
      <c r="N34" s="38">
        <v>88</v>
      </c>
      <c r="O34" s="38">
        <v>85</v>
      </c>
      <c r="P34" s="38">
        <v>92</v>
      </c>
      <c r="Q34" s="38">
        <v>77</v>
      </c>
      <c r="R34" s="11">
        <f t="shared" si="0"/>
        <v>993</v>
      </c>
      <c r="S34" s="25">
        <f t="shared" si="1"/>
        <v>76.384615384615387</v>
      </c>
      <c r="T34" s="11">
        <f t="shared" si="2"/>
        <v>24</v>
      </c>
      <c r="U34" s="11"/>
      <c r="V34" s="11"/>
    </row>
    <row r="35" spans="1:22" ht="20.100000000000001" customHeight="1" x14ac:dyDescent="0.25">
      <c r="A35" s="155">
        <v>32</v>
      </c>
      <c r="B35" s="141"/>
      <c r="C35" s="145">
        <v>15</v>
      </c>
      <c r="D35" s="145" t="s">
        <v>23</v>
      </c>
      <c r="E35" s="107">
        <v>89</v>
      </c>
      <c r="F35" s="38">
        <v>84</v>
      </c>
      <c r="G35" s="38">
        <v>90</v>
      </c>
      <c r="H35" s="38">
        <v>89</v>
      </c>
      <c r="I35" s="38">
        <v>80</v>
      </c>
      <c r="J35" s="38">
        <v>93</v>
      </c>
      <c r="K35" s="38">
        <v>91</v>
      </c>
      <c r="L35" s="38">
        <v>95</v>
      </c>
      <c r="M35" s="38">
        <v>95</v>
      </c>
      <c r="N35" s="38">
        <v>98</v>
      </c>
      <c r="O35" s="38">
        <v>92</v>
      </c>
      <c r="P35" s="38">
        <v>94</v>
      </c>
      <c r="Q35" s="38">
        <v>85</v>
      </c>
      <c r="R35" s="11">
        <f t="shared" si="0"/>
        <v>1175</v>
      </c>
      <c r="S35" s="25">
        <f t="shared" si="1"/>
        <v>90.384615384615387</v>
      </c>
      <c r="T35" s="11">
        <f t="shared" si="2"/>
        <v>5</v>
      </c>
      <c r="U35" s="11"/>
      <c r="V35" s="11"/>
    </row>
    <row r="36" spans="1:22" ht="20.100000000000001" customHeight="1" x14ac:dyDescent="0.25">
      <c r="A36" s="155">
        <v>33</v>
      </c>
      <c r="B36" s="141"/>
      <c r="C36" s="145">
        <v>15</v>
      </c>
      <c r="D36" s="145" t="s">
        <v>23</v>
      </c>
      <c r="E36" s="107">
        <v>90</v>
      </c>
      <c r="F36" s="38">
        <v>86</v>
      </c>
      <c r="G36" s="38">
        <v>89</v>
      </c>
      <c r="H36" s="38">
        <v>87</v>
      </c>
      <c r="I36" s="38">
        <v>89</v>
      </c>
      <c r="J36" s="38">
        <v>97</v>
      </c>
      <c r="K36" s="38">
        <v>93</v>
      </c>
      <c r="L36" s="38">
        <v>97</v>
      </c>
      <c r="M36" s="38">
        <v>98</v>
      </c>
      <c r="N36" s="38">
        <v>96</v>
      </c>
      <c r="O36" s="38">
        <v>91</v>
      </c>
      <c r="P36" s="38">
        <v>99</v>
      </c>
      <c r="Q36" s="38">
        <v>96</v>
      </c>
      <c r="R36" s="11">
        <f t="shared" si="0"/>
        <v>1208</v>
      </c>
      <c r="S36" s="25">
        <f t="shared" si="1"/>
        <v>92.92307692307692</v>
      </c>
      <c r="T36" s="11">
        <f t="shared" si="2"/>
        <v>2</v>
      </c>
      <c r="U36" s="11"/>
      <c r="V36" s="11"/>
    </row>
    <row r="37" spans="1:22" ht="20.100000000000001" customHeight="1" x14ac:dyDescent="0.25">
      <c r="A37" s="156">
        <v>34</v>
      </c>
      <c r="B37" s="141"/>
      <c r="C37" s="145">
        <v>15</v>
      </c>
      <c r="D37" s="145" t="s">
        <v>20</v>
      </c>
      <c r="E37" s="107">
        <v>82</v>
      </c>
      <c r="F37" s="38">
        <v>86</v>
      </c>
      <c r="G37" s="38">
        <v>75</v>
      </c>
      <c r="H37" s="38">
        <v>70</v>
      </c>
      <c r="I37" s="38">
        <v>60</v>
      </c>
      <c r="J37" s="38">
        <v>69</v>
      </c>
      <c r="K37" s="38">
        <v>74</v>
      </c>
      <c r="L37" s="38">
        <v>70</v>
      </c>
      <c r="M37" s="38">
        <v>78</v>
      </c>
      <c r="N37" s="38">
        <v>82</v>
      </c>
      <c r="O37" s="38">
        <v>86</v>
      </c>
      <c r="P37" s="38">
        <v>88</v>
      </c>
      <c r="Q37" s="38">
        <v>63</v>
      </c>
      <c r="R37" s="11">
        <f t="shared" si="0"/>
        <v>983</v>
      </c>
      <c r="S37" s="25">
        <f t="shared" si="1"/>
        <v>75.615384615384613</v>
      </c>
      <c r="T37" s="11">
        <f t="shared" si="2"/>
        <v>26</v>
      </c>
      <c r="U37" s="11"/>
      <c r="V37" s="11"/>
    </row>
    <row r="38" spans="1:22" ht="20.100000000000001" customHeight="1" x14ac:dyDescent="0.25">
      <c r="A38" s="156">
        <v>35</v>
      </c>
      <c r="B38" s="141"/>
      <c r="C38" s="145">
        <v>16</v>
      </c>
      <c r="D38" s="145" t="s">
        <v>23</v>
      </c>
      <c r="E38" s="107">
        <v>85</v>
      </c>
      <c r="F38" s="38">
        <v>59</v>
      </c>
      <c r="G38" s="38">
        <v>69</v>
      </c>
      <c r="H38" s="38">
        <v>65</v>
      </c>
      <c r="I38" s="38">
        <v>54</v>
      </c>
      <c r="J38" s="38">
        <v>69</v>
      </c>
      <c r="K38" s="38">
        <v>87</v>
      </c>
      <c r="L38" s="38">
        <v>68</v>
      </c>
      <c r="M38" s="38">
        <v>70</v>
      </c>
      <c r="N38" s="38">
        <v>77</v>
      </c>
      <c r="O38" s="38">
        <v>79</v>
      </c>
      <c r="P38" s="38">
        <v>80</v>
      </c>
      <c r="Q38" s="38">
        <v>89</v>
      </c>
      <c r="R38" s="11">
        <f t="shared" si="0"/>
        <v>951</v>
      </c>
      <c r="S38" s="25">
        <f t="shared" si="1"/>
        <v>73.15384615384616</v>
      </c>
      <c r="T38" s="11">
        <f t="shared" si="2"/>
        <v>35</v>
      </c>
      <c r="U38" s="11"/>
      <c r="V38" s="11"/>
    </row>
    <row r="39" spans="1:22" ht="20.100000000000001" customHeight="1" x14ac:dyDescent="0.25">
      <c r="A39" s="156">
        <v>36</v>
      </c>
      <c r="B39" s="141"/>
      <c r="C39" s="145">
        <v>16</v>
      </c>
      <c r="D39" s="145" t="s">
        <v>23</v>
      </c>
      <c r="E39" s="107">
        <v>82</v>
      </c>
      <c r="F39" s="38">
        <v>84</v>
      </c>
      <c r="G39" s="38">
        <v>76</v>
      </c>
      <c r="H39" s="38">
        <v>63</v>
      </c>
      <c r="I39" s="38">
        <v>58</v>
      </c>
      <c r="J39" s="38">
        <v>88</v>
      </c>
      <c r="K39" s="38">
        <v>86</v>
      </c>
      <c r="L39" s="38">
        <v>79</v>
      </c>
      <c r="M39" s="38">
        <v>91</v>
      </c>
      <c r="N39" s="38">
        <v>84</v>
      </c>
      <c r="O39" s="38">
        <v>84</v>
      </c>
      <c r="P39" s="38">
        <v>90</v>
      </c>
      <c r="Q39" s="38">
        <v>87</v>
      </c>
      <c r="R39" s="11">
        <f t="shared" si="0"/>
        <v>1052</v>
      </c>
      <c r="S39" s="25">
        <f t="shared" si="1"/>
        <v>80.92307692307692</v>
      </c>
      <c r="T39" s="11">
        <f t="shared" si="2"/>
        <v>16</v>
      </c>
      <c r="U39" s="11"/>
      <c r="V39" s="11"/>
    </row>
    <row r="40" spans="1:22" ht="20.100000000000001" customHeight="1" x14ac:dyDescent="0.25">
      <c r="A40" s="155">
        <v>37</v>
      </c>
      <c r="B40" s="141"/>
      <c r="C40" s="145">
        <v>16</v>
      </c>
      <c r="D40" s="145" t="s">
        <v>20</v>
      </c>
      <c r="E40" s="107">
        <v>77</v>
      </c>
      <c r="F40" s="38">
        <v>75</v>
      </c>
      <c r="G40" s="38">
        <v>76</v>
      </c>
      <c r="H40" s="38">
        <v>69</v>
      </c>
      <c r="I40" s="38">
        <v>57</v>
      </c>
      <c r="J40" s="38">
        <v>78</v>
      </c>
      <c r="K40" s="38">
        <v>72</v>
      </c>
      <c r="L40" s="38">
        <v>65</v>
      </c>
      <c r="M40" s="38">
        <v>77</v>
      </c>
      <c r="N40" s="38">
        <v>80</v>
      </c>
      <c r="O40" s="38">
        <v>77</v>
      </c>
      <c r="P40" s="38">
        <v>81</v>
      </c>
      <c r="Q40" s="38">
        <v>73</v>
      </c>
      <c r="R40" s="11">
        <f t="shared" si="0"/>
        <v>957</v>
      </c>
      <c r="S40" s="25">
        <f t="shared" si="1"/>
        <v>73.615384615384613</v>
      </c>
      <c r="T40" s="11">
        <f t="shared" si="2"/>
        <v>34</v>
      </c>
      <c r="U40" s="11"/>
      <c r="V40" s="11"/>
    </row>
    <row r="41" spans="1:22" ht="20.100000000000001" customHeight="1" x14ac:dyDescent="0.25">
      <c r="A41" s="155">
        <v>38</v>
      </c>
      <c r="B41" s="141"/>
      <c r="C41" s="145">
        <v>16</v>
      </c>
      <c r="D41" s="145" t="s">
        <v>20</v>
      </c>
      <c r="E41" s="107">
        <v>69</v>
      </c>
      <c r="F41" s="38">
        <v>72</v>
      </c>
      <c r="G41" s="38">
        <v>86</v>
      </c>
      <c r="H41" s="38">
        <v>87</v>
      </c>
      <c r="I41" s="38">
        <v>80</v>
      </c>
      <c r="J41" s="38">
        <v>89</v>
      </c>
      <c r="K41" s="38">
        <v>90</v>
      </c>
      <c r="L41" s="38">
        <v>88</v>
      </c>
      <c r="M41" s="38">
        <v>86</v>
      </c>
      <c r="N41" s="38">
        <v>89</v>
      </c>
      <c r="O41" s="38">
        <v>88</v>
      </c>
      <c r="P41" s="38">
        <v>99</v>
      </c>
      <c r="Q41" s="38">
        <v>86</v>
      </c>
      <c r="R41" s="11">
        <f t="shared" si="0"/>
        <v>1109</v>
      </c>
      <c r="S41" s="25">
        <f t="shared" si="1"/>
        <v>85.307692307692307</v>
      </c>
      <c r="T41" s="11">
        <f t="shared" si="2"/>
        <v>10</v>
      </c>
      <c r="U41" s="11"/>
      <c r="V41" s="11"/>
    </row>
    <row r="42" spans="1:22" ht="20.100000000000001" customHeight="1" x14ac:dyDescent="0.25">
      <c r="A42" s="156">
        <v>39</v>
      </c>
      <c r="B42" s="141"/>
      <c r="C42" s="145">
        <v>16</v>
      </c>
      <c r="D42" s="145" t="s">
        <v>20</v>
      </c>
      <c r="E42" s="107">
        <v>82</v>
      </c>
      <c r="F42" s="38">
        <v>86</v>
      </c>
      <c r="G42" s="38">
        <v>86</v>
      </c>
      <c r="H42" s="38">
        <v>83</v>
      </c>
      <c r="I42" s="38">
        <v>79</v>
      </c>
      <c r="J42" s="38">
        <v>88</v>
      </c>
      <c r="K42" s="38">
        <v>81</v>
      </c>
      <c r="L42" s="38">
        <v>79</v>
      </c>
      <c r="M42" s="38">
        <v>88</v>
      </c>
      <c r="N42" s="38">
        <v>88</v>
      </c>
      <c r="O42" s="38">
        <v>76</v>
      </c>
      <c r="P42" s="38">
        <v>90</v>
      </c>
      <c r="Q42" s="38">
        <v>81</v>
      </c>
      <c r="R42" s="11">
        <f t="shared" si="0"/>
        <v>1087</v>
      </c>
      <c r="S42" s="25">
        <f t="shared" si="1"/>
        <v>83.615384615384613</v>
      </c>
      <c r="T42" s="11">
        <f t="shared" si="2"/>
        <v>11</v>
      </c>
      <c r="U42" s="11"/>
      <c r="V42" s="11"/>
    </row>
    <row r="43" spans="1:22" ht="20.100000000000001" customHeight="1" x14ac:dyDescent="0.25">
      <c r="A43" s="155">
        <v>40</v>
      </c>
      <c r="B43" s="141"/>
      <c r="C43" s="145">
        <v>15</v>
      </c>
      <c r="D43" s="145" t="s">
        <v>20</v>
      </c>
      <c r="E43" s="107">
        <v>79</v>
      </c>
      <c r="F43" s="38">
        <v>59</v>
      </c>
      <c r="G43" s="38">
        <v>90</v>
      </c>
      <c r="H43" s="38">
        <v>84</v>
      </c>
      <c r="I43" s="38">
        <v>61</v>
      </c>
      <c r="J43" s="38">
        <v>83</v>
      </c>
      <c r="K43" s="38">
        <v>59</v>
      </c>
      <c r="L43" s="38">
        <v>73</v>
      </c>
      <c r="M43" s="38">
        <v>66</v>
      </c>
      <c r="N43" s="38">
        <v>83</v>
      </c>
      <c r="O43" s="38">
        <v>68</v>
      </c>
      <c r="P43" s="38">
        <v>97</v>
      </c>
      <c r="Q43" s="38">
        <v>74</v>
      </c>
      <c r="R43" s="11">
        <f t="shared" si="0"/>
        <v>976</v>
      </c>
      <c r="S43" s="25">
        <f t="shared" si="1"/>
        <v>75.07692307692308</v>
      </c>
      <c r="T43" s="11">
        <f t="shared" si="2"/>
        <v>27</v>
      </c>
      <c r="U43" s="11"/>
      <c r="V43" s="11"/>
    </row>
    <row r="44" spans="1:22" ht="20.100000000000001" customHeight="1" x14ac:dyDescent="0.25">
      <c r="A44" s="156">
        <v>41</v>
      </c>
      <c r="B44" s="141"/>
      <c r="C44" s="145">
        <v>15</v>
      </c>
      <c r="D44" s="145" t="s">
        <v>20</v>
      </c>
      <c r="E44" s="107">
        <v>79</v>
      </c>
      <c r="F44" s="38">
        <v>62</v>
      </c>
      <c r="G44" s="38">
        <v>97</v>
      </c>
      <c r="H44" s="38">
        <v>88</v>
      </c>
      <c r="I44" s="38">
        <v>69</v>
      </c>
      <c r="J44" s="38">
        <v>68</v>
      </c>
      <c r="K44" s="38">
        <v>67</v>
      </c>
      <c r="L44" s="38">
        <v>66</v>
      </c>
      <c r="M44" s="38">
        <v>66</v>
      </c>
      <c r="N44" s="38">
        <v>87</v>
      </c>
      <c r="O44" s="38">
        <v>61</v>
      </c>
      <c r="P44" s="38">
        <v>87</v>
      </c>
      <c r="Q44" s="38">
        <v>70</v>
      </c>
      <c r="R44" s="11">
        <f t="shared" si="0"/>
        <v>967</v>
      </c>
      <c r="S44" s="25">
        <f t="shared" si="1"/>
        <v>74.384615384615387</v>
      </c>
      <c r="T44" s="11">
        <f t="shared" si="2"/>
        <v>33</v>
      </c>
      <c r="U44" s="11"/>
      <c r="V44" s="11"/>
    </row>
    <row r="45" spans="1:22" ht="20.100000000000001" customHeight="1" x14ac:dyDescent="0.25">
      <c r="A45" s="156">
        <v>42</v>
      </c>
      <c r="B45" s="141"/>
      <c r="C45" s="145">
        <v>16</v>
      </c>
      <c r="D45" s="145" t="s">
        <v>23</v>
      </c>
      <c r="E45" s="107">
        <v>88</v>
      </c>
      <c r="F45" s="38">
        <v>85</v>
      </c>
      <c r="G45" s="38">
        <v>90</v>
      </c>
      <c r="H45" s="38">
        <v>98</v>
      </c>
      <c r="I45" s="38">
        <v>78</v>
      </c>
      <c r="J45" s="38">
        <v>91</v>
      </c>
      <c r="K45" s="38">
        <v>87</v>
      </c>
      <c r="L45" s="38">
        <v>89</v>
      </c>
      <c r="M45" s="38">
        <v>89</v>
      </c>
      <c r="N45" s="38">
        <v>88</v>
      </c>
      <c r="O45" s="38">
        <v>87</v>
      </c>
      <c r="P45" s="38">
        <v>95</v>
      </c>
      <c r="Q45" s="38">
        <v>80</v>
      </c>
      <c r="R45" s="11">
        <f t="shared" si="0"/>
        <v>1145</v>
      </c>
      <c r="S45" s="25">
        <f t="shared" si="1"/>
        <v>88.07692307692308</v>
      </c>
      <c r="T45" s="11">
        <f t="shared" si="2"/>
        <v>8</v>
      </c>
      <c r="U45" s="11"/>
      <c r="V45" s="11"/>
    </row>
    <row r="46" spans="1:22" ht="20.100000000000001" customHeight="1" x14ac:dyDescent="0.25">
      <c r="A46" s="156">
        <v>43</v>
      </c>
      <c r="B46" s="141"/>
      <c r="C46" s="145">
        <v>15</v>
      </c>
      <c r="D46" s="145" t="s">
        <v>20</v>
      </c>
      <c r="E46" s="107">
        <v>84</v>
      </c>
      <c r="F46" s="38">
        <v>75</v>
      </c>
      <c r="G46" s="38">
        <v>86</v>
      </c>
      <c r="H46" s="38">
        <v>76</v>
      </c>
      <c r="I46" s="38">
        <v>60</v>
      </c>
      <c r="J46" s="38">
        <v>70</v>
      </c>
      <c r="K46" s="38">
        <v>81</v>
      </c>
      <c r="L46" s="38">
        <v>64</v>
      </c>
      <c r="M46" s="38">
        <v>81</v>
      </c>
      <c r="N46" s="38">
        <v>81</v>
      </c>
      <c r="O46" s="38">
        <v>78</v>
      </c>
      <c r="P46" s="38">
        <v>90</v>
      </c>
      <c r="Q46" s="38">
        <v>75</v>
      </c>
      <c r="R46" s="11">
        <f t="shared" si="0"/>
        <v>1001</v>
      </c>
      <c r="S46" s="25">
        <f t="shared" si="1"/>
        <v>77</v>
      </c>
      <c r="T46" s="11">
        <f t="shared" si="2"/>
        <v>23</v>
      </c>
      <c r="U46" s="11"/>
      <c r="V46" s="11"/>
    </row>
    <row r="47" spans="1:22" ht="20.100000000000001" customHeight="1" x14ac:dyDescent="0.25">
      <c r="A47" s="155">
        <v>44</v>
      </c>
      <c r="B47" s="141"/>
      <c r="C47" s="145">
        <v>15</v>
      </c>
      <c r="D47" s="145" t="s">
        <v>23</v>
      </c>
      <c r="E47" s="107">
        <v>90</v>
      </c>
      <c r="F47" s="38">
        <v>79</v>
      </c>
      <c r="G47" s="38">
        <v>90</v>
      </c>
      <c r="H47" s="38">
        <v>87</v>
      </c>
      <c r="I47" s="38">
        <v>82</v>
      </c>
      <c r="J47" s="38">
        <v>91</v>
      </c>
      <c r="K47" s="38">
        <v>89</v>
      </c>
      <c r="L47" s="38">
        <v>87</v>
      </c>
      <c r="M47" s="38">
        <v>90</v>
      </c>
      <c r="N47" s="38">
        <v>93</v>
      </c>
      <c r="O47" s="38">
        <v>92</v>
      </c>
      <c r="P47" s="38">
        <v>93</v>
      </c>
      <c r="Q47" s="38">
        <v>84</v>
      </c>
      <c r="R47" s="11">
        <f t="shared" si="0"/>
        <v>1147</v>
      </c>
      <c r="S47" s="25">
        <f t="shared" si="1"/>
        <v>88.230769230769226</v>
      </c>
      <c r="T47" s="11">
        <f t="shared" si="2"/>
        <v>7</v>
      </c>
      <c r="U47" s="11"/>
      <c r="V47" s="11"/>
    </row>
    <row r="48" spans="1:22" ht="20.100000000000001" customHeight="1" x14ac:dyDescent="0.25">
      <c r="A48" s="156">
        <v>45</v>
      </c>
      <c r="B48" s="141"/>
      <c r="C48" s="145">
        <v>15</v>
      </c>
      <c r="D48" s="145" t="s">
        <v>23</v>
      </c>
      <c r="E48" s="107">
        <v>71</v>
      </c>
      <c r="F48" s="38">
        <v>69</v>
      </c>
      <c r="G48" s="38">
        <v>40</v>
      </c>
      <c r="H48" s="38">
        <v>37</v>
      </c>
      <c r="I48" s="38">
        <v>40</v>
      </c>
      <c r="J48" s="38">
        <v>43</v>
      </c>
      <c r="K48" s="38">
        <v>50</v>
      </c>
      <c r="L48" s="38">
        <v>43</v>
      </c>
      <c r="M48" s="38">
        <v>60</v>
      </c>
      <c r="N48" s="38">
        <v>76</v>
      </c>
      <c r="O48" s="38">
        <v>56</v>
      </c>
      <c r="P48" s="38">
        <v>74</v>
      </c>
      <c r="Q48" s="38">
        <v>55</v>
      </c>
      <c r="R48" s="11">
        <f t="shared" si="0"/>
        <v>714</v>
      </c>
      <c r="S48" s="25">
        <f t="shared" si="1"/>
        <v>54.92307692307692</v>
      </c>
      <c r="T48" s="11">
        <f t="shared" si="2"/>
        <v>54</v>
      </c>
      <c r="U48" s="11"/>
      <c r="V48" s="11"/>
    </row>
    <row r="49" spans="1:22" ht="20.100000000000001" customHeight="1" x14ac:dyDescent="0.25">
      <c r="A49" s="155">
        <v>46</v>
      </c>
      <c r="B49" s="141"/>
      <c r="C49" s="145">
        <v>15</v>
      </c>
      <c r="D49" s="145" t="s">
        <v>23</v>
      </c>
      <c r="E49" s="107">
        <v>67</v>
      </c>
      <c r="F49" s="38">
        <v>65</v>
      </c>
      <c r="G49" s="38">
        <v>67</v>
      </c>
      <c r="H49" s="38">
        <v>55</v>
      </c>
      <c r="I49" s="38">
        <v>50</v>
      </c>
      <c r="J49" s="38">
        <v>63</v>
      </c>
      <c r="K49" s="38">
        <v>50</v>
      </c>
      <c r="L49" s="38">
        <v>58</v>
      </c>
      <c r="M49" s="38">
        <v>68</v>
      </c>
      <c r="N49" s="38">
        <v>68</v>
      </c>
      <c r="O49" s="38">
        <v>61</v>
      </c>
      <c r="P49" s="38">
        <v>83</v>
      </c>
      <c r="Q49" s="38">
        <v>74</v>
      </c>
      <c r="R49" s="11">
        <f t="shared" si="0"/>
        <v>829</v>
      </c>
      <c r="S49" s="25">
        <f t="shared" si="1"/>
        <v>63.769230769230766</v>
      </c>
      <c r="T49" s="11">
        <f t="shared" si="2"/>
        <v>48</v>
      </c>
      <c r="U49" s="11"/>
      <c r="V49" s="11"/>
    </row>
    <row r="50" spans="1:22" ht="20.100000000000001" customHeight="1" x14ac:dyDescent="0.25">
      <c r="A50" s="155">
        <v>47</v>
      </c>
      <c r="B50" s="141"/>
      <c r="C50" s="145">
        <v>14</v>
      </c>
      <c r="D50" s="145" t="s">
        <v>23</v>
      </c>
      <c r="E50" s="107">
        <v>73</v>
      </c>
      <c r="F50" s="38">
        <v>58</v>
      </c>
      <c r="G50" s="38">
        <v>56</v>
      </c>
      <c r="H50" s="38">
        <v>52</v>
      </c>
      <c r="I50" s="38">
        <v>46</v>
      </c>
      <c r="J50" s="38">
        <v>55</v>
      </c>
      <c r="K50" s="38">
        <v>68</v>
      </c>
      <c r="L50" s="38">
        <v>59</v>
      </c>
      <c r="M50" s="38">
        <v>67</v>
      </c>
      <c r="N50" s="38">
        <v>70</v>
      </c>
      <c r="O50" s="38">
        <v>63</v>
      </c>
      <c r="P50" s="38">
        <v>78</v>
      </c>
      <c r="Q50" s="38">
        <v>60</v>
      </c>
      <c r="R50" s="11">
        <f t="shared" si="0"/>
        <v>805</v>
      </c>
      <c r="S50" s="25">
        <f t="shared" si="1"/>
        <v>61.92307692307692</v>
      </c>
      <c r="T50" s="11">
        <f t="shared" si="2"/>
        <v>49</v>
      </c>
      <c r="U50" s="11"/>
      <c r="V50" s="11"/>
    </row>
    <row r="51" spans="1:22" ht="20.100000000000001" customHeight="1" x14ac:dyDescent="0.25">
      <c r="A51" s="155">
        <v>48</v>
      </c>
      <c r="B51" s="141"/>
      <c r="C51" s="145">
        <v>16</v>
      </c>
      <c r="D51" s="145" t="s">
        <v>23</v>
      </c>
      <c r="E51" s="107">
        <v>85</v>
      </c>
      <c r="F51" s="38">
        <v>80</v>
      </c>
      <c r="G51" s="38">
        <v>96</v>
      </c>
      <c r="H51" s="38">
        <v>92</v>
      </c>
      <c r="I51" s="38">
        <v>84</v>
      </c>
      <c r="J51" s="38">
        <v>91</v>
      </c>
      <c r="K51" s="38">
        <v>89</v>
      </c>
      <c r="L51" s="38">
        <v>97</v>
      </c>
      <c r="M51" s="38">
        <v>93</v>
      </c>
      <c r="N51" s="38">
        <v>87</v>
      </c>
      <c r="O51" s="38">
        <v>92</v>
      </c>
      <c r="P51" s="38">
        <v>99</v>
      </c>
      <c r="Q51" s="38">
        <v>87</v>
      </c>
      <c r="R51" s="11">
        <f t="shared" si="0"/>
        <v>1172</v>
      </c>
      <c r="S51" s="25">
        <f t="shared" si="1"/>
        <v>90.15384615384616</v>
      </c>
      <c r="T51" s="11">
        <f t="shared" si="2"/>
        <v>6</v>
      </c>
      <c r="U51" s="11"/>
      <c r="V51" s="11"/>
    </row>
    <row r="52" spans="1:22" ht="20.100000000000001" customHeight="1" x14ac:dyDescent="0.25">
      <c r="A52" s="156">
        <v>49</v>
      </c>
      <c r="B52" s="141"/>
      <c r="C52" s="145">
        <v>16</v>
      </c>
      <c r="D52" s="145" t="s">
        <v>20</v>
      </c>
      <c r="E52" s="107">
        <v>87</v>
      </c>
      <c r="F52" s="38">
        <v>68</v>
      </c>
      <c r="G52" s="38">
        <v>80</v>
      </c>
      <c r="H52" s="38">
        <v>67</v>
      </c>
      <c r="I52" s="38">
        <v>66</v>
      </c>
      <c r="J52" s="38">
        <v>83</v>
      </c>
      <c r="K52" s="38">
        <v>72</v>
      </c>
      <c r="L52" s="38">
        <v>71</v>
      </c>
      <c r="M52" s="38">
        <v>87</v>
      </c>
      <c r="N52" s="38">
        <v>85</v>
      </c>
      <c r="O52" s="38">
        <v>80</v>
      </c>
      <c r="P52" s="38">
        <v>93</v>
      </c>
      <c r="Q52" s="38">
        <v>94</v>
      </c>
      <c r="R52" s="11">
        <f t="shared" si="0"/>
        <v>1033</v>
      </c>
      <c r="S52" s="25">
        <f t="shared" si="1"/>
        <v>79.461538461538467</v>
      </c>
      <c r="T52" s="11">
        <f t="shared" si="2"/>
        <v>20</v>
      </c>
      <c r="U52" s="11"/>
      <c r="V52" s="11"/>
    </row>
    <row r="53" spans="1:22" ht="19.5" customHeight="1" x14ac:dyDescent="0.25">
      <c r="A53" s="170">
        <v>50</v>
      </c>
      <c r="B53" s="141"/>
      <c r="C53" s="145">
        <v>16</v>
      </c>
      <c r="D53" s="145" t="s">
        <v>20</v>
      </c>
      <c r="E53" s="108">
        <v>75</v>
      </c>
      <c r="F53" s="76">
        <v>80</v>
      </c>
      <c r="G53" s="76">
        <v>45</v>
      </c>
      <c r="H53" s="76">
        <v>38</v>
      </c>
      <c r="I53" s="76">
        <v>45</v>
      </c>
      <c r="J53" s="76">
        <v>47</v>
      </c>
      <c r="K53" s="76">
        <v>55</v>
      </c>
      <c r="L53" s="76">
        <v>39</v>
      </c>
      <c r="M53" s="76">
        <v>72</v>
      </c>
      <c r="N53" s="76">
        <v>76</v>
      </c>
      <c r="O53" s="76">
        <v>58</v>
      </c>
      <c r="P53" s="76">
        <v>82</v>
      </c>
      <c r="Q53" s="76">
        <v>54</v>
      </c>
      <c r="R53" s="11">
        <f t="shared" si="0"/>
        <v>766</v>
      </c>
      <c r="S53" s="25">
        <f t="shared" si="1"/>
        <v>58.92307692307692</v>
      </c>
      <c r="T53" s="11">
        <f t="shared" si="2"/>
        <v>52</v>
      </c>
      <c r="U53" s="76"/>
      <c r="V53" s="76"/>
    </row>
    <row r="54" spans="1:22" ht="19.5" customHeight="1" x14ac:dyDescent="0.25">
      <c r="A54" s="156">
        <v>51</v>
      </c>
      <c r="B54" s="141"/>
      <c r="C54" s="145">
        <v>15</v>
      </c>
      <c r="D54" s="145" t="s">
        <v>23</v>
      </c>
      <c r="E54" s="108">
        <v>79</v>
      </c>
      <c r="F54" s="76">
        <v>62</v>
      </c>
      <c r="G54" s="76">
        <v>66</v>
      </c>
      <c r="H54" s="76">
        <v>74</v>
      </c>
      <c r="I54" s="76">
        <v>57</v>
      </c>
      <c r="J54" s="76">
        <v>80</v>
      </c>
      <c r="K54" s="76">
        <v>76</v>
      </c>
      <c r="L54" s="76">
        <v>78</v>
      </c>
      <c r="M54" s="76">
        <v>77</v>
      </c>
      <c r="N54" s="76">
        <v>82</v>
      </c>
      <c r="O54" s="76">
        <v>76</v>
      </c>
      <c r="P54" s="76">
        <v>87</v>
      </c>
      <c r="Q54" s="76">
        <v>77</v>
      </c>
      <c r="R54" s="11">
        <f t="shared" si="0"/>
        <v>971</v>
      </c>
      <c r="S54" s="25">
        <f t="shared" si="1"/>
        <v>74.692307692307693</v>
      </c>
      <c r="T54" s="11">
        <f t="shared" si="2"/>
        <v>30</v>
      </c>
      <c r="U54" s="76"/>
      <c r="V54" s="76"/>
    </row>
    <row r="55" spans="1:22" ht="19.5" customHeight="1" x14ac:dyDescent="0.25">
      <c r="A55" s="170">
        <v>52</v>
      </c>
      <c r="B55" s="141"/>
      <c r="C55" s="145">
        <v>15</v>
      </c>
      <c r="D55" s="145" t="s">
        <v>23</v>
      </c>
      <c r="E55" s="108">
        <v>79</v>
      </c>
      <c r="F55" s="76">
        <v>71</v>
      </c>
      <c r="G55" s="76">
        <v>48</v>
      </c>
      <c r="H55" s="76">
        <v>53</v>
      </c>
      <c r="I55" s="76">
        <v>47</v>
      </c>
      <c r="J55" s="76">
        <v>57</v>
      </c>
      <c r="K55" s="76">
        <v>69</v>
      </c>
      <c r="L55" s="76">
        <v>66</v>
      </c>
      <c r="M55" s="76">
        <v>80</v>
      </c>
      <c r="N55" s="76">
        <v>68</v>
      </c>
      <c r="O55" s="76">
        <v>66</v>
      </c>
      <c r="P55" s="76">
        <v>81</v>
      </c>
      <c r="Q55" s="76">
        <v>62</v>
      </c>
      <c r="R55" s="11">
        <f t="shared" si="0"/>
        <v>847</v>
      </c>
      <c r="S55" s="25">
        <f t="shared" si="1"/>
        <v>65.15384615384616</v>
      </c>
      <c r="T55" s="11">
        <f t="shared" si="2"/>
        <v>45</v>
      </c>
      <c r="U55" s="76"/>
      <c r="V55" s="76"/>
    </row>
    <row r="56" spans="1:22" ht="19.5" customHeight="1" x14ac:dyDescent="0.25">
      <c r="A56" s="156">
        <v>53</v>
      </c>
      <c r="B56" s="141"/>
      <c r="C56" s="145">
        <v>16</v>
      </c>
      <c r="D56" s="145" t="s">
        <v>23</v>
      </c>
      <c r="E56" s="108">
        <v>97</v>
      </c>
      <c r="F56" s="76">
        <v>96</v>
      </c>
      <c r="G56" s="76">
        <v>100</v>
      </c>
      <c r="H56" s="76">
        <v>100</v>
      </c>
      <c r="I56" s="76">
        <v>94</v>
      </c>
      <c r="J56" s="76">
        <v>96</v>
      </c>
      <c r="K56" s="76">
        <v>97</v>
      </c>
      <c r="L56" s="76">
        <v>100</v>
      </c>
      <c r="M56" s="76">
        <v>99</v>
      </c>
      <c r="N56" s="76">
        <v>100</v>
      </c>
      <c r="O56" s="76">
        <v>98</v>
      </c>
      <c r="P56" s="76">
        <v>98</v>
      </c>
      <c r="Q56" s="76">
        <v>98</v>
      </c>
      <c r="R56" s="11">
        <f t="shared" si="0"/>
        <v>1273</v>
      </c>
      <c r="S56" s="25">
        <f t="shared" si="1"/>
        <v>97.92307692307692</v>
      </c>
      <c r="T56" s="11">
        <f t="shared" si="2"/>
        <v>1</v>
      </c>
      <c r="U56" s="76"/>
      <c r="V56" s="76"/>
    </row>
    <row r="57" spans="1:22" ht="19.5" customHeight="1" x14ac:dyDescent="0.25">
      <c r="A57" s="170">
        <v>54</v>
      </c>
      <c r="B57" s="141"/>
      <c r="C57" s="145">
        <v>15</v>
      </c>
      <c r="D57" s="145" t="s">
        <v>20</v>
      </c>
      <c r="E57" s="108">
        <v>89</v>
      </c>
      <c r="F57" s="76">
        <v>82</v>
      </c>
      <c r="G57" s="76">
        <v>87</v>
      </c>
      <c r="H57" s="76">
        <v>63</v>
      </c>
      <c r="I57" s="76">
        <v>71</v>
      </c>
      <c r="J57" s="76">
        <v>89</v>
      </c>
      <c r="K57" s="76">
        <v>72</v>
      </c>
      <c r="L57" s="76">
        <v>73</v>
      </c>
      <c r="M57" s="76">
        <v>91</v>
      </c>
      <c r="N57" s="76">
        <v>93</v>
      </c>
      <c r="O57" s="76">
        <v>82</v>
      </c>
      <c r="P57" s="76">
        <v>87</v>
      </c>
      <c r="Q57" s="76">
        <v>75</v>
      </c>
      <c r="R57" s="11">
        <f t="shared" si="0"/>
        <v>1054</v>
      </c>
      <c r="S57" s="25">
        <f t="shared" si="1"/>
        <v>81.07692307692308</v>
      </c>
      <c r="T57" s="11">
        <f t="shared" si="2"/>
        <v>15</v>
      </c>
      <c r="U57" s="76"/>
      <c r="V57" s="76"/>
    </row>
    <row r="58" spans="1:22" ht="19.5" customHeight="1" x14ac:dyDescent="0.25">
      <c r="A58" s="156">
        <v>55</v>
      </c>
      <c r="B58" s="141"/>
      <c r="C58" s="145">
        <v>16</v>
      </c>
      <c r="D58" s="145" t="s">
        <v>20</v>
      </c>
      <c r="E58" s="108">
        <v>95</v>
      </c>
      <c r="F58" s="76">
        <v>92</v>
      </c>
      <c r="G58" s="76">
        <v>98</v>
      </c>
      <c r="H58" s="76">
        <v>93</v>
      </c>
      <c r="I58" s="76">
        <v>86</v>
      </c>
      <c r="J58" s="76">
        <v>92</v>
      </c>
      <c r="K58" s="76">
        <v>90</v>
      </c>
      <c r="L58" s="76">
        <v>91</v>
      </c>
      <c r="M58" s="76">
        <v>90</v>
      </c>
      <c r="N58" s="76">
        <v>91</v>
      </c>
      <c r="O58" s="76">
        <v>95</v>
      </c>
      <c r="P58" s="76">
        <v>95</v>
      </c>
      <c r="Q58" s="76">
        <v>95</v>
      </c>
      <c r="R58" s="11">
        <f t="shared" si="0"/>
        <v>1203</v>
      </c>
      <c r="S58" s="25">
        <f t="shared" si="1"/>
        <v>92.538461538461533</v>
      </c>
      <c r="T58" s="11">
        <f t="shared" si="2"/>
        <v>3</v>
      </c>
      <c r="U58" s="76"/>
      <c r="V58" s="76"/>
    </row>
    <row r="59" spans="1:22" ht="19.5" customHeight="1" x14ac:dyDescent="0.25">
      <c r="A59" s="170">
        <v>56</v>
      </c>
      <c r="B59" s="153"/>
      <c r="C59" s="42">
        <v>15</v>
      </c>
      <c r="D59" s="42" t="s">
        <v>20</v>
      </c>
      <c r="E59" s="76">
        <v>65</v>
      </c>
      <c r="F59" s="76">
        <v>75</v>
      </c>
      <c r="G59" s="76">
        <v>82</v>
      </c>
      <c r="H59" s="76">
        <v>75</v>
      </c>
      <c r="I59" s="76">
        <v>64</v>
      </c>
      <c r="J59" s="76">
        <v>75</v>
      </c>
      <c r="K59" s="76">
        <v>60</v>
      </c>
      <c r="L59" s="76">
        <v>59</v>
      </c>
      <c r="M59" s="76">
        <v>77</v>
      </c>
      <c r="N59" s="76">
        <v>73</v>
      </c>
      <c r="O59" s="76">
        <v>67</v>
      </c>
      <c r="P59" s="76">
        <v>84</v>
      </c>
      <c r="Q59" s="76">
        <v>60</v>
      </c>
      <c r="R59" s="11">
        <f t="shared" si="0"/>
        <v>916</v>
      </c>
      <c r="S59" s="25">
        <f t="shared" si="1"/>
        <v>70.461538461538467</v>
      </c>
      <c r="T59" s="11">
        <f t="shared" si="2"/>
        <v>37</v>
      </c>
      <c r="U59" s="76"/>
      <c r="V59" s="76"/>
    </row>
  </sheetData>
  <mergeCells count="2">
    <mergeCell ref="A1:V1"/>
    <mergeCell ref="A2:V2"/>
  </mergeCells>
  <pageMargins left="0.7" right="0.7" top="0.75" bottom="0.75" header="0.3" footer="0.3"/>
  <pageSetup paperSize="9" scale="76" fitToHeight="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9"/>
  <sheetViews>
    <sheetView workbookViewId="0">
      <selection activeCell="M16" sqref="M16"/>
    </sheetView>
  </sheetViews>
  <sheetFormatPr defaultRowHeight="15" x14ac:dyDescent="0.25"/>
  <cols>
    <col min="1" max="1" width="6.7109375" style="10" customWidth="1"/>
    <col min="2" max="2" width="35.140625" bestFit="1" customWidth="1"/>
    <col min="3" max="3" width="4.7109375" customWidth="1"/>
    <col min="4" max="4" width="4.140625" customWidth="1"/>
    <col min="5" max="22" width="6.7109375" customWidth="1"/>
  </cols>
  <sheetData>
    <row r="1" spans="1:22" ht="20.25" x14ac:dyDescent="0.25">
      <c r="A1" s="222" t="s">
        <v>59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4"/>
    </row>
    <row r="2" spans="1:22" ht="18" thickBot="1" x14ac:dyDescent="0.3">
      <c r="A2" s="225" t="s">
        <v>41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</row>
    <row r="3" spans="1:22" ht="67.5" customHeight="1" thickBot="1" x14ac:dyDescent="0.3">
      <c r="A3" s="13" t="s">
        <v>24</v>
      </c>
      <c r="B3" s="14" t="s">
        <v>1</v>
      </c>
      <c r="C3" s="15" t="s">
        <v>2</v>
      </c>
      <c r="D3" s="112" t="s">
        <v>3</v>
      </c>
      <c r="E3" s="53" t="s">
        <v>4</v>
      </c>
      <c r="F3" s="53" t="s">
        <v>5</v>
      </c>
      <c r="G3" s="53" t="s">
        <v>6</v>
      </c>
      <c r="H3" s="53" t="s">
        <v>7</v>
      </c>
      <c r="I3" s="53" t="s">
        <v>8</v>
      </c>
      <c r="J3" s="53" t="s">
        <v>9</v>
      </c>
      <c r="K3" s="53" t="s">
        <v>11</v>
      </c>
      <c r="L3" s="53" t="s">
        <v>10</v>
      </c>
      <c r="M3" s="55" t="s">
        <v>69</v>
      </c>
      <c r="N3" s="55" t="s">
        <v>13</v>
      </c>
      <c r="O3" s="55" t="s">
        <v>65</v>
      </c>
      <c r="P3" s="53" t="s">
        <v>14</v>
      </c>
      <c r="Q3" s="53" t="s">
        <v>66</v>
      </c>
      <c r="R3" s="19" t="s">
        <v>15</v>
      </c>
      <c r="S3" s="17" t="s">
        <v>16</v>
      </c>
      <c r="T3" s="17" t="s">
        <v>17</v>
      </c>
      <c r="U3" s="18" t="s">
        <v>18</v>
      </c>
      <c r="V3" s="20" t="s">
        <v>19</v>
      </c>
    </row>
    <row r="4" spans="1:22" ht="20.100000000000001" customHeight="1" x14ac:dyDescent="0.25">
      <c r="A4" s="154">
        <v>1</v>
      </c>
      <c r="B4" s="137"/>
      <c r="C4" s="145">
        <v>16</v>
      </c>
      <c r="D4" s="145" t="s">
        <v>20</v>
      </c>
      <c r="E4" s="11">
        <v>80</v>
      </c>
      <c r="F4" s="11">
        <v>62</v>
      </c>
      <c r="G4" s="11">
        <v>69</v>
      </c>
      <c r="H4" s="11">
        <v>64</v>
      </c>
      <c r="I4" s="11">
        <v>50</v>
      </c>
      <c r="J4" s="11">
        <v>58</v>
      </c>
      <c r="K4" s="11">
        <v>70</v>
      </c>
      <c r="L4" s="11">
        <v>79</v>
      </c>
      <c r="M4" s="11">
        <v>75</v>
      </c>
      <c r="N4" s="11">
        <v>78</v>
      </c>
      <c r="O4" s="11">
        <v>50</v>
      </c>
      <c r="P4" s="11">
        <v>89</v>
      </c>
      <c r="Q4" s="11">
        <v>58</v>
      </c>
      <c r="R4" s="11">
        <f>SUM(E4:Q4)</f>
        <v>882</v>
      </c>
      <c r="S4" s="25">
        <f>AVERAGE(E4:Q4)</f>
        <v>67.84615384615384</v>
      </c>
      <c r="T4" s="11">
        <f>RANK(S4,$S$4:$S$59)</f>
        <v>42</v>
      </c>
      <c r="U4" s="11"/>
      <c r="V4" s="11"/>
    </row>
    <row r="5" spans="1:22" ht="20.100000000000001" customHeight="1" x14ac:dyDescent="0.25">
      <c r="A5" s="155">
        <v>2</v>
      </c>
      <c r="B5" s="137"/>
      <c r="C5" s="145">
        <v>16</v>
      </c>
      <c r="D5" s="145" t="s">
        <v>20</v>
      </c>
      <c r="E5" s="11">
        <v>71</v>
      </c>
      <c r="F5" s="11">
        <v>76</v>
      </c>
      <c r="G5" s="11">
        <v>57</v>
      </c>
      <c r="H5" s="11">
        <v>57</v>
      </c>
      <c r="I5" s="11">
        <v>62</v>
      </c>
      <c r="J5" s="11">
        <v>63</v>
      </c>
      <c r="K5" s="11">
        <v>58</v>
      </c>
      <c r="L5" s="11">
        <v>87</v>
      </c>
      <c r="M5" s="11">
        <v>72</v>
      </c>
      <c r="N5" s="11">
        <v>94</v>
      </c>
      <c r="O5" s="11">
        <v>61</v>
      </c>
      <c r="P5" s="11">
        <v>95</v>
      </c>
      <c r="Q5" s="11">
        <v>64</v>
      </c>
      <c r="R5" s="11">
        <f t="shared" ref="R5:R59" si="0">SUM(E5:Q5)</f>
        <v>917</v>
      </c>
      <c r="S5" s="25">
        <f t="shared" ref="S5:S59" si="1">AVERAGE(E5:Q5)</f>
        <v>70.538461538461533</v>
      </c>
      <c r="T5" s="11">
        <f t="shared" ref="T5:T59" si="2">RANK(S5,$S$4:$S$59)</f>
        <v>38</v>
      </c>
      <c r="U5" s="11"/>
      <c r="V5" s="11"/>
    </row>
    <row r="6" spans="1:22" ht="20.100000000000001" customHeight="1" x14ac:dyDescent="0.25">
      <c r="A6" s="156">
        <v>3</v>
      </c>
      <c r="B6" s="137"/>
      <c r="C6" s="145">
        <v>16</v>
      </c>
      <c r="D6" s="145" t="s">
        <v>54</v>
      </c>
      <c r="E6" s="11">
        <v>70</v>
      </c>
      <c r="F6" s="11">
        <v>63</v>
      </c>
      <c r="G6" s="11">
        <v>49</v>
      </c>
      <c r="H6" s="11">
        <v>46</v>
      </c>
      <c r="I6" s="11">
        <v>31</v>
      </c>
      <c r="J6" s="11">
        <v>36</v>
      </c>
      <c r="K6" s="11">
        <v>31</v>
      </c>
      <c r="L6" s="11">
        <v>63</v>
      </c>
      <c r="M6" s="11">
        <v>57</v>
      </c>
      <c r="N6" s="11">
        <v>58</v>
      </c>
      <c r="O6" s="11">
        <v>40</v>
      </c>
      <c r="P6" s="11">
        <v>74</v>
      </c>
      <c r="Q6" s="11">
        <v>51</v>
      </c>
      <c r="R6" s="11">
        <f t="shared" si="0"/>
        <v>669</v>
      </c>
      <c r="S6" s="25">
        <f t="shared" si="1"/>
        <v>51.46153846153846</v>
      </c>
      <c r="T6" s="11">
        <f t="shared" si="2"/>
        <v>55</v>
      </c>
      <c r="U6" s="11"/>
      <c r="V6" s="11"/>
    </row>
    <row r="7" spans="1:22" ht="20.100000000000001" customHeight="1" x14ac:dyDescent="0.25">
      <c r="A7" s="155">
        <v>4</v>
      </c>
      <c r="B7" s="137"/>
      <c r="C7" s="145">
        <v>16</v>
      </c>
      <c r="D7" s="145" t="s">
        <v>23</v>
      </c>
      <c r="E7" s="11">
        <v>85</v>
      </c>
      <c r="F7" s="11">
        <v>61</v>
      </c>
      <c r="G7" s="11">
        <v>49</v>
      </c>
      <c r="H7" s="11">
        <v>52</v>
      </c>
      <c r="I7" s="11">
        <v>57</v>
      </c>
      <c r="J7" s="11">
        <v>61</v>
      </c>
      <c r="K7" s="11">
        <v>85</v>
      </c>
      <c r="L7" s="11">
        <v>87</v>
      </c>
      <c r="M7" s="11">
        <v>78</v>
      </c>
      <c r="N7" s="11">
        <v>81</v>
      </c>
      <c r="O7" s="11">
        <v>74</v>
      </c>
      <c r="P7" s="11">
        <v>89</v>
      </c>
      <c r="Q7" s="11">
        <v>79</v>
      </c>
      <c r="R7" s="11">
        <f t="shared" si="0"/>
        <v>938</v>
      </c>
      <c r="S7" s="25">
        <f t="shared" si="1"/>
        <v>72.15384615384616</v>
      </c>
      <c r="T7" s="11">
        <f t="shared" si="2"/>
        <v>34</v>
      </c>
      <c r="U7" s="11"/>
      <c r="V7" s="11"/>
    </row>
    <row r="8" spans="1:22" ht="20.100000000000001" customHeight="1" x14ac:dyDescent="0.25">
      <c r="A8" s="155">
        <v>5</v>
      </c>
      <c r="B8" s="137"/>
      <c r="C8" s="145">
        <v>15</v>
      </c>
      <c r="D8" s="145" t="s">
        <v>20</v>
      </c>
      <c r="E8" s="11">
        <v>82</v>
      </c>
      <c r="F8" s="11">
        <v>74</v>
      </c>
      <c r="G8" s="11">
        <v>44</v>
      </c>
      <c r="H8" s="11">
        <v>48</v>
      </c>
      <c r="I8" s="11">
        <v>40</v>
      </c>
      <c r="J8" s="11">
        <v>52</v>
      </c>
      <c r="K8" s="11">
        <v>39</v>
      </c>
      <c r="L8" s="11">
        <v>70</v>
      </c>
      <c r="M8" s="11">
        <v>63</v>
      </c>
      <c r="N8" s="11">
        <v>83</v>
      </c>
      <c r="O8" s="11">
        <v>52</v>
      </c>
      <c r="P8" s="11">
        <v>95</v>
      </c>
      <c r="Q8" s="11">
        <v>69</v>
      </c>
      <c r="R8" s="11">
        <f t="shared" si="0"/>
        <v>811</v>
      </c>
      <c r="S8" s="25">
        <f t="shared" si="1"/>
        <v>62.384615384615387</v>
      </c>
      <c r="T8" s="11">
        <f t="shared" si="2"/>
        <v>50</v>
      </c>
      <c r="U8" s="11"/>
      <c r="V8" s="11"/>
    </row>
    <row r="9" spans="1:22" ht="20.100000000000001" customHeight="1" x14ac:dyDescent="0.25">
      <c r="A9" s="156">
        <v>6</v>
      </c>
      <c r="B9" s="137"/>
      <c r="C9" s="145">
        <v>16</v>
      </c>
      <c r="D9" s="145" t="s">
        <v>20</v>
      </c>
      <c r="E9" s="11">
        <v>76</v>
      </c>
      <c r="F9" s="11">
        <v>67</v>
      </c>
      <c r="G9" s="11">
        <v>86</v>
      </c>
      <c r="H9" s="11">
        <v>78</v>
      </c>
      <c r="I9" s="11">
        <v>71</v>
      </c>
      <c r="J9" s="11">
        <v>84</v>
      </c>
      <c r="K9" s="11">
        <v>78</v>
      </c>
      <c r="L9" s="11">
        <v>89</v>
      </c>
      <c r="M9" s="11">
        <v>81</v>
      </c>
      <c r="N9" s="11">
        <v>97</v>
      </c>
      <c r="O9" s="11">
        <v>90</v>
      </c>
      <c r="P9" s="11">
        <v>96</v>
      </c>
      <c r="Q9" s="11">
        <v>69</v>
      </c>
      <c r="R9" s="11">
        <f t="shared" si="0"/>
        <v>1062</v>
      </c>
      <c r="S9" s="25">
        <f t="shared" si="1"/>
        <v>81.692307692307693</v>
      </c>
      <c r="T9" s="11">
        <f t="shared" si="2"/>
        <v>16</v>
      </c>
      <c r="U9" s="11"/>
      <c r="V9" s="11"/>
    </row>
    <row r="10" spans="1:22" ht="20.100000000000001" customHeight="1" x14ac:dyDescent="0.25">
      <c r="A10" s="155">
        <v>7</v>
      </c>
      <c r="B10" s="137"/>
      <c r="C10" s="145">
        <v>14</v>
      </c>
      <c r="D10" s="145" t="s">
        <v>23</v>
      </c>
      <c r="E10" s="11">
        <v>79</v>
      </c>
      <c r="F10" s="11">
        <v>65</v>
      </c>
      <c r="G10" s="11">
        <v>62</v>
      </c>
      <c r="H10" s="11">
        <v>56</v>
      </c>
      <c r="I10" s="11">
        <v>52</v>
      </c>
      <c r="J10" s="11">
        <v>66</v>
      </c>
      <c r="K10" s="11">
        <v>65</v>
      </c>
      <c r="L10" s="11">
        <v>84</v>
      </c>
      <c r="M10" s="11">
        <v>79</v>
      </c>
      <c r="N10" s="11">
        <v>79</v>
      </c>
      <c r="O10" s="11">
        <v>59</v>
      </c>
      <c r="P10" s="11">
        <v>73</v>
      </c>
      <c r="Q10" s="11">
        <v>62</v>
      </c>
      <c r="R10" s="11">
        <f t="shared" si="0"/>
        <v>881</v>
      </c>
      <c r="S10" s="25">
        <f t="shared" si="1"/>
        <v>67.769230769230774</v>
      </c>
      <c r="T10" s="11">
        <f t="shared" si="2"/>
        <v>43</v>
      </c>
      <c r="U10" s="11"/>
      <c r="V10" s="11"/>
    </row>
    <row r="11" spans="1:22" ht="20.100000000000001" customHeight="1" x14ac:dyDescent="0.25">
      <c r="A11" s="155">
        <v>8</v>
      </c>
      <c r="B11" s="137"/>
      <c r="C11" s="145">
        <v>15</v>
      </c>
      <c r="D11" s="145" t="s">
        <v>20</v>
      </c>
      <c r="E11" s="11">
        <v>72</v>
      </c>
      <c r="F11" s="11">
        <v>57</v>
      </c>
      <c r="G11" s="11">
        <v>50</v>
      </c>
      <c r="H11" s="11">
        <v>48</v>
      </c>
      <c r="I11" s="11">
        <v>57</v>
      </c>
      <c r="J11" s="11">
        <v>68</v>
      </c>
      <c r="K11" s="11">
        <v>66</v>
      </c>
      <c r="L11" s="11">
        <v>81</v>
      </c>
      <c r="M11" s="11">
        <v>69</v>
      </c>
      <c r="N11" s="11">
        <v>81</v>
      </c>
      <c r="O11" s="11">
        <v>58</v>
      </c>
      <c r="P11" s="11">
        <v>87</v>
      </c>
      <c r="Q11" s="11">
        <v>55</v>
      </c>
      <c r="R11" s="11">
        <f t="shared" si="0"/>
        <v>849</v>
      </c>
      <c r="S11" s="25">
        <f t="shared" si="1"/>
        <v>65.307692307692307</v>
      </c>
      <c r="T11" s="11">
        <f t="shared" si="2"/>
        <v>45</v>
      </c>
      <c r="U11" s="11"/>
      <c r="V11" s="11"/>
    </row>
    <row r="12" spans="1:22" ht="20.100000000000001" customHeight="1" x14ac:dyDescent="0.25">
      <c r="A12" s="156">
        <v>9</v>
      </c>
      <c r="B12" s="137"/>
      <c r="C12" s="145">
        <v>15</v>
      </c>
      <c r="D12" s="145" t="s">
        <v>23</v>
      </c>
      <c r="E12" s="11">
        <v>84</v>
      </c>
      <c r="F12" s="11">
        <v>74</v>
      </c>
      <c r="G12" s="11">
        <v>76</v>
      </c>
      <c r="H12" s="11">
        <v>77</v>
      </c>
      <c r="I12" s="11">
        <v>68</v>
      </c>
      <c r="J12" s="11">
        <v>75</v>
      </c>
      <c r="K12" s="11">
        <v>69</v>
      </c>
      <c r="L12" s="11">
        <v>98</v>
      </c>
      <c r="M12" s="11">
        <v>75</v>
      </c>
      <c r="N12" s="11">
        <v>77</v>
      </c>
      <c r="O12" s="11">
        <v>86</v>
      </c>
      <c r="P12" s="11">
        <v>82</v>
      </c>
      <c r="Q12" s="11">
        <v>71</v>
      </c>
      <c r="R12" s="11">
        <f t="shared" si="0"/>
        <v>1012</v>
      </c>
      <c r="S12" s="25">
        <f t="shared" si="1"/>
        <v>77.84615384615384</v>
      </c>
      <c r="T12" s="11">
        <f t="shared" si="2"/>
        <v>25</v>
      </c>
      <c r="U12" s="11"/>
      <c r="V12" s="11"/>
    </row>
    <row r="13" spans="1:22" ht="20.100000000000001" customHeight="1" x14ac:dyDescent="0.25">
      <c r="A13" s="155">
        <v>10</v>
      </c>
      <c r="B13" s="137"/>
      <c r="C13" s="145">
        <v>15</v>
      </c>
      <c r="D13" s="145" t="s">
        <v>23</v>
      </c>
      <c r="E13" s="11">
        <v>86</v>
      </c>
      <c r="F13" s="11">
        <v>68</v>
      </c>
      <c r="G13" s="11">
        <v>74</v>
      </c>
      <c r="H13" s="11">
        <v>71</v>
      </c>
      <c r="I13" s="11">
        <v>70</v>
      </c>
      <c r="J13" s="11">
        <v>77</v>
      </c>
      <c r="K13" s="11">
        <v>80</v>
      </c>
      <c r="L13" s="11">
        <v>94</v>
      </c>
      <c r="M13" s="11">
        <v>80</v>
      </c>
      <c r="N13" s="11">
        <v>85</v>
      </c>
      <c r="O13" s="11">
        <v>73</v>
      </c>
      <c r="P13" s="11">
        <v>90</v>
      </c>
      <c r="Q13" s="11">
        <v>80</v>
      </c>
      <c r="R13" s="11">
        <f t="shared" si="0"/>
        <v>1028</v>
      </c>
      <c r="S13" s="25">
        <f t="shared" si="1"/>
        <v>79.07692307692308</v>
      </c>
      <c r="T13" s="11">
        <f t="shared" si="2"/>
        <v>23</v>
      </c>
      <c r="U13" s="11"/>
      <c r="V13" s="11"/>
    </row>
    <row r="14" spans="1:22" ht="20.100000000000001" customHeight="1" x14ac:dyDescent="0.25">
      <c r="A14" s="156">
        <v>11</v>
      </c>
      <c r="B14" s="137"/>
      <c r="C14" s="145">
        <v>15</v>
      </c>
      <c r="D14" s="145" t="s">
        <v>23</v>
      </c>
      <c r="E14" s="11">
        <v>84</v>
      </c>
      <c r="F14" s="11">
        <v>78</v>
      </c>
      <c r="G14" s="11">
        <v>53</v>
      </c>
      <c r="H14" s="11">
        <v>51</v>
      </c>
      <c r="I14" s="11">
        <v>56</v>
      </c>
      <c r="J14" s="11">
        <v>63</v>
      </c>
      <c r="K14" s="11">
        <v>86</v>
      </c>
      <c r="L14" s="11">
        <v>96</v>
      </c>
      <c r="M14" s="11">
        <v>80</v>
      </c>
      <c r="N14" s="11">
        <v>87</v>
      </c>
      <c r="O14" s="11">
        <v>81</v>
      </c>
      <c r="P14" s="11">
        <v>91</v>
      </c>
      <c r="Q14" s="11">
        <v>81</v>
      </c>
      <c r="R14" s="11">
        <f t="shared" si="0"/>
        <v>987</v>
      </c>
      <c r="S14" s="25">
        <f t="shared" si="1"/>
        <v>75.92307692307692</v>
      </c>
      <c r="T14" s="11">
        <f t="shared" si="2"/>
        <v>30</v>
      </c>
      <c r="U14" s="11"/>
      <c r="V14" s="11"/>
    </row>
    <row r="15" spans="1:22" ht="20.100000000000001" customHeight="1" x14ac:dyDescent="0.25">
      <c r="A15" s="156">
        <v>12</v>
      </c>
      <c r="B15" s="137"/>
      <c r="C15" s="145">
        <v>15</v>
      </c>
      <c r="D15" s="145" t="s">
        <v>23</v>
      </c>
      <c r="E15" s="11">
        <v>74</v>
      </c>
      <c r="F15" s="11">
        <v>69</v>
      </c>
      <c r="G15" s="11">
        <v>69</v>
      </c>
      <c r="H15" s="11">
        <v>51</v>
      </c>
      <c r="I15" s="11">
        <v>59</v>
      </c>
      <c r="J15" s="11">
        <v>78</v>
      </c>
      <c r="K15" s="11">
        <v>87</v>
      </c>
      <c r="L15" s="11">
        <v>92</v>
      </c>
      <c r="M15" s="11">
        <v>73</v>
      </c>
      <c r="N15" s="11">
        <v>88</v>
      </c>
      <c r="O15" s="11">
        <v>77</v>
      </c>
      <c r="P15" s="11">
        <v>96</v>
      </c>
      <c r="Q15" s="11">
        <v>77</v>
      </c>
      <c r="R15" s="11">
        <f t="shared" si="0"/>
        <v>990</v>
      </c>
      <c r="S15" s="25">
        <f t="shared" si="1"/>
        <v>76.15384615384616</v>
      </c>
      <c r="T15" s="11">
        <f t="shared" si="2"/>
        <v>29</v>
      </c>
      <c r="U15" s="11"/>
      <c r="V15" s="11"/>
    </row>
    <row r="16" spans="1:22" ht="20.100000000000001" customHeight="1" x14ac:dyDescent="0.25">
      <c r="A16" s="156">
        <v>13</v>
      </c>
      <c r="B16" s="137"/>
      <c r="C16" s="145">
        <v>15</v>
      </c>
      <c r="D16" s="145" t="s">
        <v>20</v>
      </c>
      <c r="E16" s="11">
        <v>82</v>
      </c>
      <c r="F16" s="11">
        <v>73</v>
      </c>
      <c r="G16" s="11">
        <v>70</v>
      </c>
      <c r="H16" s="11">
        <v>70</v>
      </c>
      <c r="I16" s="11">
        <v>62</v>
      </c>
      <c r="J16" s="11">
        <v>82</v>
      </c>
      <c r="K16" s="11">
        <v>86</v>
      </c>
      <c r="L16" s="11">
        <v>97</v>
      </c>
      <c r="M16" s="11">
        <v>84</v>
      </c>
      <c r="N16" s="11">
        <v>89</v>
      </c>
      <c r="O16" s="11">
        <v>86</v>
      </c>
      <c r="P16" s="11">
        <v>98</v>
      </c>
      <c r="Q16" s="11">
        <v>69</v>
      </c>
      <c r="R16" s="11">
        <f t="shared" si="0"/>
        <v>1048</v>
      </c>
      <c r="S16" s="25">
        <f t="shared" si="1"/>
        <v>80.615384615384613</v>
      </c>
      <c r="T16" s="11">
        <f t="shared" si="2"/>
        <v>19</v>
      </c>
      <c r="U16" s="11"/>
      <c r="V16" s="11"/>
    </row>
    <row r="17" spans="1:22" ht="20.100000000000001" customHeight="1" x14ac:dyDescent="0.25">
      <c r="A17" s="155">
        <v>14</v>
      </c>
      <c r="B17" s="137"/>
      <c r="C17" s="145">
        <v>16</v>
      </c>
      <c r="D17" s="145" t="s">
        <v>20</v>
      </c>
      <c r="E17" s="111">
        <v>79</v>
      </c>
      <c r="F17" s="111">
        <v>61</v>
      </c>
      <c r="G17" s="111">
        <v>51</v>
      </c>
      <c r="H17" s="111">
        <v>67</v>
      </c>
      <c r="I17" s="111">
        <v>62</v>
      </c>
      <c r="J17" s="111">
        <v>61</v>
      </c>
      <c r="K17" s="111">
        <v>62</v>
      </c>
      <c r="L17" s="111">
        <v>79</v>
      </c>
      <c r="M17" s="111">
        <v>72</v>
      </c>
      <c r="N17" s="111">
        <v>93</v>
      </c>
      <c r="O17" s="111">
        <v>66</v>
      </c>
      <c r="P17" s="111">
        <v>87</v>
      </c>
      <c r="Q17" s="111">
        <v>67</v>
      </c>
      <c r="R17" s="11">
        <f t="shared" si="0"/>
        <v>907</v>
      </c>
      <c r="S17" s="25">
        <f t="shared" si="1"/>
        <v>69.769230769230774</v>
      </c>
      <c r="T17" s="11">
        <f t="shared" si="2"/>
        <v>39</v>
      </c>
      <c r="U17" s="11"/>
      <c r="V17" s="11"/>
    </row>
    <row r="18" spans="1:22" ht="20.100000000000001" customHeight="1" x14ac:dyDescent="0.25">
      <c r="A18" s="156">
        <v>15</v>
      </c>
      <c r="B18" s="137"/>
      <c r="C18" s="145">
        <v>15</v>
      </c>
      <c r="D18" s="145" t="s">
        <v>20</v>
      </c>
      <c r="E18" s="11">
        <v>69</v>
      </c>
      <c r="F18" s="11">
        <v>88</v>
      </c>
      <c r="G18" s="11">
        <v>87</v>
      </c>
      <c r="H18" s="11">
        <v>74</v>
      </c>
      <c r="I18" s="11">
        <v>78</v>
      </c>
      <c r="J18" s="11">
        <v>94</v>
      </c>
      <c r="K18" s="11">
        <v>69</v>
      </c>
      <c r="L18" s="11">
        <v>95</v>
      </c>
      <c r="M18" s="11">
        <v>83</v>
      </c>
      <c r="N18" s="11">
        <v>91</v>
      </c>
      <c r="O18" s="11">
        <v>78</v>
      </c>
      <c r="P18" s="11">
        <v>99</v>
      </c>
      <c r="Q18" s="11">
        <v>75</v>
      </c>
      <c r="R18" s="11">
        <f t="shared" si="0"/>
        <v>1080</v>
      </c>
      <c r="S18" s="25">
        <f t="shared" si="1"/>
        <v>83.07692307692308</v>
      </c>
      <c r="T18" s="11">
        <f t="shared" si="2"/>
        <v>14</v>
      </c>
      <c r="U18" s="11"/>
      <c r="V18" s="11"/>
    </row>
    <row r="19" spans="1:22" ht="20.100000000000001" customHeight="1" x14ac:dyDescent="0.25">
      <c r="A19" s="155">
        <v>16</v>
      </c>
      <c r="B19" s="137"/>
      <c r="C19" s="145">
        <v>16</v>
      </c>
      <c r="D19" s="145" t="s">
        <v>23</v>
      </c>
      <c r="E19" s="11">
        <v>86</v>
      </c>
      <c r="F19" s="11">
        <v>75</v>
      </c>
      <c r="G19" s="11">
        <v>84</v>
      </c>
      <c r="H19" s="11">
        <v>75</v>
      </c>
      <c r="I19" s="11">
        <v>72</v>
      </c>
      <c r="J19" s="11">
        <v>79</v>
      </c>
      <c r="K19" s="11">
        <v>75</v>
      </c>
      <c r="L19" s="11">
        <v>94</v>
      </c>
      <c r="M19" s="11">
        <v>76</v>
      </c>
      <c r="N19" s="11">
        <v>86</v>
      </c>
      <c r="O19" s="11">
        <v>65</v>
      </c>
      <c r="P19" s="11">
        <v>95</v>
      </c>
      <c r="Q19" s="11">
        <v>85</v>
      </c>
      <c r="R19" s="11">
        <f t="shared" si="0"/>
        <v>1047</v>
      </c>
      <c r="S19" s="25">
        <f t="shared" si="1"/>
        <v>80.538461538461533</v>
      </c>
      <c r="T19" s="11">
        <f t="shared" si="2"/>
        <v>20</v>
      </c>
      <c r="U19" s="11"/>
      <c r="V19" s="11"/>
    </row>
    <row r="20" spans="1:22" ht="20.100000000000001" customHeight="1" x14ac:dyDescent="0.25">
      <c r="A20" s="155">
        <v>17</v>
      </c>
      <c r="B20" s="137"/>
      <c r="C20" s="145">
        <v>16</v>
      </c>
      <c r="D20" s="145" t="s">
        <v>23</v>
      </c>
      <c r="E20" s="11">
        <v>79</v>
      </c>
      <c r="F20" s="11">
        <v>70</v>
      </c>
      <c r="G20" s="11">
        <v>39</v>
      </c>
      <c r="H20" s="11">
        <v>53</v>
      </c>
      <c r="I20" s="11">
        <v>57</v>
      </c>
      <c r="J20" s="11">
        <v>53</v>
      </c>
      <c r="K20" s="11">
        <v>58</v>
      </c>
      <c r="L20" s="11">
        <v>66</v>
      </c>
      <c r="M20" s="11">
        <v>65</v>
      </c>
      <c r="N20" s="11">
        <v>90</v>
      </c>
      <c r="O20" s="11">
        <v>63</v>
      </c>
      <c r="P20" s="11">
        <v>88</v>
      </c>
      <c r="Q20" s="11">
        <v>70</v>
      </c>
      <c r="R20" s="11">
        <f t="shared" si="0"/>
        <v>851</v>
      </c>
      <c r="S20" s="25">
        <f t="shared" si="1"/>
        <v>65.461538461538467</v>
      </c>
      <c r="T20" s="11">
        <f t="shared" si="2"/>
        <v>44</v>
      </c>
      <c r="U20" s="11"/>
      <c r="V20" s="11"/>
    </row>
    <row r="21" spans="1:22" ht="20.100000000000001" customHeight="1" x14ac:dyDescent="0.25">
      <c r="A21" s="155">
        <v>18</v>
      </c>
      <c r="B21" s="137"/>
      <c r="C21" s="145">
        <v>16</v>
      </c>
      <c r="D21" s="145" t="s">
        <v>23</v>
      </c>
      <c r="E21" s="11">
        <v>75</v>
      </c>
      <c r="F21" s="11">
        <v>64</v>
      </c>
      <c r="G21" s="11">
        <v>50</v>
      </c>
      <c r="H21" s="11">
        <v>55</v>
      </c>
      <c r="I21" s="11">
        <v>54</v>
      </c>
      <c r="J21" s="11">
        <v>52</v>
      </c>
      <c r="K21" s="11">
        <v>57</v>
      </c>
      <c r="L21" s="11">
        <v>72</v>
      </c>
      <c r="M21" s="11">
        <v>73</v>
      </c>
      <c r="N21" s="11">
        <v>78</v>
      </c>
      <c r="O21" s="11">
        <v>62</v>
      </c>
      <c r="P21" s="11">
        <v>73</v>
      </c>
      <c r="Q21" s="11">
        <v>61</v>
      </c>
      <c r="R21" s="11">
        <f t="shared" si="0"/>
        <v>826</v>
      </c>
      <c r="S21" s="25">
        <f t="shared" si="1"/>
        <v>63.53846153846154</v>
      </c>
      <c r="T21" s="11">
        <f t="shared" si="2"/>
        <v>49</v>
      </c>
      <c r="U21" s="11"/>
      <c r="V21" s="11"/>
    </row>
    <row r="22" spans="1:22" ht="20.100000000000001" customHeight="1" x14ac:dyDescent="0.25">
      <c r="A22" s="156">
        <v>19</v>
      </c>
      <c r="B22" s="137"/>
      <c r="C22" s="145">
        <v>16</v>
      </c>
      <c r="D22" s="145" t="s">
        <v>20</v>
      </c>
      <c r="E22" s="11">
        <v>73</v>
      </c>
      <c r="F22" s="11">
        <v>75</v>
      </c>
      <c r="G22" s="11">
        <v>87</v>
      </c>
      <c r="H22" s="11">
        <v>77</v>
      </c>
      <c r="I22" s="11">
        <v>74</v>
      </c>
      <c r="J22" s="11">
        <v>85</v>
      </c>
      <c r="K22" s="11">
        <v>86</v>
      </c>
      <c r="L22" s="11">
        <v>93</v>
      </c>
      <c r="M22" s="11">
        <v>87</v>
      </c>
      <c r="N22" s="11">
        <v>96</v>
      </c>
      <c r="O22" s="11">
        <v>85</v>
      </c>
      <c r="P22" s="11">
        <v>99</v>
      </c>
      <c r="Q22" s="11">
        <v>76</v>
      </c>
      <c r="R22" s="11">
        <f t="shared" si="0"/>
        <v>1093</v>
      </c>
      <c r="S22" s="25">
        <f t="shared" si="1"/>
        <v>84.07692307692308</v>
      </c>
      <c r="T22" s="11">
        <f t="shared" si="2"/>
        <v>11</v>
      </c>
      <c r="U22" s="11"/>
      <c r="V22" s="11"/>
    </row>
    <row r="23" spans="1:22" ht="20.100000000000001" customHeight="1" x14ac:dyDescent="0.25">
      <c r="A23" s="156">
        <v>20</v>
      </c>
      <c r="B23" s="137"/>
      <c r="C23" s="145">
        <v>16</v>
      </c>
      <c r="D23" s="145" t="s">
        <v>23</v>
      </c>
      <c r="E23" s="11">
        <v>83</v>
      </c>
      <c r="F23" s="11">
        <v>92</v>
      </c>
      <c r="G23" s="11">
        <v>90</v>
      </c>
      <c r="H23" s="11">
        <v>85</v>
      </c>
      <c r="I23" s="11">
        <v>88</v>
      </c>
      <c r="J23" s="11">
        <v>91</v>
      </c>
      <c r="K23" s="11">
        <v>88</v>
      </c>
      <c r="L23" s="11">
        <v>99</v>
      </c>
      <c r="M23" s="11">
        <v>88</v>
      </c>
      <c r="N23" s="11">
        <v>94</v>
      </c>
      <c r="O23" s="11">
        <v>90</v>
      </c>
      <c r="P23" s="11">
        <v>99</v>
      </c>
      <c r="Q23" s="11">
        <v>89</v>
      </c>
      <c r="R23" s="11">
        <f t="shared" si="0"/>
        <v>1176</v>
      </c>
      <c r="S23" s="25">
        <f t="shared" si="1"/>
        <v>90.461538461538467</v>
      </c>
      <c r="T23" s="11">
        <f t="shared" si="2"/>
        <v>4</v>
      </c>
      <c r="U23" s="11"/>
      <c r="V23" s="11"/>
    </row>
    <row r="24" spans="1:22" ht="20.100000000000001" customHeight="1" x14ac:dyDescent="0.25">
      <c r="A24" s="156">
        <v>21</v>
      </c>
      <c r="B24" s="137"/>
      <c r="C24" s="145">
        <v>16</v>
      </c>
      <c r="D24" s="145" t="s">
        <v>20</v>
      </c>
      <c r="E24" s="11">
        <v>86</v>
      </c>
      <c r="F24" s="11">
        <v>82</v>
      </c>
      <c r="G24" s="11">
        <v>83</v>
      </c>
      <c r="H24" s="11">
        <v>85</v>
      </c>
      <c r="I24" s="11">
        <v>84</v>
      </c>
      <c r="J24" s="11">
        <v>91</v>
      </c>
      <c r="K24" s="11">
        <v>80</v>
      </c>
      <c r="L24" s="11">
        <v>98</v>
      </c>
      <c r="M24" s="11">
        <v>87</v>
      </c>
      <c r="N24" s="11">
        <v>96</v>
      </c>
      <c r="O24" s="11">
        <v>80</v>
      </c>
      <c r="P24" s="11">
        <v>96</v>
      </c>
      <c r="Q24" s="11">
        <v>80</v>
      </c>
      <c r="R24" s="11">
        <f t="shared" si="0"/>
        <v>1128</v>
      </c>
      <c r="S24" s="25">
        <f t="shared" si="1"/>
        <v>86.769230769230774</v>
      </c>
      <c r="T24" s="11">
        <f t="shared" si="2"/>
        <v>8</v>
      </c>
      <c r="U24" s="11"/>
      <c r="V24" s="11"/>
    </row>
    <row r="25" spans="1:22" ht="20.100000000000001" customHeight="1" x14ac:dyDescent="0.25">
      <c r="A25" s="155">
        <v>22</v>
      </c>
      <c r="B25" s="137"/>
      <c r="C25" s="145">
        <v>15</v>
      </c>
      <c r="D25" s="145" t="s">
        <v>20</v>
      </c>
      <c r="E25" s="11">
        <v>80</v>
      </c>
      <c r="F25" s="11">
        <v>80</v>
      </c>
      <c r="G25" s="11">
        <v>53</v>
      </c>
      <c r="H25" s="11">
        <v>63</v>
      </c>
      <c r="I25" s="11">
        <v>58</v>
      </c>
      <c r="J25" s="11">
        <v>65</v>
      </c>
      <c r="K25" s="11">
        <v>80</v>
      </c>
      <c r="L25" s="11">
        <v>84</v>
      </c>
      <c r="M25" s="11">
        <v>77</v>
      </c>
      <c r="N25" s="11">
        <v>88</v>
      </c>
      <c r="O25" s="11">
        <v>64</v>
      </c>
      <c r="P25" s="11">
        <v>88</v>
      </c>
      <c r="Q25" s="11">
        <v>80</v>
      </c>
      <c r="R25" s="11">
        <f t="shared" si="0"/>
        <v>960</v>
      </c>
      <c r="S25" s="25">
        <f t="shared" si="1"/>
        <v>73.84615384615384</v>
      </c>
      <c r="T25" s="11">
        <f t="shared" si="2"/>
        <v>32</v>
      </c>
      <c r="U25" s="11"/>
      <c r="V25" s="11"/>
    </row>
    <row r="26" spans="1:22" ht="20.100000000000001" customHeight="1" x14ac:dyDescent="0.25">
      <c r="A26" s="155">
        <v>23</v>
      </c>
      <c r="B26" s="137"/>
      <c r="C26" s="145">
        <v>16</v>
      </c>
      <c r="D26" s="145" t="s">
        <v>23</v>
      </c>
      <c r="E26" s="11">
        <v>61</v>
      </c>
      <c r="F26" s="11">
        <v>46</v>
      </c>
      <c r="G26" s="11">
        <v>50</v>
      </c>
      <c r="H26" s="11">
        <v>49</v>
      </c>
      <c r="I26" s="11">
        <v>39</v>
      </c>
      <c r="J26" s="11">
        <v>64</v>
      </c>
      <c r="K26" s="11">
        <v>67</v>
      </c>
      <c r="L26" s="11">
        <v>73</v>
      </c>
      <c r="M26" s="11">
        <v>50</v>
      </c>
      <c r="N26" s="11">
        <v>75</v>
      </c>
      <c r="O26" s="11">
        <v>69</v>
      </c>
      <c r="P26" s="11">
        <v>84</v>
      </c>
      <c r="Q26" s="11">
        <v>64</v>
      </c>
      <c r="R26" s="11">
        <f t="shared" si="0"/>
        <v>791</v>
      </c>
      <c r="S26" s="25">
        <f t="shared" si="1"/>
        <v>60.846153846153847</v>
      </c>
      <c r="T26" s="11">
        <f t="shared" si="2"/>
        <v>51</v>
      </c>
      <c r="U26" s="11"/>
      <c r="V26" s="11"/>
    </row>
    <row r="27" spans="1:22" ht="20.100000000000001" customHeight="1" x14ac:dyDescent="0.25">
      <c r="A27" s="156">
        <v>24</v>
      </c>
      <c r="B27" s="137"/>
      <c r="C27" s="145">
        <v>16</v>
      </c>
      <c r="D27" s="145" t="s">
        <v>23</v>
      </c>
      <c r="E27" s="11">
        <v>80</v>
      </c>
      <c r="F27" s="11">
        <v>68</v>
      </c>
      <c r="G27" s="11">
        <v>71</v>
      </c>
      <c r="H27" s="11">
        <v>71</v>
      </c>
      <c r="I27" s="11">
        <v>61</v>
      </c>
      <c r="J27" s="11">
        <v>83</v>
      </c>
      <c r="K27" s="11">
        <v>86</v>
      </c>
      <c r="L27" s="11">
        <v>94</v>
      </c>
      <c r="M27" s="11">
        <v>86</v>
      </c>
      <c r="N27" s="11">
        <v>86</v>
      </c>
      <c r="O27" s="11">
        <v>81</v>
      </c>
      <c r="P27" s="11">
        <v>91</v>
      </c>
      <c r="Q27" s="11">
        <v>88</v>
      </c>
      <c r="R27" s="11">
        <f t="shared" si="0"/>
        <v>1046</v>
      </c>
      <c r="S27" s="25">
        <f t="shared" si="1"/>
        <v>80.461538461538467</v>
      </c>
      <c r="T27" s="11">
        <f t="shared" si="2"/>
        <v>21</v>
      </c>
      <c r="U27" s="11"/>
      <c r="V27" s="11"/>
    </row>
    <row r="28" spans="1:22" ht="20.100000000000001" customHeight="1" x14ac:dyDescent="0.25">
      <c r="A28" s="155">
        <v>25</v>
      </c>
      <c r="B28" s="137"/>
      <c r="C28" s="145">
        <v>16</v>
      </c>
      <c r="D28" s="145" t="s">
        <v>23</v>
      </c>
      <c r="E28" s="11">
        <v>79</v>
      </c>
      <c r="F28" s="11">
        <v>46</v>
      </c>
      <c r="G28" s="11">
        <v>69</v>
      </c>
      <c r="H28" s="11">
        <v>62</v>
      </c>
      <c r="I28" s="11">
        <v>65</v>
      </c>
      <c r="J28" s="11">
        <v>71</v>
      </c>
      <c r="K28" s="11">
        <v>79</v>
      </c>
      <c r="L28" s="11">
        <v>87</v>
      </c>
      <c r="M28" s="11">
        <v>69</v>
      </c>
      <c r="N28" s="11">
        <v>82</v>
      </c>
      <c r="O28" s="11">
        <v>76</v>
      </c>
      <c r="P28" s="11">
        <v>88</v>
      </c>
      <c r="Q28" s="11">
        <v>65</v>
      </c>
      <c r="R28" s="11">
        <f t="shared" si="0"/>
        <v>938</v>
      </c>
      <c r="S28" s="25">
        <f t="shared" si="1"/>
        <v>72.15384615384616</v>
      </c>
      <c r="T28" s="11">
        <f t="shared" si="2"/>
        <v>34</v>
      </c>
      <c r="U28" s="11"/>
      <c r="V28" s="11"/>
    </row>
    <row r="29" spans="1:22" ht="20.100000000000001" customHeight="1" x14ac:dyDescent="0.25">
      <c r="A29" s="156">
        <v>26</v>
      </c>
      <c r="B29" s="137"/>
      <c r="C29" s="145">
        <v>15</v>
      </c>
      <c r="D29" s="145" t="s">
        <v>23</v>
      </c>
      <c r="E29" s="11">
        <v>69</v>
      </c>
      <c r="F29" s="11">
        <v>78</v>
      </c>
      <c r="G29" s="11">
        <v>36</v>
      </c>
      <c r="H29" s="11">
        <v>62</v>
      </c>
      <c r="I29" s="11">
        <v>51</v>
      </c>
      <c r="J29" s="11">
        <v>63</v>
      </c>
      <c r="K29" s="11">
        <v>67</v>
      </c>
      <c r="L29" s="11">
        <v>78</v>
      </c>
      <c r="M29" s="11">
        <v>75</v>
      </c>
      <c r="N29" s="11">
        <v>86</v>
      </c>
      <c r="O29" s="11">
        <v>75</v>
      </c>
      <c r="P29" s="11">
        <v>89</v>
      </c>
      <c r="Q29" s="11">
        <v>64</v>
      </c>
      <c r="R29" s="11">
        <f t="shared" si="0"/>
        <v>893</v>
      </c>
      <c r="S29" s="25">
        <f t="shared" si="1"/>
        <v>68.692307692307693</v>
      </c>
      <c r="T29" s="11">
        <f t="shared" si="2"/>
        <v>41</v>
      </c>
      <c r="U29" s="11"/>
      <c r="V29" s="11"/>
    </row>
    <row r="30" spans="1:22" ht="20.100000000000001" customHeight="1" x14ac:dyDescent="0.25">
      <c r="A30" s="156">
        <v>27</v>
      </c>
      <c r="B30" s="137"/>
      <c r="C30" s="145">
        <v>14</v>
      </c>
      <c r="D30" s="145" t="s">
        <v>20</v>
      </c>
      <c r="E30" s="11">
        <v>73</v>
      </c>
      <c r="F30" s="11">
        <v>90</v>
      </c>
      <c r="G30" s="11">
        <v>55</v>
      </c>
      <c r="H30" s="11">
        <v>45</v>
      </c>
      <c r="I30" s="11">
        <v>60</v>
      </c>
      <c r="J30" s="11">
        <v>64</v>
      </c>
      <c r="K30" s="11">
        <v>66</v>
      </c>
      <c r="L30" s="11">
        <v>87</v>
      </c>
      <c r="M30" s="11">
        <v>76</v>
      </c>
      <c r="N30" s="11">
        <v>91</v>
      </c>
      <c r="O30" s="11">
        <v>71</v>
      </c>
      <c r="P30" s="11">
        <v>89</v>
      </c>
      <c r="Q30" s="11">
        <v>61</v>
      </c>
      <c r="R30" s="11">
        <f t="shared" si="0"/>
        <v>928</v>
      </c>
      <c r="S30" s="25">
        <f t="shared" si="1"/>
        <v>71.384615384615387</v>
      </c>
      <c r="T30" s="11">
        <f t="shared" si="2"/>
        <v>36</v>
      </c>
      <c r="U30" s="11"/>
      <c r="V30" s="11"/>
    </row>
    <row r="31" spans="1:22" ht="20.100000000000001" customHeight="1" x14ac:dyDescent="0.25">
      <c r="A31" s="156">
        <v>28</v>
      </c>
      <c r="B31" s="137"/>
      <c r="C31" s="145">
        <v>15</v>
      </c>
      <c r="D31" s="145" t="s">
        <v>23</v>
      </c>
      <c r="E31" s="11">
        <v>81</v>
      </c>
      <c r="F31" s="11">
        <v>76</v>
      </c>
      <c r="G31" s="11">
        <v>85</v>
      </c>
      <c r="H31" s="11">
        <v>75</v>
      </c>
      <c r="I31" s="11">
        <v>83</v>
      </c>
      <c r="J31" s="11">
        <v>91</v>
      </c>
      <c r="K31" s="11">
        <v>84</v>
      </c>
      <c r="L31" s="11">
        <v>91</v>
      </c>
      <c r="M31" s="11">
        <v>83</v>
      </c>
      <c r="N31" s="11">
        <v>89</v>
      </c>
      <c r="O31" s="11">
        <v>83</v>
      </c>
      <c r="P31" s="11">
        <v>97</v>
      </c>
      <c r="Q31" s="11">
        <v>74</v>
      </c>
      <c r="R31" s="11">
        <f t="shared" si="0"/>
        <v>1092</v>
      </c>
      <c r="S31" s="25">
        <f t="shared" si="1"/>
        <v>84</v>
      </c>
      <c r="T31" s="11">
        <f t="shared" si="2"/>
        <v>12</v>
      </c>
      <c r="U31" s="11"/>
      <c r="V31" s="11"/>
    </row>
    <row r="32" spans="1:22" ht="20.100000000000001" customHeight="1" x14ac:dyDescent="0.25">
      <c r="A32" s="155">
        <v>29</v>
      </c>
      <c r="B32" s="137"/>
      <c r="C32" s="145">
        <v>16</v>
      </c>
      <c r="D32" s="145" t="s">
        <v>20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f t="shared" si="0"/>
        <v>0</v>
      </c>
      <c r="S32" s="25">
        <f t="shared" si="1"/>
        <v>0</v>
      </c>
      <c r="T32" s="11">
        <f t="shared" si="2"/>
        <v>56</v>
      </c>
      <c r="U32" s="11"/>
      <c r="V32" s="11"/>
    </row>
    <row r="33" spans="1:22" ht="20.100000000000001" customHeight="1" x14ac:dyDescent="0.25">
      <c r="A33" s="156">
        <v>30</v>
      </c>
      <c r="B33" s="146"/>
      <c r="C33" s="148">
        <v>15</v>
      </c>
      <c r="D33" s="148" t="s">
        <v>23</v>
      </c>
      <c r="E33" s="11">
        <v>69</v>
      </c>
      <c r="F33" s="11">
        <v>62</v>
      </c>
      <c r="G33" s="11">
        <v>42</v>
      </c>
      <c r="H33" s="11">
        <v>47</v>
      </c>
      <c r="I33" s="11">
        <v>53</v>
      </c>
      <c r="J33" s="11">
        <v>58</v>
      </c>
      <c r="K33" s="11">
        <v>67</v>
      </c>
      <c r="L33" s="11">
        <v>81</v>
      </c>
      <c r="M33" s="11">
        <v>77</v>
      </c>
      <c r="N33" s="11">
        <v>74</v>
      </c>
      <c r="O33" s="11">
        <v>58</v>
      </c>
      <c r="P33" s="11">
        <v>86</v>
      </c>
      <c r="Q33" s="11">
        <v>65</v>
      </c>
      <c r="R33" s="11">
        <f t="shared" si="0"/>
        <v>839</v>
      </c>
      <c r="S33" s="25">
        <f t="shared" si="1"/>
        <v>64.538461538461533</v>
      </c>
      <c r="T33" s="11">
        <f t="shared" si="2"/>
        <v>46</v>
      </c>
      <c r="U33" s="11"/>
      <c r="V33" s="11"/>
    </row>
    <row r="34" spans="1:22" ht="20.100000000000001" customHeight="1" x14ac:dyDescent="0.25">
      <c r="A34" s="155">
        <v>31</v>
      </c>
      <c r="B34" s="137"/>
      <c r="C34" s="145">
        <v>16</v>
      </c>
      <c r="D34" s="145" t="s">
        <v>20</v>
      </c>
      <c r="E34" s="11">
        <v>84</v>
      </c>
      <c r="F34" s="11">
        <v>76</v>
      </c>
      <c r="G34" s="11">
        <v>66</v>
      </c>
      <c r="H34" s="11">
        <v>57</v>
      </c>
      <c r="I34" s="11">
        <v>61</v>
      </c>
      <c r="J34" s="11">
        <v>70</v>
      </c>
      <c r="K34" s="11">
        <v>69</v>
      </c>
      <c r="L34" s="11">
        <v>89</v>
      </c>
      <c r="M34" s="11">
        <v>76</v>
      </c>
      <c r="N34" s="11">
        <v>88</v>
      </c>
      <c r="O34" s="11">
        <v>67</v>
      </c>
      <c r="P34" s="11">
        <v>91</v>
      </c>
      <c r="Q34" s="11">
        <v>66</v>
      </c>
      <c r="R34" s="11">
        <f t="shared" si="0"/>
        <v>960</v>
      </c>
      <c r="S34" s="25">
        <f t="shared" si="1"/>
        <v>73.84615384615384</v>
      </c>
      <c r="T34" s="11">
        <f t="shared" si="2"/>
        <v>32</v>
      </c>
      <c r="U34" s="11"/>
      <c r="V34" s="11"/>
    </row>
    <row r="35" spans="1:22" ht="20.100000000000001" customHeight="1" x14ac:dyDescent="0.25">
      <c r="A35" s="155">
        <v>32</v>
      </c>
      <c r="B35" s="137"/>
      <c r="C35" s="145">
        <v>15</v>
      </c>
      <c r="D35" s="145" t="s">
        <v>23</v>
      </c>
      <c r="E35" s="11">
        <v>88</v>
      </c>
      <c r="F35" s="11">
        <v>78</v>
      </c>
      <c r="G35" s="11">
        <v>82</v>
      </c>
      <c r="H35" s="11">
        <v>81</v>
      </c>
      <c r="I35" s="11">
        <v>86</v>
      </c>
      <c r="J35" s="11">
        <v>91</v>
      </c>
      <c r="K35" s="11">
        <v>92</v>
      </c>
      <c r="L35" s="11">
        <v>100</v>
      </c>
      <c r="M35" s="11">
        <v>99</v>
      </c>
      <c r="N35" s="11">
        <v>100</v>
      </c>
      <c r="O35" s="11">
        <v>87</v>
      </c>
      <c r="P35" s="11">
        <v>96</v>
      </c>
      <c r="Q35" s="11">
        <v>100</v>
      </c>
      <c r="R35" s="11">
        <f t="shared" si="0"/>
        <v>1180</v>
      </c>
      <c r="S35" s="25">
        <f t="shared" si="1"/>
        <v>90.769230769230774</v>
      </c>
      <c r="T35" s="11">
        <f t="shared" si="2"/>
        <v>3</v>
      </c>
      <c r="U35" s="11"/>
      <c r="V35" s="11"/>
    </row>
    <row r="36" spans="1:22" ht="20.100000000000001" customHeight="1" x14ac:dyDescent="0.25">
      <c r="A36" s="155">
        <v>33</v>
      </c>
      <c r="B36" s="137"/>
      <c r="C36" s="145">
        <v>15</v>
      </c>
      <c r="D36" s="145" t="s">
        <v>23</v>
      </c>
      <c r="E36" s="11">
        <v>85</v>
      </c>
      <c r="F36" s="11">
        <v>86</v>
      </c>
      <c r="G36" s="11">
        <v>83</v>
      </c>
      <c r="H36" s="11">
        <v>80</v>
      </c>
      <c r="I36" s="11">
        <v>80</v>
      </c>
      <c r="J36" s="11">
        <v>95</v>
      </c>
      <c r="K36" s="11">
        <v>94</v>
      </c>
      <c r="L36" s="11">
        <v>99</v>
      </c>
      <c r="M36" s="11">
        <v>95</v>
      </c>
      <c r="N36" s="11">
        <v>98</v>
      </c>
      <c r="O36" s="11">
        <v>84</v>
      </c>
      <c r="P36" s="11">
        <v>95</v>
      </c>
      <c r="Q36" s="11">
        <v>96</v>
      </c>
      <c r="R36" s="11">
        <f t="shared" si="0"/>
        <v>1170</v>
      </c>
      <c r="S36" s="25">
        <f t="shared" si="1"/>
        <v>90</v>
      </c>
      <c r="T36" s="11">
        <f t="shared" si="2"/>
        <v>5</v>
      </c>
      <c r="U36" s="11"/>
      <c r="V36" s="11"/>
    </row>
    <row r="37" spans="1:22" ht="20.100000000000001" customHeight="1" x14ac:dyDescent="0.25">
      <c r="A37" s="156">
        <v>34</v>
      </c>
      <c r="B37" s="137"/>
      <c r="C37" s="145">
        <v>15</v>
      </c>
      <c r="D37" s="145" t="s">
        <v>20</v>
      </c>
      <c r="E37" s="11">
        <v>83</v>
      </c>
      <c r="F37" s="11">
        <v>86</v>
      </c>
      <c r="G37" s="11">
        <v>67</v>
      </c>
      <c r="H37" s="11">
        <v>66</v>
      </c>
      <c r="I37" s="11">
        <v>61</v>
      </c>
      <c r="J37" s="11">
        <v>86</v>
      </c>
      <c r="K37" s="11">
        <v>80</v>
      </c>
      <c r="L37" s="11">
        <v>89</v>
      </c>
      <c r="M37" s="11">
        <v>73</v>
      </c>
      <c r="N37" s="11">
        <v>92</v>
      </c>
      <c r="O37" s="11">
        <v>71</v>
      </c>
      <c r="P37" s="11">
        <v>99</v>
      </c>
      <c r="Q37" s="11">
        <v>66</v>
      </c>
      <c r="R37" s="11">
        <f t="shared" si="0"/>
        <v>1019</v>
      </c>
      <c r="S37" s="25">
        <f t="shared" si="1"/>
        <v>78.384615384615387</v>
      </c>
      <c r="T37" s="11">
        <f t="shared" si="2"/>
        <v>24</v>
      </c>
      <c r="U37" s="11"/>
      <c r="V37" s="11"/>
    </row>
    <row r="38" spans="1:22" ht="20.100000000000001" customHeight="1" x14ac:dyDescent="0.25">
      <c r="A38" s="156">
        <v>35</v>
      </c>
      <c r="B38" s="137"/>
      <c r="C38" s="145">
        <v>16</v>
      </c>
      <c r="D38" s="145" t="s">
        <v>23</v>
      </c>
      <c r="E38" s="11">
        <v>78</v>
      </c>
      <c r="F38" s="11">
        <v>60</v>
      </c>
      <c r="G38" s="11">
        <v>62</v>
      </c>
      <c r="H38" s="11">
        <v>63</v>
      </c>
      <c r="I38" s="11">
        <v>68</v>
      </c>
      <c r="J38" s="11">
        <v>81</v>
      </c>
      <c r="K38" s="11">
        <v>84</v>
      </c>
      <c r="L38" s="11">
        <v>89</v>
      </c>
      <c r="M38" s="11">
        <v>73</v>
      </c>
      <c r="N38" s="11">
        <v>84</v>
      </c>
      <c r="O38" s="11">
        <v>64</v>
      </c>
      <c r="P38" s="11">
        <v>89</v>
      </c>
      <c r="Q38" s="11">
        <v>71</v>
      </c>
      <c r="R38" s="11">
        <f t="shared" si="0"/>
        <v>966</v>
      </c>
      <c r="S38" s="25">
        <f t="shared" si="1"/>
        <v>74.307692307692307</v>
      </c>
      <c r="T38" s="11">
        <f t="shared" si="2"/>
        <v>31</v>
      </c>
      <c r="U38" s="11"/>
      <c r="V38" s="11"/>
    </row>
    <row r="39" spans="1:22" ht="20.100000000000001" customHeight="1" x14ac:dyDescent="0.25">
      <c r="A39" s="156">
        <v>36</v>
      </c>
      <c r="B39" s="137"/>
      <c r="C39" s="145">
        <v>16</v>
      </c>
      <c r="D39" s="145" t="s">
        <v>23</v>
      </c>
      <c r="E39" s="11">
        <v>76</v>
      </c>
      <c r="F39" s="11">
        <v>85</v>
      </c>
      <c r="G39" s="11">
        <v>56</v>
      </c>
      <c r="H39" s="11">
        <v>63</v>
      </c>
      <c r="I39" s="11">
        <v>62</v>
      </c>
      <c r="J39" s="11">
        <v>75</v>
      </c>
      <c r="K39" s="11">
        <v>87</v>
      </c>
      <c r="L39" s="11">
        <v>96</v>
      </c>
      <c r="M39" s="11">
        <v>92</v>
      </c>
      <c r="N39" s="11">
        <v>94</v>
      </c>
      <c r="O39" s="11">
        <v>87</v>
      </c>
      <c r="P39" s="11">
        <v>90</v>
      </c>
      <c r="Q39" s="11">
        <v>81</v>
      </c>
      <c r="R39" s="11">
        <f t="shared" si="0"/>
        <v>1044</v>
      </c>
      <c r="S39" s="25">
        <f t="shared" si="1"/>
        <v>80.307692307692307</v>
      </c>
      <c r="T39" s="11">
        <f t="shared" si="2"/>
        <v>22</v>
      </c>
      <c r="U39" s="11"/>
      <c r="V39" s="11"/>
    </row>
    <row r="40" spans="1:22" ht="20.100000000000001" customHeight="1" x14ac:dyDescent="0.25">
      <c r="A40" s="155">
        <v>37</v>
      </c>
      <c r="B40" s="137"/>
      <c r="C40" s="145">
        <v>16</v>
      </c>
      <c r="D40" s="145" t="s">
        <v>20</v>
      </c>
      <c r="E40" s="11">
        <v>73</v>
      </c>
      <c r="F40" s="11">
        <v>72</v>
      </c>
      <c r="G40" s="11">
        <v>58</v>
      </c>
      <c r="H40" s="11">
        <v>68</v>
      </c>
      <c r="I40" s="11">
        <v>60</v>
      </c>
      <c r="J40" s="11">
        <v>72</v>
      </c>
      <c r="K40" s="11">
        <v>64</v>
      </c>
      <c r="L40" s="11">
        <v>72</v>
      </c>
      <c r="M40" s="11">
        <v>68</v>
      </c>
      <c r="N40" s="11">
        <v>93</v>
      </c>
      <c r="O40" s="11">
        <v>73</v>
      </c>
      <c r="P40" s="11">
        <v>89</v>
      </c>
      <c r="Q40" s="11">
        <v>60</v>
      </c>
      <c r="R40" s="11">
        <f t="shared" si="0"/>
        <v>922</v>
      </c>
      <c r="S40" s="25">
        <f t="shared" si="1"/>
        <v>70.92307692307692</v>
      </c>
      <c r="T40" s="11">
        <f t="shared" si="2"/>
        <v>37</v>
      </c>
      <c r="U40" s="11"/>
      <c r="V40" s="11"/>
    </row>
    <row r="41" spans="1:22" ht="20.100000000000001" customHeight="1" x14ac:dyDescent="0.25">
      <c r="A41" s="155">
        <v>38</v>
      </c>
      <c r="B41" s="137"/>
      <c r="C41" s="145">
        <v>16</v>
      </c>
      <c r="D41" s="145" t="s">
        <v>20</v>
      </c>
      <c r="E41" s="11">
        <v>66</v>
      </c>
      <c r="F41" s="11">
        <v>85</v>
      </c>
      <c r="G41" s="11">
        <v>80</v>
      </c>
      <c r="H41" s="11">
        <v>77</v>
      </c>
      <c r="I41" s="11">
        <v>87</v>
      </c>
      <c r="J41" s="11">
        <v>94</v>
      </c>
      <c r="K41" s="11">
        <v>73</v>
      </c>
      <c r="L41" s="11">
        <v>98</v>
      </c>
      <c r="M41" s="11">
        <v>89</v>
      </c>
      <c r="N41" s="11">
        <v>99</v>
      </c>
      <c r="O41" s="11">
        <v>81</v>
      </c>
      <c r="P41" s="11">
        <v>92</v>
      </c>
      <c r="Q41" s="11">
        <v>80</v>
      </c>
      <c r="R41" s="11">
        <f t="shared" si="0"/>
        <v>1101</v>
      </c>
      <c r="S41" s="25">
        <f t="shared" si="1"/>
        <v>84.692307692307693</v>
      </c>
      <c r="T41" s="11">
        <f t="shared" si="2"/>
        <v>10</v>
      </c>
      <c r="U41" s="11"/>
      <c r="V41" s="11"/>
    </row>
    <row r="42" spans="1:22" ht="20.100000000000001" customHeight="1" x14ac:dyDescent="0.25">
      <c r="A42" s="156">
        <v>39</v>
      </c>
      <c r="B42" s="137"/>
      <c r="C42" s="145">
        <v>16</v>
      </c>
      <c r="D42" s="145" t="s">
        <v>20</v>
      </c>
      <c r="E42" s="11">
        <v>76</v>
      </c>
      <c r="F42" s="11">
        <v>81</v>
      </c>
      <c r="G42" s="11">
        <v>75</v>
      </c>
      <c r="H42" s="11">
        <v>84</v>
      </c>
      <c r="I42" s="11">
        <v>79</v>
      </c>
      <c r="J42" s="11">
        <v>88</v>
      </c>
      <c r="K42" s="11">
        <v>73</v>
      </c>
      <c r="L42" s="11">
        <v>95</v>
      </c>
      <c r="M42" s="11">
        <v>85</v>
      </c>
      <c r="N42" s="11">
        <v>95</v>
      </c>
      <c r="O42" s="11">
        <v>63</v>
      </c>
      <c r="P42" s="11">
        <v>99</v>
      </c>
      <c r="Q42" s="11">
        <v>75</v>
      </c>
      <c r="R42" s="11">
        <f t="shared" si="0"/>
        <v>1068</v>
      </c>
      <c r="S42" s="25">
        <f t="shared" si="1"/>
        <v>82.15384615384616</v>
      </c>
      <c r="T42" s="11">
        <f t="shared" si="2"/>
        <v>15</v>
      </c>
      <c r="U42" s="11"/>
      <c r="V42" s="11"/>
    </row>
    <row r="43" spans="1:22" ht="20.100000000000001" customHeight="1" x14ac:dyDescent="0.25">
      <c r="A43" s="155">
        <v>40</v>
      </c>
      <c r="B43" s="137"/>
      <c r="C43" s="145">
        <v>15</v>
      </c>
      <c r="D43" s="145" t="s">
        <v>20</v>
      </c>
      <c r="E43" s="11">
        <v>81</v>
      </c>
      <c r="F43" s="11">
        <v>70</v>
      </c>
      <c r="G43" s="11">
        <v>92</v>
      </c>
      <c r="H43" s="11">
        <v>74</v>
      </c>
      <c r="I43" s="11">
        <v>72</v>
      </c>
      <c r="J43" s="11">
        <v>93</v>
      </c>
      <c r="K43" s="11">
        <v>85</v>
      </c>
      <c r="L43" s="11">
        <v>91</v>
      </c>
      <c r="M43" s="11">
        <v>74</v>
      </c>
      <c r="N43" s="11">
        <v>94</v>
      </c>
      <c r="O43" s="11">
        <v>72</v>
      </c>
      <c r="P43" s="11">
        <v>92</v>
      </c>
      <c r="Q43" s="11">
        <v>69</v>
      </c>
      <c r="R43" s="11">
        <f t="shared" si="0"/>
        <v>1059</v>
      </c>
      <c r="S43" s="25">
        <f t="shared" si="1"/>
        <v>81.461538461538467</v>
      </c>
      <c r="T43" s="11">
        <f t="shared" si="2"/>
        <v>17</v>
      </c>
      <c r="U43" s="11"/>
      <c r="V43" s="11"/>
    </row>
    <row r="44" spans="1:22" ht="20.100000000000001" customHeight="1" x14ac:dyDescent="0.25">
      <c r="A44" s="156">
        <v>41</v>
      </c>
      <c r="B44" s="137"/>
      <c r="C44" s="145">
        <v>15</v>
      </c>
      <c r="D44" s="145" t="s">
        <v>20</v>
      </c>
      <c r="E44" s="11">
        <v>67</v>
      </c>
      <c r="F44" s="11">
        <v>69</v>
      </c>
      <c r="G44" s="11">
        <v>92</v>
      </c>
      <c r="H44" s="11">
        <v>85</v>
      </c>
      <c r="I44" s="11">
        <v>80</v>
      </c>
      <c r="J44" s="11">
        <v>77</v>
      </c>
      <c r="K44" s="11">
        <v>65</v>
      </c>
      <c r="L44" s="11">
        <v>87</v>
      </c>
      <c r="M44" s="11">
        <v>70</v>
      </c>
      <c r="N44" s="11">
        <v>91</v>
      </c>
      <c r="O44" s="11">
        <v>66</v>
      </c>
      <c r="P44" s="11">
        <v>92</v>
      </c>
      <c r="Q44" s="11">
        <v>70</v>
      </c>
      <c r="R44" s="11">
        <f t="shared" si="0"/>
        <v>1011</v>
      </c>
      <c r="S44" s="25">
        <f t="shared" si="1"/>
        <v>77.769230769230774</v>
      </c>
      <c r="T44" s="11">
        <f t="shared" si="2"/>
        <v>26</v>
      </c>
      <c r="U44" s="11"/>
      <c r="V44" s="11"/>
    </row>
    <row r="45" spans="1:22" ht="20.100000000000001" customHeight="1" x14ac:dyDescent="0.25">
      <c r="A45" s="156">
        <v>42</v>
      </c>
      <c r="B45" s="137"/>
      <c r="C45" s="145">
        <v>16</v>
      </c>
      <c r="D45" s="145" t="s">
        <v>23</v>
      </c>
      <c r="E45" s="11">
        <v>90</v>
      </c>
      <c r="F45" s="11">
        <v>79</v>
      </c>
      <c r="G45" s="11">
        <v>86</v>
      </c>
      <c r="H45" s="11">
        <v>81</v>
      </c>
      <c r="I45" s="11">
        <v>80</v>
      </c>
      <c r="J45" s="11">
        <v>91</v>
      </c>
      <c r="K45" s="11">
        <v>84</v>
      </c>
      <c r="L45" s="11">
        <v>97</v>
      </c>
      <c r="M45" s="11">
        <v>89</v>
      </c>
      <c r="N45" s="11">
        <v>96</v>
      </c>
      <c r="O45" s="11">
        <v>90</v>
      </c>
      <c r="P45" s="11">
        <v>93</v>
      </c>
      <c r="Q45" s="11">
        <v>83</v>
      </c>
      <c r="R45" s="11">
        <f t="shared" si="0"/>
        <v>1139</v>
      </c>
      <c r="S45" s="25">
        <f t="shared" si="1"/>
        <v>87.615384615384613</v>
      </c>
      <c r="T45" s="11">
        <f t="shared" si="2"/>
        <v>7</v>
      </c>
      <c r="U45" s="11"/>
      <c r="V45" s="11"/>
    </row>
    <row r="46" spans="1:22" ht="20.100000000000001" customHeight="1" x14ac:dyDescent="0.25">
      <c r="A46" s="156">
        <v>43</v>
      </c>
      <c r="B46" s="137"/>
      <c r="C46" s="145">
        <v>15</v>
      </c>
      <c r="D46" s="145" t="s">
        <v>20</v>
      </c>
      <c r="E46" s="11">
        <v>80</v>
      </c>
      <c r="F46" s="11">
        <v>63</v>
      </c>
      <c r="G46" s="11">
        <v>76</v>
      </c>
      <c r="H46" s="11">
        <v>70</v>
      </c>
      <c r="I46" s="11">
        <v>68</v>
      </c>
      <c r="J46" s="11">
        <v>77</v>
      </c>
      <c r="K46" s="11">
        <v>83</v>
      </c>
      <c r="L46" s="11">
        <v>91</v>
      </c>
      <c r="M46" s="11">
        <v>81</v>
      </c>
      <c r="N46" s="11">
        <v>96</v>
      </c>
      <c r="O46" s="11">
        <v>75</v>
      </c>
      <c r="P46" s="11">
        <v>93</v>
      </c>
      <c r="Q46" s="11">
        <v>96</v>
      </c>
      <c r="R46" s="11">
        <f t="shared" si="0"/>
        <v>1049</v>
      </c>
      <c r="S46" s="25">
        <f t="shared" si="1"/>
        <v>80.692307692307693</v>
      </c>
      <c r="T46" s="11">
        <f t="shared" si="2"/>
        <v>18</v>
      </c>
      <c r="U46" s="11"/>
      <c r="V46" s="11"/>
    </row>
    <row r="47" spans="1:22" ht="20.100000000000001" customHeight="1" x14ac:dyDescent="0.25">
      <c r="A47" s="155">
        <v>44</v>
      </c>
      <c r="B47" s="137"/>
      <c r="C47" s="145">
        <v>15</v>
      </c>
      <c r="D47" s="145" t="s">
        <v>23</v>
      </c>
      <c r="E47" s="11">
        <v>85</v>
      </c>
      <c r="F47" s="11">
        <v>77</v>
      </c>
      <c r="G47" s="11">
        <v>74</v>
      </c>
      <c r="H47" s="11">
        <v>84</v>
      </c>
      <c r="I47" s="11">
        <v>84</v>
      </c>
      <c r="J47" s="11">
        <v>91</v>
      </c>
      <c r="K47" s="11">
        <v>79</v>
      </c>
      <c r="L47" s="11">
        <v>100</v>
      </c>
      <c r="M47" s="11">
        <v>91</v>
      </c>
      <c r="N47" s="11">
        <v>97</v>
      </c>
      <c r="O47" s="11">
        <v>80</v>
      </c>
      <c r="P47" s="11">
        <v>89</v>
      </c>
      <c r="Q47" s="11">
        <v>80</v>
      </c>
      <c r="R47" s="11">
        <f t="shared" si="0"/>
        <v>1111</v>
      </c>
      <c r="S47" s="25">
        <f t="shared" si="1"/>
        <v>85.461538461538467</v>
      </c>
      <c r="T47" s="11">
        <f t="shared" si="2"/>
        <v>9</v>
      </c>
      <c r="U47" s="11"/>
      <c r="V47" s="11"/>
    </row>
    <row r="48" spans="1:22" ht="20.100000000000001" customHeight="1" x14ac:dyDescent="0.25">
      <c r="A48" s="156">
        <v>45</v>
      </c>
      <c r="B48" s="137"/>
      <c r="C48" s="145">
        <v>15</v>
      </c>
      <c r="D48" s="145" t="s">
        <v>23</v>
      </c>
      <c r="E48" s="11">
        <v>65</v>
      </c>
      <c r="F48" s="11">
        <v>69</v>
      </c>
      <c r="G48" s="11">
        <v>30</v>
      </c>
      <c r="H48" s="11">
        <v>52</v>
      </c>
      <c r="I48" s="11">
        <v>42</v>
      </c>
      <c r="J48" s="11">
        <v>38</v>
      </c>
      <c r="K48" s="11">
        <v>51</v>
      </c>
      <c r="L48" s="11">
        <v>61</v>
      </c>
      <c r="M48" s="11">
        <v>59</v>
      </c>
      <c r="N48" s="11">
        <v>73</v>
      </c>
      <c r="O48" s="11">
        <v>44</v>
      </c>
      <c r="P48" s="11">
        <v>86</v>
      </c>
      <c r="Q48" s="11">
        <v>62</v>
      </c>
      <c r="R48" s="11">
        <f t="shared" si="0"/>
        <v>732</v>
      </c>
      <c r="S48" s="25">
        <f t="shared" si="1"/>
        <v>56.307692307692307</v>
      </c>
      <c r="T48" s="11">
        <f t="shared" si="2"/>
        <v>54</v>
      </c>
      <c r="U48" s="11"/>
      <c r="V48" s="11"/>
    </row>
    <row r="49" spans="1:22" ht="20.100000000000001" customHeight="1" x14ac:dyDescent="0.25">
      <c r="A49" s="155">
        <v>46</v>
      </c>
      <c r="B49" s="137"/>
      <c r="C49" s="145">
        <v>15</v>
      </c>
      <c r="D49" s="145" t="s">
        <v>23</v>
      </c>
      <c r="E49" s="11">
        <v>67</v>
      </c>
      <c r="F49" s="11">
        <v>63</v>
      </c>
      <c r="G49" s="11">
        <v>51</v>
      </c>
      <c r="H49" s="11">
        <v>59</v>
      </c>
      <c r="I49" s="11">
        <v>52</v>
      </c>
      <c r="J49" s="11">
        <v>57</v>
      </c>
      <c r="K49" s="11">
        <v>59</v>
      </c>
      <c r="L49" s="11">
        <v>72</v>
      </c>
      <c r="M49" s="11">
        <v>73</v>
      </c>
      <c r="N49" s="11">
        <v>80</v>
      </c>
      <c r="O49" s="11">
        <v>50</v>
      </c>
      <c r="P49" s="11">
        <v>89</v>
      </c>
      <c r="Q49" s="11">
        <v>63</v>
      </c>
      <c r="R49" s="11">
        <f t="shared" si="0"/>
        <v>835</v>
      </c>
      <c r="S49" s="25">
        <f t="shared" si="1"/>
        <v>64.230769230769226</v>
      </c>
      <c r="T49" s="11">
        <f t="shared" si="2"/>
        <v>48</v>
      </c>
      <c r="U49" s="11"/>
      <c r="V49" s="11"/>
    </row>
    <row r="50" spans="1:22" ht="20.100000000000001" customHeight="1" x14ac:dyDescent="0.25">
      <c r="A50" s="155">
        <v>47</v>
      </c>
      <c r="B50" s="137"/>
      <c r="C50" s="145">
        <v>14</v>
      </c>
      <c r="D50" s="145" t="s">
        <v>23</v>
      </c>
      <c r="E50" s="11">
        <v>67</v>
      </c>
      <c r="F50" s="11">
        <v>54</v>
      </c>
      <c r="G50" s="11">
        <v>39</v>
      </c>
      <c r="H50" s="11">
        <v>55</v>
      </c>
      <c r="I50" s="11">
        <v>47</v>
      </c>
      <c r="J50" s="11">
        <v>50</v>
      </c>
      <c r="K50" s="11">
        <v>69</v>
      </c>
      <c r="L50" s="11">
        <v>71</v>
      </c>
      <c r="M50" s="11">
        <v>55</v>
      </c>
      <c r="N50" s="11">
        <v>72</v>
      </c>
      <c r="O50" s="11">
        <v>57</v>
      </c>
      <c r="P50" s="11">
        <v>86</v>
      </c>
      <c r="Q50" s="11">
        <v>66</v>
      </c>
      <c r="R50" s="11">
        <f t="shared" si="0"/>
        <v>788</v>
      </c>
      <c r="S50" s="25">
        <f t="shared" si="1"/>
        <v>60.615384615384613</v>
      </c>
      <c r="T50" s="11">
        <f t="shared" si="2"/>
        <v>52</v>
      </c>
      <c r="U50" s="11"/>
      <c r="V50" s="11"/>
    </row>
    <row r="51" spans="1:22" ht="20.100000000000001" customHeight="1" x14ac:dyDescent="0.25">
      <c r="A51" s="155">
        <v>48</v>
      </c>
      <c r="B51" s="137"/>
      <c r="C51" s="145">
        <v>16</v>
      </c>
      <c r="D51" s="145" t="s">
        <v>23</v>
      </c>
      <c r="E51" s="11">
        <v>81</v>
      </c>
      <c r="F51" s="11">
        <v>82</v>
      </c>
      <c r="G51" s="11">
        <v>92</v>
      </c>
      <c r="H51" s="11">
        <v>95</v>
      </c>
      <c r="I51" s="11">
        <v>93</v>
      </c>
      <c r="J51" s="11">
        <v>96</v>
      </c>
      <c r="K51" s="11">
        <v>94</v>
      </c>
      <c r="L51" s="11">
        <v>100</v>
      </c>
      <c r="M51" s="11">
        <v>94</v>
      </c>
      <c r="N51" s="11">
        <v>100</v>
      </c>
      <c r="O51" s="11">
        <v>94</v>
      </c>
      <c r="P51" s="11">
        <v>100</v>
      </c>
      <c r="Q51" s="11">
        <v>94</v>
      </c>
      <c r="R51" s="11">
        <f t="shared" si="0"/>
        <v>1215</v>
      </c>
      <c r="S51" s="25">
        <f t="shared" si="1"/>
        <v>93.461538461538467</v>
      </c>
      <c r="T51" s="11">
        <f t="shared" si="2"/>
        <v>2</v>
      </c>
      <c r="U51" s="11"/>
      <c r="V51" s="11"/>
    </row>
    <row r="52" spans="1:22" ht="20.100000000000001" customHeight="1" x14ac:dyDescent="0.25">
      <c r="A52" s="156">
        <v>49</v>
      </c>
      <c r="B52" s="137"/>
      <c r="C52" s="145">
        <v>16</v>
      </c>
      <c r="D52" s="145" t="s">
        <v>20</v>
      </c>
      <c r="E52" s="11">
        <v>81</v>
      </c>
      <c r="F52" s="11">
        <v>74</v>
      </c>
      <c r="G52" s="11">
        <v>73</v>
      </c>
      <c r="H52" s="11">
        <v>94</v>
      </c>
      <c r="I52" s="11">
        <v>76</v>
      </c>
      <c r="J52" s="11">
        <v>84</v>
      </c>
      <c r="K52" s="11">
        <v>72</v>
      </c>
      <c r="L52" s="11">
        <v>94</v>
      </c>
      <c r="M52" s="11">
        <v>84</v>
      </c>
      <c r="N52" s="11">
        <v>97</v>
      </c>
      <c r="O52" s="11">
        <v>69</v>
      </c>
      <c r="P52" s="11">
        <v>96</v>
      </c>
      <c r="Q52" s="11">
        <v>98</v>
      </c>
      <c r="R52" s="11">
        <f t="shared" si="0"/>
        <v>1092</v>
      </c>
      <c r="S52" s="25">
        <f t="shared" si="1"/>
        <v>84</v>
      </c>
      <c r="T52" s="11">
        <f t="shared" si="2"/>
        <v>12</v>
      </c>
      <c r="U52" s="11"/>
      <c r="V52" s="11"/>
    </row>
    <row r="53" spans="1:22" ht="19.5" customHeight="1" x14ac:dyDescent="0.25">
      <c r="A53" s="170">
        <v>50</v>
      </c>
      <c r="B53" s="137"/>
      <c r="C53" s="145">
        <v>16</v>
      </c>
      <c r="D53" s="145" t="s">
        <v>20</v>
      </c>
      <c r="E53" s="11">
        <v>73</v>
      </c>
      <c r="F53" s="11">
        <v>79</v>
      </c>
      <c r="G53" s="11">
        <v>40</v>
      </c>
      <c r="H53" s="11">
        <v>53</v>
      </c>
      <c r="I53" s="11">
        <v>40</v>
      </c>
      <c r="J53" s="11">
        <v>53</v>
      </c>
      <c r="K53" s="11">
        <v>44</v>
      </c>
      <c r="L53" s="11">
        <v>61</v>
      </c>
      <c r="M53" s="11">
        <v>64</v>
      </c>
      <c r="N53" s="11">
        <v>91</v>
      </c>
      <c r="O53" s="11">
        <v>50</v>
      </c>
      <c r="P53" s="11">
        <v>85</v>
      </c>
      <c r="Q53" s="11">
        <v>55</v>
      </c>
      <c r="R53" s="11">
        <f t="shared" si="0"/>
        <v>788</v>
      </c>
      <c r="S53" s="25">
        <f t="shared" si="1"/>
        <v>60.615384615384613</v>
      </c>
      <c r="T53" s="11">
        <f t="shared" si="2"/>
        <v>52</v>
      </c>
      <c r="U53" s="11"/>
      <c r="V53" s="11"/>
    </row>
    <row r="54" spans="1:22" ht="19.5" customHeight="1" x14ac:dyDescent="0.25">
      <c r="A54" s="156">
        <v>51</v>
      </c>
      <c r="B54" s="137"/>
      <c r="C54" s="145">
        <v>15</v>
      </c>
      <c r="D54" s="145" t="s">
        <v>23</v>
      </c>
      <c r="E54" s="11">
        <v>76</v>
      </c>
      <c r="F54" s="11">
        <v>68</v>
      </c>
      <c r="G54" s="11">
        <v>57</v>
      </c>
      <c r="H54" s="11">
        <v>66</v>
      </c>
      <c r="I54" s="11">
        <v>62</v>
      </c>
      <c r="J54" s="11">
        <v>82</v>
      </c>
      <c r="K54" s="11">
        <v>80</v>
      </c>
      <c r="L54" s="11">
        <v>92</v>
      </c>
      <c r="M54" s="11">
        <v>83</v>
      </c>
      <c r="N54" s="11">
        <v>86</v>
      </c>
      <c r="O54" s="11">
        <v>70</v>
      </c>
      <c r="P54" s="11">
        <v>98</v>
      </c>
      <c r="Q54" s="11">
        <v>78</v>
      </c>
      <c r="R54" s="11">
        <f t="shared" si="0"/>
        <v>998</v>
      </c>
      <c r="S54" s="25">
        <f t="shared" si="1"/>
        <v>76.769230769230774</v>
      </c>
      <c r="T54" s="11">
        <f t="shared" si="2"/>
        <v>28</v>
      </c>
      <c r="U54" s="11"/>
      <c r="V54" s="11"/>
    </row>
    <row r="55" spans="1:22" ht="19.5" customHeight="1" x14ac:dyDescent="0.25">
      <c r="A55" s="170">
        <v>52</v>
      </c>
      <c r="B55" s="137"/>
      <c r="C55" s="145">
        <v>15</v>
      </c>
      <c r="D55" s="145" t="s">
        <v>23</v>
      </c>
      <c r="E55" s="11">
        <v>80</v>
      </c>
      <c r="F55" s="11">
        <v>66</v>
      </c>
      <c r="G55" s="11">
        <v>39</v>
      </c>
      <c r="H55" s="11">
        <v>59</v>
      </c>
      <c r="I55" s="11">
        <v>43</v>
      </c>
      <c r="J55" s="11">
        <v>54</v>
      </c>
      <c r="K55" s="11">
        <v>55</v>
      </c>
      <c r="L55" s="11">
        <v>76</v>
      </c>
      <c r="M55" s="11">
        <v>79</v>
      </c>
      <c r="N55" s="11">
        <v>82</v>
      </c>
      <c r="O55" s="11">
        <v>62</v>
      </c>
      <c r="P55" s="11">
        <v>78</v>
      </c>
      <c r="Q55" s="11">
        <v>65</v>
      </c>
      <c r="R55" s="11">
        <f t="shared" si="0"/>
        <v>838</v>
      </c>
      <c r="S55" s="25">
        <f t="shared" si="1"/>
        <v>64.461538461538467</v>
      </c>
      <c r="T55" s="11">
        <f t="shared" si="2"/>
        <v>47</v>
      </c>
      <c r="U55" s="11"/>
      <c r="V55" s="11"/>
    </row>
    <row r="56" spans="1:22" ht="19.5" customHeight="1" x14ac:dyDescent="0.25">
      <c r="A56" s="156">
        <v>53</v>
      </c>
      <c r="B56" s="137"/>
      <c r="C56" s="145">
        <v>16</v>
      </c>
      <c r="D56" s="145" t="s">
        <v>23</v>
      </c>
      <c r="E56" s="11">
        <v>90</v>
      </c>
      <c r="F56" s="11">
        <v>97</v>
      </c>
      <c r="G56" s="11">
        <v>94</v>
      </c>
      <c r="H56" s="11">
        <v>100</v>
      </c>
      <c r="I56" s="11">
        <v>100</v>
      </c>
      <c r="J56" s="11">
        <v>99</v>
      </c>
      <c r="K56" s="11">
        <v>97</v>
      </c>
      <c r="L56" s="11">
        <v>100</v>
      </c>
      <c r="M56" s="11">
        <v>100</v>
      </c>
      <c r="N56" s="11">
        <v>100</v>
      </c>
      <c r="O56" s="11">
        <v>96</v>
      </c>
      <c r="P56" s="11">
        <v>98</v>
      </c>
      <c r="Q56" s="11">
        <v>100</v>
      </c>
      <c r="R56" s="11">
        <f t="shared" si="0"/>
        <v>1271</v>
      </c>
      <c r="S56" s="25">
        <f t="shared" si="1"/>
        <v>97.769230769230774</v>
      </c>
      <c r="T56" s="11">
        <f t="shared" si="2"/>
        <v>1</v>
      </c>
      <c r="U56" s="11"/>
      <c r="V56" s="11"/>
    </row>
    <row r="57" spans="1:22" ht="19.5" customHeight="1" x14ac:dyDescent="0.25">
      <c r="A57" s="170">
        <v>54</v>
      </c>
      <c r="B57" s="137"/>
      <c r="C57" s="145">
        <v>15</v>
      </c>
      <c r="D57" s="145" t="s">
        <v>20</v>
      </c>
      <c r="E57" s="11">
        <v>85</v>
      </c>
      <c r="F57" s="11">
        <v>82</v>
      </c>
      <c r="G57" s="11">
        <v>61</v>
      </c>
      <c r="H57" s="11">
        <v>63</v>
      </c>
      <c r="I57" s="11">
        <v>66</v>
      </c>
      <c r="J57" s="11">
        <v>76</v>
      </c>
      <c r="K57" s="11">
        <v>72</v>
      </c>
      <c r="L57" s="11">
        <v>92</v>
      </c>
      <c r="M57" s="11">
        <v>86</v>
      </c>
      <c r="N57" s="11">
        <v>100</v>
      </c>
      <c r="O57" s="11">
        <v>71</v>
      </c>
      <c r="P57" s="11">
        <v>94</v>
      </c>
      <c r="Q57" s="11">
        <v>60</v>
      </c>
      <c r="R57" s="11">
        <f t="shared" si="0"/>
        <v>1008</v>
      </c>
      <c r="S57" s="25">
        <f t="shared" si="1"/>
        <v>77.538461538461533</v>
      </c>
      <c r="T57" s="11">
        <f t="shared" si="2"/>
        <v>27</v>
      </c>
      <c r="U57" s="11"/>
      <c r="V57" s="11"/>
    </row>
    <row r="58" spans="1:22" ht="19.5" customHeight="1" x14ac:dyDescent="0.25">
      <c r="A58" s="156">
        <v>55</v>
      </c>
      <c r="B58" s="137"/>
      <c r="C58" s="145">
        <v>16</v>
      </c>
      <c r="D58" s="145" t="s">
        <v>20</v>
      </c>
      <c r="E58" s="11">
        <v>89</v>
      </c>
      <c r="F58" s="11">
        <v>90</v>
      </c>
      <c r="G58" s="11">
        <v>84</v>
      </c>
      <c r="H58" s="11">
        <v>89</v>
      </c>
      <c r="I58" s="11">
        <v>88</v>
      </c>
      <c r="J58" s="11">
        <v>87</v>
      </c>
      <c r="K58" s="11">
        <v>93</v>
      </c>
      <c r="L58" s="11">
        <v>99</v>
      </c>
      <c r="M58" s="11">
        <v>91</v>
      </c>
      <c r="N58" s="11">
        <v>98</v>
      </c>
      <c r="O58" s="11">
        <v>84</v>
      </c>
      <c r="P58" s="11">
        <v>96</v>
      </c>
      <c r="Q58" s="11">
        <v>82</v>
      </c>
      <c r="R58" s="11">
        <f t="shared" si="0"/>
        <v>1170</v>
      </c>
      <c r="S58" s="25">
        <f t="shared" si="1"/>
        <v>90</v>
      </c>
      <c r="T58" s="11">
        <f t="shared" si="2"/>
        <v>5</v>
      </c>
      <c r="U58" s="11"/>
      <c r="V58" s="11"/>
    </row>
    <row r="59" spans="1:22" ht="19.5" customHeight="1" x14ac:dyDescent="0.25">
      <c r="A59" s="171">
        <v>56</v>
      </c>
      <c r="B59" s="153"/>
      <c r="C59" s="42">
        <v>15</v>
      </c>
      <c r="D59" s="42" t="s">
        <v>20</v>
      </c>
      <c r="E59" s="11">
        <v>72</v>
      </c>
      <c r="F59" s="11">
        <v>72</v>
      </c>
      <c r="G59" s="11">
        <v>65</v>
      </c>
      <c r="H59" s="11">
        <v>74</v>
      </c>
      <c r="I59" s="11">
        <v>70</v>
      </c>
      <c r="J59" s="11">
        <v>67</v>
      </c>
      <c r="K59" s="11">
        <v>50</v>
      </c>
      <c r="L59" s="11">
        <v>84</v>
      </c>
      <c r="M59" s="11">
        <v>71</v>
      </c>
      <c r="N59" s="11">
        <v>87</v>
      </c>
      <c r="O59" s="11">
        <v>51</v>
      </c>
      <c r="P59" s="11">
        <v>86</v>
      </c>
      <c r="Q59" s="11">
        <v>52</v>
      </c>
      <c r="R59" s="11">
        <f t="shared" si="0"/>
        <v>901</v>
      </c>
      <c r="S59" s="25">
        <f t="shared" si="1"/>
        <v>69.307692307692307</v>
      </c>
      <c r="T59" s="11">
        <f t="shared" si="2"/>
        <v>40</v>
      </c>
      <c r="U59" s="11"/>
      <c r="V59" s="11"/>
    </row>
  </sheetData>
  <mergeCells count="2">
    <mergeCell ref="A1:V1"/>
    <mergeCell ref="A2:V2"/>
  </mergeCells>
  <pageMargins left="0.7" right="0.7" top="0.75" bottom="0.75" header="0.3" footer="0.3"/>
  <pageSetup scale="71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workbookViewId="0">
      <selection activeCell="B4" sqref="B4:B59"/>
    </sheetView>
  </sheetViews>
  <sheetFormatPr defaultRowHeight="15" x14ac:dyDescent="0.25"/>
  <cols>
    <col min="1" max="1" width="6.7109375" style="10" customWidth="1"/>
    <col min="2" max="2" width="35.140625" bestFit="1" customWidth="1"/>
    <col min="3" max="3" width="4.7109375" customWidth="1"/>
    <col min="4" max="4" width="4.140625" customWidth="1"/>
    <col min="5" max="5" width="12" style="10" customWidth="1"/>
    <col min="6" max="7" width="10.5703125" style="10" customWidth="1"/>
    <col min="13" max="13" width="16.140625" customWidth="1"/>
  </cols>
  <sheetData>
    <row r="1" spans="1:11" ht="20.25" x14ac:dyDescent="0.25">
      <c r="A1" s="243" t="s">
        <v>59</v>
      </c>
      <c r="B1" s="244"/>
      <c r="C1" s="244"/>
      <c r="D1" s="244"/>
      <c r="E1" s="244"/>
      <c r="F1" s="244"/>
      <c r="G1" s="244"/>
      <c r="H1" s="244"/>
    </row>
    <row r="2" spans="1:11" ht="17.25" x14ac:dyDescent="0.25">
      <c r="A2" s="245" t="s">
        <v>42</v>
      </c>
      <c r="B2" s="246"/>
      <c r="C2" s="246"/>
      <c r="D2" s="246"/>
      <c r="E2" s="246"/>
      <c r="F2" s="246"/>
      <c r="G2" s="246"/>
      <c r="H2" s="246"/>
    </row>
    <row r="3" spans="1:11" ht="67.5" customHeight="1" thickBot="1" x14ac:dyDescent="0.3">
      <c r="A3" s="13" t="s">
        <v>24</v>
      </c>
      <c r="B3" s="14" t="s">
        <v>1</v>
      </c>
      <c r="C3" s="15" t="s">
        <v>2</v>
      </c>
      <c r="D3" s="14" t="s">
        <v>3</v>
      </c>
      <c r="E3" s="57" t="s">
        <v>26</v>
      </c>
      <c r="F3" s="57" t="s">
        <v>27</v>
      </c>
      <c r="G3" s="57" t="s">
        <v>16</v>
      </c>
      <c r="H3" s="91" t="s">
        <v>17</v>
      </c>
      <c r="J3" s="94"/>
      <c r="K3" s="95"/>
    </row>
    <row r="4" spans="1:11" ht="20.100000000000001" customHeight="1" x14ac:dyDescent="0.25">
      <c r="A4" s="154">
        <v>1</v>
      </c>
      <c r="B4" s="137"/>
      <c r="C4" s="145">
        <v>16</v>
      </c>
      <c r="D4" s="145" t="s">
        <v>20</v>
      </c>
      <c r="E4" s="25">
        <f>'10B Sem 1'!S4</f>
        <v>64.538461538461533</v>
      </c>
      <c r="F4" s="25">
        <f>'10B Sem 2'!S4</f>
        <v>67.84615384615384</v>
      </c>
      <c r="G4" s="25">
        <f>AVERAGE(E4:F4)</f>
        <v>66.192307692307679</v>
      </c>
      <c r="H4" s="201">
        <f>RANK(G4,$G$4:$G$59)</f>
        <v>43</v>
      </c>
      <c r="J4" s="96"/>
      <c r="K4" s="97"/>
    </row>
    <row r="5" spans="1:11" ht="20.100000000000001" customHeight="1" x14ac:dyDescent="0.25">
      <c r="A5" s="155">
        <v>2</v>
      </c>
      <c r="B5" s="137"/>
      <c r="C5" s="145">
        <v>16</v>
      </c>
      <c r="D5" s="145" t="s">
        <v>20</v>
      </c>
      <c r="E5" s="25">
        <f>'10B Sem 1'!S5</f>
        <v>74.84615384615384</v>
      </c>
      <c r="F5" s="25">
        <f>'10B Sem 2'!S5</f>
        <v>70.538461538461533</v>
      </c>
      <c r="G5" s="25">
        <f t="shared" ref="G5:G59" si="0">AVERAGE(E5:F5)</f>
        <v>72.692307692307679</v>
      </c>
      <c r="H5" s="201">
        <f t="shared" ref="H5:H59" si="1">RANK(G5,$G$4:$G$59)</f>
        <v>35</v>
      </c>
      <c r="J5" s="96"/>
      <c r="K5" s="97"/>
    </row>
    <row r="6" spans="1:11" ht="20.100000000000001" customHeight="1" x14ac:dyDescent="0.25">
      <c r="A6" s="156">
        <v>3</v>
      </c>
      <c r="B6" s="137"/>
      <c r="C6" s="145">
        <v>16</v>
      </c>
      <c r="D6" s="145" t="s">
        <v>54</v>
      </c>
      <c r="E6" s="25">
        <f>'10B Sem 1'!S6</f>
        <v>51.846153846153847</v>
      </c>
      <c r="F6" s="25">
        <f>'10B Sem 2'!S6</f>
        <v>51.46153846153846</v>
      </c>
      <c r="G6" s="25">
        <f t="shared" si="0"/>
        <v>51.653846153846153</v>
      </c>
      <c r="H6" s="201">
        <f t="shared" si="1"/>
        <v>55</v>
      </c>
      <c r="J6" s="96"/>
      <c r="K6" s="97"/>
    </row>
    <row r="7" spans="1:11" ht="20.100000000000001" customHeight="1" x14ac:dyDescent="0.25">
      <c r="A7" s="155">
        <v>4</v>
      </c>
      <c r="B7" s="137"/>
      <c r="C7" s="145">
        <v>16</v>
      </c>
      <c r="D7" s="145" t="s">
        <v>23</v>
      </c>
      <c r="E7" s="25">
        <f>'10B Sem 1'!S7</f>
        <v>68.92307692307692</v>
      </c>
      <c r="F7" s="25">
        <f>'10B Sem 2'!S7</f>
        <v>72.15384615384616</v>
      </c>
      <c r="G7" s="25">
        <f t="shared" si="0"/>
        <v>70.538461538461547</v>
      </c>
      <c r="H7" s="201">
        <f t="shared" si="1"/>
        <v>38</v>
      </c>
      <c r="J7" s="96"/>
      <c r="K7" s="97"/>
    </row>
    <row r="8" spans="1:11" ht="20.100000000000001" customHeight="1" x14ac:dyDescent="0.25">
      <c r="A8" s="155">
        <v>5</v>
      </c>
      <c r="B8" s="137"/>
      <c r="C8" s="145">
        <v>15</v>
      </c>
      <c r="D8" s="145" t="s">
        <v>20</v>
      </c>
      <c r="E8" s="25">
        <f>'10B Sem 1'!S8</f>
        <v>59.615384615384613</v>
      </c>
      <c r="F8" s="25">
        <f>'10B Sem 2'!S8</f>
        <v>62.384615384615387</v>
      </c>
      <c r="G8" s="25">
        <f t="shared" si="0"/>
        <v>61</v>
      </c>
      <c r="H8" s="201">
        <f t="shared" si="1"/>
        <v>51</v>
      </c>
      <c r="J8" s="96"/>
      <c r="K8" s="97"/>
    </row>
    <row r="9" spans="1:11" ht="20.100000000000001" customHeight="1" x14ac:dyDescent="0.25">
      <c r="A9" s="156">
        <v>6</v>
      </c>
      <c r="B9" s="137"/>
      <c r="C9" s="145">
        <v>16</v>
      </c>
      <c r="D9" s="145" t="s">
        <v>20</v>
      </c>
      <c r="E9" s="25">
        <f>'10B Sem 1'!S9</f>
        <v>74.84615384615384</v>
      </c>
      <c r="F9" s="25">
        <f>'10B Sem 2'!S9</f>
        <v>81.692307692307693</v>
      </c>
      <c r="G9" s="25">
        <f t="shared" si="0"/>
        <v>78.269230769230774</v>
      </c>
      <c r="H9" s="201">
        <f t="shared" si="1"/>
        <v>23</v>
      </c>
      <c r="J9" s="96"/>
      <c r="K9" s="97"/>
    </row>
    <row r="10" spans="1:11" ht="20.100000000000001" customHeight="1" x14ac:dyDescent="0.25">
      <c r="A10" s="155">
        <v>7</v>
      </c>
      <c r="B10" s="137"/>
      <c r="C10" s="145">
        <v>14</v>
      </c>
      <c r="D10" s="145" t="s">
        <v>23</v>
      </c>
      <c r="E10" s="25">
        <f>'10B Sem 1'!S10</f>
        <v>65</v>
      </c>
      <c r="F10" s="25">
        <f>'10B Sem 2'!S10</f>
        <v>67.769230769230774</v>
      </c>
      <c r="G10" s="25">
        <f t="shared" si="0"/>
        <v>66.384615384615387</v>
      </c>
      <c r="H10" s="201">
        <f t="shared" si="1"/>
        <v>42</v>
      </c>
      <c r="J10" s="96"/>
      <c r="K10" s="97"/>
    </row>
    <row r="11" spans="1:11" ht="20.100000000000001" customHeight="1" x14ac:dyDescent="0.25">
      <c r="A11" s="155">
        <v>8</v>
      </c>
      <c r="B11" s="137"/>
      <c r="C11" s="145">
        <v>15</v>
      </c>
      <c r="D11" s="145" t="s">
        <v>20</v>
      </c>
      <c r="E11" s="25">
        <f>'10B Sem 1'!S11</f>
        <v>66.538461538461533</v>
      </c>
      <c r="F11" s="25">
        <f>'10B Sem 2'!S11</f>
        <v>65.307692307692307</v>
      </c>
      <c r="G11" s="25">
        <f t="shared" si="0"/>
        <v>65.92307692307692</v>
      </c>
      <c r="H11" s="201">
        <f t="shared" si="1"/>
        <v>44</v>
      </c>
      <c r="J11" s="96"/>
      <c r="K11" s="97"/>
    </row>
    <row r="12" spans="1:11" ht="20.100000000000001" customHeight="1" x14ac:dyDescent="0.25">
      <c r="A12" s="156">
        <v>9</v>
      </c>
      <c r="B12" s="137"/>
      <c r="C12" s="145">
        <v>15</v>
      </c>
      <c r="D12" s="145" t="s">
        <v>23</v>
      </c>
      <c r="E12" s="25">
        <f>'10B Sem 1'!S12</f>
        <v>82.769230769230774</v>
      </c>
      <c r="F12" s="25">
        <f>'10B Sem 2'!S12</f>
        <v>77.84615384615384</v>
      </c>
      <c r="G12" s="25">
        <f t="shared" si="0"/>
        <v>80.307692307692307</v>
      </c>
      <c r="H12" s="201">
        <f t="shared" si="1"/>
        <v>18</v>
      </c>
      <c r="J12" s="96"/>
      <c r="K12" s="97"/>
    </row>
    <row r="13" spans="1:11" ht="20.100000000000001" customHeight="1" x14ac:dyDescent="0.25">
      <c r="A13" s="155">
        <v>10</v>
      </c>
      <c r="B13" s="137"/>
      <c r="C13" s="145">
        <v>15</v>
      </c>
      <c r="D13" s="145" t="s">
        <v>23</v>
      </c>
      <c r="E13" s="25">
        <f>'10B Sem 1'!S13</f>
        <v>82.15384615384616</v>
      </c>
      <c r="F13" s="25">
        <f>'10B Sem 2'!S13</f>
        <v>79.07692307692308</v>
      </c>
      <c r="G13" s="25">
        <f t="shared" si="0"/>
        <v>80.615384615384613</v>
      </c>
      <c r="H13" s="201">
        <f t="shared" si="1"/>
        <v>15</v>
      </c>
      <c r="J13" s="96"/>
      <c r="K13" s="97"/>
    </row>
    <row r="14" spans="1:11" ht="20.100000000000001" customHeight="1" x14ac:dyDescent="0.25">
      <c r="A14" s="156">
        <v>11</v>
      </c>
      <c r="B14" s="137"/>
      <c r="C14" s="145">
        <v>15</v>
      </c>
      <c r="D14" s="145" t="s">
        <v>23</v>
      </c>
      <c r="E14" s="25">
        <f>'10B Sem 1'!S14</f>
        <v>79.692307692307693</v>
      </c>
      <c r="F14" s="25">
        <f>'10B Sem 2'!S14</f>
        <v>75.92307692307692</v>
      </c>
      <c r="G14" s="25">
        <f t="shared" si="0"/>
        <v>77.807692307692307</v>
      </c>
      <c r="H14" s="201">
        <f t="shared" si="1"/>
        <v>25</v>
      </c>
      <c r="J14" s="96"/>
      <c r="K14" s="97"/>
    </row>
    <row r="15" spans="1:11" ht="20.100000000000001" customHeight="1" x14ac:dyDescent="0.25">
      <c r="A15" s="156">
        <v>12</v>
      </c>
      <c r="B15" s="137"/>
      <c r="C15" s="145">
        <v>15</v>
      </c>
      <c r="D15" s="145" t="s">
        <v>23</v>
      </c>
      <c r="E15" s="25">
        <f>'10B Sem 1'!S15</f>
        <v>74.538461538461533</v>
      </c>
      <c r="F15" s="25">
        <f>'10B Sem 2'!S15</f>
        <v>76.15384615384616</v>
      </c>
      <c r="G15" s="25">
        <f t="shared" si="0"/>
        <v>75.34615384615384</v>
      </c>
      <c r="H15" s="201">
        <f t="shared" si="1"/>
        <v>30</v>
      </c>
      <c r="J15" s="96"/>
      <c r="K15" s="97"/>
    </row>
    <row r="16" spans="1:11" ht="20.100000000000001" customHeight="1" x14ac:dyDescent="0.25">
      <c r="A16" s="156">
        <v>13</v>
      </c>
      <c r="B16" s="137"/>
      <c r="C16" s="145">
        <v>15</v>
      </c>
      <c r="D16" s="145" t="s">
        <v>20</v>
      </c>
      <c r="E16" s="25">
        <f>'10B Sem 1'!S16</f>
        <v>72.15384615384616</v>
      </c>
      <c r="F16" s="25">
        <f>'10B Sem 2'!S16</f>
        <v>80.615384615384613</v>
      </c>
      <c r="G16" s="25">
        <f t="shared" si="0"/>
        <v>76.384615384615387</v>
      </c>
      <c r="H16" s="201">
        <f t="shared" si="1"/>
        <v>27</v>
      </c>
      <c r="J16" s="96"/>
      <c r="K16" s="97"/>
    </row>
    <row r="17" spans="1:13" ht="20.100000000000001" customHeight="1" x14ac:dyDescent="0.25">
      <c r="A17" s="155">
        <v>14</v>
      </c>
      <c r="B17" s="137"/>
      <c r="C17" s="145">
        <v>16</v>
      </c>
      <c r="D17" s="145" t="s">
        <v>20</v>
      </c>
      <c r="E17" s="110">
        <f>'10B Sem 1'!S17</f>
        <v>67.230769230769226</v>
      </c>
      <c r="F17" s="110">
        <f>'10B Sem 2'!S17</f>
        <v>69.769230769230774</v>
      </c>
      <c r="G17" s="25">
        <f t="shared" si="0"/>
        <v>68.5</v>
      </c>
      <c r="H17" s="201">
        <f t="shared" si="1"/>
        <v>40</v>
      </c>
      <c r="I17" s="113"/>
      <c r="J17" s="114"/>
      <c r="K17" s="115"/>
      <c r="L17" s="113"/>
      <c r="M17" s="113"/>
    </row>
    <row r="18" spans="1:13" ht="20.100000000000001" customHeight="1" x14ac:dyDescent="0.25">
      <c r="A18" s="156">
        <v>15</v>
      </c>
      <c r="B18" s="137"/>
      <c r="C18" s="145">
        <v>15</v>
      </c>
      <c r="D18" s="145" t="s">
        <v>20</v>
      </c>
      <c r="E18" s="25">
        <f>'10B Sem 1'!S18</f>
        <v>77.84615384615384</v>
      </c>
      <c r="F18" s="25">
        <f>'10B Sem 2'!S18</f>
        <v>83.07692307692308</v>
      </c>
      <c r="G18" s="25">
        <f t="shared" si="0"/>
        <v>80.461538461538453</v>
      </c>
      <c r="H18" s="201">
        <f t="shared" si="1"/>
        <v>17</v>
      </c>
      <c r="J18" s="96"/>
      <c r="K18" s="97"/>
    </row>
    <row r="19" spans="1:13" ht="20.100000000000001" customHeight="1" x14ac:dyDescent="0.25">
      <c r="A19" s="155">
        <v>16</v>
      </c>
      <c r="B19" s="137"/>
      <c r="C19" s="145">
        <v>16</v>
      </c>
      <c r="D19" s="145" t="s">
        <v>23</v>
      </c>
      <c r="E19" s="25">
        <f>'10B Sem 1'!S19</f>
        <v>80</v>
      </c>
      <c r="F19" s="25">
        <f>'10B Sem 2'!S19</f>
        <v>80.538461538461533</v>
      </c>
      <c r="G19" s="25">
        <f t="shared" si="0"/>
        <v>80.269230769230774</v>
      </c>
      <c r="H19" s="201">
        <f t="shared" si="1"/>
        <v>19</v>
      </c>
      <c r="J19" s="96"/>
      <c r="K19" s="97"/>
    </row>
    <row r="20" spans="1:13" ht="20.100000000000001" customHeight="1" x14ac:dyDescent="0.25">
      <c r="A20" s="155">
        <v>17</v>
      </c>
      <c r="B20" s="137"/>
      <c r="C20" s="145">
        <v>16</v>
      </c>
      <c r="D20" s="145" t="s">
        <v>23</v>
      </c>
      <c r="E20" s="25">
        <f>'10B Sem 1'!S20</f>
        <v>66.15384615384616</v>
      </c>
      <c r="F20" s="25">
        <f>'10B Sem 2'!S20</f>
        <v>65.461538461538467</v>
      </c>
      <c r="G20" s="25">
        <f t="shared" si="0"/>
        <v>65.807692307692321</v>
      </c>
      <c r="H20" s="201">
        <f t="shared" si="1"/>
        <v>45</v>
      </c>
      <c r="J20" s="96"/>
      <c r="K20" s="97"/>
    </row>
    <row r="21" spans="1:13" ht="20.100000000000001" customHeight="1" x14ac:dyDescent="0.25">
      <c r="A21" s="155">
        <v>18</v>
      </c>
      <c r="B21" s="137"/>
      <c r="C21" s="145">
        <v>16</v>
      </c>
      <c r="D21" s="145" t="s">
        <v>23</v>
      </c>
      <c r="E21" s="25">
        <f>'10B Sem 1'!S21</f>
        <v>66.307692307692307</v>
      </c>
      <c r="F21" s="25">
        <f>'10B Sem 2'!S21</f>
        <v>63.53846153846154</v>
      </c>
      <c r="G21" s="25">
        <f t="shared" si="0"/>
        <v>64.92307692307692</v>
      </c>
      <c r="H21" s="201">
        <f t="shared" si="1"/>
        <v>46</v>
      </c>
      <c r="J21" s="96"/>
      <c r="K21" s="97"/>
    </row>
    <row r="22" spans="1:13" ht="20.100000000000001" customHeight="1" x14ac:dyDescent="0.25">
      <c r="A22" s="156">
        <v>19</v>
      </c>
      <c r="B22" s="137"/>
      <c r="C22" s="145">
        <v>16</v>
      </c>
      <c r="D22" s="145" t="s">
        <v>20</v>
      </c>
      <c r="E22" s="25">
        <f>'10B Sem 1'!S22</f>
        <v>80.384615384615387</v>
      </c>
      <c r="F22" s="25">
        <f>'10B Sem 2'!S22</f>
        <v>84.07692307692308</v>
      </c>
      <c r="G22" s="25">
        <f t="shared" si="0"/>
        <v>82.230769230769226</v>
      </c>
      <c r="H22" s="201">
        <f t="shared" si="1"/>
        <v>13</v>
      </c>
      <c r="J22" s="96"/>
      <c r="K22" s="97"/>
    </row>
    <row r="23" spans="1:13" ht="20.100000000000001" customHeight="1" x14ac:dyDescent="0.25">
      <c r="A23" s="156">
        <v>20</v>
      </c>
      <c r="B23" s="137"/>
      <c r="C23" s="145">
        <v>16</v>
      </c>
      <c r="D23" s="145" t="s">
        <v>23</v>
      </c>
      <c r="E23" s="25">
        <f>'10B Sem 1'!S23</f>
        <v>90.692307692307693</v>
      </c>
      <c r="F23" s="25">
        <f>'10B Sem 2'!S23</f>
        <v>90.461538461538467</v>
      </c>
      <c r="G23" s="25">
        <f t="shared" si="0"/>
        <v>90.57692307692308</v>
      </c>
      <c r="H23" s="201">
        <f t="shared" si="1"/>
        <v>5</v>
      </c>
      <c r="J23" s="96"/>
      <c r="K23" s="97"/>
    </row>
    <row r="24" spans="1:13" ht="20.100000000000001" customHeight="1" x14ac:dyDescent="0.25">
      <c r="A24" s="156">
        <v>21</v>
      </c>
      <c r="B24" s="137"/>
      <c r="C24" s="145">
        <v>16</v>
      </c>
      <c r="D24" s="145" t="s">
        <v>20</v>
      </c>
      <c r="E24" s="25">
        <f>'10B Sem 1'!S24</f>
        <v>85.769230769230774</v>
      </c>
      <c r="F24" s="25">
        <f>'10B Sem 2'!S24</f>
        <v>86.769230769230774</v>
      </c>
      <c r="G24" s="25">
        <f t="shared" si="0"/>
        <v>86.269230769230774</v>
      </c>
      <c r="H24" s="201">
        <f t="shared" si="1"/>
        <v>9</v>
      </c>
      <c r="J24" s="96"/>
      <c r="K24" s="97"/>
    </row>
    <row r="25" spans="1:13" ht="20.100000000000001" customHeight="1" x14ac:dyDescent="0.25">
      <c r="A25" s="155">
        <v>22</v>
      </c>
      <c r="B25" s="137"/>
      <c r="C25" s="145">
        <v>15</v>
      </c>
      <c r="D25" s="145" t="s">
        <v>20</v>
      </c>
      <c r="E25" s="25">
        <f>'10B Sem 1'!S25</f>
        <v>74.692307692307693</v>
      </c>
      <c r="F25" s="25">
        <f>'10B Sem 2'!S25</f>
        <v>73.84615384615384</v>
      </c>
      <c r="G25" s="25">
        <f t="shared" si="0"/>
        <v>74.269230769230774</v>
      </c>
      <c r="H25" s="201">
        <f t="shared" si="1"/>
        <v>32</v>
      </c>
      <c r="J25" s="96"/>
      <c r="K25" s="97"/>
    </row>
    <row r="26" spans="1:13" ht="20.100000000000001" customHeight="1" x14ac:dyDescent="0.25">
      <c r="A26" s="155">
        <v>23</v>
      </c>
      <c r="B26" s="137"/>
      <c r="C26" s="145">
        <v>16</v>
      </c>
      <c r="D26" s="145" t="s">
        <v>23</v>
      </c>
      <c r="E26" s="25">
        <f>'10B Sem 1'!S26</f>
        <v>58.692307692307693</v>
      </c>
      <c r="F26" s="25">
        <f>'10B Sem 2'!S26</f>
        <v>60.846153846153847</v>
      </c>
      <c r="G26" s="25">
        <f t="shared" si="0"/>
        <v>59.769230769230774</v>
      </c>
      <c r="H26" s="201">
        <f t="shared" si="1"/>
        <v>52</v>
      </c>
      <c r="J26" s="96"/>
      <c r="K26" s="97"/>
    </row>
    <row r="27" spans="1:13" ht="20.100000000000001" customHeight="1" x14ac:dyDescent="0.25">
      <c r="A27" s="156">
        <v>24</v>
      </c>
      <c r="B27" s="137"/>
      <c r="C27" s="145">
        <v>16</v>
      </c>
      <c r="D27" s="145" t="s">
        <v>23</v>
      </c>
      <c r="E27" s="25">
        <f>'10B Sem 1'!S27</f>
        <v>77.230769230769226</v>
      </c>
      <c r="F27" s="25">
        <f>'10B Sem 2'!S27</f>
        <v>80.461538461538467</v>
      </c>
      <c r="G27" s="25">
        <f t="shared" si="0"/>
        <v>78.84615384615384</v>
      </c>
      <c r="H27" s="201">
        <f t="shared" si="1"/>
        <v>21</v>
      </c>
      <c r="J27" s="96"/>
      <c r="K27" s="97"/>
    </row>
    <row r="28" spans="1:13" ht="20.100000000000001" customHeight="1" x14ac:dyDescent="0.25">
      <c r="A28" s="155">
        <v>25</v>
      </c>
      <c r="B28" s="137"/>
      <c r="C28" s="145">
        <v>16</v>
      </c>
      <c r="D28" s="145" t="s">
        <v>23</v>
      </c>
      <c r="E28" s="25">
        <f>'10B Sem 1'!S28</f>
        <v>69.615384615384613</v>
      </c>
      <c r="F28" s="25">
        <f>'10B Sem 2'!S28</f>
        <v>72.15384615384616</v>
      </c>
      <c r="G28" s="25">
        <f t="shared" si="0"/>
        <v>70.884615384615387</v>
      </c>
      <c r="H28" s="201">
        <f t="shared" si="1"/>
        <v>37</v>
      </c>
      <c r="J28" s="96"/>
      <c r="K28" s="97"/>
    </row>
    <row r="29" spans="1:13" ht="20.100000000000001" customHeight="1" x14ac:dyDescent="0.25">
      <c r="A29" s="156">
        <v>26</v>
      </c>
      <c r="B29" s="137"/>
      <c r="C29" s="145">
        <v>15</v>
      </c>
      <c r="D29" s="145" t="s">
        <v>23</v>
      </c>
      <c r="E29" s="25">
        <f>'10B Sem 1'!S29</f>
        <v>68.15384615384616</v>
      </c>
      <c r="F29" s="25">
        <f>'10B Sem 2'!S29</f>
        <v>68.692307692307693</v>
      </c>
      <c r="G29" s="25">
        <f t="shared" si="0"/>
        <v>68.423076923076934</v>
      </c>
      <c r="H29" s="201">
        <f t="shared" si="1"/>
        <v>41</v>
      </c>
      <c r="J29" s="96"/>
      <c r="K29" s="97"/>
    </row>
    <row r="30" spans="1:13" ht="20.100000000000001" customHeight="1" x14ac:dyDescent="0.25">
      <c r="A30" s="156">
        <v>27</v>
      </c>
      <c r="B30" s="137"/>
      <c r="C30" s="145">
        <v>14</v>
      </c>
      <c r="D30" s="145" t="s">
        <v>20</v>
      </c>
      <c r="E30" s="25">
        <f>'10B Sem 1'!S30</f>
        <v>76.384615384615387</v>
      </c>
      <c r="F30" s="25">
        <f>'10B Sem 2'!S30</f>
        <v>71.384615384615387</v>
      </c>
      <c r="G30" s="25">
        <f t="shared" si="0"/>
        <v>73.884615384615387</v>
      </c>
      <c r="H30" s="201">
        <f t="shared" si="1"/>
        <v>33</v>
      </c>
      <c r="J30" s="96"/>
      <c r="K30" s="97"/>
    </row>
    <row r="31" spans="1:13" ht="20.100000000000001" customHeight="1" x14ac:dyDescent="0.25">
      <c r="A31" s="156">
        <v>28</v>
      </c>
      <c r="B31" s="137"/>
      <c r="C31" s="145">
        <v>15</v>
      </c>
      <c r="D31" s="145" t="s">
        <v>23</v>
      </c>
      <c r="E31" s="25">
        <f>'10B Sem 1'!S31</f>
        <v>81.92307692307692</v>
      </c>
      <c r="F31" s="25">
        <f>'10B Sem 2'!S31</f>
        <v>84</v>
      </c>
      <c r="G31" s="25">
        <f t="shared" si="0"/>
        <v>82.961538461538453</v>
      </c>
      <c r="H31" s="201">
        <f t="shared" si="1"/>
        <v>11</v>
      </c>
      <c r="J31" s="96"/>
      <c r="K31" s="97"/>
    </row>
    <row r="32" spans="1:13" ht="20.100000000000001" customHeight="1" x14ac:dyDescent="0.25">
      <c r="A32" s="155">
        <v>29</v>
      </c>
      <c r="B32" s="137"/>
      <c r="C32" s="145">
        <v>16</v>
      </c>
      <c r="D32" s="145" t="s">
        <v>20</v>
      </c>
      <c r="E32" s="25">
        <f>'10B Sem 1'!S32</f>
        <v>0</v>
      </c>
      <c r="F32" s="25">
        <f>'10B Sem 2'!S32</f>
        <v>0</v>
      </c>
      <c r="G32" s="25">
        <f t="shared" si="0"/>
        <v>0</v>
      </c>
      <c r="H32" s="201">
        <f t="shared" si="1"/>
        <v>56</v>
      </c>
      <c r="J32" s="96"/>
      <c r="K32" s="97"/>
    </row>
    <row r="33" spans="1:11" ht="20.100000000000001" customHeight="1" x14ac:dyDescent="0.25">
      <c r="A33" s="156">
        <v>30</v>
      </c>
      <c r="B33" s="146"/>
      <c r="C33" s="148">
        <v>15</v>
      </c>
      <c r="D33" s="148" t="s">
        <v>23</v>
      </c>
      <c r="E33" s="25">
        <f>'10B Sem 1'!S33</f>
        <v>59.307692307692307</v>
      </c>
      <c r="F33" s="25">
        <f>'10B Sem 2'!S33</f>
        <v>64.538461538461533</v>
      </c>
      <c r="G33" s="25">
        <f t="shared" si="0"/>
        <v>61.92307692307692</v>
      </c>
      <c r="H33" s="201">
        <f t="shared" si="1"/>
        <v>49</v>
      </c>
      <c r="J33" s="96"/>
      <c r="K33" s="97"/>
    </row>
    <row r="34" spans="1:11" ht="20.100000000000001" customHeight="1" x14ac:dyDescent="0.25">
      <c r="A34" s="155">
        <v>31</v>
      </c>
      <c r="B34" s="137"/>
      <c r="C34" s="145">
        <v>16</v>
      </c>
      <c r="D34" s="145" t="s">
        <v>20</v>
      </c>
      <c r="E34" s="25">
        <f>'10B Sem 1'!S34</f>
        <v>76.384615384615387</v>
      </c>
      <c r="F34" s="25">
        <f>'10B Sem 2'!S34</f>
        <v>73.84615384615384</v>
      </c>
      <c r="G34" s="25">
        <f t="shared" si="0"/>
        <v>75.115384615384613</v>
      </c>
      <c r="H34" s="201">
        <f t="shared" si="1"/>
        <v>31</v>
      </c>
      <c r="J34" s="96"/>
      <c r="K34" s="97"/>
    </row>
    <row r="35" spans="1:11" ht="20.100000000000001" customHeight="1" x14ac:dyDescent="0.25">
      <c r="A35" s="155">
        <v>32</v>
      </c>
      <c r="B35" s="137"/>
      <c r="C35" s="145">
        <v>15</v>
      </c>
      <c r="D35" s="145" t="s">
        <v>23</v>
      </c>
      <c r="E35" s="25">
        <f>'10B Sem 1'!S35</f>
        <v>90.384615384615387</v>
      </c>
      <c r="F35" s="25">
        <f>'10B Sem 2'!S35</f>
        <v>90.769230769230774</v>
      </c>
      <c r="G35" s="25">
        <f t="shared" si="0"/>
        <v>90.57692307692308</v>
      </c>
      <c r="H35" s="201">
        <f t="shared" si="1"/>
        <v>5</v>
      </c>
      <c r="J35" s="96"/>
      <c r="K35" s="97"/>
    </row>
    <row r="36" spans="1:11" ht="20.100000000000001" customHeight="1" x14ac:dyDescent="0.25">
      <c r="A36" s="155">
        <v>33</v>
      </c>
      <c r="B36" s="137"/>
      <c r="C36" s="145">
        <v>15</v>
      </c>
      <c r="D36" s="145" t="s">
        <v>23</v>
      </c>
      <c r="E36" s="25">
        <f>'10B Sem 1'!S36</f>
        <v>92.92307692307692</v>
      </c>
      <c r="F36" s="25">
        <f>'10B Sem 2'!S36</f>
        <v>90</v>
      </c>
      <c r="G36" s="25">
        <f t="shared" si="0"/>
        <v>91.461538461538453</v>
      </c>
      <c r="H36" s="201">
        <f t="shared" si="1"/>
        <v>3</v>
      </c>
      <c r="J36" s="96"/>
      <c r="K36" s="97"/>
    </row>
    <row r="37" spans="1:11" ht="20.100000000000001" customHeight="1" x14ac:dyDescent="0.25">
      <c r="A37" s="156">
        <v>34</v>
      </c>
      <c r="B37" s="137"/>
      <c r="C37" s="145">
        <v>15</v>
      </c>
      <c r="D37" s="145" t="s">
        <v>20</v>
      </c>
      <c r="E37" s="25">
        <f>'10B Sem 1'!S37</f>
        <v>75.615384615384613</v>
      </c>
      <c r="F37" s="25">
        <f>'10B Sem 2'!S37</f>
        <v>78.384615384615387</v>
      </c>
      <c r="G37" s="25">
        <f t="shared" si="0"/>
        <v>77</v>
      </c>
      <c r="H37" s="201">
        <f t="shared" si="1"/>
        <v>26</v>
      </c>
      <c r="J37" s="96"/>
      <c r="K37" s="97"/>
    </row>
    <row r="38" spans="1:11" ht="20.100000000000001" customHeight="1" x14ac:dyDescent="0.25">
      <c r="A38" s="156">
        <v>35</v>
      </c>
      <c r="B38" s="137"/>
      <c r="C38" s="145">
        <v>16</v>
      </c>
      <c r="D38" s="145" t="s">
        <v>23</v>
      </c>
      <c r="E38" s="25">
        <f>'10B Sem 1'!S38</f>
        <v>73.15384615384616</v>
      </c>
      <c r="F38" s="25">
        <f>'10B Sem 2'!S38</f>
        <v>74.307692307692307</v>
      </c>
      <c r="G38" s="25">
        <f t="shared" si="0"/>
        <v>73.730769230769226</v>
      </c>
      <c r="H38" s="201">
        <f t="shared" si="1"/>
        <v>34</v>
      </c>
      <c r="J38" s="96"/>
      <c r="K38" s="97"/>
    </row>
    <row r="39" spans="1:11" ht="20.100000000000001" customHeight="1" x14ac:dyDescent="0.25">
      <c r="A39" s="156">
        <v>36</v>
      </c>
      <c r="B39" s="137"/>
      <c r="C39" s="145">
        <v>16</v>
      </c>
      <c r="D39" s="145" t="s">
        <v>23</v>
      </c>
      <c r="E39" s="25">
        <f>'10B Sem 1'!S39</f>
        <v>80.92307692307692</v>
      </c>
      <c r="F39" s="25">
        <f>'10B Sem 2'!S39</f>
        <v>80.307692307692307</v>
      </c>
      <c r="G39" s="25">
        <f t="shared" si="0"/>
        <v>80.615384615384613</v>
      </c>
      <c r="H39" s="201">
        <f t="shared" si="1"/>
        <v>15</v>
      </c>
      <c r="J39" s="96"/>
      <c r="K39" s="97"/>
    </row>
    <row r="40" spans="1:11" ht="20.100000000000001" customHeight="1" x14ac:dyDescent="0.25">
      <c r="A40" s="155">
        <v>37</v>
      </c>
      <c r="B40" s="137"/>
      <c r="C40" s="145">
        <v>16</v>
      </c>
      <c r="D40" s="145" t="s">
        <v>20</v>
      </c>
      <c r="E40" s="25">
        <f>'10B Sem 1'!S40</f>
        <v>73.615384615384613</v>
      </c>
      <c r="F40" s="25">
        <f>'10B Sem 2'!S40</f>
        <v>70.92307692307692</v>
      </c>
      <c r="G40" s="25">
        <f t="shared" si="0"/>
        <v>72.269230769230774</v>
      </c>
      <c r="H40" s="201">
        <f t="shared" si="1"/>
        <v>36</v>
      </c>
      <c r="J40" s="96"/>
      <c r="K40" s="97"/>
    </row>
    <row r="41" spans="1:11" ht="20.100000000000001" customHeight="1" x14ac:dyDescent="0.25">
      <c r="A41" s="155">
        <v>38</v>
      </c>
      <c r="B41" s="137"/>
      <c r="C41" s="145">
        <v>16</v>
      </c>
      <c r="D41" s="145" t="s">
        <v>20</v>
      </c>
      <c r="E41" s="25">
        <f>'10B Sem 1'!S41</f>
        <v>85.307692307692307</v>
      </c>
      <c r="F41" s="25">
        <f>'10B Sem 2'!S41</f>
        <v>84.692307692307693</v>
      </c>
      <c r="G41" s="25">
        <f t="shared" si="0"/>
        <v>85</v>
      </c>
      <c r="H41" s="201">
        <f t="shared" si="1"/>
        <v>10</v>
      </c>
      <c r="J41" s="96"/>
      <c r="K41" s="97"/>
    </row>
    <row r="42" spans="1:11" ht="20.100000000000001" customHeight="1" x14ac:dyDescent="0.25">
      <c r="A42" s="156">
        <v>39</v>
      </c>
      <c r="B42" s="137"/>
      <c r="C42" s="145">
        <v>16</v>
      </c>
      <c r="D42" s="145" t="s">
        <v>20</v>
      </c>
      <c r="E42" s="25">
        <f>'10B Sem 1'!S42</f>
        <v>83.615384615384613</v>
      </c>
      <c r="F42" s="25">
        <f>'10B Sem 2'!S42</f>
        <v>82.15384615384616</v>
      </c>
      <c r="G42" s="25">
        <f t="shared" si="0"/>
        <v>82.884615384615387</v>
      </c>
      <c r="H42" s="201">
        <f t="shared" si="1"/>
        <v>12</v>
      </c>
      <c r="J42" s="96"/>
      <c r="K42" s="97"/>
    </row>
    <row r="43" spans="1:11" ht="20.100000000000001" customHeight="1" x14ac:dyDescent="0.25">
      <c r="A43" s="155">
        <v>40</v>
      </c>
      <c r="B43" s="137"/>
      <c r="C43" s="145">
        <v>15</v>
      </c>
      <c r="D43" s="145" t="s">
        <v>20</v>
      </c>
      <c r="E43" s="25">
        <f>'10B Sem 1'!S43</f>
        <v>75.07692307692308</v>
      </c>
      <c r="F43" s="25">
        <f>'10B Sem 2'!S43</f>
        <v>81.461538461538467</v>
      </c>
      <c r="G43" s="25">
        <f t="shared" si="0"/>
        <v>78.269230769230774</v>
      </c>
      <c r="H43" s="201">
        <f t="shared" si="1"/>
        <v>23</v>
      </c>
      <c r="J43" s="96"/>
      <c r="K43" s="97"/>
    </row>
    <row r="44" spans="1:11" ht="20.100000000000001" customHeight="1" x14ac:dyDescent="0.25">
      <c r="A44" s="156">
        <v>41</v>
      </c>
      <c r="B44" s="137"/>
      <c r="C44" s="145">
        <v>15</v>
      </c>
      <c r="D44" s="145" t="s">
        <v>20</v>
      </c>
      <c r="E44" s="25">
        <f>'10B Sem 1'!S44</f>
        <v>74.384615384615387</v>
      </c>
      <c r="F44" s="25">
        <f>'10B Sem 2'!S44</f>
        <v>77.769230769230774</v>
      </c>
      <c r="G44" s="25">
        <f t="shared" si="0"/>
        <v>76.07692307692308</v>
      </c>
      <c r="H44" s="201">
        <f t="shared" si="1"/>
        <v>28</v>
      </c>
      <c r="J44" s="96"/>
      <c r="K44" s="97"/>
    </row>
    <row r="45" spans="1:11" ht="20.100000000000001" customHeight="1" x14ac:dyDescent="0.25">
      <c r="A45" s="156">
        <v>42</v>
      </c>
      <c r="B45" s="137"/>
      <c r="C45" s="145">
        <v>16</v>
      </c>
      <c r="D45" s="145" t="s">
        <v>23</v>
      </c>
      <c r="E45" s="25">
        <f>'10B Sem 1'!S45</f>
        <v>88.07692307692308</v>
      </c>
      <c r="F45" s="25">
        <f>'10B Sem 2'!S45</f>
        <v>87.615384615384613</v>
      </c>
      <c r="G45" s="25">
        <f t="shared" si="0"/>
        <v>87.84615384615384</v>
      </c>
      <c r="H45" s="201">
        <f t="shared" si="1"/>
        <v>7</v>
      </c>
      <c r="J45" s="96"/>
      <c r="K45" s="97"/>
    </row>
    <row r="46" spans="1:11" ht="20.100000000000001" customHeight="1" x14ac:dyDescent="0.25">
      <c r="A46" s="156">
        <v>43</v>
      </c>
      <c r="B46" s="137"/>
      <c r="C46" s="145">
        <v>15</v>
      </c>
      <c r="D46" s="145" t="s">
        <v>20</v>
      </c>
      <c r="E46" s="25">
        <f>'10B Sem 1'!S46</f>
        <v>77</v>
      </c>
      <c r="F46" s="25">
        <f>'10B Sem 2'!S46</f>
        <v>80.692307692307693</v>
      </c>
      <c r="G46" s="25">
        <f t="shared" si="0"/>
        <v>78.84615384615384</v>
      </c>
      <c r="H46" s="201">
        <f t="shared" si="1"/>
        <v>21</v>
      </c>
      <c r="J46" s="96"/>
      <c r="K46" s="97"/>
    </row>
    <row r="47" spans="1:11" ht="20.100000000000001" customHeight="1" x14ac:dyDescent="0.25">
      <c r="A47" s="155">
        <v>44</v>
      </c>
      <c r="B47" s="137"/>
      <c r="C47" s="145">
        <v>15</v>
      </c>
      <c r="D47" s="145" t="s">
        <v>23</v>
      </c>
      <c r="E47" s="25">
        <f>'10B Sem 1'!S47</f>
        <v>88.230769230769226</v>
      </c>
      <c r="F47" s="25">
        <f>'10B Sem 2'!S47</f>
        <v>85.461538461538467</v>
      </c>
      <c r="G47" s="25">
        <f t="shared" si="0"/>
        <v>86.84615384615384</v>
      </c>
      <c r="H47" s="201">
        <f t="shared" si="1"/>
        <v>8</v>
      </c>
      <c r="J47" s="96"/>
      <c r="K47" s="97"/>
    </row>
    <row r="48" spans="1:11" ht="20.100000000000001" customHeight="1" x14ac:dyDescent="0.25">
      <c r="A48" s="156">
        <v>45</v>
      </c>
      <c r="B48" s="137"/>
      <c r="C48" s="145">
        <v>15</v>
      </c>
      <c r="D48" s="145" t="s">
        <v>23</v>
      </c>
      <c r="E48" s="25">
        <f>'10B Sem 1'!S48</f>
        <v>54.92307692307692</v>
      </c>
      <c r="F48" s="25">
        <f>'10B Sem 2'!S48</f>
        <v>56.307692307692307</v>
      </c>
      <c r="G48" s="25">
        <f t="shared" si="0"/>
        <v>55.615384615384613</v>
      </c>
      <c r="H48" s="201">
        <f t="shared" si="1"/>
        <v>54</v>
      </c>
      <c r="J48" s="96"/>
      <c r="K48" s="97"/>
    </row>
    <row r="49" spans="1:11" ht="20.100000000000001" customHeight="1" x14ac:dyDescent="0.25">
      <c r="A49" s="155">
        <v>46</v>
      </c>
      <c r="B49" s="137"/>
      <c r="C49" s="145">
        <v>15</v>
      </c>
      <c r="D49" s="145" t="s">
        <v>23</v>
      </c>
      <c r="E49" s="25">
        <f>'10B Sem 1'!S49</f>
        <v>63.769230769230766</v>
      </c>
      <c r="F49" s="25">
        <f>'10B Sem 2'!S49</f>
        <v>64.230769230769226</v>
      </c>
      <c r="G49" s="25">
        <f t="shared" si="0"/>
        <v>64</v>
      </c>
      <c r="H49" s="201">
        <f t="shared" si="1"/>
        <v>48</v>
      </c>
      <c r="J49" s="96"/>
      <c r="K49" s="97"/>
    </row>
    <row r="50" spans="1:11" ht="20.100000000000001" customHeight="1" x14ac:dyDescent="0.25">
      <c r="A50" s="155">
        <v>47</v>
      </c>
      <c r="B50" s="137"/>
      <c r="C50" s="145">
        <v>14</v>
      </c>
      <c r="D50" s="145" t="s">
        <v>23</v>
      </c>
      <c r="E50" s="25">
        <f>'10B Sem 1'!S50</f>
        <v>61.92307692307692</v>
      </c>
      <c r="F50" s="25">
        <f>'10B Sem 2'!S50</f>
        <v>60.615384615384613</v>
      </c>
      <c r="G50" s="25">
        <f t="shared" si="0"/>
        <v>61.269230769230766</v>
      </c>
      <c r="H50" s="201">
        <f t="shared" si="1"/>
        <v>50</v>
      </c>
      <c r="J50" s="96"/>
      <c r="K50" s="97"/>
    </row>
    <row r="51" spans="1:11" ht="20.100000000000001" customHeight="1" x14ac:dyDescent="0.25">
      <c r="A51" s="155">
        <v>48</v>
      </c>
      <c r="B51" s="137"/>
      <c r="C51" s="145">
        <v>16</v>
      </c>
      <c r="D51" s="145" t="s">
        <v>23</v>
      </c>
      <c r="E51" s="25">
        <f>'10B Sem 1'!S51</f>
        <v>90.15384615384616</v>
      </c>
      <c r="F51" s="25">
        <f>'10B Sem 2'!S51</f>
        <v>93.461538461538467</v>
      </c>
      <c r="G51" s="25">
        <f t="shared" si="0"/>
        <v>91.807692307692321</v>
      </c>
      <c r="H51" s="201">
        <f t="shared" si="1"/>
        <v>2</v>
      </c>
      <c r="J51" s="96"/>
      <c r="K51" s="97"/>
    </row>
    <row r="52" spans="1:11" ht="20.100000000000001" customHeight="1" x14ac:dyDescent="0.25">
      <c r="A52" s="156">
        <v>49</v>
      </c>
      <c r="B52" s="137"/>
      <c r="C52" s="145">
        <v>16</v>
      </c>
      <c r="D52" s="145" t="s">
        <v>20</v>
      </c>
      <c r="E52" s="25">
        <f>'10B Sem 1'!S52</f>
        <v>79.461538461538467</v>
      </c>
      <c r="F52" s="25">
        <f>'10B Sem 2'!S52</f>
        <v>84</v>
      </c>
      <c r="G52" s="25">
        <f t="shared" si="0"/>
        <v>81.730769230769226</v>
      </c>
      <c r="H52" s="201">
        <f t="shared" si="1"/>
        <v>14</v>
      </c>
      <c r="J52" s="96"/>
      <c r="K52" s="97"/>
    </row>
    <row r="53" spans="1:11" ht="20.100000000000001" customHeight="1" x14ac:dyDescent="0.25">
      <c r="A53" s="170">
        <v>50</v>
      </c>
      <c r="B53" s="137"/>
      <c r="C53" s="145">
        <v>16</v>
      </c>
      <c r="D53" s="145" t="s">
        <v>20</v>
      </c>
      <c r="E53" s="25">
        <f>'10B Sem 1'!S53</f>
        <v>58.92307692307692</v>
      </c>
      <c r="F53" s="25">
        <f>'10B Sem 2'!S53</f>
        <v>60.615384615384613</v>
      </c>
      <c r="G53" s="25">
        <f t="shared" si="0"/>
        <v>59.769230769230766</v>
      </c>
      <c r="H53" s="201">
        <f t="shared" si="1"/>
        <v>53</v>
      </c>
      <c r="J53" s="96"/>
      <c r="K53" s="97"/>
    </row>
    <row r="54" spans="1:11" ht="19.5" customHeight="1" x14ac:dyDescent="0.25">
      <c r="A54" s="156">
        <v>51</v>
      </c>
      <c r="B54" s="137"/>
      <c r="C54" s="145">
        <v>15</v>
      </c>
      <c r="D54" s="145" t="s">
        <v>23</v>
      </c>
      <c r="E54" s="93">
        <f>'10B Sem 1'!S54</f>
        <v>74.692307692307693</v>
      </c>
      <c r="F54" s="93">
        <f>'10B Sem 2'!S54</f>
        <v>76.769230769230774</v>
      </c>
      <c r="G54" s="25">
        <f t="shared" si="0"/>
        <v>75.730769230769226</v>
      </c>
      <c r="H54" s="201">
        <f t="shared" si="1"/>
        <v>29</v>
      </c>
    </row>
    <row r="55" spans="1:11" ht="19.5" customHeight="1" x14ac:dyDescent="0.25">
      <c r="A55" s="170">
        <v>52</v>
      </c>
      <c r="B55" s="137"/>
      <c r="C55" s="145">
        <v>15</v>
      </c>
      <c r="D55" s="145" t="s">
        <v>23</v>
      </c>
      <c r="E55" s="25">
        <f>'10B Sem 1'!S55</f>
        <v>65.15384615384616</v>
      </c>
      <c r="F55" s="25">
        <f>'10B Sem 2'!S55</f>
        <v>64.461538461538467</v>
      </c>
      <c r="G55" s="25">
        <f t="shared" si="0"/>
        <v>64.807692307692321</v>
      </c>
      <c r="H55" s="201">
        <f t="shared" si="1"/>
        <v>47</v>
      </c>
    </row>
    <row r="56" spans="1:11" ht="19.5" customHeight="1" x14ac:dyDescent="0.25">
      <c r="A56" s="156">
        <v>53</v>
      </c>
      <c r="B56" s="137"/>
      <c r="C56" s="145">
        <v>16</v>
      </c>
      <c r="D56" s="145" t="s">
        <v>23</v>
      </c>
      <c r="E56" s="25">
        <f>'10B Sem 1'!S56</f>
        <v>97.92307692307692</v>
      </c>
      <c r="F56" s="25">
        <f>'10B Sem 2'!S56</f>
        <v>97.769230769230774</v>
      </c>
      <c r="G56" s="25">
        <f t="shared" si="0"/>
        <v>97.84615384615384</v>
      </c>
      <c r="H56" s="201">
        <f t="shared" si="1"/>
        <v>1</v>
      </c>
    </row>
    <row r="57" spans="1:11" ht="19.5" customHeight="1" x14ac:dyDescent="0.25">
      <c r="A57" s="171">
        <v>54</v>
      </c>
      <c r="B57" s="137"/>
      <c r="C57" s="145">
        <v>15</v>
      </c>
      <c r="D57" s="145" t="s">
        <v>20</v>
      </c>
      <c r="E57" s="25">
        <f>'10B Sem 1'!S57</f>
        <v>81.07692307692308</v>
      </c>
      <c r="F57" s="25">
        <f>'10B Sem 2'!S57</f>
        <v>77.538461538461533</v>
      </c>
      <c r="G57" s="25">
        <f t="shared" si="0"/>
        <v>79.307692307692307</v>
      </c>
      <c r="H57" s="201">
        <f t="shared" si="1"/>
        <v>20</v>
      </c>
    </row>
    <row r="58" spans="1:11" ht="19.5" customHeight="1" x14ac:dyDescent="0.25">
      <c r="A58" s="157">
        <v>55</v>
      </c>
      <c r="B58" s="137"/>
      <c r="C58" s="145">
        <v>16</v>
      </c>
      <c r="D58" s="145" t="s">
        <v>20</v>
      </c>
      <c r="E58" s="25">
        <f>'10B Sem 1'!S58</f>
        <v>92.538461538461533</v>
      </c>
      <c r="F58" s="25">
        <f>'10B Sem 2'!S58</f>
        <v>90</v>
      </c>
      <c r="G58" s="25">
        <f t="shared" si="0"/>
        <v>91.269230769230774</v>
      </c>
      <c r="H58" s="201">
        <f t="shared" si="1"/>
        <v>4</v>
      </c>
    </row>
    <row r="59" spans="1:11" ht="19.5" customHeight="1" x14ac:dyDescent="0.25">
      <c r="A59" s="171">
        <v>56</v>
      </c>
      <c r="B59" s="153"/>
      <c r="C59" s="42">
        <v>15</v>
      </c>
      <c r="D59" s="42" t="s">
        <v>20</v>
      </c>
      <c r="E59" s="25">
        <f>'10B Sem 1'!S59</f>
        <v>70.461538461538467</v>
      </c>
      <c r="F59" s="25">
        <f>'10B Sem 2'!S59</f>
        <v>69.307692307692307</v>
      </c>
      <c r="G59" s="25">
        <f t="shared" si="0"/>
        <v>69.884615384615387</v>
      </c>
      <c r="H59" s="201">
        <f t="shared" si="1"/>
        <v>39</v>
      </c>
    </row>
  </sheetData>
  <mergeCells count="2">
    <mergeCell ref="A2:H2"/>
    <mergeCell ref="A1:H1"/>
  </mergeCells>
  <pageMargins left="0.7" right="0.7" top="0.75" bottom="0.75" header="0.3" footer="0.3"/>
  <pageSetup scale="9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68"/>
  <sheetViews>
    <sheetView workbookViewId="0">
      <selection activeCell="B4" sqref="B4:B156"/>
    </sheetView>
  </sheetViews>
  <sheetFormatPr defaultRowHeight="15" x14ac:dyDescent="0.25"/>
  <cols>
    <col min="1" max="1" width="4.85546875" customWidth="1"/>
    <col min="2" max="2" width="37.140625" customWidth="1"/>
    <col min="3" max="3" width="5.140625" customWidth="1"/>
    <col min="4" max="4" width="4" customWidth="1"/>
    <col min="5" max="5" width="11.42578125" customWidth="1"/>
    <col min="6" max="17" width="7.7109375" customWidth="1"/>
    <col min="18" max="18" width="38.28515625" customWidth="1"/>
    <col min="19" max="20" width="4.85546875" customWidth="1"/>
  </cols>
  <sheetData>
    <row r="1" spans="1:20" ht="20.25" customHeight="1" thickBot="1" x14ac:dyDescent="0.3">
      <c r="A1" s="254" t="s">
        <v>60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6"/>
      <c r="R1" s="37"/>
    </row>
    <row r="2" spans="1:20" ht="15.75" customHeight="1" thickBot="1" x14ac:dyDescent="0.3">
      <c r="A2" s="257" t="s">
        <v>43</v>
      </c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8"/>
      <c r="R2" s="37"/>
    </row>
    <row r="3" spans="1:20" ht="61.5" customHeight="1" thickBot="1" x14ac:dyDescent="0.3">
      <c r="A3" s="61" t="s">
        <v>28</v>
      </c>
      <c r="B3" s="61" t="s">
        <v>1</v>
      </c>
      <c r="C3" s="61" t="s">
        <v>2</v>
      </c>
      <c r="D3" s="61" t="s">
        <v>3</v>
      </c>
      <c r="E3" s="53" t="s">
        <v>25</v>
      </c>
      <c r="F3" s="121" t="s">
        <v>5</v>
      </c>
      <c r="G3" s="121" t="s">
        <v>6</v>
      </c>
      <c r="H3" s="121" t="s">
        <v>7</v>
      </c>
      <c r="I3" s="121" t="s">
        <v>8</v>
      </c>
      <c r="J3" s="121" t="s">
        <v>9</v>
      </c>
      <c r="K3" s="121" t="s">
        <v>67</v>
      </c>
      <c r="L3" s="121" t="s">
        <v>68</v>
      </c>
      <c r="M3" s="121" t="s">
        <v>15</v>
      </c>
      <c r="N3" s="121" t="s">
        <v>16</v>
      </c>
      <c r="O3" s="121" t="s">
        <v>17</v>
      </c>
      <c r="P3" s="121" t="s">
        <v>18</v>
      </c>
      <c r="Q3" s="129" t="s">
        <v>19</v>
      </c>
    </row>
    <row r="4" spans="1:20" ht="20.100000000000001" customHeight="1" thickBot="1" x14ac:dyDescent="0.35">
      <c r="A4" s="237">
        <v>1</v>
      </c>
      <c r="B4" s="228"/>
      <c r="C4" s="230">
        <v>16</v>
      </c>
      <c r="D4" s="233" t="s">
        <v>20</v>
      </c>
      <c r="E4" s="183" t="s">
        <v>21</v>
      </c>
      <c r="F4" s="23">
        <f>'11A (N S) Sem1 '!E4</f>
        <v>91</v>
      </c>
      <c r="G4" s="23">
        <f>'11A (N S) Sem1 '!F4</f>
        <v>95</v>
      </c>
      <c r="H4" s="23">
        <f>'11A (N S) Sem1 '!G4</f>
        <v>97</v>
      </c>
      <c r="I4" s="23">
        <f>'11A (N S) Sem1 '!H4</f>
        <v>100</v>
      </c>
      <c r="J4" s="23">
        <f>'11A (N S) Sem1 '!I4</f>
        <v>99</v>
      </c>
      <c r="K4" s="23">
        <f>'11A (N S) Sem1 '!J4</f>
        <v>100</v>
      </c>
      <c r="L4" s="23">
        <f>'11A (N S) Sem1 '!K4</f>
        <v>92</v>
      </c>
      <c r="M4" s="23">
        <f>'11A (N S) Sem1 '!L4</f>
        <v>674</v>
      </c>
      <c r="N4" s="192">
        <f>'11A (N S) Sem1 '!M4</f>
        <v>96.285714285714292</v>
      </c>
      <c r="O4" s="22">
        <f>'11A (N S) Sem1 '!N4</f>
        <v>1</v>
      </c>
      <c r="P4" s="23">
        <f>'11A (N S) Sem1 '!O4</f>
        <v>0</v>
      </c>
      <c r="Q4" s="42">
        <f>'11A (N S) Sem1 '!P4</f>
        <v>0</v>
      </c>
      <c r="R4" s="78"/>
    </row>
    <row r="5" spans="1:20" ht="20.100000000000001" customHeight="1" thickBot="1" x14ac:dyDescent="0.35">
      <c r="A5" s="247"/>
      <c r="B5" s="218"/>
      <c r="C5" s="213">
        <v>16</v>
      </c>
      <c r="D5" s="217" t="s">
        <v>20</v>
      </c>
      <c r="E5" s="24" t="s">
        <v>22</v>
      </c>
      <c r="F5" s="23">
        <f>'11A (N S) Sem2'!E4</f>
        <v>99</v>
      </c>
      <c r="G5" s="23">
        <f>'11A (N S) Sem2'!F4</f>
        <v>93</v>
      </c>
      <c r="H5" s="23">
        <f>'11A (N S) Sem2'!G4</f>
        <v>95</v>
      </c>
      <c r="I5" s="23">
        <f>'11A (N S) Sem2'!H4</f>
        <v>100</v>
      </c>
      <c r="J5" s="23">
        <f>'11A (N S) Sem2'!I4</f>
        <v>100</v>
      </c>
      <c r="K5" s="23">
        <f>'11A (N S) Sem2'!J4</f>
        <v>100</v>
      </c>
      <c r="L5" s="23">
        <f>'11A (N S) Sem2'!K4</f>
        <v>98</v>
      </c>
      <c r="M5" s="23">
        <f>'11A (N S) Sem2'!L4</f>
        <v>685</v>
      </c>
      <c r="N5" s="192">
        <f>'11A (N S) Sem2'!M4</f>
        <v>97.857142857142861</v>
      </c>
      <c r="O5" s="22">
        <f>'11A (N S) Sem2'!N4</f>
        <v>2</v>
      </c>
      <c r="P5" s="23">
        <f>'11A (N S) Sem2'!O4</f>
        <v>0</v>
      </c>
      <c r="Q5" s="42">
        <f>'11A (N S) Sem2'!P4</f>
        <v>0</v>
      </c>
      <c r="R5" s="78"/>
    </row>
    <row r="6" spans="1:20" ht="20.100000000000001" customHeight="1" thickBot="1" x14ac:dyDescent="0.35">
      <c r="A6" s="247"/>
      <c r="B6" s="218"/>
      <c r="C6" s="213">
        <v>16</v>
      </c>
      <c r="D6" s="217" t="s">
        <v>20</v>
      </c>
      <c r="E6" s="24" t="s">
        <v>16</v>
      </c>
      <c r="F6" s="23">
        <f>AVERAGE(F4:F5)</f>
        <v>95</v>
      </c>
      <c r="G6" s="23">
        <f t="shared" ref="G6:Q6" si="0">AVERAGE(G4:G5)</f>
        <v>94</v>
      </c>
      <c r="H6" s="23">
        <f t="shared" si="0"/>
        <v>96</v>
      </c>
      <c r="I6" s="23">
        <f t="shared" si="0"/>
        <v>100</v>
      </c>
      <c r="J6" s="23">
        <f t="shared" si="0"/>
        <v>99.5</v>
      </c>
      <c r="K6" s="23">
        <f t="shared" si="0"/>
        <v>100</v>
      </c>
      <c r="L6" s="23">
        <f t="shared" si="0"/>
        <v>95</v>
      </c>
      <c r="M6" s="23">
        <f t="shared" si="0"/>
        <v>679.5</v>
      </c>
      <c r="N6" s="41">
        <f t="shared" si="0"/>
        <v>97.071428571428584</v>
      </c>
      <c r="O6" s="23">
        <f>'11A (N S) Avr'!$I$4</f>
        <v>1</v>
      </c>
      <c r="P6" s="23">
        <f t="shared" si="0"/>
        <v>0</v>
      </c>
      <c r="Q6" s="23">
        <f t="shared" si="0"/>
        <v>0</v>
      </c>
      <c r="R6" s="78"/>
    </row>
    <row r="7" spans="1:20" ht="20.100000000000001" customHeight="1" thickBot="1" x14ac:dyDescent="0.35">
      <c r="A7" s="247">
        <v>2</v>
      </c>
      <c r="B7" s="218"/>
      <c r="C7" s="213">
        <v>18</v>
      </c>
      <c r="D7" s="217" t="s">
        <v>20</v>
      </c>
      <c r="E7" s="24" t="s">
        <v>21</v>
      </c>
      <c r="F7" s="23">
        <f>'11A (N S) Sem1 '!E5</f>
        <v>82</v>
      </c>
      <c r="G7" s="23">
        <f>'11A (N S) Sem1 '!F5</f>
        <v>95</v>
      </c>
      <c r="H7" s="23">
        <f>'11A (N S) Sem1 '!G5</f>
        <v>82</v>
      </c>
      <c r="I7" s="23">
        <f>'11A (N S) Sem1 '!H5</f>
        <v>89</v>
      </c>
      <c r="J7" s="23">
        <f>'11A (N S) Sem1 '!I5</f>
        <v>79</v>
      </c>
      <c r="K7" s="23">
        <f>'11A (N S) Sem1 '!J5</f>
        <v>85</v>
      </c>
      <c r="L7" s="23">
        <f>'11A (N S) Sem1 '!K5</f>
        <v>75</v>
      </c>
      <c r="M7" s="23">
        <f>'11A (N S) Sem1 '!L5</f>
        <v>587</v>
      </c>
      <c r="N7" s="192">
        <f>'11A (N S) Sem1 '!M5</f>
        <v>83.857142857142861</v>
      </c>
      <c r="O7" s="22">
        <f>'11A (N S) Sem1 '!N5</f>
        <v>18</v>
      </c>
      <c r="P7" s="23">
        <f>'11A (N S) Sem1 '!O5</f>
        <v>0</v>
      </c>
      <c r="Q7" s="42">
        <f>'11A (N S) Sem1 '!P5</f>
        <v>0</v>
      </c>
      <c r="R7" s="78"/>
    </row>
    <row r="8" spans="1:20" ht="20.100000000000001" customHeight="1" thickBot="1" x14ac:dyDescent="0.35">
      <c r="A8" s="247"/>
      <c r="B8" s="218"/>
      <c r="C8" s="213">
        <v>18</v>
      </c>
      <c r="D8" s="217" t="s">
        <v>20</v>
      </c>
      <c r="E8" s="24" t="s">
        <v>22</v>
      </c>
      <c r="F8" s="23">
        <f>'11A (N S) Sem2'!E5</f>
        <v>91</v>
      </c>
      <c r="G8" s="23">
        <f>'11A (N S) Sem2'!F5</f>
        <v>96</v>
      </c>
      <c r="H8" s="23">
        <f>'11A (N S) Sem2'!G5</f>
        <v>95</v>
      </c>
      <c r="I8" s="23">
        <f>'11A (N S) Sem2'!H5</f>
        <v>85</v>
      </c>
      <c r="J8" s="23">
        <f>'11A (N S) Sem2'!I5</f>
        <v>98</v>
      </c>
      <c r="K8" s="23">
        <f>'11A (N S) Sem2'!J5</f>
        <v>79</v>
      </c>
      <c r="L8" s="23">
        <f>'11A (N S) Sem2'!K5</f>
        <v>88</v>
      </c>
      <c r="M8" s="23">
        <f>'11A (N S) Sem2'!L5</f>
        <v>632</v>
      </c>
      <c r="N8" s="192">
        <f>'11A (N S) Sem2'!M5</f>
        <v>90.285714285714292</v>
      </c>
      <c r="O8" s="22">
        <f>'11A (N S) Sem2'!N5</f>
        <v>14</v>
      </c>
      <c r="P8" s="23">
        <f>'11A (N S) Sem2'!O5</f>
        <v>0</v>
      </c>
      <c r="Q8" s="42">
        <f>'11A (N S) Sem2'!P5</f>
        <v>0</v>
      </c>
      <c r="R8" s="78"/>
    </row>
    <row r="9" spans="1:20" ht="20.100000000000001" customHeight="1" thickBot="1" x14ac:dyDescent="0.35">
      <c r="A9" s="247"/>
      <c r="B9" s="218"/>
      <c r="C9" s="213">
        <v>18</v>
      </c>
      <c r="D9" s="217" t="s">
        <v>20</v>
      </c>
      <c r="E9" s="24" t="s">
        <v>16</v>
      </c>
      <c r="F9" s="23">
        <f>AVERAGE(F7:F8)</f>
        <v>86.5</v>
      </c>
      <c r="G9" s="23">
        <f t="shared" ref="G9:Q9" si="1">AVERAGE(G7:G8)</f>
        <v>95.5</v>
      </c>
      <c r="H9" s="23">
        <f t="shared" si="1"/>
        <v>88.5</v>
      </c>
      <c r="I9" s="23">
        <f t="shared" si="1"/>
        <v>87</v>
      </c>
      <c r="J9" s="23">
        <f t="shared" si="1"/>
        <v>88.5</v>
      </c>
      <c r="K9" s="23">
        <f t="shared" si="1"/>
        <v>82</v>
      </c>
      <c r="L9" s="23">
        <f t="shared" si="1"/>
        <v>81.5</v>
      </c>
      <c r="M9" s="23">
        <f t="shared" si="1"/>
        <v>609.5</v>
      </c>
      <c r="N9" s="41">
        <f t="shared" si="1"/>
        <v>87.071428571428584</v>
      </c>
      <c r="O9" s="23">
        <f>'11A (N S) Avr'!$I$5</f>
        <v>17</v>
      </c>
      <c r="P9" s="23">
        <f t="shared" si="1"/>
        <v>0</v>
      </c>
      <c r="Q9" s="23">
        <f t="shared" si="1"/>
        <v>0</v>
      </c>
      <c r="R9" s="78"/>
    </row>
    <row r="10" spans="1:20" ht="20.100000000000001" customHeight="1" thickBot="1" x14ac:dyDescent="0.35">
      <c r="A10" s="247">
        <v>3</v>
      </c>
      <c r="B10" s="218"/>
      <c r="C10" s="213">
        <v>16</v>
      </c>
      <c r="D10" s="217" t="s">
        <v>20</v>
      </c>
      <c r="E10" s="24" t="s">
        <v>21</v>
      </c>
      <c r="F10" s="23">
        <f>'11A (N S) Sem1 '!E6</f>
        <v>75</v>
      </c>
      <c r="G10" s="23">
        <f>'11A (N S) Sem1 '!F6</f>
        <v>55</v>
      </c>
      <c r="H10" s="23">
        <f>'11A (N S) Sem1 '!G6</f>
        <v>60</v>
      </c>
      <c r="I10" s="23">
        <f>'11A (N S) Sem1 '!H6</f>
        <v>68</v>
      </c>
      <c r="J10" s="23">
        <f>'11A (N S) Sem1 '!I6</f>
        <v>77</v>
      </c>
      <c r="K10" s="23">
        <f>'11A (N S) Sem1 '!J6</f>
        <v>90</v>
      </c>
      <c r="L10" s="23">
        <f>'11A (N S) Sem1 '!K6</f>
        <v>71</v>
      </c>
      <c r="M10" s="23">
        <f>'11A (N S) Sem1 '!L6</f>
        <v>496</v>
      </c>
      <c r="N10" s="192">
        <f>'11A (N S) Sem1 '!M6</f>
        <v>70.857142857142861</v>
      </c>
      <c r="O10" s="22">
        <f>'11A (N S) Sem1 '!N6</f>
        <v>39</v>
      </c>
      <c r="P10" s="23">
        <f>'11A (N S) Sem1 '!O6</f>
        <v>0</v>
      </c>
      <c r="Q10" s="42">
        <f>'11A (N S) Sem1 '!P6</f>
        <v>0</v>
      </c>
      <c r="R10" s="78"/>
    </row>
    <row r="11" spans="1:20" ht="20.100000000000001" customHeight="1" thickBot="1" x14ac:dyDescent="0.35">
      <c r="A11" s="247"/>
      <c r="B11" s="218"/>
      <c r="C11" s="213">
        <v>16</v>
      </c>
      <c r="D11" s="217" t="s">
        <v>20</v>
      </c>
      <c r="E11" s="24" t="s">
        <v>22</v>
      </c>
      <c r="F11" s="23">
        <f>'11A (N S) Sem2'!E6</f>
        <v>86</v>
      </c>
      <c r="G11" s="23">
        <f>'11A (N S) Sem2'!F6</f>
        <v>59</v>
      </c>
      <c r="H11" s="23">
        <f>'11A (N S) Sem2'!G6</f>
        <v>65</v>
      </c>
      <c r="I11" s="23">
        <f>'11A (N S) Sem2'!H6</f>
        <v>76</v>
      </c>
      <c r="J11" s="23">
        <f>'11A (N S) Sem2'!I6</f>
        <v>89</v>
      </c>
      <c r="K11" s="23">
        <f>'11A (N S) Sem2'!J6</f>
        <v>92</v>
      </c>
      <c r="L11" s="23">
        <f>'11A (N S) Sem2'!K6</f>
        <v>85</v>
      </c>
      <c r="M11" s="23">
        <f>'11A (N S) Sem2'!L6</f>
        <v>552</v>
      </c>
      <c r="N11" s="192">
        <f>'11A (N S) Sem2'!M6</f>
        <v>78.857142857142861</v>
      </c>
      <c r="O11" s="22">
        <f>'11A (N S) Sem2'!N6</f>
        <v>38</v>
      </c>
      <c r="P11" s="23">
        <f>'11A (N S) Sem2'!O6</f>
        <v>0</v>
      </c>
      <c r="Q11" s="42">
        <f>'11A (N S) Sem2'!P6</f>
        <v>0</v>
      </c>
      <c r="R11" s="78"/>
    </row>
    <row r="12" spans="1:20" ht="20.100000000000001" customHeight="1" thickBot="1" x14ac:dyDescent="0.35">
      <c r="A12" s="247"/>
      <c r="B12" s="218"/>
      <c r="C12" s="213">
        <v>16</v>
      </c>
      <c r="D12" s="217" t="s">
        <v>20</v>
      </c>
      <c r="E12" s="24" t="s">
        <v>16</v>
      </c>
      <c r="F12" s="23">
        <f>AVERAGE(F10:F11)</f>
        <v>80.5</v>
      </c>
      <c r="G12" s="23">
        <f t="shared" ref="G12:Q12" si="2">AVERAGE(G10:G11)</f>
        <v>57</v>
      </c>
      <c r="H12" s="23">
        <f t="shared" si="2"/>
        <v>62.5</v>
      </c>
      <c r="I12" s="23">
        <f t="shared" si="2"/>
        <v>72</v>
      </c>
      <c r="J12" s="23">
        <f t="shared" si="2"/>
        <v>83</v>
      </c>
      <c r="K12" s="23">
        <f t="shared" si="2"/>
        <v>91</v>
      </c>
      <c r="L12" s="23">
        <f t="shared" si="2"/>
        <v>78</v>
      </c>
      <c r="M12" s="23">
        <f t="shared" si="2"/>
        <v>524</v>
      </c>
      <c r="N12" s="41">
        <f t="shared" si="2"/>
        <v>74.857142857142861</v>
      </c>
      <c r="O12" s="23">
        <f>'11A (N S) Avr'!$I$6</f>
        <v>39</v>
      </c>
      <c r="P12" s="23">
        <f t="shared" si="2"/>
        <v>0</v>
      </c>
      <c r="Q12" s="23">
        <f t="shared" si="2"/>
        <v>0</v>
      </c>
      <c r="R12" s="78"/>
    </row>
    <row r="13" spans="1:20" ht="20.100000000000001" customHeight="1" thickBot="1" x14ac:dyDescent="0.35">
      <c r="A13" s="247">
        <v>4</v>
      </c>
      <c r="B13" s="234"/>
      <c r="C13" s="247">
        <v>17</v>
      </c>
      <c r="D13" s="248" t="s">
        <v>23</v>
      </c>
      <c r="E13" s="24" t="s">
        <v>21</v>
      </c>
      <c r="F13" s="23">
        <f>'11A (N S) Sem1 '!E7</f>
        <v>48</v>
      </c>
      <c r="G13" s="23">
        <f>'11A (N S) Sem1 '!F7</f>
        <v>46</v>
      </c>
      <c r="H13" s="23">
        <f>'11A (N S) Sem1 '!G7</f>
        <v>56</v>
      </c>
      <c r="I13" s="23">
        <f>'11A (N S) Sem1 '!H7</f>
        <v>66</v>
      </c>
      <c r="J13" s="23">
        <f>'11A (N S) Sem1 '!I7</f>
        <v>73</v>
      </c>
      <c r="K13" s="23">
        <f>'11A (N S) Sem1 '!J7</f>
        <v>80</v>
      </c>
      <c r="L13" s="23">
        <f>'11A (N S) Sem1 '!K7</f>
        <v>69</v>
      </c>
      <c r="M13" s="23">
        <f>'11A (N S) Sem1 '!L7</f>
        <v>438</v>
      </c>
      <c r="N13" s="192">
        <f>'11A (N S) Sem1 '!M7</f>
        <v>62.571428571428569</v>
      </c>
      <c r="O13" s="22">
        <f>'11A (N S) Sem1 '!N7</f>
        <v>48</v>
      </c>
      <c r="P13" s="23">
        <f>'11A (N S) Sem1 '!O7</f>
        <v>0</v>
      </c>
      <c r="Q13" s="42">
        <f>'11A (N S) Sem1 '!P7</f>
        <v>0</v>
      </c>
      <c r="R13" s="78"/>
    </row>
    <row r="14" spans="1:20" ht="20.100000000000001" customHeight="1" thickBot="1" x14ac:dyDescent="0.35">
      <c r="A14" s="247"/>
      <c r="B14" s="234"/>
      <c r="C14" s="247">
        <v>17</v>
      </c>
      <c r="D14" s="248" t="s">
        <v>23</v>
      </c>
      <c r="E14" s="24" t="s">
        <v>22</v>
      </c>
      <c r="F14" s="23">
        <f>'11A (N S) Sem2'!E7</f>
        <v>55</v>
      </c>
      <c r="G14" s="23">
        <f>'11A (N S) Sem2'!F7</f>
        <v>59</v>
      </c>
      <c r="H14" s="23">
        <f>'11A (N S) Sem2'!G7</f>
        <v>68</v>
      </c>
      <c r="I14" s="23">
        <f>'11A (N S) Sem2'!H7</f>
        <v>71</v>
      </c>
      <c r="J14" s="23">
        <f>'11A (N S) Sem2'!I7</f>
        <v>78</v>
      </c>
      <c r="K14" s="23">
        <f>'11A (N S) Sem2'!J7</f>
        <v>70</v>
      </c>
      <c r="L14" s="23">
        <f>'11A (N S) Sem2'!K7</f>
        <v>83</v>
      </c>
      <c r="M14" s="23">
        <f>'11A (N S) Sem2'!L7</f>
        <v>484</v>
      </c>
      <c r="N14" s="192">
        <f>'11A (N S) Sem2'!M7</f>
        <v>69.142857142857139</v>
      </c>
      <c r="O14" s="22">
        <f>'11A (N S) Sem2'!N7</f>
        <v>44</v>
      </c>
      <c r="P14" s="23">
        <f>'11A (N S) Sem2'!O7</f>
        <v>0</v>
      </c>
      <c r="Q14" s="42">
        <f>'11A (N S) Sem2'!P7</f>
        <v>0</v>
      </c>
      <c r="R14" s="78"/>
    </row>
    <row r="15" spans="1:20" ht="20.100000000000001" customHeight="1" thickBot="1" x14ac:dyDescent="0.35">
      <c r="A15" s="247"/>
      <c r="B15" s="234"/>
      <c r="C15" s="247">
        <v>17</v>
      </c>
      <c r="D15" s="248" t="s">
        <v>23</v>
      </c>
      <c r="E15" s="24" t="s">
        <v>16</v>
      </c>
      <c r="F15" s="23">
        <f>AVERAGE(F13:F14)</f>
        <v>51.5</v>
      </c>
      <c r="G15" s="23">
        <f t="shared" ref="G15:Q15" si="3">AVERAGE(G13:G14)</f>
        <v>52.5</v>
      </c>
      <c r="H15" s="23">
        <f t="shared" si="3"/>
        <v>62</v>
      </c>
      <c r="I15" s="23">
        <f t="shared" si="3"/>
        <v>68.5</v>
      </c>
      <c r="J15" s="23">
        <f t="shared" si="3"/>
        <v>75.5</v>
      </c>
      <c r="K15" s="23">
        <f t="shared" si="3"/>
        <v>75</v>
      </c>
      <c r="L15" s="23">
        <f t="shared" si="3"/>
        <v>76</v>
      </c>
      <c r="M15" s="23">
        <f t="shared" si="3"/>
        <v>461</v>
      </c>
      <c r="N15" s="41">
        <f t="shared" si="3"/>
        <v>65.857142857142861</v>
      </c>
      <c r="O15" s="23">
        <f>'11A (N S) Avr'!$I$7</f>
        <v>45</v>
      </c>
      <c r="P15" s="23">
        <f t="shared" si="3"/>
        <v>0</v>
      </c>
      <c r="Q15" s="23">
        <f t="shared" si="3"/>
        <v>0</v>
      </c>
      <c r="R15" s="78"/>
    </row>
    <row r="16" spans="1:20" ht="20.100000000000001" customHeight="1" thickBot="1" x14ac:dyDescent="0.35">
      <c r="A16" s="247">
        <v>5</v>
      </c>
      <c r="B16" s="218"/>
      <c r="C16" s="213">
        <v>16</v>
      </c>
      <c r="D16" s="217" t="s">
        <v>23</v>
      </c>
      <c r="E16" s="24" t="s">
        <v>21</v>
      </c>
      <c r="F16" s="23">
        <f>'11A (N S) Sem1 '!E8</f>
        <v>81</v>
      </c>
      <c r="G16" s="23">
        <f>'11A (N S) Sem1 '!F8</f>
        <v>94</v>
      </c>
      <c r="H16" s="23">
        <f>'11A (N S) Sem1 '!G8</f>
        <v>87</v>
      </c>
      <c r="I16" s="23">
        <f>'11A (N S) Sem1 '!H8</f>
        <v>98</v>
      </c>
      <c r="J16" s="23">
        <f>'11A (N S) Sem1 '!I8</f>
        <v>97</v>
      </c>
      <c r="K16" s="23">
        <f>'11A (N S) Sem1 '!J8</f>
        <v>99</v>
      </c>
      <c r="L16" s="23">
        <f>'11A (N S) Sem1 '!K8</f>
        <v>93</v>
      </c>
      <c r="M16" s="23">
        <f>'11A (N S) Sem1 '!L8</f>
        <v>649</v>
      </c>
      <c r="N16" s="192">
        <f>'11A (N S) Sem1 '!M8</f>
        <v>92.714285714285708</v>
      </c>
      <c r="O16" s="22">
        <f>'11A (N S) Sem1 '!N8</f>
        <v>8</v>
      </c>
      <c r="P16" s="23">
        <f>'11A (N S) Sem1 '!O8</f>
        <v>0</v>
      </c>
      <c r="Q16" s="42">
        <f>'11A (N S) Sem1 '!P8</f>
        <v>0</v>
      </c>
      <c r="R16" s="79"/>
      <c r="S16" s="8"/>
      <c r="T16" s="8"/>
    </row>
    <row r="17" spans="1:20" ht="20.100000000000001" customHeight="1" thickBot="1" x14ac:dyDescent="0.35">
      <c r="A17" s="247"/>
      <c r="B17" s="218"/>
      <c r="C17" s="213">
        <v>16</v>
      </c>
      <c r="D17" s="217" t="s">
        <v>23</v>
      </c>
      <c r="E17" s="24" t="s">
        <v>22</v>
      </c>
      <c r="F17" s="23">
        <f>'11A (N S) Sem2'!E8</f>
        <v>87</v>
      </c>
      <c r="G17" s="23">
        <f>'11A (N S) Sem2'!F8</f>
        <v>88</v>
      </c>
      <c r="H17" s="23">
        <f>'11A (N S) Sem2'!G8</f>
        <v>95</v>
      </c>
      <c r="I17" s="23">
        <f>'11A (N S) Sem2'!H8</f>
        <v>100</v>
      </c>
      <c r="J17" s="23">
        <f>'11A (N S) Sem2'!I8</f>
        <v>100</v>
      </c>
      <c r="K17" s="23">
        <f>'11A (N S) Sem2'!J8</f>
        <v>100</v>
      </c>
      <c r="L17" s="23">
        <f>'11A (N S) Sem2'!K8</f>
        <v>98</v>
      </c>
      <c r="M17" s="23">
        <f>'11A (N S) Sem2'!L8</f>
        <v>668</v>
      </c>
      <c r="N17" s="192">
        <f>'11A (N S) Sem2'!M8</f>
        <v>95.428571428571431</v>
      </c>
      <c r="O17" s="22">
        <f>'11A (N S) Sem2'!N8</f>
        <v>6</v>
      </c>
      <c r="P17" s="23">
        <f>'11A (N S) Sem2'!O8</f>
        <v>0</v>
      </c>
      <c r="Q17" s="42">
        <f>'11A (N S) Sem2'!P8</f>
        <v>0</v>
      </c>
      <c r="R17" s="79"/>
      <c r="S17" s="8"/>
      <c r="T17" s="8"/>
    </row>
    <row r="18" spans="1:20" ht="20.100000000000001" customHeight="1" thickBot="1" x14ac:dyDescent="0.35">
      <c r="A18" s="247"/>
      <c r="B18" s="218"/>
      <c r="C18" s="213">
        <v>16</v>
      </c>
      <c r="D18" s="217" t="s">
        <v>23</v>
      </c>
      <c r="E18" s="24" t="s">
        <v>16</v>
      </c>
      <c r="F18" s="23">
        <f>AVERAGE(F16:F17)</f>
        <v>84</v>
      </c>
      <c r="G18" s="23">
        <f t="shared" ref="G18:Q18" si="4">AVERAGE(G16:G17)</f>
        <v>91</v>
      </c>
      <c r="H18" s="23">
        <f t="shared" si="4"/>
        <v>91</v>
      </c>
      <c r="I18" s="23">
        <f t="shared" si="4"/>
        <v>99</v>
      </c>
      <c r="J18" s="23">
        <f t="shared" si="4"/>
        <v>98.5</v>
      </c>
      <c r="K18" s="23">
        <f t="shared" si="4"/>
        <v>99.5</v>
      </c>
      <c r="L18" s="23">
        <f t="shared" si="4"/>
        <v>95.5</v>
      </c>
      <c r="M18" s="23">
        <f t="shared" si="4"/>
        <v>658.5</v>
      </c>
      <c r="N18" s="41">
        <f t="shared" si="4"/>
        <v>94.071428571428569</v>
      </c>
      <c r="O18" s="23">
        <f>'11A (N S) Avr'!$I$8</f>
        <v>5</v>
      </c>
      <c r="P18" s="23">
        <f t="shared" si="4"/>
        <v>0</v>
      </c>
      <c r="Q18" s="23">
        <f t="shared" si="4"/>
        <v>0</v>
      </c>
      <c r="R18" s="79"/>
      <c r="S18" s="8"/>
      <c r="T18" s="8"/>
    </row>
    <row r="19" spans="1:20" ht="20.100000000000001" customHeight="1" thickBot="1" x14ac:dyDescent="0.35">
      <c r="A19" s="247">
        <v>6</v>
      </c>
      <c r="B19" s="218"/>
      <c r="C19" s="213">
        <v>15</v>
      </c>
      <c r="D19" s="217" t="s">
        <v>23</v>
      </c>
      <c r="E19" s="24" t="s">
        <v>21</v>
      </c>
      <c r="F19" s="23">
        <f>'11A (N S) Sem1 '!E9</f>
        <v>64</v>
      </c>
      <c r="G19" s="23">
        <f>'11A (N S) Sem1 '!F9</f>
        <v>67</v>
      </c>
      <c r="H19" s="23">
        <f>'11A (N S) Sem1 '!G9</f>
        <v>67</v>
      </c>
      <c r="I19" s="23">
        <f>'11A (N S) Sem1 '!H9</f>
        <v>64</v>
      </c>
      <c r="J19" s="23">
        <f>'11A (N S) Sem1 '!I9</f>
        <v>69</v>
      </c>
      <c r="K19" s="23">
        <f>'11A (N S) Sem1 '!J9</f>
        <v>91</v>
      </c>
      <c r="L19" s="23">
        <f>'11A (N S) Sem1 '!K9</f>
        <v>72</v>
      </c>
      <c r="M19" s="23">
        <f>'11A (N S) Sem1 '!L9</f>
        <v>494</v>
      </c>
      <c r="N19" s="192">
        <f>'11A (N S) Sem1 '!M9</f>
        <v>70.571428571428569</v>
      </c>
      <c r="O19" s="22">
        <f>'11A (N S) Sem1 '!N9</f>
        <v>41</v>
      </c>
      <c r="P19" s="23">
        <f>'11A (N S) Sem1 '!O9</f>
        <v>0</v>
      </c>
      <c r="Q19" s="42">
        <f>'11A (N S) Sem1 '!P9</f>
        <v>0</v>
      </c>
      <c r="R19" s="79"/>
      <c r="S19" s="8"/>
      <c r="T19" s="8"/>
    </row>
    <row r="20" spans="1:20" ht="20.100000000000001" customHeight="1" thickBot="1" x14ac:dyDescent="0.35">
      <c r="A20" s="247"/>
      <c r="B20" s="218"/>
      <c r="C20" s="213">
        <v>15</v>
      </c>
      <c r="D20" s="217" t="s">
        <v>23</v>
      </c>
      <c r="E20" s="24" t="s">
        <v>22</v>
      </c>
      <c r="F20" s="23">
        <f>'11A (N S) Sem2'!E9</f>
        <v>68</v>
      </c>
      <c r="G20" s="23">
        <f>'11A (N S) Sem2'!F9</f>
        <v>67</v>
      </c>
      <c r="H20" s="23">
        <f>'11A (N S) Sem2'!G9</f>
        <v>78</v>
      </c>
      <c r="I20" s="23">
        <f>'11A (N S) Sem2'!H9</f>
        <v>95</v>
      </c>
      <c r="J20" s="23">
        <f>'11A (N S) Sem2'!I9</f>
        <v>81</v>
      </c>
      <c r="K20" s="23">
        <f>'11A (N S) Sem2'!J9</f>
        <v>91</v>
      </c>
      <c r="L20" s="23">
        <f>'11A (N S) Sem2'!K9</f>
        <v>86</v>
      </c>
      <c r="M20" s="23">
        <f>'11A (N S) Sem2'!L9</f>
        <v>566</v>
      </c>
      <c r="N20" s="192">
        <f>'11A (N S) Sem2'!M9</f>
        <v>80.857142857142861</v>
      </c>
      <c r="O20" s="22">
        <f>'11A (N S) Sem2'!N9</f>
        <v>32</v>
      </c>
      <c r="P20" s="23">
        <f>'11A (N S) Sem2'!O9</f>
        <v>0</v>
      </c>
      <c r="Q20" s="42">
        <f>'11A (N S) Sem2'!P9</f>
        <v>0</v>
      </c>
      <c r="R20" s="79"/>
      <c r="S20" s="8"/>
      <c r="T20" s="8"/>
    </row>
    <row r="21" spans="1:20" ht="20.100000000000001" customHeight="1" thickBot="1" x14ac:dyDescent="0.35">
      <c r="A21" s="247"/>
      <c r="B21" s="218"/>
      <c r="C21" s="213">
        <v>15</v>
      </c>
      <c r="D21" s="217" t="s">
        <v>23</v>
      </c>
      <c r="E21" s="24" t="s">
        <v>16</v>
      </c>
      <c r="F21" s="23">
        <f>AVERAGE(F19:F20)</f>
        <v>66</v>
      </c>
      <c r="G21" s="23">
        <f t="shared" ref="G21:Q21" si="5">AVERAGE(G19:G20)</f>
        <v>67</v>
      </c>
      <c r="H21" s="23">
        <f t="shared" si="5"/>
        <v>72.5</v>
      </c>
      <c r="I21" s="23">
        <f t="shared" si="5"/>
        <v>79.5</v>
      </c>
      <c r="J21" s="23">
        <f t="shared" si="5"/>
        <v>75</v>
      </c>
      <c r="K21" s="23">
        <f t="shared" si="5"/>
        <v>91</v>
      </c>
      <c r="L21" s="23">
        <f t="shared" si="5"/>
        <v>79</v>
      </c>
      <c r="M21" s="23">
        <f t="shared" si="5"/>
        <v>530</v>
      </c>
      <c r="N21" s="41">
        <f t="shared" si="5"/>
        <v>75.714285714285722</v>
      </c>
      <c r="O21" s="23">
        <f>'11A (N S) Avr'!$I$9</f>
        <v>37</v>
      </c>
      <c r="P21" s="23">
        <f t="shared" si="5"/>
        <v>0</v>
      </c>
      <c r="Q21" s="23">
        <f t="shared" si="5"/>
        <v>0</v>
      </c>
      <c r="R21" s="79"/>
      <c r="S21" s="8"/>
      <c r="T21" s="8"/>
    </row>
    <row r="22" spans="1:20" ht="20.100000000000001" customHeight="1" thickBot="1" x14ac:dyDescent="0.35">
      <c r="A22" s="247">
        <v>7</v>
      </c>
      <c r="B22" s="218"/>
      <c r="C22" s="213">
        <v>16</v>
      </c>
      <c r="D22" s="217" t="s">
        <v>23</v>
      </c>
      <c r="E22" s="24" t="s">
        <v>21</v>
      </c>
      <c r="F22" s="23">
        <f>'11A (N S) Sem1 '!E10</f>
        <v>70</v>
      </c>
      <c r="G22" s="23">
        <f>'11A (N S) Sem1 '!F10</f>
        <v>73</v>
      </c>
      <c r="H22" s="23">
        <f>'11A (N S) Sem1 '!G10</f>
        <v>81</v>
      </c>
      <c r="I22" s="23">
        <f>'11A (N S) Sem1 '!H10</f>
        <v>92</v>
      </c>
      <c r="J22" s="23">
        <f>'11A (N S) Sem1 '!I10</f>
        <v>92</v>
      </c>
      <c r="K22" s="23">
        <f>'11A (N S) Sem1 '!J10</f>
        <v>94</v>
      </c>
      <c r="L22" s="23">
        <f>'11A (N S) Sem1 '!K10</f>
        <v>94</v>
      </c>
      <c r="M22" s="23">
        <f>'11A (N S) Sem1 '!L10</f>
        <v>596</v>
      </c>
      <c r="N22" s="192">
        <f>'11A (N S) Sem1 '!M10</f>
        <v>85.142857142857139</v>
      </c>
      <c r="O22" s="22">
        <f>'11A (N S) Sem1 '!N10</f>
        <v>17</v>
      </c>
      <c r="P22" s="23">
        <f>'11A (N S) Sem1 '!O10</f>
        <v>0</v>
      </c>
      <c r="Q22" s="42">
        <f>'11A (N S) Sem1 '!P10</f>
        <v>0</v>
      </c>
      <c r="R22" s="79"/>
      <c r="S22" s="8"/>
      <c r="T22" s="8"/>
    </row>
    <row r="23" spans="1:20" ht="20.100000000000001" customHeight="1" thickBot="1" x14ac:dyDescent="0.35">
      <c r="A23" s="247"/>
      <c r="B23" s="218"/>
      <c r="C23" s="213">
        <v>16</v>
      </c>
      <c r="D23" s="217" t="s">
        <v>23</v>
      </c>
      <c r="E23" s="24" t="s">
        <v>22</v>
      </c>
      <c r="F23" s="23">
        <f>'11A (N S) Sem2'!E10</f>
        <v>80</v>
      </c>
      <c r="G23" s="23">
        <f>'11A (N S) Sem2'!F10</f>
        <v>77</v>
      </c>
      <c r="H23" s="23">
        <f>'11A (N S) Sem2'!G10</f>
        <v>84</v>
      </c>
      <c r="I23" s="23">
        <f>'11A (N S) Sem2'!H10</f>
        <v>95</v>
      </c>
      <c r="J23" s="23">
        <f>'11A (N S) Sem2'!I10</f>
        <v>100</v>
      </c>
      <c r="K23" s="23">
        <f>'11A (N S) Sem2'!J10</f>
        <v>95</v>
      </c>
      <c r="L23" s="23">
        <f>'11A (N S) Sem2'!K10</f>
        <v>96</v>
      </c>
      <c r="M23" s="23">
        <f>'11A (N S) Sem2'!L10</f>
        <v>627</v>
      </c>
      <c r="N23" s="192">
        <f>'11A (N S) Sem2'!M10</f>
        <v>89.571428571428569</v>
      </c>
      <c r="O23" s="22">
        <f>'11A (N S) Sem2'!N10</f>
        <v>16</v>
      </c>
      <c r="P23" s="23">
        <f>'11A (N S) Sem2'!O10</f>
        <v>0</v>
      </c>
      <c r="Q23" s="42">
        <f>'11A (N S) Sem2'!P10</f>
        <v>0</v>
      </c>
      <c r="R23" s="79"/>
      <c r="S23" s="8"/>
      <c r="T23" s="8"/>
    </row>
    <row r="24" spans="1:20" ht="20.100000000000001" customHeight="1" thickBot="1" x14ac:dyDescent="0.35">
      <c r="A24" s="247"/>
      <c r="B24" s="218"/>
      <c r="C24" s="213">
        <v>16</v>
      </c>
      <c r="D24" s="217" t="s">
        <v>23</v>
      </c>
      <c r="E24" s="24" t="s">
        <v>16</v>
      </c>
      <c r="F24" s="23">
        <f>AVERAGE(F22:F23)</f>
        <v>75</v>
      </c>
      <c r="G24" s="23">
        <f t="shared" ref="G24:Q24" si="6">AVERAGE(G22:G23)</f>
        <v>75</v>
      </c>
      <c r="H24" s="23">
        <f t="shared" si="6"/>
        <v>82.5</v>
      </c>
      <c r="I24" s="23">
        <f t="shared" si="6"/>
        <v>93.5</v>
      </c>
      <c r="J24" s="23">
        <f t="shared" si="6"/>
        <v>96</v>
      </c>
      <c r="K24" s="23">
        <f t="shared" si="6"/>
        <v>94.5</v>
      </c>
      <c r="L24" s="23">
        <f t="shared" si="6"/>
        <v>95</v>
      </c>
      <c r="M24" s="23">
        <f t="shared" si="6"/>
        <v>611.5</v>
      </c>
      <c r="N24" s="41">
        <f t="shared" si="6"/>
        <v>87.357142857142861</v>
      </c>
      <c r="O24" s="23">
        <f>'11A (N S) Avr'!$I$10</f>
        <v>16</v>
      </c>
      <c r="P24" s="23">
        <f t="shared" si="6"/>
        <v>0</v>
      </c>
      <c r="Q24" s="23">
        <f t="shared" si="6"/>
        <v>0</v>
      </c>
      <c r="R24" s="79"/>
      <c r="S24" s="8"/>
      <c r="T24" s="8"/>
    </row>
    <row r="25" spans="1:20" ht="20.100000000000001" customHeight="1" thickBot="1" x14ac:dyDescent="0.35">
      <c r="A25" s="247">
        <v>8</v>
      </c>
      <c r="B25" s="218"/>
      <c r="C25" s="213">
        <v>16</v>
      </c>
      <c r="D25" s="217" t="s">
        <v>23</v>
      </c>
      <c r="E25" s="24" t="s">
        <v>21</v>
      </c>
      <c r="F25" s="23">
        <f>'11A (N S) Sem1 '!E11</f>
        <v>56</v>
      </c>
      <c r="G25" s="23">
        <f>'11A (N S) Sem1 '!F11</f>
        <v>92</v>
      </c>
      <c r="H25" s="23">
        <f>'11A (N S) Sem1 '!G11</f>
        <v>87</v>
      </c>
      <c r="I25" s="23">
        <f>'11A (N S) Sem1 '!H11</f>
        <v>91</v>
      </c>
      <c r="J25" s="23">
        <f>'11A (N S) Sem1 '!I11</f>
        <v>93</v>
      </c>
      <c r="K25" s="23">
        <f>'11A (N S) Sem1 '!J11</f>
        <v>91</v>
      </c>
      <c r="L25" s="23">
        <f>'11A (N S) Sem1 '!K11</f>
        <v>94</v>
      </c>
      <c r="M25" s="23">
        <f>'11A (N S) Sem1 '!L11</f>
        <v>604</v>
      </c>
      <c r="N25" s="192">
        <f>'11A (N S) Sem1 '!M11</f>
        <v>86.285714285714292</v>
      </c>
      <c r="O25" s="22">
        <f>'11A (N S) Sem1 '!N11</f>
        <v>15</v>
      </c>
      <c r="P25" s="23">
        <f>'11A (N S) Sem1 '!O11</f>
        <v>0</v>
      </c>
      <c r="Q25" s="42">
        <f>'11A (N S) Sem1 '!P11</f>
        <v>0</v>
      </c>
      <c r="R25" s="79"/>
      <c r="S25" s="8"/>
      <c r="T25" s="8"/>
    </row>
    <row r="26" spans="1:20" ht="20.100000000000001" customHeight="1" thickBot="1" x14ac:dyDescent="0.35">
      <c r="A26" s="247"/>
      <c r="B26" s="218"/>
      <c r="C26" s="213">
        <v>16</v>
      </c>
      <c r="D26" s="217" t="s">
        <v>23</v>
      </c>
      <c r="E26" s="24" t="s">
        <v>22</v>
      </c>
      <c r="F26" s="23">
        <f>'11A (N S) Sem2'!E11</f>
        <v>69</v>
      </c>
      <c r="G26" s="23">
        <f>'11A (N S) Sem2'!F11</f>
        <v>88</v>
      </c>
      <c r="H26" s="23">
        <f>'11A (N S) Sem2'!G11</f>
        <v>80</v>
      </c>
      <c r="I26" s="23">
        <f>'11A (N S) Sem2'!H11</f>
        <v>100</v>
      </c>
      <c r="J26" s="23">
        <f>'11A (N S) Sem2'!I11</f>
        <v>100</v>
      </c>
      <c r="K26" s="23">
        <f>'11A (N S) Sem2'!J11</f>
        <v>95</v>
      </c>
      <c r="L26" s="23">
        <f>'11A (N S) Sem2'!K11</f>
        <v>96</v>
      </c>
      <c r="M26" s="23">
        <f>'11A (N S) Sem2'!L11</f>
        <v>628</v>
      </c>
      <c r="N26" s="192">
        <f>'11A (N S) Sem2'!M11</f>
        <v>89.714285714285708</v>
      </c>
      <c r="O26" s="22">
        <f>'11A (N S) Sem2'!N11</f>
        <v>15</v>
      </c>
      <c r="P26" s="23">
        <f>'11A (N S) Sem2'!O11</f>
        <v>0</v>
      </c>
      <c r="Q26" s="42">
        <f>'11A (N S) Sem2'!P11</f>
        <v>0</v>
      </c>
      <c r="R26" s="79"/>
      <c r="S26" s="8"/>
      <c r="T26" s="8"/>
    </row>
    <row r="27" spans="1:20" ht="20.100000000000001" customHeight="1" thickBot="1" x14ac:dyDescent="0.35">
      <c r="A27" s="247"/>
      <c r="B27" s="218"/>
      <c r="C27" s="213">
        <v>16</v>
      </c>
      <c r="D27" s="217" t="s">
        <v>23</v>
      </c>
      <c r="E27" s="24" t="s">
        <v>16</v>
      </c>
      <c r="F27" s="23">
        <f>AVERAGE(F25:F26)</f>
        <v>62.5</v>
      </c>
      <c r="G27" s="23">
        <f t="shared" ref="G27:Q27" si="7">AVERAGE(G25:G26)</f>
        <v>90</v>
      </c>
      <c r="H27" s="23">
        <f t="shared" si="7"/>
        <v>83.5</v>
      </c>
      <c r="I27" s="23">
        <f t="shared" si="7"/>
        <v>95.5</v>
      </c>
      <c r="J27" s="23">
        <f t="shared" si="7"/>
        <v>96.5</v>
      </c>
      <c r="K27" s="23">
        <f t="shared" si="7"/>
        <v>93</v>
      </c>
      <c r="L27" s="23">
        <f t="shared" si="7"/>
        <v>95</v>
      </c>
      <c r="M27" s="23">
        <f t="shared" si="7"/>
        <v>616</v>
      </c>
      <c r="N27" s="41">
        <f t="shared" si="7"/>
        <v>88</v>
      </c>
      <c r="O27" s="23">
        <f>'11A (N S) Avr'!$I$11</f>
        <v>15</v>
      </c>
      <c r="P27" s="23">
        <f t="shared" si="7"/>
        <v>0</v>
      </c>
      <c r="Q27" s="23">
        <f t="shared" si="7"/>
        <v>0</v>
      </c>
      <c r="R27" s="79"/>
      <c r="S27" s="8"/>
      <c r="T27" s="8"/>
    </row>
    <row r="28" spans="1:20" ht="20.100000000000001" customHeight="1" thickBot="1" x14ac:dyDescent="0.35">
      <c r="A28" s="247">
        <v>9</v>
      </c>
      <c r="B28" s="218"/>
      <c r="C28" s="213">
        <v>17</v>
      </c>
      <c r="D28" s="217" t="s">
        <v>20</v>
      </c>
      <c r="E28" s="24" t="s">
        <v>21</v>
      </c>
      <c r="F28" s="23">
        <f>'11A (N S) Sem1 '!E12</f>
        <v>61</v>
      </c>
      <c r="G28" s="23">
        <f>'11A (N S) Sem1 '!F12</f>
        <v>50</v>
      </c>
      <c r="H28" s="23">
        <f>'11A (N S) Sem1 '!G12</f>
        <v>65</v>
      </c>
      <c r="I28" s="23">
        <f>'11A (N S) Sem1 '!H12</f>
        <v>66</v>
      </c>
      <c r="J28" s="23">
        <f>'11A (N S) Sem1 '!I12</f>
        <v>65</v>
      </c>
      <c r="K28" s="23">
        <f>'11A (N S) Sem1 '!J12</f>
        <v>74</v>
      </c>
      <c r="L28" s="23">
        <f>'11A (N S) Sem1 '!K12</f>
        <v>68</v>
      </c>
      <c r="M28" s="23">
        <f>'11A (N S) Sem1 '!L12</f>
        <v>449</v>
      </c>
      <c r="N28" s="192">
        <f>'11A (N S) Sem1 '!M12</f>
        <v>64.142857142857139</v>
      </c>
      <c r="O28" s="22">
        <f>'11A (N S) Sem1 '!N12</f>
        <v>44</v>
      </c>
      <c r="P28" s="23">
        <f>'11A (N S) Sem1 '!O12</f>
        <v>0</v>
      </c>
      <c r="Q28" s="42">
        <f>'11A (N S) Sem1 '!P12</f>
        <v>0</v>
      </c>
      <c r="R28" s="79"/>
      <c r="S28" s="8"/>
      <c r="T28" s="8"/>
    </row>
    <row r="29" spans="1:20" ht="20.100000000000001" customHeight="1" thickBot="1" x14ac:dyDescent="0.35">
      <c r="A29" s="247"/>
      <c r="B29" s="218"/>
      <c r="C29" s="213">
        <v>17</v>
      </c>
      <c r="D29" s="217" t="s">
        <v>20</v>
      </c>
      <c r="E29" s="24" t="s">
        <v>22</v>
      </c>
      <c r="F29" s="23">
        <f>'11A (N S) Sem2'!E12</f>
        <v>68</v>
      </c>
      <c r="G29" s="23">
        <f>'11A (N S) Sem2'!F12</f>
        <v>60</v>
      </c>
      <c r="H29" s="23">
        <f>'11A (N S) Sem2'!G12</f>
        <v>78</v>
      </c>
      <c r="I29" s="23">
        <f>'11A (N S) Sem2'!H12</f>
        <v>74</v>
      </c>
      <c r="J29" s="23">
        <f>'11A (N S) Sem2'!I12</f>
        <v>70</v>
      </c>
      <c r="K29" s="23">
        <f>'11A (N S) Sem2'!J12</f>
        <v>70</v>
      </c>
      <c r="L29" s="23">
        <f>'11A (N S) Sem2'!K12</f>
        <v>80</v>
      </c>
      <c r="M29" s="23">
        <f>'11A (N S) Sem2'!L12</f>
        <v>500</v>
      </c>
      <c r="N29" s="192">
        <f>'11A (N S) Sem2'!M12</f>
        <v>71.428571428571431</v>
      </c>
      <c r="O29" s="22">
        <f>'11A (N S) Sem2'!N12</f>
        <v>42</v>
      </c>
      <c r="P29" s="23">
        <f>'11A (N S) Sem2'!O12</f>
        <v>0</v>
      </c>
      <c r="Q29" s="42">
        <f>'11A (N S) Sem2'!P12</f>
        <v>0</v>
      </c>
      <c r="R29" s="79"/>
      <c r="S29" s="8"/>
      <c r="T29" s="8"/>
    </row>
    <row r="30" spans="1:20" ht="20.100000000000001" customHeight="1" thickBot="1" x14ac:dyDescent="0.35">
      <c r="A30" s="247"/>
      <c r="B30" s="218"/>
      <c r="C30" s="213">
        <v>17</v>
      </c>
      <c r="D30" s="217" t="s">
        <v>20</v>
      </c>
      <c r="E30" s="24" t="s">
        <v>16</v>
      </c>
      <c r="F30" s="23">
        <f>AVERAGE(F28:F29)</f>
        <v>64.5</v>
      </c>
      <c r="G30" s="23">
        <f t="shared" ref="G30:Q30" si="8">AVERAGE(G28:G29)</f>
        <v>55</v>
      </c>
      <c r="H30" s="23">
        <f t="shared" si="8"/>
        <v>71.5</v>
      </c>
      <c r="I30" s="23">
        <f t="shared" si="8"/>
        <v>70</v>
      </c>
      <c r="J30" s="23">
        <f t="shared" si="8"/>
        <v>67.5</v>
      </c>
      <c r="K30" s="23">
        <f t="shared" si="8"/>
        <v>72</v>
      </c>
      <c r="L30" s="23">
        <f t="shared" si="8"/>
        <v>74</v>
      </c>
      <c r="M30" s="23">
        <f t="shared" si="8"/>
        <v>474.5</v>
      </c>
      <c r="N30" s="41">
        <f t="shared" si="8"/>
        <v>67.785714285714278</v>
      </c>
      <c r="O30" s="23">
        <f>'11A (N S) Avr'!$I$12</f>
        <v>44</v>
      </c>
      <c r="P30" s="23">
        <f t="shared" si="8"/>
        <v>0</v>
      </c>
      <c r="Q30" s="23">
        <f t="shared" si="8"/>
        <v>0</v>
      </c>
      <c r="R30" s="79"/>
      <c r="S30" s="8"/>
      <c r="T30" s="8"/>
    </row>
    <row r="31" spans="1:20" ht="20.100000000000001" customHeight="1" thickBot="1" x14ac:dyDescent="0.35">
      <c r="A31" s="247">
        <v>10</v>
      </c>
      <c r="B31" s="218"/>
      <c r="C31" s="213">
        <v>16</v>
      </c>
      <c r="D31" s="217" t="s">
        <v>20</v>
      </c>
      <c r="E31" s="24" t="s">
        <v>21</v>
      </c>
      <c r="F31" s="23">
        <f>'11A (N S) Sem1 '!E13</f>
        <v>70</v>
      </c>
      <c r="G31" s="23">
        <f>'11A (N S) Sem1 '!F13</f>
        <v>81</v>
      </c>
      <c r="H31" s="23">
        <f>'11A (N S) Sem1 '!G13</f>
        <v>69</v>
      </c>
      <c r="I31" s="23">
        <f>'11A (N S) Sem1 '!H13</f>
        <v>84</v>
      </c>
      <c r="J31" s="23">
        <f>'11A (N S) Sem1 '!I13</f>
        <v>88</v>
      </c>
      <c r="K31" s="23">
        <f>'11A (N S) Sem1 '!J13</f>
        <v>85</v>
      </c>
      <c r="L31" s="23">
        <f>'11A (N S) Sem1 '!K13</f>
        <v>78</v>
      </c>
      <c r="M31" s="23">
        <f>'11A (N S) Sem1 '!L13</f>
        <v>555</v>
      </c>
      <c r="N31" s="192">
        <f>'11A (N S) Sem1 '!M13</f>
        <v>79.285714285714292</v>
      </c>
      <c r="O31" s="22">
        <f>'11A (N S) Sem1 '!N13</f>
        <v>23</v>
      </c>
      <c r="P31" s="23">
        <f>'11A (N S) Sem1 '!O13</f>
        <v>0</v>
      </c>
      <c r="Q31" s="42">
        <f>'11A (N S) Sem1 '!P13</f>
        <v>0</v>
      </c>
      <c r="R31" s="79"/>
      <c r="S31" s="8"/>
      <c r="T31" s="8"/>
    </row>
    <row r="32" spans="1:20" ht="20.100000000000001" customHeight="1" thickBot="1" x14ac:dyDescent="0.35">
      <c r="A32" s="247"/>
      <c r="B32" s="218"/>
      <c r="C32" s="213">
        <v>16</v>
      </c>
      <c r="D32" s="217" t="s">
        <v>20</v>
      </c>
      <c r="E32" s="24" t="s">
        <v>22</v>
      </c>
      <c r="F32" s="23">
        <f>'11A (N S) Sem2'!E13</f>
        <v>67</v>
      </c>
      <c r="G32" s="23">
        <f>'11A (N S) Sem2'!F13</f>
        <v>80</v>
      </c>
      <c r="H32" s="23">
        <f>'11A (N S) Sem2'!G13</f>
        <v>74</v>
      </c>
      <c r="I32" s="23">
        <f>'11A (N S) Sem2'!H13</f>
        <v>86</v>
      </c>
      <c r="J32" s="23">
        <f>'11A (N S) Sem2'!I13</f>
        <v>89</v>
      </c>
      <c r="K32" s="23">
        <f>'11A (N S) Sem2'!J13</f>
        <v>86</v>
      </c>
      <c r="L32" s="23">
        <f>'11A (N S) Sem2'!K13</f>
        <v>96</v>
      </c>
      <c r="M32" s="23">
        <f>'11A (N S) Sem2'!L13</f>
        <v>578</v>
      </c>
      <c r="N32" s="192">
        <f>'11A (N S) Sem2'!M13</f>
        <v>82.571428571428569</v>
      </c>
      <c r="O32" s="22">
        <f>'11A (N S) Sem2'!N13</f>
        <v>27</v>
      </c>
      <c r="P32" s="23">
        <f>'11A (N S) Sem2'!O13</f>
        <v>0</v>
      </c>
      <c r="Q32" s="42">
        <f>'11A (N S) Sem2'!P13</f>
        <v>0</v>
      </c>
      <c r="R32" s="79"/>
      <c r="S32" s="8"/>
      <c r="T32" s="8"/>
    </row>
    <row r="33" spans="1:20" ht="20.100000000000001" customHeight="1" thickBot="1" x14ac:dyDescent="0.35">
      <c r="A33" s="247"/>
      <c r="B33" s="218"/>
      <c r="C33" s="213">
        <v>16</v>
      </c>
      <c r="D33" s="217" t="s">
        <v>20</v>
      </c>
      <c r="E33" s="24" t="s">
        <v>16</v>
      </c>
      <c r="F33" s="23">
        <f>AVERAGE(F31:F32)</f>
        <v>68.5</v>
      </c>
      <c r="G33" s="23">
        <f t="shared" ref="G33:Q33" si="9">AVERAGE(G31:G32)</f>
        <v>80.5</v>
      </c>
      <c r="H33" s="23">
        <f t="shared" si="9"/>
        <v>71.5</v>
      </c>
      <c r="I33" s="23">
        <f t="shared" si="9"/>
        <v>85</v>
      </c>
      <c r="J33" s="23">
        <f t="shared" si="9"/>
        <v>88.5</v>
      </c>
      <c r="K33" s="23">
        <f t="shared" si="9"/>
        <v>85.5</v>
      </c>
      <c r="L33" s="23">
        <f t="shared" si="9"/>
        <v>87</v>
      </c>
      <c r="M33" s="23">
        <f t="shared" si="9"/>
        <v>566.5</v>
      </c>
      <c r="N33" s="41">
        <f t="shared" si="9"/>
        <v>80.928571428571431</v>
      </c>
      <c r="O33" s="23">
        <f>'11A (N S) Avr'!$I$13</f>
        <v>25</v>
      </c>
      <c r="P33" s="23">
        <f t="shared" si="9"/>
        <v>0</v>
      </c>
      <c r="Q33" s="23">
        <f t="shared" si="9"/>
        <v>0</v>
      </c>
      <c r="R33" s="79"/>
      <c r="S33" s="8"/>
      <c r="T33" s="8"/>
    </row>
    <row r="34" spans="1:20" ht="20.100000000000001" customHeight="1" thickBot="1" x14ac:dyDescent="0.35">
      <c r="A34" s="247">
        <v>11</v>
      </c>
      <c r="B34" s="218"/>
      <c r="C34" s="213">
        <v>16</v>
      </c>
      <c r="D34" s="217" t="s">
        <v>20</v>
      </c>
      <c r="E34" s="24" t="s">
        <v>21</v>
      </c>
      <c r="F34" s="23">
        <f>'11A (N S) Sem1 '!E14</f>
        <v>65</v>
      </c>
      <c r="G34" s="23">
        <f>'11A (N S) Sem1 '!F14</f>
        <v>95</v>
      </c>
      <c r="H34" s="23">
        <f>'11A (N S) Sem1 '!G14</f>
        <v>87</v>
      </c>
      <c r="I34" s="23">
        <f>'11A (N S) Sem1 '!H14</f>
        <v>97</v>
      </c>
      <c r="J34" s="23">
        <f>'11A (N S) Sem1 '!I14</f>
        <v>91</v>
      </c>
      <c r="K34" s="23">
        <f>'11A (N S) Sem1 '!J14</f>
        <v>95</v>
      </c>
      <c r="L34" s="23">
        <f>'11A (N S) Sem1 '!K14</f>
        <v>92</v>
      </c>
      <c r="M34" s="23">
        <f>'11A (N S) Sem1 '!L14</f>
        <v>622</v>
      </c>
      <c r="N34" s="192">
        <f>'11A (N S) Sem1 '!M14</f>
        <v>88.857142857142861</v>
      </c>
      <c r="O34" s="22">
        <f>'11A (N S) Sem1 '!N14</f>
        <v>12</v>
      </c>
      <c r="P34" s="23">
        <f>'11A (N S) Sem1 '!O14</f>
        <v>0</v>
      </c>
      <c r="Q34" s="42">
        <f>'11A (N S) Sem1 '!P14</f>
        <v>0</v>
      </c>
      <c r="R34" s="79"/>
      <c r="S34" s="8"/>
      <c r="T34" s="8"/>
    </row>
    <row r="35" spans="1:20" ht="20.100000000000001" customHeight="1" thickBot="1" x14ac:dyDescent="0.35">
      <c r="A35" s="247"/>
      <c r="B35" s="218"/>
      <c r="C35" s="213">
        <v>16</v>
      </c>
      <c r="D35" s="217" t="s">
        <v>20</v>
      </c>
      <c r="E35" s="24" t="s">
        <v>22</v>
      </c>
      <c r="F35" s="23">
        <f>'11A (N S) Sem2'!E14</f>
        <v>80</v>
      </c>
      <c r="G35" s="23">
        <f>'11A (N S) Sem2'!F14</f>
        <v>88</v>
      </c>
      <c r="H35" s="23">
        <f>'11A (N S) Sem2'!G14</f>
        <v>93</v>
      </c>
      <c r="I35" s="23">
        <f>'11A (N S) Sem2'!H14</f>
        <v>97</v>
      </c>
      <c r="J35" s="23">
        <f>'11A (N S) Sem2'!I14</f>
        <v>91</v>
      </c>
      <c r="K35" s="23">
        <f>'11A (N S) Sem2'!J14</f>
        <v>99</v>
      </c>
      <c r="L35" s="23">
        <f>'11A (N S) Sem2'!K14</f>
        <v>90</v>
      </c>
      <c r="M35" s="23">
        <f>'11A (N S) Sem2'!L14</f>
        <v>638</v>
      </c>
      <c r="N35" s="192">
        <f>'11A (N S) Sem2'!M14</f>
        <v>91.142857142857139</v>
      </c>
      <c r="O35" s="22">
        <f>'11A (N S) Sem2'!N14</f>
        <v>12</v>
      </c>
      <c r="P35" s="23">
        <f>'11A (N S) Sem2'!O14</f>
        <v>0</v>
      </c>
      <c r="Q35" s="42">
        <f>'11A (N S) Sem2'!P14</f>
        <v>0</v>
      </c>
      <c r="R35" s="79"/>
      <c r="S35" s="8"/>
      <c r="T35" s="8"/>
    </row>
    <row r="36" spans="1:20" ht="20.100000000000001" customHeight="1" thickBot="1" x14ac:dyDescent="0.35">
      <c r="A36" s="247"/>
      <c r="B36" s="218"/>
      <c r="C36" s="213">
        <v>16</v>
      </c>
      <c r="D36" s="217" t="s">
        <v>20</v>
      </c>
      <c r="E36" s="24" t="s">
        <v>16</v>
      </c>
      <c r="F36" s="23">
        <f>AVERAGE(F34:F35)</f>
        <v>72.5</v>
      </c>
      <c r="G36" s="23">
        <f t="shared" ref="G36:Q36" si="10">AVERAGE(G34:G35)</f>
        <v>91.5</v>
      </c>
      <c r="H36" s="23">
        <f t="shared" si="10"/>
        <v>90</v>
      </c>
      <c r="I36" s="23">
        <f t="shared" si="10"/>
        <v>97</v>
      </c>
      <c r="J36" s="23">
        <f t="shared" si="10"/>
        <v>91</v>
      </c>
      <c r="K36" s="23">
        <f t="shared" si="10"/>
        <v>97</v>
      </c>
      <c r="L36" s="23">
        <f t="shared" si="10"/>
        <v>91</v>
      </c>
      <c r="M36" s="23">
        <f t="shared" si="10"/>
        <v>630</v>
      </c>
      <c r="N36" s="41">
        <f t="shared" si="10"/>
        <v>90</v>
      </c>
      <c r="O36" s="23">
        <f>'11A (N S) Avr'!$I$14</f>
        <v>13</v>
      </c>
      <c r="P36" s="23">
        <f t="shared" si="10"/>
        <v>0</v>
      </c>
      <c r="Q36" s="23">
        <f t="shared" si="10"/>
        <v>0</v>
      </c>
      <c r="R36" s="79"/>
      <c r="S36" s="8"/>
      <c r="T36" s="8"/>
    </row>
    <row r="37" spans="1:20" ht="20.100000000000001" customHeight="1" thickBot="1" x14ac:dyDescent="0.35">
      <c r="A37" s="247">
        <v>12</v>
      </c>
      <c r="B37" s="218"/>
      <c r="C37" s="213">
        <v>15</v>
      </c>
      <c r="D37" s="217" t="s">
        <v>23</v>
      </c>
      <c r="E37" s="24" t="s">
        <v>21</v>
      </c>
      <c r="F37" s="23">
        <f>'11A (N S) Sem1 '!E15</f>
        <v>68</v>
      </c>
      <c r="G37" s="23">
        <f>'11A (N S) Sem1 '!F15</f>
        <v>68</v>
      </c>
      <c r="H37" s="23">
        <f>'11A (N S) Sem1 '!G15</f>
        <v>64</v>
      </c>
      <c r="I37" s="23">
        <f>'11A (N S) Sem1 '!H15</f>
        <v>58</v>
      </c>
      <c r="J37" s="23">
        <f>'11A (N S) Sem1 '!I15</f>
        <v>76</v>
      </c>
      <c r="K37" s="23">
        <f>'11A (N S) Sem1 '!J15</f>
        <v>83</v>
      </c>
      <c r="L37" s="23">
        <f>'11A (N S) Sem1 '!K15</f>
        <v>81</v>
      </c>
      <c r="M37" s="23">
        <f>'11A (N S) Sem1 '!L15</f>
        <v>498</v>
      </c>
      <c r="N37" s="192">
        <f>'11A (N S) Sem1 '!M15</f>
        <v>71.142857142857139</v>
      </c>
      <c r="O37" s="22">
        <f>'11A (N S) Sem1 '!N15</f>
        <v>38</v>
      </c>
      <c r="P37" s="23">
        <f>'11A (N S) Sem1 '!O15</f>
        <v>0</v>
      </c>
      <c r="Q37" s="42">
        <f>'11A (N S) Sem1 '!P15</f>
        <v>0</v>
      </c>
      <c r="R37" s="79"/>
      <c r="S37" s="8"/>
      <c r="T37" s="8"/>
    </row>
    <row r="38" spans="1:20" ht="20.100000000000001" customHeight="1" thickBot="1" x14ac:dyDescent="0.35">
      <c r="A38" s="247"/>
      <c r="B38" s="218"/>
      <c r="C38" s="213">
        <v>15</v>
      </c>
      <c r="D38" s="217" t="s">
        <v>23</v>
      </c>
      <c r="E38" s="24" t="s">
        <v>22</v>
      </c>
      <c r="F38" s="23">
        <f>'11A (N S) Sem2'!E15</f>
        <v>80</v>
      </c>
      <c r="G38" s="23">
        <f>'11A (N S) Sem2'!F15</f>
        <v>67</v>
      </c>
      <c r="H38" s="23">
        <f>'11A (N S) Sem2'!G15</f>
        <v>63</v>
      </c>
      <c r="I38" s="23">
        <f>'11A (N S) Sem2'!H15</f>
        <v>81</v>
      </c>
      <c r="J38" s="23">
        <f>'11A (N S) Sem2'!I15</f>
        <v>92</v>
      </c>
      <c r="K38" s="23">
        <f>'11A (N S) Sem2'!J15</f>
        <v>86</v>
      </c>
      <c r="L38" s="23">
        <f>'11A (N S) Sem2'!K15</f>
        <v>92</v>
      </c>
      <c r="M38" s="23">
        <f>'11A (N S) Sem2'!L15</f>
        <v>561</v>
      </c>
      <c r="N38" s="192">
        <f>'11A (N S) Sem2'!M15</f>
        <v>80.142857142857139</v>
      </c>
      <c r="O38" s="22">
        <f>'11A (N S) Sem2'!N15</f>
        <v>34</v>
      </c>
      <c r="P38" s="23">
        <f>'11A (N S) Sem2'!O15</f>
        <v>0</v>
      </c>
      <c r="Q38" s="42">
        <f>'11A (N S) Sem2'!P15</f>
        <v>0</v>
      </c>
      <c r="R38" s="79"/>
      <c r="S38" s="8"/>
      <c r="T38" s="8"/>
    </row>
    <row r="39" spans="1:20" ht="20.100000000000001" customHeight="1" thickBot="1" x14ac:dyDescent="0.35">
      <c r="A39" s="247"/>
      <c r="B39" s="218"/>
      <c r="C39" s="213">
        <v>15</v>
      </c>
      <c r="D39" s="217" t="s">
        <v>23</v>
      </c>
      <c r="E39" s="24" t="s">
        <v>16</v>
      </c>
      <c r="F39" s="23">
        <f>AVERAGE(F37:F38)</f>
        <v>74</v>
      </c>
      <c r="G39" s="23">
        <f t="shared" ref="G39:Q39" si="11">AVERAGE(G37:G38)</f>
        <v>67.5</v>
      </c>
      <c r="H39" s="23">
        <f t="shared" si="11"/>
        <v>63.5</v>
      </c>
      <c r="I39" s="23">
        <f t="shared" si="11"/>
        <v>69.5</v>
      </c>
      <c r="J39" s="23">
        <f t="shared" si="11"/>
        <v>84</v>
      </c>
      <c r="K39" s="23">
        <f t="shared" si="11"/>
        <v>84.5</v>
      </c>
      <c r="L39" s="23">
        <f t="shared" si="11"/>
        <v>86.5</v>
      </c>
      <c r="M39" s="23">
        <f t="shared" si="11"/>
        <v>529.5</v>
      </c>
      <c r="N39" s="41">
        <f t="shared" si="11"/>
        <v>75.642857142857139</v>
      </c>
      <c r="O39" s="23">
        <f>'11A (N S) Avr'!$I$15</f>
        <v>38</v>
      </c>
      <c r="P39" s="23">
        <f t="shared" si="11"/>
        <v>0</v>
      </c>
      <c r="Q39" s="23">
        <f t="shared" si="11"/>
        <v>0</v>
      </c>
      <c r="R39" s="79"/>
      <c r="S39" s="8"/>
      <c r="T39" s="8"/>
    </row>
    <row r="40" spans="1:20" ht="20.100000000000001" customHeight="1" thickBot="1" x14ac:dyDescent="0.35">
      <c r="A40" s="247">
        <v>13</v>
      </c>
      <c r="B40" s="218"/>
      <c r="C40" s="213">
        <v>17</v>
      </c>
      <c r="D40" s="217" t="s">
        <v>23</v>
      </c>
      <c r="E40" s="24" t="s">
        <v>21</v>
      </c>
      <c r="F40" s="23">
        <f>'11A (N S) Sem1 '!E16</f>
        <v>70</v>
      </c>
      <c r="G40" s="23">
        <f>'11A (N S) Sem1 '!F16</f>
        <v>92</v>
      </c>
      <c r="H40" s="23">
        <f>'11A (N S) Sem1 '!G16</f>
        <v>81</v>
      </c>
      <c r="I40" s="23">
        <f>'11A (N S) Sem1 '!H16</f>
        <v>85</v>
      </c>
      <c r="J40" s="23">
        <f>'11A (N S) Sem1 '!I16</f>
        <v>76</v>
      </c>
      <c r="K40" s="23">
        <f>'11A (N S) Sem1 '!J16</f>
        <v>87</v>
      </c>
      <c r="L40" s="23">
        <f>'11A (N S) Sem1 '!K16</f>
        <v>77</v>
      </c>
      <c r="M40" s="23">
        <f>'11A (N S) Sem1 '!L16</f>
        <v>568</v>
      </c>
      <c r="N40" s="192">
        <f>'11A (N S) Sem1 '!M16</f>
        <v>81.142857142857139</v>
      </c>
      <c r="O40" s="22">
        <f>'11A (N S) Sem1 '!N16</f>
        <v>20</v>
      </c>
      <c r="P40" s="23">
        <f>'11A (N S) Sem1 '!O16</f>
        <v>0</v>
      </c>
      <c r="Q40" s="42">
        <f>'11A (N S) Sem1 '!P16</f>
        <v>0</v>
      </c>
      <c r="R40" s="79"/>
      <c r="S40" s="8"/>
      <c r="T40" s="8"/>
    </row>
    <row r="41" spans="1:20" ht="20.100000000000001" customHeight="1" thickBot="1" x14ac:dyDescent="0.35">
      <c r="A41" s="247"/>
      <c r="B41" s="218"/>
      <c r="C41" s="213">
        <v>17</v>
      </c>
      <c r="D41" s="217" t="s">
        <v>23</v>
      </c>
      <c r="E41" s="24" t="s">
        <v>22</v>
      </c>
      <c r="F41" s="23">
        <f>'11A (N S) Sem2'!E16</f>
        <v>80</v>
      </c>
      <c r="G41" s="23">
        <f>'11A (N S) Sem2'!F16</f>
        <v>81</v>
      </c>
      <c r="H41" s="23">
        <f>'11A (N S) Sem2'!G16</f>
        <v>63</v>
      </c>
      <c r="I41" s="23">
        <f>'11A (N S) Sem2'!H16</f>
        <v>88</v>
      </c>
      <c r="J41" s="23">
        <f>'11A (N S) Sem2'!I16</f>
        <v>81</v>
      </c>
      <c r="K41" s="23">
        <f>'11A (N S) Sem2'!J16</f>
        <v>94</v>
      </c>
      <c r="L41" s="23">
        <f>'11A (N S) Sem2'!K16</f>
        <v>89</v>
      </c>
      <c r="M41" s="23">
        <f>'11A (N S) Sem2'!L16</f>
        <v>576</v>
      </c>
      <c r="N41" s="192">
        <f>'11A (N S) Sem2'!M16</f>
        <v>82.285714285714292</v>
      </c>
      <c r="O41" s="22">
        <f>'11A (N S) Sem2'!N16</f>
        <v>28</v>
      </c>
      <c r="P41" s="23">
        <f>'11A (N S) Sem2'!O16</f>
        <v>0</v>
      </c>
      <c r="Q41" s="42">
        <f>'11A (N S) Sem2'!P16</f>
        <v>0</v>
      </c>
      <c r="R41" s="79"/>
      <c r="S41" s="8"/>
      <c r="T41" s="8"/>
    </row>
    <row r="42" spans="1:20" ht="20.100000000000001" customHeight="1" thickBot="1" x14ac:dyDescent="0.35">
      <c r="A42" s="247"/>
      <c r="B42" s="218"/>
      <c r="C42" s="213">
        <v>17</v>
      </c>
      <c r="D42" s="217" t="s">
        <v>23</v>
      </c>
      <c r="E42" s="24" t="s">
        <v>16</v>
      </c>
      <c r="F42" s="23">
        <f>AVERAGE(F40:F41)</f>
        <v>75</v>
      </c>
      <c r="G42" s="23">
        <f t="shared" ref="G42:Q42" si="12">AVERAGE(G40:G41)</f>
        <v>86.5</v>
      </c>
      <c r="H42" s="23">
        <f t="shared" si="12"/>
        <v>72</v>
      </c>
      <c r="I42" s="23">
        <f t="shared" si="12"/>
        <v>86.5</v>
      </c>
      <c r="J42" s="23">
        <f t="shared" si="12"/>
        <v>78.5</v>
      </c>
      <c r="K42" s="23">
        <f t="shared" si="12"/>
        <v>90.5</v>
      </c>
      <c r="L42" s="23">
        <f t="shared" si="12"/>
        <v>83</v>
      </c>
      <c r="M42" s="23">
        <f t="shared" si="12"/>
        <v>572</v>
      </c>
      <c r="N42" s="41">
        <f t="shared" si="12"/>
        <v>81.714285714285722</v>
      </c>
      <c r="O42" s="23">
        <v>22</v>
      </c>
      <c r="P42" s="23">
        <f t="shared" si="12"/>
        <v>0</v>
      </c>
      <c r="Q42" s="23">
        <f t="shared" si="12"/>
        <v>0</v>
      </c>
      <c r="R42" s="79"/>
      <c r="S42" s="8"/>
      <c r="T42" s="8"/>
    </row>
    <row r="43" spans="1:20" ht="20.100000000000001" customHeight="1" thickBot="1" x14ac:dyDescent="0.35">
      <c r="A43" s="247">
        <v>14</v>
      </c>
      <c r="B43" s="218"/>
      <c r="C43" s="213">
        <v>16</v>
      </c>
      <c r="D43" s="217" t="s">
        <v>23</v>
      </c>
      <c r="E43" s="24" t="s">
        <v>21</v>
      </c>
      <c r="F43" s="208">
        <f>'11A (N S) Sem1 '!E17</f>
        <v>79</v>
      </c>
      <c r="G43" s="208">
        <f>'11A (N S) Sem1 '!F17</f>
        <v>90</v>
      </c>
      <c r="H43" s="208">
        <f>'11A (N S) Sem1 '!G17</f>
        <v>95</v>
      </c>
      <c r="I43" s="208">
        <f>'11A (N S) Sem1 '!H17</f>
        <v>95</v>
      </c>
      <c r="J43" s="208">
        <f>'11A (N S) Sem1 '!I17</f>
        <v>99</v>
      </c>
      <c r="K43" s="208">
        <f>'11A (N S) Sem1 '!J17</f>
        <v>98</v>
      </c>
      <c r="L43" s="208">
        <f>'11A (N S) Sem1 '!K17</f>
        <v>94</v>
      </c>
      <c r="M43" s="208">
        <f>'11A (N S) Sem1 '!L17</f>
        <v>650</v>
      </c>
      <c r="N43" s="209">
        <f>'11A (N S) Sem1 '!M17</f>
        <v>92.857142857142861</v>
      </c>
      <c r="O43" s="210">
        <f>'11A (N S) Sem1 '!N17</f>
        <v>7</v>
      </c>
      <c r="P43" s="208">
        <f>'11A (N S) Sem1 '!O17</f>
        <v>0</v>
      </c>
      <c r="Q43" s="211">
        <f>'11A (N S) Sem1 '!P17</f>
        <v>0</v>
      </c>
      <c r="R43" s="79"/>
      <c r="S43" s="8"/>
      <c r="T43" s="8"/>
    </row>
    <row r="44" spans="1:20" ht="20.100000000000001" customHeight="1" thickBot="1" x14ac:dyDescent="0.35">
      <c r="A44" s="247"/>
      <c r="B44" s="218"/>
      <c r="C44" s="213">
        <v>16</v>
      </c>
      <c r="D44" s="217" t="s">
        <v>23</v>
      </c>
      <c r="E44" s="24" t="s">
        <v>22</v>
      </c>
      <c r="F44" s="208">
        <f>'11A (N S) Sem2'!E17</f>
        <v>90</v>
      </c>
      <c r="G44" s="208">
        <f>'11A (N S) Sem2'!F17</f>
        <v>88</v>
      </c>
      <c r="H44" s="208">
        <f>'11A (N S) Sem2'!G17</f>
        <v>90</v>
      </c>
      <c r="I44" s="208">
        <f>'11A (N S) Sem2'!H17</f>
        <v>95</v>
      </c>
      <c r="J44" s="208">
        <f>'11A (N S) Sem2'!I17</f>
        <v>97</v>
      </c>
      <c r="K44" s="208">
        <f>'11A (N S) Sem2'!J17</f>
        <v>100</v>
      </c>
      <c r="L44" s="208">
        <f>'11A (N S) Sem2'!K17</f>
        <v>98</v>
      </c>
      <c r="M44" s="208">
        <f>'11A (N S) Sem2'!L17</f>
        <v>658</v>
      </c>
      <c r="N44" s="209">
        <f>'11A (N S) Sem2'!M17</f>
        <v>94</v>
      </c>
      <c r="O44" s="210">
        <f>'11A (N S) Sem2'!N17</f>
        <v>9</v>
      </c>
      <c r="P44" s="208">
        <f>'11A (N S) Sem2'!O17</f>
        <v>0</v>
      </c>
      <c r="Q44" s="211">
        <f>'11A (N S) Sem2'!P17</f>
        <v>0</v>
      </c>
      <c r="R44" s="79"/>
      <c r="S44" s="8"/>
      <c r="T44" s="8"/>
    </row>
    <row r="45" spans="1:20" ht="20.100000000000001" customHeight="1" thickBot="1" x14ac:dyDescent="0.35">
      <c r="A45" s="247"/>
      <c r="B45" s="218"/>
      <c r="C45" s="213">
        <v>16</v>
      </c>
      <c r="D45" s="217" t="s">
        <v>23</v>
      </c>
      <c r="E45" s="24" t="s">
        <v>16</v>
      </c>
      <c r="F45" s="208">
        <f>AVERAGE(F43:F44)</f>
        <v>84.5</v>
      </c>
      <c r="G45" s="208">
        <f t="shared" ref="G45:Q45" si="13">AVERAGE(G43:G44)</f>
        <v>89</v>
      </c>
      <c r="H45" s="208">
        <f t="shared" si="13"/>
        <v>92.5</v>
      </c>
      <c r="I45" s="208">
        <f t="shared" si="13"/>
        <v>95</v>
      </c>
      <c r="J45" s="208">
        <f t="shared" si="13"/>
        <v>98</v>
      </c>
      <c r="K45" s="208">
        <f t="shared" si="13"/>
        <v>99</v>
      </c>
      <c r="L45" s="208">
        <f t="shared" si="13"/>
        <v>96</v>
      </c>
      <c r="M45" s="208">
        <f t="shared" si="13"/>
        <v>654</v>
      </c>
      <c r="N45" s="212">
        <f t="shared" si="13"/>
        <v>93.428571428571431</v>
      </c>
      <c r="O45" s="208">
        <f>'11A (N S) Avr'!$I$17</f>
        <v>8</v>
      </c>
      <c r="P45" s="208">
        <f t="shared" si="13"/>
        <v>0</v>
      </c>
      <c r="Q45" s="208">
        <f t="shared" si="13"/>
        <v>0</v>
      </c>
      <c r="R45" s="79"/>
      <c r="S45" s="8"/>
      <c r="T45" s="8"/>
    </row>
    <row r="46" spans="1:20" ht="20.100000000000001" customHeight="1" thickBot="1" x14ac:dyDescent="0.35">
      <c r="A46" s="247">
        <v>15</v>
      </c>
      <c r="B46" s="218"/>
      <c r="C46" s="213">
        <v>17</v>
      </c>
      <c r="D46" s="217" t="s">
        <v>20</v>
      </c>
      <c r="E46" s="24" t="s">
        <v>21</v>
      </c>
      <c r="F46" s="23">
        <f>'11A (N S) Sem1 '!E18</f>
        <v>61</v>
      </c>
      <c r="G46" s="23">
        <f>'11A (N S) Sem1 '!F18</f>
        <v>69</v>
      </c>
      <c r="H46" s="23">
        <f>'11A (N S) Sem1 '!G18</f>
        <v>59</v>
      </c>
      <c r="I46" s="23">
        <f>'11A (N S) Sem1 '!H18</f>
        <v>74</v>
      </c>
      <c r="J46" s="23">
        <f>'11A (N S) Sem1 '!I18</f>
        <v>69</v>
      </c>
      <c r="K46" s="23">
        <f>'11A (N S) Sem1 '!J18</f>
        <v>73</v>
      </c>
      <c r="L46" s="23">
        <f>'11A (N S) Sem1 '!K18</f>
        <v>61</v>
      </c>
      <c r="M46" s="23">
        <f>'11A (N S) Sem1 '!L18</f>
        <v>466</v>
      </c>
      <c r="N46" s="192">
        <f>'11A (N S) Sem1 '!M18</f>
        <v>66.571428571428569</v>
      </c>
      <c r="O46" s="22">
        <f>'11A (N S) Sem1 '!N18</f>
        <v>43</v>
      </c>
      <c r="P46" s="23">
        <f>'11A (N S) Sem1 '!O18</f>
        <v>0</v>
      </c>
      <c r="Q46" s="42">
        <f>'11A (N S) Sem1 '!P18</f>
        <v>0</v>
      </c>
      <c r="R46" s="79"/>
      <c r="S46" s="8"/>
      <c r="T46" s="8"/>
    </row>
    <row r="47" spans="1:20" ht="20.100000000000001" customHeight="1" thickBot="1" x14ac:dyDescent="0.35">
      <c r="A47" s="247"/>
      <c r="B47" s="218"/>
      <c r="C47" s="213">
        <v>17</v>
      </c>
      <c r="D47" s="217" t="s">
        <v>20</v>
      </c>
      <c r="E47" s="24" t="s">
        <v>22</v>
      </c>
      <c r="F47" s="23">
        <f>'11A (N S) Sem2'!E18</f>
        <v>54</v>
      </c>
      <c r="G47" s="23">
        <f>'11A (N S) Sem2'!F18</f>
        <v>69</v>
      </c>
      <c r="H47" s="23">
        <f>'11A (N S) Sem2'!G18</f>
        <v>66</v>
      </c>
      <c r="I47" s="23">
        <f>'11A (N S) Sem2'!H18</f>
        <v>77</v>
      </c>
      <c r="J47" s="23">
        <f>'11A (N S) Sem2'!I18</f>
        <v>80</v>
      </c>
      <c r="K47" s="23">
        <f>'11A (N S) Sem2'!J18</f>
        <v>86</v>
      </c>
      <c r="L47" s="23">
        <f>'11A (N S) Sem2'!K18</f>
        <v>80</v>
      </c>
      <c r="M47" s="23">
        <f>'11A (N S) Sem2'!L18</f>
        <v>512</v>
      </c>
      <c r="N47" s="192">
        <f>'11A (N S) Sem2'!M18</f>
        <v>73.142857142857139</v>
      </c>
      <c r="O47" s="22">
        <f>'11A (N S) Sem2'!N18</f>
        <v>40</v>
      </c>
      <c r="P47" s="23">
        <f>'11A (N S) Sem2'!O18</f>
        <v>0</v>
      </c>
      <c r="Q47" s="42">
        <f>'11A (N S) Sem2'!P18</f>
        <v>0</v>
      </c>
      <c r="R47" s="79"/>
      <c r="S47" s="8"/>
      <c r="T47" s="8"/>
    </row>
    <row r="48" spans="1:20" ht="20.100000000000001" customHeight="1" thickBot="1" x14ac:dyDescent="0.35">
      <c r="A48" s="247"/>
      <c r="B48" s="218"/>
      <c r="C48" s="213">
        <v>17</v>
      </c>
      <c r="D48" s="217" t="s">
        <v>20</v>
      </c>
      <c r="E48" s="24" t="s">
        <v>16</v>
      </c>
      <c r="F48" s="23">
        <f>AVERAGE(F46:F47)</f>
        <v>57.5</v>
      </c>
      <c r="G48" s="23">
        <f t="shared" ref="G48:Q48" si="14">AVERAGE(G46:G47)</f>
        <v>69</v>
      </c>
      <c r="H48" s="23">
        <f t="shared" si="14"/>
        <v>62.5</v>
      </c>
      <c r="I48" s="23">
        <f t="shared" si="14"/>
        <v>75.5</v>
      </c>
      <c r="J48" s="23">
        <f t="shared" si="14"/>
        <v>74.5</v>
      </c>
      <c r="K48" s="23">
        <f t="shared" si="14"/>
        <v>79.5</v>
      </c>
      <c r="L48" s="23">
        <f t="shared" si="14"/>
        <v>70.5</v>
      </c>
      <c r="M48" s="23">
        <f t="shared" si="14"/>
        <v>489</v>
      </c>
      <c r="N48" s="41">
        <f t="shared" si="14"/>
        <v>69.857142857142861</v>
      </c>
      <c r="O48" s="23">
        <f>'11A (N S) Avr'!$I$18</f>
        <v>41</v>
      </c>
      <c r="P48" s="23">
        <f t="shared" si="14"/>
        <v>0</v>
      </c>
      <c r="Q48" s="23">
        <f t="shared" si="14"/>
        <v>0</v>
      </c>
      <c r="R48" s="79"/>
      <c r="S48" s="8"/>
      <c r="T48" s="8"/>
    </row>
    <row r="49" spans="1:20" ht="20.100000000000001" customHeight="1" thickBot="1" x14ac:dyDescent="0.35">
      <c r="A49" s="247">
        <v>16</v>
      </c>
      <c r="B49" s="218"/>
      <c r="C49" s="213">
        <v>16</v>
      </c>
      <c r="D49" s="217" t="s">
        <v>23</v>
      </c>
      <c r="E49" s="24" t="s">
        <v>21</v>
      </c>
      <c r="F49" s="23">
        <f>'11A (N S) Sem1 '!E19</f>
        <v>63</v>
      </c>
      <c r="G49" s="23">
        <f>'11A (N S) Sem1 '!F19</f>
        <v>80</v>
      </c>
      <c r="H49" s="23">
        <f>'11A (N S) Sem1 '!G19</f>
        <v>75</v>
      </c>
      <c r="I49" s="23">
        <f>'11A (N S) Sem1 '!H19</f>
        <v>81</v>
      </c>
      <c r="J49" s="23">
        <f>'11A (N S) Sem1 '!I19</f>
        <v>69</v>
      </c>
      <c r="K49" s="23">
        <f>'11A (N S) Sem1 '!J19</f>
        <v>85</v>
      </c>
      <c r="L49" s="23">
        <f>'11A (N S) Sem1 '!K19</f>
        <v>69</v>
      </c>
      <c r="M49" s="23">
        <f>'11A (N S) Sem1 '!L19</f>
        <v>522</v>
      </c>
      <c r="N49" s="192">
        <f>'11A (N S) Sem1 '!M19</f>
        <v>74.571428571428569</v>
      </c>
      <c r="O49" s="22">
        <f>'11A (N S) Sem1 '!N19</f>
        <v>33</v>
      </c>
      <c r="P49" s="23">
        <f>'11A (N S) Sem1 '!O19</f>
        <v>0</v>
      </c>
      <c r="Q49" s="42">
        <f>'11A (N S) Sem1 '!P19</f>
        <v>0</v>
      </c>
      <c r="R49" s="79"/>
      <c r="S49" s="8"/>
      <c r="T49" s="8"/>
    </row>
    <row r="50" spans="1:20" ht="20.100000000000001" customHeight="1" thickBot="1" x14ac:dyDescent="0.35">
      <c r="A50" s="247"/>
      <c r="B50" s="218"/>
      <c r="C50" s="213">
        <v>16</v>
      </c>
      <c r="D50" s="217" t="s">
        <v>23</v>
      </c>
      <c r="E50" s="24" t="s">
        <v>22</v>
      </c>
      <c r="F50" s="23">
        <f>'11A (N S) Sem2'!E19</f>
        <v>78</v>
      </c>
      <c r="G50" s="23">
        <f>'11A (N S) Sem2'!F19</f>
        <v>76</v>
      </c>
      <c r="H50" s="23">
        <f>'11A (N S) Sem2'!G19</f>
        <v>80</v>
      </c>
      <c r="I50" s="23">
        <f>'11A (N S) Sem2'!H19</f>
        <v>91</v>
      </c>
      <c r="J50" s="23">
        <f>'11A (N S) Sem2'!I19</f>
        <v>89</v>
      </c>
      <c r="K50" s="23">
        <f>'11A (N S) Sem2'!J19</f>
        <v>87</v>
      </c>
      <c r="L50" s="23">
        <f>'11A (N S) Sem2'!K19</f>
        <v>86</v>
      </c>
      <c r="M50" s="23">
        <f>'11A (N S) Sem2'!L19</f>
        <v>587</v>
      </c>
      <c r="N50" s="192">
        <f>'11A (N S) Sem2'!M19</f>
        <v>83.857142857142861</v>
      </c>
      <c r="O50" s="22">
        <f>'11A (N S) Sem2'!N19</f>
        <v>24</v>
      </c>
      <c r="P50" s="23">
        <f>'11A (N S) Sem2'!O19</f>
        <v>0</v>
      </c>
      <c r="Q50" s="42">
        <f>'11A (N S) Sem2'!P19</f>
        <v>0</v>
      </c>
      <c r="R50" s="79"/>
      <c r="S50" s="8"/>
      <c r="T50" s="8"/>
    </row>
    <row r="51" spans="1:20" ht="20.100000000000001" customHeight="1" thickBot="1" x14ac:dyDescent="0.35">
      <c r="A51" s="247"/>
      <c r="B51" s="218"/>
      <c r="C51" s="213">
        <v>16</v>
      </c>
      <c r="D51" s="217" t="s">
        <v>23</v>
      </c>
      <c r="E51" s="24" t="s">
        <v>16</v>
      </c>
      <c r="F51" s="23">
        <f>AVERAGE(F49:F50)</f>
        <v>70.5</v>
      </c>
      <c r="G51" s="23">
        <f t="shared" ref="G51:Q51" si="15">AVERAGE(G49:G50)</f>
        <v>78</v>
      </c>
      <c r="H51" s="23">
        <f t="shared" si="15"/>
        <v>77.5</v>
      </c>
      <c r="I51" s="23">
        <f t="shared" si="15"/>
        <v>86</v>
      </c>
      <c r="J51" s="23">
        <f t="shared" si="15"/>
        <v>79</v>
      </c>
      <c r="K51" s="23">
        <f t="shared" si="15"/>
        <v>86</v>
      </c>
      <c r="L51" s="23">
        <f t="shared" si="15"/>
        <v>77.5</v>
      </c>
      <c r="M51" s="23">
        <f t="shared" si="15"/>
        <v>554.5</v>
      </c>
      <c r="N51" s="41">
        <f t="shared" si="15"/>
        <v>79.214285714285722</v>
      </c>
      <c r="O51" s="23">
        <f>'11A (N S) Avr'!$I$19</f>
        <v>29</v>
      </c>
      <c r="P51" s="23">
        <f t="shared" si="15"/>
        <v>0</v>
      </c>
      <c r="Q51" s="23">
        <f t="shared" si="15"/>
        <v>0</v>
      </c>
      <c r="R51" s="79"/>
      <c r="S51" s="8"/>
      <c r="T51" s="8"/>
    </row>
    <row r="52" spans="1:20" ht="20.100000000000001" customHeight="1" thickBot="1" x14ac:dyDescent="0.35">
      <c r="A52" s="247">
        <v>17</v>
      </c>
      <c r="B52" s="218"/>
      <c r="C52" s="213">
        <v>16</v>
      </c>
      <c r="D52" s="217" t="s">
        <v>20</v>
      </c>
      <c r="E52" s="24" t="s">
        <v>21</v>
      </c>
      <c r="F52" s="23">
        <f>'11A (N S) Sem1 '!E20</f>
        <v>85</v>
      </c>
      <c r="G52" s="23">
        <f>'11A (N S) Sem1 '!F20</f>
        <v>68</v>
      </c>
      <c r="H52" s="23">
        <f>'11A (N S) Sem1 '!G20</f>
        <v>79</v>
      </c>
      <c r="I52" s="23">
        <f>'11A (N S) Sem1 '!H20</f>
        <v>69</v>
      </c>
      <c r="J52" s="23">
        <f>'11A (N S) Sem1 '!I20</f>
        <v>73</v>
      </c>
      <c r="K52" s="23">
        <f>'11A (N S) Sem1 '!J20</f>
        <v>91</v>
      </c>
      <c r="L52" s="23">
        <f>'11A (N S) Sem1 '!K20</f>
        <v>53</v>
      </c>
      <c r="M52" s="23">
        <f>'11A (N S) Sem1 '!L20</f>
        <v>518</v>
      </c>
      <c r="N52" s="192">
        <f>'11A (N S) Sem1 '!M20</f>
        <v>74</v>
      </c>
      <c r="O52" s="22">
        <f>'11A (N S) Sem1 '!N20</f>
        <v>34</v>
      </c>
      <c r="P52" s="23">
        <f>'11A (N S) Sem1 '!O20</f>
        <v>0</v>
      </c>
      <c r="Q52" s="42">
        <f>'11A (N S) Sem1 '!P20</f>
        <v>0</v>
      </c>
      <c r="R52" s="79"/>
      <c r="S52" s="8"/>
      <c r="T52" s="8"/>
    </row>
    <row r="53" spans="1:20" ht="20.100000000000001" customHeight="1" thickBot="1" x14ac:dyDescent="0.35">
      <c r="A53" s="247"/>
      <c r="B53" s="218"/>
      <c r="C53" s="213">
        <v>16</v>
      </c>
      <c r="D53" s="217" t="s">
        <v>20</v>
      </c>
      <c r="E53" s="24" t="s">
        <v>22</v>
      </c>
      <c r="F53" s="23">
        <f>'11A (N S) Sem2'!E20</f>
        <v>0</v>
      </c>
      <c r="G53" s="23">
        <f>'11A (N S) Sem2'!F20</f>
        <v>0</v>
      </c>
      <c r="H53" s="23">
        <f>'11A (N S) Sem2'!G20</f>
        <v>0</v>
      </c>
      <c r="I53" s="23">
        <f>'11A (N S) Sem2'!H20</f>
        <v>0</v>
      </c>
      <c r="J53" s="23">
        <f>'11A (N S) Sem2'!I20</f>
        <v>0</v>
      </c>
      <c r="K53" s="23">
        <f>'11A (N S) Sem2'!J20</f>
        <v>0</v>
      </c>
      <c r="L53" s="23">
        <f>'11A (N S) Sem2'!K20</f>
        <v>0</v>
      </c>
      <c r="M53" s="23">
        <f>'11A (N S) Sem2'!L20</f>
        <v>0</v>
      </c>
      <c r="N53" s="192">
        <f>'11A (N S) Sem2'!M20</f>
        <v>0</v>
      </c>
      <c r="O53" s="22">
        <f>'11A (N S) Sem2'!N20</f>
        <v>49</v>
      </c>
      <c r="P53" s="23">
        <f>'11A (N S) Sem2'!O20</f>
        <v>0</v>
      </c>
      <c r="Q53" s="42">
        <f>'11A (N S) Sem2'!P20</f>
        <v>0</v>
      </c>
      <c r="R53" s="79"/>
      <c r="S53" s="8"/>
      <c r="T53" s="8"/>
    </row>
    <row r="54" spans="1:20" ht="20.100000000000001" customHeight="1" thickBot="1" x14ac:dyDescent="0.35">
      <c r="A54" s="247"/>
      <c r="B54" s="218"/>
      <c r="C54" s="213">
        <v>16</v>
      </c>
      <c r="D54" s="217" t="s">
        <v>20</v>
      </c>
      <c r="E54" s="24" t="s">
        <v>16</v>
      </c>
      <c r="F54" s="23">
        <f>AVERAGE(F52:F53)</f>
        <v>42.5</v>
      </c>
      <c r="G54" s="23">
        <f t="shared" ref="G54:Q54" si="16">AVERAGE(G52:G53)</f>
        <v>34</v>
      </c>
      <c r="H54" s="23">
        <f t="shared" si="16"/>
        <v>39.5</v>
      </c>
      <c r="I54" s="23">
        <f t="shared" si="16"/>
        <v>34.5</v>
      </c>
      <c r="J54" s="23">
        <f t="shared" si="16"/>
        <v>36.5</v>
      </c>
      <c r="K54" s="23">
        <f t="shared" si="16"/>
        <v>45.5</v>
      </c>
      <c r="L54" s="23">
        <f t="shared" si="16"/>
        <v>26.5</v>
      </c>
      <c r="M54" s="23">
        <f t="shared" si="16"/>
        <v>259</v>
      </c>
      <c r="N54" s="41">
        <f t="shared" si="16"/>
        <v>37</v>
      </c>
      <c r="O54" s="23">
        <f>'11A (N S) Avr'!$I$20</f>
        <v>49</v>
      </c>
      <c r="P54" s="23">
        <f t="shared" si="16"/>
        <v>0</v>
      </c>
      <c r="Q54" s="23">
        <f t="shared" si="16"/>
        <v>0</v>
      </c>
      <c r="R54" s="79"/>
      <c r="S54" s="8"/>
      <c r="T54" s="8"/>
    </row>
    <row r="55" spans="1:20" ht="20.100000000000001" customHeight="1" thickBot="1" x14ac:dyDescent="0.35">
      <c r="A55" s="247">
        <v>18</v>
      </c>
      <c r="B55" s="218"/>
      <c r="C55" s="213">
        <v>17</v>
      </c>
      <c r="D55" s="217" t="s">
        <v>20</v>
      </c>
      <c r="E55" s="24" t="s">
        <v>21</v>
      </c>
      <c r="F55" s="23">
        <f>'11A (N S) Sem1 '!E21</f>
        <v>77</v>
      </c>
      <c r="G55" s="23">
        <f>'11A (N S) Sem1 '!F21</f>
        <v>79</v>
      </c>
      <c r="H55" s="23">
        <f>'11A (N S) Sem1 '!G21</f>
        <v>66</v>
      </c>
      <c r="I55" s="23">
        <f>'11A (N S) Sem1 '!H21</f>
        <v>81</v>
      </c>
      <c r="J55" s="23">
        <f>'11A (N S) Sem1 '!I21</f>
        <v>75</v>
      </c>
      <c r="K55" s="23">
        <f>'11A (N S) Sem1 '!J21</f>
        <v>88</v>
      </c>
      <c r="L55" s="23">
        <f>'11A (N S) Sem1 '!K21</f>
        <v>74</v>
      </c>
      <c r="M55" s="23">
        <f>'11A (N S) Sem1 '!L21</f>
        <v>540</v>
      </c>
      <c r="N55" s="192">
        <f>'11A (N S) Sem1 '!M21</f>
        <v>77.142857142857139</v>
      </c>
      <c r="O55" s="22">
        <f>'11A (N S) Sem1 '!N21</f>
        <v>27</v>
      </c>
      <c r="P55" s="23">
        <f>'11A (N S) Sem1 '!O21</f>
        <v>0</v>
      </c>
      <c r="Q55" s="42">
        <f>'11A (N S) Sem1 '!P21</f>
        <v>0</v>
      </c>
      <c r="R55" s="78"/>
    </row>
    <row r="56" spans="1:20" ht="20.100000000000001" customHeight="1" thickBot="1" x14ac:dyDescent="0.35">
      <c r="A56" s="247"/>
      <c r="B56" s="218"/>
      <c r="C56" s="213">
        <v>17</v>
      </c>
      <c r="D56" s="217" t="s">
        <v>20</v>
      </c>
      <c r="E56" s="24" t="s">
        <v>22</v>
      </c>
      <c r="F56" s="23">
        <f>'11A (N S) Sem2'!E21</f>
        <v>75</v>
      </c>
      <c r="G56" s="23">
        <f>'11A (N S) Sem2'!F21</f>
        <v>83</v>
      </c>
      <c r="H56" s="23">
        <f>'11A (N S) Sem2'!G21</f>
        <v>73</v>
      </c>
      <c r="I56" s="23">
        <f>'11A (N S) Sem2'!H21</f>
        <v>91</v>
      </c>
      <c r="J56" s="23">
        <f>'11A (N S) Sem2'!I21</f>
        <v>82</v>
      </c>
      <c r="K56" s="23">
        <f>'11A (N S) Sem2'!J21</f>
        <v>97</v>
      </c>
      <c r="L56" s="23">
        <f>'11A (N S) Sem2'!K21</f>
        <v>93</v>
      </c>
      <c r="M56" s="23">
        <f>'11A (N S) Sem2'!L21</f>
        <v>594</v>
      </c>
      <c r="N56" s="192">
        <f>'11A (N S) Sem2'!M21</f>
        <v>84.857142857142861</v>
      </c>
      <c r="O56" s="22">
        <f>'11A (N S) Sem2'!N21</f>
        <v>19</v>
      </c>
      <c r="P56" s="23">
        <f>'11A (N S) Sem2'!O21</f>
        <v>0</v>
      </c>
      <c r="Q56" s="42">
        <f>'11A (N S) Sem2'!P21</f>
        <v>0</v>
      </c>
      <c r="R56" s="78"/>
    </row>
    <row r="57" spans="1:20" ht="20.100000000000001" customHeight="1" thickBot="1" x14ac:dyDescent="0.35">
      <c r="A57" s="247"/>
      <c r="B57" s="218"/>
      <c r="C57" s="213">
        <v>17</v>
      </c>
      <c r="D57" s="217" t="s">
        <v>20</v>
      </c>
      <c r="E57" s="24" t="s">
        <v>16</v>
      </c>
      <c r="F57" s="23">
        <f>AVERAGE(F55:F56)</f>
        <v>76</v>
      </c>
      <c r="G57" s="23">
        <f t="shared" ref="G57:Q57" si="17">AVERAGE(G55:G56)</f>
        <v>81</v>
      </c>
      <c r="H57" s="23">
        <f t="shared" si="17"/>
        <v>69.5</v>
      </c>
      <c r="I57" s="23">
        <f t="shared" si="17"/>
        <v>86</v>
      </c>
      <c r="J57" s="23">
        <f t="shared" si="17"/>
        <v>78.5</v>
      </c>
      <c r="K57" s="23">
        <f t="shared" si="17"/>
        <v>92.5</v>
      </c>
      <c r="L57" s="23">
        <f t="shared" si="17"/>
        <v>83.5</v>
      </c>
      <c r="M57" s="23">
        <f t="shared" si="17"/>
        <v>567</v>
      </c>
      <c r="N57" s="41">
        <f t="shared" si="17"/>
        <v>81</v>
      </c>
      <c r="O57" s="23">
        <f>'11A (N S) Avr'!$I$21</f>
        <v>24</v>
      </c>
      <c r="P57" s="23">
        <f t="shared" si="17"/>
        <v>0</v>
      </c>
      <c r="Q57" s="23">
        <f t="shared" si="17"/>
        <v>0</v>
      </c>
      <c r="R57" s="78"/>
    </row>
    <row r="58" spans="1:20" ht="20.100000000000001" customHeight="1" thickBot="1" x14ac:dyDescent="0.35">
      <c r="A58" s="247">
        <v>19</v>
      </c>
      <c r="B58" s="218"/>
      <c r="C58" s="213">
        <v>16</v>
      </c>
      <c r="D58" s="217" t="s">
        <v>23</v>
      </c>
      <c r="E58" s="24" t="s">
        <v>21</v>
      </c>
      <c r="F58" s="23">
        <f>'11A (N S) Sem1 '!E22</f>
        <v>75</v>
      </c>
      <c r="G58" s="23">
        <f>'11A (N S) Sem1 '!F22</f>
        <v>73</v>
      </c>
      <c r="H58" s="23">
        <f>'11A (N S) Sem1 '!G22</f>
        <v>67</v>
      </c>
      <c r="I58" s="23">
        <f>'11A (N S) Sem1 '!H22</f>
        <v>77</v>
      </c>
      <c r="J58" s="23">
        <f>'11A (N S) Sem1 '!I22</f>
        <v>76</v>
      </c>
      <c r="K58" s="23">
        <f>'11A (N S) Sem1 '!J22</f>
        <v>85</v>
      </c>
      <c r="L58" s="23">
        <f>'11A (N S) Sem1 '!K22</f>
        <v>78</v>
      </c>
      <c r="M58" s="23">
        <f>'11A (N S) Sem1 '!L22</f>
        <v>531</v>
      </c>
      <c r="N58" s="192">
        <f>'11A (N S) Sem1 '!M22</f>
        <v>75.857142857142861</v>
      </c>
      <c r="O58" s="22">
        <f>'11A (N S) Sem1 '!N22</f>
        <v>30</v>
      </c>
      <c r="P58" s="23">
        <f>'11A (N S) Sem1 '!O22</f>
        <v>0</v>
      </c>
      <c r="Q58" s="42">
        <f>'11A (N S) Sem1 '!P22</f>
        <v>0</v>
      </c>
      <c r="R58" s="78"/>
    </row>
    <row r="59" spans="1:20" ht="20.100000000000001" customHeight="1" thickBot="1" x14ac:dyDescent="0.35">
      <c r="A59" s="247"/>
      <c r="B59" s="218"/>
      <c r="C59" s="213">
        <v>16</v>
      </c>
      <c r="D59" s="217" t="s">
        <v>23</v>
      </c>
      <c r="E59" s="24" t="s">
        <v>22</v>
      </c>
      <c r="F59" s="23">
        <f>'11A (N S) Sem2'!E22</f>
        <v>85</v>
      </c>
      <c r="G59" s="23">
        <f>'11A (N S) Sem2'!F22</f>
        <v>69</v>
      </c>
      <c r="H59" s="23">
        <f>'11A (N S) Sem2'!G22</f>
        <v>78</v>
      </c>
      <c r="I59" s="23">
        <f>'11A (N S) Sem2'!H22</f>
        <v>80</v>
      </c>
      <c r="J59" s="23">
        <f>'11A (N S) Sem2'!I22</f>
        <v>85</v>
      </c>
      <c r="K59" s="23">
        <f>'11A (N S) Sem2'!J22</f>
        <v>89</v>
      </c>
      <c r="L59" s="23">
        <f>'11A (N S) Sem2'!K22</f>
        <v>88</v>
      </c>
      <c r="M59" s="23">
        <f>'11A (N S) Sem2'!L22</f>
        <v>574</v>
      </c>
      <c r="N59" s="192">
        <f>'11A (N S) Sem2'!M22</f>
        <v>82</v>
      </c>
      <c r="O59" s="22">
        <f>'11A (N S) Sem2'!N22</f>
        <v>30</v>
      </c>
      <c r="P59" s="23">
        <f>'11A (N S) Sem2'!O22</f>
        <v>0</v>
      </c>
      <c r="Q59" s="42">
        <f>'11A (N S) Sem2'!P22</f>
        <v>0</v>
      </c>
      <c r="R59" s="78"/>
    </row>
    <row r="60" spans="1:20" ht="20.100000000000001" customHeight="1" thickBot="1" x14ac:dyDescent="0.35">
      <c r="A60" s="247"/>
      <c r="B60" s="218"/>
      <c r="C60" s="213">
        <v>16</v>
      </c>
      <c r="D60" s="217" t="s">
        <v>23</v>
      </c>
      <c r="E60" s="24" t="s">
        <v>16</v>
      </c>
      <c r="F60" s="23">
        <f>AVERAGE(F58:F59)</f>
        <v>80</v>
      </c>
      <c r="G60" s="23">
        <f t="shared" ref="G60:Q60" si="18">AVERAGE(G58:G59)</f>
        <v>71</v>
      </c>
      <c r="H60" s="23">
        <f t="shared" si="18"/>
        <v>72.5</v>
      </c>
      <c r="I60" s="23">
        <f t="shared" si="18"/>
        <v>78.5</v>
      </c>
      <c r="J60" s="23">
        <f t="shared" si="18"/>
        <v>80.5</v>
      </c>
      <c r="K60" s="23">
        <f t="shared" si="18"/>
        <v>87</v>
      </c>
      <c r="L60" s="23">
        <f t="shared" si="18"/>
        <v>83</v>
      </c>
      <c r="M60" s="23">
        <f t="shared" si="18"/>
        <v>552.5</v>
      </c>
      <c r="N60" s="41">
        <f t="shared" si="18"/>
        <v>78.928571428571431</v>
      </c>
      <c r="O60" s="23">
        <f>'11A (N S) Avr'!$I$22</f>
        <v>31</v>
      </c>
      <c r="P60" s="23">
        <f t="shared" si="18"/>
        <v>0</v>
      </c>
      <c r="Q60" s="23">
        <f t="shared" si="18"/>
        <v>0</v>
      </c>
      <c r="R60" s="78"/>
    </row>
    <row r="61" spans="1:20" ht="20.100000000000001" customHeight="1" thickBot="1" x14ac:dyDescent="0.35">
      <c r="A61" s="247">
        <v>20</v>
      </c>
      <c r="B61" s="218"/>
      <c r="C61" s="213">
        <v>17</v>
      </c>
      <c r="D61" s="217" t="s">
        <v>23</v>
      </c>
      <c r="E61" s="24" t="s">
        <v>21</v>
      </c>
      <c r="F61" s="23">
        <f>'11A (N S) Sem1 '!E23</f>
        <v>54</v>
      </c>
      <c r="G61" s="23">
        <f>'11A (N S) Sem1 '!F23</f>
        <v>72</v>
      </c>
      <c r="H61" s="23">
        <f>'11A (N S) Sem1 '!G23</f>
        <v>84</v>
      </c>
      <c r="I61" s="23">
        <f>'11A (N S) Sem1 '!H23</f>
        <v>87</v>
      </c>
      <c r="J61" s="23">
        <f>'11A (N S) Sem1 '!I23</f>
        <v>87</v>
      </c>
      <c r="K61" s="23">
        <f>'11A (N S) Sem1 '!J23</f>
        <v>84</v>
      </c>
      <c r="L61" s="23">
        <f>'11A (N S) Sem1 '!K23</f>
        <v>87</v>
      </c>
      <c r="M61" s="23">
        <f>'11A (N S) Sem1 '!L23</f>
        <v>555</v>
      </c>
      <c r="N61" s="192">
        <f>'11A (N S) Sem1 '!M23</f>
        <v>79.285714285714292</v>
      </c>
      <c r="O61" s="22">
        <f>'11A (N S) Sem1 '!N23</f>
        <v>23</v>
      </c>
      <c r="P61" s="23">
        <f>'11A (N S) Sem1 '!O23</f>
        <v>0</v>
      </c>
      <c r="Q61" s="42">
        <f>'11A (N S) Sem1 '!P23</f>
        <v>0</v>
      </c>
      <c r="R61" s="78"/>
    </row>
    <row r="62" spans="1:20" ht="20.100000000000001" customHeight="1" thickBot="1" x14ac:dyDescent="0.35">
      <c r="A62" s="247"/>
      <c r="B62" s="218"/>
      <c r="C62" s="213">
        <v>17</v>
      </c>
      <c r="D62" s="217" t="s">
        <v>23</v>
      </c>
      <c r="E62" s="24" t="s">
        <v>22</v>
      </c>
      <c r="F62" s="23">
        <f>'11A (N S) Sem2'!E23</f>
        <v>64</v>
      </c>
      <c r="G62" s="23">
        <f>'11A (N S) Sem2'!F23</f>
        <v>70</v>
      </c>
      <c r="H62" s="23">
        <f>'11A (N S) Sem2'!G23</f>
        <v>78</v>
      </c>
      <c r="I62" s="23">
        <f>'11A (N S) Sem2'!H23</f>
        <v>90</v>
      </c>
      <c r="J62" s="23">
        <f>'11A (N S) Sem2'!I23</f>
        <v>100</v>
      </c>
      <c r="K62" s="23">
        <f>'11A (N S) Sem2'!J23</f>
        <v>72</v>
      </c>
      <c r="L62" s="23">
        <f>'11A (N S) Sem2'!K23</f>
        <v>91</v>
      </c>
      <c r="M62" s="23">
        <f>'11A (N S) Sem2'!L23</f>
        <v>565</v>
      </c>
      <c r="N62" s="192">
        <f>'11A (N S) Sem2'!M23</f>
        <v>80.714285714285708</v>
      </c>
      <c r="O62" s="22">
        <f>'11A (N S) Sem2'!N23</f>
        <v>33</v>
      </c>
      <c r="P62" s="23">
        <f>'11A (N S) Sem2'!O23</f>
        <v>0</v>
      </c>
      <c r="Q62" s="42">
        <f>'11A (N S) Sem2'!P23</f>
        <v>0</v>
      </c>
      <c r="R62" s="78"/>
    </row>
    <row r="63" spans="1:20" ht="20.100000000000001" customHeight="1" thickBot="1" x14ac:dyDescent="0.35">
      <c r="A63" s="247"/>
      <c r="B63" s="218"/>
      <c r="C63" s="213">
        <v>17</v>
      </c>
      <c r="D63" s="217" t="s">
        <v>23</v>
      </c>
      <c r="E63" s="24" t="s">
        <v>16</v>
      </c>
      <c r="F63" s="23">
        <f>AVERAGE(F61:F62)</f>
        <v>59</v>
      </c>
      <c r="G63" s="23">
        <f t="shared" ref="G63:Q63" si="19">AVERAGE(G61:G62)</f>
        <v>71</v>
      </c>
      <c r="H63" s="23">
        <f t="shared" si="19"/>
        <v>81</v>
      </c>
      <c r="I63" s="23">
        <f t="shared" si="19"/>
        <v>88.5</v>
      </c>
      <c r="J63" s="23">
        <f t="shared" si="19"/>
        <v>93.5</v>
      </c>
      <c r="K63" s="23">
        <f t="shared" si="19"/>
        <v>78</v>
      </c>
      <c r="L63" s="23">
        <f t="shared" si="19"/>
        <v>89</v>
      </c>
      <c r="M63" s="23">
        <f t="shared" si="19"/>
        <v>560</v>
      </c>
      <c r="N63" s="41">
        <f t="shared" si="19"/>
        <v>80</v>
      </c>
      <c r="O63" s="23">
        <f>'11A (N S) Avr'!$I$23</f>
        <v>27</v>
      </c>
      <c r="P63" s="23">
        <f t="shared" si="19"/>
        <v>0</v>
      </c>
      <c r="Q63" s="23">
        <f t="shared" si="19"/>
        <v>0</v>
      </c>
      <c r="R63" s="78"/>
    </row>
    <row r="64" spans="1:20" ht="20.100000000000001" customHeight="1" thickBot="1" x14ac:dyDescent="0.35">
      <c r="A64" s="247">
        <v>21</v>
      </c>
      <c r="B64" s="218"/>
      <c r="C64" s="213">
        <v>17</v>
      </c>
      <c r="D64" s="217" t="s">
        <v>23</v>
      </c>
      <c r="E64" s="24" t="s">
        <v>21</v>
      </c>
      <c r="F64" s="23">
        <f>'11A (N S) Sem1 '!E24</f>
        <v>56</v>
      </c>
      <c r="G64" s="23">
        <f>'11A (N S) Sem1 '!F24</f>
        <v>56</v>
      </c>
      <c r="H64" s="23">
        <f>'11A (N S) Sem1 '!G24</f>
        <v>67</v>
      </c>
      <c r="I64" s="23">
        <f>'11A (N S) Sem1 '!H24</f>
        <v>76</v>
      </c>
      <c r="J64" s="23">
        <f>'11A (N S) Sem1 '!I24</f>
        <v>78</v>
      </c>
      <c r="K64" s="23">
        <f>'11A (N S) Sem1 '!J24</f>
        <v>86</v>
      </c>
      <c r="L64" s="23">
        <f>'11A (N S) Sem1 '!K24</f>
        <v>76</v>
      </c>
      <c r="M64" s="23">
        <f>'11A (N S) Sem1 '!L24</f>
        <v>495</v>
      </c>
      <c r="N64" s="192">
        <f>'11A (N S) Sem1 '!M24</f>
        <v>70.714285714285708</v>
      </c>
      <c r="O64" s="22">
        <f>'11A (N S) Sem1 '!N24</f>
        <v>40</v>
      </c>
      <c r="P64" s="23">
        <f>'11A (N S) Sem1 '!O24</f>
        <v>0</v>
      </c>
      <c r="Q64" s="42">
        <f>'11A (N S) Sem1 '!P24</f>
        <v>0</v>
      </c>
      <c r="R64" s="78"/>
    </row>
    <row r="65" spans="1:18" ht="20.100000000000001" customHeight="1" thickBot="1" x14ac:dyDescent="0.35">
      <c r="A65" s="247"/>
      <c r="B65" s="218"/>
      <c r="C65" s="213">
        <v>17</v>
      </c>
      <c r="D65" s="217" t="s">
        <v>23</v>
      </c>
      <c r="E65" s="24" t="s">
        <v>22</v>
      </c>
      <c r="F65" s="23">
        <f>'11A (N S) Sem2'!E24</f>
        <v>65</v>
      </c>
      <c r="G65" s="23">
        <f>'11A (N S) Sem2'!F24</f>
        <v>55</v>
      </c>
      <c r="H65" s="23">
        <f>'11A (N S) Sem2'!G24</f>
        <v>61</v>
      </c>
      <c r="I65" s="23">
        <f>'11A (N S) Sem2'!H24</f>
        <v>80</v>
      </c>
      <c r="J65" s="23">
        <f>'11A (N S) Sem2'!I24</f>
        <v>72</v>
      </c>
      <c r="K65" s="23">
        <f>'11A (N S) Sem2'!J24</f>
        <v>81</v>
      </c>
      <c r="L65" s="23">
        <f>'11A (N S) Sem2'!K24</f>
        <v>73</v>
      </c>
      <c r="M65" s="23">
        <f>'11A (N S) Sem2'!L24</f>
        <v>487</v>
      </c>
      <c r="N65" s="192">
        <f>'11A (N S) Sem2'!M24</f>
        <v>69.571428571428569</v>
      </c>
      <c r="O65" s="22">
        <f>'11A (N S) Sem2'!N24</f>
        <v>43</v>
      </c>
      <c r="P65" s="23">
        <f>'11A (N S) Sem2'!O24</f>
        <v>0</v>
      </c>
      <c r="Q65" s="42">
        <f>'11A (N S) Sem2'!P24</f>
        <v>0</v>
      </c>
      <c r="R65" s="78"/>
    </row>
    <row r="66" spans="1:18" ht="20.100000000000001" customHeight="1" thickBot="1" x14ac:dyDescent="0.35">
      <c r="A66" s="247"/>
      <c r="B66" s="218"/>
      <c r="C66" s="213">
        <v>17</v>
      </c>
      <c r="D66" s="217" t="s">
        <v>23</v>
      </c>
      <c r="E66" s="24" t="s">
        <v>16</v>
      </c>
      <c r="F66" s="23">
        <f>AVERAGE(F64:F65)</f>
        <v>60.5</v>
      </c>
      <c r="G66" s="23">
        <f t="shared" ref="G66:Q66" si="20">AVERAGE(G64:G65)</f>
        <v>55.5</v>
      </c>
      <c r="H66" s="23">
        <f t="shared" si="20"/>
        <v>64</v>
      </c>
      <c r="I66" s="23">
        <f t="shared" si="20"/>
        <v>78</v>
      </c>
      <c r="J66" s="23">
        <f t="shared" si="20"/>
        <v>75</v>
      </c>
      <c r="K66" s="23">
        <f t="shared" si="20"/>
        <v>83.5</v>
      </c>
      <c r="L66" s="23">
        <f t="shared" si="20"/>
        <v>74.5</v>
      </c>
      <c r="M66" s="23">
        <f t="shared" si="20"/>
        <v>491</v>
      </c>
      <c r="N66" s="41">
        <f t="shared" si="20"/>
        <v>70.142857142857139</v>
      </c>
      <c r="O66" s="23">
        <f>'11A (N S) Avr'!$I$24</f>
        <v>40</v>
      </c>
      <c r="P66" s="23">
        <f t="shared" si="20"/>
        <v>0</v>
      </c>
      <c r="Q66" s="23">
        <f t="shared" si="20"/>
        <v>0</v>
      </c>
      <c r="R66" s="78"/>
    </row>
    <row r="67" spans="1:18" ht="20.100000000000001" customHeight="1" thickBot="1" x14ac:dyDescent="0.35">
      <c r="A67" s="247">
        <v>22</v>
      </c>
      <c r="B67" s="218"/>
      <c r="C67" s="213">
        <v>15</v>
      </c>
      <c r="D67" s="217" t="s">
        <v>23</v>
      </c>
      <c r="E67" s="24" t="s">
        <v>21</v>
      </c>
      <c r="F67" s="23">
        <f>'11A (N S) Sem1 '!E25</f>
        <v>89</v>
      </c>
      <c r="G67" s="23">
        <f>'11A (N S) Sem1 '!F25</f>
        <v>92</v>
      </c>
      <c r="H67" s="23">
        <f>'11A (N S) Sem1 '!G25</f>
        <v>90</v>
      </c>
      <c r="I67" s="23">
        <f>'11A (N S) Sem1 '!H25</f>
        <v>97</v>
      </c>
      <c r="J67" s="23">
        <f>'11A (N S) Sem1 '!I25</f>
        <v>95</v>
      </c>
      <c r="K67" s="23">
        <f>'11A (N S) Sem1 '!J25</f>
        <v>98</v>
      </c>
      <c r="L67" s="23">
        <f>'11A (N S) Sem1 '!K25</f>
        <v>97</v>
      </c>
      <c r="M67" s="23">
        <f>'11A (N S) Sem1 '!L25</f>
        <v>658</v>
      </c>
      <c r="N67" s="192">
        <f>'11A (N S) Sem1 '!M25</f>
        <v>94</v>
      </c>
      <c r="O67" s="22">
        <f>'11A (N S) Sem1 '!N25</f>
        <v>3</v>
      </c>
      <c r="P67" s="23">
        <f>'11A (N S) Sem1 '!O25</f>
        <v>0</v>
      </c>
      <c r="Q67" s="42">
        <f>'11A (N S) Sem1 '!P25</f>
        <v>0</v>
      </c>
      <c r="R67" s="78"/>
    </row>
    <row r="68" spans="1:18" ht="20.100000000000001" customHeight="1" thickBot="1" x14ac:dyDescent="0.35">
      <c r="A68" s="247"/>
      <c r="B68" s="218"/>
      <c r="C68" s="213">
        <v>15</v>
      </c>
      <c r="D68" s="217" t="s">
        <v>23</v>
      </c>
      <c r="E68" s="24" t="s">
        <v>22</v>
      </c>
      <c r="F68" s="23">
        <f>'11A (N S) Sem2'!E25</f>
        <v>99</v>
      </c>
      <c r="G68" s="23">
        <f>'11A (N S) Sem2'!F25</f>
        <v>94</v>
      </c>
      <c r="H68" s="23">
        <f>'11A (N S) Sem2'!G25</f>
        <v>96</v>
      </c>
      <c r="I68" s="23">
        <f>'11A (N S) Sem2'!H25</f>
        <v>100</v>
      </c>
      <c r="J68" s="23">
        <f>'11A (N S) Sem2'!I25</f>
        <v>100</v>
      </c>
      <c r="K68" s="23">
        <f>'11A (N S) Sem2'!J25</f>
        <v>100</v>
      </c>
      <c r="L68" s="23">
        <f>'11A (N S) Sem2'!K25</f>
        <v>99</v>
      </c>
      <c r="M68" s="23">
        <f>'11A (N S) Sem2'!L25</f>
        <v>688</v>
      </c>
      <c r="N68" s="192">
        <f>'11A (N S) Sem2'!M25</f>
        <v>98.285714285714292</v>
      </c>
      <c r="O68" s="22">
        <f>'11A (N S) Sem2'!N25</f>
        <v>1</v>
      </c>
      <c r="P68" s="23">
        <f>'11A (N S) Sem2'!O25</f>
        <v>0</v>
      </c>
      <c r="Q68" s="42">
        <f>'11A (N S) Sem2'!P25</f>
        <v>0</v>
      </c>
      <c r="R68" s="78"/>
    </row>
    <row r="69" spans="1:18" ht="20.100000000000001" customHeight="1" thickBot="1" x14ac:dyDescent="0.35">
      <c r="A69" s="247"/>
      <c r="B69" s="218"/>
      <c r="C69" s="213">
        <v>15</v>
      </c>
      <c r="D69" s="217" t="s">
        <v>23</v>
      </c>
      <c r="E69" s="24" t="s">
        <v>16</v>
      </c>
      <c r="F69" s="23">
        <f>AVERAGE(F67:F68)</f>
        <v>94</v>
      </c>
      <c r="G69" s="23">
        <f t="shared" ref="G69:Q69" si="21">AVERAGE(G67:G68)</f>
        <v>93</v>
      </c>
      <c r="H69" s="23">
        <f t="shared" si="21"/>
        <v>93</v>
      </c>
      <c r="I69" s="23">
        <f t="shared" si="21"/>
        <v>98.5</v>
      </c>
      <c r="J69" s="23">
        <f t="shared" si="21"/>
        <v>97.5</v>
      </c>
      <c r="K69" s="23">
        <f t="shared" si="21"/>
        <v>99</v>
      </c>
      <c r="L69" s="23">
        <f t="shared" si="21"/>
        <v>98</v>
      </c>
      <c r="M69" s="23">
        <f t="shared" si="21"/>
        <v>673</v>
      </c>
      <c r="N69" s="41">
        <f t="shared" si="21"/>
        <v>96.142857142857139</v>
      </c>
      <c r="O69" s="23">
        <f>'11A (N S) Avr'!$I$25</f>
        <v>2</v>
      </c>
      <c r="P69" s="23">
        <f t="shared" si="21"/>
        <v>0</v>
      </c>
      <c r="Q69" s="23">
        <f t="shared" si="21"/>
        <v>0</v>
      </c>
      <c r="R69" s="78"/>
    </row>
    <row r="70" spans="1:18" ht="20.100000000000001" customHeight="1" thickBot="1" x14ac:dyDescent="0.35">
      <c r="A70" s="247">
        <v>23</v>
      </c>
      <c r="B70" s="218"/>
      <c r="C70" s="213">
        <v>16</v>
      </c>
      <c r="D70" s="217" t="s">
        <v>23</v>
      </c>
      <c r="E70" s="24" t="s">
        <v>21</v>
      </c>
      <c r="F70" s="23">
        <f>'11A (N S) Sem1 '!E26</f>
        <v>74</v>
      </c>
      <c r="G70" s="23">
        <f>'11A (N S) Sem1 '!F26</f>
        <v>65</v>
      </c>
      <c r="H70" s="23">
        <f>'11A (N S) Sem1 '!G26</f>
        <v>73</v>
      </c>
      <c r="I70" s="23">
        <f>'11A (N S) Sem1 '!H26</f>
        <v>81</v>
      </c>
      <c r="J70" s="23">
        <f>'11A (N S) Sem1 '!I26</f>
        <v>81</v>
      </c>
      <c r="K70" s="23">
        <f>'11A (N S) Sem1 '!J26</f>
        <v>86</v>
      </c>
      <c r="L70" s="23">
        <f>'11A (N S) Sem1 '!K26</f>
        <v>79</v>
      </c>
      <c r="M70" s="23">
        <f>'11A (N S) Sem1 '!L26</f>
        <v>539</v>
      </c>
      <c r="N70" s="192">
        <f>'11A (N S) Sem1 '!M26</f>
        <v>77</v>
      </c>
      <c r="O70" s="22">
        <f>'11A (N S) Sem1 '!N26</f>
        <v>28</v>
      </c>
      <c r="P70" s="23">
        <f>'11A (N S) Sem1 '!O26</f>
        <v>0</v>
      </c>
      <c r="Q70" s="42">
        <f>'11A (N S) Sem1 '!P26</f>
        <v>0</v>
      </c>
      <c r="R70" s="78"/>
    </row>
    <row r="71" spans="1:18" ht="20.100000000000001" customHeight="1" thickBot="1" x14ac:dyDescent="0.35">
      <c r="A71" s="247"/>
      <c r="B71" s="218"/>
      <c r="C71" s="213">
        <v>16</v>
      </c>
      <c r="D71" s="217" t="s">
        <v>23</v>
      </c>
      <c r="E71" s="24" t="s">
        <v>22</v>
      </c>
      <c r="F71" s="23">
        <f>'11A (N S) Sem2'!E26</f>
        <v>78</v>
      </c>
      <c r="G71" s="23">
        <f>'11A (N S) Sem2'!F26</f>
        <v>68</v>
      </c>
      <c r="H71" s="23">
        <f>'11A (N S) Sem2'!G26</f>
        <v>78</v>
      </c>
      <c r="I71" s="23">
        <f>'11A (N S) Sem2'!H26</f>
        <v>90</v>
      </c>
      <c r="J71" s="23">
        <f>'11A (N S) Sem2'!I26</f>
        <v>87</v>
      </c>
      <c r="K71" s="23">
        <f>'11A (N S) Sem2'!J26</f>
        <v>90</v>
      </c>
      <c r="L71" s="23">
        <f>'11A (N S) Sem2'!K26</f>
        <v>94</v>
      </c>
      <c r="M71" s="23">
        <f>'11A (N S) Sem2'!L26</f>
        <v>585</v>
      </c>
      <c r="N71" s="192">
        <f>'11A (N S) Sem2'!M26</f>
        <v>83.571428571428569</v>
      </c>
      <c r="O71" s="22">
        <f>'11A (N S) Sem2'!N26</f>
        <v>25</v>
      </c>
      <c r="P71" s="23">
        <f>'11A (N S) Sem2'!O26</f>
        <v>0</v>
      </c>
      <c r="Q71" s="42">
        <f>'11A (N S) Sem2'!P26</f>
        <v>0</v>
      </c>
      <c r="R71" s="78"/>
    </row>
    <row r="72" spans="1:18" ht="20.100000000000001" customHeight="1" thickBot="1" x14ac:dyDescent="0.35">
      <c r="A72" s="247"/>
      <c r="B72" s="218"/>
      <c r="C72" s="213">
        <v>16</v>
      </c>
      <c r="D72" s="217" t="s">
        <v>23</v>
      </c>
      <c r="E72" s="24" t="s">
        <v>16</v>
      </c>
      <c r="F72" s="23">
        <f>AVERAGE(F70:F71)</f>
        <v>76</v>
      </c>
      <c r="G72" s="23">
        <f t="shared" ref="G72:Q72" si="22">AVERAGE(G70:G71)</f>
        <v>66.5</v>
      </c>
      <c r="H72" s="23">
        <f t="shared" si="22"/>
        <v>75.5</v>
      </c>
      <c r="I72" s="23">
        <f t="shared" si="22"/>
        <v>85.5</v>
      </c>
      <c r="J72" s="23">
        <f t="shared" si="22"/>
        <v>84</v>
      </c>
      <c r="K72" s="23">
        <f t="shared" si="22"/>
        <v>88</v>
      </c>
      <c r="L72" s="23">
        <f t="shared" si="22"/>
        <v>86.5</v>
      </c>
      <c r="M72" s="23">
        <f t="shared" si="22"/>
        <v>562</v>
      </c>
      <c r="N72" s="41">
        <f t="shared" si="22"/>
        <v>80.285714285714278</v>
      </c>
      <c r="O72" s="23">
        <f>'11A (N S) Avr'!$I$26</f>
        <v>26</v>
      </c>
      <c r="P72" s="23">
        <f t="shared" si="22"/>
        <v>0</v>
      </c>
      <c r="Q72" s="23">
        <f t="shared" si="22"/>
        <v>0</v>
      </c>
      <c r="R72" s="78"/>
    </row>
    <row r="73" spans="1:18" ht="20.100000000000001" customHeight="1" thickBot="1" x14ac:dyDescent="0.35">
      <c r="A73" s="247">
        <v>24</v>
      </c>
      <c r="B73" s="218"/>
      <c r="C73" s="213">
        <v>17</v>
      </c>
      <c r="D73" s="217" t="s">
        <v>23</v>
      </c>
      <c r="E73" s="24" t="s">
        <v>21</v>
      </c>
      <c r="F73" s="23">
        <f>'11A (N S) Sem1 '!E27</f>
        <v>76</v>
      </c>
      <c r="G73" s="23">
        <f>'11A (N S) Sem1 '!F27</f>
        <v>95</v>
      </c>
      <c r="H73" s="23">
        <f>'11A (N S) Sem1 '!G27</f>
        <v>93</v>
      </c>
      <c r="I73" s="23">
        <f>'11A (N S) Sem1 '!H27</f>
        <v>92</v>
      </c>
      <c r="J73" s="23">
        <f>'11A (N S) Sem1 '!I27</f>
        <v>95</v>
      </c>
      <c r="K73" s="23">
        <f>'11A (N S) Sem1 '!J27</f>
        <v>98</v>
      </c>
      <c r="L73" s="23">
        <f>'11A (N S) Sem1 '!K27</f>
        <v>94</v>
      </c>
      <c r="M73" s="23">
        <f>'11A (N S) Sem1 '!L27</f>
        <v>643</v>
      </c>
      <c r="N73" s="192">
        <f>'11A (N S) Sem1 '!M27</f>
        <v>91.857142857142861</v>
      </c>
      <c r="O73" s="22">
        <f>'11A (N S) Sem1 '!N27</f>
        <v>9</v>
      </c>
      <c r="P73" s="23">
        <f>'11A (N S) Sem1 '!O27</f>
        <v>0</v>
      </c>
      <c r="Q73" s="42">
        <f>'11A (N S) Sem1 '!P27</f>
        <v>0</v>
      </c>
      <c r="R73" s="78"/>
    </row>
    <row r="74" spans="1:18" ht="20.100000000000001" customHeight="1" thickBot="1" x14ac:dyDescent="0.35">
      <c r="A74" s="247"/>
      <c r="B74" s="218"/>
      <c r="C74" s="213">
        <v>17</v>
      </c>
      <c r="D74" s="217" t="s">
        <v>23</v>
      </c>
      <c r="E74" s="24" t="s">
        <v>22</v>
      </c>
      <c r="F74" s="23">
        <f>'11A (N S) Sem2'!E27</f>
        <v>91</v>
      </c>
      <c r="G74" s="23">
        <f>'11A (N S) Sem2'!F27</f>
        <v>91</v>
      </c>
      <c r="H74" s="23">
        <f>'11A (N S) Sem2'!G27</f>
        <v>96</v>
      </c>
      <c r="I74" s="23">
        <f>'11A (N S) Sem2'!H27</f>
        <v>98</v>
      </c>
      <c r="J74" s="23">
        <f>'11A (N S) Sem2'!I27</f>
        <v>100</v>
      </c>
      <c r="K74" s="23">
        <f>'11A (N S) Sem2'!J27</f>
        <v>99</v>
      </c>
      <c r="L74" s="23">
        <f>'11A (N S) Sem2'!K27</f>
        <v>97</v>
      </c>
      <c r="M74" s="23">
        <f>'11A (N S) Sem2'!L27</f>
        <v>672</v>
      </c>
      <c r="N74" s="192">
        <f>'11A (N S) Sem2'!M27</f>
        <v>96</v>
      </c>
      <c r="O74" s="22">
        <f>'11A (N S) Sem2'!N27</f>
        <v>4</v>
      </c>
      <c r="P74" s="23">
        <f>'11A (N S) Sem2'!O27</f>
        <v>0</v>
      </c>
      <c r="Q74" s="42">
        <f>'11A (N S) Sem2'!P27</f>
        <v>0</v>
      </c>
      <c r="R74" s="78"/>
    </row>
    <row r="75" spans="1:18" ht="20.100000000000001" customHeight="1" thickBot="1" x14ac:dyDescent="0.35">
      <c r="A75" s="247"/>
      <c r="B75" s="218"/>
      <c r="C75" s="213">
        <v>17</v>
      </c>
      <c r="D75" s="217" t="s">
        <v>23</v>
      </c>
      <c r="E75" s="24" t="s">
        <v>16</v>
      </c>
      <c r="F75" s="23">
        <f>AVERAGE(F73:F74)</f>
        <v>83.5</v>
      </c>
      <c r="G75" s="23">
        <f t="shared" ref="G75:Q75" si="23">AVERAGE(G73:G74)</f>
        <v>93</v>
      </c>
      <c r="H75" s="23">
        <f t="shared" si="23"/>
        <v>94.5</v>
      </c>
      <c r="I75" s="23">
        <f t="shared" si="23"/>
        <v>95</v>
      </c>
      <c r="J75" s="23">
        <f t="shared" si="23"/>
        <v>97.5</v>
      </c>
      <c r="K75" s="23">
        <f t="shared" si="23"/>
        <v>98.5</v>
      </c>
      <c r="L75" s="23">
        <f t="shared" si="23"/>
        <v>95.5</v>
      </c>
      <c r="M75" s="23">
        <f t="shared" si="23"/>
        <v>657.5</v>
      </c>
      <c r="N75" s="41">
        <f t="shared" si="23"/>
        <v>93.928571428571431</v>
      </c>
      <c r="O75" s="23">
        <f>'11A (N S) Avr'!$I$27</f>
        <v>7</v>
      </c>
      <c r="P75" s="23">
        <f t="shared" si="23"/>
        <v>0</v>
      </c>
      <c r="Q75" s="23">
        <f t="shared" si="23"/>
        <v>0</v>
      </c>
      <c r="R75" s="78"/>
    </row>
    <row r="76" spans="1:18" ht="20.100000000000001" customHeight="1" thickBot="1" x14ac:dyDescent="0.35">
      <c r="A76" s="247">
        <v>25</v>
      </c>
      <c r="B76" s="218"/>
      <c r="C76" s="213">
        <v>16</v>
      </c>
      <c r="D76" s="217" t="s">
        <v>23</v>
      </c>
      <c r="E76" s="24" t="s">
        <v>21</v>
      </c>
      <c r="F76" s="23">
        <f>'11A (N S) Sem1 '!E28</f>
        <v>66</v>
      </c>
      <c r="G76" s="23">
        <f>'11A (N S) Sem1 '!F28</f>
        <v>60</v>
      </c>
      <c r="H76" s="23">
        <f>'11A (N S) Sem1 '!G28</f>
        <v>70</v>
      </c>
      <c r="I76" s="23">
        <f>'11A (N S) Sem1 '!H28</f>
        <v>71</v>
      </c>
      <c r="J76" s="23">
        <f>'11A (N S) Sem1 '!I28</f>
        <v>84</v>
      </c>
      <c r="K76" s="23">
        <f>'11A (N S) Sem1 '!J28</f>
        <v>85</v>
      </c>
      <c r="L76" s="23">
        <f>'11A (N S) Sem1 '!K28</f>
        <v>73</v>
      </c>
      <c r="M76" s="23">
        <f>'11A (N S) Sem1 '!L28</f>
        <v>509</v>
      </c>
      <c r="N76" s="192">
        <f>'11A (N S) Sem1 '!M28</f>
        <v>72.714285714285708</v>
      </c>
      <c r="O76" s="22">
        <f>'11A (N S) Sem1 '!N28</f>
        <v>37</v>
      </c>
      <c r="P76" s="23">
        <f>'11A (N S) Sem1 '!O28</f>
        <v>0</v>
      </c>
      <c r="Q76" s="42">
        <f>'11A (N S) Sem1 '!P28</f>
        <v>0</v>
      </c>
      <c r="R76" s="78"/>
    </row>
    <row r="77" spans="1:18" ht="20.100000000000001" customHeight="1" thickBot="1" x14ac:dyDescent="0.35">
      <c r="A77" s="247"/>
      <c r="B77" s="218"/>
      <c r="C77" s="213">
        <v>16</v>
      </c>
      <c r="D77" s="217" t="s">
        <v>23</v>
      </c>
      <c r="E77" s="24" t="s">
        <v>22</v>
      </c>
      <c r="F77" s="23">
        <f>'11A (N S) Sem2'!E28</f>
        <v>85</v>
      </c>
      <c r="G77" s="23">
        <f>'11A (N S) Sem2'!F28</f>
        <v>59</v>
      </c>
      <c r="H77" s="23">
        <f>'11A (N S) Sem2'!G28</f>
        <v>78</v>
      </c>
      <c r="I77" s="23">
        <f>'11A (N S) Sem2'!H28</f>
        <v>87</v>
      </c>
      <c r="J77" s="23">
        <f>'11A (N S) Sem2'!I28</f>
        <v>85</v>
      </c>
      <c r="K77" s="23">
        <f>'11A (N S) Sem2'!J28</f>
        <v>87</v>
      </c>
      <c r="L77" s="23">
        <f>'11A (N S) Sem2'!K28</f>
        <v>92</v>
      </c>
      <c r="M77" s="23">
        <f>'11A (N S) Sem2'!L28</f>
        <v>573</v>
      </c>
      <c r="N77" s="192">
        <f>'11A (N S) Sem2'!M28</f>
        <v>81.857142857142861</v>
      </c>
      <c r="O77" s="22">
        <f>'11A (N S) Sem2'!N28</f>
        <v>31</v>
      </c>
      <c r="P77" s="23">
        <f>'11A (N S) Sem2'!O28</f>
        <v>0</v>
      </c>
      <c r="Q77" s="42">
        <f>'11A (N S) Sem2'!P28</f>
        <v>0</v>
      </c>
      <c r="R77" s="78"/>
    </row>
    <row r="78" spans="1:18" ht="20.100000000000001" customHeight="1" thickBot="1" x14ac:dyDescent="0.35">
      <c r="A78" s="247"/>
      <c r="B78" s="218"/>
      <c r="C78" s="213">
        <v>16</v>
      </c>
      <c r="D78" s="217" t="s">
        <v>23</v>
      </c>
      <c r="E78" s="24" t="s">
        <v>16</v>
      </c>
      <c r="F78" s="23">
        <f>AVERAGE(F76:F77)</f>
        <v>75.5</v>
      </c>
      <c r="G78" s="23">
        <f t="shared" ref="G78:Q78" si="24">AVERAGE(G76:G77)</f>
        <v>59.5</v>
      </c>
      <c r="H78" s="23">
        <f t="shared" si="24"/>
        <v>74</v>
      </c>
      <c r="I78" s="23">
        <f t="shared" si="24"/>
        <v>79</v>
      </c>
      <c r="J78" s="23">
        <f t="shared" si="24"/>
        <v>84.5</v>
      </c>
      <c r="K78" s="23">
        <f t="shared" si="24"/>
        <v>86</v>
      </c>
      <c r="L78" s="23">
        <f t="shared" si="24"/>
        <v>82.5</v>
      </c>
      <c r="M78" s="23">
        <f t="shared" si="24"/>
        <v>541</v>
      </c>
      <c r="N78" s="41">
        <f t="shared" si="24"/>
        <v>77.285714285714278</v>
      </c>
      <c r="O78" s="23">
        <f>'11A (N S) Avr'!$I$28</f>
        <v>34</v>
      </c>
      <c r="P78" s="23">
        <f t="shared" si="24"/>
        <v>0</v>
      </c>
      <c r="Q78" s="23">
        <f t="shared" si="24"/>
        <v>0</v>
      </c>
      <c r="R78" s="78"/>
    </row>
    <row r="79" spans="1:18" ht="20.100000000000001" customHeight="1" thickBot="1" x14ac:dyDescent="0.35">
      <c r="A79" s="247">
        <v>26</v>
      </c>
      <c r="B79" s="218"/>
      <c r="C79" s="213">
        <v>18</v>
      </c>
      <c r="D79" s="217" t="s">
        <v>23</v>
      </c>
      <c r="E79" s="24" t="s">
        <v>21</v>
      </c>
      <c r="F79" s="23">
        <f>'11A (N S) Sem1 '!E29</f>
        <v>74</v>
      </c>
      <c r="G79" s="23">
        <f>'11A (N S) Sem1 '!F29</f>
        <v>84</v>
      </c>
      <c r="H79" s="23">
        <f>'11A (N S) Sem1 '!G29</f>
        <v>81</v>
      </c>
      <c r="I79" s="23">
        <f>'11A (N S) Sem1 '!H29</f>
        <v>94</v>
      </c>
      <c r="J79" s="23">
        <f>'11A (N S) Sem1 '!I29</f>
        <v>99</v>
      </c>
      <c r="K79" s="23">
        <f>'11A (N S) Sem1 '!J29</f>
        <v>95</v>
      </c>
      <c r="L79" s="23">
        <f>'11A (N S) Sem1 '!K29</f>
        <v>86</v>
      </c>
      <c r="M79" s="23">
        <f>'11A (N S) Sem1 '!L29</f>
        <v>613</v>
      </c>
      <c r="N79" s="192">
        <f>'11A (N S) Sem1 '!M29</f>
        <v>87.571428571428569</v>
      </c>
      <c r="O79" s="22">
        <f>'11A (N S) Sem1 '!N29</f>
        <v>14</v>
      </c>
      <c r="P79" s="23">
        <f>'11A (N S) Sem1 '!O29</f>
        <v>0</v>
      </c>
      <c r="Q79" s="42">
        <f>'11A (N S) Sem1 '!P29</f>
        <v>0</v>
      </c>
      <c r="R79" s="78"/>
    </row>
    <row r="80" spans="1:18" ht="20.100000000000001" customHeight="1" thickBot="1" x14ac:dyDescent="0.35">
      <c r="A80" s="247"/>
      <c r="B80" s="218"/>
      <c r="C80" s="213">
        <v>18</v>
      </c>
      <c r="D80" s="217" t="s">
        <v>23</v>
      </c>
      <c r="E80" s="24" t="s">
        <v>22</v>
      </c>
      <c r="F80" s="23">
        <f>'11A (N S) Sem2'!E29</f>
        <v>79</v>
      </c>
      <c r="G80" s="23">
        <f>'11A (N S) Sem2'!F29</f>
        <v>91</v>
      </c>
      <c r="H80" s="23">
        <f>'11A (N S) Sem2'!G29</f>
        <v>91</v>
      </c>
      <c r="I80" s="23">
        <f>'11A (N S) Sem2'!H29</f>
        <v>100</v>
      </c>
      <c r="J80" s="23">
        <f>'11A (N S) Sem2'!I29</f>
        <v>98</v>
      </c>
      <c r="K80" s="23">
        <f>'11A (N S) Sem2'!J29</f>
        <v>94</v>
      </c>
      <c r="L80" s="23">
        <f>'11A (N S) Sem2'!K29</f>
        <v>100</v>
      </c>
      <c r="M80" s="23">
        <f>'11A (N S) Sem2'!L29</f>
        <v>653</v>
      </c>
      <c r="N80" s="192">
        <f>'11A (N S) Sem2'!M29</f>
        <v>93.285714285714292</v>
      </c>
      <c r="O80" s="22">
        <f>'11A (N S) Sem2'!N29</f>
        <v>10</v>
      </c>
      <c r="P80" s="23">
        <f>'11A (N S) Sem2'!O29</f>
        <v>0</v>
      </c>
      <c r="Q80" s="42">
        <f>'11A (N S) Sem2'!P29</f>
        <v>0</v>
      </c>
      <c r="R80" s="78"/>
    </row>
    <row r="81" spans="1:18" ht="20.100000000000001" customHeight="1" thickBot="1" x14ac:dyDescent="0.35">
      <c r="A81" s="247"/>
      <c r="B81" s="218"/>
      <c r="C81" s="213">
        <v>18</v>
      </c>
      <c r="D81" s="217" t="s">
        <v>23</v>
      </c>
      <c r="E81" s="24" t="s">
        <v>16</v>
      </c>
      <c r="F81" s="23">
        <f>AVERAGE(F79:F80)</f>
        <v>76.5</v>
      </c>
      <c r="G81" s="23">
        <f t="shared" ref="G81:Q81" si="25">AVERAGE(G79:G80)</f>
        <v>87.5</v>
      </c>
      <c r="H81" s="23">
        <f t="shared" si="25"/>
        <v>86</v>
      </c>
      <c r="I81" s="23">
        <f t="shared" si="25"/>
        <v>97</v>
      </c>
      <c r="J81" s="23">
        <f t="shared" si="25"/>
        <v>98.5</v>
      </c>
      <c r="K81" s="23">
        <f t="shared" si="25"/>
        <v>94.5</v>
      </c>
      <c r="L81" s="23">
        <f t="shared" si="25"/>
        <v>93</v>
      </c>
      <c r="M81" s="23">
        <f t="shared" si="25"/>
        <v>633</v>
      </c>
      <c r="N81" s="41">
        <f t="shared" si="25"/>
        <v>90.428571428571431</v>
      </c>
      <c r="O81" s="23">
        <f>'11A (N S) Avr'!$I$29</f>
        <v>12</v>
      </c>
      <c r="P81" s="23">
        <f t="shared" si="25"/>
        <v>0</v>
      </c>
      <c r="Q81" s="23">
        <f t="shared" si="25"/>
        <v>0</v>
      </c>
      <c r="R81" s="78"/>
    </row>
    <row r="82" spans="1:18" ht="20.100000000000001" customHeight="1" thickBot="1" x14ac:dyDescent="0.35">
      <c r="A82" s="247">
        <v>27</v>
      </c>
      <c r="B82" s="218"/>
      <c r="C82" s="213">
        <v>16</v>
      </c>
      <c r="D82" s="217" t="s">
        <v>23</v>
      </c>
      <c r="E82" s="24" t="s">
        <v>21</v>
      </c>
      <c r="F82" s="23">
        <f>'11A (N S) Sem1 '!E30</f>
        <v>65</v>
      </c>
      <c r="G82" s="23">
        <f>'11A (N S) Sem1 '!F30</f>
        <v>58</v>
      </c>
      <c r="H82" s="23">
        <f>'11A (N S) Sem1 '!G30</f>
        <v>45</v>
      </c>
      <c r="I82" s="23">
        <f>'11A (N S) Sem1 '!H30</f>
        <v>62</v>
      </c>
      <c r="J82" s="23">
        <f>'11A (N S) Sem1 '!I30</f>
        <v>57</v>
      </c>
      <c r="K82" s="23">
        <f>'11A (N S) Sem1 '!J30</f>
        <v>78</v>
      </c>
      <c r="L82" s="23">
        <f>'11A (N S) Sem1 '!K30</f>
        <v>40</v>
      </c>
      <c r="M82" s="23">
        <f>'11A (N S) Sem1 '!L30</f>
        <v>405</v>
      </c>
      <c r="N82" s="192">
        <f>'11A (N S) Sem1 '!M30</f>
        <v>57.857142857142854</v>
      </c>
      <c r="O82" s="22">
        <f>'11A (N S) Sem1 '!N30</f>
        <v>49</v>
      </c>
      <c r="P82" s="23">
        <f>'11A (N S) Sem1 '!O30</f>
        <v>0</v>
      </c>
      <c r="Q82" s="42">
        <f>'11A (N S) Sem1 '!P30</f>
        <v>0</v>
      </c>
      <c r="R82" s="78"/>
    </row>
    <row r="83" spans="1:18" ht="20.100000000000001" customHeight="1" thickBot="1" x14ac:dyDescent="0.35">
      <c r="A83" s="247"/>
      <c r="B83" s="218"/>
      <c r="C83" s="213">
        <v>16</v>
      </c>
      <c r="D83" s="217" t="s">
        <v>23</v>
      </c>
      <c r="E83" s="24" t="s">
        <v>22</v>
      </c>
      <c r="F83" s="29">
        <f>'11A (N S) Sem2'!E30</f>
        <v>74</v>
      </c>
      <c r="G83" s="29">
        <f>'11A (N S) Sem2'!F30</f>
        <v>54</v>
      </c>
      <c r="H83" s="29">
        <f>'11A (N S) Sem2'!G30</f>
        <v>67</v>
      </c>
      <c r="I83" s="29">
        <f>'11A (N S) Sem2'!H30</f>
        <v>85</v>
      </c>
      <c r="J83" s="29">
        <f>'11A (N S) Sem2'!I30</f>
        <v>63</v>
      </c>
      <c r="K83" s="29">
        <f>'11A (N S) Sem2'!J30</f>
        <v>85</v>
      </c>
      <c r="L83" s="29">
        <f>'11A (N S) Sem2'!K30</f>
        <v>54</v>
      </c>
      <c r="M83" s="23">
        <f>'11A (N S) Sem2'!L30</f>
        <v>482</v>
      </c>
      <c r="N83" s="192">
        <f>'11A (N S) Sem2'!M30</f>
        <v>68.857142857142861</v>
      </c>
      <c r="O83" s="22">
        <f>'11A (N S) Sem2'!N30</f>
        <v>45</v>
      </c>
      <c r="P83" s="29">
        <f>'11A (N S) Sem2'!O30</f>
        <v>0</v>
      </c>
      <c r="Q83" s="29">
        <f>'11A (N S) Sem2'!P30</f>
        <v>0</v>
      </c>
      <c r="R83" s="78"/>
    </row>
    <row r="84" spans="1:18" ht="20.100000000000001" customHeight="1" thickBot="1" x14ac:dyDescent="0.35">
      <c r="A84" s="247"/>
      <c r="B84" s="218"/>
      <c r="C84" s="213">
        <v>16</v>
      </c>
      <c r="D84" s="217" t="s">
        <v>23</v>
      </c>
      <c r="E84" s="24" t="s">
        <v>16</v>
      </c>
      <c r="F84" s="29">
        <f>AVERAGE(F82:F83)</f>
        <v>69.5</v>
      </c>
      <c r="G84" s="29">
        <f t="shared" ref="G84:Q84" si="26">AVERAGE(G82:G83)</f>
        <v>56</v>
      </c>
      <c r="H84" s="29">
        <f t="shared" si="26"/>
        <v>56</v>
      </c>
      <c r="I84" s="29">
        <f t="shared" si="26"/>
        <v>73.5</v>
      </c>
      <c r="J84" s="29">
        <f t="shared" si="26"/>
        <v>60</v>
      </c>
      <c r="K84" s="29">
        <f t="shared" si="26"/>
        <v>81.5</v>
      </c>
      <c r="L84" s="29">
        <f t="shared" si="26"/>
        <v>47</v>
      </c>
      <c r="M84" s="29">
        <f t="shared" si="26"/>
        <v>443.5</v>
      </c>
      <c r="N84" s="194">
        <f t="shared" si="26"/>
        <v>63.357142857142861</v>
      </c>
      <c r="O84" s="29">
        <f>'11A (N S) Avr'!$I$30</f>
        <v>47</v>
      </c>
      <c r="P84" s="29">
        <f t="shared" si="26"/>
        <v>0</v>
      </c>
      <c r="Q84" s="29">
        <f t="shared" si="26"/>
        <v>0</v>
      </c>
      <c r="R84" s="78"/>
    </row>
    <row r="85" spans="1:18" ht="20.100000000000001" customHeight="1" thickBot="1" x14ac:dyDescent="0.35">
      <c r="A85" s="247">
        <v>28</v>
      </c>
      <c r="B85" s="218"/>
      <c r="C85" s="213">
        <v>18</v>
      </c>
      <c r="D85" s="217" t="s">
        <v>23</v>
      </c>
      <c r="E85" s="24" t="s">
        <v>21</v>
      </c>
      <c r="F85" s="23">
        <f>'11A (N S) Sem1 '!E31</f>
        <v>52</v>
      </c>
      <c r="G85" s="23">
        <f>'11A (N S) Sem1 '!F31</f>
        <v>62</v>
      </c>
      <c r="H85" s="23">
        <f>'11A (N S) Sem1 '!G31</f>
        <v>53</v>
      </c>
      <c r="I85" s="23">
        <f>'11A (N S) Sem1 '!H31</f>
        <v>61</v>
      </c>
      <c r="J85" s="23">
        <f>'11A (N S) Sem1 '!I31</f>
        <v>75</v>
      </c>
      <c r="K85" s="23">
        <f>'11A (N S) Sem1 '!J31</f>
        <v>77</v>
      </c>
      <c r="L85" s="23">
        <f>'11A (N S) Sem1 '!K31</f>
        <v>64</v>
      </c>
      <c r="M85" s="23">
        <f>'11A (N S) Sem1 '!L31</f>
        <v>444</v>
      </c>
      <c r="N85" s="192">
        <f>'11A (N S) Sem1 '!M31</f>
        <v>63.428571428571431</v>
      </c>
      <c r="O85" s="22">
        <f>'11A (N S) Sem1 '!N31</f>
        <v>45</v>
      </c>
      <c r="P85" s="23">
        <f>'11A (N S) Sem1 '!O31</f>
        <v>0</v>
      </c>
      <c r="Q85" s="29">
        <f>'11A (N S) Sem1 '!P31</f>
        <v>0</v>
      </c>
      <c r="R85" s="78"/>
    </row>
    <row r="86" spans="1:18" ht="20.100000000000001" customHeight="1" thickBot="1" x14ac:dyDescent="0.35">
      <c r="A86" s="247"/>
      <c r="B86" s="218"/>
      <c r="C86" s="213">
        <v>18</v>
      </c>
      <c r="D86" s="217" t="s">
        <v>23</v>
      </c>
      <c r="E86" s="24" t="s">
        <v>22</v>
      </c>
      <c r="F86" s="23">
        <f>'11A (N S) Sem2'!E31</f>
        <v>63</v>
      </c>
      <c r="G86" s="23">
        <f>'11A (N S) Sem2'!F31</f>
        <v>56</v>
      </c>
      <c r="H86" s="23">
        <f>'11A (N S) Sem2'!G31</f>
        <v>82</v>
      </c>
      <c r="I86" s="23">
        <f>'11A (N S) Sem2'!H31</f>
        <v>73</v>
      </c>
      <c r="J86" s="23">
        <f>'11A (N S) Sem2'!I31</f>
        <v>77</v>
      </c>
      <c r="K86" s="23">
        <f>'11A (N S) Sem2'!J31</f>
        <v>78</v>
      </c>
      <c r="L86" s="23">
        <f>'11A (N S) Sem2'!K31</f>
        <v>78</v>
      </c>
      <c r="M86" s="23">
        <f>'11A (N S) Sem2'!L31</f>
        <v>507</v>
      </c>
      <c r="N86" s="192">
        <f>'11A (N S) Sem2'!M31</f>
        <v>72.428571428571431</v>
      </c>
      <c r="O86" s="22">
        <f>'11A (N S) Sem2'!N31</f>
        <v>41</v>
      </c>
      <c r="P86" s="23">
        <f>'11A (N S) Sem2'!O31</f>
        <v>0</v>
      </c>
      <c r="Q86" s="29">
        <f>'11A (N S) Sem2'!P31</f>
        <v>0</v>
      </c>
      <c r="R86" s="78"/>
    </row>
    <row r="87" spans="1:18" ht="20.100000000000001" customHeight="1" thickBot="1" x14ac:dyDescent="0.35">
      <c r="A87" s="247"/>
      <c r="B87" s="218"/>
      <c r="C87" s="213">
        <v>18</v>
      </c>
      <c r="D87" s="217" t="s">
        <v>23</v>
      </c>
      <c r="E87" s="24" t="s">
        <v>16</v>
      </c>
      <c r="F87" s="23">
        <f>AVERAGE(F85:F86)</f>
        <v>57.5</v>
      </c>
      <c r="G87" s="23">
        <f t="shared" ref="G87:Q87" si="27">AVERAGE(G85:G86)</f>
        <v>59</v>
      </c>
      <c r="H87" s="23">
        <f t="shared" si="27"/>
        <v>67.5</v>
      </c>
      <c r="I87" s="23">
        <f t="shared" si="27"/>
        <v>67</v>
      </c>
      <c r="J87" s="23">
        <f t="shared" si="27"/>
        <v>76</v>
      </c>
      <c r="K87" s="23">
        <f t="shared" si="27"/>
        <v>77.5</v>
      </c>
      <c r="L87" s="23">
        <f t="shared" si="27"/>
        <v>71</v>
      </c>
      <c r="M87" s="23">
        <f t="shared" si="27"/>
        <v>475.5</v>
      </c>
      <c r="N87" s="41">
        <f t="shared" si="27"/>
        <v>67.928571428571431</v>
      </c>
      <c r="O87" s="23">
        <f>'11A (N S) Avr'!$I$31</f>
        <v>43</v>
      </c>
      <c r="P87" s="23">
        <f t="shared" si="27"/>
        <v>0</v>
      </c>
      <c r="Q87" s="23">
        <f t="shared" si="27"/>
        <v>0</v>
      </c>
      <c r="R87" s="78"/>
    </row>
    <row r="88" spans="1:18" ht="20.100000000000001" customHeight="1" thickBot="1" x14ac:dyDescent="0.35">
      <c r="A88" s="247">
        <v>29</v>
      </c>
      <c r="B88" s="218"/>
      <c r="C88" s="213">
        <v>16</v>
      </c>
      <c r="D88" s="217" t="s">
        <v>23</v>
      </c>
      <c r="E88" s="24" t="s">
        <v>21</v>
      </c>
      <c r="F88" s="23">
        <f>'11A (N S) Sem1 '!E32</f>
        <v>67</v>
      </c>
      <c r="G88" s="23">
        <f>'11A (N S) Sem1 '!F32</f>
        <v>64</v>
      </c>
      <c r="H88" s="23">
        <f>'11A (N S) Sem1 '!G32</f>
        <v>69</v>
      </c>
      <c r="I88" s="23">
        <f>'11A (N S) Sem1 '!H32</f>
        <v>78</v>
      </c>
      <c r="J88" s="23">
        <f>'11A (N S) Sem1 '!I32</f>
        <v>75</v>
      </c>
      <c r="K88" s="23">
        <f>'11A (N S) Sem1 '!J32</f>
        <v>82</v>
      </c>
      <c r="L88" s="23">
        <f>'11A (N S) Sem1 '!K32</f>
        <v>75</v>
      </c>
      <c r="M88" s="23">
        <f>'11A (N S) Sem1 '!L32</f>
        <v>510</v>
      </c>
      <c r="N88" s="192">
        <f>'11A (N S) Sem1 '!M32</f>
        <v>72.857142857142861</v>
      </c>
      <c r="O88" s="22">
        <f>'11A (N S) Sem1 '!N32</f>
        <v>36</v>
      </c>
      <c r="P88" s="23">
        <f>'11A (N S) Sem1 '!O32</f>
        <v>0</v>
      </c>
      <c r="Q88" s="29">
        <f>'11A (N S) Sem1 '!P32</f>
        <v>0</v>
      </c>
      <c r="R88" s="78"/>
    </row>
    <row r="89" spans="1:18" ht="20.100000000000001" customHeight="1" thickBot="1" x14ac:dyDescent="0.35">
      <c r="A89" s="247"/>
      <c r="B89" s="218"/>
      <c r="C89" s="213">
        <v>16</v>
      </c>
      <c r="D89" s="217" t="s">
        <v>23</v>
      </c>
      <c r="E89" s="24" t="s">
        <v>22</v>
      </c>
      <c r="F89" s="29">
        <f>'11A (N S) Sem2'!E32</f>
        <v>76</v>
      </c>
      <c r="G89" s="29">
        <f>'11A (N S) Sem2'!F32</f>
        <v>60</v>
      </c>
      <c r="H89" s="29">
        <f>'11A (N S) Sem2'!G32</f>
        <v>76</v>
      </c>
      <c r="I89" s="29">
        <f>'11A (N S) Sem2'!H32</f>
        <v>82</v>
      </c>
      <c r="J89" s="29">
        <f>'11A (N S) Sem2'!I32</f>
        <v>83</v>
      </c>
      <c r="K89" s="29">
        <f>'11A (N S) Sem2'!J32</f>
        <v>94</v>
      </c>
      <c r="L89" s="29">
        <f>'11A (N S) Sem2'!K32</f>
        <v>90</v>
      </c>
      <c r="M89" s="23">
        <f>'11A (N S) Sem2'!L32</f>
        <v>561</v>
      </c>
      <c r="N89" s="192">
        <f>'11A (N S) Sem2'!M32</f>
        <v>80.142857142857139</v>
      </c>
      <c r="O89" s="22">
        <f>'11A (N S) Sem2'!N32</f>
        <v>34</v>
      </c>
      <c r="P89" s="29">
        <f>'11A (N S) Sem2'!O32</f>
        <v>0</v>
      </c>
      <c r="Q89" s="29">
        <f>'11A (N S) Sem2'!P32</f>
        <v>0</v>
      </c>
      <c r="R89" s="78"/>
    </row>
    <row r="90" spans="1:18" ht="20.100000000000001" customHeight="1" thickBot="1" x14ac:dyDescent="0.35">
      <c r="A90" s="247"/>
      <c r="B90" s="218"/>
      <c r="C90" s="213">
        <v>16</v>
      </c>
      <c r="D90" s="217" t="s">
        <v>23</v>
      </c>
      <c r="E90" s="24" t="s">
        <v>16</v>
      </c>
      <c r="F90" s="29">
        <f>AVERAGE(F88:F89)</f>
        <v>71.5</v>
      </c>
      <c r="G90" s="29">
        <f t="shared" ref="G90:Q90" si="28">AVERAGE(G88:G89)</f>
        <v>62</v>
      </c>
      <c r="H90" s="29">
        <f t="shared" si="28"/>
        <v>72.5</v>
      </c>
      <c r="I90" s="29">
        <f t="shared" si="28"/>
        <v>80</v>
      </c>
      <c r="J90" s="29">
        <f t="shared" si="28"/>
        <v>79</v>
      </c>
      <c r="K90" s="29">
        <f t="shared" si="28"/>
        <v>88</v>
      </c>
      <c r="L90" s="29">
        <f t="shared" si="28"/>
        <v>82.5</v>
      </c>
      <c r="M90" s="29">
        <f t="shared" si="28"/>
        <v>535.5</v>
      </c>
      <c r="N90" s="194">
        <f t="shared" si="28"/>
        <v>76.5</v>
      </c>
      <c r="O90" s="29">
        <f>'11A (N S) Avr'!$I$32</f>
        <v>36</v>
      </c>
      <c r="P90" s="29">
        <f t="shared" si="28"/>
        <v>0</v>
      </c>
      <c r="Q90" s="29">
        <f t="shared" si="28"/>
        <v>0</v>
      </c>
      <c r="R90" s="78"/>
    </row>
    <row r="91" spans="1:18" ht="20.100000000000001" customHeight="1" thickBot="1" x14ac:dyDescent="0.35">
      <c r="A91" s="247">
        <v>30</v>
      </c>
      <c r="B91" s="218"/>
      <c r="C91" s="213">
        <v>16</v>
      </c>
      <c r="D91" s="217" t="s">
        <v>23</v>
      </c>
      <c r="E91" s="24" t="s">
        <v>21</v>
      </c>
      <c r="F91" s="23">
        <f>'11A (N S) Sem1 '!E33</f>
        <v>53</v>
      </c>
      <c r="G91" s="23">
        <f>'11A (N S) Sem1 '!F33</f>
        <v>60</v>
      </c>
      <c r="H91" s="23">
        <f>'11A (N S) Sem1 '!G33</f>
        <v>63</v>
      </c>
      <c r="I91" s="23">
        <f>'11A (N S) Sem1 '!H33</f>
        <v>62</v>
      </c>
      <c r="J91" s="23">
        <f>'11A (N S) Sem1 '!I33</f>
        <v>63</v>
      </c>
      <c r="K91" s="23">
        <f>'11A (N S) Sem1 '!J33</f>
        <v>78</v>
      </c>
      <c r="L91" s="23">
        <f>'11A (N S) Sem1 '!K33</f>
        <v>61</v>
      </c>
      <c r="M91" s="23">
        <f>'11A (N S) Sem1 '!L33</f>
        <v>440</v>
      </c>
      <c r="N91" s="192">
        <f>'11A (N S) Sem1 '!M33</f>
        <v>62.857142857142854</v>
      </c>
      <c r="O91" s="22">
        <f>'11A (N S) Sem1 '!N33</f>
        <v>46</v>
      </c>
      <c r="P91" s="23">
        <f>'11A (N S) Sem1 '!O33</f>
        <v>0</v>
      </c>
      <c r="Q91" s="29">
        <f>'11A (N S) Sem1 '!P33</f>
        <v>0</v>
      </c>
      <c r="R91" s="78"/>
    </row>
    <row r="92" spans="1:18" ht="20.100000000000001" customHeight="1" thickBot="1" x14ac:dyDescent="0.35">
      <c r="A92" s="247"/>
      <c r="B92" s="218"/>
      <c r="C92" s="213">
        <v>16</v>
      </c>
      <c r="D92" s="217" t="s">
        <v>23</v>
      </c>
      <c r="E92" s="24" t="s">
        <v>22</v>
      </c>
      <c r="F92" s="23">
        <f>'11A (N S) Sem2'!E33</f>
        <v>63</v>
      </c>
      <c r="G92" s="23">
        <f>'11A (N S) Sem2'!F33</f>
        <v>67</v>
      </c>
      <c r="H92" s="23">
        <f>'11A (N S) Sem2'!G33</f>
        <v>63</v>
      </c>
      <c r="I92" s="23">
        <f>'11A (N S) Sem2'!H33</f>
        <v>68</v>
      </c>
      <c r="J92" s="23">
        <f>'11A (N S) Sem2'!I33</f>
        <v>67</v>
      </c>
      <c r="K92" s="23">
        <f>'11A (N S) Sem2'!J33</f>
        <v>83</v>
      </c>
      <c r="L92" s="23">
        <f>'11A (N S) Sem2'!K33</f>
        <v>64</v>
      </c>
      <c r="M92" s="23">
        <f>'11A (N S) Sem2'!L33</f>
        <v>475</v>
      </c>
      <c r="N92" s="192">
        <f>'11A (N S) Sem2'!M33</f>
        <v>67.857142857142861</v>
      </c>
      <c r="O92" s="22">
        <f>'11A (N S) Sem2'!N33</f>
        <v>47</v>
      </c>
      <c r="P92" s="23">
        <f>'11A (N S) Sem2'!O33</f>
        <v>0</v>
      </c>
      <c r="Q92" s="29">
        <f>'11A (N S) Sem2'!P33</f>
        <v>0</v>
      </c>
      <c r="R92" s="78"/>
    </row>
    <row r="93" spans="1:18" ht="20.100000000000001" customHeight="1" thickBot="1" x14ac:dyDescent="0.35">
      <c r="A93" s="247"/>
      <c r="B93" s="218"/>
      <c r="C93" s="213">
        <v>16</v>
      </c>
      <c r="D93" s="217" t="s">
        <v>23</v>
      </c>
      <c r="E93" s="24" t="s">
        <v>16</v>
      </c>
      <c r="F93" s="23">
        <f>AVERAGE(F91:F92)</f>
        <v>58</v>
      </c>
      <c r="G93" s="23">
        <f t="shared" ref="G93:Q93" si="29">AVERAGE(G91:G92)</f>
        <v>63.5</v>
      </c>
      <c r="H93" s="23">
        <f t="shared" si="29"/>
        <v>63</v>
      </c>
      <c r="I93" s="23">
        <f t="shared" si="29"/>
        <v>65</v>
      </c>
      <c r="J93" s="23">
        <f t="shared" si="29"/>
        <v>65</v>
      </c>
      <c r="K93" s="23">
        <f t="shared" si="29"/>
        <v>80.5</v>
      </c>
      <c r="L93" s="23">
        <f t="shared" si="29"/>
        <v>62.5</v>
      </c>
      <c r="M93" s="23">
        <f t="shared" si="29"/>
        <v>457.5</v>
      </c>
      <c r="N93" s="41">
        <f t="shared" si="29"/>
        <v>65.357142857142861</v>
      </c>
      <c r="O93" s="23">
        <f>'11A (N S) Avr'!$I$33</f>
        <v>46</v>
      </c>
      <c r="P93" s="23">
        <f t="shared" si="29"/>
        <v>0</v>
      </c>
      <c r="Q93" s="23">
        <f t="shared" si="29"/>
        <v>0</v>
      </c>
      <c r="R93" s="78"/>
    </row>
    <row r="94" spans="1:18" ht="20.100000000000001" customHeight="1" thickBot="1" x14ac:dyDescent="0.35">
      <c r="A94" s="247">
        <v>31</v>
      </c>
      <c r="B94" s="218"/>
      <c r="C94" s="213">
        <v>16</v>
      </c>
      <c r="D94" s="217" t="s">
        <v>23</v>
      </c>
      <c r="E94" s="24" t="s">
        <v>21</v>
      </c>
      <c r="F94" s="23">
        <f>'11A (N S) Sem1 '!E34</f>
        <v>61</v>
      </c>
      <c r="G94" s="23">
        <f>'11A (N S) Sem1 '!F34</f>
        <v>73</v>
      </c>
      <c r="H94" s="23">
        <f>'11A (N S) Sem1 '!G34</f>
        <v>76</v>
      </c>
      <c r="I94" s="23">
        <f>'11A (N S) Sem1 '!H34</f>
        <v>87</v>
      </c>
      <c r="J94" s="23">
        <f>'11A (N S) Sem1 '!I34</f>
        <v>82</v>
      </c>
      <c r="K94" s="23">
        <f>'11A (N S) Sem1 '!J34</f>
        <v>92</v>
      </c>
      <c r="L94" s="23">
        <f>'11A (N S) Sem1 '!K34</f>
        <v>82</v>
      </c>
      <c r="M94" s="23">
        <f>'11A (N S) Sem1 '!L34</f>
        <v>553</v>
      </c>
      <c r="N94" s="192">
        <f>'11A (N S) Sem1 '!M34</f>
        <v>79</v>
      </c>
      <c r="O94" s="22">
        <f>'11A (N S) Sem1 '!N34</f>
        <v>26</v>
      </c>
      <c r="P94" s="23">
        <f>'11A (N S) Sem1 '!O34</f>
        <v>0</v>
      </c>
      <c r="Q94" s="29">
        <f>'11A (N S) Sem1 '!P34</f>
        <v>0</v>
      </c>
      <c r="R94" s="78"/>
    </row>
    <row r="95" spans="1:18" ht="20.100000000000001" customHeight="1" thickBot="1" x14ac:dyDescent="0.35">
      <c r="A95" s="247"/>
      <c r="B95" s="218"/>
      <c r="C95" s="213">
        <v>16</v>
      </c>
      <c r="D95" s="217" t="s">
        <v>23</v>
      </c>
      <c r="E95" s="24" t="s">
        <v>22</v>
      </c>
      <c r="F95" s="23">
        <f>'11A (N S) Sem2'!E34</f>
        <v>66</v>
      </c>
      <c r="G95" s="23">
        <f>'11A (N S) Sem2'!F34</f>
        <v>70</v>
      </c>
      <c r="H95" s="23">
        <f>'11A (N S) Sem2'!G34</f>
        <v>80</v>
      </c>
      <c r="I95" s="23">
        <f>'11A (N S) Sem2'!H34</f>
        <v>89</v>
      </c>
      <c r="J95" s="23">
        <f>'11A (N S) Sem2'!I34</f>
        <v>90</v>
      </c>
      <c r="K95" s="23">
        <f>'11A (N S) Sem2'!J34</f>
        <v>95</v>
      </c>
      <c r="L95" s="23">
        <f>'11A (N S) Sem2'!K34</f>
        <v>93</v>
      </c>
      <c r="M95" s="23">
        <f>'11A (N S) Sem2'!L34</f>
        <v>583</v>
      </c>
      <c r="N95" s="192">
        <f>'11A (N S) Sem2'!M34</f>
        <v>83.285714285714292</v>
      </c>
      <c r="O95" s="22">
        <f>'11A (N S) Sem2'!N34</f>
        <v>26</v>
      </c>
      <c r="P95" s="23">
        <f>'11A (N S) Sem2'!O34</f>
        <v>0</v>
      </c>
      <c r="Q95" s="29">
        <f>'11A (N S) Sem2'!P34</f>
        <v>0</v>
      </c>
      <c r="R95" s="78"/>
    </row>
    <row r="96" spans="1:18" ht="20.100000000000001" customHeight="1" thickBot="1" x14ac:dyDescent="0.35">
      <c r="A96" s="247"/>
      <c r="B96" s="218"/>
      <c r="C96" s="213">
        <v>16</v>
      </c>
      <c r="D96" s="217" t="s">
        <v>23</v>
      </c>
      <c r="E96" s="24" t="s">
        <v>16</v>
      </c>
      <c r="F96" s="23">
        <f>AVERAGE(F94:F95)</f>
        <v>63.5</v>
      </c>
      <c r="G96" s="23">
        <f t="shared" ref="G96:Q96" si="30">AVERAGE(G94:G95)</f>
        <v>71.5</v>
      </c>
      <c r="H96" s="23">
        <f t="shared" si="30"/>
        <v>78</v>
      </c>
      <c r="I96" s="23">
        <f t="shared" si="30"/>
        <v>88</v>
      </c>
      <c r="J96" s="23">
        <f t="shared" si="30"/>
        <v>86</v>
      </c>
      <c r="K96" s="23">
        <f t="shared" si="30"/>
        <v>93.5</v>
      </c>
      <c r="L96" s="23">
        <f t="shared" si="30"/>
        <v>87.5</v>
      </c>
      <c r="M96" s="23">
        <f t="shared" si="30"/>
        <v>568</v>
      </c>
      <c r="N96" s="41">
        <f t="shared" si="30"/>
        <v>81.142857142857139</v>
      </c>
      <c r="O96" s="23">
        <f>'11A (N S) Avr'!$I$34</f>
        <v>23</v>
      </c>
      <c r="P96" s="23">
        <f t="shared" si="30"/>
        <v>0</v>
      </c>
      <c r="Q96" s="23">
        <f t="shared" si="30"/>
        <v>0</v>
      </c>
      <c r="R96" s="78"/>
    </row>
    <row r="97" spans="1:18" ht="20.100000000000001" customHeight="1" thickBot="1" x14ac:dyDescent="0.35">
      <c r="A97" s="247">
        <v>32</v>
      </c>
      <c r="B97" s="218"/>
      <c r="C97" s="213">
        <v>17</v>
      </c>
      <c r="D97" s="217" t="s">
        <v>20</v>
      </c>
      <c r="E97" s="24" t="s">
        <v>21</v>
      </c>
      <c r="F97" s="23">
        <f>'11A (N S) Sem1 '!E35</f>
        <v>77</v>
      </c>
      <c r="G97" s="23">
        <f>'11A (N S) Sem1 '!F35</f>
        <v>79</v>
      </c>
      <c r="H97" s="23">
        <f>'11A (N S) Sem1 '!G35</f>
        <v>75</v>
      </c>
      <c r="I97" s="23">
        <f>'11A (N S) Sem1 '!H35</f>
        <v>84</v>
      </c>
      <c r="J97" s="23">
        <f>'11A (N S) Sem1 '!I35</f>
        <v>80</v>
      </c>
      <c r="K97" s="23">
        <f>'11A (N S) Sem1 '!J35</f>
        <v>94</v>
      </c>
      <c r="L97" s="23">
        <f>'11A (N S) Sem1 '!K35</f>
        <v>89</v>
      </c>
      <c r="M97" s="23">
        <f>'11A (N S) Sem1 '!L35</f>
        <v>578</v>
      </c>
      <c r="N97" s="192">
        <f>'11A (N S) Sem1 '!M35</f>
        <v>82.571428571428569</v>
      </c>
      <c r="O97" s="22">
        <f>'11A (N S) Sem1 '!N35</f>
        <v>19</v>
      </c>
      <c r="P97" s="23">
        <f>'11A (N S) Sem1 '!O35</f>
        <v>0</v>
      </c>
      <c r="Q97" s="29">
        <f>'11A (N S) Sem1 '!P35</f>
        <v>0</v>
      </c>
      <c r="R97" s="78"/>
    </row>
    <row r="98" spans="1:18" ht="20.100000000000001" customHeight="1" thickBot="1" x14ac:dyDescent="0.35">
      <c r="A98" s="247"/>
      <c r="B98" s="218"/>
      <c r="C98" s="213">
        <v>17</v>
      </c>
      <c r="D98" s="217" t="s">
        <v>20</v>
      </c>
      <c r="E98" s="24" t="s">
        <v>22</v>
      </c>
      <c r="F98" s="23">
        <f>'11A (N S) Sem2'!E35</f>
        <v>87</v>
      </c>
      <c r="G98" s="23">
        <f>'11A (N S) Sem2'!F35</f>
        <v>81</v>
      </c>
      <c r="H98" s="23">
        <f>'11A (N S) Sem2'!G35</f>
        <v>85</v>
      </c>
      <c r="I98" s="23">
        <f>'11A (N S) Sem2'!H35</f>
        <v>92</v>
      </c>
      <c r="J98" s="23">
        <f>'11A (N S) Sem2'!I35</f>
        <v>95</v>
      </c>
      <c r="K98" s="23">
        <f>'11A (N S) Sem2'!J35</f>
        <v>100</v>
      </c>
      <c r="L98" s="23">
        <f>'11A (N S) Sem2'!K35</f>
        <v>93</v>
      </c>
      <c r="M98" s="23">
        <f>'11A (N S) Sem2'!L35</f>
        <v>633</v>
      </c>
      <c r="N98" s="192">
        <f>'11A (N S) Sem2'!M35</f>
        <v>90.428571428571431</v>
      </c>
      <c r="O98" s="22">
        <f>'11A (N S) Sem2'!N35</f>
        <v>13</v>
      </c>
      <c r="P98" s="23">
        <f>'11A (N S) Sem2'!O35</f>
        <v>0</v>
      </c>
      <c r="Q98" s="29">
        <f>'11A (N S) Sem2'!P35</f>
        <v>0</v>
      </c>
      <c r="R98" s="78"/>
    </row>
    <row r="99" spans="1:18" ht="20.100000000000001" customHeight="1" thickBot="1" x14ac:dyDescent="0.35">
      <c r="A99" s="247"/>
      <c r="B99" s="218"/>
      <c r="C99" s="213">
        <v>17</v>
      </c>
      <c r="D99" s="217" t="s">
        <v>20</v>
      </c>
      <c r="E99" s="24" t="s">
        <v>16</v>
      </c>
      <c r="F99" s="23">
        <f>AVERAGE(F97:F98)</f>
        <v>82</v>
      </c>
      <c r="G99" s="23">
        <f t="shared" ref="G99:Q99" si="31">AVERAGE(G97:G98)</f>
        <v>80</v>
      </c>
      <c r="H99" s="23">
        <f t="shared" si="31"/>
        <v>80</v>
      </c>
      <c r="I99" s="23">
        <f t="shared" si="31"/>
        <v>88</v>
      </c>
      <c r="J99" s="23">
        <f t="shared" si="31"/>
        <v>87.5</v>
      </c>
      <c r="K99" s="23">
        <f t="shared" si="31"/>
        <v>97</v>
      </c>
      <c r="L99" s="23">
        <f t="shared" si="31"/>
        <v>91</v>
      </c>
      <c r="M99" s="23">
        <f t="shared" si="31"/>
        <v>605.5</v>
      </c>
      <c r="N99" s="41">
        <f t="shared" si="31"/>
        <v>86.5</v>
      </c>
      <c r="O99" s="23">
        <f>'11A (N S) Avr'!$I$35</f>
        <v>18</v>
      </c>
      <c r="P99" s="23">
        <f t="shared" si="31"/>
        <v>0</v>
      </c>
      <c r="Q99" s="23">
        <f t="shared" si="31"/>
        <v>0</v>
      </c>
      <c r="R99" s="78"/>
    </row>
    <row r="100" spans="1:18" ht="20.100000000000001" customHeight="1" thickBot="1" x14ac:dyDescent="0.35">
      <c r="A100" s="247">
        <v>33</v>
      </c>
      <c r="B100" s="234"/>
      <c r="C100" s="247">
        <v>16</v>
      </c>
      <c r="D100" s="248" t="s">
        <v>20</v>
      </c>
      <c r="E100" s="24" t="s">
        <v>21</v>
      </c>
      <c r="F100" s="23">
        <f>'11A (N S) Sem1 '!E36</f>
        <v>82</v>
      </c>
      <c r="G100" s="23">
        <f>'11A (N S) Sem1 '!F36</f>
        <v>98</v>
      </c>
      <c r="H100" s="23">
        <f>'11A (N S) Sem1 '!G36</f>
        <v>94</v>
      </c>
      <c r="I100" s="23">
        <f>'11A (N S) Sem1 '!H36</f>
        <v>93</v>
      </c>
      <c r="J100" s="23">
        <f>'11A (N S) Sem1 '!I36</f>
        <v>98</v>
      </c>
      <c r="K100" s="23">
        <f>'11A (N S) Sem1 '!J36</f>
        <v>100</v>
      </c>
      <c r="L100" s="23">
        <f>'11A (N S) Sem1 '!K36</f>
        <v>87</v>
      </c>
      <c r="M100" s="23">
        <f>'11A (N S) Sem1 '!L36</f>
        <v>652</v>
      </c>
      <c r="N100" s="192">
        <f>'11A (N S) Sem1 '!M36</f>
        <v>93.142857142857139</v>
      </c>
      <c r="O100" s="22">
        <f>'11A (N S) Sem1 '!N36</f>
        <v>5</v>
      </c>
      <c r="P100" s="23">
        <f>'11A (N S) Sem1 '!O36</f>
        <v>0</v>
      </c>
      <c r="Q100" s="29">
        <f>'11A (N S) Sem1 '!P36</f>
        <v>0</v>
      </c>
      <c r="R100" s="78"/>
    </row>
    <row r="101" spans="1:18" ht="20.100000000000001" customHeight="1" thickBot="1" x14ac:dyDescent="0.35">
      <c r="A101" s="247"/>
      <c r="B101" s="234"/>
      <c r="C101" s="247">
        <v>16</v>
      </c>
      <c r="D101" s="248" t="s">
        <v>20</v>
      </c>
      <c r="E101" s="24" t="s">
        <v>22</v>
      </c>
      <c r="F101" s="23">
        <f>'11A (N S) Sem2'!E36</f>
        <v>94</v>
      </c>
      <c r="G101" s="23">
        <f>'11A (N S) Sem2'!F36</f>
        <v>96</v>
      </c>
      <c r="H101" s="23">
        <f>'11A (N S) Sem2'!G36</f>
        <v>98</v>
      </c>
      <c r="I101" s="23">
        <f>'11A (N S) Sem2'!H36</f>
        <v>100</v>
      </c>
      <c r="J101" s="23">
        <f>'11A (N S) Sem2'!I36</f>
        <v>97</v>
      </c>
      <c r="K101" s="23">
        <f>'11A (N S) Sem2'!J36</f>
        <v>100</v>
      </c>
      <c r="L101" s="23">
        <f>'11A (N S) Sem2'!K36</f>
        <v>98</v>
      </c>
      <c r="M101" s="23">
        <f>'11A (N S) Sem2'!L36</f>
        <v>683</v>
      </c>
      <c r="N101" s="192">
        <f>'11A (N S) Sem2'!M36</f>
        <v>97.571428571428569</v>
      </c>
      <c r="O101" s="22">
        <f>'11A (N S) Sem2'!N36</f>
        <v>3</v>
      </c>
      <c r="P101" s="23">
        <f>'11A (N S) Sem2'!O36</f>
        <v>0</v>
      </c>
      <c r="Q101" s="29">
        <f>'11A (N S) Sem2'!P36</f>
        <v>0</v>
      </c>
      <c r="R101" s="78"/>
    </row>
    <row r="102" spans="1:18" ht="20.100000000000001" customHeight="1" thickBot="1" x14ac:dyDescent="0.35">
      <c r="A102" s="247"/>
      <c r="B102" s="234"/>
      <c r="C102" s="247">
        <v>16</v>
      </c>
      <c r="D102" s="248" t="s">
        <v>20</v>
      </c>
      <c r="E102" s="24" t="s">
        <v>16</v>
      </c>
      <c r="F102" s="23">
        <f>AVERAGE(F100:F101)</f>
        <v>88</v>
      </c>
      <c r="G102" s="23">
        <f t="shared" ref="G102:Q102" si="32">AVERAGE(G100:G101)</f>
        <v>97</v>
      </c>
      <c r="H102" s="23">
        <f t="shared" si="32"/>
        <v>96</v>
      </c>
      <c r="I102" s="23">
        <f t="shared" si="32"/>
        <v>96.5</v>
      </c>
      <c r="J102" s="23">
        <f t="shared" si="32"/>
        <v>97.5</v>
      </c>
      <c r="K102" s="23">
        <f t="shared" si="32"/>
        <v>100</v>
      </c>
      <c r="L102" s="23">
        <f t="shared" si="32"/>
        <v>92.5</v>
      </c>
      <c r="M102" s="23">
        <f t="shared" si="32"/>
        <v>667.5</v>
      </c>
      <c r="N102" s="41">
        <f t="shared" si="32"/>
        <v>95.357142857142861</v>
      </c>
      <c r="O102" s="23">
        <f>'11A (N S) Avr'!$I$36</f>
        <v>4</v>
      </c>
      <c r="P102" s="23">
        <f t="shared" si="32"/>
        <v>0</v>
      </c>
      <c r="Q102" s="23">
        <f t="shared" si="32"/>
        <v>0</v>
      </c>
      <c r="R102" s="78"/>
    </row>
    <row r="103" spans="1:18" ht="20.100000000000001" customHeight="1" thickBot="1" x14ac:dyDescent="0.35">
      <c r="A103" s="247">
        <v>34</v>
      </c>
      <c r="B103" s="218"/>
      <c r="C103" s="213">
        <v>17</v>
      </c>
      <c r="D103" s="217" t="s">
        <v>23</v>
      </c>
      <c r="E103" s="24" t="s">
        <v>21</v>
      </c>
      <c r="F103" s="23">
        <f>'11A (N S) Sem1 '!E37</f>
        <v>68</v>
      </c>
      <c r="G103" s="23">
        <f>'11A (N S) Sem1 '!F37</f>
        <v>67</v>
      </c>
      <c r="H103" s="23">
        <f>'11A (N S) Sem1 '!G37</f>
        <v>72</v>
      </c>
      <c r="I103" s="23">
        <f>'11A (N S) Sem1 '!H37</f>
        <v>81</v>
      </c>
      <c r="J103" s="23">
        <f>'11A (N S) Sem1 '!I37</f>
        <v>86</v>
      </c>
      <c r="K103" s="23">
        <f>'11A (N S) Sem1 '!J37</f>
        <v>79</v>
      </c>
      <c r="L103" s="23">
        <f>'11A (N S) Sem1 '!K37</f>
        <v>75</v>
      </c>
      <c r="M103" s="23">
        <f>'11A (N S) Sem1 '!L37</f>
        <v>528</v>
      </c>
      <c r="N103" s="192">
        <f>'11A (N S) Sem1 '!M37</f>
        <v>75.428571428571431</v>
      </c>
      <c r="O103" s="22">
        <f>'11A (N S) Sem1 '!N37</f>
        <v>32</v>
      </c>
      <c r="P103" s="23">
        <f>'11A (N S) Sem1 '!O37</f>
        <v>0</v>
      </c>
      <c r="Q103" s="29">
        <f>'11A (N S) Sem1 '!P37</f>
        <v>0</v>
      </c>
      <c r="R103" s="78"/>
    </row>
    <row r="104" spans="1:18" ht="20.100000000000001" customHeight="1" thickBot="1" x14ac:dyDescent="0.35">
      <c r="A104" s="247"/>
      <c r="B104" s="218"/>
      <c r="C104" s="213">
        <v>17</v>
      </c>
      <c r="D104" s="217" t="s">
        <v>23</v>
      </c>
      <c r="E104" s="24" t="s">
        <v>22</v>
      </c>
      <c r="F104" s="23">
        <f>'11A (N S) Sem2'!E37</f>
        <v>71</v>
      </c>
      <c r="G104" s="23">
        <f>'11A (N S) Sem2'!F37</f>
        <v>73</v>
      </c>
      <c r="H104" s="23">
        <f>'11A (N S) Sem2'!G37</f>
        <v>84</v>
      </c>
      <c r="I104" s="23">
        <f>'11A (N S) Sem2'!H37</f>
        <v>90</v>
      </c>
      <c r="J104" s="23">
        <f>'11A (N S) Sem2'!I37</f>
        <v>89</v>
      </c>
      <c r="K104" s="23">
        <f>'11A (N S) Sem2'!J37</f>
        <v>94</v>
      </c>
      <c r="L104" s="23">
        <f>'11A (N S) Sem2'!K37</f>
        <v>88</v>
      </c>
      <c r="M104" s="23">
        <f>'11A (N S) Sem2'!L37</f>
        <v>589</v>
      </c>
      <c r="N104" s="192">
        <f>'11A (N S) Sem2'!M37</f>
        <v>84.142857142857139</v>
      </c>
      <c r="O104" s="22">
        <f>'11A (N S) Sem2'!N37</f>
        <v>21</v>
      </c>
      <c r="P104" s="23">
        <f>'11A (N S) Sem2'!O37</f>
        <v>0</v>
      </c>
      <c r="Q104" s="29">
        <f>'11A (N S) Sem2'!P37</f>
        <v>0</v>
      </c>
      <c r="R104" s="78"/>
    </row>
    <row r="105" spans="1:18" ht="20.100000000000001" customHeight="1" thickBot="1" x14ac:dyDescent="0.35">
      <c r="A105" s="247"/>
      <c r="B105" s="218"/>
      <c r="C105" s="213">
        <v>17</v>
      </c>
      <c r="D105" s="217" t="s">
        <v>23</v>
      </c>
      <c r="E105" s="24" t="s">
        <v>16</v>
      </c>
      <c r="F105" s="23">
        <f>AVERAGE(F103:F104)</f>
        <v>69.5</v>
      </c>
      <c r="G105" s="23">
        <f t="shared" ref="G105:Q105" si="33">AVERAGE(G103:G104)</f>
        <v>70</v>
      </c>
      <c r="H105" s="23">
        <f t="shared" si="33"/>
        <v>78</v>
      </c>
      <c r="I105" s="23">
        <f t="shared" si="33"/>
        <v>85.5</v>
      </c>
      <c r="J105" s="23">
        <f t="shared" si="33"/>
        <v>87.5</v>
      </c>
      <c r="K105" s="23">
        <f t="shared" si="33"/>
        <v>86.5</v>
      </c>
      <c r="L105" s="23">
        <f t="shared" si="33"/>
        <v>81.5</v>
      </c>
      <c r="M105" s="23">
        <f t="shared" si="33"/>
        <v>558.5</v>
      </c>
      <c r="N105" s="41">
        <f t="shared" si="33"/>
        <v>79.785714285714278</v>
      </c>
      <c r="O105" s="23">
        <f>'11A (N S) Avr'!$I$37</f>
        <v>28</v>
      </c>
      <c r="P105" s="23">
        <f t="shared" si="33"/>
        <v>0</v>
      </c>
      <c r="Q105" s="23">
        <f t="shared" si="33"/>
        <v>0</v>
      </c>
      <c r="R105" s="78"/>
    </row>
    <row r="106" spans="1:18" ht="20.100000000000001" customHeight="1" thickBot="1" x14ac:dyDescent="0.35">
      <c r="A106" s="247">
        <v>35</v>
      </c>
      <c r="B106" s="218"/>
      <c r="C106" s="213">
        <v>16</v>
      </c>
      <c r="D106" s="217" t="s">
        <v>20</v>
      </c>
      <c r="E106" s="24" t="s">
        <v>21</v>
      </c>
      <c r="F106" s="23">
        <f>'11A (N S) Sem1 '!E38</f>
        <v>85</v>
      </c>
      <c r="G106" s="23">
        <f>'11A (N S) Sem1 '!F38</f>
        <v>87</v>
      </c>
      <c r="H106" s="23">
        <f>'11A (N S) Sem1 '!G38</f>
        <v>96</v>
      </c>
      <c r="I106" s="23">
        <f>'11A (N S) Sem1 '!H38</f>
        <v>94</v>
      </c>
      <c r="J106" s="23">
        <f>'11A (N S) Sem1 '!I38</f>
        <v>97</v>
      </c>
      <c r="K106" s="23">
        <f>'11A (N S) Sem1 '!J38</f>
        <v>99</v>
      </c>
      <c r="L106" s="23">
        <f>'11A (N S) Sem1 '!K38</f>
        <v>93</v>
      </c>
      <c r="M106" s="23">
        <f>'11A (N S) Sem1 '!L38</f>
        <v>651</v>
      </c>
      <c r="N106" s="192">
        <f>'11A (N S) Sem1 '!M38</f>
        <v>93</v>
      </c>
      <c r="O106" s="22">
        <f>'11A (N S) Sem1 '!N38</f>
        <v>6</v>
      </c>
      <c r="P106" s="23">
        <f>'11A (N S) Sem1 '!O38</f>
        <v>0</v>
      </c>
      <c r="Q106" s="29">
        <f>'11A (N S) Sem1 '!P38</f>
        <v>0</v>
      </c>
      <c r="R106" s="78"/>
    </row>
    <row r="107" spans="1:18" ht="20.100000000000001" customHeight="1" thickBot="1" x14ac:dyDescent="0.35">
      <c r="A107" s="247"/>
      <c r="B107" s="218"/>
      <c r="C107" s="213">
        <v>16</v>
      </c>
      <c r="D107" s="217" t="s">
        <v>20</v>
      </c>
      <c r="E107" s="24" t="s">
        <v>22</v>
      </c>
      <c r="F107" s="23">
        <f>'11A (N S) Sem2'!E38</f>
        <v>91</v>
      </c>
      <c r="G107" s="23">
        <f>'11A (N S) Sem2'!F38</f>
        <v>88</v>
      </c>
      <c r="H107" s="23">
        <f>'11A (N S) Sem2'!G38</f>
        <v>92</v>
      </c>
      <c r="I107" s="23">
        <f>'11A (N S) Sem2'!H38</f>
        <v>98</v>
      </c>
      <c r="J107" s="23">
        <f>'11A (N S) Sem2'!I38</f>
        <v>100</v>
      </c>
      <c r="K107" s="23">
        <f>'11A (N S) Sem2'!J38</f>
        <v>100</v>
      </c>
      <c r="L107" s="23">
        <f>'11A (N S) Sem2'!K38</f>
        <v>97</v>
      </c>
      <c r="M107" s="23">
        <f>'11A (N S) Sem2'!L38</f>
        <v>666</v>
      </c>
      <c r="N107" s="192">
        <f>'11A (N S) Sem2'!M38</f>
        <v>95.142857142857139</v>
      </c>
      <c r="O107" s="22">
        <f>'11A (N S) Sem2'!N38</f>
        <v>7</v>
      </c>
      <c r="P107" s="23">
        <f>'11A (N S) Sem2'!O38</f>
        <v>0</v>
      </c>
      <c r="Q107" s="29">
        <f>'11A (N S) Sem2'!P38</f>
        <v>0</v>
      </c>
      <c r="R107" s="78"/>
    </row>
    <row r="108" spans="1:18" ht="20.100000000000001" customHeight="1" thickBot="1" x14ac:dyDescent="0.35">
      <c r="A108" s="247"/>
      <c r="B108" s="218"/>
      <c r="C108" s="213">
        <v>16</v>
      </c>
      <c r="D108" s="217" t="s">
        <v>20</v>
      </c>
      <c r="E108" s="24" t="s">
        <v>16</v>
      </c>
      <c r="F108" s="23">
        <f>AVERAGE(F106:F107)</f>
        <v>88</v>
      </c>
      <c r="G108" s="23">
        <f t="shared" ref="G108:Q108" si="34">AVERAGE(G106:G107)</f>
        <v>87.5</v>
      </c>
      <c r="H108" s="23">
        <f t="shared" si="34"/>
        <v>94</v>
      </c>
      <c r="I108" s="23">
        <f t="shared" si="34"/>
        <v>96</v>
      </c>
      <c r="J108" s="23">
        <f t="shared" si="34"/>
        <v>98.5</v>
      </c>
      <c r="K108" s="23">
        <f t="shared" si="34"/>
        <v>99.5</v>
      </c>
      <c r="L108" s="23">
        <f t="shared" si="34"/>
        <v>95</v>
      </c>
      <c r="M108" s="23">
        <f t="shared" si="34"/>
        <v>658.5</v>
      </c>
      <c r="N108" s="41">
        <f t="shared" si="34"/>
        <v>94.071428571428569</v>
      </c>
      <c r="O108" s="23">
        <f>'11A (N S) Avr'!$I$38</f>
        <v>5</v>
      </c>
      <c r="P108" s="23">
        <f t="shared" si="34"/>
        <v>0</v>
      </c>
      <c r="Q108" s="23">
        <f t="shared" si="34"/>
        <v>0</v>
      </c>
      <c r="R108" s="78"/>
    </row>
    <row r="109" spans="1:18" ht="20.100000000000001" customHeight="1" thickBot="1" x14ac:dyDescent="0.35">
      <c r="A109" s="247">
        <v>36</v>
      </c>
      <c r="B109" s="218"/>
      <c r="C109" s="213">
        <v>17</v>
      </c>
      <c r="D109" s="217" t="s">
        <v>20</v>
      </c>
      <c r="E109" s="24" t="s">
        <v>21</v>
      </c>
      <c r="F109" s="23">
        <f>'11A (N S) Sem1 '!E39</f>
        <v>66</v>
      </c>
      <c r="G109" s="23">
        <f>'11A (N S) Sem1 '!F39</f>
        <v>81</v>
      </c>
      <c r="H109" s="23">
        <f>'11A (N S) Sem1 '!G39</f>
        <v>90</v>
      </c>
      <c r="I109" s="23">
        <f>'11A (N S) Sem1 '!H39</f>
        <v>98</v>
      </c>
      <c r="J109" s="23">
        <f>'11A (N S) Sem1 '!I39</f>
        <v>97</v>
      </c>
      <c r="K109" s="23">
        <f>'11A (N S) Sem1 '!J39</f>
        <v>95</v>
      </c>
      <c r="L109" s="23">
        <f>'11A (N S) Sem1 '!K39</f>
        <v>89</v>
      </c>
      <c r="M109" s="23">
        <f>'11A (N S) Sem1 '!L39</f>
        <v>616</v>
      </c>
      <c r="N109" s="192">
        <f>'11A (N S) Sem1 '!M39</f>
        <v>88</v>
      </c>
      <c r="O109" s="22">
        <f>'11A (N S) Sem1 '!N39</f>
        <v>13</v>
      </c>
      <c r="P109" s="23">
        <f>'11A (N S) Sem1 '!O39</f>
        <v>0</v>
      </c>
      <c r="Q109" s="29">
        <f>'11A (N S) Sem1 '!P39</f>
        <v>0</v>
      </c>
      <c r="R109" s="78"/>
    </row>
    <row r="110" spans="1:18" ht="20.100000000000001" customHeight="1" thickBot="1" x14ac:dyDescent="0.35">
      <c r="A110" s="247"/>
      <c r="B110" s="218"/>
      <c r="C110" s="213">
        <v>17</v>
      </c>
      <c r="D110" s="217" t="s">
        <v>20</v>
      </c>
      <c r="E110" s="24" t="s">
        <v>22</v>
      </c>
      <c r="F110" s="23">
        <f>'11A (N S) Sem2'!E39</f>
        <v>71</v>
      </c>
      <c r="G110" s="23">
        <f>'11A (N S) Sem2'!F39</f>
        <v>87</v>
      </c>
      <c r="H110" s="23">
        <f>'11A (N S) Sem2'!G39</f>
        <v>81</v>
      </c>
      <c r="I110" s="23">
        <f>'11A (N S) Sem2'!H39</f>
        <v>99</v>
      </c>
      <c r="J110" s="23">
        <f>'11A (N S) Sem2'!I39</f>
        <v>100</v>
      </c>
      <c r="K110" s="23">
        <f>'11A (N S) Sem2'!J39</f>
        <v>91</v>
      </c>
      <c r="L110" s="23">
        <f>'11A (N S) Sem2'!K39</f>
        <v>93</v>
      </c>
      <c r="M110" s="23">
        <f>'11A (N S) Sem2'!L39</f>
        <v>622</v>
      </c>
      <c r="N110" s="192">
        <f>'11A (N S) Sem2'!M39</f>
        <v>88.857142857142861</v>
      </c>
      <c r="O110" s="22">
        <f>'11A (N S) Sem2'!N39</f>
        <v>17</v>
      </c>
      <c r="P110" s="23">
        <f>'11A (N S) Sem2'!O39</f>
        <v>0</v>
      </c>
      <c r="Q110" s="29">
        <f>'11A (N S) Sem2'!P39</f>
        <v>0</v>
      </c>
      <c r="R110" s="78"/>
    </row>
    <row r="111" spans="1:18" ht="20.100000000000001" customHeight="1" thickBot="1" x14ac:dyDescent="0.35">
      <c r="A111" s="247"/>
      <c r="B111" s="218"/>
      <c r="C111" s="213">
        <v>17</v>
      </c>
      <c r="D111" s="217" t="s">
        <v>20</v>
      </c>
      <c r="E111" s="24" t="s">
        <v>16</v>
      </c>
      <c r="F111" s="23">
        <f>AVERAGE(F109:F110)</f>
        <v>68.5</v>
      </c>
      <c r="G111" s="23">
        <f t="shared" ref="G111:Q111" si="35">AVERAGE(G109:G110)</f>
        <v>84</v>
      </c>
      <c r="H111" s="23">
        <f t="shared" si="35"/>
        <v>85.5</v>
      </c>
      <c r="I111" s="23">
        <f t="shared" si="35"/>
        <v>98.5</v>
      </c>
      <c r="J111" s="23">
        <f t="shared" si="35"/>
        <v>98.5</v>
      </c>
      <c r="K111" s="23">
        <f t="shared" si="35"/>
        <v>93</v>
      </c>
      <c r="L111" s="23">
        <f t="shared" si="35"/>
        <v>91</v>
      </c>
      <c r="M111" s="23">
        <f t="shared" si="35"/>
        <v>619</v>
      </c>
      <c r="N111" s="41">
        <f t="shared" si="35"/>
        <v>88.428571428571431</v>
      </c>
      <c r="O111" s="23">
        <f>'11A (N S) Avr'!$I$39</f>
        <v>14</v>
      </c>
      <c r="P111" s="23">
        <f t="shared" si="35"/>
        <v>0</v>
      </c>
      <c r="Q111" s="23">
        <f t="shared" si="35"/>
        <v>0</v>
      </c>
      <c r="R111" s="78"/>
    </row>
    <row r="112" spans="1:18" ht="20.100000000000001" customHeight="1" thickBot="1" x14ac:dyDescent="0.35">
      <c r="A112" s="247">
        <v>37</v>
      </c>
      <c r="B112" s="218"/>
      <c r="C112" s="213">
        <v>16</v>
      </c>
      <c r="D112" s="217" t="s">
        <v>20</v>
      </c>
      <c r="E112" s="24" t="s">
        <v>21</v>
      </c>
      <c r="F112" s="23">
        <f>'11A (N S) Sem1 '!E40</f>
        <v>74</v>
      </c>
      <c r="G112" s="23">
        <f>'11A (N S) Sem1 '!F40</f>
        <v>74</v>
      </c>
      <c r="H112" s="23">
        <f>'11A (N S) Sem1 '!G40</f>
        <v>76</v>
      </c>
      <c r="I112" s="23">
        <f>'11A (N S) Sem1 '!H40</f>
        <v>85</v>
      </c>
      <c r="J112" s="23">
        <f>'11A (N S) Sem1 '!I40</f>
        <v>82</v>
      </c>
      <c r="K112" s="23">
        <f>'11A (N S) Sem1 '!J40</f>
        <v>89</v>
      </c>
      <c r="L112" s="23">
        <f>'11A (N S) Sem1 '!K40</f>
        <v>84</v>
      </c>
      <c r="M112" s="23">
        <f>'11A (N S) Sem1 '!L40</f>
        <v>564</v>
      </c>
      <c r="N112" s="192">
        <f>'11A (N S) Sem1 '!M40</f>
        <v>80.571428571428569</v>
      </c>
      <c r="O112" s="22">
        <f>'11A (N S) Sem1 '!N40</f>
        <v>21</v>
      </c>
      <c r="P112" s="23">
        <f>'11A (N S) Sem1 '!O40</f>
        <v>0</v>
      </c>
      <c r="Q112" s="29">
        <f>'11A (N S) Sem1 '!P40</f>
        <v>0</v>
      </c>
      <c r="R112" s="78"/>
    </row>
    <row r="113" spans="1:18" ht="20.100000000000001" customHeight="1" thickBot="1" x14ac:dyDescent="0.35">
      <c r="A113" s="247"/>
      <c r="B113" s="218"/>
      <c r="C113" s="213">
        <v>16</v>
      </c>
      <c r="D113" s="217" t="s">
        <v>20</v>
      </c>
      <c r="E113" s="24" t="s">
        <v>22</v>
      </c>
      <c r="F113" s="23">
        <f>'11A (N S) Sem2'!E40</f>
        <v>78</v>
      </c>
      <c r="G113" s="23">
        <f>'11A (N S) Sem2'!F40</f>
        <v>80</v>
      </c>
      <c r="H113" s="23">
        <f>'11A (N S) Sem2'!G40</f>
        <v>77</v>
      </c>
      <c r="I113" s="23">
        <f>'11A (N S) Sem2'!H40</f>
        <v>87</v>
      </c>
      <c r="J113" s="23">
        <f>'11A (N S) Sem2'!I40</f>
        <v>92</v>
      </c>
      <c r="K113" s="23">
        <f>'11A (N S) Sem2'!J40</f>
        <v>83</v>
      </c>
      <c r="L113" s="23">
        <f>'11A (N S) Sem2'!K40</f>
        <v>91</v>
      </c>
      <c r="M113" s="23">
        <f>'11A (N S) Sem2'!L40</f>
        <v>588</v>
      </c>
      <c r="N113" s="192">
        <f>'11A (N S) Sem2'!M40</f>
        <v>84</v>
      </c>
      <c r="O113" s="22">
        <f>'11A (N S) Sem2'!N40</f>
        <v>22</v>
      </c>
      <c r="P113" s="23">
        <f>'11A (N S) Sem2'!O40</f>
        <v>0</v>
      </c>
      <c r="Q113" s="29">
        <f>'11A (N S) Sem2'!P40</f>
        <v>0</v>
      </c>
      <c r="R113" s="78"/>
    </row>
    <row r="114" spans="1:18" ht="20.100000000000001" customHeight="1" thickBot="1" x14ac:dyDescent="0.35">
      <c r="A114" s="247"/>
      <c r="B114" s="218"/>
      <c r="C114" s="213">
        <v>16</v>
      </c>
      <c r="D114" s="217" t="s">
        <v>20</v>
      </c>
      <c r="E114" s="24" t="s">
        <v>16</v>
      </c>
      <c r="F114" s="23">
        <f>AVERAGE(F112:F113)</f>
        <v>76</v>
      </c>
      <c r="G114" s="23">
        <f t="shared" ref="G114:Q114" si="36">AVERAGE(G112:G113)</f>
        <v>77</v>
      </c>
      <c r="H114" s="23">
        <f t="shared" si="36"/>
        <v>76.5</v>
      </c>
      <c r="I114" s="23">
        <f t="shared" si="36"/>
        <v>86</v>
      </c>
      <c r="J114" s="23">
        <f t="shared" si="36"/>
        <v>87</v>
      </c>
      <c r="K114" s="23">
        <f t="shared" si="36"/>
        <v>86</v>
      </c>
      <c r="L114" s="23">
        <f t="shared" si="36"/>
        <v>87.5</v>
      </c>
      <c r="M114" s="23">
        <f t="shared" si="36"/>
        <v>576</v>
      </c>
      <c r="N114" s="41">
        <f t="shared" si="36"/>
        <v>82.285714285714278</v>
      </c>
      <c r="O114" s="23">
        <f>'11A (N S) Avr'!$I$40</f>
        <v>20</v>
      </c>
      <c r="P114" s="23">
        <f t="shared" si="36"/>
        <v>0</v>
      </c>
      <c r="Q114" s="23">
        <f t="shared" si="36"/>
        <v>0</v>
      </c>
      <c r="R114" s="78"/>
    </row>
    <row r="115" spans="1:18" ht="20.100000000000001" customHeight="1" thickBot="1" x14ac:dyDescent="0.35">
      <c r="A115" s="247">
        <v>38</v>
      </c>
      <c r="B115" s="218"/>
      <c r="C115" s="213">
        <v>18</v>
      </c>
      <c r="D115" s="217" t="s">
        <v>23</v>
      </c>
      <c r="E115" s="24" t="s">
        <v>21</v>
      </c>
      <c r="F115" s="23">
        <f>'11A (N S) Sem1 '!E41</f>
        <v>68</v>
      </c>
      <c r="G115" s="23">
        <f>'11A (N S) Sem1 '!F41</f>
        <v>63</v>
      </c>
      <c r="H115" s="23">
        <f>'11A (N S) Sem1 '!G41</f>
        <v>72</v>
      </c>
      <c r="I115" s="23">
        <f>'11A (N S) Sem1 '!H41</f>
        <v>76</v>
      </c>
      <c r="J115" s="23">
        <f>'11A (N S) Sem1 '!I41</f>
        <v>85</v>
      </c>
      <c r="K115" s="23">
        <f>'11A (N S) Sem1 '!J41</f>
        <v>79</v>
      </c>
      <c r="L115" s="23">
        <f>'11A (N S) Sem1 '!K41</f>
        <v>71</v>
      </c>
      <c r="M115" s="23">
        <f>'11A (N S) Sem1 '!L41</f>
        <v>514</v>
      </c>
      <c r="N115" s="192">
        <f>'11A (N S) Sem1 '!M41</f>
        <v>73.428571428571431</v>
      </c>
      <c r="O115" s="22">
        <f>'11A (N S) Sem1 '!N41</f>
        <v>35</v>
      </c>
      <c r="P115" s="23">
        <f>'11A (N S) Sem1 '!O41</f>
        <v>0</v>
      </c>
      <c r="Q115" s="29">
        <f>'11A (N S) Sem1 '!P41</f>
        <v>0</v>
      </c>
      <c r="R115" s="78"/>
    </row>
    <row r="116" spans="1:18" ht="20.100000000000001" customHeight="1" thickBot="1" x14ac:dyDescent="0.35">
      <c r="A116" s="247"/>
      <c r="B116" s="218"/>
      <c r="C116" s="213">
        <v>18</v>
      </c>
      <c r="D116" s="217" t="s">
        <v>23</v>
      </c>
      <c r="E116" s="24" t="s">
        <v>22</v>
      </c>
      <c r="F116" s="23">
        <f>'11A (N S) Sem2'!E41</f>
        <v>69</v>
      </c>
      <c r="G116" s="23">
        <f>'11A (N S) Sem2'!F41</f>
        <v>60</v>
      </c>
      <c r="H116" s="23">
        <f>'11A (N S) Sem2'!G41</f>
        <v>73</v>
      </c>
      <c r="I116" s="23">
        <f>'11A (N S) Sem2'!H41</f>
        <v>85</v>
      </c>
      <c r="J116" s="23">
        <f>'11A (N S) Sem2'!I41</f>
        <v>90</v>
      </c>
      <c r="K116" s="23">
        <f>'11A (N S) Sem2'!J41</f>
        <v>96</v>
      </c>
      <c r="L116" s="23">
        <f>'11A (N S) Sem2'!K41</f>
        <v>87</v>
      </c>
      <c r="M116" s="23">
        <f>'11A (N S) Sem2'!L41</f>
        <v>560</v>
      </c>
      <c r="N116" s="192">
        <f>'11A (N S) Sem2'!M41</f>
        <v>80</v>
      </c>
      <c r="O116" s="22">
        <f>'11A (N S) Sem2'!N41</f>
        <v>36</v>
      </c>
      <c r="P116" s="23">
        <f>'11A (N S) Sem2'!O41</f>
        <v>0</v>
      </c>
      <c r="Q116" s="29">
        <f>'11A (N S) Sem2'!P41</f>
        <v>0</v>
      </c>
      <c r="R116" s="78"/>
    </row>
    <row r="117" spans="1:18" ht="20.100000000000001" customHeight="1" thickBot="1" x14ac:dyDescent="0.35">
      <c r="A117" s="247"/>
      <c r="B117" s="218"/>
      <c r="C117" s="213">
        <v>18</v>
      </c>
      <c r="D117" s="217" t="s">
        <v>23</v>
      </c>
      <c r="E117" s="24" t="s">
        <v>16</v>
      </c>
      <c r="F117" s="23">
        <f>AVERAGE(F115:F116)</f>
        <v>68.5</v>
      </c>
      <c r="G117" s="23">
        <f t="shared" ref="G117:Q117" si="37">AVERAGE(G115:G116)</f>
        <v>61.5</v>
      </c>
      <c r="H117" s="23">
        <f t="shared" si="37"/>
        <v>72.5</v>
      </c>
      <c r="I117" s="23">
        <f t="shared" si="37"/>
        <v>80.5</v>
      </c>
      <c r="J117" s="23">
        <f t="shared" si="37"/>
        <v>87.5</v>
      </c>
      <c r="K117" s="23">
        <f t="shared" si="37"/>
        <v>87.5</v>
      </c>
      <c r="L117" s="23">
        <f t="shared" si="37"/>
        <v>79</v>
      </c>
      <c r="M117" s="23">
        <f t="shared" si="37"/>
        <v>537</v>
      </c>
      <c r="N117" s="41">
        <f t="shared" si="37"/>
        <v>76.714285714285722</v>
      </c>
      <c r="O117" s="23">
        <f>'11A (N S) Avr'!$I$41</f>
        <v>35</v>
      </c>
      <c r="P117" s="23">
        <f t="shared" si="37"/>
        <v>0</v>
      </c>
      <c r="Q117" s="23">
        <f t="shared" si="37"/>
        <v>0</v>
      </c>
      <c r="R117" s="78"/>
    </row>
    <row r="118" spans="1:18" ht="20.100000000000001" customHeight="1" thickBot="1" x14ac:dyDescent="0.35">
      <c r="A118" s="247">
        <v>39</v>
      </c>
      <c r="B118" s="218"/>
      <c r="C118" s="213">
        <v>16</v>
      </c>
      <c r="D118" s="217" t="s">
        <v>23</v>
      </c>
      <c r="E118" s="24" t="s">
        <v>21</v>
      </c>
      <c r="F118" s="23">
        <f>'11A (N S) Sem1 '!E42</f>
        <v>68</v>
      </c>
      <c r="G118" s="23">
        <f>'11A (N S) Sem1 '!F42</f>
        <v>77</v>
      </c>
      <c r="H118" s="23">
        <f>'11A (N S) Sem1 '!G42</f>
        <v>73</v>
      </c>
      <c r="I118" s="23">
        <f>'11A (N S) Sem1 '!H42</f>
        <v>88</v>
      </c>
      <c r="J118" s="23">
        <f>'11A (N S) Sem1 '!I42</f>
        <v>82</v>
      </c>
      <c r="K118" s="23">
        <f>'11A (N S) Sem1 '!J42</f>
        <v>92</v>
      </c>
      <c r="L118" s="23">
        <f>'11A (N S) Sem1 '!K42</f>
        <v>82</v>
      </c>
      <c r="M118" s="23">
        <f>'11A (N S) Sem1 '!L42</f>
        <v>562</v>
      </c>
      <c r="N118" s="192">
        <f>'11A (N S) Sem1 '!M42</f>
        <v>80.285714285714292</v>
      </c>
      <c r="O118" s="22">
        <f>'11A (N S) Sem1 '!N42</f>
        <v>22</v>
      </c>
      <c r="P118" s="23">
        <f>'11A (N S) Sem1 '!O42</f>
        <v>0</v>
      </c>
      <c r="Q118" s="29">
        <f>'11A (N S) Sem1 '!P42</f>
        <v>0</v>
      </c>
      <c r="R118" s="78"/>
    </row>
    <row r="119" spans="1:18" ht="20.100000000000001" customHeight="1" thickBot="1" x14ac:dyDescent="0.35">
      <c r="A119" s="247"/>
      <c r="B119" s="218"/>
      <c r="C119" s="213">
        <v>16</v>
      </c>
      <c r="D119" s="217" t="s">
        <v>23</v>
      </c>
      <c r="E119" s="24" t="s">
        <v>22</v>
      </c>
      <c r="F119" s="23">
        <f>'11A (N S) Sem2'!E42</f>
        <v>69</v>
      </c>
      <c r="G119" s="23">
        <f>'11A (N S) Sem2'!F42</f>
        <v>73</v>
      </c>
      <c r="H119" s="23">
        <f>'11A (N S) Sem2'!G42</f>
        <v>79</v>
      </c>
      <c r="I119" s="23">
        <f>'11A (N S) Sem2'!H42</f>
        <v>94</v>
      </c>
      <c r="J119" s="23">
        <f>'11A (N S) Sem2'!I42</f>
        <v>87</v>
      </c>
      <c r="K119" s="23">
        <f>'11A (N S) Sem2'!J42</f>
        <v>90</v>
      </c>
      <c r="L119" s="23">
        <f>'11A (N S) Sem2'!K42</f>
        <v>96</v>
      </c>
      <c r="M119" s="23">
        <f>'11A (N S) Sem2'!L42</f>
        <v>588</v>
      </c>
      <c r="N119" s="192">
        <f>'11A (N S) Sem2'!M42</f>
        <v>84</v>
      </c>
      <c r="O119" s="22">
        <f>'11A (N S) Sem2'!N42</f>
        <v>22</v>
      </c>
      <c r="P119" s="23">
        <f>'11A (N S) Sem2'!O42</f>
        <v>0</v>
      </c>
      <c r="Q119" s="29">
        <f>'11A (N S) Sem2'!P42</f>
        <v>0</v>
      </c>
      <c r="R119" s="78"/>
    </row>
    <row r="120" spans="1:18" ht="20.100000000000001" customHeight="1" thickBot="1" x14ac:dyDescent="0.35">
      <c r="A120" s="247"/>
      <c r="B120" s="218"/>
      <c r="C120" s="213">
        <v>16</v>
      </c>
      <c r="D120" s="217" t="s">
        <v>23</v>
      </c>
      <c r="E120" s="24" t="s">
        <v>16</v>
      </c>
      <c r="F120" s="23">
        <f>AVERAGE(F118:F119)</f>
        <v>68.5</v>
      </c>
      <c r="G120" s="23">
        <f t="shared" ref="G120:Q120" si="38">AVERAGE(G118:G119)</f>
        <v>75</v>
      </c>
      <c r="H120" s="23">
        <f t="shared" si="38"/>
        <v>76</v>
      </c>
      <c r="I120" s="23">
        <f t="shared" si="38"/>
        <v>91</v>
      </c>
      <c r="J120" s="23">
        <f t="shared" si="38"/>
        <v>84.5</v>
      </c>
      <c r="K120" s="23">
        <f t="shared" si="38"/>
        <v>91</v>
      </c>
      <c r="L120" s="23">
        <f t="shared" si="38"/>
        <v>89</v>
      </c>
      <c r="M120" s="23">
        <f t="shared" si="38"/>
        <v>575</v>
      </c>
      <c r="N120" s="41">
        <f t="shared" si="38"/>
        <v>82.142857142857139</v>
      </c>
      <c r="O120" s="23">
        <f>'11A (N S) Avr'!$I$42</f>
        <v>21</v>
      </c>
      <c r="P120" s="23">
        <f t="shared" si="38"/>
        <v>0</v>
      </c>
      <c r="Q120" s="23">
        <f t="shared" si="38"/>
        <v>0</v>
      </c>
      <c r="R120" s="78"/>
    </row>
    <row r="121" spans="1:18" ht="20.100000000000001" customHeight="1" thickBot="1" x14ac:dyDescent="0.35">
      <c r="A121" s="247">
        <v>40</v>
      </c>
      <c r="B121" s="218"/>
      <c r="C121" s="213">
        <v>16</v>
      </c>
      <c r="D121" s="217" t="s">
        <v>23</v>
      </c>
      <c r="E121" s="24" t="s">
        <v>21</v>
      </c>
      <c r="F121" s="23">
        <f>'11A (N S) Sem1 '!E43</f>
        <v>77</v>
      </c>
      <c r="G121" s="23">
        <f>'11A (N S) Sem1 '!F43</f>
        <v>82</v>
      </c>
      <c r="H121" s="23">
        <f>'11A (N S) Sem1 '!G43</f>
        <v>88</v>
      </c>
      <c r="I121" s="23">
        <f>'11A (N S) Sem1 '!H43</f>
        <v>96</v>
      </c>
      <c r="J121" s="23">
        <f>'11A (N S) Sem1 '!I43</f>
        <v>97</v>
      </c>
      <c r="K121" s="23">
        <f>'11A (N S) Sem1 '!J43</f>
        <v>95</v>
      </c>
      <c r="L121" s="23">
        <f>'11A (N S) Sem1 '!K43</f>
        <v>95</v>
      </c>
      <c r="M121" s="23">
        <f>'11A (N S) Sem1 '!L43</f>
        <v>630</v>
      </c>
      <c r="N121" s="192">
        <f>'11A (N S) Sem1 '!M43</f>
        <v>90</v>
      </c>
      <c r="O121" s="22">
        <f>'11A (N S) Sem1 '!N43</f>
        <v>11</v>
      </c>
      <c r="P121" s="23">
        <f>'11A (N S) Sem1 '!O43</f>
        <v>0</v>
      </c>
      <c r="Q121" s="29">
        <f>'11A (N S) Sem1 '!P43</f>
        <v>0</v>
      </c>
      <c r="R121" s="78"/>
    </row>
    <row r="122" spans="1:18" ht="20.100000000000001" customHeight="1" thickBot="1" x14ac:dyDescent="0.35">
      <c r="A122" s="247"/>
      <c r="B122" s="218"/>
      <c r="C122" s="213">
        <v>16</v>
      </c>
      <c r="D122" s="217" t="s">
        <v>23</v>
      </c>
      <c r="E122" s="24" t="s">
        <v>22</v>
      </c>
      <c r="F122" s="23">
        <f>'11A (N S) Sem2'!E43</f>
        <v>84</v>
      </c>
      <c r="G122" s="23">
        <f>'11A (N S) Sem2'!F43</f>
        <v>86</v>
      </c>
      <c r="H122" s="23">
        <f>'11A (N S) Sem2'!G43</f>
        <v>93</v>
      </c>
      <c r="I122" s="23">
        <f>'11A (N S) Sem2'!H43</f>
        <v>100</v>
      </c>
      <c r="J122" s="23">
        <f>'11A (N S) Sem2'!I43</f>
        <v>100</v>
      </c>
      <c r="K122" s="23">
        <f>'11A (N S) Sem2'!J43</f>
        <v>100</v>
      </c>
      <c r="L122" s="23">
        <f>'11A (N S) Sem2'!K43</f>
        <v>98</v>
      </c>
      <c r="M122" s="23">
        <f>'11A (N S) Sem2'!L43</f>
        <v>661</v>
      </c>
      <c r="N122" s="192">
        <f>'11A (N S) Sem2'!M43</f>
        <v>94.428571428571431</v>
      </c>
      <c r="O122" s="22">
        <f>'11A (N S) Sem2'!N43</f>
        <v>8</v>
      </c>
      <c r="P122" s="23">
        <f>'11A (N S) Sem2'!O43</f>
        <v>0</v>
      </c>
      <c r="Q122" s="29">
        <f>'11A (N S) Sem2'!P43</f>
        <v>0</v>
      </c>
      <c r="R122" s="78"/>
    </row>
    <row r="123" spans="1:18" ht="20.100000000000001" customHeight="1" thickBot="1" x14ac:dyDescent="0.35">
      <c r="A123" s="247"/>
      <c r="B123" s="218"/>
      <c r="C123" s="213">
        <v>16</v>
      </c>
      <c r="D123" s="217" t="s">
        <v>23</v>
      </c>
      <c r="E123" s="24" t="s">
        <v>16</v>
      </c>
      <c r="F123" s="23">
        <f>AVERAGE(F121:F122)</f>
        <v>80.5</v>
      </c>
      <c r="G123" s="23">
        <f t="shared" ref="G123:Q123" si="39">AVERAGE(G121:G122)</f>
        <v>84</v>
      </c>
      <c r="H123" s="23">
        <f t="shared" si="39"/>
        <v>90.5</v>
      </c>
      <c r="I123" s="23">
        <f t="shared" si="39"/>
        <v>98</v>
      </c>
      <c r="J123" s="23">
        <f t="shared" si="39"/>
        <v>98.5</v>
      </c>
      <c r="K123" s="23">
        <f t="shared" si="39"/>
        <v>97.5</v>
      </c>
      <c r="L123" s="23">
        <f t="shared" si="39"/>
        <v>96.5</v>
      </c>
      <c r="M123" s="23">
        <f t="shared" si="39"/>
        <v>645.5</v>
      </c>
      <c r="N123" s="41">
        <f t="shared" si="39"/>
        <v>92.214285714285722</v>
      </c>
      <c r="O123" s="23">
        <f>'11A (N S) Avr'!$I$43</f>
        <v>9</v>
      </c>
      <c r="P123" s="23">
        <f t="shared" si="39"/>
        <v>0</v>
      </c>
      <c r="Q123" s="23">
        <f t="shared" si="39"/>
        <v>0</v>
      </c>
      <c r="R123" s="78"/>
    </row>
    <row r="124" spans="1:18" ht="20.100000000000001" customHeight="1" thickBot="1" x14ac:dyDescent="0.35">
      <c r="A124" s="247">
        <v>41</v>
      </c>
      <c r="B124" s="218"/>
      <c r="C124" s="213">
        <v>17</v>
      </c>
      <c r="D124" s="217" t="s">
        <v>23</v>
      </c>
      <c r="E124" s="24" t="s">
        <v>21</v>
      </c>
      <c r="F124" s="23">
        <f>'11A (N S) Sem1 '!E44</f>
        <v>89</v>
      </c>
      <c r="G124" s="23">
        <f>'11A (N S) Sem1 '!F44</f>
        <v>95</v>
      </c>
      <c r="H124" s="23">
        <f>'11A (N S) Sem1 '!G44</f>
        <v>96</v>
      </c>
      <c r="I124" s="23">
        <f>'11A (N S) Sem1 '!H44</f>
        <v>94</v>
      </c>
      <c r="J124" s="23">
        <f>'11A (N S) Sem1 '!I44</f>
        <v>98</v>
      </c>
      <c r="K124" s="23">
        <f>'11A (N S) Sem1 '!J44</f>
        <v>100</v>
      </c>
      <c r="L124" s="23">
        <f>'11A (N S) Sem1 '!K44</f>
        <v>97</v>
      </c>
      <c r="M124" s="23">
        <f>'11A (N S) Sem1 '!L44</f>
        <v>669</v>
      </c>
      <c r="N124" s="192">
        <f>'11A (N S) Sem1 '!M44</f>
        <v>95.571428571428569</v>
      </c>
      <c r="O124" s="22">
        <f>'11A (N S) Sem1 '!N44</f>
        <v>2</v>
      </c>
      <c r="P124" s="23">
        <f>'11A (N S) Sem1 '!O44</f>
        <v>0</v>
      </c>
      <c r="Q124" s="29">
        <f>'11A (N S) Sem1 '!P44</f>
        <v>0</v>
      </c>
      <c r="R124" s="78"/>
    </row>
    <row r="125" spans="1:18" ht="20.100000000000001" customHeight="1" thickBot="1" x14ac:dyDescent="0.35">
      <c r="A125" s="247"/>
      <c r="B125" s="218"/>
      <c r="C125" s="213">
        <v>17</v>
      </c>
      <c r="D125" s="217" t="s">
        <v>23</v>
      </c>
      <c r="E125" s="24" t="s">
        <v>22</v>
      </c>
      <c r="F125" s="23">
        <f>'11A (N S) Sem2'!E44</f>
        <v>97</v>
      </c>
      <c r="G125" s="23">
        <f>'11A (N S) Sem2'!F44</f>
        <v>92</v>
      </c>
      <c r="H125" s="23">
        <f>'11A (N S) Sem2'!G44</f>
        <v>88</v>
      </c>
      <c r="I125" s="23">
        <f>'11A (N S) Sem2'!H44</f>
        <v>98</v>
      </c>
      <c r="J125" s="23">
        <f>'11A (N S) Sem2'!I44</f>
        <v>100</v>
      </c>
      <c r="K125" s="23">
        <f>'11A (N S) Sem2'!J44</f>
        <v>100</v>
      </c>
      <c r="L125" s="23">
        <f>'11A (N S) Sem2'!K44</f>
        <v>97</v>
      </c>
      <c r="M125" s="23">
        <f>'11A (N S) Sem2'!L44</f>
        <v>672</v>
      </c>
      <c r="N125" s="192">
        <f>'11A (N S) Sem2'!M44</f>
        <v>96</v>
      </c>
      <c r="O125" s="22">
        <f>'11A (N S) Sem2'!N44</f>
        <v>4</v>
      </c>
      <c r="P125" s="23">
        <f>'11A (N S) Sem2'!O44</f>
        <v>0</v>
      </c>
      <c r="Q125" s="29">
        <f>'11A (N S) Sem2'!P44</f>
        <v>0</v>
      </c>
      <c r="R125" s="78"/>
    </row>
    <row r="126" spans="1:18" ht="20.100000000000001" customHeight="1" thickBot="1" x14ac:dyDescent="0.35">
      <c r="A126" s="247"/>
      <c r="B126" s="218"/>
      <c r="C126" s="213">
        <v>17</v>
      </c>
      <c r="D126" s="217" t="s">
        <v>23</v>
      </c>
      <c r="E126" s="24" t="s">
        <v>16</v>
      </c>
      <c r="F126" s="23">
        <f>AVERAGE(F124:F125)</f>
        <v>93</v>
      </c>
      <c r="G126" s="23">
        <f t="shared" ref="G126:Q126" si="40">AVERAGE(G124:G125)</f>
        <v>93.5</v>
      </c>
      <c r="H126" s="23">
        <f t="shared" si="40"/>
        <v>92</v>
      </c>
      <c r="I126" s="23">
        <f t="shared" si="40"/>
        <v>96</v>
      </c>
      <c r="J126" s="23">
        <f t="shared" si="40"/>
        <v>99</v>
      </c>
      <c r="K126" s="23">
        <f t="shared" si="40"/>
        <v>100</v>
      </c>
      <c r="L126" s="23">
        <f t="shared" si="40"/>
        <v>97</v>
      </c>
      <c r="M126" s="23">
        <f t="shared" si="40"/>
        <v>670.5</v>
      </c>
      <c r="N126" s="41">
        <f t="shared" si="40"/>
        <v>95.785714285714278</v>
      </c>
      <c r="O126" s="23">
        <f>'11A (N S) Avr'!$I$44</f>
        <v>3</v>
      </c>
      <c r="P126" s="23">
        <f t="shared" si="40"/>
        <v>0</v>
      </c>
      <c r="Q126" s="23">
        <f t="shared" si="40"/>
        <v>0</v>
      </c>
      <c r="R126" s="78"/>
    </row>
    <row r="127" spans="1:18" ht="20.100000000000001" customHeight="1" thickBot="1" x14ac:dyDescent="0.35">
      <c r="A127" s="247">
        <v>42</v>
      </c>
      <c r="B127" s="218"/>
      <c r="C127" s="213">
        <v>16</v>
      </c>
      <c r="D127" s="217" t="s">
        <v>20</v>
      </c>
      <c r="E127" s="24" t="s">
        <v>21</v>
      </c>
      <c r="F127" s="23">
        <f>'11A (N S) Sem1 '!E45</f>
        <v>87</v>
      </c>
      <c r="G127" s="23">
        <f>'11A (N S) Sem1 '!F45</f>
        <v>67</v>
      </c>
      <c r="H127" s="23">
        <f>'11A (N S) Sem1 '!G45</f>
        <v>81</v>
      </c>
      <c r="I127" s="23">
        <f>'11A (N S) Sem1 '!H45</f>
        <v>89</v>
      </c>
      <c r="J127" s="23">
        <f>'11A (N S) Sem1 '!I45</f>
        <v>92</v>
      </c>
      <c r="K127" s="23">
        <f>'11A (N S) Sem1 '!J45</f>
        <v>99</v>
      </c>
      <c r="L127" s="23">
        <f>'11A (N S) Sem1 '!K45</f>
        <v>85</v>
      </c>
      <c r="M127" s="23">
        <f>'11A (N S) Sem1 '!L45</f>
        <v>600</v>
      </c>
      <c r="N127" s="192">
        <f>'11A (N S) Sem1 '!M45</f>
        <v>85.714285714285708</v>
      </c>
      <c r="O127" s="22">
        <f>'11A (N S) Sem1 '!N45</f>
        <v>16</v>
      </c>
      <c r="P127" s="23">
        <f>'11A (N S) Sem1 '!O45</f>
        <v>0</v>
      </c>
      <c r="Q127" s="29">
        <f>'11A (N S) Sem1 '!P45</f>
        <v>0</v>
      </c>
      <c r="R127" s="78"/>
    </row>
    <row r="128" spans="1:18" ht="20.100000000000001" customHeight="1" thickBot="1" x14ac:dyDescent="0.35">
      <c r="A128" s="247"/>
      <c r="B128" s="218"/>
      <c r="C128" s="213">
        <v>16</v>
      </c>
      <c r="D128" s="217" t="s">
        <v>20</v>
      </c>
      <c r="E128" s="24" t="s">
        <v>22</v>
      </c>
      <c r="F128" s="23">
        <f>'11A (N S) Sem2'!E45</f>
        <v>91</v>
      </c>
      <c r="G128" s="23">
        <f>'11A (N S) Sem2'!F45</f>
        <v>69</v>
      </c>
      <c r="H128" s="23">
        <f>'11A (N S) Sem2'!G45</f>
        <v>78</v>
      </c>
      <c r="I128" s="23">
        <f>'11A (N S) Sem2'!H45</f>
        <v>87</v>
      </c>
      <c r="J128" s="23">
        <f>'11A (N S) Sem2'!I45</f>
        <v>87</v>
      </c>
      <c r="K128" s="23">
        <f>'11A (N S) Sem2'!J45</f>
        <v>98</v>
      </c>
      <c r="L128" s="23">
        <f>'11A (N S) Sem2'!K45</f>
        <v>81</v>
      </c>
      <c r="M128" s="23">
        <f>'11A (N S) Sem2'!L45</f>
        <v>591</v>
      </c>
      <c r="N128" s="192">
        <f>'11A (N S) Sem2'!M45</f>
        <v>84.428571428571431</v>
      </c>
      <c r="O128" s="22">
        <f>'11A (N S) Sem2'!N45</f>
        <v>20</v>
      </c>
      <c r="P128" s="23">
        <f>'11A (N S) Sem2'!O45</f>
        <v>0</v>
      </c>
      <c r="Q128" s="29">
        <f>'11A (N S) Sem2'!P45</f>
        <v>0</v>
      </c>
      <c r="R128" s="78"/>
    </row>
    <row r="129" spans="1:18" ht="20.100000000000001" customHeight="1" thickBot="1" x14ac:dyDescent="0.35">
      <c r="A129" s="247"/>
      <c r="B129" s="218"/>
      <c r="C129" s="213">
        <v>16</v>
      </c>
      <c r="D129" s="217" t="s">
        <v>20</v>
      </c>
      <c r="E129" s="24" t="s">
        <v>16</v>
      </c>
      <c r="F129" s="23">
        <f>AVERAGE(F127:F128)</f>
        <v>89</v>
      </c>
      <c r="G129" s="23">
        <f t="shared" ref="G129:Q129" si="41">AVERAGE(G127:G128)</f>
        <v>68</v>
      </c>
      <c r="H129" s="23">
        <f t="shared" si="41"/>
        <v>79.5</v>
      </c>
      <c r="I129" s="23">
        <f t="shared" si="41"/>
        <v>88</v>
      </c>
      <c r="J129" s="23">
        <f t="shared" si="41"/>
        <v>89.5</v>
      </c>
      <c r="K129" s="23">
        <f t="shared" si="41"/>
        <v>98.5</v>
      </c>
      <c r="L129" s="23">
        <f t="shared" si="41"/>
        <v>83</v>
      </c>
      <c r="M129" s="23">
        <f t="shared" si="41"/>
        <v>595.5</v>
      </c>
      <c r="N129" s="41">
        <f t="shared" si="41"/>
        <v>85.071428571428569</v>
      </c>
      <c r="O129" s="23">
        <f>'11A (N S) Avr'!$I$45</f>
        <v>19</v>
      </c>
      <c r="P129" s="23">
        <f t="shared" si="41"/>
        <v>0</v>
      </c>
      <c r="Q129" s="23">
        <f t="shared" si="41"/>
        <v>0</v>
      </c>
      <c r="R129" s="78"/>
    </row>
    <row r="130" spans="1:18" ht="20.100000000000001" customHeight="1" thickBot="1" x14ac:dyDescent="0.35">
      <c r="A130" s="247">
        <v>43</v>
      </c>
      <c r="B130" s="218"/>
      <c r="C130" s="213">
        <v>16</v>
      </c>
      <c r="D130" s="217" t="s">
        <v>20</v>
      </c>
      <c r="E130" s="24" t="s">
        <v>21</v>
      </c>
      <c r="F130" s="23">
        <f>'11A (N S) Sem1 '!E46</f>
        <v>69</v>
      </c>
      <c r="G130" s="23">
        <f>'11A (N S) Sem1 '!F46</f>
        <v>71</v>
      </c>
      <c r="H130" s="23">
        <f>'11A (N S) Sem1 '!G46</f>
        <v>54</v>
      </c>
      <c r="I130" s="23">
        <f>'11A (N S) Sem1 '!H46</f>
        <v>74</v>
      </c>
      <c r="J130" s="23">
        <f>'11A (N S) Sem1 '!I46</f>
        <v>76</v>
      </c>
      <c r="K130" s="23">
        <f>'11A (N S) Sem1 '!J46</f>
        <v>84</v>
      </c>
      <c r="L130" s="23">
        <f>'11A (N S) Sem1 '!K46</f>
        <v>60</v>
      </c>
      <c r="M130" s="23">
        <f>'11A (N S) Sem1 '!L46</f>
        <v>488</v>
      </c>
      <c r="N130" s="192">
        <f>'11A (N S) Sem1 '!M46</f>
        <v>69.714285714285708</v>
      </c>
      <c r="O130" s="22">
        <f>'11A (N S) Sem1 '!N46</f>
        <v>42</v>
      </c>
      <c r="P130" s="23">
        <f>'11A (N S) Sem1 '!O46</f>
        <v>0</v>
      </c>
      <c r="Q130" s="29">
        <f>'11A (N S) Sem1 '!P46</f>
        <v>0</v>
      </c>
      <c r="R130" s="78"/>
    </row>
    <row r="131" spans="1:18" ht="20.100000000000001" customHeight="1" thickBot="1" x14ac:dyDescent="0.35">
      <c r="A131" s="247"/>
      <c r="B131" s="218"/>
      <c r="C131" s="213">
        <v>16</v>
      </c>
      <c r="D131" s="217" t="s">
        <v>20</v>
      </c>
      <c r="E131" s="24" t="s">
        <v>22</v>
      </c>
      <c r="F131" s="23">
        <f>'11A (N S) Sem2'!E46</f>
        <v>67</v>
      </c>
      <c r="G131" s="23">
        <f>'11A (N S) Sem2'!F46</f>
        <v>53</v>
      </c>
      <c r="H131" s="23">
        <f>'11A (N S) Sem2'!G46</f>
        <v>71</v>
      </c>
      <c r="I131" s="23">
        <f>'11A (N S) Sem2'!H46</f>
        <v>77</v>
      </c>
      <c r="J131" s="23">
        <f>'11A (N S) Sem2'!I46</f>
        <v>65</v>
      </c>
      <c r="K131" s="23">
        <f>'11A (N S) Sem2'!J46</f>
        <v>80</v>
      </c>
      <c r="L131" s="23">
        <f>'11A (N S) Sem2'!K46</f>
        <v>68</v>
      </c>
      <c r="M131" s="23">
        <f>'11A (N S) Sem2'!L46</f>
        <v>481</v>
      </c>
      <c r="N131" s="192">
        <f>'11A (N S) Sem2'!M46</f>
        <v>68.714285714285708</v>
      </c>
      <c r="O131" s="22">
        <f>'11A (N S) Sem2'!N46</f>
        <v>46</v>
      </c>
      <c r="P131" s="23">
        <f>'11A (N S) Sem2'!O46</f>
        <v>0</v>
      </c>
      <c r="Q131" s="29">
        <f>'11A (N S) Sem2'!P46</f>
        <v>0</v>
      </c>
      <c r="R131" s="78"/>
    </row>
    <row r="132" spans="1:18" ht="20.100000000000001" customHeight="1" thickBot="1" x14ac:dyDescent="0.35">
      <c r="A132" s="247"/>
      <c r="B132" s="218"/>
      <c r="C132" s="213">
        <v>16</v>
      </c>
      <c r="D132" s="217" t="s">
        <v>20</v>
      </c>
      <c r="E132" s="24" t="s">
        <v>16</v>
      </c>
      <c r="F132" s="23">
        <f>AVERAGE(F130:F131)</f>
        <v>68</v>
      </c>
      <c r="G132" s="23">
        <f t="shared" ref="G132:Q132" si="42">AVERAGE(G130:G131)</f>
        <v>62</v>
      </c>
      <c r="H132" s="23">
        <f t="shared" si="42"/>
        <v>62.5</v>
      </c>
      <c r="I132" s="23">
        <f t="shared" si="42"/>
        <v>75.5</v>
      </c>
      <c r="J132" s="23">
        <f t="shared" si="42"/>
        <v>70.5</v>
      </c>
      <c r="K132" s="23">
        <f t="shared" si="42"/>
        <v>82</v>
      </c>
      <c r="L132" s="23">
        <f t="shared" si="42"/>
        <v>64</v>
      </c>
      <c r="M132" s="23">
        <f t="shared" si="42"/>
        <v>484.5</v>
      </c>
      <c r="N132" s="41">
        <f t="shared" si="42"/>
        <v>69.214285714285708</v>
      </c>
      <c r="O132" s="23">
        <f>'11A (N S) Avr'!$I$46</f>
        <v>42</v>
      </c>
      <c r="P132" s="23">
        <f t="shared" si="42"/>
        <v>0</v>
      </c>
      <c r="Q132" s="23">
        <f t="shared" si="42"/>
        <v>0</v>
      </c>
      <c r="R132" s="78"/>
    </row>
    <row r="133" spans="1:18" ht="20.100000000000001" customHeight="1" thickBot="1" x14ac:dyDescent="0.35">
      <c r="A133" s="247">
        <v>44</v>
      </c>
      <c r="B133" s="218"/>
      <c r="C133" s="213">
        <v>16</v>
      </c>
      <c r="D133" s="217" t="s">
        <v>23</v>
      </c>
      <c r="E133" s="24" t="s">
        <v>21</v>
      </c>
      <c r="F133" s="23">
        <f>'11A (N S) Sem1 '!E47</f>
        <v>69</v>
      </c>
      <c r="G133" s="23">
        <f>'11A (N S) Sem1 '!F47</f>
        <v>55</v>
      </c>
      <c r="H133" s="23">
        <f>'11A (N S) Sem1 '!G47</f>
        <v>64</v>
      </c>
      <c r="I133" s="23">
        <f>'11A (N S) Sem1 '!H47</f>
        <v>85</v>
      </c>
      <c r="J133" s="23">
        <f>'11A (N S) Sem1 '!I47</f>
        <v>88</v>
      </c>
      <c r="K133" s="23">
        <f>'11A (N S) Sem1 '!J47</f>
        <v>89</v>
      </c>
      <c r="L133" s="23">
        <f>'11A (N S) Sem1 '!K47</f>
        <v>80</v>
      </c>
      <c r="M133" s="23">
        <f>'11A (N S) Sem1 '!L47</f>
        <v>530</v>
      </c>
      <c r="N133" s="192">
        <f>'11A (N S) Sem1 '!M47</f>
        <v>75.714285714285708</v>
      </c>
      <c r="O133" s="22">
        <f>'11A (N S) Sem1 '!N47</f>
        <v>31</v>
      </c>
      <c r="P133" s="23">
        <f>'11A (N S) Sem1 '!O47</f>
        <v>0</v>
      </c>
      <c r="Q133" s="29">
        <f>'11A (N S) Sem1 '!P47</f>
        <v>0</v>
      </c>
      <c r="R133" s="78"/>
    </row>
    <row r="134" spans="1:18" ht="20.100000000000001" customHeight="1" thickBot="1" x14ac:dyDescent="0.35">
      <c r="A134" s="247"/>
      <c r="B134" s="218"/>
      <c r="C134" s="213">
        <v>16</v>
      </c>
      <c r="D134" s="217" t="s">
        <v>23</v>
      </c>
      <c r="E134" s="24" t="s">
        <v>22</v>
      </c>
      <c r="F134" s="23">
        <f>'11A (N S) Sem2'!E47</f>
        <v>82</v>
      </c>
      <c r="G134" s="23">
        <f>'11A (N S) Sem2'!F47</f>
        <v>64</v>
      </c>
      <c r="H134" s="23">
        <f>'11A (N S) Sem2'!G47</f>
        <v>76</v>
      </c>
      <c r="I134" s="23">
        <f>'11A (N S) Sem2'!H47</f>
        <v>83</v>
      </c>
      <c r="J134" s="23">
        <f>'11A (N S) Sem2'!I47</f>
        <v>90</v>
      </c>
      <c r="K134" s="23">
        <f>'11A (N S) Sem2'!J47</f>
        <v>92</v>
      </c>
      <c r="L134" s="23">
        <f>'11A (N S) Sem2'!K47</f>
        <v>89</v>
      </c>
      <c r="M134" s="23">
        <f>'11A (N S) Sem2'!L47</f>
        <v>576</v>
      </c>
      <c r="N134" s="192">
        <f>'11A (N S) Sem2'!M47</f>
        <v>82.285714285714292</v>
      </c>
      <c r="O134" s="22">
        <f>'11A (N S) Sem2'!N47</f>
        <v>28</v>
      </c>
      <c r="P134" s="23">
        <f>'11A (N S) Sem2'!O47</f>
        <v>0</v>
      </c>
      <c r="Q134" s="29">
        <f>'11A (N S) Sem2'!P47</f>
        <v>0</v>
      </c>
      <c r="R134" s="78"/>
    </row>
    <row r="135" spans="1:18" ht="20.100000000000001" customHeight="1" thickBot="1" x14ac:dyDescent="0.35">
      <c r="A135" s="247"/>
      <c r="B135" s="218"/>
      <c r="C135" s="213">
        <v>16</v>
      </c>
      <c r="D135" s="217" t="s">
        <v>23</v>
      </c>
      <c r="E135" s="24" t="s">
        <v>16</v>
      </c>
      <c r="F135" s="23">
        <f>AVERAGE(F133:F134)</f>
        <v>75.5</v>
      </c>
      <c r="G135" s="23">
        <f t="shared" ref="G135:Q135" si="43">AVERAGE(G133:G134)</f>
        <v>59.5</v>
      </c>
      <c r="H135" s="23">
        <f t="shared" si="43"/>
        <v>70</v>
      </c>
      <c r="I135" s="23">
        <f t="shared" si="43"/>
        <v>84</v>
      </c>
      <c r="J135" s="23">
        <f t="shared" si="43"/>
        <v>89</v>
      </c>
      <c r="K135" s="23">
        <f t="shared" si="43"/>
        <v>90.5</v>
      </c>
      <c r="L135" s="23">
        <f t="shared" si="43"/>
        <v>84.5</v>
      </c>
      <c r="M135" s="23">
        <f t="shared" si="43"/>
        <v>553</v>
      </c>
      <c r="N135" s="41">
        <f t="shared" si="43"/>
        <v>79</v>
      </c>
      <c r="O135" s="23">
        <f>'11A (N S) Avr'!$I$47</f>
        <v>30</v>
      </c>
      <c r="P135" s="23">
        <f t="shared" si="43"/>
        <v>0</v>
      </c>
      <c r="Q135" s="23">
        <f t="shared" si="43"/>
        <v>0</v>
      </c>
      <c r="R135" s="78"/>
    </row>
    <row r="136" spans="1:18" ht="20.100000000000001" customHeight="1" thickBot="1" x14ac:dyDescent="0.35">
      <c r="A136" s="247">
        <v>45</v>
      </c>
      <c r="B136" s="218"/>
      <c r="C136" s="213">
        <v>18</v>
      </c>
      <c r="D136" s="217" t="s">
        <v>23</v>
      </c>
      <c r="E136" s="24" t="s">
        <v>21</v>
      </c>
      <c r="F136" s="23">
        <f>'11A (N S) Sem1 '!E48</f>
        <v>91</v>
      </c>
      <c r="G136" s="23">
        <f>'11A (N S) Sem1 '!F48</f>
        <v>91</v>
      </c>
      <c r="H136" s="23">
        <f>'11A (N S) Sem1 '!G48</f>
        <v>94</v>
      </c>
      <c r="I136" s="23">
        <f>'11A (N S) Sem1 '!H48</f>
        <v>97</v>
      </c>
      <c r="J136" s="23">
        <f>'11A (N S) Sem1 '!I48</f>
        <v>93</v>
      </c>
      <c r="K136" s="23">
        <f>'11A (N S) Sem1 '!J48</f>
        <v>100</v>
      </c>
      <c r="L136" s="23">
        <f>'11A (N S) Sem1 '!K48</f>
        <v>92</v>
      </c>
      <c r="M136" s="23">
        <f>'11A (N S) Sem1 '!L48</f>
        <v>658</v>
      </c>
      <c r="N136" s="192">
        <f>'11A (N S) Sem1 '!M48</f>
        <v>94</v>
      </c>
      <c r="O136" s="22">
        <f>'11A (N S) Sem1 '!N48</f>
        <v>3</v>
      </c>
      <c r="P136" s="23">
        <f>'11A (N S) Sem1 '!O48</f>
        <v>0</v>
      </c>
      <c r="Q136" s="29">
        <f>'11A (N S) Sem1 '!P48</f>
        <v>0</v>
      </c>
      <c r="R136" s="78"/>
    </row>
    <row r="137" spans="1:18" ht="20.100000000000001" customHeight="1" thickBot="1" x14ac:dyDescent="0.35">
      <c r="A137" s="247"/>
      <c r="B137" s="218"/>
      <c r="C137" s="213">
        <v>18</v>
      </c>
      <c r="D137" s="217" t="s">
        <v>23</v>
      </c>
      <c r="E137" s="24" t="s">
        <v>22</v>
      </c>
      <c r="F137" s="23">
        <f>'11A (N S) Sem2'!E48</f>
        <v>99</v>
      </c>
      <c r="G137" s="23">
        <f>'11A (N S) Sem2'!F48</f>
        <v>75</v>
      </c>
      <c r="H137" s="23">
        <f>'11A (N S) Sem2'!G48</f>
        <v>87</v>
      </c>
      <c r="I137" s="23">
        <f>'11A (N S) Sem2'!H48</f>
        <v>93</v>
      </c>
      <c r="J137" s="23">
        <f>'11A (N S) Sem2'!I48</f>
        <v>88</v>
      </c>
      <c r="K137" s="23">
        <f>'11A (N S) Sem2'!J48</f>
        <v>87</v>
      </c>
      <c r="L137" s="23">
        <f>'11A (N S) Sem2'!K48</f>
        <v>93</v>
      </c>
      <c r="M137" s="23">
        <f>'11A (N S) Sem2'!L48</f>
        <v>622</v>
      </c>
      <c r="N137" s="192">
        <f>'11A (N S) Sem2'!M48</f>
        <v>88.857142857142861</v>
      </c>
      <c r="O137" s="22">
        <f>'11A (N S) Sem2'!N48</f>
        <v>17</v>
      </c>
      <c r="P137" s="23">
        <f>'11A (N S) Sem2'!O48</f>
        <v>0</v>
      </c>
      <c r="Q137" s="29">
        <f>'11A (N S) Sem2'!P48</f>
        <v>0</v>
      </c>
      <c r="R137" s="78"/>
    </row>
    <row r="138" spans="1:18" ht="20.100000000000001" customHeight="1" thickBot="1" x14ac:dyDescent="0.35">
      <c r="A138" s="247"/>
      <c r="B138" s="218"/>
      <c r="C138" s="213">
        <v>18</v>
      </c>
      <c r="D138" s="217" t="s">
        <v>23</v>
      </c>
      <c r="E138" s="24" t="s">
        <v>16</v>
      </c>
      <c r="F138" s="23">
        <f>AVERAGE(F136:F137)</f>
        <v>95</v>
      </c>
      <c r="G138" s="23">
        <f t="shared" ref="G138:Q138" si="44">AVERAGE(G136:G137)</f>
        <v>83</v>
      </c>
      <c r="H138" s="23">
        <f t="shared" si="44"/>
        <v>90.5</v>
      </c>
      <c r="I138" s="23">
        <f t="shared" si="44"/>
        <v>95</v>
      </c>
      <c r="J138" s="23">
        <f t="shared" si="44"/>
        <v>90.5</v>
      </c>
      <c r="K138" s="23">
        <f t="shared" si="44"/>
        <v>93.5</v>
      </c>
      <c r="L138" s="23">
        <f t="shared" si="44"/>
        <v>92.5</v>
      </c>
      <c r="M138" s="23">
        <f t="shared" si="44"/>
        <v>640</v>
      </c>
      <c r="N138" s="41">
        <f t="shared" si="44"/>
        <v>91.428571428571431</v>
      </c>
      <c r="O138" s="23">
        <f>'11A (N S) Avr'!$I$48</f>
        <v>10</v>
      </c>
      <c r="P138" s="23">
        <f t="shared" si="44"/>
        <v>0</v>
      </c>
      <c r="Q138" s="23">
        <f t="shared" si="44"/>
        <v>0</v>
      </c>
      <c r="R138" s="78"/>
    </row>
    <row r="139" spans="1:18" ht="20.100000000000001" customHeight="1" thickBot="1" x14ac:dyDescent="0.35">
      <c r="A139" s="247">
        <v>46</v>
      </c>
      <c r="B139" s="218"/>
      <c r="C139" s="213">
        <v>16</v>
      </c>
      <c r="D139" s="217" t="s">
        <v>23</v>
      </c>
      <c r="E139" s="24" t="s">
        <v>21</v>
      </c>
      <c r="F139" s="23">
        <f>'11A (N S) Sem1 '!E49</f>
        <v>74</v>
      </c>
      <c r="G139" s="23">
        <f>'11A (N S) Sem1 '!F49</f>
        <v>68</v>
      </c>
      <c r="H139" s="23">
        <f>'11A (N S) Sem1 '!G49</f>
        <v>69</v>
      </c>
      <c r="I139" s="23">
        <f>'11A (N S) Sem1 '!H49</f>
        <v>81</v>
      </c>
      <c r="J139" s="23">
        <f>'11A (N S) Sem1 '!I49</f>
        <v>85</v>
      </c>
      <c r="K139" s="23">
        <f>'11A (N S) Sem1 '!J49</f>
        <v>90</v>
      </c>
      <c r="L139" s="23">
        <f>'11A (N S) Sem1 '!K49</f>
        <v>88</v>
      </c>
      <c r="M139" s="23">
        <f>'11A (N S) Sem1 '!L49</f>
        <v>555</v>
      </c>
      <c r="N139" s="192">
        <f>'11A (N S) Sem1 '!M49</f>
        <v>79.285714285714292</v>
      </c>
      <c r="O139" s="22">
        <f>'11A (N S) Sem1 '!N49</f>
        <v>23</v>
      </c>
      <c r="P139" s="23">
        <f>'11A (N S) Sem1 '!O49</f>
        <v>0</v>
      </c>
      <c r="Q139" s="29">
        <f>'11A (N S) Sem1 '!P49</f>
        <v>0</v>
      </c>
      <c r="R139" s="78"/>
    </row>
    <row r="140" spans="1:18" ht="20.100000000000001" customHeight="1" thickBot="1" x14ac:dyDescent="0.35">
      <c r="A140" s="247"/>
      <c r="B140" s="218"/>
      <c r="C140" s="213">
        <v>16</v>
      </c>
      <c r="D140" s="217" t="s">
        <v>23</v>
      </c>
      <c r="E140" s="24" t="s">
        <v>22</v>
      </c>
      <c r="F140" s="23">
        <f>'11A (N S) Sem2'!E49</f>
        <v>73</v>
      </c>
      <c r="G140" s="23">
        <f>'11A (N S) Sem2'!F49</f>
        <v>65</v>
      </c>
      <c r="H140" s="23">
        <f>'11A (N S) Sem2'!G49</f>
        <v>70</v>
      </c>
      <c r="I140" s="23">
        <f>'11A (N S) Sem2'!H49</f>
        <v>85</v>
      </c>
      <c r="J140" s="23">
        <f>'11A (N S) Sem2'!I49</f>
        <v>88</v>
      </c>
      <c r="K140" s="23">
        <f>'11A (N S) Sem2'!J49</f>
        <v>83</v>
      </c>
      <c r="L140" s="23">
        <f>'11A (N S) Sem2'!K49</f>
        <v>85</v>
      </c>
      <c r="M140" s="23">
        <f>'11A (N S) Sem2'!L49</f>
        <v>549</v>
      </c>
      <c r="N140" s="192">
        <f>'11A (N S) Sem2'!M49</f>
        <v>78.428571428571431</v>
      </c>
      <c r="O140" s="22">
        <f>'11A (N S) Sem2'!N49</f>
        <v>39</v>
      </c>
      <c r="P140" s="23">
        <f>'11A (N S) Sem2'!O49</f>
        <v>0</v>
      </c>
      <c r="Q140" s="29">
        <f>'11A (N S) Sem2'!P49</f>
        <v>0</v>
      </c>
      <c r="R140" s="78"/>
    </row>
    <row r="141" spans="1:18" ht="20.100000000000001" customHeight="1" thickBot="1" x14ac:dyDescent="0.35">
      <c r="A141" s="247"/>
      <c r="B141" s="218"/>
      <c r="C141" s="213">
        <v>16</v>
      </c>
      <c r="D141" s="217" t="s">
        <v>23</v>
      </c>
      <c r="E141" s="24" t="s">
        <v>16</v>
      </c>
      <c r="F141" s="23">
        <f>AVERAGE(F139:F140)</f>
        <v>73.5</v>
      </c>
      <c r="G141" s="23">
        <f t="shared" ref="G141:Q141" si="45">AVERAGE(G139:G140)</f>
        <v>66.5</v>
      </c>
      <c r="H141" s="23">
        <f t="shared" si="45"/>
        <v>69.5</v>
      </c>
      <c r="I141" s="23">
        <f t="shared" si="45"/>
        <v>83</v>
      </c>
      <c r="J141" s="23">
        <f t="shared" si="45"/>
        <v>86.5</v>
      </c>
      <c r="K141" s="23">
        <f t="shared" si="45"/>
        <v>86.5</v>
      </c>
      <c r="L141" s="23">
        <f t="shared" si="45"/>
        <v>86.5</v>
      </c>
      <c r="M141" s="23">
        <f t="shared" si="45"/>
        <v>552</v>
      </c>
      <c r="N141" s="41">
        <f t="shared" si="45"/>
        <v>78.857142857142861</v>
      </c>
      <c r="O141" s="23">
        <f>'11A (N S) Avr'!$I$49</f>
        <v>32</v>
      </c>
      <c r="P141" s="23">
        <f t="shared" si="45"/>
        <v>0</v>
      </c>
      <c r="Q141" s="23">
        <f t="shared" si="45"/>
        <v>0</v>
      </c>
      <c r="R141" s="78"/>
    </row>
    <row r="142" spans="1:18" ht="20.100000000000001" customHeight="1" thickBot="1" x14ac:dyDescent="0.35">
      <c r="A142" s="247">
        <v>47</v>
      </c>
      <c r="B142" s="218"/>
      <c r="C142" s="213">
        <v>17</v>
      </c>
      <c r="D142" s="217" t="s">
        <v>20</v>
      </c>
      <c r="E142" s="24" t="s">
        <v>21</v>
      </c>
      <c r="F142" s="23">
        <f>'11A (N S) Sem1 '!E50</f>
        <v>68</v>
      </c>
      <c r="G142" s="23">
        <f>'11A (N S) Sem1 '!F50</f>
        <v>68</v>
      </c>
      <c r="H142" s="23">
        <f>'11A (N S) Sem1 '!G50</f>
        <v>73</v>
      </c>
      <c r="I142" s="23">
        <f>'11A (N S) Sem1 '!H50</f>
        <v>79</v>
      </c>
      <c r="J142" s="23">
        <f>'11A (N S) Sem1 '!I50</f>
        <v>84</v>
      </c>
      <c r="K142" s="23">
        <f>'11A (N S) Sem1 '!J50</f>
        <v>87</v>
      </c>
      <c r="L142" s="23">
        <f>'11A (N S) Sem1 '!K50</f>
        <v>77</v>
      </c>
      <c r="M142" s="23">
        <f>'11A (N S) Sem1 '!L50</f>
        <v>536</v>
      </c>
      <c r="N142" s="192">
        <f>'11A (N S) Sem1 '!M50</f>
        <v>76.571428571428569</v>
      </c>
      <c r="O142" s="22">
        <f>'11A (N S) Sem1 '!N50</f>
        <v>29</v>
      </c>
      <c r="P142" s="23">
        <f>'11A (N S) Sem1 '!O50</f>
        <v>0</v>
      </c>
      <c r="Q142" s="29">
        <f>'11A (N S) Sem1 '!P50</f>
        <v>0</v>
      </c>
      <c r="R142" s="78"/>
    </row>
    <row r="143" spans="1:18" ht="20.100000000000001" customHeight="1" thickBot="1" x14ac:dyDescent="0.35">
      <c r="A143" s="247"/>
      <c r="B143" s="218"/>
      <c r="C143" s="213">
        <v>17</v>
      </c>
      <c r="D143" s="217" t="s">
        <v>20</v>
      </c>
      <c r="E143" s="24" t="s">
        <v>22</v>
      </c>
      <c r="F143" s="23">
        <f>'11A (N S) Sem2'!E50</f>
        <v>77</v>
      </c>
      <c r="G143" s="23">
        <f>'11A (N S) Sem2'!F50</f>
        <v>71</v>
      </c>
      <c r="H143" s="23">
        <f>'11A (N S) Sem2'!G50</f>
        <v>75</v>
      </c>
      <c r="I143" s="23">
        <f>'11A (N S) Sem2'!H50</f>
        <v>82</v>
      </c>
      <c r="J143" s="23">
        <f>'11A (N S) Sem2'!I50</f>
        <v>82</v>
      </c>
      <c r="K143" s="23">
        <f>'11A (N S) Sem2'!J50</f>
        <v>88</v>
      </c>
      <c r="L143" s="23">
        <f>'11A (N S) Sem2'!K50</f>
        <v>84</v>
      </c>
      <c r="M143" s="23">
        <f>'11A (N S) Sem2'!L50</f>
        <v>559</v>
      </c>
      <c r="N143" s="192">
        <f>'11A (N S) Sem2'!M50</f>
        <v>79.857142857142861</v>
      </c>
      <c r="O143" s="22">
        <f>'11A (N S) Sem2'!N50</f>
        <v>37</v>
      </c>
      <c r="P143" s="23">
        <f>'11A (N S) Sem2'!O50</f>
        <v>0</v>
      </c>
      <c r="Q143" s="29">
        <f>'11A (N S) Sem2'!P50</f>
        <v>0</v>
      </c>
      <c r="R143" s="78"/>
    </row>
    <row r="144" spans="1:18" ht="20.100000000000001" customHeight="1" thickBot="1" x14ac:dyDescent="0.35">
      <c r="A144" s="247"/>
      <c r="B144" s="218"/>
      <c r="C144" s="213">
        <v>17</v>
      </c>
      <c r="D144" s="217" t="s">
        <v>20</v>
      </c>
      <c r="E144" s="24" t="s">
        <v>16</v>
      </c>
      <c r="F144" s="23">
        <f>AVERAGE(F142:F143)</f>
        <v>72.5</v>
      </c>
      <c r="G144" s="23">
        <f t="shared" ref="G144:Q144" si="46">AVERAGE(G142:G143)</f>
        <v>69.5</v>
      </c>
      <c r="H144" s="23">
        <f t="shared" si="46"/>
        <v>74</v>
      </c>
      <c r="I144" s="23">
        <f t="shared" si="46"/>
        <v>80.5</v>
      </c>
      <c r="J144" s="23">
        <f t="shared" si="46"/>
        <v>83</v>
      </c>
      <c r="K144" s="23">
        <f t="shared" si="46"/>
        <v>87.5</v>
      </c>
      <c r="L144" s="23">
        <f t="shared" si="46"/>
        <v>80.5</v>
      </c>
      <c r="M144" s="23">
        <f t="shared" si="46"/>
        <v>547.5</v>
      </c>
      <c r="N144" s="41">
        <f t="shared" si="46"/>
        <v>78.214285714285722</v>
      </c>
      <c r="O144" s="23">
        <f>'11A (N S) Avr'!$I$50</f>
        <v>33</v>
      </c>
      <c r="P144" s="23">
        <f t="shared" si="46"/>
        <v>0</v>
      </c>
      <c r="Q144" s="23">
        <f t="shared" si="46"/>
        <v>0</v>
      </c>
      <c r="R144" s="78"/>
    </row>
    <row r="145" spans="1:18" ht="20.100000000000001" customHeight="1" thickBot="1" x14ac:dyDescent="0.35">
      <c r="A145" s="247">
        <v>48</v>
      </c>
      <c r="B145" s="218"/>
      <c r="C145" s="213">
        <v>16</v>
      </c>
      <c r="D145" s="217" t="s">
        <v>20</v>
      </c>
      <c r="E145" s="24" t="s">
        <v>21</v>
      </c>
      <c r="F145" s="23">
        <f>'11A (N S) Sem1 '!E51</f>
        <v>54</v>
      </c>
      <c r="G145" s="23">
        <f>'11A (N S) Sem1 '!F51</f>
        <v>39</v>
      </c>
      <c r="H145" s="23">
        <f>'11A (N S) Sem1 '!G51</f>
        <v>57</v>
      </c>
      <c r="I145" s="23">
        <f>'11A (N S) Sem1 '!H51</f>
        <v>77</v>
      </c>
      <c r="J145" s="23">
        <f>'11A (N S) Sem1 '!I51</f>
        <v>62</v>
      </c>
      <c r="K145" s="23">
        <f>'11A (N S) Sem1 '!J51</f>
        <v>79</v>
      </c>
      <c r="L145" s="23">
        <f>'11A (N S) Sem1 '!K51</f>
        <v>71</v>
      </c>
      <c r="M145" s="23">
        <f>'11A (N S) Sem1 '!L51</f>
        <v>439</v>
      </c>
      <c r="N145" s="192">
        <f>'11A (N S) Sem1 '!M51</f>
        <v>62.714285714285715</v>
      </c>
      <c r="O145" s="22">
        <f>'11A (N S) Sem1 '!N51</f>
        <v>47</v>
      </c>
      <c r="P145" s="23">
        <f>'11A (N S) Sem1 '!O51</f>
        <v>0</v>
      </c>
      <c r="Q145" s="29">
        <f>'11A (N S) Sem1 '!P51</f>
        <v>0</v>
      </c>
      <c r="R145" s="78"/>
    </row>
    <row r="146" spans="1:18" ht="20.100000000000001" customHeight="1" thickBot="1" x14ac:dyDescent="0.35">
      <c r="A146" s="247"/>
      <c r="B146" s="218"/>
      <c r="C146" s="213">
        <v>16</v>
      </c>
      <c r="D146" s="217" t="s">
        <v>20</v>
      </c>
      <c r="E146" s="24" t="s">
        <v>22</v>
      </c>
      <c r="F146" s="23">
        <f>'11A (N S) Sem2'!E51</f>
        <v>65</v>
      </c>
      <c r="G146" s="23">
        <f>'11A (N S) Sem2'!F51</f>
        <v>56</v>
      </c>
      <c r="H146" s="23">
        <f>'11A (N S) Sem2'!G51</f>
        <v>56</v>
      </c>
      <c r="I146" s="23">
        <f>'11A (N S) Sem2'!H51</f>
        <v>72</v>
      </c>
      <c r="J146" s="23">
        <f>'11A (N S) Sem2'!I51</f>
        <v>55</v>
      </c>
      <c r="K146" s="23">
        <f>'11A (N S) Sem2'!J51</f>
        <v>76</v>
      </c>
      <c r="L146" s="23">
        <f>'11A (N S) Sem2'!K51</f>
        <v>59</v>
      </c>
      <c r="M146" s="23">
        <f>'11A (N S) Sem2'!L51</f>
        <v>439</v>
      </c>
      <c r="N146" s="192">
        <f>'11A (N S) Sem2'!M51</f>
        <v>62.714285714285715</v>
      </c>
      <c r="O146" s="22">
        <f>'11A (N S) Sem2'!N51</f>
        <v>48</v>
      </c>
      <c r="P146" s="23">
        <f>'11A (N S) Sem2'!O51</f>
        <v>0</v>
      </c>
      <c r="Q146" s="29">
        <f>'11A (N S) Sem2'!P51</f>
        <v>0</v>
      </c>
      <c r="R146" s="78"/>
    </row>
    <row r="147" spans="1:18" ht="20.100000000000001" customHeight="1" thickBot="1" x14ac:dyDescent="0.35">
      <c r="A147" s="247"/>
      <c r="B147" s="218"/>
      <c r="C147" s="213">
        <v>16</v>
      </c>
      <c r="D147" s="217" t="s">
        <v>20</v>
      </c>
      <c r="E147" s="24" t="s">
        <v>16</v>
      </c>
      <c r="F147" s="23">
        <f>AVERAGE(F145:F146)</f>
        <v>59.5</v>
      </c>
      <c r="G147" s="23">
        <f t="shared" ref="G147:Q147" si="47">AVERAGE(G145:G146)</f>
        <v>47.5</v>
      </c>
      <c r="H147" s="23">
        <f t="shared" si="47"/>
        <v>56.5</v>
      </c>
      <c r="I147" s="23">
        <f t="shared" si="47"/>
        <v>74.5</v>
      </c>
      <c r="J147" s="23">
        <f t="shared" si="47"/>
        <v>58.5</v>
      </c>
      <c r="K147" s="23">
        <f t="shared" si="47"/>
        <v>77.5</v>
      </c>
      <c r="L147" s="23">
        <f t="shared" si="47"/>
        <v>65</v>
      </c>
      <c r="M147" s="23">
        <f t="shared" si="47"/>
        <v>439</v>
      </c>
      <c r="N147" s="41">
        <f t="shared" si="47"/>
        <v>62.714285714285715</v>
      </c>
      <c r="O147" s="23">
        <f>'11A (N S) Avr'!$I$51</f>
        <v>48</v>
      </c>
      <c r="P147" s="23">
        <f t="shared" si="47"/>
        <v>0</v>
      </c>
      <c r="Q147" s="23">
        <f t="shared" si="47"/>
        <v>0</v>
      </c>
      <c r="R147" s="78"/>
    </row>
    <row r="148" spans="1:18" ht="20.100000000000001" customHeight="1" thickBot="1" x14ac:dyDescent="0.35">
      <c r="A148" s="247">
        <v>49</v>
      </c>
      <c r="B148" s="218"/>
      <c r="C148" s="213">
        <v>16</v>
      </c>
      <c r="D148" s="217" t="s">
        <v>20</v>
      </c>
      <c r="E148" s="24" t="s">
        <v>21</v>
      </c>
      <c r="F148" s="23">
        <f>'11A (N S) Sem1 '!E52</f>
        <v>81</v>
      </c>
      <c r="G148" s="23">
        <f>'11A (N S) Sem1 '!F52</f>
        <v>92</v>
      </c>
      <c r="H148" s="23">
        <f>'11A (N S) Sem1 '!G52</f>
        <v>91</v>
      </c>
      <c r="I148" s="23">
        <f>'11A (N S) Sem1 '!H52</f>
        <v>93</v>
      </c>
      <c r="J148" s="23">
        <f>'11A (N S) Sem1 '!I52</f>
        <v>95</v>
      </c>
      <c r="K148" s="23">
        <f>'11A (N S) Sem1 '!J52</f>
        <v>97</v>
      </c>
      <c r="L148" s="23">
        <f>'11A (N S) Sem1 '!K52</f>
        <v>92</v>
      </c>
      <c r="M148" s="23">
        <f>'11A (N S) Sem1 '!L52</f>
        <v>641</v>
      </c>
      <c r="N148" s="192">
        <f>'11A (N S) Sem1 '!M52</f>
        <v>91.571428571428569</v>
      </c>
      <c r="O148" s="22">
        <f>'11A (N S) Sem1 '!N52</f>
        <v>10</v>
      </c>
      <c r="P148" s="23">
        <f>'11A (N S) Sem1 '!O52</f>
        <v>0</v>
      </c>
      <c r="Q148" s="29">
        <f>'11A (N S) Sem1 '!P52</f>
        <v>0</v>
      </c>
      <c r="R148" s="78"/>
    </row>
    <row r="149" spans="1:18" ht="20.100000000000001" customHeight="1" thickBot="1" x14ac:dyDescent="0.35">
      <c r="A149" s="247"/>
      <c r="B149" s="218"/>
      <c r="C149" s="213">
        <v>16</v>
      </c>
      <c r="D149" s="217" t="s">
        <v>20</v>
      </c>
      <c r="E149" s="24" t="s">
        <v>22</v>
      </c>
      <c r="F149" s="23">
        <f>'11A (N S) Sem2'!E52</f>
        <v>90</v>
      </c>
      <c r="G149" s="23">
        <f>'11A (N S) Sem2'!F52</f>
        <v>87</v>
      </c>
      <c r="H149" s="23">
        <f>'11A (N S) Sem2'!G52</f>
        <v>88</v>
      </c>
      <c r="I149" s="23">
        <f>'11A (N S) Sem2'!H52</f>
        <v>93</v>
      </c>
      <c r="J149" s="23">
        <f>'11A (N S) Sem2'!I52</f>
        <v>93</v>
      </c>
      <c r="K149" s="23">
        <f>'11A (N S) Sem2'!J52</f>
        <v>92</v>
      </c>
      <c r="L149" s="23">
        <f>'11A (N S) Sem2'!K52</f>
        <v>96</v>
      </c>
      <c r="M149" s="23">
        <f>'11A (N S) Sem2'!L52</f>
        <v>639</v>
      </c>
      <c r="N149" s="192">
        <f>'11A (N S) Sem2'!M52</f>
        <v>91.285714285714292</v>
      </c>
      <c r="O149" s="22">
        <f>'11A (N S) Sem2'!N52</f>
        <v>11</v>
      </c>
      <c r="P149" s="23">
        <f>'11A (N S) Sem2'!O52</f>
        <v>0</v>
      </c>
      <c r="Q149" s="29">
        <f>'11A (N S) Sem2'!P52</f>
        <v>0</v>
      </c>
      <c r="R149" s="78"/>
    </row>
    <row r="150" spans="1:18" ht="20.100000000000001" customHeight="1" thickBot="1" x14ac:dyDescent="0.35">
      <c r="A150" s="247"/>
      <c r="B150" s="218"/>
      <c r="C150" s="213">
        <v>16</v>
      </c>
      <c r="D150" s="217" t="s">
        <v>20</v>
      </c>
      <c r="E150" s="24" t="s">
        <v>16</v>
      </c>
      <c r="F150" s="23">
        <f>AVERAGE(F148:F149)</f>
        <v>85.5</v>
      </c>
      <c r="G150" s="23">
        <f t="shared" ref="G150:Q150" si="48">AVERAGE(G148:G149)</f>
        <v>89.5</v>
      </c>
      <c r="H150" s="23">
        <f t="shared" si="48"/>
        <v>89.5</v>
      </c>
      <c r="I150" s="23">
        <f t="shared" si="48"/>
        <v>93</v>
      </c>
      <c r="J150" s="23">
        <f t="shared" si="48"/>
        <v>94</v>
      </c>
      <c r="K150" s="23">
        <f t="shared" si="48"/>
        <v>94.5</v>
      </c>
      <c r="L150" s="23">
        <f t="shared" si="48"/>
        <v>94</v>
      </c>
      <c r="M150" s="23">
        <f t="shared" si="48"/>
        <v>640</v>
      </c>
      <c r="N150" s="41">
        <f t="shared" si="48"/>
        <v>91.428571428571431</v>
      </c>
      <c r="O150" s="23">
        <f>'11A (N S) Avr'!$I$52</f>
        <v>10</v>
      </c>
      <c r="P150" s="23">
        <f t="shared" si="48"/>
        <v>0</v>
      </c>
      <c r="Q150" s="23">
        <f t="shared" si="48"/>
        <v>0</v>
      </c>
      <c r="R150" s="78"/>
    </row>
    <row r="151" spans="1:18" ht="20.100000000000001" customHeight="1" thickBot="1" x14ac:dyDescent="0.35">
      <c r="A151" s="247">
        <v>50</v>
      </c>
      <c r="B151" s="218"/>
      <c r="C151" s="213"/>
      <c r="D151" s="217"/>
      <c r="E151" s="24" t="s">
        <v>21</v>
      </c>
      <c r="F151" s="23">
        <f>'11A (N S) Sem1 '!E53</f>
        <v>0</v>
      </c>
      <c r="G151" s="23">
        <f>'11A (N S) Sem1 '!F53</f>
        <v>0</v>
      </c>
      <c r="H151" s="23">
        <f>'11A (N S) Sem1 '!G53</f>
        <v>0</v>
      </c>
      <c r="I151" s="23">
        <f>'11A (N S) Sem1 '!H53</f>
        <v>0</v>
      </c>
      <c r="J151" s="23">
        <f>'11A (N S) Sem1 '!I53</f>
        <v>0</v>
      </c>
      <c r="K151" s="23">
        <f>'11A (N S) Sem1 '!J53</f>
        <v>0</v>
      </c>
      <c r="L151" s="23">
        <f>'11A (N S) Sem1 '!K53</f>
        <v>0</v>
      </c>
      <c r="M151" s="23">
        <f>'11A (N S) Sem1 '!L53</f>
        <v>0</v>
      </c>
      <c r="N151" s="22">
        <f>'11A (N S) Sem1 '!M53</f>
        <v>0</v>
      </c>
      <c r="O151" s="22">
        <f>'11A (N S) Sem1 '!N53</f>
        <v>0</v>
      </c>
      <c r="P151" s="23">
        <f>'11A (N S) Sem1 '!O53</f>
        <v>0</v>
      </c>
      <c r="Q151" s="29">
        <f>'11A (N S) Sem1 '!P53</f>
        <v>0</v>
      </c>
      <c r="R151" s="78"/>
    </row>
    <row r="152" spans="1:18" ht="20.100000000000001" customHeight="1" thickBot="1" x14ac:dyDescent="0.35">
      <c r="A152" s="247"/>
      <c r="B152" s="218"/>
      <c r="C152" s="213"/>
      <c r="D152" s="217"/>
      <c r="E152" s="24" t="s">
        <v>22</v>
      </c>
      <c r="F152" s="23">
        <f>'11A (N S) Sem2'!E53</f>
        <v>0</v>
      </c>
      <c r="G152" s="23">
        <f>'11A (N S) Sem2'!F53</f>
        <v>0</v>
      </c>
      <c r="H152" s="23">
        <f>'11A (N S) Sem2'!G53</f>
        <v>0</v>
      </c>
      <c r="I152" s="23">
        <f>'11A (N S) Sem2'!H53</f>
        <v>0</v>
      </c>
      <c r="J152" s="23">
        <f>'11A (N S) Sem2'!I53</f>
        <v>0</v>
      </c>
      <c r="K152" s="23">
        <f>'11A (N S) Sem2'!J53</f>
        <v>0</v>
      </c>
      <c r="L152" s="23">
        <f>'11A (N S) Sem2'!K53</f>
        <v>0</v>
      </c>
      <c r="M152" s="23">
        <f>'11A (N S) Sem2'!L53</f>
        <v>0</v>
      </c>
      <c r="N152" s="22">
        <f>'11A (N S) Sem2'!M53</f>
        <v>0</v>
      </c>
      <c r="O152" s="22">
        <f>'11A (N S) Sem2'!N53</f>
        <v>0</v>
      </c>
      <c r="P152" s="23">
        <f>'11A (N S) Sem2'!O53</f>
        <v>0</v>
      </c>
      <c r="Q152" s="29">
        <f>'11A (N S) Sem2'!P53</f>
        <v>0</v>
      </c>
      <c r="R152" s="78"/>
    </row>
    <row r="153" spans="1:18" ht="20.100000000000001" customHeight="1" thickBot="1" x14ac:dyDescent="0.35">
      <c r="A153" s="247"/>
      <c r="B153" s="218"/>
      <c r="C153" s="213"/>
      <c r="D153" s="217"/>
      <c r="E153" s="24" t="s">
        <v>16</v>
      </c>
      <c r="F153" s="23">
        <f>AVERAGE(F151:F152)</f>
        <v>0</v>
      </c>
      <c r="G153" s="23">
        <f t="shared" ref="G153:Q153" si="49">AVERAGE(G151:G152)</f>
        <v>0</v>
      </c>
      <c r="H153" s="23">
        <f t="shared" si="49"/>
        <v>0</v>
      </c>
      <c r="I153" s="23">
        <f t="shared" si="49"/>
        <v>0</v>
      </c>
      <c r="J153" s="23">
        <f t="shared" si="49"/>
        <v>0</v>
      </c>
      <c r="K153" s="23">
        <f t="shared" si="49"/>
        <v>0</v>
      </c>
      <c r="L153" s="23">
        <f t="shared" si="49"/>
        <v>0</v>
      </c>
      <c r="M153" s="23">
        <f t="shared" si="49"/>
        <v>0</v>
      </c>
      <c r="N153" s="23">
        <f t="shared" si="49"/>
        <v>0</v>
      </c>
      <c r="O153" s="23">
        <f>'11A (N S) Avr'!$I$53</f>
        <v>0</v>
      </c>
      <c r="P153" s="23">
        <f t="shared" si="49"/>
        <v>0</v>
      </c>
      <c r="Q153" s="23">
        <f t="shared" si="49"/>
        <v>0</v>
      </c>
      <c r="R153" s="78"/>
    </row>
    <row r="154" spans="1:18" ht="20.100000000000001" customHeight="1" thickBot="1" x14ac:dyDescent="0.35">
      <c r="A154" s="247">
        <v>51</v>
      </c>
      <c r="B154" s="218"/>
      <c r="C154" s="213"/>
      <c r="D154" s="217"/>
      <c r="E154" s="24" t="s">
        <v>21</v>
      </c>
      <c r="F154" s="23">
        <f>'11A (N S) Sem1 '!E54</f>
        <v>0</v>
      </c>
      <c r="G154" s="23">
        <f>'11A (N S) Sem1 '!F54</f>
        <v>0</v>
      </c>
      <c r="H154" s="23">
        <f>'11A (N S) Sem1 '!G54</f>
        <v>0</v>
      </c>
      <c r="I154" s="23">
        <f>'11A (N S) Sem1 '!H54</f>
        <v>0</v>
      </c>
      <c r="J154" s="23">
        <f>'11A (N S) Sem1 '!I54</f>
        <v>0</v>
      </c>
      <c r="K154" s="23">
        <f>'11A (N S) Sem1 '!J54</f>
        <v>0</v>
      </c>
      <c r="L154" s="23">
        <f>'11A (N S) Sem1 '!K54</f>
        <v>0</v>
      </c>
      <c r="M154" s="23">
        <f>'11A (N S) Sem1 '!L54</f>
        <v>0</v>
      </c>
      <c r="N154" s="22">
        <f>'11A (N S) Sem1 '!M54</f>
        <v>0</v>
      </c>
      <c r="O154" s="22">
        <f>'11A (N S) Sem1 '!N54</f>
        <v>0</v>
      </c>
      <c r="P154" s="23">
        <f>'11A (N S) Sem1 '!O54</f>
        <v>0</v>
      </c>
      <c r="Q154" s="29">
        <f>'11A (N S) Sem1 '!P54</f>
        <v>0</v>
      </c>
      <c r="R154" s="78"/>
    </row>
    <row r="155" spans="1:18" ht="20.100000000000001" customHeight="1" thickBot="1" x14ac:dyDescent="0.35">
      <c r="A155" s="247"/>
      <c r="B155" s="218"/>
      <c r="C155" s="213"/>
      <c r="D155" s="217"/>
      <c r="E155" s="24" t="s">
        <v>22</v>
      </c>
      <c r="F155" s="23">
        <f>'11A (N S) Sem2'!E54</f>
        <v>0</v>
      </c>
      <c r="G155" s="23">
        <f>'11A (N S) Sem2'!F54</f>
        <v>0</v>
      </c>
      <c r="H155" s="23">
        <f>'11A (N S) Sem2'!G54</f>
        <v>0</v>
      </c>
      <c r="I155" s="23">
        <f>'11A (N S) Sem2'!H54</f>
        <v>0</v>
      </c>
      <c r="J155" s="23">
        <f>'11A (N S) Sem2'!I54</f>
        <v>0</v>
      </c>
      <c r="K155" s="23">
        <f>'11A (N S) Sem2'!J54</f>
        <v>0</v>
      </c>
      <c r="L155" s="23">
        <f>'11A (N S) Sem2'!K54</f>
        <v>0</v>
      </c>
      <c r="M155" s="23">
        <f>'11A (N S) Sem2'!L54</f>
        <v>0</v>
      </c>
      <c r="N155" s="22">
        <f>'11A (N S) Sem2'!M54</f>
        <v>0</v>
      </c>
      <c r="O155" s="22">
        <f>'11A (N S) Sem2'!N54</f>
        <v>0</v>
      </c>
      <c r="P155" s="23">
        <f>'11A (N S) Sem2'!O54</f>
        <v>0</v>
      </c>
      <c r="Q155" s="29">
        <f>'11A (N S) Sem2'!P54</f>
        <v>0</v>
      </c>
      <c r="R155" s="78"/>
    </row>
    <row r="156" spans="1:18" ht="20.100000000000001" customHeight="1" thickBot="1" x14ac:dyDescent="0.35">
      <c r="A156" s="247"/>
      <c r="B156" s="218"/>
      <c r="C156" s="213"/>
      <c r="D156" s="217"/>
      <c r="E156" s="89" t="s">
        <v>16</v>
      </c>
      <c r="F156" s="90">
        <f>AVERAGE(F154:F155)</f>
        <v>0</v>
      </c>
      <c r="G156" s="90">
        <f t="shared" ref="G156:Q156" si="50">AVERAGE(G154:G155)</f>
        <v>0</v>
      </c>
      <c r="H156" s="90">
        <f t="shared" si="50"/>
        <v>0</v>
      </c>
      <c r="I156" s="90">
        <f t="shared" si="50"/>
        <v>0</v>
      </c>
      <c r="J156" s="90">
        <f t="shared" si="50"/>
        <v>0</v>
      </c>
      <c r="K156" s="90">
        <f t="shared" si="50"/>
        <v>0</v>
      </c>
      <c r="L156" s="90">
        <f t="shared" si="50"/>
        <v>0</v>
      </c>
      <c r="M156" s="90">
        <f t="shared" si="50"/>
        <v>0</v>
      </c>
      <c r="N156" s="90">
        <f t="shared" si="50"/>
        <v>0</v>
      </c>
      <c r="O156" s="90">
        <f>'11A (N S) Avr'!$I$54</f>
        <v>0</v>
      </c>
      <c r="P156" s="90">
        <f t="shared" si="50"/>
        <v>0</v>
      </c>
      <c r="Q156" s="90">
        <f t="shared" si="50"/>
        <v>0</v>
      </c>
      <c r="R156" s="78"/>
    </row>
    <row r="157" spans="1:18" ht="20.100000000000001" customHeight="1" thickBot="1" x14ac:dyDescent="0.3">
      <c r="A157" s="247">
        <v>52</v>
      </c>
      <c r="B157" s="253"/>
      <c r="C157" s="251"/>
      <c r="D157" s="252"/>
      <c r="E157" s="24" t="s">
        <v>21</v>
      </c>
      <c r="F157" s="29">
        <f>'11A (N S) Sem1 '!E55</f>
        <v>0</v>
      </c>
      <c r="G157" s="29">
        <f>'11A (N S) Sem1 '!F55</f>
        <v>0</v>
      </c>
      <c r="H157" s="29">
        <f>'11A (N S) Sem1 '!G55</f>
        <v>0</v>
      </c>
      <c r="I157" s="29">
        <f>'11A (N S) Sem1 '!H55</f>
        <v>0</v>
      </c>
      <c r="J157" s="29">
        <f>'11A (N S) Sem1 '!I55</f>
        <v>0</v>
      </c>
      <c r="K157" s="29">
        <f>'11A (N S) Sem1 '!J55</f>
        <v>0</v>
      </c>
      <c r="L157" s="29">
        <f>'11A (N S) Sem1 '!K55</f>
        <v>0</v>
      </c>
      <c r="M157" s="29">
        <f>'11A (N S) Sem1 '!L55</f>
        <v>0</v>
      </c>
      <c r="N157" s="29">
        <f>'11A (N S) Sem1 '!M55</f>
        <v>0</v>
      </c>
      <c r="O157" s="29">
        <f>'11A (N S) Sem1 '!N55</f>
        <v>0</v>
      </c>
      <c r="P157" s="29">
        <f>'11A (N S) Sem1 '!O55</f>
        <v>0</v>
      </c>
      <c r="Q157" s="29">
        <f>'11A (N S) Sem1 '!P55</f>
        <v>0</v>
      </c>
    </row>
    <row r="158" spans="1:18" ht="20.100000000000001" customHeight="1" thickBot="1" x14ac:dyDescent="0.3">
      <c r="A158" s="247"/>
      <c r="B158" s="253"/>
      <c r="C158" s="251"/>
      <c r="D158" s="252"/>
      <c r="E158" s="24" t="s">
        <v>22</v>
      </c>
      <c r="F158" s="29">
        <f>'11A (N S) Sem2'!E55</f>
        <v>0</v>
      </c>
      <c r="G158" s="29">
        <f>'11A (N S) Sem2'!F55</f>
        <v>0</v>
      </c>
      <c r="H158" s="29">
        <f>'11A (N S) Sem2'!G55</f>
        <v>0</v>
      </c>
      <c r="I158" s="29">
        <f>'11A (N S) Sem2'!H55</f>
        <v>0</v>
      </c>
      <c r="J158" s="29">
        <f>'11A (N S) Sem2'!I55</f>
        <v>0</v>
      </c>
      <c r="K158" s="29">
        <f>'11A (N S) Sem2'!J55</f>
        <v>0</v>
      </c>
      <c r="L158" s="29">
        <f>'11A (N S) Sem2'!K55</f>
        <v>0</v>
      </c>
      <c r="M158" s="29">
        <f>'11A (N S) Sem2'!L55</f>
        <v>0</v>
      </c>
      <c r="N158" s="29">
        <f>'11A (N S) Sem2'!M55</f>
        <v>0</v>
      </c>
      <c r="O158" s="29">
        <f>'11A (N S) Sem2'!N55</f>
        <v>0</v>
      </c>
      <c r="P158" s="29">
        <f>'11A (N S) Sem2'!O55</f>
        <v>0</v>
      </c>
      <c r="Q158" s="29">
        <f>'11A (N S) Sem2'!P55</f>
        <v>0</v>
      </c>
    </row>
    <row r="159" spans="1:18" ht="20.100000000000001" customHeight="1" thickBot="1" x14ac:dyDescent="0.3">
      <c r="A159" s="247"/>
      <c r="B159" s="253"/>
      <c r="C159" s="251"/>
      <c r="D159" s="252"/>
      <c r="E159" s="89" t="s">
        <v>16</v>
      </c>
      <c r="F159" s="29">
        <f>AVERAGE(F157:F158)</f>
        <v>0</v>
      </c>
      <c r="G159" s="29">
        <f t="shared" ref="G159:Q159" si="51">AVERAGE(G157:G158)</f>
        <v>0</v>
      </c>
      <c r="H159" s="29">
        <f t="shared" si="51"/>
        <v>0</v>
      </c>
      <c r="I159" s="29">
        <f t="shared" si="51"/>
        <v>0</v>
      </c>
      <c r="J159" s="29">
        <f t="shared" si="51"/>
        <v>0</v>
      </c>
      <c r="K159" s="29">
        <f t="shared" si="51"/>
        <v>0</v>
      </c>
      <c r="L159" s="29">
        <f t="shared" si="51"/>
        <v>0</v>
      </c>
      <c r="M159" s="29">
        <f t="shared" si="51"/>
        <v>0</v>
      </c>
      <c r="N159" s="29">
        <f t="shared" si="51"/>
        <v>0</v>
      </c>
      <c r="O159" s="29">
        <f>'11A (N S) Avr'!$I$55</f>
        <v>0</v>
      </c>
      <c r="P159" s="29">
        <f t="shared" si="51"/>
        <v>0</v>
      </c>
      <c r="Q159" s="29">
        <f t="shared" si="51"/>
        <v>0</v>
      </c>
    </row>
    <row r="160" spans="1:18" ht="20.100000000000001" customHeight="1" thickBot="1" x14ac:dyDescent="0.3">
      <c r="A160" s="247">
        <v>53</v>
      </c>
      <c r="B160" s="253"/>
      <c r="C160" s="251"/>
      <c r="D160" s="252"/>
      <c r="E160" s="24" t="s">
        <v>21</v>
      </c>
      <c r="F160" s="29">
        <f>'11A (N S) Sem1 '!E56</f>
        <v>0</v>
      </c>
      <c r="G160" s="29">
        <f>'11A (N S) Sem1 '!F56</f>
        <v>0</v>
      </c>
      <c r="H160" s="29">
        <f>'11A (N S) Sem1 '!G56</f>
        <v>0</v>
      </c>
      <c r="I160" s="29">
        <f>'11A (N S) Sem1 '!H56</f>
        <v>0</v>
      </c>
      <c r="J160" s="29">
        <f>'11A (N S) Sem1 '!I56</f>
        <v>0</v>
      </c>
      <c r="K160" s="29">
        <f>'11A (N S) Sem1 '!J56</f>
        <v>0</v>
      </c>
      <c r="L160" s="29">
        <f>'11A (N S) Sem1 '!K56</f>
        <v>0</v>
      </c>
      <c r="M160" s="29">
        <f>'11A (N S) Sem1 '!L56</f>
        <v>0</v>
      </c>
      <c r="N160" s="29">
        <f>'11A (N S) Sem1 '!M56</f>
        <v>0</v>
      </c>
      <c r="O160" s="29">
        <f>'11A (N S) Sem1 '!N56</f>
        <v>0</v>
      </c>
      <c r="P160" s="29">
        <f>'11A (N S) Sem1 '!O56</f>
        <v>0</v>
      </c>
      <c r="Q160" s="29">
        <f>'11A (N S) Sem1 '!P56</f>
        <v>0</v>
      </c>
    </row>
    <row r="161" spans="1:17" ht="20.100000000000001" customHeight="1" thickBot="1" x14ac:dyDescent="0.3">
      <c r="A161" s="247"/>
      <c r="B161" s="253"/>
      <c r="C161" s="251"/>
      <c r="D161" s="252"/>
      <c r="E161" s="24" t="s">
        <v>22</v>
      </c>
      <c r="F161" s="29">
        <f>'11A (N S) Sem2'!E56</f>
        <v>0</v>
      </c>
      <c r="G161" s="29">
        <f>'11A (N S) Sem2'!F56</f>
        <v>0</v>
      </c>
      <c r="H161" s="29">
        <f>'11A (N S) Sem2'!G56</f>
        <v>0</v>
      </c>
      <c r="I161" s="29">
        <f>'11A (N S) Sem2'!H56</f>
        <v>0</v>
      </c>
      <c r="J161" s="29">
        <f>'11A (N S) Sem2'!I56</f>
        <v>0</v>
      </c>
      <c r="K161" s="29">
        <f>'11A (N S) Sem2'!J56</f>
        <v>0</v>
      </c>
      <c r="L161" s="29">
        <f>'11A (N S) Sem2'!K56</f>
        <v>0</v>
      </c>
      <c r="M161" s="29">
        <f>'11A (N S) Sem2'!L56</f>
        <v>0</v>
      </c>
      <c r="N161" s="29">
        <f>'11A (N S) Sem2'!M56</f>
        <v>0</v>
      </c>
      <c r="O161" s="29">
        <f>'11A (N S) Sem2'!N56</f>
        <v>0</v>
      </c>
      <c r="P161" s="29">
        <f>'11A (N S) Sem2'!O56</f>
        <v>0</v>
      </c>
      <c r="Q161" s="29">
        <f>'11A (N S) Sem2'!P56</f>
        <v>0</v>
      </c>
    </row>
    <row r="162" spans="1:17" ht="20.100000000000001" customHeight="1" thickBot="1" x14ac:dyDescent="0.3">
      <c r="A162" s="247"/>
      <c r="B162" s="253"/>
      <c r="C162" s="251"/>
      <c r="D162" s="252"/>
      <c r="E162" s="89" t="s">
        <v>16</v>
      </c>
      <c r="F162" s="29">
        <f>AVERAGE(F160:F161)</f>
        <v>0</v>
      </c>
      <c r="G162" s="29">
        <f t="shared" ref="G162:Q162" si="52">AVERAGE(G160:G161)</f>
        <v>0</v>
      </c>
      <c r="H162" s="29">
        <f t="shared" si="52"/>
        <v>0</v>
      </c>
      <c r="I162" s="29">
        <f t="shared" si="52"/>
        <v>0</v>
      </c>
      <c r="J162" s="29">
        <f t="shared" si="52"/>
        <v>0</v>
      </c>
      <c r="K162" s="29">
        <f t="shared" si="52"/>
        <v>0</v>
      </c>
      <c r="L162" s="29">
        <f t="shared" si="52"/>
        <v>0</v>
      </c>
      <c r="M162" s="29">
        <f t="shared" si="52"/>
        <v>0</v>
      </c>
      <c r="N162" s="29">
        <f t="shared" si="52"/>
        <v>0</v>
      </c>
      <c r="O162" s="29">
        <f>'11A (N S) Avr'!$I$56</f>
        <v>0</v>
      </c>
      <c r="P162" s="29">
        <f t="shared" si="52"/>
        <v>0</v>
      </c>
      <c r="Q162" s="29">
        <f t="shared" si="52"/>
        <v>0</v>
      </c>
    </row>
    <row r="163" spans="1:17" ht="20.100000000000001" customHeight="1" thickBot="1" x14ac:dyDescent="0.3">
      <c r="A163" s="247">
        <v>54</v>
      </c>
      <c r="B163" s="253"/>
      <c r="C163" s="251"/>
      <c r="D163" s="252"/>
      <c r="E163" s="24" t="s">
        <v>21</v>
      </c>
      <c r="F163" s="29">
        <f>'11A (N S) Sem1 '!E57</f>
        <v>0</v>
      </c>
      <c r="G163" s="29">
        <f>'11A (N S) Sem1 '!F57</f>
        <v>0</v>
      </c>
      <c r="H163" s="29">
        <f>'11A (N S) Sem1 '!G57</f>
        <v>0</v>
      </c>
      <c r="I163" s="29">
        <f>'11A (N S) Sem1 '!H57</f>
        <v>0</v>
      </c>
      <c r="J163" s="29">
        <f>'11A (N S) Sem1 '!I57</f>
        <v>0</v>
      </c>
      <c r="K163" s="29">
        <f>'11A (N S) Sem1 '!J57</f>
        <v>0</v>
      </c>
      <c r="L163" s="29">
        <f>'11A (N S) Sem1 '!K57</f>
        <v>0</v>
      </c>
      <c r="M163" s="29">
        <f>'11A (N S) Sem1 '!L57</f>
        <v>0</v>
      </c>
      <c r="N163" s="29">
        <f>'11A (N S) Sem1 '!M57</f>
        <v>0</v>
      </c>
      <c r="O163" s="29">
        <f>'11A (N S) Sem1 '!N57</f>
        <v>0</v>
      </c>
      <c r="P163" s="29">
        <f>'11A (N S) Sem1 '!O57</f>
        <v>0</v>
      </c>
      <c r="Q163" s="29">
        <f>'11A (N S) Sem1 '!P57</f>
        <v>0</v>
      </c>
    </row>
    <row r="164" spans="1:17" ht="20.100000000000001" customHeight="1" thickBot="1" x14ac:dyDescent="0.3">
      <c r="A164" s="247"/>
      <c r="B164" s="253"/>
      <c r="C164" s="251"/>
      <c r="D164" s="252"/>
      <c r="E164" s="24" t="s">
        <v>22</v>
      </c>
      <c r="F164" s="29">
        <f>'11A (N S) Sem2'!E57</f>
        <v>0</v>
      </c>
      <c r="G164" s="29">
        <f>'11A (N S) Sem2'!F57</f>
        <v>0</v>
      </c>
      <c r="H164" s="29">
        <f>'11A (N S) Sem2'!G57</f>
        <v>0</v>
      </c>
      <c r="I164" s="29">
        <f>'11A (N S) Sem2'!H57</f>
        <v>0</v>
      </c>
      <c r="J164" s="29">
        <f>'11A (N S) Sem2'!I57</f>
        <v>0</v>
      </c>
      <c r="K164" s="29">
        <f>'11A (N S) Sem2'!J57</f>
        <v>0</v>
      </c>
      <c r="L164" s="29">
        <f>'11A (N S) Sem2'!K57</f>
        <v>0</v>
      </c>
      <c r="M164" s="29">
        <f>'11A (N S) Sem2'!L57</f>
        <v>0</v>
      </c>
      <c r="N164" s="29">
        <f>'11A (N S) Sem2'!M57</f>
        <v>0</v>
      </c>
      <c r="O164" s="29">
        <f>'11A (N S) Sem2'!N57</f>
        <v>0</v>
      </c>
      <c r="P164" s="29">
        <f>'11A (N S) Sem2'!O57</f>
        <v>0</v>
      </c>
      <c r="Q164" s="29">
        <f>'11A (N S) Sem2'!P57</f>
        <v>0</v>
      </c>
    </row>
    <row r="165" spans="1:17" ht="20.100000000000001" customHeight="1" thickBot="1" x14ac:dyDescent="0.3">
      <c r="A165" s="247"/>
      <c r="B165" s="253"/>
      <c r="C165" s="251"/>
      <c r="D165" s="252"/>
      <c r="E165" s="89" t="s">
        <v>16</v>
      </c>
      <c r="F165" s="29">
        <f>AVERAGE(F163:F164)</f>
        <v>0</v>
      </c>
      <c r="G165" s="29">
        <f t="shared" ref="G165:Q165" si="53">AVERAGE(G163:G164)</f>
        <v>0</v>
      </c>
      <c r="H165" s="29">
        <f t="shared" si="53"/>
        <v>0</v>
      </c>
      <c r="I165" s="29">
        <f t="shared" si="53"/>
        <v>0</v>
      </c>
      <c r="J165" s="29">
        <f t="shared" si="53"/>
        <v>0</v>
      </c>
      <c r="K165" s="29">
        <f t="shared" si="53"/>
        <v>0</v>
      </c>
      <c r="L165" s="29">
        <f t="shared" si="53"/>
        <v>0</v>
      </c>
      <c r="M165" s="29">
        <f t="shared" si="53"/>
        <v>0</v>
      </c>
      <c r="N165" s="29">
        <f t="shared" si="53"/>
        <v>0</v>
      </c>
      <c r="O165" s="29">
        <f>'11A (N S) Avr'!$I$57</f>
        <v>0</v>
      </c>
      <c r="P165" s="29">
        <f t="shared" si="53"/>
        <v>0</v>
      </c>
      <c r="Q165" s="29">
        <f t="shared" si="53"/>
        <v>0</v>
      </c>
    </row>
    <row r="166" spans="1:17" ht="20.100000000000001" customHeight="1" thickBot="1" x14ac:dyDescent="0.3">
      <c r="A166" s="247">
        <v>55</v>
      </c>
      <c r="B166" s="253"/>
      <c r="C166" s="251"/>
      <c r="D166" s="252"/>
      <c r="E166" s="24" t="s">
        <v>21</v>
      </c>
      <c r="F166" s="29">
        <f>'11A (N S) Sem1 '!E58</f>
        <v>0</v>
      </c>
      <c r="G166" s="29">
        <f>'11A (N S) Sem1 '!F58</f>
        <v>0</v>
      </c>
      <c r="H166" s="29">
        <f>'11A (N S) Sem1 '!G58</f>
        <v>0</v>
      </c>
      <c r="I166" s="29">
        <f>'11A (N S) Sem1 '!H58</f>
        <v>0</v>
      </c>
      <c r="J166" s="29">
        <f>'11A (N S) Sem1 '!I58</f>
        <v>0</v>
      </c>
      <c r="K166" s="29">
        <f>'11A (N S) Sem1 '!J58</f>
        <v>0</v>
      </c>
      <c r="L166" s="29">
        <f>'11A (N S) Sem1 '!K58</f>
        <v>0</v>
      </c>
      <c r="M166" s="29">
        <f>'11A (N S) Sem1 '!L58</f>
        <v>0</v>
      </c>
      <c r="N166" s="29">
        <f>'11A (N S) Sem1 '!M58</f>
        <v>0</v>
      </c>
      <c r="O166" s="29">
        <f>'11A (N S) Sem1 '!N58</f>
        <v>0</v>
      </c>
      <c r="P166" s="29">
        <f>'11A (N S) Sem1 '!O58</f>
        <v>0</v>
      </c>
      <c r="Q166" s="29">
        <f>'11A (N S) Sem1 '!P58</f>
        <v>0</v>
      </c>
    </row>
    <row r="167" spans="1:17" ht="20.100000000000001" customHeight="1" thickBot="1" x14ac:dyDescent="0.3">
      <c r="A167" s="247"/>
      <c r="B167" s="253"/>
      <c r="C167" s="251"/>
      <c r="D167" s="252"/>
      <c r="E167" s="24" t="s">
        <v>22</v>
      </c>
      <c r="F167" s="29">
        <f>'11A (N S) Sem2'!E58</f>
        <v>0</v>
      </c>
      <c r="G167" s="29">
        <f>'11A (N S) Sem2'!F58</f>
        <v>0</v>
      </c>
      <c r="H167" s="29">
        <f>'11A (N S) Sem2'!G58</f>
        <v>0</v>
      </c>
      <c r="I167" s="29">
        <f>'11A (N S) Sem2'!H58</f>
        <v>0</v>
      </c>
      <c r="J167" s="29">
        <f>'11A (N S) Sem2'!I58</f>
        <v>0</v>
      </c>
      <c r="K167" s="29">
        <f>'11A (N S) Sem2'!J58</f>
        <v>0</v>
      </c>
      <c r="L167" s="29">
        <f>'11A (N S) Sem2'!K58</f>
        <v>0</v>
      </c>
      <c r="M167" s="29">
        <f>'11A (N S) Sem2'!L58</f>
        <v>0</v>
      </c>
      <c r="N167" s="29">
        <f>'11A (N S) Sem2'!M58</f>
        <v>0</v>
      </c>
      <c r="O167" s="29">
        <f>'11A (N S) Sem2'!N58</f>
        <v>0</v>
      </c>
      <c r="P167" s="29">
        <f>'11A (N S) Sem2'!O58</f>
        <v>0</v>
      </c>
      <c r="Q167" s="29">
        <f>'11A (N S) Sem2'!P58</f>
        <v>0</v>
      </c>
    </row>
    <row r="168" spans="1:17" ht="20.100000000000001" customHeight="1" thickBot="1" x14ac:dyDescent="0.3">
      <c r="A168" s="247"/>
      <c r="B168" s="253"/>
      <c r="C168" s="251"/>
      <c r="D168" s="252"/>
      <c r="E168" s="24" t="s">
        <v>16</v>
      </c>
      <c r="F168" s="29">
        <f>AVERAGE(F166:F167)</f>
        <v>0</v>
      </c>
      <c r="G168" s="29">
        <f t="shared" ref="G168:Q168" si="54">AVERAGE(G166:G167)</f>
        <v>0</v>
      </c>
      <c r="H168" s="29">
        <f t="shared" si="54"/>
        <v>0</v>
      </c>
      <c r="I168" s="29">
        <f t="shared" si="54"/>
        <v>0</v>
      </c>
      <c r="J168" s="29">
        <f t="shared" si="54"/>
        <v>0</v>
      </c>
      <c r="K168" s="29">
        <f t="shared" si="54"/>
        <v>0</v>
      </c>
      <c r="L168" s="29">
        <f t="shared" si="54"/>
        <v>0</v>
      </c>
      <c r="M168" s="29">
        <f t="shared" si="54"/>
        <v>0</v>
      </c>
      <c r="N168" s="29">
        <f t="shared" si="54"/>
        <v>0</v>
      </c>
      <c r="O168" s="29">
        <f>'11A (N S) Avr'!$I$58</f>
        <v>0</v>
      </c>
      <c r="P168" s="29">
        <f t="shared" si="54"/>
        <v>0</v>
      </c>
      <c r="Q168" s="29">
        <f t="shared" si="54"/>
        <v>0</v>
      </c>
    </row>
  </sheetData>
  <mergeCells count="222">
    <mergeCell ref="A145:A147"/>
    <mergeCell ref="A148:A150"/>
    <mergeCell ref="A151:A153"/>
    <mergeCell ref="A154:A156"/>
    <mergeCell ref="A91:A93"/>
    <mergeCell ref="A94:A96"/>
    <mergeCell ref="A97:A99"/>
    <mergeCell ref="A100:A102"/>
    <mergeCell ref="A103:A105"/>
    <mergeCell ref="A106:A108"/>
    <mergeCell ref="A109:A111"/>
    <mergeCell ref="A112:A114"/>
    <mergeCell ref="A115:A117"/>
    <mergeCell ref="A118:A120"/>
    <mergeCell ref="A121:A123"/>
    <mergeCell ref="A124:A126"/>
    <mergeCell ref="A127:A129"/>
    <mergeCell ref="A130:A132"/>
    <mergeCell ref="A133:A135"/>
    <mergeCell ref="A136:A138"/>
    <mergeCell ref="A139:A141"/>
    <mergeCell ref="A142:A144"/>
    <mergeCell ref="B154:B156"/>
    <mergeCell ref="C154:C156"/>
    <mergeCell ref="D154:D156"/>
    <mergeCell ref="B145:B147"/>
    <mergeCell ref="C145:C147"/>
    <mergeCell ref="D145:D147"/>
    <mergeCell ref="B148:B150"/>
    <mergeCell ref="C148:C150"/>
    <mergeCell ref="D148:D150"/>
    <mergeCell ref="B151:B153"/>
    <mergeCell ref="C151:C153"/>
    <mergeCell ref="D151:D153"/>
    <mergeCell ref="B136:B138"/>
    <mergeCell ref="C136:C138"/>
    <mergeCell ref="D136:D138"/>
    <mergeCell ref="B139:B141"/>
    <mergeCell ref="C139:C141"/>
    <mergeCell ref="D139:D141"/>
    <mergeCell ref="B142:B144"/>
    <mergeCell ref="C142:C144"/>
    <mergeCell ref="D142:D144"/>
    <mergeCell ref="B127:B129"/>
    <mergeCell ref="C127:C129"/>
    <mergeCell ref="D127:D129"/>
    <mergeCell ref="B130:B132"/>
    <mergeCell ref="C130:C132"/>
    <mergeCell ref="D130:D132"/>
    <mergeCell ref="B133:B135"/>
    <mergeCell ref="C133:C135"/>
    <mergeCell ref="D133:D135"/>
    <mergeCell ref="B118:B120"/>
    <mergeCell ref="C118:C120"/>
    <mergeCell ref="D118:D120"/>
    <mergeCell ref="B121:B123"/>
    <mergeCell ref="C121:C123"/>
    <mergeCell ref="D121:D123"/>
    <mergeCell ref="B124:B126"/>
    <mergeCell ref="C124:C126"/>
    <mergeCell ref="D124:D126"/>
    <mergeCell ref="B109:B111"/>
    <mergeCell ref="C109:C111"/>
    <mergeCell ref="D109:D111"/>
    <mergeCell ref="B112:B114"/>
    <mergeCell ref="C112:C114"/>
    <mergeCell ref="D112:D114"/>
    <mergeCell ref="B115:B117"/>
    <mergeCell ref="C115:C117"/>
    <mergeCell ref="D115:D117"/>
    <mergeCell ref="B100:B102"/>
    <mergeCell ref="C100:C102"/>
    <mergeCell ref="D100:D102"/>
    <mergeCell ref="B103:B105"/>
    <mergeCell ref="C103:C105"/>
    <mergeCell ref="D103:D105"/>
    <mergeCell ref="B106:B108"/>
    <mergeCell ref="C106:C108"/>
    <mergeCell ref="D106:D108"/>
    <mergeCell ref="B91:B93"/>
    <mergeCell ref="C91:C93"/>
    <mergeCell ref="D91:D93"/>
    <mergeCell ref="B94:B96"/>
    <mergeCell ref="C94:C96"/>
    <mergeCell ref="D94:D96"/>
    <mergeCell ref="B97:B99"/>
    <mergeCell ref="C97:C99"/>
    <mergeCell ref="D97:D99"/>
    <mergeCell ref="A85:A87"/>
    <mergeCell ref="B85:B87"/>
    <mergeCell ref="C85:C87"/>
    <mergeCell ref="D85:D87"/>
    <mergeCell ref="A88:A90"/>
    <mergeCell ref="B88:B90"/>
    <mergeCell ref="C88:C90"/>
    <mergeCell ref="D88:D90"/>
    <mergeCell ref="A79:A81"/>
    <mergeCell ref="B79:B81"/>
    <mergeCell ref="C79:C81"/>
    <mergeCell ref="D79:D81"/>
    <mergeCell ref="A82:A84"/>
    <mergeCell ref="B82:B84"/>
    <mergeCell ref="C82:C84"/>
    <mergeCell ref="D82:D84"/>
    <mergeCell ref="A73:A75"/>
    <mergeCell ref="B73:B75"/>
    <mergeCell ref="C73:C75"/>
    <mergeCell ref="D73:D75"/>
    <mergeCell ref="A76:A78"/>
    <mergeCell ref="B76:B78"/>
    <mergeCell ref="C76:C78"/>
    <mergeCell ref="D76:D78"/>
    <mergeCell ref="A67:A69"/>
    <mergeCell ref="B67:B69"/>
    <mergeCell ref="C67:C69"/>
    <mergeCell ref="D67:D69"/>
    <mergeCell ref="A70:A72"/>
    <mergeCell ref="B70:B72"/>
    <mergeCell ref="C70:C72"/>
    <mergeCell ref="D70:D72"/>
    <mergeCell ref="A61:A63"/>
    <mergeCell ref="B61:B63"/>
    <mergeCell ref="C61:C63"/>
    <mergeCell ref="D61:D63"/>
    <mergeCell ref="A64:A66"/>
    <mergeCell ref="B64:B66"/>
    <mergeCell ref="C64:C66"/>
    <mergeCell ref="D64:D66"/>
    <mergeCell ref="A55:A57"/>
    <mergeCell ref="B55:B57"/>
    <mergeCell ref="C55:C57"/>
    <mergeCell ref="D55:D57"/>
    <mergeCell ref="A58:A60"/>
    <mergeCell ref="B58:B60"/>
    <mergeCell ref="C58:C60"/>
    <mergeCell ref="D58:D60"/>
    <mergeCell ref="A49:A51"/>
    <mergeCell ref="B49:B51"/>
    <mergeCell ref="C49:C51"/>
    <mergeCell ref="D49:D51"/>
    <mergeCell ref="A52:A54"/>
    <mergeCell ref="B52:B54"/>
    <mergeCell ref="C52:C54"/>
    <mergeCell ref="D52:D54"/>
    <mergeCell ref="A43:A45"/>
    <mergeCell ref="B43:B45"/>
    <mergeCell ref="C43:C45"/>
    <mergeCell ref="D43:D45"/>
    <mergeCell ref="A46:A48"/>
    <mergeCell ref="B46:B48"/>
    <mergeCell ref="C46:C48"/>
    <mergeCell ref="D46:D48"/>
    <mergeCell ref="A37:A39"/>
    <mergeCell ref="B37:B39"/>
    <mergeCell ref="C37:C39"/>
    <mergeCell ref="D37:D39"/>
    <mergeCell ref="A40:A42"/>
    <mergeCell ref="B40:B42"/>
    <mergeCell ref="C40:C42"/>
    <mergeCell ref="D40:D42"/>
    <mergeCell ref="A31:A33"/>
    <mergeCell ref="B31:B33"/>
    <mergeCell ref="C31:C33"/>
    <mergeCell ref="D31:D33"/>
    <mergeCell ref="A34:A36"/>
    <mergeCell ref="B34:B36"/>
    <mergeCell ref="C34:C36"/>
    <mergeCell ref="D34:D36"/>
    <mergeCell ref="A25:A27"/>
    <mergeCell ref="B25:B27"/>
    <mergeCell ref="C25:C27"/>
    <mergeCell ref="D25:D27"/>
    <mergeCell ref="A28:A30"/>
    <mergeCell ref="B28:B30"/>
    <mergeCell ref="C28:C30"/>
    <mergeCell ref="D28:D30"/>
    <mergeCell ref="A19:A21"/>
    <mergeCell ref="B19:B21"/>
    <mergeCell ref="C19:C21"/>
    <mergeCell ref="D19:D21"/>
    <mergeCell ref="A22:A24"/>
    <mergeCell ref="B22:B24"/>
    <mergeCell ref="C22:C24"/>
    <mergeCell ref="D22:D24"/>
    <mergeCell ref="A16:A18"/>
    <mergeCell ref="B16:B18"/>
    <mergeCell ref="C16:C18"/>
    <mergeCell ref="D16:D18"/>
    <mergeCell ref="A7:A9"/>
    <mergeCell ref="B7:B9"/>
    <mergeCell ref="C7:C9"/>
    <mergeCell ref="D7:D9"/>
    <mergeCell ref="A10:A12"/>
    <mergeCell ref="B10:B12"/>
    <mergeCell ref="C10:C12"/>
    <mergeCell ref="D10:D12"/>
    <mergeCell ref="A1:Q1"/>
    <mergeCell ref="A2:Q2"/>
    <mergeCell ref="A4:A6"/>
    <mergeCell ref="B4:B6"/>
    <mergeCell ref="C4:C6"/>
    <mergeCell ref="D4:D6"/>
    <mergeCell ref="A13:A15"/>
    <mergeCell ref="B13:B15"/>
    <mergeCell ref="C13:C15"/>
    <mergeCell ref="D13:D15"/>
    <mergeCell ref="A166:A168"/>
    <mergeCell ref="B166:B168"/>
    <mergeCell ref="C166:C168"/>
    <mergeCell ref="D166:D168"/>
    <mergeCell ref="A157:A159"/>
    <mergeCell ref="B157:B159"/>
    <mergeCell ref="C157:C159"/>
    <mergeCell ref="D157:D159"/>
    <mergeCell ref="A160:A162"/>
    <mergeCell ref="B160:B162"/>
    <mergeCell ref="C160:C162"/>
    <mergeCell ref="D160:D162"/>
    <mergeCell ref="A163:A165"/>
    <mergeCell ref="B163:B165"/>
    <mergeCell ref="C163:C165"/>
    <mergeCell ref="D163:D165"/>
  </mergeCells>
  <pageMargins left="0.7" right="0.7" top="0.75" bottom="0.75" header="0.3" footer="0.3"/>
  <pageSetup paperSize="9" scale="84" fitToHeight="0" orientation="landscape" r:id="rId1"/>
  <ignoredErrors>
    <ignoredError sqref="O6:O41 O43:O168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99"/>
  <sheetViews>
    <sheetView zoomScaleNormal="100" workbookViewId="0">
      <selection activeCell="B4" sqref="B4:B52"/>
    </sheetView>
  </sheetViews>
  <sheetFormatPr defaultRowHeight="15" x14ac:dyDescent="0.25"/>
  <cols>
    <col min="1" max="1" width="4.85546875" customWidth="1"/>
    <col min="2" max="2" width="37.140625" customWidth="1"/>
    <col min="3" max="3" width="6.140625" customWidth="1"/>
    <col min="4" max="4" width="4.85546875" customWidth="1"/>
    <col min="5" max="16" width="7.7109375" customWidth="1"/>
    <col min="17" max="17" width="38.28515625" customWidth="1"/>
    <col min="18" max="19" width="4.85546875" customWidth="1"/>
  </cols>
  <sheetData>
    <row r="1" spans="1:19" ht="20.25" customHeight="1" thickBot="1" x14ac:dyDescent="0.3">
      <c r="A1" s="254" t="s">
        <v>60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6"/>
      <c r="Q1" s="37"/>
    </row>
    <row r="2" spans="1:19" ht="15.75" customHeight="1" thickBot="1" x14ac:dyDescent="0.3">
      <c r="A2" s="257" t="s">
        <v>44</v>
      </c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8"/>
      <c r="Q2" s="37"/>
    </row>
    <row r="3" spans="1:19" ht="60" customHeight="1" x14ac:dyDescent="0.25">
      <c r="A3" s="40" t="s">
        <v>28</v>
      </c>
      <c r="B3" s="128" t="s">
        <v>1</v>
      </c>
      <c r="C3" s="128" t="s">
        <v>2</v>
      </c>
      <c r="D3" s="128" t="s">
        <v>3</v>
      </c>
      <c r="E3" s="121" t="s">
        <v>5</v>
      </c>
      <c r="F3" s="121" t="s">
        <v>6</v>
      </c>
      <c r="G3" s="121" t="s">
        <v>7</v>
      </c>
      <c r="H3" s="121" t="s">
        <v>8</v>
      </c>
      <c r="I3" s="121" t="s">
        <v>9</v>
      </c>
      <c r="J3" s="121" t="s">
        <v>67</v>
      </c>
      <c r="K3" s="121" t="s">
        <v>68</v>
      </c>
      <c r="L3" s="121" t="s">
        <v>15</v>
      </c>
      <c r="M3" s="121" t="s">
        <v>16</v>
      </c>
      <c r="N3" s="121" t="s">
        <v>17</v>
      </c>
      <c r="O3" s="121" t="s">
        <v>18</v>
      </c>
      <c r="P3" s="77" t="s">
        <v>19</v>
      </c>
    </row>
    <row r="4" spans="1:19" ht="20.100000000000001" customHeight="1" x14ac:dyDescent="0.25">
      <c r="A4" s="155">
        <v>1</v>
      </c>
      <c r="B4" s="141"/>
      <c r="C4" s="145">
        <v>16</v>
      </c>
      <c r="D4" s="145" t="s">
        <v>20</v>
      </c>
      <c r="E4" s="107">
        <v>91</v>
      </c>
      <c r="F4" s="38">
        <v>95</v>
      </c>
      <c r="G4" s="38">
        <v>97</v>
      </c>
      <c r="H4" s="38">
        <v>100</v>
      </c>
      <c r="I4" s="38">
        <v>99</v>
      </c>
      <c r="J4" s="38">
        <v>100</v>
      </c>
      <c r="K4" s="38">
        <v>92</v>
      </c>
      <c r="L4" s="38">
        <f>SUM(E4:K4)</f>
        <v>674</v>
      </c>
      <c r="M4" s="70">
        <f>AVERAGE(E4:K4)</f>
        <v>96.285714285714292</v>
      </c>
      <c r="N4" s="70">
        <f>RANK(M4,$M$4:$M$52)</f>
        <v>1</v>
      </c>
      <c r="O4" s="38"/>
      <c r="P4" s="185"/>
    </row>
    <row r="5" spans="1:19" ht="20.100000000000001" customHeight="1" x14ac:dyDescent="0.25">
      <c r="A5" s="155">
        <v>2</v>
      </c>
      <c r="B5" s="141"/>
      <c r="C5" s="145">
        <v>18</v>
      </c>
      <c r="D5" s="145" t="s">
        <v>20</v>
      </c>
      <c r="E5" s="107">
        <v>82</v>
      </c>
      <c r="F5" s="38">
        <v>95</v>
      </c>
      <c r="G5" s="38">
        <v>82</v>
      </c>
      <c r="H5" s="38">
        <v>89</v>
      </c>
      <c r="I5" s="38">
        <v>79</v>
      </c>
      <c r="J5" s="38">
        <v>85</v>
      </c>
      <c r="K5" s="38">
        <v>75</v>
      </c>
      <c r="L5" s="38">
        <f t="shared" ref="L5:L52" si="0">SUM(E5:K5)</f>
        <v>587</v>
      </c>
      <c r="M5" s="70">
        <f t="shared" ref="M5:M52" si="1">AVERAGE(E5:K5)</f>
        <v>83.857142857142861</v>
      </c>
      <c r="N5" s="70">
        <f t="shared" ref="N5:N52" si="2">RANK(M5,$M$4:$M$52)</f>
        <v>18</v>
      </c>
      <c r="O5" s="38"/>
      <c r="P5" s="185"/>
    </row>
    <row r="6" spans="1:19" ht="20.100000000000001" customHeight="1" x14ac:dyDescent="0.25">
      <c r="A6" s="155">
        <v>3</v>
      </c>
      <c r="B6" s="141"/>
      <c r="C6" s="145">
        <v>16</v>
      </c>
      <c r="D6" s="145" t="s">
        <v>20</v>
      </c>
      <c r="E6" s="107">
        <v>75</v>
      </c>
      <c r="F6" s="38">
        <v>55</v>
      </c>
      <c r="G6" s="38">
        <v>60</v>
      </c>
      <c r="H6" s="38">
        <v>68</v>
      </c>
      <c r="I6" s="38">
        <v>77</v>
      </c>
      <c r="J6" s="38">
        <v>90</v>
      </c>
      <c r="K6" s="38">
        <v>71</v>
      </c>
      <c r="L6" s="38">
        <f t="shared" si="0"/>
        <v>496</v>
      </c>
      <c r="M6" s="70">
        <f t="shared" si="1"/>
        <v>70.857142857142861</v>
      </c>
      <c r="N6" s="70">
        <f t="shared" si="2"/>
        <v>39</v>
      </c>
      <c r="O6" s="38"/>
      <c r="P6" s="185"/>
    </row>
    <row r="7" spans="1:19" ht="20.100000000000001" customHeight="1" x14ac:dyDescent="0.25">
      <c r="A7" s="155">
        <v>4</v>
      </c>
      <c r="B7" s="141"/>
      <c r="C7" s="145">
        <v>17</v>
      </c>
      <c r="D7" s="145" t="s">
        <v>23</v>
      </c>
      <c r="E7" s="107">
        <v>48</v>
      </c>
      <c r="F7" s="38">
        <v>46</v>
      </c>
      <c r="G7" s="38">
        <v>56</v>
      </c>
      <c r="H7" s="38">
        <v>66</v>
      </c>
      <c r="I7" s="38">
        <v>73</v>
      </c>
      <c r="J7" s="38">
        <v>80</v>
      </c>
      <c r="K7" s="38">
        <v>69</v>
      </c>
      <c r="L7" s="38">
        <f t="shared" si="0"/>
        <v>438</v>
      </c>
      <c r="M7" s="70">
        <f t="shared" si="1"/>
        <v>62.571428571428569</v>
      </c>
      <c r="N7" s="70">
        <f t="shared" si="2"/>
        <v>48</v>
      </c>
      <c r="O7" s="38"/>
      <c r="P7" s="185"/>
    </row>
    <row r="8" spans="1:19" ht="20.100000000000001" customHeight="1" x14ac:dyDescent="0.25">
      <c r="A8" s="155">
        <v>5</v>
      </c>
      <c r="B8" s="141"/>
      <c r="C8" s="145">
        <v>16</v>
      </c>
      <c r="D8" s="145" t="s">
        <v>23</v>
      </c>
      <c r="E8" s="107">
        <v>81</v>
      </c>
      <c r="F8" s="38">
        <v>94</v>
      </c>
      <c r="G8" s="38">
        <v>87</v>
      </c>
      <c r="H8" s="38">
        <v>98</v>
      </c>
      <c r="I8" s="38">
        <v>97</v>
      </c>
      <c r="J8" s="38">
        <v>99</v>
      </c>
      <c r="K8" s="38">
        <v>93</v>
      </c>
      <c r="L8" s="38">
        <f t="shared" si="0"/>
        <v>649</v>
      </c>
      <c r="M8" s="70">
        <f t="shared" si="1"/>
        <v>92.714285714285708</v>
      </c>
      <c r="N8" s="70">
        <f t="shared" si="2"/>
        <v>8</v>
      </c>
      <c r="O8" s="38"/>
      <c r="P8" s="185"/>
      <c r="Q8" s="8"/>
      <c r="R8" s="8"/>
      <c r="S8" s="8"/>
    </row>
    <row r="9" spans="1:19" ht="20.100000000000001" customHeight="1" x14ac:dyDescent="0.25">
      <c r="A9" s="155">
        <v>6</v>
      </c>
      <c r="B9" s="141"/>
      <c r="C9" s="145">
        <v>15</v>
      </c>
      <c r="D9" s="145" t="s">
        <v>23</v>
      </c>
      <c r="E9" s="107">
        <v>64</v>
      </c>
      <c r="F9" s="38">
        <v>67</v>
      </c>
      <c r="G9" s="38">
        <v>67</v>
      </c>
      <c r="H9" s="38">
        <v>64</v>
      </c>
      <c r="I9" s="38">
        <v>69</v>
      </c>
      <c r="J9" s="38">
        <v>91</v>
      </c>
      <c r="K9" s="38">
        <v>72</v>
      </c>
      <c r="L9" s="38">
        <f t="shared" si="0"/>
        <v>494</v>
      </c>
      <c r="M9" s="70">
        <f t="shared" si="1"/>
        <v>70.571428571428569</v>
      </c>
      <c r="N9" s="70">
        <f t="shared" si="2"/>
        <v>41</v>
      </c>
      <c r="O9" s="38"/>
      <c r="P9" s="185"/>
      <c r="Q9" s="8"/>
      <c r="R9" s="8"/>
      <c r="S9" s="8"/>
    </row>
    <row r="10" spans="1:19" ht="20.100000000000001" customHeight="1" x14ac:dyDescent="0.25">
      <c r="A10" s="155">
        <v>7</v>
      </c>
      <c r="B10" s="141"/>
      <c r="C10" s="145">
        <v>16</v>
      </c>
      <c r="D10" s="145" t="s">
        <v>23</v>
      </c>
      <c r="E10" s="107">
        <v>70</v>
      </c>
      <c r="F10" s="38">
        <v>73</v>
      </c>
      <c r="G10" s="38">
        <v>81</v>
      </c>
      <c r="H10" s="38">
        <v>92</v>
      </c>
      <c r="I10" s="38">
        <v>92</v>
      </c>
      <c r="J10" s="38">
        <v>94</v>
      </c>
      <c r="K10" s="38">
        <v>94</v>
      </c>
      <c r="L10" s="38">
        <f t="shared" si="0"/>
        <v>596</v>
      </c>
      <c r="M10" s="70">
        <f t="shared" si="1"/>
        <v>85.142857142857139</v>
      </c>
      <c r="N10" s="70">
        <f t="shared" si="2"/>
        <v>17</v>
      </c>
      <c r="O10" s="38"/>
      <c r="P10" s="185"/>
      <c r="Q10" s="8"/>
      <c r="R10" s="8"/>
      <c r="S10" s="8"/>
    </row>
    <row r="11" spans="1:19" ht="20.100000000000001" customHeight="1" x14ac:dyDescent="0.25">
      <c r="A11" s="155">
        <v>8</v>
      </c>
      <c r="B11" s="141"/>
      <c r="C11" s="145">
        <v>16</v>
      </c>
      <c r="D11" s="145" t="s">
        <v>23</v>
      </c>
      <c r="E11" s="107">
        <v>56</v>
      </c>
      <c r="F11" s="38">
        <v>92</v>
      </c>
      <c r="G11" s="38">
        <v>87</v>
      </c>
      <c r="H11" s="38">
        <v>91</v>
      </c>
      <c r="I11" s="38">
        <v>93</v>
      </c>
      <c r="J11" s="38">
        <v>91</v>
      </c>
      <c r="K11" s="38">
        <v>94</v>
      </c>
      <c r="L11" s="38">
        <f t="shared" si="0"/>
        <v>604</v>
      </c>
      <c r="M11" s="70">
        <f t="shared" si="1"/>
        <v>86.285714285714292</v>
      </c>
      <c r="N11" s="70">
        <f t="shared" si="2"/>
        <v>15</v>
      </c>
      <c r="O11" s="38"/>
      <c r="P11" s="185"/>
      <c r="Q11" s="8"/>
      <c r="R11" s="8"/>
      <c r="S11" s="8"/>
    </row>
    <row r="12" spans="1:19" ht="20.100000000000001" customHeight="1" x14ac:dyDescent="0.25">
      <c r="A12" s="155">
        <v>9</v>
      </c>
      <c r="B12" s="141"/>
      <c r="C12" s="145">
        <v>17</v>
      </c>
      <c r="D12" s="145" t="s">
        <v>20</v>
      </c>
      <c r="E12" s="107">
        <v>61</v>
      </c>
      <c r="F12" s="38">
        <v>50</v>
      </c>
      <c r="G12" s="38">
        <v>65</v>
      </c>
      <c r="H12" s="38">
        <v>66</v>
      </c>
      <c r="I12" s="38">
        <v>65</v>
      </c>
      <c r="J12" s="38">
        <v>74</v>
      </c>
      <c r="K12" s="38">
        <v>68</v>
      </c>
      <c r="L12" s="38">
        <f t="shared" si="0"/>
        <v>449</v>
      </c>
      <c r="M12" s="70">
        <f t="shared" si="1"/>
        <v>64.142857142857139</v>
      </c>
      <c r="N12" s="70">
        <f t="shared" si="2"/>
        <v>44</v>
      </c>
      <c r="O12" s="38"/>
      <c r="P12" s="185"/>
      <c r="Q12" s="8"/>
      <c r="R12" s="8"/>
      <c r="S12" s="8"/>
    </row>
    <row r="13" spans="1:19" ht="20.100000000000001" customHeight="1" x14ac:dyDescent="0.25">
      <c r="A13" s="155">
        <v>10</v>
      </c>
      <c r="B13" s="141"/>
      <c r="C13" s="145">
        <v>16</v>
      </c>
      <c r="D13" s="145" t="s">
        <v>20</v>
      </c>
      <c r="E13" s="107">
        <v>70</v>
      </c>
      <c r="F13" s="38">
        <v>81</v>
      </c>
      <c r="G13" s="38">
        <v>69</v>
      </c>
      <c r="H13" s="38">
        <v>84</v>
      </c>
      <c r="I13" s="38">
        <v>88</v>
      </c>
      <c r="J13" s="38">
        <v>85</v>
      </c>
      <c r="K13" s="38">
        <v>78</v>
      </c>
      <c r="L13" s="38">
        <f t="shared" si="0"/>
        <v>555</v>
      </c>
      <c r="M13" s="70">
        <f t="shared" si="1"/>
        <v>79.285714285714292</v>
      </c>
      <c r="N13" s="70">
        <f t="shared" si="2"/>
        <v>23</v>
      </c>
      <c r="O13" s="38"/>
      <c r="P13" s="185"/>
      <c r="Q13" s="8"/>
      <c r="R13" s="8"/>
      <c r="S13" s="8"/>
    </row>
    <row r="14" spans="1:19" ht="20.100000000000001" customHeight="1" x14ac:dyDescent="0.25">
      <c r="A14" s="155">
        <v>11</v>
      </c>
      <c r="B14" s="141"/>
      <c r="C14" s="145">
        <v>16</v>
      </c>
      <c r="D14" s="145" t="s">
        <v>20</v>
      </c>
      <c r="E14" s="107">
        <v>65</v>
      </c>
      <c r="F14" s="38">
        <v>95</v>
      </c>
      <c r="G14" s="38">
        <v>87</v>
      </c>
      <c r="H14" s="38">
        <v>97</v>
      </c>
      <c r="I14" s="38">
        <v>91</v>
      </c>
      <c r="J14" s="38">
        <v>95</v>
      </c>
      <c r="K14" s="38">
        <v>92</v>
      </c>
      <c r="L14" s="38">
        <f t="shared" si="0"/>
        <v>622</v>
      </c>
      <c r="M14" s="70">
        <f t="shared" si="1"/>
        <v>88.857142857142861</v>
      </c>
      <c r="N14" s="70">
        <f t="shared" si="2"/>
        <v>12</v>
      </c>
      <c r="O14" s="38"/>
      <c r="P14" s="185"/>
      <c r="Q14" s="8"/>
      <c r="R14" s="8"/>
      <c r="S14" s="8"/>
    </row>
    <row r="15" spans="1:19" ht="20.100000000000001" customHeight="1" x14ac:dyDescent="0.25">
      <c r="A15" s="155">
        <v>12</v>
      </c>
      <c r="B15" s="141"/>
      <c r="C15" s="145">
        <v>15</v>
      </c>
      <c r="D15" s="145" t="s">
        <v>23</v>
      </c>
      <c r="E15" s="107">
        <v>68</v>
      </c>
      <c r="F15" s="38">
        <v>68</v>
      </c>
      <c r="G15" s="38">
        <v>64</v>
      </c>
      <c r="H15" s="38">
        <v>58</v>
      </c>
      <c r="I15" s="38">
        <v>76</v>
      </c>
      <c r="J15" s="38">
        <v>83</v>
      </c>
      <c r="K15" s="38">
        <v>81</v>
      </c>
      <c r="L15" s="38">
        <f t="shared" si="0"/>
        <v>498</v>
      </c>
      <c r="M15" s="70">
        <f t="shared" si="1"/>
        <v>71.142857142857139</v>
      </c>
      <c r="N15" s="70">
        <f t="shared" si="2"/>
        <v>38</v>
      </c>
      <c r="O15" s="38"/>
      <c r="P15" s="185"/>
      <c r="Q15" s="8"/>
      <c r="R15" s="8"/>
      <c r="S15" s="8"/>
    </row>
    <row r="16" spans="1:19" ht="20.100000000000001" customHeight="1" x14ac:dyDescent="0.25">
      <c r="A16" s="155">
        <v>13</v>
      </c>
      <c r="B16" s="141"/>
      <c r="C16" s="145">
        <v>17</v>
      </c>
      <c r="D16" s="145" t="s">
        <v>23</v>
      </c>
      <c r="E16" s="107">
        <v>70</v>
      </c>
      <c r="F16" s="38">
        <v>92</v>
      </c>
      <c r="G16" s="38">
        <v>81</v>
      </c>
      <c r="H16" s="38">
        <v>85</v>
      </c>
      <c r="I16" s="38">
        <v>76</v>
      </c>
      <c r="J16" s="38">
        <v>87</v>
      </c>
      <c r="K16" s="38">
        <v>77</v>
      </c>
      <c r="L16" s="38">
        <f t="shared" si="0"/>
        <v>568</v>
      </c>
      <c r="M16" s="70">
        <f t="shared" si="1"/>
        <v>81.142857142857139</v>
      </c>
      <c r="N16" s="70">
        <f t="shared" si="2"/>
        <v>20</v>
      </c>
      <c r="O16" s="38"/>
      <c r="P16" s="185"/>
      <c r="Q16" s="8"/>
      <c r="R16" s="8"/>
      <c r="S16" s="8"/>
    </row>
    <row r="17" spans="1:19" ht="20.100000000000001" customHeight="1" x14ac:dyDescent="0.25">
      <c r="A17" s="155">
        <v>14</v>
      </c>
      <c r="B17" s="141"/>
      <c r="C17" s="145">
        <v>16</v>
      </c>
      <c r="D17" s="145" t="s">
        <v>23</v>
      </c>
      <c r="E17" s="107">
        <v>79</v>
      </c>
      <c r="F17" s="38">
        <v>90</v>
      </c>
      <c r="G17" s="38">
        <v>95</v>
      </c>
      <c r="H17" s="38">
        <v>95</v>
      </c>
      <c r="I17" s="38">
        <v>99</v>
      </c>
      <c r="J17" s="38">
        <v>98</v>
      </c>
      <c r="K17" s="38">
        <v>94</v>
      </c>
      <c r="L17" s="38">
        <f t="shared" si="0"/>
        <v>650</v>
      </c>
      <c r="M17" s="70">
        <f t="shared" si="1"/>
        <v>92.857142857142861</v>
      </c>
      <c r="N17" s="70">
        <f t="shared" si="2"/>
        <v>7</v>
      </c>
      <c r="O17" s="38"/>
      <c r="P17" s="185"/>
      <c r="Q17" s="8"/>
      <c r="R17" s="8"/>
      <c r="S17" s="8"/>
    </row>
    <row r="18" spans="1:19" ht="20.100000000000001" customHeight="1" x14ac:dyDescent="0.25">
      <c r="A18" s="155">
        <v>15</v>
      </c>
      <c r="B18" s="141"/>
      <c r="C18" s="145">
        <v>17</v>
      </c>
      <c r="D18" s="145" t="s">
        <v>20</v>
      </c>
      <c r="E18" s="107">
        <v>61</v>
      </c>
      <c r="F18" s="38">
        <v>69</v>
      </c>
      <c r="G18" s="38">
        <v>59</v>
      </c>
      <c r="H18" s="38">
        <v>74</v>
      </c>
      <c r="I18" s="38">
        <v>69</v>
      </c>
      <c r="J18" s="38">
        <v>73</v>
      </c>
      <c r="K18" s="38">
        <v>61</v>
      </c>
      <c r="L18" s="38">
        <f t="shared" si="0"/>
        <v>466</v>
      </c>
      <c r="M18" s="70">
        <f t="shared" si="1"/>
        <v>66.571428571428569</v>
      </c>
      <c r="N18" s="70">
        <f t="shared" si="2"/>
        <v>43</v>
      </c>
      <c r="O18" s="38"/>
      <c r="P18" s="185"/>
      <c r="Q18" s="8"/>
      <c r="R18" s="8"/>
      <c r="S18" s="8"/>
    </row>
    <row r="19" spans="1:19" ht="20.100000000000001" customHeight="1" x14ac:dyDescent="0.25">
      <c r="A19" s="155">
        <v>16</v>
      </c>
      <c r="B19" s="141"/>
      <c r="C19" s="145">
        <v>16</v>
      </c>
      <c r="D19" s="145" t="s">
        <v>23</v>
      </c>
      <c r="E19" s="107">
        <v>63</v>
      </c>
      <c r="F19" s="38">
        <v>80</v>
      </c>
      <c r="G19" s="38">
        <v>75</v>
      </c>
      <c r="H19" s="38">
        <v>81</v>
      </c>
      <c r="I19" s="38">
        <v>69</v>
      </c>
      <c r="J19" s="38">
        <v>85</v>
      </c>
      <c r="K19" s="38">
        <v>69</v>
      </c>
      <c r="L19" s="38">
        <f t="shared" si="0"/>
        <v>522</v>
      </c>
      <c r="M19" s="70">
        <f t="shared" si="1"/>
        <v>74.571428571428569</v>
      </c>
      <c r="N19" s="70">
        <f t="shared" si="2"/>
        <v>33</v>
      </c>
      <c r="O19" s="38"/>
      <c r="P19" s="185"/>
      <c r="Q19" s="8"/>
      <c r="R19" s="8"/>
      <c r="S19" s="8"/>
    </row>
    <row r="20" spans="1:19" ht="20.100000000000001" customHeight="1" x14ac:dyDescent="0.25">
      <c r="A20" s="155">
        <v>17</v>
      </c>
      <c r="B20" s="141"/>
      <c r="C20" s="145">
        <v>16</v>
      </c>
      <c r="D20" s="145" t="s">
        <v>20</v>
      </c>
      <c r="E20" s="107">
        <v>85</v>
      </c>
      <c r="F20" s="38">
        <v>68</v>
      </c>
      <c r="G20" s="38">
        <v>79</v>
      </c>
      <c r="H20" s="38">
        <v>69</v>
      </c>
      <c r="I20" s="38">
        <v>73</v>
      </c>
      <c r="J20" s="38">
        <v>91</v>
      </c>
      <c r="K20" s="38">
        <v>53</v>
      </c>
      <c r="L20" s="38">
        <f t="shared" si="0"/>
        <v>518</v>
      </c>
      <c r="M20" s="70">
        <f t="shared" si="1"/>
        <v>74</v>
      </c>
      <c r="N20" s="70">
        <f t="shared" si="2"/>
        <v>34</v>
      </c>
      <c r="O20" s="38"/>
      <c r="P20" s="185"/>
      <c r="Q20" s="8"/>
      <c r="R20" s="8"/>
      <c r="S20" s="8"/>
    </row>
    <row r="21" spans="1:19" ht="20.100000000000001" customHeight="1" x14ac:dyDescent="0.25">
      <c r="A21" s="155">
        <v>18</v>
      </c>
      <c r="B21" s="141"/>
      <c r="C21" s="145">
        <v>17</v>
      </c>
      <c r="D21" s="145" t="s">
        <v>20</v>
      </c>
      <c r="E21" s="107">
        <v>77</v>
      </c>
      <c r="F21" s="38">
        <v>79</v>
      </c>
      <c r="G21" s="38">
        <v>66</v>
      </c>
      <c r="H21" s="38">
        <v>81</v>
      </c>
      <c r="I21" s="38">
        <v>75</v>
      </c>
      <c r="J21" s="38">
        <v>88</v>
      </c>
      <c r="K21" s="38">
        <v>74</v>
      </c>
      <c r="L21" s="38">
        <f t="shared" si="0"/>
        <v>540</v>
      </c>
      <c r="M21" s="70">
        <f t="shared" si="1"/>
        <v>77.142857142857139</v>
      </c>
      <c r="N21" s="70">
        <f t="shared" si="2"/>
        <v>27</v>
      </c>
      <c r="O21" s="38"/>
      <c r="P21" s="185"/>
    </row>
    <row r="22" spans="1:19" ht="20.100000000000001" customHeight="1" x14ac:dyDescent="0.25">
      <c r="A22" s="155">
        <v>19</v>
      </c>
      <c r="B22" s="172"/>
      <c r="C22" s="150">
        <v>16</v>
      </c>
      <c r="D22" s="150" t="s">
        <v>23</v>
      </c>
      <c r="E22" s="107">
        <v>75</v>
      </c>
      <c r="F22" s="38">
        <v>73</v>
      </c>
      <c r="G22" s="38">
        <v>67</v>
      </c>
      <c r="H22" s="38">
        <v>77</v>
      </c>
      <c r="I22" s="38">
        <v>76</v>
      </c>
      <c r="J22" s="38">
        <v>85</v>
      </c>
      <c r="K22" s="38">
        <v>78</v>
      </c>
      <c r="L22" s="38">
        <f t="shared" si="0"/>
        <v>531</v>
      </c>
      <c r="M22" s="70">
        <f t="shared" si="1"/>
        <v>75.857142857142861</v>
      </c>
      <c r="N22" s="70">
        <f t="shared" si="2"/>
        <v>30</v>
      </c>
      <c r="O22" s="38"/>
      <c r="P22" s="185"/>
    </row>
    <row r="23" spans="1:19" ht="20.100000000000001" customHeight="1" x14ac:dyDescent="0.25">
      <c r="A23" s="155">
        <v>20</v>
      </c>
      <c r="B23" s="141"/>
      <c r="C23" s="145">
        <v>17</v>
      </c>
      <c r="D23" s="145" t="s">
        <v>23</v>
      </c>
      <c r="E23" s="107">
        <v>54</v>
      </c>
      <c r="F23" s="38">
        <v>72</v>
      </c>
      <c r="G23" s="38">
        <v>84</v>
      </c>
      <c r="H23" s="38">
        <v>87</v>
      </c>
      <c r="I23" s="38">
        <v>87</v>
      </c>
      <c r="J23" s="38">
        <v>84</v>
      </c>
      <c r="K23" s="38">
        <v>87</v>
      </c>
      <c r="L23" s="38">
        <f t="shared" si="0"/>
        <v>555</v>
      </c>
      <c r="M23" s="70">
        <f t="shared" si="1"/>
        <v>79.285714285714292</v>
      </c>
      <c r="N23" s="70">
        <f t="shared" si="2"/>
        <v>23</v>
      </c>
      <c r="O23" s="38"/>
      <c r="P23" s="185"/>
    </row>
    <row r="24" spans="1:19" ht="20.100000000000001" customHeight="1" x14ac:dyDescent="0.25">
      <c r="A24" s="155">
        <v>21</v>
      </c>
      <c r="B24" s="141"/>
      <c r="C24" s="145">
        <v>17</v>
      </c>
      <c r="D24" s="145" t="s">
        <v>23</v>
      </c>
      <c r="E24" s="107">
        <v>56</v>
      </c>
      <c r="F24" s="38">
        <v>56</v>
      </c>
      <c r="G24" s="38">
        <v>67</v>
      </c>
      <c r="H24" s="38">
        <v>76</v>
      </c>
      <c r="I24" s="38">
        <v>78</v>
      </c>
      <c r="J24" s="38">
        <v>86</v>
      </c>
      <c r="K24" s="38">
        <v>76</v>
      </c>
      <c r="L24" s="38">
        <f t="shared" si="0"/>
        <v>495</v>
      </c>
      <c r="M24" s="70">
        <f t="shared" si="1"/>
        <v>70.714285714285708</v>
      </c>
      <c r="N24" s="70">
        <f t="shared" si="2"/>
        <v>40</v>
      </c>
      <c r="O24" s="38"/>
      <c r="P24" s="185"/>
    </row>
    <row r="25" spans="1:19" ht="20.100000000000001" customHeight="1" x14ac:dyDescent="0.25">
      <c r="A25" s="155">
        <v>22</v>
      </c>
      <c r="B25" s="141"/>
      <c r="C25" s="145">
        <v>15</v>
      </c>
      <c r="D25" s="145" t="s">
        <v>23</v>
      </c>
      <c r="E25" s="107">
        <v>89</v>
      </c>
      <c r="F25" s="38">
        <v>92</v>
      </c>
      <c r="G25" s="38">
        <v>90</v>
      </c>
      <c r="H25" s="38">
        <v>97</v>
      </c>
      <c r="I25" s="38">
        <v>95</v>
      </c>
      <c r="J25" s="38">
        <v>98</v>
      </c>
      <c r="K25" s="38">
        <v>97</v>
      </c>
      <c r="L25" s="38">
        <f t="shared" si="0"/>
        <v>658</v>
      </c>
      <c r="M25" s="70">
        <f t="shared" si="1"/>
        <v>94</v>
      </c>
      <c r="N25" s="70">
        <f t="shared" si="2"/>
        <v>3</v>
      </c>
      <c r="O25" s="38"/>
      <c r="P25" s="185"/>
    </row>
    <row r="26" spans="1:19" ht="20.100000000000001" customHeight="1" x14ac:dyDescent="0.25">
      <c r="A26" s="155">
        <v>23</v>
      </c>
      <c r="B26" s="141"/>
      <c r="C26" s="145">
        <v>16</v>
      </c>
      <c r="D26" s="145" t="s">
        <v>23</v>
      </c>
      <c r="E26" s="107">
        <v>74</v>
      </c>
      <c r="F26" s="38">
        <v>65</v>
      </c>
      <c r="G26" s="38">
        <v>73</v>
      </c>
      <c r="H26" s="38">
        <v>81</v>
      </c>
      <c r="I26" s="38">
        <v>81</v>
      </c>
      <c r="J26" s="38">
        <v>86</v>
      </c>
      <c r="K26" s="38">
        <v>79</v>
      </c>
      <c r="L26" s="38">
        <f t="shared" si="0"/>
        <v>539</v>
      </c>
      <c r="M26" s="70">
        <f t="shared" si="1"/>
        <v>77</v>
      </c>
      <c r="N26" s="70">
        <f t="shared" si="2"/>
        <v>28</v>
      </c>
      <c r="O26" s="38"/>
      <c r="P26" s="185"/>
    </row>
    <row r="27" spans="1:19" ht="20.100000000000001" customHeight="1" x14ac:dyDescent="0.25">
      <c r="A27" s="155">
        <v>24</v>
      </c>
      <c r="B27" s="141"/>
      <c r="C27" s="145">
        <v>17</v>
      </c>
      <c r="D27" s="145" t="s">
        <v>23</v>
      </c>
      <c r="E27" s="107">
        <v>76</v>
      </c>
      <c r="F27" s="38">
        <v>95</v>
      </c>
      <c r="G27" s="38">
        <v>93</v>
      </c>
      <c r="H27" s="38">
        <v>92</v>
      </c>
      <c r="I27" s="38">
        <v>95</v>
      </c>
      <c r="J27" s="38">
        <v>98</v>
      </c>
      <c r="K27" s="38">
        <v>94</v>
      </c>
      <c r="L27" s="38">
        <f t="shared" si="0"/>
        <v>643</v>
      </c>
      <c r="M27" s="70">
        <f t="shared" si="1"/>
        <v>91.857142857142861</v>
      </c>
      <c r="N27" s="70">
        <f t="shared" si="2"/>
        <v>9</v>
      </c>
      <c r="O27" s="38"/>
      <c r="P27" s="185"/>
    </row>
    <row r="28" spans="1:19" ht="20.100000000000001" customHeight="1" x14ac:dyDescent="0.25">
      <c r="A28" s="155">
        <v>25</v>
      </c>
      <c r="B28" s="141"/>
      <c r="C28" s="145">
        <v>16</v>
      </c>
      <c r="D28" s="145" t="s">
        <v>23</v>
      </c>
      <c r="E28" s="107">
        <v>66</v>
      </c>
      <c r="F28" s="38">
        <v>60</v>
      </c>
      <c r="G28" s="38">
        <v>70</v>
      </c>
      <c r="H28" s="38">
        <v>71</v>
      </c>
      <c r="I28" s="38">
        <v>84</v>
      </c>
      <c r="J28" s="38">
        <v>85</v>
      </c>
      <c r="K28" s="38">
        <v>73</v>
      </c>
      <c r="L28" s="38">
        <f t="shared" si="0"/>
        <v>509</v>
      </c>
      <c r="M28" s="70">
        <f t="shared" si="1"/>
        <v>72.714285714285708</v>
      </c>
      <c r="N28" s="70">
        <f t="shared" si="2"/>
        <v>37</v>
      </c>
      <c r="O28" s="38"/>
      <c r="P28" s="185"/>
    </row>
    <row r="29" spans="1:19" ht="20.100000000000001" customHeight="1" x14ac:dyDescent="0.25">
      <c r="A29" s="155">
        <v>26</v>
      </c>
      <c r="B29" s="141"/>
      <c r="C29" s="145">
        <v>18</v>
      </c>
      <c r="D29" s="145" t="s">
        <v>23</v>
      </c>
      <c r="E29" s="107">
        <v>74</v>
      </c>
      <c r="F29" s="38">
        <v>84</v>
      </c>
      <c r="G29" s="38">
        <v>81</v>
      </c>
      <c r="H29" s="38">
        <v>94</v>
      </c>
      <c r="I29" s="38">
        <v>99</v>
      </c>
      <c r="J29" s="38">
        <v>95</v>
      </c>
      <c r="K29" s="38">
        <v>86</v>
      </c>
      <c r="L29" s="38">
        <f t="shared" si="0"/>
        <v>613</v>
      </c>
      <c r="M29" s="70">
        <f t="shared" si="1"/>
        <v>87.571428571428569</v>
      </c>
      <c r="N29" s="70">
        <f t="shared" si="2"/>
        <v>14</v>
      </c>
      <c r="O29" s="38"/>
      <c r="P29" s="185"/>
    </row>
    <row r="30" spans="1:19" ht="20.100000000000001" customHeight="1" x14ac:dyDescent="0.25">
      <c r="A30" s="155">
        <v>27</v>
      </c>
      <c r="B30" s="141"/>
      <c r="C30" s="145">
        <v>16</v>
      </c>
      <c r="D30" s="145" t="s">
        <v>23</v>
      </c>
      <c r="E30" s="107">
        <v>65</v>
      </c>
      <c r="F30" s="38">
        <v>58</v>
      </c>
      <c r="G30" s="38">
        <v>45</v>
      </c>
      <c r="H30" s="38">
        <v>62</v>
      </c>
      <c r="I30" s="38">
        <v>57</v>
      </c>
      <c r="J30" s="38">
        <v>78</v>
      </c>
      <c r="K30" s="38">
        <v>40</v>
      </c>
      <c r="L30" s="38">
        <f t="shared" si="0"/>
        <v>405</v>
      </c>
      <c r="M30" s="70">
        <f t="shared" si="1"/>
        <v>57.857142857142854</v>
      </c>
      <c r="N30" s="70">
        <f t="shared" si="2"/>
        <v>49</v>
      </c>
      <c r="O30" s="38"/>
      <c r="P30" s="185"/>
    </row>
    <row r="31" spans="1:19" ht="20.100000000000001" customHeight="1" x14ac:dyDescent="0.25">
      <c r="A31" s="155">
        <v>28</v>
      </c>
      <c r="B31" s="141"/>
      <c r="C31" s="145">
        <v>18</v>
      </c>
      <c r="D31" s="145" t="s">
        <v>23</v>
      </c>
      <c r="E31" s="107">
        <v>52</v>
      </c>
      <c r="F31" s="38">
        <v>62</v>
      </c>
      <c r="G31" s="38">
        <v>53</v>
      </c>
      <c r="H31" s="38">
        <v>61</v>
      </c>
      <c r="I31" s="38">
        <v>75</v>
      </c>
      <c r="J31" s="38">
        <v>77</v>
      </c>
      <c r="K31" s="38">
        <v>64</v>
      </c>
      <c r="L31" s="38">
        <f t="shared" si="0"/>
        <v>444</v>
      </c>
      <c r="M31" s="70">
        <f t="shared" si="1"/>
        <v>63.428571428571431</v>
      </c>
      <c r="N31" s="70">
        <f t="shared" si="2"/>
        <v>45</v>
      </c>
      <c r="O31" s="38"/>
      <c r="P31" s="76"/>
    </row>
    <row r="32" spans="1:19" ht="20.100000000000001" customHeight="1" x14ac:dyDescent="0.25">
      <c r="A32" s="155">
        <v>29</v>
      </c>
      <c r="B32" s="138"/>
      <c r="C32" s="144">
        <v>16</v>
      </c>
      <c r="D32" s="144" t="s">
        <v>23</v>
      </c>
      <c r="E32" s="38">
        <v>67</v>
      </c>
      <c r="F32" s="38">
        <v>64</v>
      </c>
      <c r="G32" s="38">
        <v>69</v>
      </c>
      <c r="H32" s="38">
        <v>78</v>
      </c>
      <c r="I32" s="38">
        <v>75</v>
      </c>
      <c r="J32" s="38">
        <v>82</v>
      </c>
      <c r="K32" s="38">
        <v>75</v>
      </c>
      <c r="L32" s="38">
        <f t="shared" si="0"/>
        <v>510</v>
      </c>
      <c r="M32" s="70">
        <f t="shared" si="1"/>
        <v>72.857142857142861</v>
      </c>
      <c r="N32" s="70">
        <f t="shared" si="2"/>
        <v>36</v>
      </c>
      <c r="O32" s="38"/>
      <c r="P32" s="76"/>
    </row>
    <row r="33" spans="1:16" ht="20.100000000000001" customHeight="1" x14ac:dyDescent="0.25">
      <c r="A33" s="155">
        <v>30</v>
      </c>
      <c r="B33" s="139"/>
      <c r="C33" s="136">
        <v>16</v>
      </c>
      <c r="D33" s="136" t="s">
        <v>23</v>
      </c>
      <c r="E33" s="38">
        <v>53</v>
      </c>
      <c r="F33" s="38">
        <v>60</v>
      </c>
      <c r="G33" s="38">
        <v>63</v>
      </c>
      <c r="H33" s="38">
        <v>62</v>
      </c>
      <c r="I33" s="38">
        <v>63</v>
      </c>
      <c r="J33" s="38">
        <v>78</v>
      </c>
      <c r="K33" s="38">
        <v>61</v>
      </c>
      <c r="L33" s="38">
        <f t="shared" si="0"/>
        <v>440</v>
      </c>
      <c r="M33" s="70">
        <f t="shared" si="1"/>
        <v>62.857142857142854</v>
      </c>
      <c r="N33" s="70">
        <f t="shared" si="2"/>
        <v>46</v>
      </c>
      <c r="O33" s="38"/>
      <c r="P33" s="76"/>
    </row>
    <row r="34" spans="1:16" ht="20.100000000000001" customHeight="1" x14ac:dyDescent="0.25">
      <c r="A34" s="155">
        <v>31</v>
      </c>
      <c r="B34" s="139"/>
      <c r="C34" s="136">
        <v>16</v>
      </c>
      <c r="D34" s="136" t="s">
        <v>23</v>
      </c>
      <c r="E34" s="38">
        <v>61</v>
      </c>
      <c r="F34" s="38">
        <v>73</v>
      </c>
      <c r="G34" s="38">
        <v>76</v>
      </c>
      <c r="H34" s="38">
        <v>87</v>
      </c>
      <c r="I34" s="38">
        <v>82</v>
      </c>
      <c r="J34" s="38">
        <v>92</v>
      </c>
      <c r="K34" s="38">
        <v>82</v>
      </c>
      <c r="L34" s="38">
        <f t="shared" si="0"/>
        <v>553</v>
      </c>
      <c r="M34" s="70">
        <f t="shared" si="1"/>
        <v>79</v>
      </c>
      <c r="N34" s="70">
        <f t="shared" si="2"/>
        <v>26</v>
      </c>
      <c r="O34" s="38"/>
      <c r="P34" s="76"/>
    </row>
    <row r="35" spans="1:16" ht="20.100000000000001" customHeight="1" x14ac:dyDescent="0.25">
      <c r="A35" s="155">
        <v>32</v>
      </c>
      <c r="B35" s="139"/>
      <c r="C35" s="136">
        <v>17</v>
      </c>
      <c r="D35" s="136" t="s">
        <v>20</v>
      </c>
      <c r="E35" s="38">
        <v>77</v>
      </c>
      <c r="F35" s="38">
        <v>79</v>
      </c>
      <c r="G35" s="38">
        <v>75</v>
      </c>
      <c r="H35" s="38">
        <v>84</v>
      </c>
      <c r="I35" s="38">
        <v>80</v>
      </c>
      <c r="J35" s="38">
        <v>94</v>
      </c>
      <c r="K35" s="38">
        <v>89</v>
      </c>
      <c r="L35" s="38">
        <f t="shared" si="0"/>
        <v>578</v>
      </c>
      <c r="M35" s="70">
        <f t="shared" si="1"/>
        <v>82.571428571428569</v>
      </c>
      <c r="N35" s="70">
        <f t="shared" si="2"/>
        <v>19</v>
      </c>
      <c r="O35" s="38"/>
      <c r="P35" s="76"/>
    </row>
    <row r="36" spans="1:16" ht="20.100000000000001" customHeight="1" x14ac:dyDescent="0.25">
      <c r="A36" s="155">
        <v>33</v>
      </c>
      <c r="B36" s="141"/>
      <c r="C36" s="136">
        <v>16</v>
      </c>
      <c r="D36" s="136" t="s">
        <v>20</v>
      </c>
      <c r="E36" s="38">
        <v>82</v>
      </c>
      <c r="F36" s="38">
        <v>98</v>
      </c>
      <c r="G36" s="38">
        <v>94</v>
      </c>
      <c r="H36" s="38">
        <v>93</v>
      </c>
      <c r="I36" s="38">
        <v>98</v>
      </c>
      <c r="J36" s="38">
        <v>100</v>
      </c>
      <c r="K36" s="38">
        <v>87</v>
      </c>
      <c r="L36" s="38">
        <f t="shared" si="0"/>
        <v>652</v>
      </c>
      <c r="M36" s="70">
        <f t="shared" si="1"/>
        <v>93.142857142857139</v>
      </c>
      <c r="N36" s="70">
        <f t="shared" si="2"/>
        <v>5</v>
      </c>
      <c r="O36" s="38"/>
      <c r="P36" s="76"/>
    </row>
    <row r="37" spans="1:16" ht="20.100000000000001" customHeight="1" x14ac:dyDescent="0.25">
      <c r="A37" s="155">
        <v>34</v>
      </c>
      <c r="B37" s="139"/>
      <c r="C37" s="136">
        <v>17</v>
      </c>
      <c r="D37" s="136" t="s">
        <v>23</v>
      </c>
      <c r="E37" s="38">
        <v>68</v>
      </c>
      <c r="F37" s="38">
        <v>67</v>
      </c>
      <c r="G37" s="38">
        <v>72</v>
      </c>
      <c r="H37" s="38">
        <v>81</v>
      </c>
      <c r="I37" s="38">
        <v>86</v>
      </c>
      <c r="J37" s="38">
        <v>79</v>
      </c>
      <c r="K37" s="38">
        <v>75</v>
      </c>
      <c r="L37" s="38">
        <f t="shared" si="0"/>
        <v>528</v>
      </c>
      <c r="M37" s="70">
        <f t="shared" si="1"/>
        <v>75.428571428571431</v>
      </c>
      <c r="N37" s="70">
        <f t="shared" si="2"/>
        <v>32</v>
      </c>
      <c r="O37" s="38"/>
      <c r="P37" s="76"/>
    </row>
    <row r="38" spans="1:16" ht="20.100000000000001" customHeight="1" x14ac:dyDescent="0.25">
      <c r="A38" s="155">
        <v>35</v>
      </c>
      <c r="B38" s="139"/>
      <c r="C38" s="136">
        <v>16</v>
      </c>
      <c r="D38" s="136" t="s">
        <v>20</v>
      </c>
      <c r="E38" s="38">
        <v>85</v>
      </c>
      <c r="F38" s="38">
        <v>87</v>
      </c>
      <c r="G38" s="38">
        <v>96</v>
      </c>
      <c r="H38" s="38">
        <v>94</v>
      </c>
      <c r="I38" s="38">
        <v>97</v>
      </c>
      <c r="J38" s="38">
        <v>99</v>
      </c>
      <c r="K38" s="38">
        <v>93</v>
      </c>
      <c r="L38" s="38">
        <f t="shared" si="0"/>
        <v>651</v>
      </c>
      <c r="M38" s="70">
        <f t="shared" si="1"/>
        <v>93</v>
      </c>
      <c r="N38" s="70">
        <f t="shared" si="2"/>
        <v>6</v>
      </c>
      <c r="O38" s="38"/>
      <c r="P38" s="76"/>
    </row>
    <row r="39" spans="1:16" ht="20.100000000000001" customHeight="1" x14ac:dyDescent="0.25">
      <c r="A39" s="155">
        <v>36</v>
      </c>
      <c r="B39" s="139"/>
      <c r="C39" s="136">
        <v>17</v>
      </c>
      <c r="D39" s="136" t="s">
        <v>20</v>
      </c>
      <c r="E39" s="38">
        <v>66</v>
      </c>
      <c r="F39" s="38">
        <v>81</v>
      </c>
      <c r="G39" s="38">
        <v>90</v>
      </c>
      <c r="H39" s="38">
        <v>98</v>
      </c>
      <c r="I39" s="38">
        <v>97</v>
      </c>
      <c r="J39" s="38">
        <v>95</v>
      </c>
      <c r="K39" s="38">
        <v>89</v>
      </c>
      <c r="L39" s="38">
        <f t="shared" si="0"/>
        <v>616</v>
      </c>
      <c r="M39" s="70">
        <f t="shared" si="1"/>
        <v>88</v>
      </c>
      <c r="N39" s="70">
        <f t="shared" si="2"/>
        <v>13</v>
      </c>
      <c r="O39" s="38"/>
      <c r="P39" s="76"/>
    </row>
    <row r="40" spans="1:16" ht="20.100000000000001" customHeight="1" x14ac:dyDescent="0.25">
      <c r="A40" s="155">
        <v>37</v>
      </c>
      <c r="B40" s="139"/>
      <c r="C40" s="136">
        <v>16</v>
      </c>
      <c r="D40" s="136" t="s">
        <v>20</v>
      </c>
      <c r="E40" s="38">
        <v>74</v>
      </c>
      <c r="F40" s="38">
        <v>74</v>
      </c>
      <c r="G40" s="38">
        <v>76</v>
      </c>
      <c r="H40" s="38">
        <v>85</v>
      </c>
      <c r="I40" s="38">
        <v>82</v>
      </c>
      <c r="J40" s="38">
        <v>89</v>
      </c>
      <c r="K40" s="38">
        <v>84</v>
      </c>
      <c r="L40" s="38">
        <f t="shared" si="0"/>
        <v>564</v>
      </c>
      <c r="M40" s="70">
        <f t="shared" si="1"/>
        <v>80.571428571428569</v>
      </c>
      <c r="N40" s="70">
        <f t="shared" si="2"/>
        <v>21</v>
      </c>
      <c r="O40" s="38"/>
      <c r="P40" s="76"/>
    </row>
    <row r="41" spans="1:16" ht="20.100000000000001" customHeight="1" x14ac:dyDescent="0.25">
      <c r="A41" s="155">
        <v>38</v>
      </c>
      <c r="B41" s="139"/>
      <c r="C41" s="136">
        <v>18</v>
      </c>
      <c r="D41" s="136" t="s">
        <v>23</v>
      </c>
      <c r="E41" s="38">
        <v>68</v>
      </c>
      <c r="F41" s="38">
        <v>63</v>
      </c>
      <c r="G41" s="38">
        <v>72</v>
      </c>
      <c r="H41" s="38">
        <v>76</v>
      </c>
      <c r="I41" s="38">
        <v>85</v>
      </c>
      <c r="J41" s="38">
        <v>79</v>
      </c>
      <c r="K41" s="38">
        <v>71</v>
      </c>
      <c r="L41" s="38">
        <f t="shared" si="0"/>
        <v>514</v>
      </c>
      <c r="M41" s="70">
        <f t="shared" si="1"/>
        <v>73.428571428571431</v>
      </c>
      <c r="N41" s="70">
        <f t="shared" si="2"/>
        <v>35</v>
      </c>
      <c r="O41" s="38"/>
      <c r="P41" s="76"/>
    </row>
    <row r="42" spans="1:16" ht="20.100000000000001" customHeight="1" x14ac:dyDescent="0.25">
      <c r="A42" s="155">
        <v>39</v>
      </c>
      <c r="B42" s="139"/>
      <c r="C42" s="136">
        <v>16</v>
      </c>
      <c r="D42" s="136" t="s">
        <v>23</v>
      </c>
      <c r="E42" s="38">
        <v>68</v>
      </c>
      <c r="F42" s="38">
        <v>77</v>
      </c>
      <c r="G42" s="38">
        <v>73</v>
      </c>
      <c r="H42" s="38">
        <v>88</v>
      </c>
      <c r="I42" s="38">
        <v>82</v>
      </c>
      <c r="J42" s="38">
        <v>92</v>
      </c>
      <c r="K42" s="38">
        <v>82</v>
      </c>
      <c r="L42" s="38">
        <f t="shared" si="0"/>
        <v>562</v>
      </c>
      <c r="M42" s="70">
        <f t="shared" si="1"/>
        <v>80.285714285714292</v>
      </c>
      <c r="N42" s="70">
        <f t="shared" si="2"/>
        <v>22</v>
      </c>
      <c r="O42" s="38"/>
      <c r="P42" s="76"/>
    </row>
    <row r="43" spans="1:16" ht="20.100000000000001" customHeight="1" x14ac:dyDescent="0.25">
      <c r="A43" s="155">
        <v>40</v>
      </c>
      <c r="B43" s="139"/>
      <c r="C43" s="136">
        <v>16</v>
      </c>
      <c r="D43" s="136" t="s">
        <v>23</v>
      </c>
      <c r="E43" s="38">
        <v>77</v>
      </c>
      <c r="F43" s="38">
        <v>82</v>
      </c>
      <c r="G43" s="38">
        <v>88</v>
      </c>
      <c r="H43" s="38">
        <v>96</v>
      </c>
      <c r="I43" s="38">
        <v>97</v>
      </c>
      <c r="J43" s="38">
        <v>95</v>
      </c>
      <c r="K43" s="38">
        <v>95</v>
      </c>
      <c r="L43" s="38">
        <f t="shared" si="0"/>
        <v>630</v>
      </c>
      <c r="M43" s="70">
        <f t="shared" si="1"/>
        <v>90</v>
      </c>
      <c r="N43" s="70">
        <f t="shared" si="2"/>
        <v>11</v>
      </c>
      <c r="O43" s="38"/>
      <c r="P43" s="76"/>
    </row>
    <row r="44" spans="1:16" ht="20.100000000000001" customHeight="1" x14ac:dyDescent="0.25">
      <c r="A44" s="155">
        <v>41</v>
      </c>
      <c r="B44" s="139"/>
      <c r="C44" s="136">
        <v>17</v>
      </c>
      <c r="D44" s="136" t="s">
        <v>23</v>
      </c>
      <c r="E44" s="38">
        <v>89</v>
      </c>
      <c r="F44" s="38">
        <v>95</v>
      </c>
      <c r="G44" s="38">
        <v>96</v>
      </c>
      <c r="H44" s="38">
        <v>94</v>
      </c>
      <c r="I44" s="38">
        <v>98</v>
      </c>
      <c r="J44" s="38">
        <v>100</v>
      </c>
      <c r="K44" s="38">
        <v>97</v>
      </c>
      <c r="L44" s="38">
        <f t="shared" si="0"/>
        <v>669</v>
      </c>
      <c r="M44" s="70">
        <f t="shared" si="1"/>
        <v>95.571428571428569</v>
      </c>
      <c r="N44" s="70">
        <f t="shared" si="2"/>
        <v>2</v>
      </c>
      <c r="O44" s="38"/>
      <c r="P44" s="76"/>
    </row>
    <row r="45" spans="1:16" ht="20.100000000000001" customHeight="1" x14ac:dyDescent="0.25">
      <c r="A45" s="155">
        <v>42</v>
      </c>
      <c r="B45" s="139"/>
      <c r="C45" s="136">
        <v>16</v>
      </c>
      <c r="D45" s="136" t="s">
        <v>20</v>
      </c>
      <c r="E45" s="38">
        <v>87</v>
      </c>
      <c r="F45" s="38">
        <v>67</v>
      </c>
      <c r="G45" s="38">
        <v>81</v>
      </c>
      <c r="H45" s="38">
        <v>89</v>
      </c>
      <c r="I45" s="38">
        <v>92</v>
      </c>
      <c r="J45" s="38">
        <v>99</v>
      </c>
      <c r="K45" s="38">
        <v>85</v>
      </c>
      <c r="L45" s="38">
        <f t="shared" si="0"/>
        <v>600</v>
      </c>
      <c r="M45" s="70">
        <f t="shared" si="1"/>
        <v>85.714285714285708</v>
      </c>
      <c r="N45" s="70">
        <f t="shared" si="2"/>
        <v>16</v>
      </c>
      <c r="O45" s="38"/>
      <c r="P45" s="76"/>
    </row>
    <row r="46" spans="1:16" ht="20.100000000000001" customHeight="1" x14ac:dyDescent="0.25">
      <c r="A46" s="155">
        <v>43</v>
      </c>
      <c r="B46" s="139"/>
      <c r="C46" s="136">
        <v>16</v>
      </c>
      <c r="D46" s="136" t="s">
        <v>20</v>
      </c>
      <c r="E46" s="38">
        <v>69</v>
      </c>
      <c r="F46" s="38">
        <v>71</v>
      </c>
      <c r="G46" s="38">
        <v>54</v>
      </c>
      <c r="H46" s="38">
        <v>74</v>
      </c>
      <c r="I46" s="38">
        <v>76</v>
      </c>
      <c r="J46" s="38">
        <v>84</v>
      </c>
      <c r="K46" s="38">
        <v>60</v>
      </c>
      <c r="L46" s="38">
        <f t="shared" si="0"/>
        <v>488</v>
      </c>
      <c r="M46" s="70">
        <f t="shared" si="1"/>
        <v>69.714285714285708</v>
      </c>
      <c r="N46" s="70">
        <f t="shared" si="2"/>
        <v>42</v>
      </c>
      <c r="O46" s="38"/>
      <c r="P46" s="76"/>
    </row>
    <row r="47" spans="1:16" ht="20.100000000000001" customHeight="1" x14ac:dyDescent="0.25">
      <c r="A47" s="155">
        <v>44</v>
      </c>
      <c r="B47" s="139"/>
      <c r="C47" s="136">
        <v>16</v>
      </c>
      <c r="D47" s="136" t="s">
        <v>23</v>
      </c>
      <c r="E47" s="38">
        <v>69</v>
      </c>
      <c r="F47" s="38">
        <v>55</v>
      </c>
      <c r="G47" s="38">
        <v>64</v>
      </c>
      <c r="H47" s="38">
        <v>85</v>
      </c>
      <c r="I47" s="38">
        <v>88</v>
      </c>
      <c r="J47" s="38">
        <v>89</v>
      </c>
      <c r="K47" s="38">
        <v>80</v>
      </c>
      <c r="L47" s="38">
        <f t="shared" si="0"/>
        <v>530</v>
      </c>
      <c r="M47" s="70">
        <f t="shared" si="1"/>
        <v>75.714285714285708</v>
      </c>
      <c r="N47" s="70">
        <f t="shared" si="2"/>
        <v>31</v>
      </c>
      <c r="O47" s="38"/>
      <c r="P47" s="76"/>
    </row>
    <row r="48" spans="1:16" ht="20.100000000000001" customHeight="1" x14ac:dyDescent="0.25">
      <c r="A48" s="155">
        <v>45</v>
      </c>
      <c r="B48" s="139"/>
      <c r="C48" s="136">
        <v>18</v>
      </c>
      <c r="D48" s="136" t="s">
        <v>23</v>
      </c>
      <c r="E48" s="38">
        <v>91</v>
      </c>
      <c r="F48" s="38">
        <v>91</v>
      </c>
      <c r="G48" s="38">
        <v>94</v>
      </c>
      <c r="H48" s="38">
        <v>97</v>
      </c>
      <c r="I48" s="38">
        <v>93</v>
      </c>
      <c r="J48" s="38">
        <v>100</v>
      </c>
      <c r="K48" s="38">
        <v>92</v>
      </c>
      <c r="L48" s="38">
        <f t="shared" si="0"/>
        <v>658</v>
      </c>
      <c r="M48" s="70">
        <f t="shared" si="1"/>
        <v>94</v>
      </c>
      <c r="N48" s="70">
        <f t="shared" si="2"/>
        <v>3</v>
      </c>
      <c r="O48" s="38"/>
      <c r="P48" s="76"/>
    </row>
    <row r="49" spans="1:16" ht="20.100000000000001" customHeight="1" x14ac:dyDescent="0.25">
      <c r="A49" s="155">
        <v>46</v>
      </c>
      <c r="B49" s="139"/>
      <c r="C49" s="136">
        <v>16</v>
      </c>
      <c r="D49" s="136" t="s">
        <v>23</v>
      </c>
      <c r="E49" s="38">
        <v>74</v>
      </c>
      <c r="F49" s="38">
        <v>68</v>
      </c>
      <c r="G49" s="38">
        <v>69</v>
      </c>
      <c r="H49" s="38">
        <v>81</v>
      </c>
      <c r="I49" s="38">
        <v>85</v>
      </c>
      <c r="J49" s="38">
        <v>90</v>
      </c>
      <c r="K49" s="38">
        <v>88</v>
      </c>
      <c r="L49" s="38">
        <f t="shared" si="0"/>
        <v>555</v>
      </c>
      <c r="M49" s="70">
        <f t="shared" si="1"/>
        <v>79.285714285714292</v>
      </c>
      <c r="N49" s="70">
        <f t="shared" si="2"/>
        <v>23</v>
      </c>
      <c r="O49" s="38"/>
      <c r="P49" s="76"/>
    </row>
    <row r="50" spans="1:16" ht="20.100000000000001" customHeight="1" x14ac:dyDescent="0.25">
      <c r="A50" s="155">
        <v>47</v>
      </c>
      <c r="B50" s="139"/>
      <c r="C50" s="136">
        <v>17</v>
      </c>
      <c r="D50" s="136" t="s">
        <v>20</v>
      </c>
      <c r="E50" s="38">
        <v>68</v>
      </c>
      <c r="F50" s="38">
        <v>68</v>
      </c>
      <c r="G50" s="38">
        <v>73</v>
      </c>
      <c r="H50" s="38">
        <v>79</v>
      </c>
      <c r="I50" s="38">
        <v>84</v>
      </c>
      <c r="J50" s="38">
        <v>87</v>
      </c>
      <c r="K50" s="38">
        <v>77</v>
      </c>
      <c r="L50" s="38">
        <f t="shared" si="0"/>
        <v>536</v>
      </c>
      <c r="M50" s="70">
        <f t="shared" si="1"/>
        <v>76.571428571428569</v>
      </c>
      <c r="N50" s="70">
        <f t="shared" si="2"/>
        <v>29</v>
      </c>
      <c r="O50" s="38"/>
      <c r="P50" s="76"/>
    </row>
    <row r="51" spans="1:16" ht="20.100000000000001" customHeight="1" x14ac:dyDescent="0.25">
      <c r="A51" s="155">
        <v>48</v>
      </c>
      <c r="B51" s="139"/>
      <c r="C51" s="136">
        <v>16</v>
      </c>
      <c r="D51" s="136" t="s">
        <v>20</v>
      </c>
      <c r="E51" s="38">
        <v>54</v>
      </c>
      <c r="F51" s="38">
        <v>39</v>
      </c>
      <c r="G51" s="38">
        <v>57</v>
      </c>
      <c r="H51" s="38">
        <v>77</v>
      </c>
      <c r="I51" s="38">
        <v>62</v>
      </c>
      <c r="J51" s="38">
        <v>79</v>
      </c>
      <c r="K51" s="38">
        <v>71</v>
      </c>
      <c r="L51" s="38">
        <f t="shared" si="0"/>
        <v>439</v>
      </c>
      <c r="M51" s="70">
        <f t="shared" si="1"/>
        <v>62.714285714285715</v>
      </c>
      <c r="N51" s="70">
        <f t="shared" si="2"/>
        <v>47</v>
      </c>
      <c r="O51" s="38"/>
      <c r="P51" s="76"/>
    </row>
    <row r="52" spans="1:16" ht="20.100000000000001" customHeight="1" x14ac:dyDescent="0.25">
      <c r="A52" s="155">
        <v>49</v>
      </c>
      <c r="B52" s="139"/>
      <c r="C52" s="136">
        <v>16</v>
      </c>
      <c r="D52" s="136" t="s">
        <v>20</v>
      </c>
      <c r="E52" s="38">
        <v>81</v>
      </c>
      <c r="F52" s="38">
        <v>92</v>
      </c>
      <c r="G52" s="38">
        <v>91</v>
      </c>
      <c r="H52" s="38">
        <v>93</v>
      </c>
      <c r="I52" s="38">
        <v>95</v>
      </c>
      <c r="J52" s="38">
        <v>97</v>
      </c>
      <c r="K52" s="38">
        <v>92</v>
      </c>
      <c r="L52" s="38">
        <f t="shared" si="0"/>
        <v>641</v>
      </c>
      <c r="M52" s="70">
        <f t="shared" si="1"/>
        <v>91.571428571428569</v>
      </c>
      <c r="N52" s="70">
        <f t="shared" si="2"/>
        <v>10</v>
      </c>
      <c r="O52" s="38"/>
      <c r="P52" s="76"/>
    </row>
    <row r="53" spans="1:16" ht="20.100000000000001" customHeight="1" x14ac:dyDescent="0.25">
      <c r="A53" s="155">
        <v>50</v>
      </c>
      <c r="B53" s="139"/>
      <c r="C53" s="136"/>
      <c r="D53" s="136"/>
      <c r="E53" s="38"/>
      <c r="F53" s="38"/>
      <c r="G53" s="38"/>
      <c r="H53" s="38"/>
      <c r="I53" s="38"/>
      <c r="J53" s="38"/>
      <c r="K53" s="38"/>
      <c r="L53" s="38"/>
      <c r="M53" s="70"/>
      <c r="N53" s="70"/>
      <c r="O53" s="38"/>
      <c r="P53" s="76"/>
    </row>
    <row r="54" spans="1:16" ht="20.100000000000001" customHeight="1" x14ac:dyDescent="0.25">
      <c r="A54" s="155">
        <v>51</v>
      </c>
      <c r="B54" s="139"/>
      <c r="C54" s="136"/>
      <c r="D54" s="136"/>
      <c r="E54" s="38"/>
      <c r="F54" s="38"/>
      <c r="G54" s="38"/>
      <c r="H54" s="38"/>
      <c r="I54" s="38"/>
      <c r="J54" s="38"/>
      <c r="K54" s="38"/>
      <c r="L54" s="38"/>
      <c r="M54" s="70"/>
      <c r="N54" s="70"/>
      <c r="O54" s="38"/>
      <c r="P54" s="76"/>
    </row>
    <row r="55" spans="1:16" ht="20.100000000000001" customHeight="1" x14ac:dyDescent="0.25">
      <c r="A55" s="155">
        <v>52</v>
      </c>
      <c r="B55" s="139"/>
      <c r="C55" s="136"/>
      <c r="D55" s="136"/>
      <c r="E55" s="38"/>
      <c r="F55" s="38"/>
      <c r="G55" s="38"/>
      <c r="H55" s="38"/>
      <c r="I55" s="38"/>
      <c r="J55" s="38"/>
      <c r="K55" s="38"/>
      <c r="L55" s="38"/>
      <c r="M55" s="70"/>
      <c r="N55" s="70"/>
      <c r="O55" s="38"/>
      <c r="P55" s="76"/>
    </row>
    <row r="56" spans="1:16" ht="20.100000000000001" customHeight="1" x14ac:dyDescent="0.25">
      <c r="A56" s="155">
        <v>53</v>
      </c>
      <c r="B56" s="153"/>
      <c r="C56" s="42"/>
      <c r="D56" s="42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16" ht="20.100000000000001" customHeight="1" x14ac:dyDescent="0.25">
      <c r="A57" s="155">
        <v>54</v>
      </c>
      <c r="B57" s="153"/>
      <c r="C57" s="42"/>
      <c r="D57" s="42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spans="1:16" ht="20.100000000000001" customHeight="1" x14ac:dyDescent="0.25">
      <c r="A58" s="155">
        <v>55</v>
      </c>
      <c r="B58" s="153"/>
      <c r="C58" s="42"/>
      <c r="D58" s="42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spans="1:16" ht="13.5" customHeight="1" x14ac:dyDescent="0.25"/>
    <row r="60" spans="1:16" ht="13.5" customHeight="1" x14ac:dyDescent="0.25"/>
    <row r="61" spans="1:16" ht="13.5" customHeight="1" x14ac:dyDescent="0.25"/>
    <row r="62" spans="1:16" ht="13.5" customHeight="1" x14ac:dyDescent="0.25"/>
    <row r="63" spans="1:16" ht="13.5" customHeight="1" x14ac:dyDescent="0.25"/>
    <row r="64" spans="1:16" ht="13.5" customHeight="1" x14ac:dyDescent="0.25"/>
    <row r="65" spans="1:4" ht="13.5" customHeight="1" x14ac:dyDescent="0.25"/>
    <row r="66" spans="1:4" ht="13.5" customHeight="1" x14ac:dyDescent="0.25">
      <c r="A66" s="37"/>
      <c r="B66" s="37"/>
    </row>
    <row r="67" spans="1:4" ht="13.5" customHeight="1" x14ac:dyDescent="0.25">
      <c r="A67" s="37"/>
      <c r="B67" s="37"/>
    </row>
    <row r="68" spans="1:4" ht="13.5" customHeight="1" x14ac:dyDescent="0.25">
      <c r="A68" s="37"/>
      <c r="B68" s="37"/>
    </row>
    <row r="69" spans="1:4" ht="13.5" customHeight="1" x14ac:dyDescent="0.25">
      <c r="A69" s="37"/>
      <c r="B69" s="37"/>
    </row>
    <row r="70" spans="1:4" ht="13.5" customHeight="1" x14ac:dyDescent="0.25">
      <c r="A70" s="37"/>
      <c r="B70" s="37"/>
    </row>
    <row r="71" spans="1:4" ht="13.5" customHeight="1" x14ac:dyDescent="0.25">
      <c r="A71" s="37"/>
      <c r="B71" s="37"/>
    </row>
    <row r="72" spans="1:4" ht="13.5" customHeight="1" x14ac:dyDescent="0.25">
      <c r="A72" s="37"/>
      <c r="B72" s="37"/>
    </row>
    <row r="73" spans="1:4" ht="13.5" customHeight="1" x14ac:dyDescent="0.25">
      <c r="A73" s="37"/>
      <c r="B73" s="37"/>
    </row>
    <row r="74" spans="1:4" ht="13.5" customHeight="1" x14ac:dyDescent="0.25">
      <c r="A74" s="37"/>
      <c r="B74" s="37"/>
    </row>
    <row r="75" spans="1:4" ht="13.5" customHeight="1" x14ac:dyDescent="0.25">
      <c r="A75" s="37"/>
      <c r="B75" s="37"/>
      <c r="C75" s="8"/>
      <c r="D75" s="8"/>
    </row>
    <row r="76" spans="1:4" ht="13.5" customHeight="1" x14ac:dyDescent="0.25">
      <c r="A76" s="37"/>
      <c r="B76" s="37"/>
      <c r="C76" s="8"/>
      <c r="D76" s="8"/>
    </row>
    <row r="77" spans="1:4" ht="13.5" customHeight="1" x14ac:dyDescent="0.25">
      <c r="A77" s="37"/>
      <c r="B77" s="37"/>
      <c r="C77" s="8"/>
      <c r="D77" s="8"/>
    </row>
    <row r="78" spans="1:4" ht="13.5" customHeight="1" x14ac:dyDescent="0.25">
      <c r="A78" s="37"/>
      <c r="B78" s="37"/>
      <c r="C78" s="8"/>
      <c r="D78" s="8"/>
    </row>
    <row r="79" spans="1:4" ht="13.5" customHeight="1" x14ac:dyDescent="0.25">
      <c r="A79" s="37"/>
      <c r="B79" s="37"/>
      <c r="C79" s="8"/>
      <c r="D79" s="8"/>
    </row>
    <row r="80" spans="1:4" ht="13.5" customHeight="1" x14ac:dyDescent="0.25">
      <c r="A80" s="37"/>
      <c r="B80" s="37"/>
      <c r="C80" s="8"/>
      <c r="D80" s="8"/>
    </row>
    <row r="81" spans="1:4" ht="13.5" customHeight="1" x14ac:dyDescent="0.25">
      <c r="A81" s="37"/>
      <c r="B81" s="37"/>
      <c r="C81" s="8"/>
      <c r="D81" s="8"/>
    </row>
    <row r="82" spans="1:4" ht="13.5" customHeight="1" x14ac:dyDescent="0.25">
      <c r="A82" s="37"/>
      <c r="B82" s="37"/>
      <c r="C82" s="8"/>
      <c r="D82" s="8"/>
    </row>
    <row r="83" spans="1:4" ht="13.5" customHeight="1" x14ac:dyDescent="0.25">
      <c r="A83" s="37"/>
      <c r="B83" s="37"/>
      <c r="C83" s="8"/>
      <c r="D83" s="8"/>
    </row>
    <row r="84" spans="1:4" ht="13.5" customHeight="1" x14ac:dyDescent="0.25">
      <c r="A84" s="37"/>
      <c r="B84" s="37"/>
    </row>
    <row r="85" spans="1:4" ht="13.5" customHeight="1" x14ac:dyDescent="0.25">
      <c r="A85" s="37"/>
      <c r="B85" s="37"/>
    </row>
    <row r="86" spans="1:4" ht="13.5" customHeight="1" x14ac:dyDescent="0.25">
      <c r="A86" s="37"/>
      <c r="B86" s="37"/>
    </row>
    <row r="87" spans="1:4" ht="13.5" customHeight="1" x14ac:dyDescent="0.25">
      <c r="A87" s="37"/>
      <c r="B87" s="37"/>
    </row>
    <row r="88" spans="1:4" ht="13.5" customHeight="1" x14ac:dyDescent="0.25">
      <c r="A88" s="37"/>
      <c r="B88" s="37"/>
    </row>
    <row r="89" spans="1:4" ht="13.5" customHeight="1" x14ac:dyDescent="0.25">
      <c r="A89" s="37"/>
      <c r="B89" s="37"/>
    </row>
    <row r="90" spans="1:4" ht="13.5" customHeight="1" x14ac:dyDescent="0.25">
      <c r="A90" s="37"/>
      <c r="B90" s="37"/>
    </row>
    <row r="91" spans="1:4" ht="13.5" customHeight="1" x14ac:dyDescent="0.25">
      <c r="A91" s="37"/>
      <c r="B91" s="37"/>
    </row>
    <row r="92" spans="1:4" ht="13.5" customHeight="1" x14ac:dyDescent="0.25">
      <c r="A92" s="37"/>
      <c r="B92" s="37"/>
    </row>
    <row r="93" spans="1:4" ht="13.5" customHeight="1" x14ac:dyDescent="0.25">
      <c r="A93" s="37"/>
      <c r="B93" s="37"/>
    </row>
    <row r="94" spans="1:4" ht="13.5" customHeight="1" x14ac:dyDescent="0.25">
      <c r="A94" s="37"/>
      <c r="B94" s="37"/>
    </row>
    <row r="95" spans="1:4" ht="13.5" customHeight="1" x14ac:dyDescent="0.25">
      <c r="A95" s="37"/>
      <c r="B95" s="37"/>
    </row>
    <row r="96" spans="1:4" ht="13.5" customHeight="1" x14ac:dyDescent="0.25">
      <c r="A96" s="37"/>
      <c r="B96" s="37"/>
    </row>
    <row r="97" spans="1:2" ht="13.5" customHeight="1" x14ac:dyDescent="0.25">
      <c r="A97" s="37"/>
      <c r="B97" s="37"/>
    </row>
    <row r="98" spans="1:2" ht="13.5" customHeight="1" x14ac:dyDescent="0.25">
      <c r="A98" s="37"/>
      <c r="B98" s="37"/>
    </row>
    <row r="99" spans="1:2" ht="15" customHeight="1" x14ac:dyDescent="0.25">
      <c r="A99" s="37"/>
      <c r="B99" s="37"/>
    </row>
  </sheetData>
  <mergeCells count="2">
    <mergeCell ref="A1:P1"/>
    <mergeCell ref="A2:P2"/>
  </mergeCells>
  <pageMargins left="0.7" right="0.7" top="0.75" bottom="0.75" header="0.3" footer="0.3"/>
  <pageSetup paperSize="9" scale="90" fitToHeight="0" orientation="landscape" r:id="rId1"/>
  <rowBreaks count="1" manualBreakCount="1">
    <brk id="26" max="15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workbookViewId="0">
      <selection activeCell="B4" sqref="B4:B52"/>
    </sheetView>
  </sheetViews>
  <sheetFormatPr defaultRowHeight="15" x14ac:dyDescent="0.25"/>
  <cols>
    <col min="1" max="1" width="4.85546875" customWidth="1"/>
    <col min="2" max="2" width="37.140625" customWidth="1"/>
    <col min="3" max="3" width="6.140625" customWidth="1"/>
    <col min="4" max="4" width="4.85546875" customWidth="1"/>
    <col min="5" max="16" width="7.7109375" customWidth="1"/>
    <col min="17" max="17" width="38.28515625" customWidth="1"/>
    <col min="18" max="19" width="4.85546875" customWidth="1"/>
  </cols>
  <sheetData>
    <row r="1" spans="1:19" ht="20.25" customHeight="1" thickBot="1" x14ac:dyDescent="0.3">
      <c r="A1" s="254" t="s">
        <v>60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6"/>
      <c r="Q1" s="37"/>
    </row>
    <row r="2" spans="1:19" ht="15.75" customHeight="1" thickBot="1" x14ac:dyDescent="0.3">
      <c r="A2" s="257" t="s">
        <v>45</v>
      </c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8"/>
      <c r="Q2" s="37"/>
    </row>
    <row r="3" spans="1:19" ht="60" customHeight="1" x14ac:dyDescent="0.25">
      <c r="A3" s="40" t="s">
        <v>28</v>
      </c>
      <c r="B3" s="128" t="s">
        <v>1</v>
      </c>
      <c r="C3" s="128" t="s">
        <v>2</v>
      </c>
      <c r="D3" s="128" t="s">
        <v>3</v>
      </c>
      <c r="E3" s="121" t="s">
        <v>5</v>
      </c>
      <c r="F3" s="121" t="s">
        <v>6</v>
      </c>
      <c r="G3" s="121" t="s">
        <v>7</v>
      </c>
      <c r="H3" s="121" t="s">
        <v>8</v>
      </c>
      <c r="I3" s="121" t="s">
        <v>9</v>
      </c>
      <c r="J3" s="121" t="s">
        <v>67</v>
      </c>
      <c r="K3" s="121" t="s">
        <v>68</v>
      </c>
      <c r="L3" s="19" t="s">
        <v>15</v>
      </c>
      <c r="M3" s="17" t="s">
        <v>16</v>
      </c>
      <c r="N3" s="17" t="s">
        <v>17</v>
      </c>
      <c r="O3" s="17" t="s">
        <v>18</v>
      </c>
      <c r="P3" s="130" t="s">
        <v>19</v>
      </c>
    </row>
    <row r="4" spans="1:19" ht="20.100000000000001" customHeight="1" x14ac:dyDescent="0.25">
      <c r="A4" s="155">
        <v>1</v>
      </c>
      <c r="B4" s="141"/>
      <c r="C4" s="145">
        <v>16</v>
      </c>
      <c r="D4" s="145" t="s">
        <v>20</v>
      </c>
      <c r="E4" s="23">
        <v>99</v>
      </c>
      <c r="F4" s="23">
        <v>93</v>
      </c>
      <c r="G4" s="23">
        <v>95</v>
      </c>
      <c r="H4" s="23">
        <v>100</v>
      </c>
      <c r="I4" s="23">
        <v>100</v>
      </c>
      <c r="J4" s="23">
        <v>100</v>
      </c>
      <c r="K4" s="23">
        <v>98</v>
      </c>
      <c r="L4" s="23">
        <f>SUM(E4:K4)</f>
        <v>685</v>
      </c>
      <c r="M4" s="192">
        <f>AVERAGE(E4:K4)</f>
        <v>97.857142857142861</v>
      </c>
      <c r="N4" s="22">
        <f>RANK(M4,$M$4:$M$52)</f>
        <v>2</v>
      </c>
      <c r="O4" s="23"/>
      <c r="P4" s="186"/>
    </row>
    <row r="5" spans="1:19" ht="20.100000000000001" customHeight="1" x14ac:dyDescent="0.25">
      <c r="A5" s="155">
        <v>2</v>
      </c>
      <c r="B5" s="141"/>
      <c r="C5" s="145">
        <v>18</v>
      </c>
      <c r="D5" s="145" t="s">
        <v>20</v>
      </c>
      <c r="E5" s="23">
        <v>91</v>
      </c>
      <c r="F5" s="23">
        <v>96</v>
      </c>
      <c r="G5" s="23">
        <v>95</v>
      </c>
      <c r="H5" s="23">
        <v>85</v>
      </c>
      <c r="I5" s="23">
        <v>98</v>
      </c>
      <c r="J5" s="23">
        <v>79</v>
      </c>
      <c r="K5" s="23">
        <v>88</v>
      </c>
      <c r="L5" s="23">
        <f t="shared" ref="L5:L52" si="0">SUM(E5:K5)</f>
        <v>632</v>
      </c>
      <c r="M5" s="192">
        <f t="shared" ref="M5:M52" si="1">AVERAGE(E5:K5)</f>
        <v>90.285714285714292</v>
      </c>
      <c r="N5" s="22">
        <f t="shared" ref="N5:N52" si="2">RANK(M5,$M$4:$M$52)</f>
        <v>14</v>
      </c>
      <c r="O5" s="23"/>
      <c r="P5" s="186"/>
    </row>
    <row r="6" spans="1:19" ht="20.100000000000001" customHeight="1" x14ac:dyDescent="0.25">
      <c r="A6" s="155">
        <v>3</v>
      </c>
      <c r="B6" s="141"/>
      <c r="C6" s="145">
        <v>16</v>
      </c>
      <c r="D6" s="145" t="s">
        <v>20</v>
      </c>
      <c r="E6" s="23">
        <v>86</v>
      </c>
      <c r="F6" s="23">
        <v>59</v>
      </c>
      <c r="G6" s="23">
        <v>65</v>
      </c>
      <c r="H6" s="23">
        <v>76</v>
      </c>
      <c r="I6" s="23">
        <v>89</v>
      </c>
      <c r="J6" s="23">
        <v>92</v>
      </c>
      <c r="K6" s="23">
        <v>85</v>
      </c>
      <c r="L6" s="23">
        <f t="shared" si="0"/>
        <v>552</v>
      </c>
      <c r="M6" s="192">
        <f t="shared" si="1"/>
        <v>78.857142857142861</v>
      </c>
      <c r="N6" s="22">
        <f t="shared" si="2"/>
        <v>38</v>
      </c>
      <c r="O6" s="23"/>
      <c r="P6" s="186"/>
    </row>
    <row r="7" spans="1:19" ht="20.100000000000001" customHeight="1" x14ac:dyDescent="0.25">
      <c r="A7" s="155">
        <v>4</v>
      </c>
      <c r="B7" s="141"/>
      <c r="C7" s="145">
        <v>17</v>
      </c>
      <c r="D7" s="145" t="s">
        <v>23</v>
      </c>
      <c r="E7" s="23">
        <v>55</v>
      </c>
      <c r="F7" s="23">
        <v>59</v>
      </c>
      <c r="G7" s="23">
        <v>68</v>
      </c>
      <c r="H7" s="23">
        <v>71</v>
      </c>
      <c r="I7" s="23">
        <v>78</v>
      </c>
      <c r="J7" s="23">
        <v>70</v>
      </c>
      <c r="K7" s="23">
        <v>83</v>
      </c>
      <c r="L7" s="23">
        <f t="shared" si="0"/>
        <v>484</v>
      </c>
      <c r="M7" s="192">
        <f t="shared" si="1"/>
        <v>69.142857142857139</v>
      </c>
      <c r="N7" s="22">
        <f t="shared" si="2"/>
        <v>44</v>
      </c>
      <c r="O7" s="23"/>
      <c r="P7" s="186"/>
    </row>
    <row r="8" spans="1:19" ht="20.100000000000001" customHeight="1" x14ac:dyDescent="0.25">
      <c r="A8" s="155">
        <v>5</v>
      </c>
      <c r="B8" s="141"/>
      <c r="C8" s="145">
        <v>16</v>
      </c>
      <c r="D8" s="145" t="s">
        <v>23</v>
      </c>
      <c r="E8" s="23">
        <v>87</v>
      </c>
      <c r="F8" s="23">
        <v>88</v>
      </c>
      <c r="G8" s="23">
        <v>95</v>
      </c>
      <c r="H8" s="23">
        <v>100</v>
      </c>
      <c r="I8" s="23">
        <v>100</v>
      </c>
      <c r="J8" s="23">
        <v>100</v>
      </c>
      <c r="K8" s="23">
        <v>98</v>
      </c>
      <c r="L8" s="23">
        <f t="shared" si="0"/>
        <v>668</v>
      </c>
      <c r="M8" s="192">
        <f t="shared" si="1"/>
        <v>95.428571428571431</v>
      </c>
      <c r="N8" s="22">
        <f t="shared" si="2"/>
        <v>6</v>
      </c>
      <c r="O8" s="23"/>
      <c r="P8" s="186"/>
      <c r="Q8" s="8"/>
      <c r="R8" s="8"/>
      <c r="S8" s="8"/>
    </row>
    <row r="9" spans="1:19" ht="20.100000000000001" customHeight="1" x14ac:dyDescent="0.25">
      <c r="A9" s="155">
        <v>6</v>
      </c>
      <c r="B9" s="141"/>
      <c r="C9" s="145">
        <v>15</v>
      </c>
      <c r="D9" s="145" t="s">
        <v>23</v>
      </c>
      <c r="E9" s="23">
        <v>68</v>
      </c>
      <c r="F9" s="23">
        <v>67</v>
      </c>
      <c r="G9" s="23">
        <v>78</v>
      </c>
      <c r="H9" s="23">
        <v>95</v>
      </c>
      <c r="I9" s="23">
        <v>81</v>
      </c>
      <c r="J9" s="23">
        <v>91</v>
      </c>
      <c r="K9" s="23">
        <v>86</v>
      </c>
      <c r="L9" s="23">
        <f t="shared" si="0"/>
        <v>566</v>
      </c>
      <c r="M9" s="192">
        <f t="shared" si="1"/>
        <v>80.857142857142861</v>
      </c>
      <c r="N9" s="22">
        <f t="shared" si="2"/>
        <v>32</v>
      </c>
      <c r="O9" s="23"/>
      <c r="P9" s="186"/>
      <c r="Q9" s="8"/>
      <c r="R9" s="8"/>
      <c r="S9" s="8"/>
    </row>
    <row r="10" spans="1:19" ht="20.100000000000001" customHeight="1" x14ac:dyDescent="0.25">
      <c r="A10" s="155">
        <v>7</v>
      </c>
      <c r="B10" s="141"/>
      <c r="C10" s="145">
        <v>16</v>
      </c>
      <c r="D10" s="145" t="s">
        <v>23</v>
      </c>
      <c r="E10" s="23">
        <v>80</v>
      </c>
      <c r="F10" s="23">
        <v>77</v>
      </c>
      <c r="G10" s="23">
        <v>84</v>
      </c>
      <c r="H10" s="23">
        <v>95</v>
      </c>
      <c r="I10" s="23">
        <v>100</v>
      </c>
      <c r="J10" s="23">
        <v>95</v>
      </c>
      <c r="K10" s="23">
        <v>96</v>
      </c>
      <c r="L10" s="23">
        <f t="shared" si="0"/>
        <v>627</v>
      </c>
      <c r="M10" s="192">
        <f t="shared" si="1"/>
        <v>89.571428571428569</v>
      </c>
      <c r="N10" s="22">
        <f t="shared" si="2"/>
        <v>16</v>
      </c>
      <c r="O10" s="23"/>
      <c r="P10" s="186"/>
      <c r="Q10" s="8"/>
      <c r="R10" s="8"/>
      <c r="S10" s="8"/>
    </row>
    <row r="11" spans="1:19" ht="20.100000000000001" customHeight="1" x14ac:dyDescent="0.25">
      <c r="A11" s="155">
        <v>8</v>
      </c>
      <c r="B11" s="141"/>
      <c r="C11" s="145">
        <v>16</v>
      </c>
      <c r="D11" s="145" t="s">
        <v>23</v>
      </c>
      <c r="E11" s="23">
        <v>69</v>
      </c>
      <c r="F11" s="23">
        <v>88</v>
      </c>
      <c r="G11" s="23">
        <v>80</v>
      </c>
      <c r="H11" s="23">
        <v>100</v>
      </c>
      <c r="I11" s="23">
        <v>100</v>
      </c>
      <c r="J11" s="23">
        <v>95</v>
      </c>
      <c r="K11" s="23">
        <v>96</v>
      </c>
      <c r="L11" s="23">
        <f t="shared" si="0"/>
        <v>628</v>
      </c>
      <c r="M11" s="192">
        <f t="shared" si="1"/>
        <v>89.714285714285708</v>
      </c>
      <c r="N11" s="22">
        <f t="shared" si="2"/>
        <v>15</v>
      </c>
      <c r="O11" s="23"/>
      <c r="P11" s="186"/>
      <c r="Q11" s="8"/>
      <c r="R11" s="8"/>
      <c r="S11" s="8"/>
    </row>
    <row r="12" spans="1:19" ht="20.100000000000001" customHeight="1" x14ac:dyDescent="0.25">
      <c r="A12" s="155">
        <v>9</v>
      </c>
      <c r="B12" s="141"/>
      <c r="C12" s="145">
        <v>17</v>
      </c>
      <c r="D12" s="145" t="s">
        <v>20</v>
      </c>
      <c r="E12" s="23">
        <v>68</v>
      </c>
      <c r="F12" s="23">
        <v>60</v>
      </c>
      <c r="G12" s="23">
        <v>78</v>
      </c>
      <c r="H12" s="23">
        <v>74</v>
      </c>
      <c r="I12" s="23">
        <v>70</v>
      </c>
      <c r="J12" s="23">
        <v>70</v>
      </c>
      <c r="K12" s="23">
        <v>80</v>
      </c>
      <c r="L12" s="23">
        <f t="shared" si="0"/>
        <v>500</v>
      </c>
      <c r="M12" s="192">
        <f t="shared" si="1"/>
        <v>71.428571428571431</v>
      </c>
      <c r="N12" s="22">
        <f t="shared" si="2"/>
        <v>42</v>
      </c>
      <c r="O12" s="23"/>
      <c r="P12" s="186"/>
      <c r="Q12" s="8"/>
      <c r="R12" s="8"/>
      <c r="S12" s="8"/>
    </row>
    <row r="13" spans="1:19" ht="20.100000000000001" customHeight="1" x14ac:dyDescent="0.25">
      <c r="A13" s="155">
        <v>10</v>
      </c>
      <c r="B13" s="141"/>
      <c r="C13" s="145">
        <v>16</v>
      </c>
      <c r="D13" s="145" t="s">
        <v>20</v>
      </c>
      <c r="E13" s="23">
        <v>67</v>
      </c>
      <c r="F13" s="23">
        <v>80</v>
      </c>
      <c r="G13" s="23">
        <v>74</v>
      </c>
      <c r="H13" s="23">
        <v>86</v>
      </c>
      <c r="I13" s="23">
        <v>89</v>
      </c>
      <c r="J13" s="23">
        <v>86</v>
      </c>
      <c r="K13" s="23">
        <v>96</v>
      </c>
      <c r="L13" s="23">
        <f t="shared" si="0"/>
        <v>578</v>
      </c>
      <c r="M13" s="192">
        <f t="shared" si="1"/>
        <v>82.571428571428569</v>
      </c>
      <c r="N13" s="22">
        <f t="shared" si="2"/>
        <v>27</v>
      </c>
      <c r="O13" s="23"/>
      <c r="P13" s="186"/>
      <c r="Q13" s="8"/>
      <c r="R13" s="8"/>
      <c r="S13" s="8"/>
    </row>
    <row r="14" spans="1:19" ht="20.100000000000001" customHeight="1" x14ac:dyDescent="0.25">
      <c r="A14" s="155">
        <v>11</v>
      </c>
      <c r="B14" s="141"/>
      <c r="C14" s="145">
        <v>16</v>
      </c>
      <c r="D14" s="145" t="s">
        <v>20</v>
      </c>
      <c r="E14" s="23">
        <v>80</v>
      </c>
      <c r="F14" s="23">
        <v>88</v>
      </c>
      <c r="G14" s="23">
        <v>93</v>
      </c>
      <c r="H14" s="23">
        <v>97</v>
      </c>
      <c r="I14" s="23">
        <v>91</v>
      </c>
      <c r="J14" s="23">
        <v>99</v>
      </c>
      <c r="K14" s="23">
        <v>90</v>
      </c>
      <c r="L14" s="23">
        <f t="shared" si="0"/>
        <v>638</v>
      </c>
      <c r="M14" s="192">
        <f t="shared" si="1"/>
        <v>91.142857142857139</v>
      </c>
      <c r="N14" s="22">
        <f t="shared" si="2"/>
        <v>12</v>
      </c>
      <c r="O14" s="23"/>
      <c r="P14" s="186"/>
      <c r="Q14" s="8"/>
      <c r="R14" s="8"/>
      <c r="S14" s="8"/>
    </row>
    <row r="15" spans="1:19" ht="20.100000000000001" customHeight="1" x14ac:dyDescent="0.25">
      <c r="A15" s="155">
        <v>12</v>
      </c>
      <c r="B15" s="141"/>
      <c r="C15" s="145">
        <v>15</v>
      </c>
      <c r="D15" s="145" t="s">
        <v>23</v>
      </c>
      <c r="E15" s="23">
        <v>80</v>
      </c>
      <c r="F15" s="23">
        <v>67</v>
      </c>
      <c r="G15" s="23">
        <v>63</v>
      </c>
      <c r="H15" s="23">
        <v>81</v>
      </c>
      <c r="I15" s="23">
        <v>92</v>
      </c>
      <c r="J15" s="23">
        <v>86</v>
      </c>
      <c r="K15" s="23">
        <v>92</v>
      </c>
      <c r="L15" s="23">
        <f t="shared" si="0"/>
        <v>561</v>
      </c>
      <c r="M15" s="192">
        <f t="shared" si="1"/>
        <v>80.142857142857139</v>
      </c>
      <c r="N15" s="22">
        <f t="shared" si="2"/>
        <v>34</v>
      </c>
      <c r="O15" s="23"/>
      <c r="P15" s="186"/>
      <c r="Q15" s="8"/>
      <c r="R15" s="8"/>
      <c r="S15" s="8"/>
    </row>
    <row r="16" spans="1:19" ht="20.100000000000001" customHeight="1" x14ac:dyDescent="0.25">
      <c r="A16" s="155">
        <v>13</v>
      </c>
      <c r="B16" s="141"/>
      <c r="C16" s="145">
        <v>17</v>
      </c>
      <c r="D16" s="145" t="s">
        <v>23</v>
      </c>
      <c r="E16" s="23">
        <v>80</v>
      </c>
      <c r="F16" s="23">
        <v>81</v>
      </c>
      <c r="G16" s="23">
        <v>63</v>
      </c>
      <c r="H16" s="23">
        <v>88</v>
      </c>
      <c r="I16" s="23">
        <v>81</v>
      </c>
      <c r="J16" s="23">
        <v>94</v>
      </c>
      <c r="K16" s="23">
        <v>89</v>
      </c>
      <c r="L16" s="23">
        <f t="shared" si="0"/>
        <v>576</v>
      </c>
      <c r="M16" s="192">
        <f t="shared" si="1"/>
        <v>82.285714285714292</v>
      </c>
      <c r="N16" s="22">
        <f t="shared" si="2"/>
        <v>28</v>
      </c>
      <c r="O16" s="23"/>
      <c r="P16" s="186"/>
      <c r="Q16" s="8"/>
      <c r="R16" s="8"/>
      <c r="S16" s="8"/>
    </row>
    <row r="17" spans="1:19" ht="20.100000000000001" customHeight="1" x14ac:dyDescent="0.25">
      <c r="A17" s="155">
        <v>14</v>
      </c>
      <c r="B17" s="141"/>
      <c r="C17" s="145">
        <v>16</v>
      </c>
      <c r="D17" s="145" t="s">
        <v>23</v>
      </c>
      <c r="E17" s="23">
        <v>90</v>
      </c>
      <c r="F17" s="23">
        <v>88</v>
      </c>
      <c r="G17" s="23">
        <v>90</v>
      </c>
      <c r="H17" s="23">
        <v>95</v>
      </c>
      <c r="I17" s="23">
        <v>97</v>
      </c>
      <c r="J17" s="23">
        <v>100</v>
      </c>
      <c r="K17" s="23">
        <v>98</v>
      </c>
      <c r="L17" s="23">
        <f t="shared" si="0"/>
        <v>658</v>
      </c>
      <c r="M17" s="192">
        <f t="shared" si="1"/>
        <v>94</v>
      </c>
      <c r="N17" s="22">
        <f t="shared" si="2"/>
        <v>9</v>
      </c>
      <c r="O17" s="23"/>
      <c r="P17" s="186"/>
      <c r="Q17" s="8"/>
      <c r="R17" s="8"/>
      <c r="S17" s="8"/>
    </row>
    <row r="18" spans="1:19" ht="20.100000000000001" customHeight="1" x14ac:dyDescent="0.25">
      <c r="A18" s="155">
        <v>15</v>
      </c>
      <c r="B18" s="141"/>
      <c r="C18" s="145">
        <v>17</v>
      </c>
      <c r="D18" s="145" t="s">
        <v>20</v>
      </c>
      <c r="E18" s="23">
        <v>54</v>
      </c>
      <c r="F18" s="23">
        <v>69</v>
      </c>
      <c r="G18" s="23">
        <v>66</v>
      </c>
      <c r="H18" s="23">
        <v>77</v>
      </c>
      <c r="I18" s="23">
        <v>80</v>
      </c>
      <c r="J18" s="23">
        <v>86</v>
      </c>
      <c r="K18" s="23">
        <v>80</v>
      </c>
      <c r="L18" s="23">
        <f t="shared" si="0"/>
        <v>512</v>
      </c>
      <c r="M18" s="192">
        <f t="shared" si="1"/>
        <v>73.142857142857139</v>
      </c>
      <c r="N18" s="22">
        <f t="shared" si="2"/>
        <v>40</v>
      </c>
      <c r="O18" s="23"/>
      <c r="P18" s="186"/>
      <c r="Q18" s="8"/>
      <c r="R18" s="8"/>
      <c r="S18" s="8"/>
    </row>
    <row r="19" spans="1:19" ht="20.100000000000001" customHeight="1" x14ac:dyDescent="0.25">
      <c r="A19" s="155">
        <v>16</v>
      </c>
      <c r="B19" s="141"/>
      <c r="C19" s="145">
        <v>16</v>
      </c>
      <c r="D19" s="145" t="s">
        <v>23</v>
      </c>
      <c r="E19" s="23">
        <v>78</v>
      </c>
      <c r="F19" s="23">
        <v>76</v>
      </c>
      <c r="G19" s="23">
        <v>80</v>
      </c>
      <c r="H19" s="23">
        <v>91</v>
      </c>
      <c r="I19" s="23">
        <v>89</v>
      </c>
      <c r="J19" s="23">
        <v>87</v>
      </c>
      <c r="K19" s="23">
        <v>86</v>
      </c>
      <c r="L19" s="23">
        <f t="shared" si="0"/>
        <v>587</v>
      </c>
      <c r="M19" s="192">
        <f t="shared" si="1"/>
        <v>83.857142857142861</v>
      </c>
      <c r="N19" s="22">
        <f t="shared" si="2"/>
        <v>24</v>
      </c>
      <c r="O19" s="23"/>
      <c r="P19" s="186"/>
      <c r="Q19" s="8"/>
      <c r="R19" s="8"/>
      <c r="S19" s="8"/>
    </row>
    <row r="20" spans="1:19" ht="20.100000000000001" customHeight="1" x14ac:dyDescent="0.25">
      <c r="A20" s="155">
        <v>17</v>
      </c>
      <c r="B20" s="141"/>
      <c r="C20" s="145">
        <v>16</v>
      </c>
      <c r="D20" s="145" t="s">
        <v>20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f t="shared" si="0"/>
        <v>0</v>
      </c>
      <c r="M20" s="192">
        <f t="shared" si="1"/>
        <v>0</v>
      </c>
      <c r="N20" s="22">
        <f t="shared" si="2"/>
        <v>49</v>
      </c>
      <c r="O20" s="23"/>
      <c r="P20" s="186"/>
      <c r="Q20" s="8"/>
      <c r="R20" s="8"/>
      <c r="S20" s="8"/>
    </row>
    <row r="21" spans="1:19" ht="20.100000000000001" customHeight="1" x14ac:dyDescent="0.25">
      <c r="A21" s="155">
        <v>18</v>
      </c>
      <c r="B21" s="141"/>
      <c r="C21" s="145">
        <v>17</v>
      </c>
      <c r="D21" s="145" t="s">
        <v>20</v>
      </c>
      <c r="E21" s="23">
        <v>75</v>
      </c>
      <c r="F21" s="23">
        <v>83</v>
      </c>
      <c r="G21" s="23">
        <v>73</v>
      </c>
      <c r="H21" s="23">
        <v>91</v>
      </c>
      <c r="I21" s="23">
        <v>82</v>
      </c>
      <c r="J21" s="23">
        <v>97</v>
      </c>
      <c r="K21" s="23">
        <v>93</v>
      </c>
      <c r="L21" s="23">
        <f t="shared" si="0"/>
        <v>594</v>
      </c>
      <c r="M21" s="192">
        <f t="shared" si="1"/>
        <v>84.857142857142861</v>
      </c>
      <c r="N21" s="22">
        <f t="shared" si="2"/>
        <v>19</v>
      </c>
      <c r="O21" s="23"/>
      <c r="P21" s="186"/>
    </row>
    <row r="22" spans="1:19" ht="20.100000000000001" customHeight="1" x14ac:dyDescent="0.25">
      <c r="A22" s="155">
        <v>19</v>
      </c>
      <c r="B22" s="172"/>
      <c r="C22" s="150">
        <v>16</v>
      </c>
      <c r="D22" s="150" t="s">
        <v>23</v>
      </c>
      <c r="E22" s="23">
        <v>85</v>
      </c>
      <c r="F22" s="23">
        <v>69</v>
      </c>
      <c r="G22" s="23">
        <v>78</v>
      </c>
      <c r="H22" s="23">
        <v>80</v>
      </c>
      <c r="I22" s="23">
        <v>85</v>
      </c>
      <c r="J22" s="23">
        <v>89</v>
      </c>
      <c r="K22" s="23">
        <v>88</v>
      </c>
      <c r="L22" s="23">
        <f t="shared" si="0"/>
        <v>574</v>
      </c>
      <c r="M22" s="192">
        <f t="shared" si="1"/>
        <v>82</v>
      </c>
      <c r="N22" s="22">
        <f t="shared" si="2"/>
        <v>30</v>
      </c>
      <c r="O22" s="23"/>
      <c r="P22" s="186"/>
    </row>
    <row r="23" spans="1:19" ht="20.100000000000001" customHeight="1" x14ac:dyDescent="0.25">
      <c r="A23" s="155">
        <v>20</v>
      </c>
      <c r="B23" s="141"/>
      <c r="C23" s="145">
        <v>17</v>
      </c>
      <c r="D23" s="145" t="s">
        <v>23</v>
      </c>
      <c r="E23" s="23">
        <v>64</v>
      </c>
      <c r="F23" s="23">
        <v>70</v>
      </c>
      <c r="G23" s="23">
        <v>78</v>
      </c>
      <c r="H23" s="23">
        <v>90</v>
      </c>
      <c r="I23" s="23">
        <v>100</v>
      </c>
      <c r="J23" s="23">
        <v>72</v>
      </c>
      <c r="K23" s="23">
        <v>91</v>
      </c>
      <c r="L23" s="23">
        <f t="shared" si="0"/>
        <v>565</v>
      </c>
      <c r="M23" s="192">
        <f t="shared" si="1"/>
        <v>80.714285714285708</v>
      </c>
      <c r="N23" s="22">
        <f t="shared" si="2"/>
        <v>33</v>
      </c>
      <c r="O23" s="23"/>
      <c r="P23" s="186"/>
    </row>
    <row r="24" spans="1:19" ht="20.100000000000001" customHeight="1" x14ac:dyDescent="0.25">
      <c r="A24" s="155">
        <v>21</v>
      </c>
      <c r="B24" s="141"/>
      <c r="C24" s="145">
        <v>17</v>
      </c>
      <c r="D24" s="145" t="s">
        <v>23</v>
      </c>
      <c r="E24" s="23">
        <v>65</v>
      </c>
      <c r="F24" s="23">
        <v>55</v>
      </c>
      <c r="G24" s="23">
        <v>61</v>
      </c>
      <c r="H24" s="23">
        <v>80</v>
      </c>
      <c r="I24" s="23">
        <v>72</v>
      </c>
      <c r="J24" s="23">
        <v>81</v>
      </c>
      <c r="K24" s="23">
        <v>73</v>
      </c>
      <c r="L24" s="23">
        <f t="shared" si="0"/>
        <v>487</v>
      </c>
      <c r="M24" s="192">
        <f t="shared" si="1"/>
        <v>69.571428571428569</v>
      </c>
      <c r="N24" s="22">
        <f t="shared" si="2"/>
        <v>43</v>
      </c>
      <c r="O24" s="23"/>
      <c r="P24" s="186"/>
    </row>
    <row r="25" spans="1:19" ht="20.100000000000001" customHeight="1" x14ac:dyDescent="0.25">
      <c r="A25" s="155">
        <v>22</v>
      </c>
      <c r="B25" s="141"/>
      <c r="C25" s="145">
        <v>15</v>
      </c>
      <c r="D25" s="145" t="s">
        <v>23</v>
      </c>
      <c r="E25" s="23">
        <v>99</v>
      </c>
      <c r="F25" s="23">
        <v>94</v>
      </c>
      <c r="G25" s="23">
        <v>96</v>
      </c>
      <c r="H25" s="23">
        <v>100</v>
      </c>
      <c r="I25" s="23">
        <v>100</v>
      </c>
      <c r="J25" s="23">
        <v>100</v>
      </c>
      <c r="K25" s="23">
        <v>99</v>
      </c>
      <c r="L25" s="23">
        <f t="shared" si="0"/>
        <v>688</v>
      </c>
      <c r="M25" s="192">
        <f t="shared" si="1"/>
        <v>98.285714285714292</v>
      </c>
      <c r="N25" s="22">
        <f t="shared" si="2"/>
        <v>1</v>
      </c>
      <c r="O25" s="23"/>
      <c r="P25" s="186"/>
    </row>
    <row r="26" spans="1:19" ht="20.100000000000001" customHeight="1" x14ac:dyDescent="0.25">
      <c r="A26" s="155">
        <v>23</v>
      </c>
      <c r="B26" s="141"/>
      <c r="C26" s="145">
        <v>16</v>
      </c>
      <c r="D26" s="145" t="s">
        <v>23</v>
      </c>
      <c r="E26" s="23">
        <v>78</v>
      </c>
      <c r="F26" s="23">
        <v>68</v>
      </c>
      <c r="G26" s="23">
        <v>78</v>
      </c>
      <c r="H26" s="23">
        <v>90</v>
      </c>
      <c r="I26" s="23">
        <v>87</v>
      </c>
      <c r="J26" s="23">
        <v>90</v>
      </c>
      <c r="K26" s="23">
        <v>94</v>
      </c>
      <c r="L26" s="23">
        <f t="shared" si="0"/>
        <v>585</v>
      </c>
      <c r="M26" s="192">
        <f t="shared" si="1"/>
        <v>83.571428571428569</v>
      </c>
      <c r="N26" s="22">
        <f t="shared" si="2"/>
        <v>25</v>
      </c>
      <c r="O26" s="23"/>
      <c r="P26" s="186"/>
    </row>
    <row r="27" spans="1:19" ht="20.100000000000001" customHeight="1" x14ac:dyDescent="0.25">
      <c r="A27" s="155">
        <v>24</v>
      </c>
      <c r="B27" s="141"/>
      <c r="C27" s="145">
        <v>17</v>
      </c>
      <c r="D27" s="145" t="s">
        <v>23</v>
      </c>
      <c r="E27" s="23">
        <v>91</v>
      </c>
      <c r="F27" s="23">
        <v>91</v>
      </c>
      <c r="G27" s="23">
        <v>96</v>
      </c>
      <c r="H27" s="23">
        <v>98</v>
      </c>
      <c r="I27" s="23">
        <v>100</v>
      </c>
      <c r="J27" s="23">
        <v>99</v>
      </c>
      <c r="K27" s="23">
        <v>97</v>
      </c>
      <c r="L27" s="23">
        <f t="shared" si="0"/>
        <v>672</v>
      </c>
      <c r="M27" s="192">
        <f t="shared" si="1"/>
        <v>96</v>
      </c>
      <c r="N27" s="22">
        <f t="shared" si="2"/>
        <v>4</v>
      </c>
      <c r="O27" s="23"/>
      <c r="P27" s="186"/>
    </row>
    <row r="28" spans="1:19" ht="20.100000000000001" customHeight="1" x14ac:dyDescent="0.25">
      <c r="A28" s="155">
        <v>25</v>
      </c>
      <c r="B28" s="141"/>
      <c r="C28" s="145">
        <v>16</v>
      </c>
      <c r="D28" s="145" t="s">
        <v>23</v>
      </c>
      <c r="E28" s="23">
        <v>85</v>
      </c>
      <c r="F28" s="23">
        <v>59</v>
      </c>
      <c r="G28" s="23">
        <v>78</v>
      </c>
      <c r="H28" s="23">
        <v>87</v>
      </c>
      <c r="I28" s="23">
        <v>85</v>
      </c>
      <c r="J28" s="23">
        <v>87</v>
      </c>
      <c r="K28" s="23">
        <v>92</v>
      </c>
      <c r="L28" s="23">
        <f t="shared" si="0"/>
        <v>573</v>
      </c>
      <c r="M28" s="192">
        <f t="shared" si="1"/>
        <v>81.857142857142861</v>
      </c>
      <c r="N28" s="22">
        <f t="shared" si="2"/>
        <v>31</v>
      </c>
      <c r="O28" s="23"/>
      <c r="P28" s="186"/>
    </row>
    <row r="29" spans="1:19" ht="20.100000000000001" customHeight="1" x14ac:dyDescent="0.25">
      <c r="A29" s="155">
        <v>26</v>
      </c>
      <c r="B29" s="141"/>
      <c r="C29" s="145">
        <v>18</v>
      </c>
      <c r="D29" s="145" t="s">
        <v>23</v>
      </c>
      <c r="E29" s="23">
        <v>79</v>
      </c>
      <c r="F29" s="23">
        <v>91</v>
      </c>
      <c r="G29" s="23">
        <v>91</v>
      </c>
      <c r="H29" s="23">
        <v>100</v>
      </c>
      <c r="I29" s="23">
        <v>98</v>
      </c>
      <c r="J29" s="23">
        <v>94</v>
      </c>
      <c r="K29" s="23">
        <v>100</v>
      </c>
      <c r="L29" s="23">
        <f t="shared" si="0"/>
        <v>653</v>
      </c>
      <c r="M29" s="192">
        <f t="shared" si="1"/>
        <v>93.285714285714292</v>
      </c>
      <c r="N29" s="22">
        <f t="shared" si="2"/>
        <v>10</v>
      </c>
      <c r="O29" s="23"/>
      <c r="P29" s="186"/>
    </row>
    <row r="30" spans="1:19" ht="20.100000000000001" customHeight="1" x14ac:dyDescent="0.25">
      <c r="A30" s="155">
        <v>27</v>
      </c>
      <c r="B30" s="141"/>
      <c r="C30" s="145">
        <v>16</v>
      </c>
      <c r="D30" s="145" t="s">
        <v>23</v>
      </c>
      <c r="E30" s="23">
        <v>74</v>
      </c>
      <c r="F30" s="23">
        <v>54</v>
      </c>
      <c r="G30" s="23">
        <v>67</v>
      </c>
      <c r="H30" s="23">
        <v>85</v>
      </c>
      <c r="I30" s="23">
        <v>63</v>
      </c>
      <c r="J30" s="23">
        <v>85</v>
      </c>
      <c r="K30" s="23">
        <v>54</v>
      </c>
      <c r="L30" s="23">
        <f t="shared" si="0"/>
        <v>482</v>
      </c>
      <c r="M30" s="192">
        <f t="shared" si="1"/>
        <v>68.857142857142861</v>
      </c>
      <c r="N30" s="22">
        <f t="shared" si="2"/>
        <v>45</v>
      </c>
      <c r="O30" s="23"/>
      <c r="P30" s="186"/>
    </row>
    <row r="31" spans="1:19" ht="20.100000000000001" customHeight="1" x14ac:dyDescent="0.25">
      <c r="A31" s="155">
        <v>28</v>
      </c>
      <c r="B31" s="141"/>
      <c r="C31" s="145">
        <v>18</v>
      </c>
      <c r="D31" s="145" t="s">
        <v>23</v>
      </c>
      <c r="E31" s="23">
        <v>63</v>
      </c>
      <c r="F31" s="23">
        <v>56</v>
      </c>
      <c r="G31" s="23">
        <v>82</v>
      </c>
      <c r="H31" s="23">
        <v>73</v>
      </c>
      <c r="I31" s="23">
        <v>77</v>
      </c>
      <c r="J31" s="23">
        <v>78</v>
      </c>
      <c r="K31" s="23">
        <v>78</v>
      </c>
      <c r="L31" s="23">
        <f t="shared" si="0"/>
        <v>507</v>
      </c>
      <c r="M31" s="192">
        <f t="shared" si="1"/>
        <v>72.428571428571431</v>
      </c>
      <c r="N31" s="22">
        <f t="shared" si="2"/>
        <v>41</v>
      </c>
      <c r="O31" s="23"/>
      <c r="P31" s="11"/>
    </row>
    <row r="32" spans="1:19" ht="20.100000000000001" customHeight="1" x14ac:dyDescent="0.25">
      <c r="A32" s="155">
        <v>29</v>
      </c>
      <c r="B32" s="138"/>
      <c r="C32" s="144">
        <v>16</v>
      </c>
      <c r="D32" s="144" t="s">
        <v>23</v>
      </c>
      <c r="E32" s="23">
        <v>76</v>
      </c>
      <c r="F32" s="23">
        <v>60</v>
      </c>
      <c r="G32" s="23">
        <v>76</v>
      </c>
      <c r="H32" s="23">
        <v>82</v>
      </c>
      <c r="I32" s="23">
        <v>83</v>
      </c>
      <c r="J32" s="23">
        <v>94</v>
      </c>
      <c r="K32" s="23">
        <v>90</v>
      </c>
      <c r="L32" s="23">
        <f t="shared" si="0"/>
        <v>561</v>
      </c>
      <c r="M32" s="192">
        <f t="shared" si="1"/>
        <v>80.142857142857139</v>
      </c>
      <c r="N32" s="22">
        <f t="shared" si="2"/>
        <v>34</v>
      </c>
      <c r="O32" s="23"/>
      <c r="P32" s="11"/>
    </row>
    <row r="33" spans="1:16" ht="20.100000000000001" customHeight="1" x14ac:dyDescent="0.25">
      <c r="A33" s="155">
        <v>30</v>
      </c>
      <c r="B33" s="139"/>
      <c r="C33" s="136">
        <v>16</v>
      </c>
      <c r="D33" s="136" t="s">
        <v>23</v>
      </c>
      <c r="E33" s="23">
        <v>63</v>
      </c>
      <c r="F33" s="23">
        <v>67</v>
      </c>
      <c r="G33" s="23">
        <v>63</v>
      </c>
      <c r="H33" s="23">
        <v>68</v>
      </c>
      <c r="I33" s="23">
        <v>67</v>
      </c>
      <c r="J33" s="23">
        <v>83</v>
      </c>
      <c r="K33" s="23">
        <v>64</v>
      </c>
      <c r="L33" s="23">
        <f t="shared" si="0"/>
        <v>475</v>
      </c>
      <c r="M33" s="192">
        <f t="shared" si="1"/>
        <v>67.857142857142861</v>
      </c>
      <c r="N33" s="22">
        <f t="shared" si="2"/>
        <v>47</v>
      </c>
      <c r="O33" s="23"/>
      <c r="P33" s="11"/>
    </row>
    <row r="34" spans="1:16" ht="20.100000000000001" customHeight="1" x14ac:dyDescent="0.25">
      <c r="A34" s="155">
        <v>31</v>
      </c>
      <c r="B34" s="139"/>
      <c r="C34" s="136">
        <v>16</v>
      </c>
      <c r="D34" s="136" t="s">
        <v>23</v>
      </c>
      <c r="E34" s="23">
        <v>66</v>
      </c>
      <c r="F34" s="23">
        <v>70</v>
      </c>
      <c r="G34" s="23">
        <v>80</v>
      </c>
      <c r="H34" s="23">
        <v>89</v>
      </c>
      <c r="I34" s="23">
        <v>90</v>
      </c>
      <c r="J34" s="23">
        <v>95</v>
      </c>
      <c r="K34" s="23">
        <v>93</v>
      </c>
      <c r="L34" s="23">
        <f t="shared" si="0"/>
        <v>583</v>
      </c>
      <c r="M34" s="192">
        <f t="shared" si="1"/>
        <v>83.285714285714292</v>
      </c>
      <c r="N34" s="22">
        <f t="shared" si="2"/>
        <v>26</v>
      </c>
      <c r="O34" s="23"/>
      <c r="P34" s="11"/>
    </row>
    <row r="35" spans="1:16" ht="20.100000000000001" customHeight="1" x14ac:dyDescent="0.25">
      <c r="A35" s="155">
        <v>32</v>
      </c>
      <c r="B35" s="139"/>
      <c r="C35" s="136">
        <v>17</v>
      </c>
      <c r="D35" s="136" t="s">
        <v>20</v>
      </c>
      <c r="E35" s="23">
        <v>87</v>
      </c>
      <c r="F35" s="23">
        <v>81</v>
      </c>
      <c r="G35" s="23">
        <v>85</v>
      </c>
      <c r="H35" s="23">
        <v>92</v>
      </c>
      <c r="I35" s="23">
        <v>95</v>
      </c>
      <c r="J35" s="23">
        <v>100</v>
      </c>
      <c r="K35" s="23">
        <v>93</v>
      </c>
      <c r="L35" s="23">
        <f t="shared" si="0"/>
        <v>633</v>
      </c>
      <c r="M35" s="192">
        <f t="shared" si="1"/>
        <v>90.428571428571431</v>
      </c>
      <c r="N35" s="22">
        <f t="shared" si="2"/>
        <v>13</v>
      </c>
      <c r="O35" s="23"/>
      <c r="P35" s="11"/>
    </row>
    <row r="36" spans="1:16" ht="20.100000000000001" customHeight="1" x14ac:dyDescent="0.25">
      <c r="A36" s="155">
        <v>33</v>
      </c>
      <c r="B36" s="141"/>
      <c r="C36" s="136">
        <v>16</v>
      </c>
      <c r="D36" s="136" t="s">
        <v>20</v>
      </c>
      <c r="E36" s="23">
        <v>94</v>
      </c>
      <c r="F36" s="23">
        <v>96</v>
      </c>
      <c r="G36" s="23">
        <v>98</v>
      </c>
      <c r="H36" s="23">
        <v>100</v>
      </c>
      <c r="I36" s="23">
        <v>97</v>
      </c>
      <c r="J36" s="23">
        <v>100</v>
      </c>
      <c r="K36" s="23">
        <v>98</v>
      </c>
      <c r="L36" s="23">
        <f t="shared" si="0"/>
        <v>683</v>
      </c>
      <c r="M36" s="192">
        <f t="shared" si="1"/>
        <v>97.571428571428569</v>
      </c>
      <c r="N36" s="22">
        <f t="shared" si="2"/>
        <v>3</v>
      </c>
      <c r="O36" s="23"/>
      <c r="P36" s="11"/>
    </row>
    <row r="37" spans="1:16" ht="20.100000000000001" customHeight="1" x14ac:dyDescent="0.25">
      <c r="A37" s="155">
        <v>34</v>
      </c>
      <c r="B37" s="139"/>
      <c r="C37" s="136">
        <v>17</v>
      </c>
      <c r="D37" s="136" t="s">
        <v>23</v>
      </c>
      <c r="E37" s="23">
        <v>71</v>
      </c>
      <c r="F37" s="23">
        <v>73</v>
      </c>
      <c r="G37" s="23">
        <v>84</v>
      </c>
      <c r="H37" s="23">
        <v>90</v>
      </c>
      <c r="I37" s="23">
        <v>89</v>
      </c>
      <c r="J37" s="23">
        <v>94</v>
      </c>
      <c r="K37" s="23">
        <v>88</v>
      </c>
      <c r="L37" s="23">
        <f t="shared" si="0"/>
        <v>589</v>
      </c>
      <c r="M37" s="192">
        <f t="shared" si="1"/>
        <v>84.142857142857139</v>
      </c>
      <c r="N37" s="22">
        <f t="shared" si="2"/>
        <v>21</v>
      </c>
      <c r="O37" s="23"/>
      <c r="P37" s="11"/>
    </row>
    <row r="38" spans="1:16" ht="20.100000000000001" customHeight="1" x14ac:dyDescent="0.25">
      <c r="A38" s="155">
        <v>35</v>
      </c>
      <c r="B38" s="139"/>
      <c r="C38" s="136">
        <v>16</v>
      </c>
      <c r="D38" s="136" t="s">
        <v>20</v>
      </c>
      <c r="E38" s="23">
        <v>91</v>
      </c>
      <c r="F38" s="23">
        <v>88</v>
      </c>
      <c r="G38" s="23">
        <v>92</v>
      </c>
      <c r="H38" s="23">
        <v>98</v>
      </c>
      <c r="I38" s="23">
        <v>100</v>
      </c>
      <c r="J38" s="23">
        <v>100</v>
      </c>
      <c r="K38" s="23">
        <v>97</v>
      </c>
      <c r="L38" s="23">
        <f t="shared" si="0"/>
        <v>666</v>
      </c>
      <c r="M38" s="192">
        <f t="shared" si="1"/>
        <v>95.142857142857139</v>
      </c>
      <c r="N38" s="22">
        <f t="shared" si="2"/>
        <v>7</v>
      </c>
      <c r="O38" s="23"/>
      <c r="P38" s="11"/>
    </row>
    <row r="39" spans="1:16" ht="20.100000000000001" customHeight="1" x14ac:dyDescent="0.25">
      <c r="A39" s="155">
        <v>36</v>
      </c>
      <c r="B39" s="139"/>
      <c r="C39" s="136">
        <v>17</v>
      </c>
      <c r="D39" s="136" t="s">
        <v>20</v>
      </c>
      <c r="E39" s="23">
        <v>71</v>
      </c>
      <c r="F39" s="23">
        <v>87</v>
      </c>
      <c r="G39" s="23">
        <v>81</v>
      </c>
      <c r="H39" s="23">
        <v>99</v>
      </c>
      <c r="I39" s="23">
        <v>100</v>
      </c>
      <c r="J39" s="23">
        <v>91</v>
      </c>
      <c r="K39" s="23">
        <v>93</v>
      </c>
      <c r="L39" s="23">
        <f t="shared" si="0"/>
        <v>622</v>
      </c>
      <c r="M39" s="192">
        <f t="shared" si="1"/>
        <v>88.857142857142861</v>
      </c>
      <c r="N39" s="22">
        <f t="shared" si="2"/>
        <v>17</v>
      </c>
      <c r="O39" s="23"/>
      <c r="P39" s="11"/>
    </row>
    <row r="40" spans="1:16" ht="20.100000000000001" customHeight="1" x14ac:dyDescent="0.25">
      <c r="A40" s="155">
        <v>37</v>
      </c>
      <c r="B40" s="139"/>
      <c r="C40" s="136">
        <v>16</v>
      </c>
      <c r="D40" s="136" t="s">
        <v>20</v>
      </c>
      <c r="E40" s="23">
        <v>78</v>
      </c>
      <c r="F40" s="23">
        <v>80</v>
      </c>
      <c r="G40" s="23">
        <v>77</v>
      </c>
      <c r="H40" s="23">
        <v>87</v>
      </c>
      <c r="I40" s="23">
        <v>92</v>
      </c>
      <c r="J40" s="23">
        <v>83</v>
      </c>
      <c r="K40" s="23">
        <v>91</v>
      </c>
      <c r="L40" s="23">
        <f t="shared" si="0"/>
        <v>588</v>
      </c>
      <c r="M40" s="192">
        <f t="shared" si="1"/>
        <v>84</v>
      </c>
      <c r="N40" s="22">
        <f t="shared" si="2"/>
        <v>22</v>
      </c>
      <c r="O40" s="23"/>
      <c r="P40" s="11"/>
    </row>
    <row r="41" spans="1:16" ht="20.100000000000001" customHeight="1" x14ac:dyDescent="0.25">
      <c r="A41" s="155">
        <v>38</v>
      </c>
      <c r="B41" s="139"/>
      <c r="C41" s="136">
        <v>18</v>
      </c>
      <c r="D41" s="136" t="s">
        <v>23</v>
      </c>
      <c r="E41" s="23">
        <v>69</v>
      </c>
      <c r="F41" s="23">
        <v>60</v>
      </c>
      <c r="G41" s="23">
        <v>73</v>
      </c>
      <c r="H41" s="23">
        <v>85</v>
      </c>
      <c r="I41" s="23">
        <v>90</v>
      </c>
      <c r="J41" s="23">
        <v>96</v>
      </c>
      <c r="K41" s="23">
        <v>87</v>
      </c>
      <c r="L41" s="23">
        <f t="shared" si="0"/>
        <v>560</v>
      </c>
      <c r="M41" s="192">
        <f t="shared" si="1"/>
        <v>80</v>
      </c>
      <c r="N41" s="22">
        <f t="shared" si="2"/>
        <v>36</v>
      </c>
      <c r="O41" s="23"/>
      <c r="P41" s="11"/>
    </row>
    <row r="42" spans="1:16" ht="20.100000000000001" customHeight="1" x14ac:dyDescent="0.25">
      <c r="A42" s="155">
        <v>39</v>
      </c>
      <c r="B42" s="139"/>
      <c r="C42" s="136">
        <v>16</v>
      </c>
      <c r="D42" s="136" t="s">
        <v>23</v>
      </c>
      <c r="E42" s="23">
        <v>69</v>
      </c>
      <c r="F42" s="23">
        <v>73</v>
      </c>
      <c r="G42" s="23">
        <v>79</v>
      </c>
      <c r="H42" s="23">
        <v>94</v>
      </c>
      <c r="I42" s="23">
        <v>87</v>
      </c>
      <c r="J42" s="23">
        <v>90</v>
      </c>
      <c r="K42" s="23">
        <v>96</v>
      </c>
      <c r="L42" s="23">
        <f t="shared" si="0"/>
        <v>588</v>
      </c>
      <c r="M42" s="192">
        <f t="shared" si="1"/>
        <v>84</v>
      </c>
      <c r="N42" s="22">
        <f t="shared" si="2"/>
        <v>22</v>
      </c>
      <c r="O42" s="23"/>
      <c r="P42" s="11"/>
    </row>
    <row r="43" spans="1:16" ht="20.100000000000001" customHeight="1" x14ac:dyDescent="0.25">
      <c r="A43" s="155">
        <v>40</v>
      </c>
      <c r="B43" s="139"/>
      <c r="C43" s="136">
        <v>16</v>
      </c>
      <c r="D43" s="136" t="s">
        <v>23</v>
      </c>
      <c r="E43" s="23">
        <v>84</v>
      </c>
      <c r="F43" s="23">
        <v>86</v>
      </c>
      <c r="G43" s="23">
        <v>93</v>
      </c>
      <c r="H43" s="23">
        <v>100</v>
      </c>
      <c r="I43" s="23">
        <v>100</v>
      </c>
      <c r="J43" s="23">
        <v>100</v>
      </c>
      <c r="K43" s="23">
        <v>98</v>
      </c>
      <c r="L43" s="23">
        <f t="shared" si="0"/>
        <v>661</v>
      </c>
      <c r="M43" s="192">
        <f t="shared" si="1"/>
        <v>94.428571428571431</v>
      </c>
      <c r="N43" s="22">
        <f t="shared" si="2"/>
        <v>8</v>
      </c>
      <c r="O43" s="23"/>
      <c r="P43" s="11"/>
    </row>
    <row r="44" spans="1:16" ht="20.100000000000001" customHeight="1" x14ac:dyDescent="0.25">
      <c r="A44" s="155">
        <v>41</v>
      </c>
      <c r="B44" s="139"/>
      <c r="C44" s="136">
        <v>17</v>
      </c>
      <c r="D44" s="136" t="s">
        <v>23</v>
      </c>
      <c r="E44" s="23">
        <v>97</v>
      </c>
      <c r="F44" s="23">
        <v>92</v>
      </c>
      <c r="G44" s="23">
        <v>88</v>
      </c>
      <c r="H44" s="23">
        <v>98</v>
      </c>
      <c r="I44" s="23">
        <v>100</v>
      </c>
      <c r="J44" s="23">
        <v>100</v>
      </c>
      <c r="K44" s="23">
        <v>97</v>
      </c>
      <c r="L44" s="23">
        <f t="shared" si="0"/>
        <v>672</v>
      </c>
      <c r="M44" s="192">
        <f t="shared" si="1"/>
        <v>96</v>
      </c>
      <c r="N44" s="22">
        <f t="shared" si="2"/>
        <v>4</v>
      </c>
      <c r="O44" s="23"/>
      <c r="P44" s="11"/>
    </row>
    <row r="45" spans="1:16" ht="20.100000000000001" customHeight="1" x14ac:dyDescent="0.25">
      <c r="A45" s="155">
        <v>42</v>
      </c>
      <c r="B45" s="139"/>
      <c r="C45" s="136">
        <v>16</v>
      </c>
      <c r="D45" s="136" t="s">
        <v>20</v>
      </c>
      <c r="E45" s="23">
        <v>91</v>
      </c>
      <c r="F45" s="23">
        <v>69</v>
      </c>
      <c r="G45" s="23">
        <v>78</v>
      </c>
      <c r="H45" s="23">
        <v>87</v>
      </c>
      <c r="I45" s="23">
        <v>87</v>
      </c>
      <c r="J45" s="23">
        <v>98</v>
      </c>
      <c r="K45" s="23">
        <v>81</v>
      </c>
      <c r="L45" s="23">
        <f t="shared" si="0"/>
        <v>591</v>
      </c>
      <c r="M45" s="192">
        <f t="shared" si="1"/>
        <v>84.428571428571431</v>
      </c>
      <c r="N45" s="22">
        <f t="shared" si="2"/>
        <v>20</v>
      </c>
      <c r="O45" s="23"/>
      <c r="P45" s="11"/>
    </row>
    <row r="46" spans="1:16" ht="20.100000000000001" customHeight="1" x14ac:dyDescent="0.25">
      <c r="A46" s="155">
        <v>43</v>
      </c>
      <c r="B46" s="139"/>
      <c r="C46" s="136">
        <v>16</v>
      </c>
      <c r="D46" s="136" t="s">
        <v>20</v>
      </c>
      <c r="E46" s="23">
        <v>67</v>
      </c>
      <c r="F46" s="23">
        <v>53</v>
      </c>
      <c r="G46" s="23">
        <v>71</v>
      </c>
      <c r="H46" s="23">
        <v>77</v>
      </c>
      <c r="I46" s="23">
        <v>65</v>
      </c>
      <c r="J46" s="23">
        <v>80</v>
      </c>
      <c r="K46" s="23">
        <v>68</v>
      </c>
      <c r="L46" s="23">
        <f t="shared" si="0"/>
        <v>481</v>
      </c>
      <c r="M46" s="192">
        <f t="shared" si="1"/>
        <v>68.714285714285708</v>
      </c>
      <c r="N46" s="22">
        <f t="shared" si="2"/>
        <v>46</v>
      </c>
      <c r="O46" s="23"/>
      <c r="P46" s="11"/>
    </row>
    <row r="47" spans="1:16" ht="20.100000000000001" customHeight="1" x14ac:dyDescent="0.25">
      <c r="A47" s="155">
        <v>44</v>
      </c>
      <c r="B47" s="139"/>
      <c r="C47" s="136">
        <v>16</v>
      </c>
      <c r="D47" s="136" t="s">
        <v>23</v>
      </c>
      <c r="E47" s="23">
        <v>82</v>
      </c>
      <c r="F47" s="23">
        <v>64</v>
      </c>
      <c r="G47" s="23">
        <v>76</v>
      </c>
      <c r="H47" s="23">
        <v>83</v>
      </c>
      <c r="I47" s="23">
        <v>90</v>
      </c>
      <c r="J47" s="23">
        <v>92</v>
      </c>
      <c r="K47" s="23">
        <v>89</v>
      </c>
      <c r="L47" s="23">
        <f t="shared" si="0"/>
        <v>576</v>
      </c>
      <c r="M47" s="192">
        <f t="shared" si="1"/>
        <v>82.285714285714292</v>
      </c>
      <c r="N47" s="22">
        <f t="shared" si="2"/>
        <v>28</v>
      </c>
      <c r="O47" s="23"/>
      <c r="P47" s="11"/>
    </row>
    <row r="48" spans="1:16" ht="20.100000000000001" customHeight="1" x14ac:dyDescent="0.25">
      <c r="A48" s="155">
        <v>45</v>
      </c>
      <c r="B48" s="139"/>
      <c r="C48" s="136">
        <v>18</v>
      </c>
      <c r="D48" s="136" t="s">
        <v>23</v>
      </c>
      <c r="E48" s="23">
        <v>99</v>
      </c>
      <c r="F48" s="23">
        <v>75</v>
      </c>
      <c r="G48" s="23">
        <v>87</v>
      </c>
      <c r="H48" s="23">
        <v>93</v>
      </c>
      <c r="I48" s="23">
        <v>88</v>
      </c>
      <c r="J48" s="23">
        <v>87</v>
      </c>
      <c r="K48" s="23">
        <v>93</v>
      </c>
      <c r="L48" s="23">
        <f t="shared" si="0"/>
        <v>622</v>
      </c>
      <c r="M48" s="192">
        <f t="shared" si="1"/>
        <v>88.857142857142861</v>
      </c>
      <c r="N48" s="22">
        <f t="shared" si="2"/>
        <v>17</v>
      </c>
      <c r="O48" s="23"/>
      <c r="P48" s="11"/>
    </row>
    <row r="49" spans="1:16" ht="20.100000000000001" customHeight="1" x14ac:dyDescent="0.25">
      <c r="A49" s="155">
        <v>46</v>
      </c>
      <c r="B49" s="139"/>
      <c r="C49" s="136">
        <v>16</v>
      </c>
      <c r="D49" s="136" t="s">
        <v>23</v>
      </c>
      <c r="E49" s="23">
        <v>73</v>
      </c>
      <c r="F49" s="23">
        <v>65</v>
      </c>
      <c r="G49" s="23">
        <v>70</v>
      </c>
      <c r="H49" s="23">
        <v>85</v>
      </c>
      <c r="I49" s="23">
        <v>88</v>
      </c>
      <c r="J49" s="23">
        <v>83</v>
      </c>
      <c r="K49" s="23">
        <v>85</v>
      </c>
      <c r="L49" s="23">
        <f t="shared" si="0"/>
        <v>549</v>
      </c>
      <c r="M49" s="192">
        <f t="shared" si="1"/>
        <v>78.428571428571431</v>
      </c>
      <c r="N49" s="22">
        <f t="shared" si="2"/>
        <v>39</v>
      </c>
      <c r="O49" s="23"/>
      <c r="P49" s="11"/>
    </row>
    <row r="50" spans="1:16" ht="20.100000000000001" customHeight="1" x14ac:dyDescent="0.25">
      <c r="A50" s="155">
        <v>47</v>
      </c>
      <c r="B50" s="139"/>
      <c r="C50" s="136">
        <v>17</v>
      </c>
      <c r="D50" s="136" t="s">
        <v>20</v>
      </c>
      <c r="E50" s="23">
        <v>77</v>
      </c>
      <c r="F50" s="23">
        <v>71</v>
      </c>
      <c r="G50" s="23">
        <v>75</v>
      </c>
      <c r="H50" s="23">
        <v>82</v>
      </c>
      <c r="I50" s="23">
        <v>82</v>
      </c>
      <c r="J50" s="23">
        <v>88</v>
      </c>
      <c r="K50" s="23">
        <v>84</v>
      </c>
      <c r="L50" s="23">
        <f t="shared" si="0"/>
        <v>559</v>
      </c>
      <c r="M50" s="192">
        <f t="shared" si="1"/>
        <v>79.857142857142861</v>
      </c>
      <c r="N50" s="22">
        <f t="shared" si="2"/>
        <v>37</v>
      </c>
      <c r="O50" s="23"/>
      <c r="P50" s="11"/>
    </row>
    <row r="51" spans="1:16" ht="20.100000000000001" customHeight="1" x14ac:dyDescent="0.25">
      <c r="A51" s="155">
        <v>48</v>
      </c>
      <c r="B51" s="139"/>
      <c r="C51" s="136">
        <v>16</v>
      </c>
      <c r="D51" s="136" t="s">
        <v>20</v>
      </c>
      <c r="E51" s="23">
        <v>65</v>
      </c>
      <c r="F51" s="23">
        <v>56</v>
      </c>
      <c r="G51" s="23">
        <v>56</v>
      </c>
      <c r="H51" s="23">
        <v>72</v>
      </c>
      <c r="I51" s="23">
        <v>55</v>
      </c>
      <c r="J51" s="23">
        <v>76</v>
      </c>
      <c r="K51" s="23">
        <v>59</v>
      </c>
      <c r="L51" s="23">
        <f t="shared" si="0"/>
        <v>439</v>
      </c>
      <c r="M51" s="192">
        <f t="shared" si="1"/>
        <v>62.714285714285715</v>
      </c>
      <c r="N51" s="22">
        <f t="shared" si="2"/>
        <v>48</v>
      </c>
      <c r="O51" s="23"/>
      <c r="P51" s="11"/>
    </row>
    <row r="52" spans="1:16" ht="20.100000000000001" customHeight="1" x14ac:dyDescent="0.25">
      <c r="A52" s="155">
        <v>49</v>
      </c>
      <c r="B52" s="139"/>
      <c r="C52" s="136">
        <v>16</v>
      </c>
      <c r="D52" s="136" t="s">
        <v>20</v>
      </c>
      <c r="E52" s="23">
        <v>90</v>
      </c>
      <c r="F52" s="23">
        <v>87</v>
      </c>
      <c r="G52" s="23">
        <v>88</v>
      </c>
      <c r="H52" s="23">
        <v>93</v>
      </c>
      <c r="I52" s="23">
        <v>93</v>
      </c>
      <c r="J52" s="23">
        <v>92</v>
      </c>
      <c r="K52" s="23">
        <v>96</v>
      </c>
      <c r="L52" s="23">
        <f t="shared" si="0"/>
        <v>639</v>
      </c>
      <c r="M52" s="192">
        <f t="shared" si="1"/>
        <v>91.285714285714292</v>
      </c>
      <c r="N52" s="22">
        <f t="shared" si="2"/>
        <v>11</v>
      </c>
      <c r="O52" s="23"/>
      <c r="P52" s="11"/>
    </row>
    <row r="53" spans="1:16" ht="20.100000000000001" customHeight="1" x14ac:dyDescent="0.25">
      <c r="A53" s="155">
        <v>50</v>
      </c>
      <c r="B53" s="174"/>
      <c r="C53" s="173"/>
      <c r="D53" s="173"/>
      <c r="E53" s="23"/>
      <c r="F53" s="23"/>
      <c r="G53" s="23"/>
      <c r="H53" s="23"/>
      <c r="I53" s="23"/>
      <c r="J53" s="23"/>
      <c r="K53" s="23"/>
      <c r="L53" s="23"/>
      <c r="M53" s="22"/>
      <c r="N53" s="22"/>
      <c r="O53" s="23"/>
      <c r="P53" s="11"/>
    </row>
    <row r="54" spans="1:16" ht="20.100000000000001" customHeight="1" x14ac:dyDescent="0.25">
      <c r="A54" s="155">
        <v>51</v>
      </c>
      <c r="B54" s="174"/>
      <c r="C54" s="173"/>
      <c r="D54" s="173"/>
      <c r="E54" s="23"/>
      <c r="F54" s="23"/>
      <c r="G54" s="23"/>
      <c r="H54" s="23"/>
      <c r="I54" s="23"/>
      <c r="J54" s="23"/>
      <c r="K54" s="23"/>
      <c r="L54" s="23"/>
      <c r="M54" s="22"/>
      <c r="N54" s="22"/>
      <c r="O54" s="23"/>
      <c r="P54" s="11"/>
    </row>
    <row r="55" spans="1:16" ht="20.100000000000001" customHeight="1" x14ac:dyDescent="0.25">
      <c r="A55" s="155">
        <v>52</v>
      </c>
      <c r="B55" s="153"/>
      <c r="C55" s="42"/>
      <c r="D55" s="42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1:16" ht="20.100000000000001" customHeight="1" x14ac:dyDescent="0.25">
      <c r="A56" s="155">
        <v>53</v>
      </c>
      <c r="B56" s="153"/>
      <c r="C56" s="42"/>
      <c r="D56" s="42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16" ht="20.100000000000001" customHeight="1" x14ac:dyDescent="0.25">
      <c r="A57" s="155">
        <v>54</v>
      </c>
      <c r="B57" s="153"/>
      <c r="C57" s="42"/>
      <c r="D57" s="42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spans="1:16" ht="20.100000000000001" customHeight="1" x14ac:dyDescent="0.25">
      <c r="A58" s="145">
        <v>55</v>
      </c>
      <c r="B58" s="153"/>
      <c r="C58" s="42"/>
      <c r="D58" s="42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spans="1:16" ht="13.5" customHeight="1" x14ac:dyDescent="0.25"/>
    <row r="60" spans="1:16" ht="13.5" customHeight="1" x14ac:dyDescent="0.25"/>
    <row r="61" spans="1:16" ht="13.5" customHeight="1" x14ac:dyDescent="0.25">
      <c r="A61" s="37"/>
      <c r="B61" s="37"/>
    </row>
    <row r="62" spans="1:16" ht="13.5" customHeight="1" x14ac:dyDescent="0.25">
      <c r="A62" s="37"/>
      <c r="B62" s="37"/>
    </row>
    <row r="63" spans="1:16" ht="13.5" customHeight="1" x14ac:dyDescent="0.25">
      <c r="A63" s="37"/>
      <c r="B63" s="37"/>
    </row>
    <row r="64" spans="1:16" ht="13.5" customHeight="1" x14ac:dyDescent="0.25">
      <c r="A64" s="37"/>
      <c r="B64" s="37"/>
    </row>
    <row r="65" spans="1:4" ht="13.5" customHeight="1" x14ac:dyDescent="0.25">
      <c r="A65" s="37"/>
      <c r="B65" s="37"/>
    </row>
    <row r="66" spans="1:4" ht="13.5" customHeight="1" x14ac:dyDescent="0.25">
      <c r="A66" s="37"/>
      <c r="B66" s="37"/>
    </row>
    <row r="67" spans="1:4" ht="13.5" customHeight="1" x14ac:dyDescent="0.25">
      <c r="A67" s="37"/>
      <c r="B67" s="37"/>
    </row>
    <row r="68" spans="1:4" ht="13.5" customHeight="1" x14ac:dyDescent="0.25">
      <c r="A68" s="37"/>
      <c r="B68" s="37"/>
    </row>
    <row r="69" spans="1:4" ht="13.5" customHeight="1" x14ac:dyDescent="0.25">
      <c r="A69" s="37"/>
      <c r="B69" s="37"/>
    </row>
    <row r="70" spans="1:4" ht="13.5" customHeight="1" x14ac:dyDescent="0.25">
      <c r="A70" s="37"/>
      <c r="B70" s="37"/>
    </row>
    <row r="71" spans="1:4" ht="13.5" customHeight="1" x14ac:dyDescent="0.25">
      <c r="A71" s="37"/>
      <c r="B71" s="37"/>
    </row>
    <row r="72" spans="1:4" ht="13.5" customHeight="1" x14ac:dyDescent="0.25">
      <c r="A72" s="37"/>
      <c r="B72" s="37"/>
    </row>
    <row r="73" spans="1:4" ht="13.5" customHeight="1" x14ac:dyDescent="0.25">
      <c r="A73" s="37"/>
      <c r="B73" s="37"/>
    </row>
    <row r="74" spans="1:4" ht="13.5" customHeight="1" x14ac:dyDescent="0.25">
      <c r="A74" s="37"/>
      <c r="B74" s="37"/>
      <c r="C74" s="8"/>
      <c r="D74" s="8"/>
    </row>
    <row r="75" spans="1:4" ht="13.5" customHeight="1" x14ac:dyDescent="0.25">
      <c r="A75" s="37"/>
      <c r="B75" s="37"/>
      <c r="C75" s="8"/>
      <c r="D75" s="8"/>
    </row>
    <row r="76" spans="1:4" ht="13.5" customHeight="1" x14ac:dyDescent="0.25">
      <c r="A76" s="37"/>
      <c r="B76" s="37"/>
      <c r="C76" s="8"/>
      <c r="D76" s="8"/>
    </row>
    <row r="77" spans="1:4" ht="13.5" customHeight="1" x14ac:dyDescent="0.25">
      <c r="A77" s="37"/>
      <c r="B77" s="37"/>
      <c r="C77" s="8"/>
      <c r="D77" s="8"/>
    </row>
    <row r="78" spans="1:4" ht="13.5" customHeight="1" x14ac:dyDescent="0.25">
      <c r="A78" s="37"/>
      <c r="B78" s="37"/>
      <c r="C78" s="8"/>
      <c r="D78" s="8"/>
    </row>
    <row r="79" spans="1:4" ht="13.5" customHeight="1" x14ac:dyDescent="0.25">
      <c r="A79" s="37"/>
      <c r="B79" s="37"/>
      <c r="C79" s="8"/>
      <c r="D79" s="8"/>
    </row>
    <row r="80" spans="1:4" ht="13.5" customHeight="1" x14ac:dyDescent="0.25">
      <c r="A80" s="37"/>
      <c r="B80" s="37"/>
      <c r="C80" s="8"/>
      <c r="D80" s="8"/>
    </row>
    <row r="81" spans="1:4" ht="13.5" customHeight="1" x14ac:dyDescent="0.25">
      <c r="A81" s="37"/>
      <c r="B81" s="37"/>
      <c r="C81" s="8"/>
      <c r="D81" s="8"/>
    </row>
    <row r="82" spans="1:4" ht="13.5" customHeight="1" x14ac:dyDescent="0.25">
      <c r="A82" s="37"/>
      <c r="B82" s="37"/>
      <c r="C82" s="8"/>
      <c r="D82" s="8"/>
    </row>
    <row r="83" spans="1:4" ht="13.5" customHeight="1" x14ac:dyDescent="0.25">
      <c r="A83" s="37"/>
      <c r="B83" s="37"/>
    </row>
    <row r="84" spans="1:4" ht="13.5" customHeight="1" x14ac:dyDescent="0.25">
      <c r="A84" s="37"/>
      <c r="B84" s="37"/>
    </row>
    <row r="85" spans="1:4" ht="13.5" customHeight="1" x14ac:dyDescent="0.25">
      <c r="A85" s="37"/>
      <c r="B85" s="37"/>
    </row>
    <row r="86" spans="1:4" ht="13.5" customHeight="1" x14ac:dyDescent="0.25">
      <c r="A86" s="37"/>
      <c r="B86" s="37"/>
    </row>
    <row r="87" spans="1:4" ht="13.5" customHeight="1" x14ac:dyDescent="0.25">
      <c r="A87" s="37"/>
      <c r="B87" s="37"/>
    </row>
    <row r="88" spans="1:4" ht="13.5" customHeight="1" x14ac:dyDescent="0.25">
      <c r="A88" s="37"/>
      <c r="B88" s="37"/>
    </row>
    <row r="89" spans="1:4" ht="13.5" customHeight="1" x14ac:dyDescent="0.25">
      <c r="A89" s="37"/>
      <c r="B89" s="37"/>
    </row>
    <row r="90" spans="1:4" ht="13.5" customHeight="1" x14ac:dyDescent="0.25">
      <c r="A90" s="37"/>
      <c r="B90" s="37"/>
    </row>
    <row r="91" spans="1:4" ht="13.5" customHeight="1" x14ac:dyDescent="0.25">
      <c r="A91" s="37"/>
      <c r="B91" s="37"/>
    </row>
    <row r="92" spans="1:4" ht="13.5" customHeight="1" x14ac:dyDescent="0.25">
      <c r="A92" s="37"/>
      <c r="B92" s="37"/>
    </row>
    <row r="93" spans="1:4" ht="13.5" customHeight="1" x14ac:dyDescent="0.25">
      <c r="A93" s="37"/>
      <c r="B93" s="37"/>
    </row>
    <row r="94" spans="1:4" ht="13.5" customHeight="1" x14ac:dyDescent="0.25">
      <c r="A94" s="37"/>
      <c r="B94" s="37"/>
    </row>
    <row r="95" spans="1:4" ht="13.5" customHeight="1" x14ac:dyDescent="0.25">
      <c r="A95" s="37"/>
      <c r="B95" s="37"/>
    </row>
    <row r="96" spans="1:4" ht="13.5" customHeight="1" x14ac:dyDescent="0.25">
      <c r="A96" s="37"/>
      <c r="B96" s="37"/>
    </row>
    <row r="97" spans="1:2" ht="13.5" customHeight="1" x14ac:dyDescent="0.25">
      <c r="A97" s="37"/>
      <c r="B97" s="37"/>
    </row>
    <row r="98" spans="1:2" ht="13.5" customHeight="1" x14ac:dyDescent="0.25">
      <c r="A98" s="37"/>
      <c r="B98" s="37"/>
    </row>
    <row r="99" spans="1:2" ht="15" customHeight="1" x14ac:dyDescent="0.25"/>
  </sheetData>
  <mergeCells count="2">
    <mergeCell ref="A1:P1"/>
    <mergeCell ref="A2:P2"/>
  </mergeCells>
  <pageMargins left="0.7" right="0.7" top="0.75" bottom="0.75" header="0.3" footer="0.3"/>
  <pageSetup paperSize="9" scale="95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"/>
  <sheetViews>
    <sheetView workbookViewId="0">
      <selection activeCell="B4" sqref="B4:B52"/>
    </sheetView>
  </sheetViews>
  <sheetFormatPr defaultRowHeight="15" x14ac:dyDescent="0.25"/>
  <cols>
    <col min="1" max="1" width="4.85546875" customWidth="1"/>
    <col min="2" max="2" width="37.140625" customWidth="1"/>
    <col min="3" max="3" width="6.140625" customWidth="1"/>
    <col min="4" max="4" width="4.85546875" customWidth="1"/>
    <col min="5" max="7" width="12.7109375" customWidth="1"/>
    <col min="8" max="8" width="4.85546875" hidden="1" customWidth="1"/>
    <col min="9" max="9" width="9.85546875" customWidth="1"/>
    <col min="10" max="11" width="4.85546875" customWidth="1"/>
  </cols>
  <sheetData>
    <row r="1" spans="1:15" ht="20.25" customHeight="1" x14ac:dyDescent="0.25">
      <c r="A1" s="243" t="s">
        <v>60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</row>
    <row r="2" spans="1:15" ht="15.75" customHeight="1" x14ac:dyDescent="0.25">
      <c r="A2" s="259" t="s">
        <v>46</v>
      </c>
      <c r="B2" s="260"/>
      <c r="C2" s="260"/>
      <c r="D2" s="260"/>
      <c r="E2" s="260"/>
      <c r="F2" s="260"/>
      <c r="G2" s="260"/>
      <c r="H2" s="260"/>
      <c r="I2" s="260"/>
    </row>
    <row r="3" spans="1:15" ht="44.25" customHeight="1" x14ac:dyDescent="0.25">
      <c r="A3" s="39" t="s">
        <v>0</v>
      </c>
      <c r="B3" s="56" t="s">
        <v>1</v>
      </c>
      <c r="C3" s="56" t="s">
        <v>2</v>
      </c>
      <c r="D3" s="56" t="s">
        <v>3</v>
      </c>
      <c r="E3" s="57" t="s">
        <v>26</v>
      </c>
      <c r="F3" s="57" t="s">
        <v>27</v>
      </c>
      <c r="G3" s="57" t="s">
        <v>16</v>
      </c>
      <c r="H3" s="58" t="s">
        <v>17</v>
      </c>
      <c r="I3" s="57" t="s">
        <v>17</v>
      </c>
      <c r="L3" s="94"/>
      <c r="M3" s="94"/>
      <c r="N3" s="94"/>
      <c r="O3" s="94"/>
    </row>
    <row r="4" spans="1:15" ht="18.95" customHeight="1" x14ac:dyDescent="0.25">
      <c r="A4" s="155">
        <v>1</v>
      </c>
      <c r="B4" s="141"/>
      <c r="C4" s="145">
        <v>16</v>
      </c>
      <c r="D4" s="145" t="s">
        <v>20</v>
      </c>
      <c r="E4" s="41">
        <f>'11A (N S) Sem1 '!M4</f>
        <v>96.285714285714292</v>
      </c>
      <c r="F4" s="41">
        <f>'11A (N S) Sem2'!M4</f>
        <v>97.857142857142861</v>
      </c>
      <c r="G4" s="41">
        <f>AVERAGE(E4:F4)</f>
        <v>97.071428571428584</v>
      </c>
      <c r="H4" s="59"/>
      <c r="I4" s="42">
        <f>RANK(G4,$G$4:$G$52)</f>
        <v>1</v>
      </c>
    </row>
    <row r="5" spans="1:15" ht="18.95" customHeight="1" x14ac:dyDescent="0.25">
      <c r="A5" s="155">
        <v>2</v>
      </c>
      <c r="B5" s="141"/>
      <c r="C5" s="145">
        <v>18</v>
      </c>
      <c r="D5" s="145" t="s">
        <v>20</v>
      </c>
      <c r="E5" s="41">
        <f>'11A (N S) Sem1 '!M5</f>
        <v>83.857142857142861</v>
      </c>
      <c r="F5" s="41">
        <f>'11A (N S) Sem2'!M5</f>
        <v>90.285714285714292</v>
      </c>
      <c r="G5" s="41">
        <f t="shared" ref="G5:G58" si="0">AVERAGE(E5:F5)</f>
        <v>87.071428571428584</v>
      </c>
      <c r="H5" s="59"/>
      <c r="I5" s="193">
        <f t="shared" ref="I5:I52" si="1">RANK(G5,$G$4:$G$52)</f>
        <v>17</v>
      </c>
    </row>
    <row r="6" spans="1:15" ht="18.95" customHeight="1" x14ac:dyDescent="0.25">
      <c r="A6" s="155">
        <v>3</v>
      </c>
      <c r="B6" s="141"/>
      <c r="C6" s="145">
        <v>16</v>
      </c>
      <c r="D6" s="145" t="s">
        <v>20</v>
      </c>
      <c r="E6" s="41">
        <f>'11A (N S) Sem1 '!M6</f>
        <v>70.857142857142861</v>
      </c>
      <c r="F6" s="41">
        <f>'11A (N S) Sem2'!M6</f>
        <v>78.857142857142861</v>
      </c>
      <c r="G6" s="41">
        <f t="shared" si="0"/>
        <v>74.857142857142861</v>
      </c>
      <c r="H6" s="59"/>
      <c r="I6" s="193">
        <f t="shared" si="1"/>
        <v>39</v>
      </c>
    </row>
    <row r="7" spans="1:15" ht="18.95" customHeight="1" x14ac:dyDescent="0.25">
      <c r="A7" s="155">
        <v>4</v>
      </c>
      <c r="B7" s="141"/>
      <c r="C7" s="145">
        <v>17</v>
      </c>
      <c r="D7" s="145" t="s">
        <v>23</v>
      </c>
      <c r="E7" s="41">
        <f>'11A (N S) Sem1 '!M7</f>
        <v>62.571428571428569</v>
      </c>
      <c r="F7" s="41">
        <f>'11A (N S) Sem2'!M7</f>
        <v>69.142857142857139</v>
      </c>
      <c r="G7" s="41">
        <f t="shared" si="0"/>
        <v>65.857142857142861</v>
      </c>
      <c r="H7" s="59"/>
      <c r="I7" s="193">
        <f t="shared" si="1"/>
        <v>45</v>
      </c>
    </row>
    <row r="8" spans="1:15" ht="18.95" customHeight="1" x14ac:dyDescent="0.25">
      <c r="A8" s="155">
        <v>5</v>
      </c>
      <c r="B8" s="141"/>
      <c r="C8" s="145">
        <v>16</v>
      </c>
      <c r="D8" s="145" t="s">
        <v>23</v>
      </c>
      <c r="E8" s="41">
        <f>'11A (N S) Sem1 '!M8</f>
        <v>92.714285714285708</v>
      </c>
      <c r="F8" s="41">
        <f>'11A (N S) Sem2'!M8</f>
        <v>95.428571428571431</v>
      </c>
      <c r="G8" s="41">
        <f t="shared" si="0"/>
        <v>94.071428571428569</v>
      </c>
      <c r="H8" s="59"/>
      <c r="I8" s="193">
        <f t="shared" si="1"/>
        <v>5</v>
      </c>
      <c r="J8" s="8"/>
      <c r="K8" s="8"/>
    </row>
    <row r="9" spans="1:15" ht="18.95" customHeight="1" x14ac:dyDescent="0.25">
      <c r="A9" s="155">
        <v>6</v>
      </c>
      <c r="B9" s="141"/>
      <c r="C9" s="145">
        <v>15</v>
      </c>
      <c r="D9" s="145" t="s">
        <v>23</v>
      </c>
      <c r="E9" s="41">
        <f>'11A (N S) Sem1 '!M9</f>
        <v>70.571428571428569</v>
      </c>
      <c r="F9" s="41">
        <f>'11A (N S) Sem2'!M9</f>
        <v>80.857142857142861</v>
      </c>
      <c r="G9" s="41">
        <f t="shared" si="0"/>
        <v>75.714285714285722</v>
      </c>
      <c r="H9" s="59"/>
      <c r="I9" s="193">
        <f t="shared" si="1"/>
        <v>37</v>
      </c>
      <c r="J9" s="8"/>
      <c r="K9" s="8"/>
    </row>
    <row r="10" spans="1:15" ht="18.95" customHeight="1" x14ac:dyDescent="0.25">
      <c r="A10" s="155">
        <v>7</v>
      </c>
      <c r="B10" s="141"/>
      <c r="C10" s="145">
        <v>16</v>
      </c>
      <c r="D10" s="145" t="s">
        <v>23</v>
      </c>
      <c r="E10" s="41">
        <f>'11A (N S) Sem1 '!M10</f>
        <v>85.142857142857139</v>
      </c>
      <c r="F10" s="41">
        <f>'11A (N S) Sem2'!M10</f>
        <v>89.571428571428569</v>
      </c>
      <c r="G10" s="41">
        <f t="shared" si="0"/>
        <v>87.357142857142861</v>
      </c>
      <c r="H10" s="59"/>
      <c r="I10" s="193">
        <f t="shared" si="1"/>
        <v>16</v>
      </c>
      <c r="J10" s="8"/>
      <c r="K10" s="8"/>
    </row>
    <row r="11" spans="1:15" ht="18.95" customHeight="1" x14ac:dyDescent="0.25">
      <c r="A11" s="155">
        <v>8</v>
      </c>
      <c r="B11" s="141"/>
      <c r="C11" s="145">
        <v>16</v>
      </c>
      <c r="D11" s="145" t="s">
        <v>23</v>
      </c>
      <c r="E11" s="41">
        <f>'11A (N S) Sem1 '!M11</f>
        <v>86.285714285714292</v>
      </c>
      <c r="F11" s="41">
        <f>'11A (N S) Sem2'!M11</f>
        <v>89.714285714285708</v>
      </c>
      <c r="G11" s="41">
        <f t="shared" si="0"/>
        <v>88</v>
      </c>
      <c r="H11" s="59"/>
      <c r="I11" s="193">
        <f t="shared" si="1"/>
        <v>15</v>
      </c>
      <c r="J11" s="8"/>
      <c r="K11" s="8"/>
    </row>
    <row r="12" spans="1:15" ht="18.95" customHeight="1" x14ac:dyDescent="0.25">
      <c r="A12" s="155">
        <v>9</v>
      </c>
      <c r="B12" s="141"/>
      <c r="C12" s="145">
        <v>17</v>
      </c>
      <c r="D12" s="145" t="s">
        <v>20</v>
      </c>
      <c r="E12" s="41">
        <f>'11A (N S) Sem1 '!M12</f>
        <v>64.142857142857139</v>
      </c>
      <c r="F12" s="41">
        <f>'11A (N S) Sem2'!M12</f>
        <v>71.428571428571431</v>
      </c>
      <c r="G12" s="41">
        <f t="shared" si="0"/>
        <v>67.785714285714278</v>
      </c>
      <c r="H12" s="59"/>
      <c r="I12" s="193">
        <f t="shared" si="1"/>
        <v>44</v>
      </c>
      <c r="J12" s="8"/>
      <c r="K12" s="8"/>
    </row>
    <row r="13" spans="1:15" ht="18.95" customHeight="1" x14ac:dyDescent="0.25">
      <c r="A13" s="155">
        <v>10</v>
      </c>
      <c r="B13" s="141"/>
      <c r="C13" s="145">
        <v>16</v>
      </c>
      <c r="D13" s="145" t="s">
        <v>20</v>
      </c>
      <c r="E13" s="41">
        <f>'11A (N S) Sem1 '!M13</f>
        <v>79.285714285714292</v>
      </c>
      <c r="F13" s="41">
        <f>'11A (N S) Sem2'!M13</f>
        <v>82.571428571428569</v>
      </c>
      <c r="G13" s="41">
        <f t="shared" si="0"/>
        <v>80.928571428571431</v>
      </c>
      <c r="H13" s="59"/>
      <c r="I13" s="193">
        <f t="shared" si="1"/>
        <v>25</v>
      </c>
      <c r="J13" s="8"/>
      <c r="K13" s="8"/>
    </row>
    <row r="14" spans="1:15" ht="18.95" customHeight="1" x14ac:dyDescent="0.25">
      <c r="A14" s="155">
        <v>11</v>
      </c>
      <c r="B14" s="141"/>
      <c r="C14" s="145">
        <v>16</v>
      </c>
      <c r="D14" s="145" t="s">
        <v>20</v>
      </c>
      <c r="E14" s="41">
        <f>'11A (N S) Sem1 '!M14</f>
        <v>88.857142857142861</v>
      </c>
      <c r="F14" s="41">
        <f>'11A (N S) Sem2'!M14</f>
        <v>91.142857142857139</v>
      </c>
      <c r="G14" s="41">
        <f t="shared" si="0"/>
        <v>90</v>
      </c>
      <c r="H14" s="59"/>
      <c r="I14" s="193">
        <f t="shared" si="1"/>
        <v>13</v>
      </c>
      <c r="J14" s="8"/>
      <c r="K14" s="8"/>
    </row>
    <row r="15" spans="1:15" ht="18.95" customHeight="1" x14ac:dyDescent="0.25">
      <c r="A15" s="155">
        <v>12</v>
      </c>
      <c r="B15" s="141"/>
      <c r="C15" s="145">
        <v>15</v>
      </c>
      <c r="D15" s="145" t="s">
        <v>23</v>
      </c>
      <c r="E15" s="41">
        <f>'11A (N S) Sem1 '!M15</f>
        <v>71.142857142857139</v>
      </c>
      <c r="F15" s="41">
        <f>'11A (N S) Sem2'!M15</f>
        <v>80.142857142857139</v>
      </c>
      <c r="G15" s="41">
        <f t="shared" si="0"/>
        <v>75.642857142857139</v>
      </c>
      <c r="H15" s="59"/>
      <c r="I15" s="193">
        <f t="shared" si="1"/>
        <v>38</v>
      </c>
      <c r="J15" s="8"/>
      <c r="K15" s="8"/>
    </row>
    <row r="16" spans="1:15" ht="18.95" customHeight="1" x14ac:dyDescent="0.25">
      <c r="A16" s="155">
        <v>13</v>
      </c>
      <c r="B16" s="141"/>
      <c r="C16" s="145">
        <v>17</v>
      </c>
      <c r="D16" s="145" t="s">
        <v>23</v>
      </c>
      <c r="E16" s="41">
        <f>'11A (N S) Sem1 '!M16</f>
        <v>81.142857142857139</v>
      </c>
      <c r="F16" s="41">
        <f>'11A (N S) Sem2'!M16</f>
        <v>82.285714285714292</v>
      </c>
      <c r="G16" s="41">
        <f t="shared" si="0"/>
        <v>81.714285714285722</v>
      </c>
      <c r="H16" s="59"/>
      <c r="I16" s="193">
        <f t="shared" si="1"/>
        <v>22</v>
      </c>
      <c r="J16" s="8"/>
      <c r="K16" s="8"/>
    </row>
    <row r="17" spans="1:11" ht="18.95" customHeight="1" x14ac:dyDescent="0.25">
      <c r="A17" s="155">
        <v>14</v>
      </c>
      <c r="B17" s="141"/>
      <c r="C17" s="145">
        <v>16</v>
      </c>
      <c r="D17" s="145" t="s">
        <v>23</v>
      </c>
      <c r="E17" s="41">
        <f>'11A (N S) Sem1 '!M17</f>
        <v>92.857142857142861</v>
      </c>
      <c r="F17" s="41">
        <f>'11A (N S) Sem2'!M17</f>
        <v>94</v>
      </c>
      <c r="G17" s="41">
        <f t="shared" si="0"/>
        <v>93.428571428571431</v>
      </c>
      <c r="H17" s="59"/>
      <c r="I17" s="193">
        <f t="shared" si="1"/>
        <v>8</v>
      </c>
      <c r="J17" s="8"/>
      <c r="K17" s="8"/>
    </row>
    <row r="18" spans="1:11" ht="18.95" customHeight="1" x14ac:dyDescent="0.25">
      <c r="A18" s="155">
        <v>15</v>
      </c>
      <c r="B18" s="141"/>
      <c r="C18" s="145">
        <v>17</v>
      </c>
      <c r="D18" s="145" t="s">
        <v>20</v>
      </c>
      <c r="E18" s="41">
        <f>'11A (N S) Sem1 '!M18</f>
        <v>66.571428571428569</v>
      </c>
      <c r="F18" s="41">
        <f>'11A (N S) Sem2'!M18</f>
        <v>73.142857142857139</v>
      </c>
      <c r="G18" s="41">
        <f t="shared" si="0"/>
        <v>69.857142857142861</v>
      </c>
      <c r="H18" s="59"/>
      <c r="I18" s="193">
        <f t="shared" si="1"/>
        <v>41</v>
      </c>
      <c r="J18" s="8"/>
      <c r="K18" s="8"/>
    </row>
    <row r="19" spans="1:11" ht="18.95" customHeight="1" x14ac:dyDescent="0.25">
      <c r="A19" s="155">
        <v>16</v>
      </c>
      <c r="B19" s="141"/>
      <c r="C19" s="145">
        <v>16</v>
      </c>
      <c r="D19" s="145" t="s">
        <v>23</v>
      </c>
      <c r="E19" s="41">
        <f>'11A (N S) Sem1 '!M19</f>
        <v>74.571428571428569</v>
      </c>
      <c r="F19" s="41">
        <f>'11A (N S) Sem2'!M19</f>
        <v>83.857142857142861</v>
      </c>
      <c r="G19" s="41">
        <f t="shared" si="0"/>
        <v>79.214285714285722</v>
      </c>
      <c r="H19" s="59"/>
      <c r="I19" s="193">
        <f t="shared" si="1"/>
        <v>29</v>
      </c>
      <c r="J19" s="8"/>
      <c r="K19" s="8"/>
    </row>
    <row r="20" spans="1:11" ht="18.95" customHeight="1" x14ac:dyDescent="0.25">
      <c r="A20" s="155">
        <v>17</v>
      </c>
      <c r="B20" s="141"/>
      <c r="C20" s="145">
        <v>16</v>
      </c>
      <c r="D20" s="145" t="s">
        <v>20</v>
      </c>
      <c r="E20" s="41">
        <f>'11A (N S) Sem1 '!M20</f>
        <v>74</v>
      </c>
      <c r="F20" s="41">
        <f>'11A (N S) Sem2'!M20</f>
        <v>0</v>
      </c>
      <c r="G20" s="41">
        <f t="shared" si="0"/>
        <v>37</v>
      </c>
      <c r="H20" s="59"/>
      <c r="I20" s="193">
        <f t="shared" si="1"/>
        <v>49</v>
      </c>
      <c r="J20" s="8"/>
      <c r="K20" s="8"/>
    </row>
    <row r="21" spans="1:11" ht="18.95" customHeight="1" x14ac:dyDescent="0.25">
      <c r="A21" s="155">
        <v>18</v>
      </c>
      <c r="B21" s="141"/>
      <c r="C21" s="145">
        <v>17</v>
      </c>
      <c r="D21" s="145" t="s">
        <v>20</v>
      </c>
      <c r="E21" s="41">
        <f>'11A (N S) Sem1 '!M21</f>
        <v>77.142857142857139</v>
      </c>
      <c r="F21" s="41">
        <f>'11A (N S) Sem2'!M21</f>
        <v>84.857142857142861</v>
      </c>
      <c r="G21" s="41">
        <f t="shared" si="0"/>
        <v>81</v>
      </c>
      <c r="H21" s="59"/>
      <c r="I21" s="193">
        <f t="shared" si="1"/>
        <v>24</v>
      </c>
    </row>
    <row r="22" spans="1:11" ht="18.95" customHeight="1" x14ac:dyDescent="0.25">
      <c r="A22" s="155">
        <v>19</v>
      </c>
      <c r="B22" s="172"/>
      <c r="C22" s="150">
        <v>16</v>
      </c>
      <c r="D22" s="150" t="s">
        <v>23</v>
      </c>
      <c r="E22" s="41">
        <f>'11A (N S) Sem1 '!M22</f>
        <v>75.857142857142861</v>
      </c>
      <c r="F22" s="41">
        <f>'11A (N S) Sem2'!M22</f>
        <v>82</v>
      </c>
      <c r="G22" s="41">
        <f t="shared" si="0"/>
        <v>78.928571428571431</v>
      </c>
      <c r="H22" s="59"/>
      <c r="I22" s="193">
        <f t="shared" si="1"/>
        <v>31</v>
      </c>
    </row>
    <row r="23" spans="1:11" ht="18.75" customHeight="1" x14ac:dyDescent="0.25">
      <c r="A23" s="155">
        <v>20</v>
      </c>
      <c r="B23" s="141"/>
      <c r="C23" s="145">
        <v>17</v>
      </c>
      <c r="D23" s="145" t="s">
        <v>23</v>
      </c>
      <c r="E23" s="41">
        <f>'11A (N S) Sem1 '!M23</f>
        <v>79.285714285714292</v>
      </c>
      <c r="F23" s="41">
        <f>'11A (N S) Sem2'!M23</f>
        <v>80.714285714285708</v>
      </c>
      <c r="G23" s="41">
        <f t="shared" si="0"/>
        <v>80</v>
      </c>
      <c r="H23" s="59"/>
      <c r="I23" s="193">
        <f t="shared" si="1"/>
        <v>27</v>
      </c>
    </row>
    <row r="24" spans="1:11" ht="18.95" customHeight="1" x14ac:dyDescent="0.25">
      <c r="A24" s="155">
        <v>21</v>
      </c>
      <c r="B24" s="141"/>
      <c r="C24" s="145">
        <v>17</v>
      </c>
      <c r="D24" s="145" t="s">
        <v>23</v>
      </c>
      <c r="E24" s="41">
        <f>'11A (N S) Sem1 '!M24</f>
        <v>70.714285714285708</v>
      </c>
      <c r="F24" s="41">
        <f>'11A (N S) Sem2'!M24</f>
        <v>69.571428571428569</v>
      </c>
      <c r="G24" s="41">
        <f t="shared" si="0"/>
        <v>70.142857142857139</v>
      </c>
      <c r="H24" s="59"/>
      <c r="I24" s="193">
        <f t="shared" si="1"/>
        <v>40</v>
      </c>
    </row>
    <row r="25" spans="1:11" ht="18.95" customHeight="1" x14ac:dyDescent="0.25">
      <c r="A25" s="155">
        <v>22</v>
      </c>
      <c r="B25" s="141"/>
      <c r="C25" s="145">
        <v>15</v>
      </c>
      <c r="D25" s="145" t="s">
        <v>23</v>
      </c>
      <c r="E25" s="41">
        <f>'11A (N S) Sem1 '!M25</f>
        <v>94</v>
      </c>
      <c r="F25" s="41">
        <f>'11A (N S) Sem2'!M25</f>
        <v>98.285714285714292</v>
      </c>
      <c r="G25" s="41">
        <f t="shared" si="0"/>
        <v>96.142857142857139</v>
      </c>
      <c r="H25" s="59"/>
      <c r="I25" s="193">
        <f t="shared" si="1"/>
        <v>2</v>
      </c>
    </row>
    <row r="26" spans="1:11" ht="18.95" customHeight="1" x14ac:dyDescent="0.25">
      <c r="A26" s="155">
        <v>23</v>
      </c>
      <c r="B26" s="141"/>
      <c r="C26" s="145">
        <v>16</v>
      </c>
      <c r="D26" s="145" t="s">
        <v>23</v>
      </c>
      <c r="E26" s="41">
        <f>'11A (N S) Sem1 '!M26</f>
        <v>77</v>
      </c>
      <c r="F26" s="41">
        <f>'11A (N S) Sem2'!M26</f>
        <v>83.571428571428569</v>
      </c>
      <c r="G26" s="41">
        <f t="shared" si="0"/>
        <v>80.285714285714278</v>
      </c>
      <c r="H26" s="59"/>
      <c r="I26" s="193">
        <f t="shared" si="1"/>
        <v>26</v>
      </c>
    </row>
    <row r="27" spans="1:11" ht="18.95" customHeight="1" x14ac:dyDescent="0.25">
      <c r="A27" s="155">
        <v>24</v>
      </c>
      <c r="B27" s="141"/>
      <c r="C27" s="145">
        <v>17</v>
      </c>
      <c r="D27" s="145" t="s">
        <v>23</v>
      </c>
      <c r="E27" s="41">
        <f>'11A (N S) Sem1 '!M27</f>
        <v>91.857142857142861</v>
      </c>
      <c r="F27" s="41">
        <f>'11A (N S) Sem2'!M27</f>
        <v>96</v>
      </c>
      <c r="G27" s="41">
        <f t="shared" si="0"/>
        <v>93.928571428571431</v>
      </c>
      <c r="H27" s="59"/>
      <c r="I27" s="193">
        <f t="shared" si="1"/>
        <v>7</v>
      </c>
    </row>
    <row r="28" spans="1:11" ht="18.95" customHeight="1" x14ac:dyDescent="0.25">
      <c r="A28" s="155">
        <v>25</v>
      </c>
      <c r="B28" s="141"/>
      <c r="C28" s="145">
        <v>16</v>
      </c>
      <c r="D28" s="145" t="s">
        <v>23</v>
      </c>
      <c r="E28" s="41">
        <f>'11A (N S) Sem1 '!M28</f>
        <v>72.714285714285708</v>
      </c>
      <c r="F28" s="41">
        <f>'11A (N S) Sem2'!M28</f>
        <v>81.857142857142861</v>
      </c>
      <c r="G28" s="41">
        <f t="shared" si="0"/>
        <v>77.285714285714278</v>
      </c>
      <c r="H28" s="59"/>
      <c r="I28" s="193">
        <f t="shared" si="1"/>
        <v>34</v>
      </c>
    </row>
    <row r="29" spans="1:11" ht="18.95" customHeight="1" x14ac:dyDescent="0.25">
      <c r="A29" s="155">
        <v>26</v>
      </c>
      <c r="B29" s="141"/>
      <c r="C29" s="145">
        <v>18</v>
      </c>
      <c r="D29" s="145" t="s">
        <v>23</v>
      </c>
      <c r="E29" s="41">
        <f>'11A (N S) Sem1 '!M29</f>
        <v>87.571428571428569</v>
      </c>
      <c r="F29" s="41">
        <f>'11A (N S) Sem2'!M29</f>
        <v>93.285714285714292</v>
      </c>
      <c r="G29" s="41">
        <f t="shared" si="0"/>
        <v>90.428571428571431</v>
      </c>
      <c r="H29" s="59"/>
      <c r="I29" s="193">
        <f t="shared" si="1"/>
        <v>12</v>
      </c>
    </row>
    <row r="30" spans="1:11" ht="18.95" customHeight="1" x14ac:dyDescent="0.25">
      <c r="A30" s="155">
        <v>27</v>
      </c>
      <c r="B30" s="141"/>
      <c r="C30" s="145">
        <v>16</v>
      </c>
      <c r="D30" s="145" t="s">
        <v>23</v>
      </c>
      <c r="E30" s="41">
        <f>'11A (N S) Sem1 '!M30</f>
        <v>57.857142857142854</v>
      </c>
      <c r="F30" s="41">
        <f>'11A (N S) Sem2'!M30</f>
        <v>68.857142857142861</v>
      </c>
      <c r="G30" s="41">
        <f t="shared" si="0"/>
        <v>63.357142857142861</v>
      </c>
      <c r="H30" s="59"/>
      <c r="I30" s="193">
        <f t="shared" si="1"/>
        <v>47</v>
      </c>
    </row>
    <row r="31" spans="1:11" ht="18.95" customHeight="1" x14ac:dyDescent="0.25">
      <c r="A31" s="155">
        <v>28</v>
      </c>
      <c r="B31" s="141"/>
      <c r="C31" s="145">
        <v>18</v>
      </c>
      <c r="D31" s="145" t="s">
        <v>23</v>
      </c>
      <c r="E31" s="41">
        <f>'11A (N S) Sem1 '!M31</f>
        <v>63.428571428571431</v>
      </c>
      <c r="F31" s="41">
        <f>'11A (N S) Sem2'!M31</f>
        <v>72.428571428571431</v>
      </c>
      <c r="G31" s="41">
        <f t="shared" si="0"/>
        <v>67.928571428571431</v>
      </c>
      <c r="H31" s="12"/>
      <c r="I31" s="193">
        <f t="shared" si="1"/>
        <v>43</v>
      </c>
    </row>
    <row r="32" spans="1:11" ht="18.95" customHeight="1" x14ac:dyDescent="0.25">
      <c r="A32" s="155">
        <v>29</v>
      </c>
      <c r="B32" s="138"/>
      <c r="C32" s="144">
        <v>16</v>
      </c>
      <c r="D32" s="144" t="s">
        <v>23</v>
      </c>
      <c r="E32" s="41">
        <f>'11A (N S) Sem1 '!M32</f>
        <v>72.857142857142861</v>
      </c>
      <c r="F32" s="41">
        <f>'11A (N S) Sem2'!M32</f>
        <v>80.142857142857139</v>
      </c>
      <c r="G32" s="41">
        <f t="shared" si="0"/>
        <v>76.5</v>
      </c>
      <c r="H32" s="12"/>
      <c r="I32" s="193">
        <f t="shared" si="1"/>
        <v>36</v>
      </c>
    </row>
    <row r="33" spans="1:9" ht="18.75" customHeight="1" x14ac:dyDescent="0.25">
      <c r="A33" s="175">
        <v>30</v>
      </c>
      <c r="B33" s="139"/>
      <c r="C33" s="136">
        <v>16</v>
      </c>
      <c r="D33" s="136" t="s">
        <v>23</v>
      </c>
      <c r="E33" s="41">
        <f>'11A (N S) Sem1 '!M33</f>
        <v>62.857142857142854</v>
      </c>
      <c r="F33" s="41">
        <f>'11A (N S) Sem2'!M33</f>
        <v>67.857142857142861</v>
      </c>
      <c r="G33" s="41">
        <f t="shared" si="0"/>
        <v>65.357142857142861</v>
      </c>
      <c r="H33" s="59"/>
      <c r="I33" s="193">
        <f t="shared" si="1"/>
        <v>46</v>
      </c>
    </row>
    <row r="34" spans="1:9" ht="19.5" customHeight="1" x14ac:dyDescent="0.25">
      <c r="A34" s="155">
        <v>31</v>
      </c>
      <c r="B34" s="139"/>
      <c r="C34" s="136">
        <v>16</v>
      </c>
      <c r="D34" s="136" t="s">
        <v>23</v>
      </c>
      <c r="E34" s="41">
        <f>'11A (N S) Sem1 '!M34</f>
        <v>79</v>
      </c>
      <c r="F34" s="41">
        <f>'11A (N S) Sem2'!M34</f>
        <v>83.285714285714292</v>
      </c>
      <c r="G34" s="41">
        <f t="shared" si="0"/>
        <v>81.142857142857139</v>
      </c>
      <c r="H34" s="59"/>
      <c r="I34" s="193">
        <f t="shared" si="1"/>
        <v>23</v>
      </c>
    </row>
    <row r="35" spans="1:9" ht="19.5" customHeight="1" x14ac:dyDescent="0.25">
      <c r="A35" s="175">
        <v>32</v>
      </c>
      <c r="B35" s="139"/>
      <c r="C35" s="136">
        <v>17</v>
      </c>
      <c r="D35" s="136" t="s">
        <v>20</v>
      </c>
      <c r="E35" s="41">
        <f>'11A (N S) Sem1 '!M35</f>
        <v>82.571428571428569</v>
      </c>
      <c r="F35" s="41">
        <f>'11A (N S) Sem2'!M35</f>
        <v>90.428571428571431</v>
      </c>
      <c r="G35" s="41">
        <f t="shared" si="0"/>
        <v>86.5</v>
      </c>
      <c r="H35" s="59"/>
      <c r="I35" s="193">
        <f t="shared" si="1"/>
        <v>18</v>
      </c>
    </row>
    <row r="36" spans="1:9" ht="20.25" customHeight="1" x14ac:dyDescent="0.25">
      <c r="A36" s="155">
        <v>33</v>
      </c>
      <c r="B36" s="141"/>
      <c r="C36" s="136">
        <v>16</v>
      </c>
      <c r="D36" s="136" t="s">
        <v>20</v>
      </c>
      <c r="E36" s="41">
        <f>'11A (N S) Sem1 '!M36</f>
        <v>93.142857142857139</v>
      </c>
      <c r="F36" s="41">
        <f>'11A (N S) Sem2'!M36</f>
        <v>97.571428571428569</v>
      </c>
      <c r="G36" s="41">
        <f t="shared" si="0"/>
        <v>95.357142857142861</v>
      </c>
      <c r="H36" s="59"/>
      <c r="I36" s="193">
        <f t="shared" si="1"/>
        <v>4</v>
      </c>
    </row>
    <row r="37" spans="1:9" ht="17.25" customHeight="1" x14ac:dyDescent="0.25">
      <c r="A37" s="175">
        <v>34</v>
      </c>
      <c r="B37" s="139"/>
      <c r="C37" s="136">
        <v>17</v>
      </c>
      <c r="D37" s="136" t="s">
        <v>23</v>
      </c>
      <c r="E37" s="41">
        <f>'11A (N S) Sem1 '!M37</f>
        <v>75.428571428571431</v>
      </c>
      <c r="F37" s="41">
        <f>'11A (N S) Sem2'!M37</f>
        <v>84.142857142857139</v>
      </c>
      <c r="G37" s="41">
        <f t="shared" si="0"/>
        <v>79.785714285714278</v>
      </c>
      <c r="H37" s="59"/>
      <c r="I37" s="193">
        <f t="shared" si="1"/>
        <v>28</v>
      </c>
    </row>
    <row r="38" spans="1:9" ht="17.25" customHeight="1" x14ac:dyDescent="0.25">
      <c r="A38" s="155">
        <v>35</v>
      </c>
      <c r="B38" s="139"/>
      <c r="C38" s="136">
        <v>16</v>
      </c>
      <c r="D38" s="136" t="s">
        <v>20</v>
      </c>
      <c r="E38" s="41">
        <f>'11A (N S) Sem1 '!M38</f>
        <v>93</v>
      </c>
      <c r="F38" s="41">
        <f>'11A (N S) Sem2'!M38</f>
        <v>95.142857142857139</v>
      </c>
      <c r="G38" s="41">
        <f t="shared" si="0"/>
        <v>94.071428571428569</v>
      </c>
      <c r="H38" s="59"/>
      <c r="I38" s="193">
        <f t="shared" si="1"/>
        <v>5</v>
      </c>
    </row>
    <row r="39" spans="1:9" ht="21" customHeight="1" x14ac:dyDescent="0.25">
      <c r="A39" s="175">
        <v>36</v>
      </c>
      <c r="B39" s="139"/>
      <c r="C39" s="136">
        <v>17</v>
      </c>
      <c r="D39" s="136" t="s">
        <v>20</v>
      </c>
      <c r="E39" s="41">
        <f>'11A (N S) Sem1 '!M39</f>
        <v>88</v>
      </c>
      <c r="F39" s="41">
        <f>'11A (N S) Sem2'!M39</f>
        <v>88.857142857142861</v>
      </c>
      <c r="G39" s="41">
        <f t="shared" si="0"/>
        <v>88.428571428571431</v>
      </c>
      <c r="H39" s="59"/>
      <c r="I39" s="193">
        <f t="shared" si="1"/>
        <v>14</v>
      </c>
    </row>
    <row r="40" spans="1:9" ht="17.25" customHeight="1" x14ac:dyDescent="0.25">
      <c r="A40" s="155">
        <v>37</v>
      </c>
      <c r="B40" s="139"/>
      <c r="C40" s="136">
        <v>16</v>
      </c>
      <c r="D40" s="136" t="s">
        <v>20</v>
      </c>
      <c r="E40" s="41">
        <f>'11A (N S) Sem1 '!M40</f>
        <v>80.571428571428569</v>
      </c>
      <c r="F40" s="41">
        <f>'11A (N S) Sem2'!M40</f>
        <v>84</v>
      </c>
      <c r="G40" s="41">
        <f t="shared" si="0"/>
        <v>82.285714285714278</v>
      </c>
      <c r="H40" s="59"/>
      <c r="I40" s="193">
        <f t="shared" si="1"/>
        <v>20</v>
      </c>
    </row>
    <row r="41" spans="1:9" ht="18.75" customHeight="1" x14ac:dyDescent="0.25">
      <c r="A41" s="175">
        <v>38</v>
      </c>
      <c r="B41" s="139"/>
      <c r="C41" s="136">
        <v>18</v>
      </c>
      <c r="D41" s="136" t="s">
        <v>23</v>
      </c>
      <c r="E41" s="41">
        <f>'11A (N S) Sem1 '!M41</f>
        <v>73.428571428571431</v>
      </c>
      <c r="F41" s="41">
        <f>'11A (N S) Sem2'!M41</f>
        <v>80</v>
      </c>
      <c r="G41" s="41">
        <f t="shared" si="0"/>
        <v>76.714285714285722</v>
      </c>
      <c r="H41" s="59"/>
      <c r="I41" s="193">
        <f t="shared" si="1"/>
        <v>35</v>
      </c>
    </row>
    <row r="42" spans="1:9" ht="17.25" customHeight="1" x14ac:dyDescent="0.25">
      <c r="A42" s="155">
        <v>39</v>
      </c>
      <c r="B42" s="139"/>
      <c r="C42" s="136">
        <v>16</v>
      </c>
      <c r="D42" s="136" t="s">
        <v>23</v>
      </c>
      <c r="E42" s="41">
        <f>'11A (N S) Sem1 '!M42</f>
        <v>80.285714285714292</v>
      </c>
      <c r="F42" s="41">
        <f>'11A (N S) Sem2'!M42</f>
        <v>84</v>
      </c>
      <c r="G42" s="41">
        <f t="shared" si="0"/>
        <v>82.142857142857139</v>
      </c>
      <c r="H42" s="59"/>
      <c r="I42" s="193">
        <f t="shared" si="1"/>
        <v>21</v>
      </c>
    </row>
    <row r="43" spans="1:9" ht="16.5" customHeight="1" x14ac:dyDescent="0.25">
      <c r="A43" s="175">
        <v>40</v>
      </c>
      <c r="B43" s="139"/>
      <c r="C43" s="136">
        <v>16</v>
      </c>
      <c r="D43" s="136" t="s">
        <v>23</v>
      </c>
      <c r="E43" s="41">
        <f>'11A (N S) Sem1 '!M43</f>
        <v>90</v>
      </c>
      <c r="F43" s="41">
        <f>'11A (N S) Sem2'!M43</f>
        <v>94.428571428571431</v>
      </c>
      <c r="G43" s="41">
        <f t="shared" si="0"/>
        <v>92.214285714285722</v>
      </c>
      <c r="H43" s="59"/>
      <c r="I43" s="193">
        <f t="shared" si="1"/>
        <v>9</v>
      </c>
    </row>
    <row r="44" spans="1:9" ht="19.5" customHeight="1" x14ac:dyDescent="0.25">
      <c r="A44" s="155">
        <v>41</v>
      </c>
      <c r="B44" s="139"/>
      <c r="C44" s="136">
        <v>17</v>
      </c>
      <c r="D44" s="136" t="s">
        <v>23</v>
      </c>
      <c r="E44" s="41">
        <f>'11A (N S) Sem1 '!M44</f>
        <v>95.571428571428569</v>
      </c>
      <c r="F44" s="41">
        <f>'11A (N S) Sem2'!M44</f>
        <v>96</v>
      </c>
      <c r="G44" s="41">
        <f t="shared" si="0"/>
        <v>95.785714285714278</v>
      </c>
      <c r="H44" s="59"/>
      <c r="I44" s="193">
        <f t="shared" si="1"/>
        <v>3</v>
      </c>
    </row>
    <row r="45" spans="1:9" ht="18.75" customHeight="1" x14ac:dyDescent="0.25">
      <c r="A45" s="175">
        <v>42</v>
      </c>
      <c r="B45" s="139"/>
      <c r="C45" s="136">
        <v>16</v>
      </c>
      <c r="D45" s="136" t="s">
        <v>20</v>
      </c>
      <c r="E45" s="41">
        <f>'11A (N S) Sem1 '!M45</f>
        <v>85.714285714285708</v>
      </c>
      <c r="F45" s="41">
        <f>'11A (N S) Sem2'!M45</f>
        <v>84.428571428571431</v>
      </c>
      <c r="G45" s="41">
        <f t="shared" si="0"/>
        <v>85.071428571428569</v>
      </c>
      <c r="H45" s="59"/>
      <c r="I45" s="193">
        <f t="shared" si="1"/>
        <v>19</v>
      </c>
    </row>
    <row r="46" spans="1:9" ht="19.5" customHeight="1" x14ac:dyDescent="0.25">
      <c r="A46" s="155">
        <v>43</v>
      </c>
      <c r="B46" s="139"/>
      <c r="C46" s="136">
        <v>16</v>
      </c>
      <c r="D46" s="136" t="s">
        <v>20</v>
      </c>
      <c r="E46" s="41">
        <f>'11A (N S) Sem1 '!M46</f>
        <v>69.714285714285708</v>
      </c>
      <c r="F46" s="41">
        <f>'11A (N S) Sem2'!M46</f>
        <v>68.714285714285708</v>
      </c>
      <c r="G46" s="41">
        <f t="shared" si="0"/>
        <v>69.214285714285708</v>
      </c>
      <c r="H46" s="59"/>
      <c r="I46" s="193">
        <f t="shared" si="1"/>
        <v>42</v>
      </c>
    </row>
    <row r="47" spans="1:9" ht="18.75" customHeight="1" x14ac:dyDescent="0.25">
      <c r="A47" s="175">
        <v>44</v>
      </c>
      <c r="B47" s="139"/>
      <c r="C47" s="136">
        <v>16</v>
      </c>
      <c r="D47" s="136" t="s">
        <v>23</v>
      </c>
      <c r="E47" s="41">
        <f>'11A (N S) Sem1 '!M47</f>
        <v>75.714285714285708</v>
      </c>
      <c r="F47" s="41">
        <f>'11A (N S) Sem2'!M47</f>
        <v>82.285714285714292</v>
      </c>
      <c r="G47" s="41">
        <f t="shared" si="0"/>
        <v>79</v>
      </c>
      <c r="H47" s="59"/>
      <c r="I47" s="193">
        <f t="shared" si="1"/>
        <v>30</v>
      </c>
    </row>
    <row r="48" spans="1:9" ht="18.75" customHeight="1" x14ac:dyDescent="0.25">
      <c r="A48" s="155">
        <v>45</v>
      </c>
      <c r="B48" s="139"/>
      <c r="C48" s="136">
        <v>18</v>
      </c>
      <c r="D48" s="136" t="s">
        <v>23</v>
      </c>
      <c r="E48" s="41">
        <f>'11A (N S) Sem1 '!M48</f>
        <v>94</v>
      </c>
      <c r="F48" s="41">
        <f>'11A (N S) Sem2'!M48</f>
        <v>88.857142857142861</v>
      </c>
      <c r="G48" s="41">
        <f t="shared" si="0"/>
        <v>91.428571428571431</v>
      </c>
      <c r="H48" s="59"/>
      <c r="I48" s="193">
        <f t="shared" si="1"/>
        <v>10</v>
      </c>
    </row>
    <row r="49" spans="1:9" ht="18" customHeight="1" x14ac:dyDescent="0.25">
      <c r="A49" s="175">
        <v>46</v>
      </c>
      <c r="B49" s="139"/>
      <c r="C49" s="136">
        <v>16</v>
      </c>
      <c r="D49" s="136" t="s">
        <v>23</v>
      </c>
      <c r="E49" s="41">
        <f>'11A (N S) Sem1 '!M49</f>
        <v>79.285714285714292</v>
      </c>
      <c r="F49" s="41">
        <f>'11A (N S) Sem2'!M49</f>
        <v>78.428571428571431</v>
      </c>
      <c r="G49" s="41">
        <f t="shared" si="0"/>
        <v>78.857142857142861</v>
      </c>
      <c r="H49" s="59"/>
      <c r="I49" s="193">
        <f t="shared" si="1"/>
        <v>32</v>
      </c>
    </row>
    <row r="50" spans="1:9" ht="18.75" customHeight="1" x14ac:dyDescent="0.25">
      <c r="A50" s="155">
        <v>47</v>
      </c>
      <c r="B50" s="139"/>
      <c r="C50" s="136">
        <v>17</v>
      </c>
      <c r="D50" s="136" t="s">
        <v>20</v>
      </c>
      <c r="E50" s="41">
        <f>'11A (N S) Sem1 '!M50</f>
        <v>76.571428571428569</v>
      </c>
      <c r="F50" s="41">
        <f>'11A (N S) Sem2'!M50</f>
        <v>79.857142857142861</v>
      </c>
      <c r="G50" s="41">
        <f t="shared" si="0"/>
        <v>78.214285714285722</v>
      </c>
      <c r="H50" s="59"/>
      <c r="I50" s="193">
        <f t="shared" si="1"/>
        <v>33</v>
      </c>
    </row>
    <row r="51" spans="1:9" ht="19.5" customHeight="1" x14ac:dyDescent="0.25">
      <c r="A51" s="175">
        <v>48</v>
      </c>
      <c r="B51" s="139"/>
      <c r="C51" s="136">
        <v>16</v>
      </c>
      <c r="D51" s="136" t="s">
        <v>20</v>
      </c>
      <c r="E51" s="41">
        <f>'11A (N S) Sem1 '!M51</f>
        <v>62.714285714285715</v>
      </c>
      <c r="F51" s="41">
        <f>'11A (N S) Sem2'!M51</f>
        <v>62.714285714285715</v>
      </c>
      <c r="G51" s="41">
        <f t="shared" si="0"/>
        <v>62.714285714285715</v>
      </c>
      <c r="H51" s="59"/>
      <c r="I51" s="193">
        <f t="shared" si="1"/>
        <v>48</v>
      </c>
    </row>
    <row r="52" spans="1:9" ht="21.75" customHeight="1" x14ac:dyDescent="0.25">
      <c r="A52" s="155">
        <v>49</v>
      </c>
      <c r="B52" s="139"/>
      <c r="C52" s="136">
        <v>16</v>
      </c>
      <c r="D52" s="136" t="s">
        <v>20</v>
      </c>
      <c r="E52" s="41">
        <f>'11A (N S) Sem1 '!M52</f>
        <v>91.571428571428569</v>
      </c>
      <c r="F52" s="41">
        <f>'11A (N S) Sem2'!M52</f>
        <v>91.285714285714292</v>
      </c>
      <c r="G52" s="41">
        <f t="shared" si="0"/>
        <v>91.428571428571431</v>
      </c>
      <c r="H52" s="59"/>
      <c r="I52" s="193">
        <f t="shared" si="1"/>
        <v>10</v>
      </c>
    </row>
    <row r="53" spans="1:9" ht="19.5" customHeight="1" x14ac:dyDescent="0.25">
      <c r="A53" s="175">
        <v>50</v>
      </c>
      <c r="B53" s="174"/>
      <c r="C53" s="173"/>
      <c r="D53" s="173"/>
      <c r="E53" s="41">
        <f>'11A (N S) Sem1 '!M53</f>
        <v>0</v>
      </c>
      <c r="F53" s="41">
        <f>'11A (N S) Sem2'!M53</f>
        <v>0</v>
      </c>
      <c r="G53" s="41">
        <f t="shared" si="0"/>
        <v>0</v>
      </c>
      <c r="H53" s="59"/>
      <c r="I53" s="42"/>
    </row>
    <row r="54" spans="1:9" ht="19.5" customHeight="1" x14ac:dyDescent="0.25">
      <c r="A54" s="155">
        <v>51</v>
      </c>
      <c r="B54" s="174"/>
      <c r="C54" s="173"/>
      <c r="D54" s="173"/>
      <c r="E54" s="41">
        <f>'11A (N S) Sem1 '!M54</f>
        <v>0</v>
      </c>
      <c r="F54" s="41">
        <f>'11A (N S) Sem2'!M54</f>
        <v>0</v>
      </c>
      <c r="G54" s="41">
        <f t="shared" si="0"/>
        <v>0</v>
      </c>
      <c r="H54" s="59"/>
      <c r="I54" s="42"/>
    </row>
    <row r="55" spans="1:9" ht="19.5" customHeight="1" x14ac:dyDescent="0.25">
      <c r="A55" s="175">
        <v>52</v>
      </c>
      <c r="B55" s="153"/>
      <c r="C55" s="42"/>
      <c r="D55" s="42"/>
      <c r="E55" s="11">
        <f>'11A (N S) Sem1 '!M55</f>
        <v>0</v>
      </c>
      <c r="F55" s="11">
        <f>'11A (N S) Sem2'!M55</f>
        <v>0</v>
      </c>
      <c r="G55" s="41">
        <f t="shared" si="0"/>
        <v>0</v>
      </c>
      <c r="H55" s="11"/>
      <c r="I55" s="11"/>
    </row>
    <row r="56" spans="1:9" ht="19.5" customHeight="1" x14ac:dyDescent="0.25">
      <c r="A56" s="155">
        <v>53</v>
      </c>
      <c r="B56" s="153"/>
      <c r="C56" s="42"/>
      <c r="D56" s="42"/>
      <c r="E56" s="11">
        <f>'11A (N S) Sem1 '!M56</f>
        <v>0</v>
      </c>
      <c r="F56" s="11">
        <f>'11A (N S) Sem2'!M56</f>
        <v>0</v>
      </c>
      <c r="G56" s="41">
        <f t="shared" si="0"/>
        <v>0</v>
      </c>
      <c r="H56" s="11"/>
      <c r="I56" s="11"/>
    </row>
    <row r="57" spans="1:9" ht="19.5" customHeight="1" x14ac:dyDescent="0.25">
      <c r="A57" s="175">
        <v>54</v>
      </c>
      <c r="B57" s="153"/>
      <c r="C57" s="42"/>
      <c r="D57" s="42"/>
      <c r="E57" s="11">
        <f>'11A (N S) Sem1 '!M57</f>
        <v>0</v>
      </c>
      <c r="F57" s="11">
        <f>'11A (N S) Sem2'!M57</f>
        <v>0</v>
      </c>
      <c r="G57" s="41">
        <f t="shared" si="0"/>
        <v>0</v>
      </c>
      <c r="H57" s="11"/>
      <c r="I57" s="11"/>
    </row>
    <row r="58" spans="1:9" ht="19.5" customHeight="1" x14ac:dyDescent="0.25">
      <c r="A58" s="155">
        <v>55</v>
      </c>
      <c r="B58" s="153"/>
      <c r="C58" s="42"/>
      <c r="D58" s="42"/>
      <c r="E58" s="11">
        <f>'11A (N S) Sem1 '!M58</f>
        <v>0</v>
      </c>
      <c r="F58" s="11">
        <f>'11A (N S) Sem2'!M58</f>
        <v>0</v>
      </c>
      <c r="G58" s="41">
        <f t="shared" si="0"/>
        <v>0</v>
      </c>
      <c r="H58" s="11"/>
      <c r="I58" s="11"/>
    </row>
    <row r="59" spans="1:9" ht="13.5" customHeight="1" x14ac:dyDescent="0.25"/>
    <row r="60" spans="1:9" ht="13.5" customHeight="1" x14ac:dyDescent="0.25"/>
    <row r="61" spans="1:9" ht="13.5" customHeight="1" x14ac:dyDescent="0.25"/>
    <row r="62" spans="1:9" ht="13.5" customHeight="1" x14ac:dyDescent="0.25">
      <c r="A62" s="37"/>
      <c r="B62" s="37"/>
    </row>
    <row r="63" spans="1:9" ht="13.5" customHeight="1" x14ac:dyDescent="0.25">
      <c r="A63" s="37"/>
      <c r="B63" s="37"/>
    </row>
    <row r="64" spans="1:9" ht="13.5" customHeight="1" x14ac:dyDescent="0.25">
      <c r="A64" s="37"/>
      <c r="B64" s="37"/>
    </row>
    <row r="65" spans="1:4" ht="13.5" customHeight="1" x14ac:dyDescent="0.25">
      <c r="A65" s="37"/>
      <c r="B65" s="37"/>
    </row>
    <row r="66" spans="1:4" ht="13.5" customHeight="1" x14ac:dyDescent="0.25">
      <c r="A66" s="37"/>
      <c r="B66" s="37"/>
    </row>
    <row r="67" spans="1:4" ht="13.5" customHeight="1" x14ac:dyDescent="0.25">
      <c r="A67" s="37"/>
      <c r="B67" s="37"/>
    </row>
    <row r="68" spans="1:4" ht="13.5" customHeight="1" x14ac:dyDescent="0.25">
      <c r="A68" s="37"/>
      <c r="B68" s="37"/>
    </row>
    <row r="69" spans="1:4" ht="13.5" customHeight="1" x14ac:dyDescent="0.25">
      <c r="A69" s="37"/>
      <c r="B69" s="37"/>
    </row>
    <row r="70" spans="1:4" ht="13.5" customHeight="1" x14ac:dyDescent="0.25">
      <c r="A70" s="37"/>
      <c r="B70" s="37"/>
    </row>
    <row r="71" spans="1:4" ht="13.5" customHeight="1" x14ac:dyDescent="0.25">
      <c r="A71" s="37"/>
      <c r="B71" s="37"/>
    </row>
    <row r="72" spans="1:4" ht="13.5" customHeight="1" x14ac:dyDescent="0.25">
      <c r="A72" s="37"/>
      <c r="B72" s="37"/>
    </row>
    <row r="73" spans="1:4" ht="13.5" customHeight="1" x14ac:dyDescent="0.25">
      <c r="A73" s="37"/>
      <c r="B73" s="37"/>
    </row>
    <row r="74" spans="1:4" ht="13.5" customHeight="1" x14ac:dyDescent="0.25">
      <c r="A74" s="37"/>
      <c r="B74" s="37"/>
    </row>
    <row r="75" spans="1:4" ht="13.5" customHeight="1" x14ac:dyDescent="0.25">
      <c r="A75" s="37"/>
      <c r="B75" s="37"/>
      <c r="C75" s="8"/>
      <c r="D75" s="8"/>
    </row>
    <row r="76" spans="1:4" ht="13.5" customHeight="1" x14ac:dyDescent="0.25">
      <c r="A76" s="37"/>
      <c r="B76" s="37"/>
      <c r="C76" s="8"/>
      <c r="D76" s="8"/>
    </row>
    <row r="77" spans="1:4" ht="13.5" customHeight="1" x14ac:dyDescent="0.25">
      <c r="A77" s="37"/>
      <c r="B77" s="37"/>
      <c r="C77" s="8"/>
      <c r="D77" s="8"/>
    </row>
    <row r="78" spans="1:4" ht="13.5" customHeight="1" x14ac:dyDescent="0.25">
      <c r="A78" s="37"/>
      <c r="B78" s="37"/>
      <c r="C78" s="8"/>
      <c r="D78" s="8"/>
    </row>
    <row r="79" spans="1:4" ht="13.5" customHeight="1" x14ac:dyDescent="0.25">
      <c r="A79" s="37"/>
      <c r="B79" s="37"/>
      <c r="C79" s="8"/>
      <c r="D79" s="8"/>
    </row>
    <row r="80" spans="1:4" ht="13.5" customHeight="1" x14ac:dyDescent="0.25">
      <c r="A80" s="37"/>
      <c r="B80" s="37"/>
      <c r="C80" s="8"/>
      <c r="D80" s="8"/>
    </row>
    <row r="81" spans="1:4" ht="13.5" customHeight="1" x14ac:dyDescent="0.25">
      <c r="A81" s="37"/>
      <c r="B81" s="37"/>
      <c r="C81" s="8"/>
      <c r="D81" s="8"/>
    </row>
    <row r="82" spans="1:4" ht="13.5" customHeight="1" x14ac:dyDescent="0.25">
      <c r="A82" s="37"/>
      <c r="B82" s="37"/>
      <c r="C82" s="8"/>
      <c r="D82" s="8"/>
    </row>
    <row r="83" spans="1:4" ht="13.5" customHeight="1" x14ac:dyDescent="0.25">
      <c r="A83" s="37"/>
      <c r="B83" s="37"/>
      <c r="C83" s="8"/>
      <c r="D83" s="8"/>
    </row>
    <row r="84" spans="1:4" ht="13.5" customHeight="1" x14ac:dyDescent="0.25">
      <c r="A84" s="37"/>
      <c r="B84" s="37"/>
    </row>
    <row r="85" spans="1:4" ht="13.5" customHeight="1" x14ac:dyDescent="0.25">
      <c r="A85" s="37"/>
      <c r="B85" s="37"/>
    </row>
    <row r="86" spans="1:4" ht="13.5" customHeight="1" x14ac:dyDescent="0.25">
      <c r="A86" s="37"/>
      <c r="B86" s="37"/>
    </row>
    <row r="87" spans="1:4" ht="13.5" customHeight="1" x14ac:dyDescent="0.25">
      <c r="A87" s="37"/>
      <c r="B87" s="37"/>
    </row>
    <row r="88" spans="1:4" ht="13.5" customHeight="1" x14ac:dyDescent="0.25">
      <c r="A88" s="37"/>
      <c r="B88" s="37"/>
    </row>
    <row r="89" spans="1:4" ht="13.5" customHeight="1" x14ac:dyDescent="0.25">
      <c r="A89" s="37"/>
      <c r="B89" s="37"/>
    </row>
    <row r="90" spans="1:4" ht="13.5" customHeight="1" x14ac:dyDescent="0.25">
      <c r="A90" s="37"/>
      <c r="B90" s="37"/>
    </row>
    <row r="91" spans="1:4" ht="13.5" customHeight="1" x14ac:dyDescent="0.25">
      <c r="A91" s="37"/>
      <c r="B91" s="37"/>
    </row>
    <row r="92" spans="1:4" ht="13.5" customHeight="1" x14ac:dyDescent="0.25">
      <c r="A92" s="37"/>
      <c r="B92" s="37"/>
    </row>
    <row r="93" spans="1:4" ht="13.5" customHeight="1" x14ac:dyDescent="0.25">
      <c r="A93" s="37"/>
      <c r="B93" s="37"/>
    </row>
    <row r="94" spans="1:4" ht="13.5" customHeight="1" x14ac:dyDescent="0.25">
      <c r="A94" s="37"/>
      <c r="B94" s="37"/>
    </row>
    <row r="95" spans="1:4" ht="13.5" customHeight="1" x14ac:dyDescent="0.25">
      <c r="A95" s="37"/>
      <c r="B95" s="37"/>
    </row>
    <row r="96" spans="1:4" ht="13.5" customHeight="1" x14ac:dyDescent="0.25">
      <c r="A96" s="37"/>
      <c r="B96" s="37"/>
    </row>
    <row r="97" spans="1:2" ht="13.5" customHeight="1" x14ac:dyDescent="0.25">
      <c r="A97" s="37"/>
      <c r="B97" s="37"/>
    </row>
    <row r="98" spans="1:2" ht="13.5" customHeight="1" x14ac:dyDescent="0.25">
      <c r="A98" s="37"/>
      <c r="B98" s="37"/>
    </row>
    <row r="99" spans="1:2" ht="15" customHeight="1" x14ac:dyDescent="0.25">
      <c r="A99" s="37"/>
      <c r="B99" s="37"/>
    </row>
  </sheetData>
  <mergeCells count="2">
    <mergeCell ref="A2:I2"/>
    <mergeCell ref="A1:L1"/>
  </mergeCells>
  <pageMargins left="0.7" right="0.7" top="0.75" bottom="0.75" header="0.3" footer="0.3"/>
  <pageSetup paperSize="9" scale="85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68"/>
  <sheetViews>
    <sheetView topLeftCell="A153" workbookViewId="0">
      <selection activeCell="B160" sqref="B4:B162"/>
    </sheetView>
  </sheetViews>
  <sheetFormatPr defaultRowHeight="15" x14ac:dyDescent="0.25"/>
  <cols>
    <col min="1" max="1" width="4.85546875" customWidth="1"/>
    <col min="2" max="2" width="37.140625" customWidth="1"/>
    <col min="3" max="3" width="5.140625" customWidth="1"/>
    <col min="4" max="4" width="4" customWidth="1"/>
    <col min="5" max="5" width="11.42578125" customWidth="1"/>
    <col min="6" max="16" width="7.28515625" customWidth="1"/>
    <col min="17" max="17" width="13.140625" customWidth="1"/>
    <col min="18" max="19" width="4.85546875" customWidth="1"/>
  </cols>
  <sheetData>
    <row r="1" spans="1:19" ht="20.25" customHeight="1" thickBot="1" x14ac:dyDescent="0.3">
      <c r="A1" s="254" t="s">
        <v>71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6"/>
      <c r="Q1" s="37"/>
    </row>
    <row r="2" spans="1:19" ht="15.75" customHeight="1" thickBot="1" x14ac:dyDescent="0.3">
      <c r="A2" s="257" t="s">
        <v>72</v>
      </c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8"/>
      <c r="Q2" s="37"/>
    </row>
    <row r="3" spans="1:19" ht="54.75" customHeight="1" thickBot="1" x14ac:dyDescent="0.3">
      <c r="A3" s="61" t="s">
        <v>28</v>
      </c>
      <c r="B3" s="61" t="s">
        <v>1</v>
      </c>
      <c r="C3" s="61" t="s">
        <v>2</v>
      </c>
      <c r="D3" s="61" t="s">
        <v>3</v>
      </c>
      <c r="E3" s="53" t="s">
        <v>25</v>
      </c>
      <c r="F3" s="121" t="s">
        <v>5</v>
      </c>
      <c r="G3" s="121" t="s">
        <v>6</v>
      </c>
      <c r="H3" s="121" t="s">
        <v>11</v>
      </c>
      <c r="I3" s="121" t="s">
        <v>10</v>
      </c>
      <c r="J3" s="121" t="s">
        <v>65</v>
      </c>
      <c r="K3" s="121" t="s">
        <v>67</v>
      </c>
      <c r="L3" s="121" t="s">
        <v>15</v>
      </c>
      <c r="M3" s="121" t="s">
        <v>16</v>
      </c>
      <c r="N3" s="121" t="s">
        <v>17</v>
      </c>
      <c r="O3" s="121" t="s">
        <v>18</v>
      </c>
      <c r="P3" s="190" t="s">
        <v>19</v>
      </c>
    </row>
    <row r="4" spans="1:19" ht="18.95" customHeight="1" thickBot="1" x14ac:dyDescent="0.35">
      <c r="A4" s="237">
        <v>1</v>
      </c>
      <c r="B4" s="228"/>
      <c r="C4" s="230">
        <v>17</v>
      </c>
      <c r="D4" s="233" t="s">
        <v>20</v>
      </c>
      <c r="E4" s="183" t="s">
        <v>21</v>
      </c>
      <c r="F4" s="23">
        <f>'11B (S S) Sem1'!E4</f>
        <v>51</v>
      </c>
      <c r="G4" s="23">
        <f>'11B (S S) Sem1'!F4</f>
        <v>50</v>
      </c>
      <c r="H4" s="23">
        <f>'11B (S S) Sem1'!G4</f>
        <v>52</v>
      </c>
      <c r="I4" s="23">
        <f>'11B (S S) Sem1'!H4</f>
        <v>48</v>
      </c>
      <c r="J4" s="23">
        <f>'11B (S S) Sem1'!I4</f>
        <v>51</v>
      </c>
      <c r="K4" s="23">
        <f>'11B (S S) Sem1'!J4</f>
        <v>76</v>
      </c>
      <c r="L4" s="23">
        <f>'11B (S S) Sem1'!K4</f>
        <v>328</v>
      </c>
      <c r="M4" s="192">
        <f>'11B (S S) Sem1'!L4</f>
        <v>54.666666666666664</v>
      </c>
      <c r="N4" s="22">
        <f>'11B (S S) Sem1'!M4</f>
        <v>50</v>
      </c>
      <c r="O4" s="23">
        <f>'11B (S S) Sem1'!N4</f>
        <v>0</v>
      </c>
      <c r="P4" s="42">
        <f>'11B (S S) Sem1'!O4</f>
        <v>0</v>
      </c>
      <c r="Q4" s="78"/>
    </row>
    <row r="5" spans="1:19" ht="18.95" customHeight="1" thickBot="1" x14ac:dyDescent="0.35">
      <c r="A5" s="247"/>
      <c r="B5" s="218"/>
      <c r="C5" s="213">
        <v>17</v>
      </c>
      <c r="D5" s="217" t="s">
        <v>20</v>
      </c>
      <c r="E5" s="24" t="s">
        <v>22</v>
      </c>
      <c r="F5" s="23">
        <f>'11B (S S) Sem2'!E4</f>
        <v>53</v>
      </c>
      <c r="G5" s="23">
        <f>'11B (S S) Sem2'!F4</f>
        <v>55</v>
      </c>
      <c r="H5" s="23">
        <f>'11B (S S) Sem2'!G4</f>
        <v>57</v>
      </c>
      <c r="I5" s="23">
        <f>'11B (S S) Sem2'!H4</f>
        <v>64</v>
      </c>
      <c r="J5" s="23">
        <f>'11B (S S) Sem2'!I4</f>
        <v>65</v>
      </c>
      <c r="K5" s="23">
        <f>'11B (S S) Sem2'!J4</f>
        <v>64</v>
      </c>
      <c r="L5" s="23">
        <f>'11B (S S) Sem2'!K4</f>
        <v>358</v>
      </c>
      <c r="M5" s="192">
        <f>'11B (S S) Sem2'!L4</f>
        <v>59.666666666666664</v>
      </c>
      <c r="N5" s="22">
        <f>'11B (S S) Sem2'!M4</f>
        <v>48</v>
      </c>
      <c r="O5" s="23">
        <f>'11B (S S) Sem2'!N4</f>
        <v>0</v>
      </c>
      <c r="P5" s="42">
        <f>'11B (S S) Sem2'!O4</f>
        <v>0</v>
      </c>
      <c r="Q5" s="78"/>
    </row>
    <row r="6" spans="1:19" ht="18.95" customHeight="1" thickBot="1" x14ac:dyDescent="0.35">
      <c r="A6" s="247"/>
      <c r="B6" s="218"/>
      <c r="C6" s="213">
        <v>17</v>
      </c>
      <c r="D6" s="217" t="s">
        <v>20</v>
      </c>
      <c r="E6" s="24" t="s">
        <v>16</v>
      </c>
      <c r="F6" s="23">
        <f>AVERAGE(F4:F5)</f>
        <v>52</v>
      </c>
      <c r="G6" s="23">
        <f t="shared" ref="G6:P6" si="0">AVERAGE(G4:G5)</f>
        <v>52.5</v>
      </c>
      <c r="H6" s="23">
        <f t="shared" si="0"/>
        <v>54.5</v>
      </c>
      <c r="I6" s="23">
        <f t="shared" si="0"/>
        <v>56</v>
      </c>
      <c r="J6" s="23">
        <f t="shared" si="0"/>
        <v>58</v>
      </c>
      <c r="K6" s="23">
        <f t="shared" si="0"/>
        <v>70</v>
      </c>
      <c r="L6" s="23">
        <f t="shared" si="0"/>
        <v>343</v>
      </c>
      <c r="M6" s="41">
        <f t="shared" si="0"/>
        <v>57.166666666666664</v>
      </c>
      <c r="N6" s="23">
        <f>'11B (N S) Avr'!$I$4</f>
        <v>49</v>
      </c>
      <c r="O6" s="23">
        <f t="shared" si="0"/>
        <v>0</v>
      </c>
      <c r="P6" s="23">
        <f t="shared" si="0"/>
        <v>0</v>
      </c>
      <c r="Q6" s="78"/>
    </row>
    <row r="7" spans="1:19" ht="18.95" customHeight="1" thickBot="1" x14ac:dyDescent="0.35">
      <c r="A7" s="247">
        <v>2</v>
      </c>
      <c r="B7" s="218"/>
      <c r="C7" s="213">
        <v>16</v>
      </c>
      <c r="D7" s="217" t="s">
        <v>20</v>
      </c>
      <c r="E7" s="24" t="s">
        <v>21</v>
      </c>
      <c r="F7" s="23">
        <f>'11B (S S) Sem1'!E5</f>
        <v>80</v>
      </c>
      <c r="G7" s="23">
        <f>'11B (S S) Sem1'!F5</f>
        <v>70</v>
      </c>
      <c r="H7" s="23">
        <f>'11B (S S) Sem1'!G5</f>
        <v>77</v>
      </c>
      <c r="I7" s="23">
        <f>'11B (S S) Sem1'!H5</f>
        <v>87</v>
      </c>
      <c r="J7" s="23">
        <f>'11B (S S) Sem1'!I5</f>
        <v>84</v>
      </c>
      <c r="K7" s="23">
        <f>'11B (S S) Sem1'!J5</f>
        <v>100</v>
      </c>
      <c r="L7" s="23">
        <f>'11B (S S) Sem1'!K5</f>
        <v>498</v>
      </c>
      <c r="M7" s="192">
        <f>'11B (S S) Sem1'!L5</f>
        <v>83</v>
      </c>
      <c r="N7" s="22">
        <f>'11B (S S) Sem1'!M5</f>
        <v>7</v>
      </c>
      <c r="O7" s="23">
        <f>'11B (S S) Sem1'!N5</f>
        <v>0</v>
      </c>
      <c r="P7" s="42">
        <f>'11B (S S) Sem1'!O5</f>
        <v>0</v>
      </c>
      <c r="Q7" s="78"/>
    </row>
    <row r="8" spans="1:19" ht="18.95" customHeight="1" thickBot="1" x14ac:dyDescent="0.35">
      <c r="A8" s="247"/>
      <c r="B8" s="218"/>
      <c r="C8" s="213">
        <v>16</v>
      </c>
      <c r="D8" s="217" t="s">
        <v>20</v>
      </c>
      <c r="E8" s="24" t="s">
        <v>22</v>
      </c>
      <c r="F8" s="23">
        <f>'11B (S S) Sem2'!E5</f>
        <v>83</v>
      </c>
      <c r="G8" s="23">
        <f>'11B (S S) Sem2'!F5</f>
        <v>56</v>
      </c>
      <c r="H8" s="23">
        <f>'11B (S S) Sem2'!G5</f>
        <v>75</v>
      </c>
      <c r="I8" s="23">
        <f>'11B (S S) Sem2'!H5</f>
        <v>91</v>
      </c>
      <c r="J8" s="23">
        <f>'11B (S S) Sem2'!I5</f>
        <v>88</v>
      </c>
      <c r="K8" s="23">
        <f>'11B (S S) Sem2'!J5</f>
        <v>89</v>
      </c>
      <c r="L8" s="23">
        <f>'11B (S S) Sem2'!K5</f>
        <v>482</v>
      </c>
      <c r="M8" s="192">
        <f>'11B (S S) Sem2'!L5</f>
        <v>80.333333333333329</v>
      </c>
      <c r="N8" s="22">
        <f>'11B (S S) Sem2'!M5</f>
        <v>17</v>
      </c>
      <c r="O8" s="23">
        <f>'11B (S S) Sem2'!N5</f>
        <v>0</v>
      </c>
      <c r="P8" s="42">
        <f>'11B (S S) Sem2'!O5</f>
        <v>0</v>
      </c>
      <c r="Q8" s="78"/>
    </row>
    <row r="9" spans="1:19" ht="18.95" customHeight="1" thickBot="1" x14ac:dyDescent="0.35">
      <c r="A9" s="247"/>
      <c r="B9" s="218"/>
      <c r="C9" s="213">
        <v>16</v>
      </c>
      <c r="D9" s="217" t="s">
        <v>20</v>
      </c>
      <c r="E9" s="24" t="s">
        <v>16</v>
      </c>
      <c r="F9" s="23">
        <f>AVERAGE(F7:F8)</f>
        <v>81.5</v>
      </c>
      <c r="G9" s="23">
        <f t="shared" ref="G9:P9" si="1">AVERAGE(G7:G8)</f>
        <v>63</v>
      </c>
      <c r="H9" s="23">
        <f t="shared" si="1"/>
        <v>76</v>
      </c>
      <c r="I9" s="23">
        <f t="shared" si="1"/>
        <v>89</v>
      </c>
      <c r="J9" s="23">
        <f t="shared" si="1"/>
        <v>86</v>
      </c>
      <c r="K9" s="23">
        <f t="shared" si="1"/>
        <v>94.5</v>
      </c>
      <c r="L9" s="23">
        <f t="shared" si="1"/>
        <v>490</v>
      </c>
      <c r="M9" s="41">
        <f t="shared" si="1"/>
        <v>81.666666666666657</v>
      </c>
      <c r="N9" s="23">
        <f>'11B (N S) Avr'!$I$5</f>
        <v>13</v>
      </c>
      <c r="O9" s="23">
        <f t="shared" si="1"/>
        <v>0</v>
      </c>
      <c r="P9" s="23">
        <f t="shared" si="1"/>
        <v>0</v>
      </c>
      <c r="Q9" s="78"/>
    </row>
    <row r="10" spans="1:19" ht="18.95" customHeight="1" thickBot="1" x14ac:dyDescent="0.35">
      <c r="A10" s="247">
        <v>3</v>
      </c>
      <c r="B10" s="218"/>
      <c r="C10" s="213">
        <v>17</v>
      </c>
      <c r="D10" s="217" t="s">
        <v>20</v>
      </c>
      <c r="E10" s="24" t="s">
        <v>21</v>
      </c>
      <c r="F10" s="23">
        <f>'11B (S S) Sem1'!E6</f>
        <v>71</v>
      </c>
      <c r="G10" s="23">
        <f>'11B (S S) Sem1'!F6</f>
        <v>52</v>
      </c>
      <c r="H10" s="23">
        <f>'11B (S S) Sem1'!G6</f>
        <v>46</v>
      </c>
      <c r="I10" s="23">
        <f>'11B (S S) Sem1'!H6</f>
        <v>43</v>
      </c>
      <c r="J10" s="23">
        <f>'11B (S S) Sem1'!I6</f>
        <v>45</v>
      </c>
      <c r="K10" s="23">
        <f>'11B (S S) Sem1'!J6</f>
        <v>72</v>
      </c>
      <c r="L10" s="23">
        <f>'11B (S S) Sem1'!K6</f>
        <v>329</v>
      </c>
      <c r="M10" s="192">
        <f>'11B (S S) Sem1'!L6</f>
        <v>54.833333333333336</v>
      </c>
      <c r="N10" s="22">
        <f>'11B (S S) Sem1'!M6</f>
        <v>49</v>
      </c>
      <c r="O10" s="23">
        <f>'11B (S S) Sem1'!N6</f>
        <v>0</v>
      </c>
      <c r="P10" s="42">
        <f>'11B (S S) Sem1'!O6</f>
        <v>0</v>
      </c>
      <c r="Q10" s="78"/>
    </row>
    <row r="11" spans="1:19" ht="18.95" customHeight="1" thickBot="1" x14ac:dyDescent="0.35">
      <c r="A11" s="247"/>
      <c r="B11" s="218"/>
      <c r="C11" s="213">
        <v>17</v>
      </c>
      <c r="D11" s="217" t="s">
        <v>20</v>
      </c>
      <c r="E11" s="24" t="s">
        <v>22</v>
      </c>
      <c r="F11" s="23">
        <f>'11B (S S) Sem2'!E6</f>
        <v>66</v>
      </c>
      <c r="G11" s="23">
        <f>'11B (S S) Sem2'!F6</f>
        <v>72</v>
      </c>
      <c r="H11" s="23">
        <f>'11B (S S) Sem2'!G6</f>
        <v>57</v>
      </c>
      <c r="I11" s="23">
        <f>'11B (S S) Sem2'!H6</f>
        <v>51</v>
      </c>
      <c r="J11" s="23">
        <f>'11B (S S) Sem2'!I6</f>
        <v>68</v>
      </c>
      <c r="K11" s="23">
        <f>'11B (S S) Sem2'!J6</f>
        <v>75</v>
      </c>
      <c r="L11" s="23">
        <f>'11B (S S) Sem2'!K6</f>
        <v>389</v>
      </c>
      <c r="M11" s="192">
        <f>'11B (S S) Sem2'!L6</f>
        <v>64.833333333333329</v>
      </c>
      <c r="N11" s="22">
        <f>'11B (S S) Sem2'!M6</f>
        <v>39</v>
      </c>
      <c r="O11" s="23">
        <f>'11B (S S) Sem2'!N6</f>
        <v>0</v>
      </c>
      <c r="P11" s="42">
        <f>'11B (S S) Sem2'!O6</f>
        <v>0</v>
      </c>
      <c r="Q11" s="78"/>
    </row>
    <row r="12" spans="1:19" ht="18.95" customHeight="1" thickBot="1" x14ac:dyDescent="0.35">
      <c r="A12" s="247"/>
      <c r="B12" s="218"/>
      <c r="C12" s="213">
        <v>17</v>
      </c>
      <c r="D12" s="217" t="s">
        <v>20</v>
      </c>
      <c r="E12" s="24" t="s">
        <v>16</v>
      </c>
      <c r="F12" s="23">
        <f>AVERAGE(F10:F11)</f>
        <v>68.5</v>
      </c>
      <c r="G12" s="23">
        <f t="shared" ref="G12:P12" si="2">AVERAGE(G10:G11)</f>
        <v>62</v>
      </c>
      <c r="H12" s="23">
        <f t="shared" si="2"/>
        <v>51.5</v>
      </c>
      <c r="I12" s="23">
        <f t="shared" si="2"/>
        <v>47</v>
      </c>
      <c r="J12" s="23">
        <f t="shared" si="2"/>
        <v>56.5</v>
      </c>
      <c r="K12" s="23">
        <f t="shared" si="2"/>
        <v>73.5</v>
      </c>
      <c r="L12" s="23">
        <f t="shared" si="2"/>
        <v>359</v>
      </c>
      <c r="M12" s="41">
        <f t="shared" si="2"/>
        <v>59.833333333333329</v>
      </c>
      <c r="N12" s="23">
        <f>'11B (N S) Avr'!$I$6</f>
        <v>45</v>
      </c>
      <c r="O12" s="23">
        <f t="shared" si="2"/>
        <v>0</v>
      </c>
      <c r="P12" s="23">
        <f t="shared" si="2"/>
        <v>0</v>
      </c>
      <c r="Q12" s="78"/>
    </row>
    <row r="13" spans="1:19" ht="18.95" customHeight="1" thickBot="1" x14ac:dyDescent="0.35">
      <c r="A13" s="247">
        <v>4</v>
      </c>
      <c r="B13" s="218"/>
      <c r="C13" s="213">
        <v>17</v>
      </c>
      <c r="D13" s="217" t="s">
        <v>23</v>
      </c>
      <c r="E13" s="24" t="s">
        <v>21</v>
      </c>
      <c r="F13" s="23">
        <f>'11B (S S) Sem1'!E7</f>
        <v>91</v>
      </c>
      <c r="G13" s="23">
        <f>'11B (S S) Sem1'!F7</f>
        <v>77</v>
      </c>
      <c r="H13" s="23">
        <f>'11B (S S) Sem1'!G7</f>
        <v>90</v>
      </c>
      <c r="I13" s="23">
        <f>'11B (S S) Sem1'!H7</f>
        <v>94</v>
      </c>
      <c r="J13" s="23">
        <f>'11B (S S) Sem1'!I7</f>
        <v>88</v>
      </c>
      <c r="K13" s="23">
        <f>'11B (S S) Sem1'!J7</f>
        <v>100</v>
      </c>
      <c r="L13" s="23">
        <f>'11B (S S) Sem1'!K7</f>
        <v>540</v>
      </c>
      <c r="M13" s="192">
        <f>'11B (S S) Sem1'!L7</f>
        <v>90</v>
      </c>
      <c r="N13" s="22">
        <f>'11B (S S) Sem1'!M7</f>
        <v>2</v>
      </c>
      <c r="O13" s="23">
        <f>'11B (S S) Sem1'!N7</f>
        <v>0</v>
      </c>
      <c r="P13" s="42">
        <f>'11B (S S) Sem1'!O7</f>
        <v>0</v>
      </c>
      <c r="Q13" s="78"/>
    </row>
    <row r="14" spans="1:19" ht="18.95" customHeight="1" thickBot="1" x14ac:dyDescent="0.35">
      <c r="A14" s="247"/>
      <c r="B14" s="218"/>
      <c r="C14" s="213">
        <v>17</v>
      </c>
      <c r="D14" s="217" t="s">
        <v>23</v>
      </c>
      <c r="E14" s="24" t="s">
        <v>22</v>
      </c>
      <c r="F14" s="23">
        <f>'11B (S S) Sem2'!E7</f>
        <v>95</v>
      </c>
      <c r="G14" s="23">
        <f>'11B (S S) Sem2'!F7</f>
        <v>80</v>
      </c>
      <c r="H14" s="23">
        <f>'11B (S S) Sem2'!G7</f>
        <v>93</v>
      </c>
      <c r="I14" s="23">
        <f>'11B (S S) Sem2'!H7</f>
        <v>96</v>
      </c>
      <c r="J14" s="23">
        <f>'11B (S S) Sem2'!I7</f>
        <v>96</v>
      </c>
      <c r="K14" s="23">
        <f>'11B (S S) Sem2'!J7</f>
        <v>100</v>
      </c>
      <c r="L14" s="23">
        <f>'11B (S S) Sem2'!K7</f>
        <v>560</v>
      </c>
      <c r="M14" s="192">
        <f>'11B (S S) Sem2'!L7</f>
        <v>93.333333333333329</v>
      </c>
      <c r="N14" s="22">
        <f>'11B (S S) Sem2'!M7</f>
        <v>2</v>
      </c>
      <c r="O14" s="23">
        <f>'11B (S S) Sem2'!N7</f>
        <v>0</v>
      </c>
      <c r="P14" s="42">
        <f>'11B (S S) Sem2'!O7</f>
        <v>0</v>
      </c>
      <c r="Q14" s="78"/>
    </row>
    <row r="15" spans="1:19" ht="18.95" customHeight="1" thickBot="1" x14ac:dyDescent="0.35">
      <c r="A15" s="247"/>
      <c r="B15" s="218"/>
      <c r="C15" s="213">
        <v>17</v>
      </c>
      <c r="D15" s="217" t="s">
        <v>23</v>
      </c>
      <c r="E15" s="24" t="s">
        <v>16</v>
      </c>
      <c r="F15" s="23">
        <f>AVERAGE(F13:F14)</f>
        <v>93</v>
      </c>
      <c r="G15" s="23">
        <f t="shared" ref="G15:P15" si="3">AVERAGE(G13:G14)</f>
        <v>78.5</v>
      </c>
      <c r="H15" s="23">
        <f t="shared" si="3"/>
        <v>91.5</v>
      </c>
      <c r="I15" s="23">
        <f t="shared" si="3"/>
        <v>95</v>
      </c>
      <c r="J15" s="23">
        <f t="shared" si="3"/>
        <v>92</v>
      </c>
      <c r="K15" s="23">
        <f t="shared" si="3"/>
        <v>100</v>
      </c>
      <c r="L15" s="23">
        <f t="shared" si="3"/>
        <v>550</v>
      </c>
      <c r="M15" s="41">
        <f t="shared" si="3"/>
        <v>91.666666666666657</v>
      </c>
      <c r="N15" s="23">
        <f>'11B (N S) Avr'!$I$7</f>
        <v>2</v>
      </c>
      <c r="O15" s="23">
        <f t="shared" si="3"/>
        <v>0</v>
      </c>
      <c r="P15" s="23">
        <f t="shared" si="3"/>
        <v>0</v>
      </c>
      <c r="Q15" s="78"/>
    </row>
    <row r="16" spans="1:19" ht="18.95" customHeight="1" thickBot="1" x14ac:dyDescent="0.35">
      <c r="A16" s="247">
        <v>5</v>
      </c>
      <c r="B16" s="218"/>
      <c r="C16" s="213">
        <v>16</v>
      </c>
      <c r="D16" s="217" t="s">
        <v>23</v>
      </c>
      <c r="E16" s="24" t="s">
        <v>21</v>
      </c>
      <c r="F16" s="23">
        <f>'11B (S S) Sem1'!E8</f>
        <v>55</v>
      </c>
      <c r="G16" s="23">
        <f>'11B (S S) Sem1'!F8</f>
        <v>58</v>
      </c>
      <c r="H16" s="23">
        <f>'11B (S S) Sem1'!G8</f>
        <v>60</v>
      </c>
      <c r="I16" s="23">
        <f>'11B (S S) Sem1'!H8</f>
        <v>54</v>
      </c>
      <c r="J16" s="23">
        <f>'11B (S S) Sem1'!I8</f>
        <v>60</v>
      </c>
      <c r="K16" s="23">
        <f>'11B (S S) Sem1'!J8</f>
        <v>69</v>
      </c>
      <c r="L16" s="23">
        <f>'11B (S S) Sem1'!K8</f>
        <v>356</v>
      </c>
      <c r="M16" s="192">
        <f>'11B (S S) Sem1'!L8</f>
        <v>59.333333333333336</v>
      </c>
      <c r="N16" s="22">
        <f>'11B (S S) Sem1'!M8</f>
        <v>35</v>
      </c>
      <c r="O16" s="23">
        <f>'11B (S S) Sem1'!N8</f>
        <v>0</v>
      </c>
      <c r="P16" s="42">
        <f>'11B (S S) Sem1'!O8</f>
        <v>0</v>
      </c>
      <c r="Q16" s="79"/>
      <c r="R16" s="8"/>
      <c r="S16" s="8"/>
    </row>
    <row r="17" spans="1:19" ht="18.95" customHeight="1" thickBot="1" x14ac:dyDescent="0.35">
      <c r="A17" s="247"/>
      <c r="B17" s="218"/>
      <c r="C17" s="213">
        <v>16</v>
      </c>
      <c r="D17" s="217" t="s">
        <v>23</v>
      </c>
      <c r="E17" s="24" t="s">
        <v>22</v>
      </c>
      <c r="F17" s="23">
        <f>'11B (S S) Sem2'!E8</f>
        <v>58</v>
      </c>
      <c r="G17" s="23">
        <f>'11B (S S) Sem2'!F8</f>
        <v>61</v>
      </c>
      <c r="H17" s="23">
        <f>'11B (S S) Sem2'!G8</f>
        <v>52</v>
      </c>
      <c r="I17" s="23">
        <f>'11B (S S) Sem2'!H8</f>
        <v>55</v>
      </c>
      <c r="J17" s="23">
        <f>'11B (S S) Sem2'!I8</f>
        <v>73</v>
      </c>
      <c r="K17" s="23">
        <f>'11B (S S) Sem2'!J8</f>
        <v>87</v>
      </c>
      <c r="L17" s="23">
        <f>'11B (S S) Sem2'!K8</f>
        <v>386</v>
      </c>
      <c r="M17" s="192">
        <f>'11B (S S) Sem2'!L8</f>
        <v>64.333333333333329</v>
      </c>
      <c r="N17" s="22">
        <f>'11B (S S) Sem2'!M8</f>
        <v>41</v>
      </c>
      <c r="O17" s="23">
        <f>'11B (S S) Sem2'!N8</f>
        <v>0</v>
      </c>
      <c r="P17" s="42">
        <f>'11B (S S) Sem2'!O8</f>
        <v>0</v>
      </c>
      <c r="Q17" s="79"/>
      <c r="R17" s="8"/>
      <c r="S17" s="8"/>
    </row>
    <row r="18" spans="1:19" ht="18.95" customHeight="1" thickBot="1" x14ac:dyDescent="0.35">
      <c r="A18" s="247"/>
      <c r="B18" s="218"/>
      <c r="C18" s="213">
        <v>16</v>
      </c>
      <c r="D18" s="217" t="s">
        <v>23</v>
      </c>
      <c r="E18" s="24" t="s">
        <v>16</v>
      </c>
      <c r="F18" s="23">
        <f>AVERAGE(F16:F17)</f>
        <v>56.5</v>
      </c>
      <c r="G18" s="23">
        <f t="shared" ref="G18:P18" si="4">AVERAGE(G16:G17)</f>
        <v>59.5</v>
      </c>
      <c r="H18" s="23">
        <f t="shared" si="4"/>
        <v>56</v>
      </c>
      <c r="I18" s="23">
        <f t="shared" si="4"/>
        <v>54.5</v>
      </c>
      <c r="J18" s="23">
        <f t="shared" si="4"/>
        <v>66.5</v>
      </c>
      <c r="K18" s="23">
        <f t="shared" si="4"/>
        <v>78</v>
      </c>
      <c r="L18" s="23">
        <f t="shared" si="4"/>
        <v>371</v>
      </c>
      <c r="M18" s="41">
        <f t="shared" si="4"/>
        <v>61.833333333333329</v>
      </c>
      <c r="N18" s="23">
        <f>'11B (N S) Avr'!$I$8</f>
        <v>37</v>
      </c>
      <c r="O18" s="23">
        <f t="shared" si="4"/>
        <v>0</v>
      </c>
      <c r="P18" s="23">
        <f t="shared" si="4"/>
        <v>0</v>
      </c>
      <c r="Q18" s="79"/>
      <c r="R18" s="8"/>
      <c r="S18" s="8"/>
    </row>
    <row r="19" spans="1:19" ht="18.95" customHeight="1" thickBot="1" x14ac:dyDescent="0.35">
      <c r="A19" s="247">
        <v>6</v>
      </c>
      <c r="B19" s="218"/>
      <c r="C19" s="213">
        <v>16</v>
      </c>
      <c r="D19" s="217" t="s">
        <v>23</v>
      </c>
      <c r="E19" s="24" t="s">
        <v>21</v>
      </c>
      <c r="F19" s="23">
        <f>'11B (S S) Sem1'!E9</f>
        <v>60</v>
      </c>
      <c r="G19" s="23">
        <f>'11B (S S) Sem1'!F9</f>
        <v>41</v>
      </c>
      <c r="H19" s="23">
        <f>'11B (S S) Sem1'!G9</f>
        <v>62</v>
      </c>
      <c r="I19" s="23">
        <f>'11B (S S) Sem1'!H9</f>
        <v>59</v>
      </c>
      <c r="J19" s="23">
        <f>'11B (S S) Sem1'!I9</f>
        <v>52</v>
      </c>
      <c r="K19" s="23">
        <f>'11B (S S) Sem1'!J9</f>
        <v>66</v>
      </c>
      <c r="L19" s="23">
        <f>'11B (S S) Sem1'!K9</f>
        <v>340</v>
      </c>
      <c r="M19" s="192">
        <f>'11B (S S) Sem1'!L9</f>
        <v>56.666666666666664</v>
      </c>
      <c r="N19" s="22">
        <f>'11B (S S) Sem1'!M9</f>
        <v>43</v>
      </c>
      <c r="O19" s="23">
        <f>'11B (S S) Sem1'!N9</f>
        <v>0</v>
      </c>
      <c r="P19" s="42">
        <f>'11B (S S) Sem1'!O9</f>
        <v>0</v>
      </c>
      <c r="Q19" s="79"/>
      <c r="R19" s="8"/>
      <c r="S19" s="8"/>
    </row>
    <row r="20" spans="1:19" ht="18.95" customHeight="1" thickBot="1" x14ac:dyDescent="0.35">
      <c r="A20" s="247"/>
      <c r="B20" s="218"/>
      <c r="C20" s="213">
        <v>16</v>
      </c>
      <c r="D20" s="217" t="s">
        <v>23</v>
      </c>
      <c r="E20" s="24" t="s">
        <v>22</v>
      </c>
      <c r="F20" s="23">
        <f>'11B (S S) Sem2'!E9</f>
        <v>67</v>
      </c>
      <c r="G20" s="23">
        <f>'11B (S S) Sem2'!F9</f>
        <v>45</v>
      </c>
      <c r="H20" s="23">
        <f>'11B (S S) Sem2'!G9</f>
        <v>60</v>
      </c>
      <c r="I20" s="23">
        <f>'11B (S S) Sem2'!H9</f>
        <v>66</v>
      </c>
      <c r="J20" s="23">
        <f>'11B (S S) Sem2'!I9</f>
        <v>73</v>
      </c>
      <c r="K20" s="23">
        <f>'11B (S S) Sem2'!J9</f>
        <v>69</v>
      </c>
      <c r="L20" s="23">
        <f>'11B (S S) Sem2'!K9</f>
        <v>380</v>
      </c>
      <c r="M20" s="192">
        <f>'11B (S S) Sem2'!L9</f>
        <v>63.333333333333336</v>
      </c>
      <c r="N20" s="22">
        <f>'11B (S S) Sem2'!M9</f>
        <v>46</v>
      </c>
      <c r="O20" s="23">
        <f>'11B (S S) Sem2'!N9</f>
        <v>0</v>
      </c>
      <c r="P20" s="42">
        <f>'11B (S S) Sem2'!O9</f>
        <v>0</v>
      </c>
      <c r="Q20" s="79"/>
      <c r="R20" s="8"/>
      <c r="S20" s="8"/>
    </row>
    <row r="21" spans="1:19" ht="18.95" customHeight="1" thickBot="1" x14ac:dyDescent="0.35">
      <c r="A21" s="247"/>
      <c r="B21" s="218"/>
      <c r="C21" s="213">
        <v>16</v>
      </c>
      <c r="D21" s="217" t="s">
        <v>23</v>
      </c>
      <c r="E21" s="24" t="s">
        <v>16</v>
      </c>
      <c r="F21" s="23">
        <f>AVERAGE(F19:F20)</f>
        <v>63.5</v>
      </c>
      <c r="G21" s="23">
        <f t="shared" ref="G21:P21" si="5">AVERAGE(G19:G20)</f>
        <v>43</v>
      </c>
      <c r="H21" s="23">
        <f t="shared" si="5"/>
        <v>61</v>
      </c>
      <c r="I21" s="23">
        <f t="shared" si="5"/>
        <v>62.5</v>
      </c>
      <c r="J21" s="23">
        <f t="shared" si="5"/>
        <v>62.5</v>
      </c>
      <c r="K21" s="23">
        <f t="shared" si="5"/>
        <v>67.5</v>
      </c>
      <c r="L21" s="23">
        <f t="shared" si="5"/>
        <v>360</v>
      </c>
      <c r="M21" s="41">
        <f t="shared" si="5"/>
        <v>60</v>
      </c>
      <c r="N21" s="23">
        <f>'11B (N S) Avr'!$I$9</f>
        <v>44</v>
      </c>
      <c r="O21" s="23">
        <f t="shared" si="5"/>
        <v>0</v>
      </c>
      <c r="P21" s="23">
        <f t="shared" si="5"/>
        <v>0</v>
      </c>
      <c r="Q21" s="79"/>
      <c r="R21" s="8"/>
      <c r="S21" s="8"/>
    </row>
    <row r="22" spans="1:19" ht="18.95" customHeight="1" thickBot="1" x14ac:dyDescent="0.35">
      <c r="A22" s="247">
        <v>7</v>
      </c>
      <c r="B22" s="218"/>
      <c r="C22" s="213">
        <v>17</v>
      </c>
      <c r="D22" s="217" t="s">
        <v>23</v>
      </c>
      <c r="E22" s="24" t="s">
        <v>21</v>
      </c>
      <c r="F22" s="23">
        <f>'11B (S S) Sem1'!E10</f>
        <v>63</v>
      </c>
      <c r="G22" s="23">
        <f>'11B (S S) Sem1'!F10</f>
        <v>51</v>
      </c>
      <c r="H22" s="23">
        <f>'11B (S S) Sem1'!G10</f>
        <v>76</v>
      </c>
      <c r="I22" s="23">
        <f>'11B (S S) Sem1'!H10</f>
        <v>68</v>
      </c>
      <c r="J22" s="23">
        <f>'11B (S S) Sem1'!I10</f>
        <v>69</v>
      </c>
      <c r="K22" s="23">
        <f>'11B (S S) Sem1'!J10</f>
        <v>76</v>
      </c>
      <c r="L22" s="23">
        <f>'11B (S S) Sem1'!K10</f>
        <v>403</v>
      </c>
      <c r="M22" s="192">
        <f>'11B (S S) Sem1'!L10</f>
        <v>67.166666666666671</v>
      </c>
      <c r="N22" s="22">
        <f>'11B (S S) Sem1'!M10</f>
        <v>25</v>
      </c>
      <c r="O22" s="23">
        <f>'11B (S S) Sem1'!N10</f>
        <v>0</v>
      </c>
      <c r="P22" s="42">
        <f>'11B (S S) Sem1'!O10</f>
        <v>0</v>
      </c>
      <c r="Q22" s="79"/>
      <c r="R22" s="8"/>
      <c r="S22" s="8"/>
    </row>
    <row r="23" spans="1:19" ht="18.95" customHeight="1" thickBot="1" x14ac:dyDescent="0.35">
      <c r="A23" s="247"/>
      <c r="B23" s="218"/>
      <c r="C23" s="213">
        <v>17</v>
      </c>
      <c r="D23" s="217" t="s">
        <v>23</v>
      </c>
      <c r="E23" s="24" t="s">
        <v>22</v>
      </c>
      <c r="F23" s="23">
        <f>'11B (S S) Sem2'!E10</f>
        <v>79</v>
      </c>
      <c r="G23" s="23">
        <f>'11B (S S) Sem2'!F10</f>
        <v>50</v>
      </c>
      <c r="H23" s="23">
        <f>'11B (S S) Sem2'!G10</f>
        <v>80</v>
      </c>
      <c r="I23" s="23">
        <f>'11B (S S) Sem2'!H10</f>
        <v>92</v>
      </c>
      <c r="J23" s="23">
        <f>'11B (S S) Sem2'!I10</f>
        <v>84</v>
      </c>
      <c r="K23" s="23">
        <f>'11B (S S) Sem2'!J10</f>
        <v>82</v>
      </c>
      <c r="L23" s="23">
        <f>'11B (S S) Sem2'!K10</f>
        <v>467</v>
      </c>
      <c r="M23" s="192">
        <f>'11B (S S) Sem2'!L10</f>
        <v>77.833333333333329</v>
      </c>
      <c r="N23" s="22">
        <f>'11B (S S) Sem2'!M10</f>
        <v>19</v>
      </c>
      <c r="O23" s="23">
        <f>'11B (S S) Sem2'!N10</f>
        <v>0</v>
      </c>
      <c r="P23" s="42">
        <f>'11B (S S) Sem2'!O10</f>
        <v>0</v>
      </c>
      <c r="Q23" s="79"/>
      <c r="R23" s="8"/>
      <c r="S23" s="8"/>
    </row>
    <row r="24" spans="1:19" ht="18.95" customHeight="1" thickBot="1" x14ac:dyDescent="0.35">
      <c r="A24" s="247"/>
      <c r="B24" s="218"/>
      <c r="C24" s="213">
        <v>17</v>
      </c>
      <c r="D24" s="217" t="s">
        <v>23</v>
      </c>
      <c r="E24" s="24" t="s">
        <v>16</v>
      </c>
      <c r="F24" s="23">
        <f>AVERAGE(F22:F23)</f>
        <v>71</v>
      </c>
      <c r="G24" s="23">
        <f t="shared" ref="G24:P24" si="6">AVERAGE(G22:G23)</f>
        <v>50.5</v>
      </c>
      <c r="H24" s="23">
        <f t="shared" si="6"/>
        <v>78</v>
      </c>
      <c r="I24" s="23">
        <f t="shared" si="6"/>
        <v>80</v>
      </c>
      <c r="J24" s="23">
        <f t="shared" si="6"/>
        <v>76.5</v>
      </c>
      <c r="K24" s="23">
        <f t="shared" si="6"/>
        <v>79</v>
      </c>
      <c r="L24" s="23">
        <f t="shared" si="6"/>
        <v>435</v>
      </c>
      <c r="M24" s="41">
        <f t="shared" si="6"/>
        <v>72.5</v>
      </c>
      <c r="N24" s="23">
        <f>'11B (N S) Avr'!$I$10</f>
        <v>23</v>
      </c>
      <c r="O24" s="23">
        <f t="shared" si="6"/>
        <v>0</v>
      </c>
      <c r="P24" s="23">
        <f t="shared" si="6"/>
        <v>0</v>
      </c>
      <c r="Q24" s="79"/>
      <c r="R24" s="8"/>
      <c r="S24" s="8"/>
    </row>
    <row r="25" spans="1:19" ht="18.95" customHeight="1" thickBot="1" x14ac:dyDescent="0.35">
      <c r="A25" s="247">
        <v>8</v>
      </c>
      <c r="B25" s="218"/>
      <c r="C25" s="213">
        <v>18</v>
      </c>
      <c r="D25" s="217" t="s">
        <v>20</v>
      </c>
      <c r="E25" s="24" t="s">
        <v>21</v>
      </c>
      <c r="F25" s="23">
        <f>'11B (S S) Sem1'!E11</f>
        <v>73</v>
      </c>
      <c r="G25" s="23">
        <f>'11B (S S) Sem1'!F11</f>
        <v>72</v>
      </c>
      <c r="H25" s="23">
        <f>'11B (S S) Sem1'!G11</f>
        <v>78</v>
      </c>
      <c r="I25" s="23">
        <f>'11B (S S) Sem1'!H11</f>
        <v>70</v>
      </c>
      <c r="J25" s="23">
        <f>'11B (S S) Sem1'!I11</f>
        <v>75</v>
      </c>
      <c r="K25" s="23">
        <f>'11B (S S) Sem1'!J11</f>
        <v>85</v>
      </c>
      <c r="L25" s="23">
        <f>'11B (S S) Sem1'!K11</f>
        <v>453</v>
      </c>
      <c r="M25" s="192">
        <f>'11B (S S) Sem1'!L11</f>
        <v>75.5</v>
      </c>
      <c r="N25" s="22">
        <f>'11B (S S) Sem1'!M11</f>
        <v>18</v>
      </c>
      <c r="O25" s="23">
        <f>'11B (S S) Sem1'!N11</f>
        <v>0</v>
      </c>
      <c r="P25" s="42">
        <f>'11B (S S) Sem1'!O11</f>
        <v>0</v>
      </c>
      <c r="Q25" s="79"/>
      <c r="R25" s="8"/>
      <c r="S25" s="8"/>
    </row>
    <row r="26" spans="1:19" ht="18.95" customHeight="1" thickBot="1" x14ac:dyDescent="0.35">
      <c r="A26" s="247"/>
      <c r="B26" s="218"/>
      <c r="C26" s="213">
        <v>18</v>
      </c>
      <c r="D26" s="217" t="s">
        <v>20</v>
      </c>
      <c r="E26" s="24" t="s">
        <v>22</v>
      </c>
      <c r="F26" s="23">
        <f>'11B (S S) Sem2'!E11</f>
        <v>80</v>
      </c>
      <c r="G26" s="23">
        <f>'11B (S S) Sem2'!F11</f>
        <v>76</v>
      </c>
      <c r="H26" s="23">
        <f>'11B (S S) Sem2'!G11</f>
        <v>78</v>
      </c>
      <c r="I26" s="23">
        <f>'11B (S S) Sem2'!H11</f>
        <v>61</v>
      </c>
      <c r="J26" s="23">
        <f>'11B (S S) Sem2'!I11</f>
        <v>91</v>
      </c>
      <c r="K26" s="23">
        <f>'11B (S S) Sem2'!J11</f>
        <v>72</v>
      </c>
      <c r="L26" s="23">
        <f>'11B (S S) Sem2'!K11</f>
        <v>458</v>
      </c>
      <c r="M26" s="192">
        <f>'11B (S S) Sem2'!L11</f>
        <v>76.333333333333329</v>
      </c>
      <c r="N26" s="22">
        <f>'11B (S S) Sem2'!M11</f>
        <v>22</v>
      </c>
      <c r="O26" s="23">
        <f>'11B (S S) Sem2'!N11</f>
        <v>0</v>
      </c>
      <c r="P26" s="42">
        <f>'11B (S S) Sem2'!O11</f>
        <v>0</v>
      </c>
      <c r="Q26" s="79"/>
      <c r="R26" s="8"/>
      <c r="S26" s="8"/>
    </row>
    <row r="27" spans="1:19" ht="18.95" customHeight="1" thickBot="1" x14ac:dyDescent="0.35">
      <c r="A27" s="247"/>
      <c r="B27" s="218"/>
      <c r="C27" s="213">
        <v>18</v>
      </c>
      <c r="D27" s="217" t="s">
        <v>20</v>
      </c>
      <c r="E27" s="24" t="s">
        <v>16</v>
      </c>
      <c r="F27" s="23">
        <f>AVERAGE(F25:F26)</f>
        <v>76.5</v>
      </c>
      <c r="G27" s="23">
        <f t="shared" ref="G27:P27" si="7">AVERAGE(G25:G26)</f>
        <v>74</v>
      </c>
      <c r="H27" s="23">
        <f t="shared" si="7"/>
        <v>78</v>
      </c>
      <c r="I27" s="23">
        <f t="shared" si="7"/>
        <v>65.5</v>
      </c>
      <c r="J27" s="23">
        <f t="shared" si="7"/>
        <v>83</v>
      </c>
      <c r="K27" s="23">
        <f t="shared" si="7"/>
        <v>78.5</v>
      </c>
      <c r="L27" s="23">
        <f t="shared" si="7"/>
        <v>455.5</v>
      </c>
      <c r="M27" s="41">
        <f t="shared" si="7"/>
        <v>75.916666666666657</v>
      </c>
      <c r="N27" s="23">
        <f>'11B (N S) Avr'!$I$11</f>
        <v>18</v>
      </c>
      <c r="O27" s="23">
        <f t="shared" si="7"/>
        <v>0</v>
      </c>
      <c r="P27" s="23">
        <f t="shared" si="7"/>
        <v>0</v>
      </c>
      <c r="Q27" s="79"/>
      <c r="R27" s="8"/>
      <c r="S27" s="8"/>
    </row>
    <row r="28" spans="1:19" ht="18.95" customHeight="1" thickBot="1" x14ac:dyDescent="0.35">
      <c r="A28" s="247">
        <v>9</v>
      </c>
      <c r="B28" s="218"/>
      <c r="C28" s="213">
        <v>17</v>
      </c>
      <c r="D28" s="217" t="s">
        <v>23</v>
      </c>
      <c r="E28" s="24" t="s">
        <v>21</v>
      </c>
      <c r="F28" s="23">
        <f>'11B (S S) Sem1'!E12</f>
        <v>69</v>
      </c>
      <c r="G28" s="23">
        <f>'11B (S S) Sem1'!F12</f>
        <v>50</v>
      </c>
      <c r="H28" s="23">
        <f>'11B (S S) Sem1'!G12</f>
        <v>64</v>
      </c>
      <c r="I28" s="23">
        <f>'11B (S S) Sem1'!H12</f>
        <v>87</v>
      </c>
      <c r="J28" s="23">
        <f>'11B (S S) Sem1'!I12</f>
        <v>76</v>
      </c>
      <c r="K28" s="23">
        <f>'11B (S S) Sem1'!J12</f>
        <v>92</v>
      </c>
      <c r="L28" s="23">
        <f>'11B (S S) Sem1'!K12</f>
        <v>438</v>
      </c>
      <c r="M28" s="192">
        <f>'11B (S S) Sem1'!L12</f>
        <v>73</v>
      </c>
      <c r="N28" s="22">
        <f>'11B (S S) Sem1'!M12</f>
        <v>19</v>
      </c>
      <c r="O28" s="23">
        <f>'11B (S S) Sem1'!N12</f>
        <v>0</v>
      </c>
      <c r="P28" s="42">
        <f>'11B (S S) Sem1'!O12</f>
        <v>0</v>
      </c>
      <c r="Q28" s="79"/>
      <c r="R28" s="8"/>
      <c r="S28" s="8"/>
    </row>
    <row r="29" spans="1:19" ht="18.95" customHeight="1" thickBot="1" x14ac:dyDescent="0.35">
      <c r="A29" s="247"/>
      <c r="B29" s="218"/>
      <c r="C29" s="213">
        <v>17</v>
      </c>
      <c r="D29" s="217" t="s">
        <v>23</v>
      </c>
      <c r="E29" s="24" t="s">
        <v>22</v>
      </c>
      <c r="F29" s="23">
        <f>'11B (S S) Sem2'!E12</f>
        <v>73</v>
      </c>
      <c r="G29" s="23">
        <f>'11B (S S) Sem2'!F12</f>
        <v>53</v>
      </c>
      <c r="H29" s="23">
        <f>'11B (S S) Sem2'!G12</f>
        <v>70</v>
      </c>
      <c r="I29" s="23">
        <f>'11B (S S) Sem2'!H12</f>
        <v>94</v>
      </c>
      <c r="J29" s="23">
        <f>'11B (S S) Sem2'!I12</f>
        <v>94</v>
      </c>
      <c r="K29" s="23">
        <f>'11B (S S) Sem2'!J12</f>
        <v>78</v>
      </c>
      <c r="L29" s="23">
        <f>'11B (S S) Sem2'!K12</f>
        <v>462</v>
      </c>
      <c r="M29" s="192">
        <f>'11B (S S) Sem2'!L12</f>
        <v>77</v>
      </c>
      <c r="N29" s="22">
        <f>'11B (S S) Sem2'!M12</f>
        <v>21</v>
      </c>
      <c r="O29" s="23">
        <f>'11B (S S) Sem2'!N12</f>
        <v>0</v>
      </c>
      <c r="P29" s="42">
        <f>'11B (S S) Sem2'!O12</f>
        <v>0</v>
      </c>
      <c r="Q29" s="79"/>
      <c r="R29" s="8"/>
      <c r="S29" s="8"/>
    </row>
    <row r="30" spans="1:19" ht="18.95" customHeight="1" thickBot="1" x14ac:dyDescent="0.35">
      <c r="A30" s="247"/>
      <c r="B30" s="218"/>
      <c r="C30" s="213">
        <v>17</v>
      </c>
      <c r="D30" s="217" t="s">
        <v>23</v>
      </c>
      <c r="E30" s="24" t="s">
        <v>16</v>
      </c>
      <c r="F30" s="23">
        <f>AVERAGE(F28:F29)</f>
        <v>71</v>
      </c>
      <c r="G30" s="23">
        <f t="shared" ref="G30:P30" si="8">AVERAGE(G28:G29)</f>
        <v>51.5</v>
      </c>
      <c r="H30" s="23">
        <f t="shared" si="8"/>
        <v>67</v>
      </c>
      <c r="I30" s="23">
        <f t="shared" si="8"/>
        <v>90.5</v>
      </c>
      <c r="J30" s="23">
        <f t="shared" si="8"/>
        <v>85</v>
      </c>
      <c r="K30" s="23">
        <f t="shared" si="8"/>
        <v>85</v>
      </c>
      <c r="L30" s="23">
        <f t="shared" si="8"/>
        <v>450</v>
      </c>
      <c r="M30" s="41">
        <f t="shared" si="8"/>
        <v>75</v>
      </c>
      <c r="N30" s="23">
        <f>'11B (N S) Avr'!$I$12</f>
        <v>21</v>
      </c>
      <c r="O30" s="23">
        <f t="shared" si="8"/>
        <v>0</v>
      </c>
      <c r="P30" s="23">
        <f t="shared" si="8"/>
        <v>0</v>
      </c>
      <c r="Q30" s="79"/>
      <c r="R30" s="8"/>
      <c r="S30" s="8"/>
    </row>
    <row r="31" spans="1:19" ht="18.95" customHeight="1" thickBot="1" x14ac:dyDescent="0.35">
      <c r="A31" s="247">
        <v>10</v>
      </c>
      <c r="B31" s="218"/>
      <c r="C31" s="213">
        <v>17</v>
      </c>
      <c r="D31" s="217" t="s">
        <v>23</v>
      </c>
      <c r="E31" s="24" t="s">
        <v>21</v>
      </c>
      <c r="F31" s="23">
        <f>'11B (S S) Sem1'!E13</f>
        <v>87</v>
      </c>
      <c r="G31" s="23">
        <f>'11B (S S) Sem1'!F13</f>
        <v>75</v>
      </c>
      <c r="H31" s="23">
        <f>'11B (S S) Sem1'!G13</f>
        <v>91</v>
      </c>
      <c r="I31" s="23">
        <f>'11B (S S) Sem1'!H13</f>
        <v>94</v>
      </c>
      <c r="J31" s="23">
        <f>'11B (S S) Sem1'!I13</f>
        <v>90</v>
      </c>
      <c r="K31" s="23">
        <f>'11B (S S) Sem1'!J13</f>
        <v>100</v>
      </c>
      <c r="L31" s="23">
        <f>'11B (S S) Sem1'!K13</f>
        <v>537</v>
      </c>
      <c r="M31" s="192">
        <f>'11B (S S) Sem1'!L13</f>
        <v>89.5</v>
      </c>
      <c r="N31" s="22">
        <f>'11B (S S) Sem1'!M13</f>
        <v>3</v>
      </c>
      <c r="O31" s="23">
        <f>'11B (S S) Sem1'!N13</f>
        <v>0</v>
      </c>
      <c r="P31" s="42">
        <f>'11B (S S) Sem1'!O13</f>
        <v>0</v>
      </c>
      <c r="Q31" s="79"/>
      <c r="R31" s="8"/>
      <c r="S31" s="8"/>
    </row>
    <row r="32" spans="1:19" ht="18.95" customHeight="1" thickBot="1" x14ac:dyDescent="0.35">
      <c r="A32" s="247"/>
      <c r="B32" s="218"/>
      <c r="C32" s="213">
        <v>17</v>
      </c>
      <c r="D32" s="217" t="s">
        <v>23</v>
      </c>
      <c r="E32" s="24" t="s">
        <v>22</v>
      </c>
      <c r="F32" s="23">
        <f>'11B (S S) Sem2'!E13</f>
        <v>93</v>
      </c>
      <c r="G32" s="23">
        <f>'11B (S S) Sem2'!F13</f>
        <v>77</v>
      </c>
      <c r="H32" s="23">
        <f>'11B (S S) Sem2'!G13</f>
        <v>89</v>
      </c>
      <c r="I32" s="23">
        <f>'11B (S S) Sem2'!H13</f>
        <v>95</v>
      </c>
      <c r="J32" s="23">
        <f>'11B (S S) Sem2'!I13</f>
        <v>97</v>
      </c>
      <c r="K32" s="23">
        <f>'11B (S S) Sem2'!J13</f>
        <v>94</v>
      </c>
      <c r="L32" s="23">
        <f>'11B (S S) Sem2'!K13</f>
        <v>545</v>
      </c>
      <c r="M32" s="192">
        <f>'11B (S S) Sem2'!L13</f>
        <v>90.833333333333329</v>
      </c>
      <c r="N32" s="22">
        <f>'11B (S S) Sem2'!M13</f>
        <v>3</v>
      </c>
      <c r="O32" s="23">
        <f>'11B (S S) Sem2'!N13</f>
        <v>0</v>
      </c>
      <c r="P32" s="42">
        <f>'11B (S S) Sem2'!O13</f>
        <v>0</v>
      </c>
      <c r="Q32" s="79"/>
      <c r="R32" s="8"/>
      <c r="S32" s="8"/>
    </row>
    <row r="33" spans="1:19" ht="18.95" customHeight="1" thickBot="1" x14ac:dyDescent="0.35">
      <c r="A33" s="247"/>
      <c r="B33" s="218"/>
      <c r="C33" s="213">
        <v>17</v>
      </c>
      <c r="D33" s="217" t="s">
        <v>23</v>
      </c>
      <c r="E33" s="24" t="s">
        <v>16</v>
      </c>
      <c r="F33" s="23">
        <f>AVERAGE(F31:F32)</f>
        <v>90</v>
      </c>
      <c r="G33" s="23">
        <f t="shared" ref="G33:P33" si="9">AVERAGE(G31:G32)</f>
        <v>76</v>
      </c>
      <c r="H33" s="23">
        <f t="shared" si="9"/>
        <v>90</v>
      </c>
      <c r="I33" s="23">
        <f t="shared" si="9"/>
        <v>94.5</v>
      </c>
      <c r="J33" s="23">
        <f t="shared" si="9"/>
        <v>93.5</v>
      </c>
      <c r="K33" s="23">
        <f t="shared" si="9"/>
        <v>97</v>
      </c>
      <c r="L33" s="23">
        <f t="shared" si="9"/>
        <v>541</v>
      </c>
      <c r="M33" s="41">
        <f t="shared" si="9"/>
        <v>90.166666666666657</v>
      </c>
      <c r="N33" s="23">
        <f>'11B (N S) Avr'!$I$13</f>
        <v>3</v>
      </c>
      <c r="O33" s="23">
        <f t="shared" si="9"/>
        <v>0</v>
      </c>
      <c r="P33" s="23">
        <f t="shared" si="9"/>
        <v>0</v>
      </c>
      <c r="Q33" s="79"/>
      <c r="R33" s="8"/>
      <c r="S33" s="8"/>
    </row>
    <row r="34" spans="1:19" ht="18.95" customHeight="1" thickBot="1" x14ac:dyDescent="0.35">
      <c r="A34" s="247">
        <v>11</v>
      </c>
      <c r="B34" s="218"/>
      <c r="C34" s="213">
        <v>17</v>
      </c>
      <c r="D34" s="217" t="s">
        <v>20</v>
      </c>
      <c r="E34" s="24" t="s">
        <v>21</v>
      </c>
      <c r="F34" s="23">
        <f>'11B (S S) Sem1'!E14</f>
        <v>55</v>
      </c>
      <c r="G34" s="23">
        <f>'11B (S S) Sem1'!F14</f>
        <v>63</v>
      </c>
      <c r="H34" s="23">
        <f>'11B (S S) Sem1'!G14</f>
        <v>90</v>
      </c>
      <c r="I34" s="23">
        <f>'11B (S S) Sem1'!H14</f>
        <v>80</v>
      </c>
      <c r="J34" s="23">
        <f>'11B (S S) Sem1'!I14</f>
        <v>67</v>
      </c>
      <c r="K34" s="23">
        <f>'11B (S S) Sem1'!J14</f>
        <v>83</v>
      </c>
      <c r="L34" s="23">
        <f>'11B (S S) Sem1'!K14</f>
        <v>438</v>
      </c>
      <c r="M34" s="192">
        <f>'11B (S S) Sem1'!L14</f>
        <v>73</v>
      </c>
      <c r="N34" s="22">
        <f>'11B (S S) Sem1'!M14</f>
        <v>19</v>
      </c>
      <c r="O34" s="23">
        <f>'11B (S S) Sem1'!N14</f>
        <v>0</v>
      </c>
      <c r="P34" s="42">
        <f>'11B (S S) Sem1'!O14</f>
        <v>0</v>
      </c>
      <c r="Q34" s="79"/>
      <c r="R34" s="8"/>
      <c r="S34" s="8"/>
    </row>
    <row r="35" spans="1:19" ht="18.95" customHeight="1" thickBot="1" x14ac:dyDescent="0.35">
      <c r="A35" s="247"/>
      <c r="B35" s="218"/>
      <c r="C35" s="213">
        <v>17</v>
      </c>
      <c r="D35" s="217" t="s">
        <v>20</v>
      </c>
      <c r="E35" s="24" t="s">
        <v>22</v>
      </c>
      <c r="F35" s="23">
        <f>'11B (S S) Sem2'!E14</f>
        <v>66</v>
      </c>
      <c r="G35" s="23">
        <f>'11B (S S) Sem2'!F14</f>
        <v>56</v>
      </c>
      <c r="H35" s="23">
        <f>'11B (S S) Sem2'!G14</f>
        <v>87</v>
      </c>
      <c r="I35" s="23">
        <f>'11B (S S) Sem2'!H14</f>
        <v>98</v>
      </c>
      <c r="J35" s="23">
        <f>'11B (S S) Sem2'!I14</f>
        <v>94</v>
      </c>
      <c r="K35" s="23">
        <f>'11B (S S) Sem2'!J14</f>
        <v>66</v>
      </c>
      <c r="L35" s="23">
        <f>'11B (S S) Sem2'!K14</f>
        <v>467</v>
      </c>
      <c r="M35" s="192">
        <f>'11B (S S) Sem2'!L14</f>
        <v>77.833333333333329</v>
      </c>
      <c r="N35" s="22">
        <f>'11B (S S) Sem2'!M14</f>
        <v>19</v>
      </c>
      <c r="O35" s="23">
        <f>'11B (S S) Sem2'!N14</f>
        <v>0</v>
      </c>
      <c r="P35" s="42">
        <f>'11B (S S) Sem2'!O14</f>
        <v>0</v>
      </c>
      <c r="Q35" s="79"/>
      <c r="R35" s="8"/>
      <c r="S35" s="8"/>
    </row>
    <row r="36" spans="1:19" ht="18.95" customHeight="1" thickBot="1" x14ac:dyDescent="0.35">
      <c r="A36" s="247"/>
      <c r="B36" s="218"/>
      <c r="C36" s="213">
        <v>17</v>
      </c>
      <c r="D36" s="217" t="s">
        <v>20</v>
      </c>
      <c r="E36" s="24" t="s">
        <v>16</v>
      </c>
      <c r="F36" s="23">
        <f>AVERAGE(F34:F35)</f>
        <v>60.5</v>
      </c>
      <c r="G36" s="23">
        <f t="shared" ref="G36:P36" si="10">AVERAGE(G34:G35)</f>
        <v>59.5</v>
      </c>
      <c r="H36" s="23">
        <f t="shared" si="10"/>
        <v>88.5</v>
      </c>
      <c r="I36" s="23">
        <f t="shared" si="10"/>
        <v>89</v>
      </c>
      <c r="J36" s="23">
        <f t="shared" si="10"/>
        <v>80.5</v>
      </c>
      <c r="K36" s="23">
        <f t="shared" si="10"/>
        <v>74.5</v>
      </c>
      <c r="L36" s="23">
        <f t="shared" si="10"/>
        <v>452.5</v>
      </c>
      <c r="M36" s="41">
        <f t="shared" si="10"/>
        <v>75.416666666666657</v>
      </c>
      <c r="N36" s="23">
        <f>'11B (N S) Avr'!$I$14</f>
        <v>19</v>
      </c>
      <c r="O36" s="23">
        <f t="shared" si="10"/>
        <v>0</v>
      </c>
      <c r="P36" s="23">
        <f t="shared" si="10"/>
        <v>0</v>
      </c>
      <c r="Q36" s="79"/>
      <c r="R36" s="8"/>
      <c r="S36" s="8"/>
    </row>
    <row r="37" spans="1:19" ht="18.95" customHeight="1" thickBot="1" x14ac:dyDescent="0.35">
      <c r="A37" s="247">
        <v>12</v>
      </c>
      <c r="B37" s="218"/>
      <c r="C37" s="213">
        <v>16</v>
      </c>
      <c r="D37" s="217" t="s">
        <v>23</v>
      </c>
      <c r="E37" s="24" t="s">
        <v>21</v>
      </c>
      <c r="F37" s="23">
        <f>'11B (S S) Sem1'!E15</f>
        <v>46</v>
      </c>
      <c r="G37" s="23">
        <f>'11B (S S) Sem1'!F15</f>
        <v>60</v>
      </c>
      <c r="H37" s="23">
        <f>'11B (S S) Sem1'!G15</f>
        <v>71</v>
      </c>
      <c r="I37" s="23">
        <f>'11B (S S) Sem1'!H15</f>
        <v>67</v>
      </c>
      <c r="J37" s="23">
        <f>'11B (S S) Sem1'!I15</f>
        <v>66</v>
      </c>
      <c r="K37" s="23">
        <f>'11B (S S) Sem1'!J15</f>
        <v>79</v>
      </c>
      <c r="L37" s="23">
        <f>'11B (S S) Sem1'!K15</f>
        <v>389</v>
      </c>
      <c r="M37" s="192">
        <f>'11B (S S) Sem1'!L15</f>
        <v>64.833333333333329</v>
      </c>
      <c r="N37" s="22">
        <f>'11B (S S) Sem1'!M15</f>
        <v>28</v>
      </c>
      <c r="O37" s="23">
        <f>'11B (S S) Sem1'!N15</f>
        <v>0</v>
      </c>
      <c r="P37" s="42">
        <f>'11B (S S) Sem1'!O15</f>
        <v>0</v>
      </c>
      <c r="Q37" s="79"/>
      <c r="R37" s="8"/>
      <c r="S37" s="8"/>
    </row>
    <row r="38" spans="1:19" ht="18.95" customHeight="1" thickBot="1" x14ac:dyDescent="0.35">
      <c r="A38" s="247"/>
      <c r="B38" s="218"/>
      <c r="C38" s="213">
        <v>16</v>
      </c>
      <c r="D38" s="217" t="s">
        <v>23</v>
      </c>
      <c r="E38" s="24" t="s">
        <v>22</v>
      </c>
      <c r="F38" s="23">
        <f>'11B (S S) Sem2'!E15</f>
        <v>70</v>
      </c>
      <c r="G38" s="23">
        <f>'11B (S S) Sem2'!F15</f>
        <v>63</v>
      </c>
      <c r="H38" s="23">
        <f>'11B (S S) Sem2'!G15</f>
        <v>72</v>
      </c>
      <c r="I38" s="23">
        <f>'11B (S S) Sem2'!H15</f>
        <v>72</v>
      </c>
      <c r="J38" s="23">
        <f>'11B (S S) Sem2'!I15</f>
        <v>76</v>
      </c>
      <c r="K38" s="23">
        <f>'11B (S S) Sem2'!J15</f>
        <v>69</v>
      </c>
      <c r="L38" s="23">
        <f>'11B (S S) Sem2'!K15</f>
        <v>422</v>
      </c>
      <c r="M38" s="192">
        <f>'11B (S S) Sem2'!L15</f>
        <v>70.333333333333329</v>
      </c>
      <c r="N38" s="22">
        <f>'11B (S S) Sem2'!M15</f>
        <v>32</v>
      </c>
      <c r="O38" s="23">
        <f>'11B (S S) Sem2'!N15</f>
        <v>0</v>
      </c>
      <c r="P38" s="42">
        <f>'11B (S S) Sem2'!O15</f>
        <v>0</v>
      </c>
      <c r="Q38" s="79"/>
      <c r="R38" s="8"/>
      <c r="S38" s="8"/>
    </row>
    <row r="39" spans="1:19" ht="18.95" customHeight="1" thickBot="1" x14ac:dyDescent="0.35">
      <c r="A39" s="247"/>
      <c r="B39" s="218"/>
      <c r="C39" s="213">
        <v>16</v>
      </c>
      <c r="D39" s="217" t="s">
        <v>23</v>
      </c>
      <c r="E39" s="24" t="s">
        <v>16</v>
      </c>
      <c r="F39" s="23">
        <f>AVERAGE(F37:F38)</f>
        <v>58</v>
      </c>
      <c r="G39" s="23">
        <f t="shared" ref="G39:P39" si="11">AVERAGE(G37:G38)</f>
        <v>61.5</v>
      </c>
      <c r="H39" s="23">
        <f t="shared" si="11"/>
        <v>71.5</v>
      </c>
      <c r="I39" s="23">
        <f t="shared" si="11"/>
        <v>69.5</v>
      </c>
      <c r="J39" s="23">
        <f t="shared" si="11"/>
        <v>71</v>
      </c>
      <c r="K39" s="23">
        <f t="shared" si="11"/>
        <v>74</v>
      </c>
      <c r="L39" s="23">
        <f t="shared" si="11"/>
        <v>405.5</v>
      </c>
      <c r="M39" s="41">
        <f t="shared" si="11"/>
        <v>67.583333333333329</v>
      </c>
      <c r="N39" s="23">
        <f>'11B (N S) Avr'!$I$15</f>
        <v>29</v>
      </c>
      <c r="O39" s="23">
        <f t="shared" si="11"/>
        <v>0</v>
      </c>
      <c r="P39" s="23">
        <f t="shared" si="11"/>
        <v>0</v>
      </c>
      <c r="Q39" s="79"/>
      <c r="R39" s="8"/>
      <c r="S39" s="8"/>
    </row>
    <row r="40" spans="1:19" ht="18.95" customHeight="1" thickBot="1" x14ac:dyDescent="0.35">
      <c r="A40" s="247">
        <v>13</v>
      </c>
      <c r="B40" s="218"/>
      <c r="C40" s="213">
        <v>17</v>
      </c>
      <c r="D40" s="217" t="s">
        <v>23</v>
      </c>
      <c r="E40" s="24" t="s">
        <v>21</v>
      </c>
      <c r="F40" s="23">
        <f>'11B (S S) Sem1'!E16</f>
        <v>44</v>
      </c>
      <c r="G40" s="23">
        <f>'11B (S S) Sem1'!F16</f>
        <v>39</v>
      </c>
      <c r="H40" s="23">
        <f>'11B (S S) Sem1'!G16</f>
        <v>54</v>
      </c>
      <c r="I40" s="23">
        <f>'11B (S S) Sem1'!H16</f>
        <v>55</v>
      </c>
      <c r="J40" s="23">
        <f>'11B (S S) Sem1'!I16</f>
        <v>58</v>
      </c>
      <c r="K40" s="23">
        <f>'11B (S S) Sem1'!J16</f>
        <v>55</v>
      </c>
      <c r="L40" s="23">
        <f>'11B (S S) Sem1'!K16</f>
        <v>305</v>
      </c>
      <c r="M40" s="192">
        <f>'11B (S S) Sem1'!L16</f>
        <v>50.833333333333336</v>
      </c>
      <c r="N40" s="22">
        <f>'11B (S S) Sem1'!M16</f>
        <v>52</v>
      </c>
      <c r="O40" s="23">
        <f>'11B (S S) Sem1'!N16</f>
        <v>0</v>
      </c>
      <c r="P40" s="42">
        <f>'11B (S S) Sem1'!O16</f>
        <v>0</v>
      </c>
      <c r="Q40" s="79"/>
      <c r="R40" s="8"/>
      <c r="S40" s="8"/>
    </row>
    <row r="41" spans="1:19" ht="18.95" customHeight="1" thickBot="1" x14ac:dyDescent="0.35">
      <c r="A41" s="247"/>
      <c r="B41" s="218"/>
      <c r="C41" s="213">
        <v>17</v>
      </c>
      <c r="D41" s="217" t="s">
        <v>23</v>
      </c>
      <c r="E41" s="24" t="s">
        <v>22</v>
      </c>
      <c r="F41" s="23">
        <f>'11B (S S) Sem2'!E16</f>
        <v>52</v>
      </c>
      <c r="G41" s="23">
        <f>'11B (S S) Sem2'!F16</f>
        <v>64</v>
      </c>
      <c r="H41" s="23">
        <f>'11B (S S) Sem2'!G16</f>
        <v>52</v>
      </c>
      <c r="I41" s="23">
        <f>'11B (S S) Sem2'!H16</f>
        <v>50</v>
      </c>
      <c r="J41" s="23">
        <f>'11B (S S) Sem2'!I16</f>
        <v>66</v>
      </c>
      <c r="K41" s="23">
        <f>'11B (S S) Sem2'!J16</f>
        <v>61</v>
      </c>
      <c r="L41" s="23">
        <f>'11B (S S) Sem2'!K16</f>
        <v>345</v>
      </c>
      <c r="M41" s="192">
        <f>'11B (S S) Sem2'!L16</f>
        <v>57.5</v>
      </c>
      <c r="N41" s="22">
        <f>'11B (S S) Sem2'!M16</f>
        <v>52</v>
      </c>
      <c r="O41" s="23">
        <f>'11B (S S) Sem2'!N16</f>
        <v>0</v>
      </c>
      <c r="P41" s="42">
        <f>'11B (S S) Sem2'!O16</f>
        <v>0</v>
      </c>
      <c r="Q41" s="79"/>
      <c r="R41" s="8"/>
      <c r="S41" s="8"/>
    </row>
    <row r="42" spans="1:19" ht="18.95" customHeight="1" thickBot="1" x14ac:dyDescent="0.35">
      <c r="A42" s="247"/>
      <c r="B42" s="218"/>
      <c r="C42" s="213">
        <v>17</v>
      </c>
      <c r="D42" s="217" t="s">
        <v>23</v>
      </c>
      <c r="E42" s="24" t="s">
        <v>16</v>
      </c>
      <c r="F42" s="23">
        <f>AVERAGE(F40:F41)</f>
        <v>48</v>
      </c>
      <c r="G42" s="23">
        <f t="shared" ref="G42:P42" si="12">AVERAGE(G40:G41)</f>
        <v>51.5</v>
      </c>
      <c r="H42" s="23">
        <f t="shared" si="12"/>
        <v>53</v>
      </c>
      <c r="I42" s="23">
        <f t="shared" si="12"/>
        <v>52.5</v>
      </c>
      <c r="J42" s="23">
        <f t="shared" si="12"/>
        <v>62</v>
      </c>
      <c r="K42" s="23">
        <f t="shared" si="12"/>
        <v>58</v>
      </c>
      <c r="L42" s="23">
        <f t="shared" si="12"/>
        <v>325</v>
      </c>
      <c r="M42" s="41">
        <f t="shared" si="12"/>
        <v>54.166666666666671</v>
      </c>
      <c r="N42" s="23">
        <f>'11B (N S) Avr'!$I$16</f>
        <v>52</v>
      </c>
      <c r="O42" s="23">
        <f t="shared" si="12"/>
        <v>0</v>
      </c>
      <c r="P42" s="23">
        <f t="shared" si="12"/>
        <v>0</v>
      </c>
      <c r="Q42" s="79"/>
      <c r="R42" s="8"/>
      <c r="S42" s="8"/>
    </row>
    <row r="43" spans="1:19" ht="18.95" customHeight="1" thickBot="1" x14ac:dyDescent="0.35">
      <c r="A43" s="247">
        <v>14</v>
      </c>
      <c r="B43" s="218"/>
      <c r="C43" s="213">
        <v>16</v>
      </c>
      <c r="D43" s="217" t="s">
        <v>23</v>
      </c>
      <c r="E43" s="24" t="s">
        <v>21</v>
      </c>
      <c r="F43" s="23">
        <f>'11B (S S) Sem1'!E17</f>
        <v>56</v>
      </c>
      <c r="G43" s="23">
        <f>'11B (S S) Sem1'!F17</f>
        <v>53</v>
      </c>
      <c r="H43" s="23">
        <f>'11B (S S) Sem1'!G17</f>
        <v>60</v>
      </c>
      <c r="I43" s="23">
        <f>'11B (S S) Sem1'!H17</f>
        <v>50</v>
      </c>
      <c r="J43" s="23">
        <f>'11B (S S) Sem1'!I17</f>
        <v>65</v>
      </c>
      <c r="K43" s="23">
        <f>'11B (S S) Sem1'!J17</f>
        <v>69</v>
      </c>
      <c r="L43" s="23">
        <f>'11B (S S) Sem1'!K17</f>
        <v>353</v>
      </c>
      <c r="M43" s="192">
        <f>'11B (S S) Sem1'!L17</f>
        <v>58.833333333333336</v>
      </c>
      <c r="N43" s="22">
        <f>'11B (S S) Sem1'!M17</f>
        <v>36</v>
      </c>
      <c r="O43" s="23">
        <f>'11B (S S) Sem1'!N17</f>
        <v>0</v>
      </c>
      <c r="P43" s="42">
        <f>'11B (S S) Sem1'!O17</f>
        <v>0</v>
      </c>
      <c r="Q43" s="79"/>
      <c r="R43" s="8"/>
      <c r="S43" s="8"/>
    </row>
    <row r="44" spans="1:19" ht="18.95" customHeight="1" thickBot="1" x14ac:dyDescent="0.35">
      <c r="A44" s="247"/>
      <c r="B44" s="218"/>
      <c r="C44" s="213">
        <v>16</v>
      </c>
      <c r="D44" s="217" t="s">
        <v>23</v>
      </c>
      <c r="E44" s="24" t="s">
        <v>22</v>
      </c>
      <c r="F44" s="23">
        <f>'11B (S S) Sem2'!E17</f>
        <v>77</v>
      </c>
      <c r="G44" s="23">
        <f>'11B (S S) Sem2'!F17</f>
        <v>50</v>
      </c>
      <c r="H44" s="23">
        <f>'11B (S S) Sem2'!G17</f>
        <v>57</v>
      </c>
      <c r="I44" s="23">
        <f>'11B (S S) Sem2'!H17</f>
        <v>53</v>
      </c>
      <c r="J44" s="23">
        <f>'11B (S S) Sem2'!I17</f>
        <v>74</v>
      </c>
      <c r="K44" s="23">
        <f>'11B (S S) Sem2'!J17</f>
        <v>88</v>
      </c>
      <c r="L44" s="23">
        <f>'11B (S S) Sem2'!K17</f>
        <v>399</v>
      </c>
      <c r="M44" s="192">
        <f>'11B (S S) Sem2'!L17</f>
        <v>66.5</v>
      </c>
      <c r="N44" s="22">
        <f>'11B (S S) Sem2'!M17</f>
        <v>36</v>
      </c>
      <c r="O44" s="23">
        <f>'11B (S S) Sem2'!N17</f>
        <v>0</v>
      </c>
      <c r="P44" s="42">
        <f>'11B (S S) Sem2'!O17</f>
        <v>0</v>
      </c>
      <c r="Q44" s="79"/>
      <c r="R44" s="8"/>
      <c r="S44" s="8"/>
    </row>
    <row r="45" spans="1:19" ht="18.95" customHeight="1" thickBot="1" x14ac:dyDescent="0.35">
      <c r="A45" s="247"/>
      <c r="B45" s="218"/>
      <c r="C45" s="213">
        <v>16</v>
      </c>
      <c r="D45" s="217" t="s">
        <v>23</v>
      </c>
      <c r="E45" s="24" t="s">
        <v>16</v>
      </c>
      <c r="F45" s="23">
        <f>AVERAGE(F43:F44)</f>
        <v>66.5</v>
      </c>
      <c r="G45" s="23">
        <f t="shared" ref="G45:P45" si="13">AVERAGE(G43:G44)</f>
        <v>51.5</v>
      </c>
      <c r="H45" s="23">
        <f t="shared" si="13"/>
        <v>58.5</v>
      </c>
      <c r="I45" s="23">
        <f t="shared" si="13"/>
        <v>51.5</v>
      </c>
      <c r="J45" s="23">
        <f t="shared" si="13"/>
        <v>69.5</v>
      </c>
      <c r="K45" s="23">
        <f t="shared" si="13"/>
        <v>78.5</v>
      </c>
      <c r="L45" s="23">
        <f t="shared" si="13"/>
        <v>376</v>
      </c>
      <c r="M45" s="41">
        <f t="shared" si="13"/>
        <v>62.666666666666671</v>
      </c>
      <c r="N45" s="23">
        <f>'11B (N S) Avr'!$I$17</f>
        <v>35</v>
      </c>
      <c r="O45" s="23">
        <f t="shared" si="13"/>
        <v>0</v>
      </c>
      <c r="P45" s="23">
        <f t="shared" si="13"/>
        <v>0</v>
      </c>
      <c r="Q45" s="79"/>
      <c r="R45" s="8"/>
      <c r="S45" s="8"/>
    </row>
    <row r="46" spans="1:19" ht="18.95" customHeight="1" thickBot="1" x14ac:dyDescent="0.35">
      <c r="A46" s="247">
        <v>15</v>
      </c>
      <c r="B46" s="218"/>
      <c r="C46" s="213">
        <v>16</v>
      </c>
      <c r="D46" s="217" t="s">
        <v>23</v>
      </c>
      <c r="E46" s="24" t="s">
        <v>21</v>
      </c>
      <c r="F46" s="23">
        <f>'11B (S S) Sem1'!E18</f>
        <v>74</v>
      </c>
      <c r="G46" s="23">
        <f>'11B (S S) Sem1'!F18</f>
        <v>41</v>
      </c>
      <c r="H46" s="23">
        <f>'11B (S S) Sem1'!G18</f>
        <v>56</v>
      </c>
      <c r="I46" s="23">
        <f>'11B (S S) Sem1'!H18</f>
        <v>48</v>
      </c>
      <c r="J46" s="23">
        <f>'11B (S S) Sem1'!I18</f>
        <v>57</v>
      </c>
      <c r="K46" s="23">
        <f>'11B (S S) Sem1'!J18</f>
        <v>71</v>
      </c>
      <c r="L46" s="23">
        <f>'11B (S S) Sem1'!K18</f>
        <v>347</v>
      </c>
      <c r="M46" s="192">
        <f>'11B (S S) Sem1'!L18</f>
        <v>57.833333333333336</v>
      </c>
      <c r="N46" s="22">
        <f>'11B (S S) Sem1'!M18</f>
        <v>39</v>
      </c>
      <c r="O46" s="23">
        <f>'11B (S S) Sem1'!N18</f>
        <v>0</v>
      </c>
      <c r="P46" s="42">
        <f>'11B (S S) Sem1'!O18</f>
        <v>0</v>
      </c>
      <c r="Q46" s="79"/>
      <c r="R46" s="8"/>
      <c r="S46" s="8"/>
    </row>
    <row r="47" spans="1:19" ht="18.95" customHeight="1" thickBot="1" x14ac:dyDescent="0.35">
      <c r="A47" s="247"/>
      <c r="B47" s="218"/>
      <c r="C47" s="213">
        <v>16</v>
      </c>
      <c r="D47" s="217" t="s">
        <v>23</v>
      </c>
      <c r="E47" s="24" t="s">
        <v>22</v>
      </c>
      <c r="F47" s="23">
        <f>'11B (S S) Sem2'!E18</f>
        <v>79</v>
      </c>
      <c r="G47" s="23">
        <f>'11B (S S) Sem2'!F18</f>
        <v>50</v>
      </c>
      <c r="H47" s="23">
        <f>'11B (S S) Sem2'!G18</f>
        <v>51</v>
      </c>
      <c r="I47" s="23">
        <f>'11B (S S) Sem2'!H18</f>
        <v>58</v>
      </c>
      <c r="J47" s="23">
        <f>'11B (S S) Sem2'!I18</f>
        <v>54</v>
      </c>
      <c r="K47" s="23">
        <f>'11B (S S) Sem2'!J18</f>
        <v>73</v>
      </c>
      <c r="L47" s="23">
        <f>'11B (S S) Sem2'!K18</f>
        <v>365</v>
      </c>
      <c r="M47" s="192">
        <f>'11B (S S) Sem2'!L18</f>
        <v>60.833333333333336</v>
      </c>
      <c r="N47" s="22">
        <f>'11B (S S) Sem2'!M18</f>
        <v>47</v>
      </c>
      <c r="O47" s="23">
        <f>'11B (S S) Sem2'!N18</f>
        <v>0</v>
      </c>
      <c r="P47" s="42">
        <f>'11B (S S) Sem2'!O18</f>
        <v>0</v>
      </c>
      <c r="Q47" s="79"/>
      <c r="R47" s="8"/>
      <c r="S47" s="8"/>
    </row>
    <row r="48" spans="1:19" ht="18.95" customHeight="1" thickBot="1" x14ac:dyDescent="0.35">
      <c r="A48" s="247"/>
      <c r="B48" s="218"/>
      <c r="C48" s="213">
        <v>16</v>
      </c>
      <c r="D48" s="217" t="s">
        <v>23</v>
      </c>
      <c r="E48" s="24" t="s">
        <v>16</v>
      </c>
      <c r="F48" s="23">
        <f>AVERAGE(F46:F47)</f>
        <v>76.5</v>
      </c>
      <c r="G48" s="23">
        <f t="shared" ref="G48:P48" si="14">AVERAGE(G46:G47)</f>
        <v>45.5</v>
      </c>
      <c r="H48" s="23">
        <f t="shared" si="14"/>
        <v>53.5</v>
      </c>
      <c r="I48" s="23">
        <f t="shared" si="14"/>
        <v>53</v>
      </c>
      <c r="J48" s="23">
        <f t="shared" si="14"/>
        <v>55.5</v>
      </c>
      <c r="K48" s="23">
        <f t="shared" si="14"/>
        <v>72</v>
      </c>
      <c r="L48" s="23">
        <f t="shared" si="14"/>
        <v>356</v>
      </c>
      <c r="M48" s="41">
        <f t="shared" si="14"/>
        <v>59.333333333333336</v>
      </c>
      <c r="N48" s="23">
        <f>'11B (N S) Avr'!$I$18</f>
        <v>46</v>
      </c>
      <c r="O48" s="23">
        <f t="shared" si="14"/>
        <v>0</v>
      </c>
      <c r="P48" s="23">
        <f t="shared" si="14"/>
        <v>0</v>
      </c>
      <c r="Q48" s="79"/>
      <c r="R48" s="8"/>
      <c r="S48" s="8"/>
    </row>
    <row r="49" spans="1:19" ht="18.95" customHeight="1" thickBot="1" x14ac:dyDescent="0.35">
      <c r="A49" s="247">
        <v>16</v>
      </c>
      <c r="B49" s="218"/>
      <c r="C49" s="213">
        <v>17</v>
      </c>
      <c r="D49" s="217" t="s">
        <v>23</v>
      </c>
      <c r="E49" s="24" t="s">
        <v>21</v>
      </c>
      <c r="F49" s="23">
        <f>'11B (S S) Sem1'!E19</f>
        <v>74</v>
      </c>
      <c r="G49" s="23">
        <f>'11B (S S) Sem1'!F19</f>
        <v>68</v>
      </c>
      <c r="H49" s="23">
        <f>'11B (S S) Sem1'!G19</f>
        <v>87</v>
      </c>
      <c r="I49" s="23">
        <f>'11B (S S) Sem1'!H19</f>
        <v>81</v>
      </c>
      <c r="J49" s="23">
        <f>'11B (S S) Sem1'!I19</f>
        <v>84</v>
      </c>
      <c r="K49" s="23">
        <f>'11B (S S) Sem1'!J19</f>
        <v>96</v>
      </c>
      <c r="L49" s="23">
        <f>'11B (S S) Sem1'!K19</f>
        <v>490</v>
      </c>
      <c r="M49" s="192">
        <f>'11B (S S) Sem1'!L19</f>
        <v>81.666666666666671</v>
      </c>
      <c r="N49" s="22">
        <f>'11B (S S) Sem1'!M19</f>
        <v>11</v>
      </c>
      <c r="O49" s="23">
        <f>'11B (S S) Sem1'!N19</f>
        <v>0</v>
      </c>
      <c r="P49" s="42">
        <f>'11B (S S) Sem1'!O19</f>
        <v>0</v>
      </c>
      <c r="Q49" s="79"/>
      <c r="R49" s="8"/>
      <c r="S49" s="8"/>
    </row>
    <row r="50" spans="1:19" ht="18.95" customHeight="1" thickBot="1" x14ac:dyDescent="0.35">
      <c r="A50" s="247"/>
      <c r="B50" s="218"/>
      <c r="C50" s="213">
        <v>17</v>
      </c>
      <c r="D50" s="217" t="s">
        <v>23</v>
      </c>
      <c r="E50" s="24" t="s">
        <v>22</v>
      </c>
      <c r="F50" s="23">
        <f>'11B (S S) Sem2'!E19</f>
        <v>71</v>
      </c>
      <c r="G50" s="23">
        <f>'11B (S S) Sem2'!F19</f>
        <v>74</v>
      </c>
      <c r="H50" s="23">
        <f>'11B (S S) Sem2'!G19</f>
        <v>94</v>
      </c>
      <c r="I50" s="23">
        <f>'11B (S S) Sem2'!H19</f>
        <v>93</v>
      </c>
      <c r="J50" s="23">
        <f>'11B (S S) Sem2'!I19</f>
        <v>93</v>
      </c>
      <c r="K50" s="23">
        <f>'11B (S S) Sem2'!J19</f>
        <v>83</v>
      </c>
      <c r="L50" s="23">
        <f>'11B (S S) Sem2'!K19</f>
        <v>508</v>
      </c>
      <c r="M50" s="192">
        <f>'11B (S S) Sem2'!L19</f>
        <v>84.666666666666671</v>
      </c>
      <c r="N50" s="22">
        <f>'11B (S S) Sem2'!M19</f>
        <v>10</v>
      </c>
      <c r="O50" s="23">
        <f>'11B (S S) Sem2'!N19</f>
        <v>0</v>
      </c>
      <c r="P50" s="42">
        <f>'11B (S S) Sem2'!O19</f>
        <v>0</v>
      </c>
      <c r="Q50" s="79"/>
      <c r="R50" s="8"/>
      <c r="S50" s="8"/>
    </row>
    <row r="51" spans="1:19" ht="18.95" customHeight="1" thickBot="1" x14ac:dyDescent="0.35">
      <c r="A51" s="247"/>
      <c r="B51" s="218"/>
      <c r="C51" s="213">
        <v>17</v>
      </c>
      <c r="D51" s="217" t="s">
        <v>23</v>
      </c>
      <c r="E51" s="24" t="s">
        <v>16</v>
      </c>
      <c r="F51" s="23">
        <f>AVERAGE(F49:F50)</f>
        <v>72.5</v>
      </c>
      <c r="G51" s="23">
        <f t="shared" ref="G51:P51" si="15">AVERAGE(G49:G50)</f>
        <v>71</v>
      </c>
      <c r="H51" s="23">
        <f t="shared" si="15"/>
        <v>90.5</v>
      </c>
      <c r="I51" s="23">
        <f t="shared" si="15"/>
        <v>87</v>
      </c>
      <c r="J51" s="23">
        <f t="shared" si="15"/>
        <v>88.5</v>
      </c>
      <c r="K51" s="23">
        <f t="shared" si="15"/>
        <v>89.5</v>
      </c>
      <c r="L51" s="23">
        <f t="shared" si="15"/>
        <v>499</v>
      </c>
      <c r="M51" s="41">
        <f t="shared" si="15"/>
        <v>83.166666666666671</v>
      </c>
      <c r="N51" s="23">
        <f>'11B (N S) Avr'!$I$19</f>
        <v>10</v>
      </c>
      <c r="O51" s="23">
        <f t="shared" si="15"/>
        <v>0</v>
      </c>
      <c r="P51" s="23">
        <f t="shared" si="15"/>
        <v>0</v>
      </c>
      <c r="Q51" s="79"/>
      <c r="R51" s="8"/>
      <c r="S51" s="8"/>
    </row>
    <row r="52" spans="1:19" ht="18.95" customHeight="1" thickBot="1" x14ac:dyDescent="0.35">
      <c r="A52" s="247">
        <v>17</v>
      </c>
      <c r="B52" s="218"/>
      <c r="C52" s="213">
        <v>17</v>
      </c>
      <c r="D52" s="217" t="s">
        <v>20</v>
      </c>
      <c r="E52" s="24" t="s">
        <v>21</v>
      </c>
      <c r="F52" s="23">
        <f>'11B (S S) Sem1'!E20</f>
        <v>75</v>
      </c>
      <c r="G52" s="23">
        <f>'11B (S S) Sem1'!F20</f>
        <v>57</v>
      </c>
      <c r="H52" s="23">
        <f>'11B (S S) Sem1'!G20</f>
        <v>70</v>
      </c>
      <c r="I52" s="23">
        <f>'11B (S S) Sem1'!H20</f>
        <v>73</v>
      </c>
      <c r="J52" s="23">
        <f>'11B (S S) Sem1'!I20</f>
        <v>64</v>
      </c>
      <c r="K52" s="23">
        <f>'11B (S S) Sem1'!J20</f>
        <v>83</v>
      </c>
      <c r="L52" s="23">
        <f>'11B (S S) Sem1'!K20</f>
        <v>422</v>
      </c>
      <c r="M52" s="192">
        <f>'11B (S S) Sem1'!L20</f>
        <v>70.333333333333329</v>
      </c>
      <c r="N52" s="22">
        <f>'11B (S S) Sem1'!M20</f>
        <v>24</v>
      </c>
      <c r="O52" s="23">
        <f>'11B (S S) Sem1'!N20</f>
        <v>0</v>
      </c>
      <c r="P52" s="42">
        <f>'11B (S S) Sem1'!O20</f>
        <v>0</v>
      </c>
      <c r="Q52" s="79"/>
      <c r="R52" s="8"/>
      <c r="S52" s="8"/>
    </row>
    <row r="53" spans="1:19" ht="18.95" customHeight="1" thickBot="1" x14ac:dyDescent="0.35">
      <c r="A53" s="247"/>
      <c r="B53" s="218"/>
      <c r="C53" s="213">
        <v>17</v>
      </c>
      <c r="D53" s="217" t="s">
        <v>20</v>
      </c>
      <c r="E53" s="24" t="s">
        <v>22</v>
      </c>
      <c r="F53" s="23">
        <f>'11B (S S) Sem2'!E20</f>
        <v>78</v>
      </c>
      <c r="G53" s="23">
        <f>'11B (S S) Sem2'!F20</f>
        <v>53</v>
      </c>
      <c r="H53" s="23">
        <f>'11B (S S) Sem2'!G20</f>
        <v>72</v>
      </c>
      <c r="I53" s="23">
        <f>'11B (S S) Sem2'!H20</f>
        <v>81</v>
      </c>
      <c r="J53" s="23">
        <f>'11B (S S) Sem2'!I20</f>
        <v>71</v>
      </c>
      <c r="K53" s="23">
        <f>'11B (S S) Sem2'!J20</f>
        <v>68</v>
      </c>
      <c r="L53" s="23">
        <f>'11B (S S) Sem2'!K20</f>
        <v>423</v>
      </c>
      <c r="M53" s="192">
        <f>'11B (S S) Sem2'!L20</f>
        <v>70.5</v>
      </c>
      <c r="N53" s="22">
        <f>'11B (S S) Sem2'!M20</f>
        <v>31</v>
      </c>
      <c r="O53" s="23">
        <f>'11B (S S) Sem2'!N20</f>
        <v>0</v>
      </c>
      <c r="P53" s="42">
        <f>'11B (S S) Sem2'!O20</f>
        <v>0</v>
      </c>
      <c r="Q53" s="79"/>
      <c r="R53" s="8"/>
      <c r="S53" s="8"/>
    </row>
    <row r="54" spans="1:19" ht="18.95" customHeight="1" thickBot="1" x14ac:dyDescent="0.35">
      <c r="A54" s="247"/>
      <c r="B54" s="218"/>
      <c r="C54" s="213">
        <v>17</v>
      </c>
      <c r="D54" s="217" t="s">
        <v>20</v>
      </c>
      <c r="E54" s="24" t="s">
        <v>16</v>
      </c>
      <c r="F54" s="23">
        <f>AVERAGE(F52:F53)</f>
        <v>76.5</v>
      </c>
      <c r="G54" s="23">
        <f t="shared" ref="G54:P54" si="16">AVERAGE(G52:G53)</f>
        <v>55</v>
      </c>
      <c r="H54" s="23">
        <f t="shared" si="16"/>
        <v>71</v>
      </c>
      <c r="I54" s="23">
        <f t="shared" si="16"/>
        <v>77</v>
      </c>
      <c r="J54" s="23">
        <f t="shared" si="16"/>
        <v>67.5</v>
      </c>
      <c r="K54" s="23">
        <f t="shared" si="16"/>
        <v>75.5</v>
      </c>
      <c r="L54" s="23">
        <f t="shared" si="16"/>
        <v>422.5</v>
      </c>
      <c r="M54" s="41">
        <f t="shared" si="16"/>
        <v>70.416666666666657</v>
      </c>
      <c r="N54" s="23">
        <f>'11B (N S) Avr'!$I$20</f>
        <v>25</v>
      </c>
      <c r="O54" s="23">
        <f t="shared" si="16"/>
        <v>0</v>
      </c>
      <c r="P54" s="23">
        <f t="shared" si="16"/>
        <v>0</v>
      </c>
      <c r="Q54" s="79"/>
      <c r="R54" s="8"/>
      <c r="S54" s="8"/>
    </row>
    <row r="55" spans="1:19" ht="18.95" customHeight="1" thickBot="1" x14ac:dyDescent="0.35">
      <c r="A55" s="247">
        <v>18</v>
      </c>
      <c r="B55" s="218"/>
      <c r="C55" s="213">
        <v>17</v>
      </c>
      <c r="D55" s="217" t="s">
        <v>23</v>
      </c>
      <c r="E55" s="24" t="s">
        <v>21</v>
      </c>
      <c r="F55" s="23">
        <f>'11B (S S) Sem1'!E21</f>
        <v>76</v>
      </c>
      <c r="G55" s="23">
        <f>'11B (S S) Sem1'!F21</f>
        <v>55</v>
      </c>
      <c r="H55" s="23">
        <f>'11B (S S) Sem1'!G21</f>
        <v>65</v>
      </c>
      <c r="I55" s="23">
        <f>'11B (S S) Sem1'!H21</f>
        <v>57</v>
      </c>
      <c r="J55" s="23">
        <f>'11B (S S) Sem1'!I21</f>
        <v>66</v>
      </c>
      <c r="K55" s="23">
        <f>'11B (S S) Sem1'!J21</f>
        <v>73</v>
      </c>
      <c r="L55" s="23">
        <f>'11B (S S) Sem1'!K21</f>
        <v>392</v>
      </c>
      <c r="M55" s="192">
        <f>'11B (S S) Sem1'!L21</f>
        <v>65.333333333333329</v>
      </c>
      <c r="N55" s="22">
        <f>'11B (S S) Sem1'!M21</f>
        <v>27</v>
      </c>
      <c r="O55" s="23">
        <f>'11B (S S) Sem1'!N21</f>
        <v>0</v>
      </c>
      <c r="P55" s="42">
        <f>'11B (S S) Sem1'!O21</f>
        <v>0</v>
      </c>
      <c r="Q55" s="78"/>
    </row>
    <row r="56" spans="1:19" ht="18.95" customHeight="1" thickBot="1" x14ac:dyDescent="0.35">
      <c r="A56" s="247"/>
      <c r="B56" s="218"/>
      <c r="C56" s="213">
        <v>17</v>
      </c>
      <c r="D56" s="217" t="s">
        <v>23</v>
      </c>
      <c r="E56" s="24" t="s">
        <v>22</v>
      </c>
      <c r="F56" s="23">
        <f>'11B (S S) Sem2'!E21</f>
        <v>88</v>
      </c>
      <c r="G56" s="23">
        <f>'11B (S S) Sem2'!F21</f>
        <v>50</v>
      </c>
      <c r="H56" s="23">
        <f>'11B (S S) Sem2'!G21</f>
        <v>64</v>
      </c>
      <c r="I56" s="23">
        <f>'11B (S S) Sem2'!H21</f>
        <v>74</v>
      </c>
      <c r="J56" s="23">
        <f>'11B (S S) Sem2'!I21</f>
        <v>80</v>
      </c>
      <c r="K56" s="23">
        <f>'11B (S S) Sem2'!J21</f>
        <v>81</v>
      </c>
      <c r="L56" s="23">
        <f>'11B (S S) Sem2'!K21</f>
        <v>437</v>
      </c>
      <c r="M56" s="192">
        <f>'11B (S S) Sem2'!L21</f>
        <v>72.833333333333329</v>
      </c>
      <c r="N56" s="22">
        <f>'11B (S S) Sem2'!M21</f>
        <v>26</v>
      </c>
      <c r="O56" s="23">
        <f>'11B (S S) Sem2'!N21</f>
        <v>0</v>
      </c>
      <c r="P56" s="42">
        <f>'11B (S S) Sem2'!O21</f>
        <v>0</v>
      </c>
      <c r="Q56" s="78"/>
    </row>
    <row r="57" spans="1:19" ht="18.95" customHeight="1" thickBot="1" x14ac:dyDescent="0.35">
      <c r="A57" s="247"/>
      <c r="B57" s="218"/>
      <c r="C57" s="213">
        <v>17</v>
      </c>
      <c r="D57" s="217" t="s">
        <v>23</v>
      </c>
      <c r="E57" s="24" t="s">
        <v>16</v>
      </c>
      <c r="F57" s="23">
        <f>AVERAGE(F55:F56)</f>
        <v>82</v>
      </c>
      <c r="G57" s="23">
        <f t="shared" ref="G57:P57" si="17">AVERAGE(G55:G56)</f>
        <v>52.5</v>
      </c>
      <c r="H57" s="23">
        <f t="shared" si="17"/>
        <v>64.5</v>
      </c>
      <c r="I57" s="23">
        <f t="shared" si="17"/>
        <v>65.5</v>
      </c>
      <c r="J57" s="23">
        <f t="shared" si="17"/>
        <v>73</v>
      </c>
      <c r="K57" s="23">
        <f t="shared" si="17"/>
        <v>77</v>
      </c>
      <c r="L57" s="23">
        <f t="shared" si="17"/>
        <v>414.5</v>
      </c>
      <c r="M57" s="41">
        <f t="shared" si="17"/>
        <v>69.083333333333329</v>
      </c>
      <c r="N57" s="23">
        <f>'11B (N S) Avr'!$I$21</f>
        <v>27</v>
      </c>
      <c r="O57" s="23">
        <f t="shared" si="17"/>
        <v>0</v>
      </c>
      <c r="P57" s="23">
        <f t="shared" si="17"/>
        <v>0</v>
      </c>
      <c r="Q57" s="78"/>
    </row>
    <row r="58" spans="1:19" ht="18.95" customHeight="1" thickBot="1" x14ac:dyDescent="0.35">
      <c r="A58" s="247">
        <v>19</v>
      </c>
      <c r="B58" s="218"/>
      <c r="C58" s="213">
        <v>16</v>
      </c>
      <c r="D58" s="217" t="s">
        <v>23</v>
      </c>
      <c r="E58" s="24" t="s">
        <v>21</v>
      </c>
      <c r="F58" s="23">
        <f>'11B (S S) Sem1'!E22</f>
        <v>64</v>
      </c>
      <c r="G58" s="23">
        <f>'11B (S S) Sem1'!F22</f>
        <v>55</v>
      </c>
      <c r="H58" s="23">
        <f>'11B (S S) Sem1'!G22</f>
        <v>56</v>
      </c>
      <c r="I58" s="23">
        <f>'11B (S S) Sem1'!H22</f>
        <v>59</v>
      </c>
      <c r="J58" s="23">
        <f>'11B (S S) Sem1'!I22</f>
        <v>69</v>
      </c>
      <c r="K58" s="23">
        <f>'11B (S S) Sem1'!J22</f>
        <v>76</v>
      </c>
      <c r="L58" s="23">
        <f>'11B (S S) Sem1'!K22</f>
        <v>379</v>
      </c>
      <c r="M58" s="192">
        <f>'11B (S S) Sem1'!L22</f>
        <v>63.166666666666664</v>
      </c>
      <c r="N58" s="22">
        <f>'11B (S S) Sem1'!M22</f>
        <v>30</v>
      </c>
      <c r="O58" s="23">
        <f>'11B (S S) Sem1'!N22</f>
        <v>0</v>
      </c>
      <c r="P58" s="42">
        <f>'11B (S S) Sem1'!O22</f>
        <v>0</v>
      </c>
      <c r="Q58" s="78"/>
    </row>
    <row r="59" spans="1:19" ht="18.95" customHeight="1" thickBot="1" x14ac:dyDescent="0.35">
      <c r="A59" s="247"/>
      <c r="B59" s="218"/>
      <c r="C59" s="213">
        <v>16</v>
      </c>
      <c r="D59" s="217" t="s">
        <v>23</v>
      </c>
      <c r="E59" s="24" t="s">
        <v>22</v>
      </c>
      <c r="F59" s="23">
        <f>'11B (S S) Sem2'!E22</f>
        <v>69</v>
      </c>
      <c r="G59" s="23">
        <f>'11B (S S) Sem2'!F22</f>
        <v>56</v>
      </c>
      <c r="H59" s="23">
        <f>'11B (S S) Sem2'!G22</f>
        <v>62</v>
      </c>
      <c r="I59" s="23">
        <f>'11B (S S) Sem2'!H22</f>
        <v>71</v>
      </c>
      <c r="J59" s="23">
        <f>'11B (S S) Sem2'!I22</f>
        <v>83</v>
      </c>
      <c r="K59" s="23">
        <f>'11B (S S) Sem2'!J22</f>
        <v>85</v>
      </c>
      <c r="L59" s="23">
        <f>'11B (S S) Sem2'!K22</f>
        <v>426</v>
      </c>
      <c r="M59" s="192">
        <f>'11B (S S) Sem2'!L22</f>
        <v>71</v>
      </c>
      <c r="N59" s="22">
        <f>'11B (S S) Sem2'!M22</f>
        <v>29</v>
      </c>
      <c r="O59" s="23">
        <f>'11B (S S) Sem2'!N22</f>
        <v>0</v>
      </c>
      <c r="P59" s="42">
        <f>'11B (S S) Sem2'!O22</f>
        <v>0</v>
      </c>
      <c r="Q59" s="78"/>
    </row>
    <row r="60" spans="1:19" ht="18.95" customHeight="1" thickBot="1" x14ac:dyDescent="0.35">
      <c r="A60" s="247"/>
      <c r="B60" s="218"/>
      <c r="C60" s="213">
        <v>16</v>
      </c>
      <c r="D60" s="217" t="s">
        <v>23</v>
      </c>
      <c r="E60" s="24" t="s">
        <v>16</v>
      </c>
      <c r="F60" s="23">
        <f>AVERAGE(F58:F59)</f>
        <v>66.5</v>
      </c>
      <c r="G60" s="23">
        <f t="shared" ref="G60:P60" si="18">AVERAGE(G58:G59)</f>
        <v>55.5</v>
      </c>
      <c r="H60" s="23">
        <f t="shared" si="18"/>
        <v>59</v>
      </c>
      <c r="I60" s="23">
        <f t="shared" si="18"/>
        <v>65</v>
      </c>
      <c r="J60" s="23">
        <f t="shared" si="18"/>
        <v>76</v>
      </c>
      <c r="K60" s="23">
        <f t="shared" si="18"/>
        <v>80.5</v>
      </c>
      <c r="L60" s="23">
        <f t="shared" si="18"/>
        <v>402.5</v>
      </c>
      <c r="M60" s="41">
        <f t="shared" si="18"/>
        <v>67.083333333333329</v>
      </c>
      <c r="N60" s="23">
        <f>'11B (N S) Avr'!$I$22</f>
        <v>30</v>
      </c>
      <c r="O60" s="23">
        <f t="shared" si="18"/>
        <v>0</v>
      </c>
      <c r="P60" s="23">
        <f t="shared" si="18"/>
        <v>0</v>
      </c>
      <c r="Q60" s="78"/>
    </row>
    <row r="61" spans="1:19" ht="18.95" customHeight="1" thickBot="1" x14ac:dyDescent="0.35">
      <c r="A61" s="247">
        <v>20</v>
      </c>
      <c r="B61" s="218"/>
      <c r="C61" s="213">
        <v>18</v>
      </c>
      <c r="D61" s="217" t="s">
        <v>23</v>
      </c>
      <c r="E61" s="24" t="s">
        <v>21</v>
      </c>
      <c r="F61" s="23">
        <f>'11B (S S) Sem1'!E23</f>
        <v>81</v>
      </c>
      <c r="G61" s="23">
        <f>'11B (S S) Sem1'!F23</f>
        <v>68</v>
      </c>
      <c r="H61" s="23">
        <f>'11B (S S) Sem1'!G23</f>
        <v>66</v>
      </c>
      <c r="I61" s="23">
        <f>'11B (S S) Sem1'!H23</f>
        <v>69</v>
      </c>
      <c r="J61" s="23">
        <f>'11B (S S) Sem1'!I23</f>
        <v>80</v>
      </c>
      <c r="K61" s="23">
        <f>'11B (S S) Sem1'!J23</f>
        <v>94</v>
      </c>
      <c r="L61" s="23">
        <f>'11B (S S) Sem1'!K23</f>
        <v>458</v>
      </c>
      <c r="M61" s="192">
        <f>'11B (S S) Sem1'!L23</f>
        <v>76.333333333333329</v>
      </c>
      <c r="N61" s="22">
        <f>'11B (S S) Sem1'!M23</f>
        <v>17</v>
      </c>
      <c r="O61" s="23">
        <f>'11B (S S) Sem1'!N23</f>
        <v>0</v>
      </c>
      <c r="P61" s="42">
        <f>'11B (S S) Sem1'!O23</f>
        <v>0</v>
      </c>
      <c r="Q61" s="78"/>
    </row>
    <row r="62" spans="1:19" ht="18.95" customHeight="1" thickBot="1" x14ac:dyDescent="0.35">
      <c r="A62" s="247"/>
      <c r="B62" s="218"/>
      <c r="C62" s="213">
        <v>18</v>
      </c>
      <c r="D62" s="217" t="s">
        <v>23</v>
      </c>
      <c r="E62" s="24" t="s">
        <v>22</v>
      </c>
      <c r="F62" s="23">
        <f>'11B (S S) Sem2'!E23</f>
        <v>81</v>
      </c>
      <c r="G62" s="23">
        <f>'11B (S S) Sem2'!F23</f>
        <v>76</v>
      </c>
      <c r="H62" s="23">
        <f>'11B (S S) Sem2'!G23</f>
        <v>80</v>
      </c>
      <c r="I62" s="23">
        <f>'11B (S S) Sem2'!H23</f>
        <v>78</v>
      </c>
      <c r="J62" s="23">
        <f>'11B (S S) Sem2'!I23</f>
        <v>86</v>
      </c>
      <c r="K62" s="23">
        <f>'11B (S S) Sem2'!J23</f>
        <v>91</v>
      </c>
      <c r="L62" s="23">
        <f>'11B (S S) Sem2'!K23</f>
        <v>492</v>
      </c>
      <c r="M62" s="192">
        <f>'11B (S S) Sem2'!L23</f>
        <v>82</v>
      </c>
      <c r="N62" s="22">
        <f>'11B (S S) Sem2'!M23</f>
        <v>15</v>
      </c>
      <c r="O62" s="23">
        <f>'11B (S S) Sem2'!N23</f>
        <v>0</v>
      </c>
      <c r="P62" s="42">
        <f>'11B (S S) Sem2'!O23</f>
        <v>0</v>
      </c>
      <c r="Q62" s="78"/>
    </row>
    <row r="63" spans="1:19" ht="18.95" customHeight="1" thickBot="1" x14ac:dyDescent="0.35">
      <c r="A63" s="247"/>
      <c r="B63" s="218"/>
      <c r="C63" s="213">
        <v>18</v>
      </c>
      <c r="D63" s="217" t="s">
        <v>23</v>
      </c>
      <c r="E63" s="24" t="s">
        <v>16</v>
      </c>
      <c r="F63" s="23">
        <f>AVERAGE(F61:F62)</f>
        <v>81</v>
      </c>
      <c r="G63" s="23">
        <f t="shared" ref="G63:P63" si="19">AVERAGE(G61:G62)</f>
        <v>72</v>
      </c>
      <c r="H63" s="23">
        <f t="shared" si="19"/>
        <v>73</v>
      </c>
      <c r="I63" s="23">
        <f t="shared" si="19"/>
        <v>73.5</v>
      </c>
      <c r="J63" s="23">
        <f t="shared" si="19"/>
        <v>83</v>
      </c>
      <c r="K63" s="23">
        <f t="shared" si="19"/>
        <v>92.5</v>
      </c>
      <c r="L63" s="23">
        <f t="shared" si="19"/>
        <v>475</v>
      </c>
      <c r="M63" s="41">
        <f t="shared" si="19"/>
        <v>79.166666666666657</v>
      </c>
      <c r="N63" s="23">
        <f>'11B (N S) Avr'!$I$23</f>
        <v>17</v>
      </c>
      <c r="O63" s="23">
        <f t="shared" si="19"/>
        <v>0</v>
      </c>
      <c r="P63" s="23">
        <f t="shared" si="19"/>
        <v>0</v>
      </c>
      <c r="Q63" s="78"/>
    </row>
    <row r="64" spans="1:19" ht="18.95" customHeight="1" thickBot="1" x14ac:dyDescent="0.35">
      <c r="A64" s="247">
        <v>21</v>
      </c>
      <c r="B64" s="218"/>
      <c r="C64" s="213">
        <v>18</v>
      </c>
      <c r="D64" s="217" t="s">
        <v>23</v>
      </c>
      <c r="E64" s="24" t="s">
        <v>21</v>
      </c>
      <c r="F64" s="23">
        <f>'11B (S S) Sem1'!E24</f>
        <v>48</v>
      </c>
      <c r="G64" s="23">
        <f>'11B (S S) Sem1'!F24</f>
        <v>57</v>
      </c>
      <c r="H64" s="23">
        <f>'11B (S S) Sem1'!G24</f>
        <v>50</v>
      </c>
      <c r="I64" s="23">
        <f>'11B (S S) Sem1'!H24</f>
        <v>47</v>
      </c>
      <c r="J64" s="23">
        <f>'11B (S S) Sem1'!I24</f>
        <v>51</v>
      </c>
      <c r="K64" s="23">
        <f>'11B (S S) Sem1'!J24</f>
        <v>77</v>
      </c>
      <c r="L64" s="23">
        <f>'11B (S S) Sem1'!K24</f>
        <v>330</v>
      </c>
      <c r="M64" s="192">
        <f>'11B (S S) Sem1'!L24</f>
        <v>55</v>
      </c>
      <c r="N64" s="22">
        <f>'11B (S S) Sem1'!M24</f>
        <v>47</v>
      </c>
      <c r="O64" s="23">
        <f>'11B (S S) Sem1'!N24</f>
        <v>0</v>
      </c>
      <c r="P64" s="42">
        <f>'11B (S S) Sem1'!O24</f>
        <v>0</v>
      </c>
      <c r="Q64" s="78"/>
    </row>
    <row r="65" spans="1:17" ht="18.95" customHeight="1" thickBot="1" x14ac:dyDescent="0.35">
      <c r="A65" s="247"/>
      <c r="B65" s="218"/>
      <c r="C65" s="213">
        <v>18</v>
      </c>
      <c r="D65" s="217" t="s">
        <v>23</v>
      </c>
      <c r="E65" s="24" t="s">
        <v>22</v>
      </c>
      <c r="F65" s="23">
        <f>'11B (S S) Sem2'!E24</f>
        <v>54</v>
      </c>
      <c r="G65" s="23">
        <f>'11B (S S) Sem2'!F24</f>
        <v>51</v>
      </c>
      <c r="H65" s="23">
        <f>'11B (S S) Sem2'!G24</f>
        <v>60</v>
      </c>
      <c r="I65" s="23">
        <f>'11B (S S) Sem2'!H24</f>
        <v>50</v>
      </c>
      <c r="J65" s="23">
        <f>'11B (S S) Sem2'!I24</f>
        <v>61</v>
      </c>
      <c r="K65" s="23">
        <f>'11B (S S) Sem2'!J24</f>
        <v>73</v>
      </c>
      <c r="L65" s="23">
        <f>'11B (S S) Sem2'!K24</f>
        <v>349</v>
      </c>
      <c r="M65" s="192">
        <f>'11B (S S) Sem2'!L24</f>
        <v>58.166666666666664</v>
      </c>
      <c r="N65" s="22">
        <f>'11B (S S) Sem2'!M24</f>
        <v>51</v>
      </c>
      <c r="O65" s="23">
        <f>'11B (S S) Sem2'!N24</f>
        <v>0</v>
      </c>
      <c r="P65" s="42">
        <f>'11B (S S) Sem2'!O24</f>
        <v>0</v>
      </c>
      <c r="Q65" s="78"/>
    </row>
    <row r="66" spans="1:17" ht="18.95" customHeight="1" thickBot="1" x14ac:dyDescent="0.35">
      <c r="A66" s="247"/>
      <c r="B66" s="218"/>
      <c r="C66" s="213">
        <v>18</v>
      </c>
      <c r="D66" s="217" t="s">
        <v>23</v>
      </c>
      <c r="E66" s="24" t="s">
        <v>16</v>
      </c>
      <c r="F66" s="23">
        <f>AVERAGE(F64:F65)</f>
        <v>51</v>
      </c>
      <c r="G66" s="23">
        <f t="shared" ref="G66:P66" si="20">AVERAGE(G64:G65)</f>
        <v>54</v>
      </c>
      <c r="H66" s="23">
        <f t="shared" si="20"/>
        <v>55</v>
      </c>
      <c r="I66" s="23">
        <f t="shared" si="20"/>
        <v>48.5</v>
      </c>
      <c r="J66" s="23">
        <f t="shared" si="20"/>
        <v>56</v>
      </c>
      <c r="K66" s="23">
        <f t="shared" si="20"/>
        <v>75</v>
      </c>
      <c r="L66" s="23">
        <f t="shared" si="20"/>
        <v>339.5</v>
      </c>
      <c r="M66" s="41">
        <f t="shared" si="20"/>
        <v>56.583333333333329</v>
      </c>
      <c r="N66" s="23">
        <f>'11B (N S) Avr'!$I$24</f>
        <v>50</v>
      </c>
      <c r="O66" s="23">
        <f t="shared" si="20"/>
        <v>0</v>
      </c>
      <c r="P66" s="23">
        <f t="shared" si="20"/>
        <v>0</v>
      </c>
      <c r="Q66" s="78"/>
    </row>
    <row r="67" spans="1:17" ht="18.95" customHeight="1" thickBot="1" x14ac:dyDescent="0.35">
      <c r="A67" s="247">
        <v>22</v>
      </c>
      <c r="B67" s="218"/>
      <c r="C67" s="213">
        <v>16</v>
      </c>
      <c r="D67" s="217" t="s">
        <v>20</v>
      </c>
      <c r="E67" s="24" t="s">
        <v>21</v>
      </c>
      <c r="F67" s="23">
        <f>'11B (S S) Sem1'!E25</f>
        <v>62</v>
      </c>
      <c r="G67" s="23">
        <f>'11B (S S) Sem1'!F25</f>
        <v>44</v>
      </c>
      <c r="H67" s="23">
        <f>'11B (S S) Sem1'!G25</f>
        <v>52</v>
      </c>
      <c r="I67" s="23">
        <f>'11B (S S) Sem1'!H25</f>
        <v>62</v>
      </c>
      <c r="J67" s="23">
        <f>'11B (S S) Sem1'!I25</f>
        <v>53</v>
      </c>
      <c r="K67" s="23">
        <f>'11B (S S) Sem1'!J25</f>
        <v>71</v>
      </c>
      <c r="L67" s="23">
        <f>'11B (S S) Sem1'!K25</f>
        <v>344</v>
      </c>
      <c r="M67" s="192">
        <f>'11B (S S) Sem1'!L25</f>
        <v>57.333333333333336</v>
      </c>
      <c r="N67" s="22">
        <f>'11B (S S) Sem1'!M25</f>
        <v>41</v>
      </c>
      <c r="O67" s="23">
        <f>'11B (S S) Sem1'!N25</f>
        <v>0</v>
      </c>
      <c r="P67" s="42">
        <f>'11B (S S) Sem1'!O25</f>
        <v>0</v>
      </c>
      <c r="Q67" s="78"/>
    </row>
    <row r="68" spans="1:17" ht="18.95" customHeight="1" thickBot="1" x14ac:dyDescent="0.35">
      <c r="A68" s="247"/>
      <c r="B68" s="218"/>
      <c r="C68" s="213">
        <v>16</v>
      </c>
      <c r="D68" s="217" t="s">
        <v>20</v>
      </c>
      <c r="E68" s="24" t="s">
        <v>22</v>
      </c>
      <c r="F68" s="23">
        <f>'11B (S S) Sem2'!E25</f>
        <v>73</v>
      </c>
      <c r="G68" s="23">
        <f>'11B (S S) Sem2'!F25</f>
        <v>50</v>
      </c>
      <c r="H68" s="23">
        <f>'11B (S S) Sem2'!G25</f>
        <v>70</v>
      </c>
      <c r="I68" s="23">
        <f>'11B (S S) Sem2'!H25</f>
        <v>52</v>
      </c>
      <c r="J68" s="23">
        <f>'11B (S S) Sem2'!I25</f>
        <v>72</v>
      </c>
      <c r="K68" s="23">
        <f>'11B (S S) Sem2'!J25</f>
        <v>64</v>
      </c>
      <c r="L68" s="23">
        <f>'11B (S S) Sem2'!K25</f>
        <v>381</v>
      </c>
      <c r="M68" s="192">
        <f>'11B (S S) Sem2'!L25</f>
        <v>63.5</v>
      </c>
      <c r="N68" s="22">
        <f>'11B (S S) Sem2'!M25</f>
        <v>44</v>
      </c>
      <c r="O68" s="23">
        <f>'11B (S S) Sem2'!N25</f>
        <v>0</v>
      </c>
      <c r="P68" s="42">
        <f>'11B (S S) Sem2'!O25</f>
        <v>0</v>
      </c>
      <c r="Q68" s="78"/>
    </row>
    <row r="69" spans="1:17" ht="18.95" customHeight="1" thickBot="1" x14ac:dyDescent="0.35">
      <c r="A69" s="247"/>
      <c r="B69" s="218"/>
      <c r="C69" s="213">
        <v>16</v>
      </c>
      <c r="D69" s="217" t="s">
        <v>20</v>
      </c>
      <c r="E69" s="24" t="s">
        <v>16</v>
      </c>
      <c r="F69" s="23">
        <f>AVERAGE(F67:F68)</f>
        <v>67.5</v>
      </c>
      <c r="G69" s="23">
        <f t="shared" ref="G69:P69" si="21">AVERAGE(G67:G68)</f>
        <v>47</v>
      </c>
      <c r="H69" s="23">
        <f t="shared" si="21"/>
        <v>61</v>
      </c>
      <c r="I69" s="23">
        <f t="shared" si="21"/>
        <v>57</v>
      </c>
      <c r="J69" s="23">
        <f t="shared" si="21"/>
        <v>62.5</v>
      </c>
      <c r="K69" s="23">
        <f t="shared" si="21"/>
        <v>67.5</v>
      </c>
      <c r="L69" s="23">
        <f t="shared" si="21"/>
        <v>362.5</v>
      </c>
      <c r="M69" s="41">
        <f t="shared" si="21"/>
        <v>60.416666666666671</v>
      </c>
      <c r="N69" s="23">
        <f>'11B (N S) Avr'!$I$25</f>
        <v>42</v>
      </c>
      <c r="O69" s="23">
        <f t="shared" si="21"/>
        <v>0</v>
      </c>
      <c r="P69" s="23">
        <f t="shared" si="21"/>
        <v>0</v>
      </c>
      <c r="Q69" s="78"/>
    </row>
    <row r="70" spans="1:17" ht="18.95" customHeight="1" thickBot="1" x14ac:dyDescent="0.35">
      <c r="A70" s="247">
        <v>23</v>
      </c>
      <c r="B70" s="218"/>
      <c r="C70" s="213">
        <v>17</v>
      </c>
      <c r="D70" s="217" t="s">
        <v>20</v>
      </c>
      <c r="E70" s="24" t="s">
        <v>21</v>
      </c>
      <c r="F70" s="23">
        <f>'11B (S S) Sem1'!E26</f>
        <v>55</v>
      </c>
      <c r="G70" s="23">
        <f>'11B (S S) Sem1'!F26</f>
        <v>51</v>
      </c>
      <c r="H70" s="23">
        <f>'11B (S S) Sem1'!G26</f>
        <v>55</v>
      </c>
      <c r="I70" s="23">
        <f>'11B (S S) Sem1'!H26</f>
        <v>59</v>
      </c>
      <c r="J70" s="23">
        <f>'11B (S S) Sem1'!I26</f>
        <v>50</v>
      </c>
      <c r="K70" s="23">
        <f>'11B (S S) Sem1'!J26</f>
        <v>79</v>
      </c>
      <c r="L70" s="23">
        <f>'11B (S S) Sem1'!K26</f>
        <v>349</v>
      </c>
      <c r="M70" s="192">
        <f>'11B (S S) Sem1'!L26</f>
        <v>58.166666666666664</v>
      </c>
      <c r="N70" s="22">
        <f>'11B (S S) Sem1'!M26</f>
        <v>38</v>
      </c>
      <c r="O70" s="23">
        <f>'11B (S S) Sem1'!N26</f>
        <v>0</v>
      </c>
      <c r="P70" s="42">
        <f>'11B (S S) Sem1'!O26</f>
        <v>0</v>
      </c>
      <c r="Q70" s="78"/>
    </row>
    <row r="71" spans="1:17" ht="18.95" customHeight="1" thickBot="1" x14ac:dyDescent="0.35">
      <c r="A71" s="247"/>
      <c r="B71" s="218"/>
      <c r="C71" s="213">
        <v>17</v>
      </c>
      <c r="D71" s="217" t="s">
        <v>20</v>
      </c>
      <c r="E71" s="24" t="s">
        <v>22</v>
      </c>
      <c r="F71" s="23">
        <f>'11B (S S) Sem2'!E26</f>
        <v>77</v>
      </c>
      <c r="G71" s="23">
        <f>'11B (S S) Sem2'!F26</f>
        <v>50</v>
      </c>
      <c r="H71" s="23">
        <f>'11B (S S) Sem2'!G26</f>
        <v>63</v>
      </c>
      <c r="I71" s="23">
        <f>'11B (S S) Sem2'!H26</f>
        <v>68</v>
      </c>
      <c r="J71" s="23">
        <f>'11B (S S) Sem2'!I26</f>
        <v>77</v>
      </c>
      <c r="K71" s="23">
        <f>'11B (S S) Sem2'!J26</f>
        <v>89</v>
      </c>
      <c r="L71" s="23">
        <f>'11B (S S) Sem2'!K26</f>
        <v>424</v>
      </c>
      <c r="M71" s="192">
        <f>'11B (S S) Sem2'!L26</f>
        <v>70.666666666666671</v>
      </c>
      <c r="N71" s="22">
        <f>'11B (S S) Sem2'!M26</f>
        <v>30</v>
      </c>
      <c r="O71" s="23">
        <f>'11B (S S) Sem2'!N26</f>
        <v>0</v>
      </c>
      <c r="P71" s="42">
        <f>'11B (S S) Sem2'!O26</f>
        <v>0</v>
      </c>
      <c r="Q71" s="78"/>
    </row>
    <row r="72" spans="1:17" ht="18.95" customHeight="1" thickBot="1" x14ac:dyDescent="0.35">
      <c r="A72" s="247"/>
      <c r="B72" s="218"/>
      <c r="C72" s="213">
        <v>17</v>
      </c>
      <c r="D72" s="217" t="s">
        <v>20</v>
      </c>
      <c r="E72" s="24" t="s">
        <v>16</v>
      </c>
      <c r="F72" s="23">
        <f>AVERAGE(F70:F71)</f>
        <v>66</v>
      </c>
      <c r="G72" s="23">
        <f t="shared" ref="G72:P72" si="22">AVERAGE(G70:G71)</f>
        <v>50.5</v>
      </c>
      <c r="H72" s="23">
        <f t="shared" si="22"/>
        <v>59</v>
      </c>
      <c r="I72" s="23">
        <f t="shared" si="22"/>
        <v>63.5</v>
      </c>
      <c r="J72" s="23">
        <f t="shared" si="22"/>
        <v>63.5</v>
      </c>
      <c r="K72" s="23">
        <f t="shared" si="22"/>
        <v>84</v>
      </c>
      <c r="L72" s="23">
        <f t="shared" si="22"/>
        <v>386.5</v>
      </c>
      <c r="M72" s="41">
        <f t="shared" si="22"/>
        <v>64.416666666666671</v>
      </c>
      <c r="N72" s="23">
        <f>'11B (N S) Avr'!$I$26</f>
        <v>33</v>
      </c>
      <c r="O72" s="23">
        <f t="shared" si="22"/>
        <v>0</v>
      </c>
      <c r="P72" s="23">
        <f t="shared" si="22"/>
        <v>0</v>
      </c>
      <c r="Q72" s="78"/>
    </row>
    <row r="73" spans="1:17" ht="18.95" customHeight="1" thickBot="1" x14ac:dyDescent="0.35">
      <c r="A73" s="247">
        <v>24</v>
      </c>
      <c r="B73" s="218"/>
      <c r="C73" s="213">
        <v>17</v>
      </c>
      <c r="D73" s="217" t="s">
        <v>23</v>
      </c>
      <c r="E73" s="24" t="s">
        <v>21</v>
      </c>
      <c r="F73" s="23">
        <f>'11B (S S) Sem1'!E27</f>
        <v>66</v>
      </c>
      <c r="G73" s="23">
        <f>'11B (S S) Sem1'!F27</f>
        <v>50</v>
      </c>
      <c r="H73" s="23">
        <f>'11B (S S) Sem1'!G27</f>
        <v>86</v>
      </c>
      <c r="I73" s="23">
        <f>'11B (S S) Sem1'!H27</f>
        <v>70</v>
      </c>
      <c r="J73" s="23">
        <f>'11B (S S) Sem1'!I27</f>
        <v>64</v>
      </c>
      <c r="K73" s="23">
        <f>'11B (S S) Sem1'!J27</f>
        <v>88</v>
      </c>
      <c r="L73" s="23">
        <f>'11B (S S) Sem1'!K27</f>
        <v>424</v>
      </c>
      <c r="M73" s="192">
        <f>'11B (S S) Sem1'!L27</f>
        <v>70.666666666666671</v>
      </c>
      <c r="N73" s="22">
        <f>'11B (S S) Sem1'!M27</f>
        <v>23</v>
      </c>
      <c r="O73" s="23">
        <f>'11B (S S) Sem1'!N27</f>
        <v>0</v>
      </c>
      <c r="P73" s="42">
        <f>'11B (S S) Sem1'!O27</f>
        <v>0</v>
      </c>
      <c r="Q73" s="78"/>
    </row>
    <row r="74" spans="1:17" ht="18.95" customHeight="1" thickBot="1" x14ac:dyDescent="0.35">
      <c r="A74" s="247"/>
      <c r="B74" s="218"/>
      <c r="C74" s="213">
        <v>17</v>
      </c>
      <c r="D74" s="217" t="s">
        <v>23</v>
      </c>
      <c r="E74" s="24" t="s">
        <v>22</v>
      </c>
      <c r="F74" s="23">
        <f>'11B (S S) Sem2'!E27</f>
        <v>67</v>
      </c>
      <c r="G74" s="23">
        <f>'11B (S S) Sem2'!F27</f>
        <v>50</v>
      </c>
      <c r="H74" s="23">
        <f>'11B (S S) Sem2'!G27</f>
        <v>82</v>
      </c>
      <c r="I74" s="23">
        <f>'11B (S S) Sem2'!H27</f>
        <v>86</v>
      </c>
      <c r="J74" s="23">
        <f>'11B (S S) Sem2'!I27</f>
        <v>85</v>
      </c>
      <c r="K74" s="23">
        <f>'11B (S S) Sem2'!J27</f>
        <v>79</v>
      </c>
      <c r="L74" s="23">
        <f>'11B (S S) Sem2'!K27</f>
        <v>449</v>
      </c>
      <c r="M74" s="192">
        <f>'11B (S S) Sem2'!L27</f>
        <v>74.833333333333329</v>
      </c>
      <c r="N74" s="22">
        <f>'11B (S S) Sem2'!M27</f>
        <v>23</v>
      </c>
      <c r="O74" s="23">
        <f>'11B (S S) Sem2'!N27</f>
        <v>0</v>
      </c>
      <c r="P74" s="42">
        <f>'11B (S S) Sem2'!O27</f>
        <v>0</v>
      </c>
      <c r="Q74" s="78"/>
    </row>
    <row r="75" spans="1:17" ht="18.95" customHeight="1" thickBot="1" x14ac:dyDescent="0.35">
      <c r="A75" s="247"/>
      <c r="B75" s="218"/>
      <c r="C75" s="213">
        <v>17</v>
      </c>
      <c r="D75" s="217" t="s">
        <v>23</v>
      </c>
      <c r="E75" s="24" t="s">
        <v>16</v>
      </c>
      <c r="F75" s="23">
        <f>AVERAGE(F73:F74)</f>
        <v>66.5</v>
      </c>
      <c r="G75" s="23">
        <f t="shared" ref="G75:P75" si="23">AVERAGE(G73:G74)</f>
        <v>50</v>
      </c>
      <c r="H75" s="23">
        <f t="shared" si="23"/>
        <v>84</v>
      </c>
      <c r="I75" s="23">
        <f t="shared" si="23"/>
        <v>78</v>
      </c>
      <c r="J75" s="23">
        <f t="shared" si="23"/>
        <v>74.5</v>
      </c>
      <c r="K75" s="23">
        <f t="shared" si="23"/>
        <v>83.5</v>
      </c>
      <c r="L75" s="23">
        <f t="shared" si="23"/>
        <v>436.5</v>
      </c>
      <c r="M75" s="41">
        <f t="shared" si="23"/>
        <v>72.75</v>
      </c>
      <c r="N75" s="23">
        <f>'11B (N S) Avr'!$I$27</f>
        <v>22</v>
      </c>
      <c r="O75" s="23">
        <f t="shared" si="23"/>
        <v>0</v>
      </c>
      <c r="P75" s="23">
        <f t="shared" si="23"/>
        <v>0</v>
      </c>
      <c r="Q75" s="78"/>
    </row>
    <row r="76" spans="1:17" ht="18.95" customHeight="1" thickBot="1" x14ac:dyDescent="0.35">
      <c r="A76" s="247">
        <v>25</v>
      </c>
      <c r="B76" s="234"/>
      <c r="C76" s="247">
        <v>16</v>
      </c>
      <c r="D76" s="248" t="s">
        <v>23</v>
      </c>
      <c r="E76" s="24" t="s">
        <v>21</v>
      </c>
      <c r="F76" s="23">
        <f>'11B (S S) Sem1'!E28</f>
        <v>82</v>
      </c>
      <c r="G76" s="23">
        <f>'11B (S S) Sem1'!F28</f>
        <v>69</v>
      </c>
      <c r="H76" s="23">
        <f>'11B (S S) Sem1'!G28</f>
        <v>82</v>
      </c>
      <c r="I76" s="23">
        <f>'11B (S S) Sem1'!H28</f>
        <v>82</v>
      </c>
      <c r="J76" s="23">
        <f>'11B (S S) Sem1'!I28</f>
        <v>70</v>
      </c>
      <c r="K76" s="23">
        <f>'11B (S S) Sem1'!J28</f>
        <v>97</v>
      </c>
      <c r="L76" s="23">
        <f>'11B (S S) Sem1'!K28</f>
        <v>482</v>
      </c>
      <c r="M76" s="192">
        <f>'11B (S S) Sem1'!L28</f>
        <v>80.333333333333329</v>
      </c>
      <c r="N76" s="22">
        <f>'11B (S S) Sem1'!M28</f>
        <v>12</v>
      </c>
      <c r="O76" s="23">
        <f>'11B (S S) Sem1'!N28</f>
        <v>0</v>
      </c>
      <c r="P76" s="42">
        <f>'11B (S S) Sem1'!O28</f>
        <v>0</v>
      </c>
      <c r="Q76" s="78"/>
    </row>
    <row r="77" spans="1:17" ht="18.95" customHeight="1" thickBot="1" x14ac:dyDescent="0.35">
      <c r="A77" s="247"/>
      <c r="B77" s="234"/>
      <c r="C77" s="247">
        <v>16</v>
      </c>
      <c r="D77" s="248" t="s">
        <v>23</v>
      </c>
      <c r="E77" s="24" t="s">
        <v>22</v>
      </c>
      <c r="F77" s="23">
        <f>'11B (S S) Sem2'!E28</f>
        <v>88</v>
      </c>
      <c r="G77" s="23">
        <f>'11B (S S) Sem2'!F28</f>
        <v>63</v>
      </c>
      <c r="H77" s="23">
        <f>'11B (S S) Sem2'!G28</f>
        <v>86</v>
      </c>
      <c r="I77" s="23">
        <f>'11B (S S) Sem2'!H28</f>
        <v>89</v>
      </c>
      <c r="J77" s="23">
        <f>'11B (S S) Sem2'!I28</f>
        <v>86</v>
      </c>
      <c r="K77" s="23">
        <f>'11B (S S) Sem2'!J28</f>
        <v>93</v>
      </c>
      <c r="L77" s="23">
        <f>'11B (S S) Sem2'!K28</f>
        <v>505</v>
      </c>
      <c r="M77" s="192">
        <f>'11B (S S) Sem2'!L28</f>
        <v>84.166666666666671</v>
      </c>
      <c r="N77" s="22">
        <f>'11B (S S) Sem2'!M28</f>
        <v>13</v>
      </c>
      <c r="O77" s="23">
        <f>'11B (S S) Sem2'!N28</f>
        <v>0</v>
      </c>
      <c r="P77" s="42">
        <f>'11B (S S) Sem2'!O28</f>
        <v>0</v>
      </c>
      <c r="Q77" s="78"/>
    </row>
    <row r="78" spans="1:17" ht="18.95" customHeight="1" thickBot="1" x14ac:dyDescent="0.35">
      <c r="A78" s="247"/>
      <c r="B78" s="234"/>
      <c r="C78" s="247">
        <v>16</v>
      </c>
      <c r="D78" s="248" t="s">
        <v>23</v>
      </c>
      <c r="E78" s="24" t="s">
        <v>16</v>
      </c>
      <c r="F78" s="23">
        <f>AVERAGE(F76:F77)</f>
        <v>85</v>
      </c>
      <c r="G78" s="23">
        <f t="shared" ref="G78:P78" si="24">AVERAGE(G76:G77)</f>
        <v>66</v>
      </c>
      <c r="H78" s="23">
        <f t="shared" si="24"/>
        <v>84</v>
      </c>
      <c r="I78" s="23">
        <f t="shared" si="24"/>
        <v>85.5</v>
      </c>
      <c r="J78" s="23">
        <f t="shared" si="24"/>
        <v>78</v>
      </c>
      <c r="K78" s="23">
        <f t="shared" si="24"/>
        <v>95</v>
      </c>
      <c r="L78" s="23">
        <f t="shared" si="24"/>
        <v>493.5</v>
      </c>
      <c r="M78" s="41">
        <f t="shared" si="24"/>
        <v>82.25</v>
      </c>
      <c r="N78" s="23">
        <f>'11B (N S) Avr'!$I$28</f>
        <v>12</v>
      </c>
      <c r="O78" s="23">
        <f t="shared" si="24"/>
        <v>0</v>
      </c>
      <c r="P78" s="23">
        <f t="shared" si="24"/>
        <v>0</v>
      </c>
      <c r="Q78" s="78"/>
    </row>
    <row r="79" spans="1:17" ht="18.95" customHeight="1" thickBot="1" x14ac:dyDescent="0.35">
      <c r="A79" s="247">
        <v>26</v>
      </c>
      <c r="B79" s="218"/>
      <c r="C79" s="213">
        <v>16</v>
      </c>
      <c r="D79" s="217" t="s">
        <v>20</v>
      </c>
      <c r="E79" s="24" t="s">
        <v>21</v>
      </c>
      <c r="F79" s="23">
        <f>'11B (S S) Sem1'!E29</f>
        <v>61</v>
      </c>
      <c r="G79" s="23">
        <f>'11B (S S) Sem1'!F29</f>
        <v>50</v>
      </c>
      <c r="H79" s="23">
        <f>'11B (S S) Sem1'!G29</f>
        <v>52</v>
      </c>
      <c r="I79" s="23">
        <f>'11B (S S) Sem1'!H29</f>
        <v>54</v>
      </c>
      <c r="J79" s="23">
        <f>'11B (S S) Sem1'!I29</f>
        <v>60</v>
      </c>
      <c r="K79" s="23">
        <f>'11B (S S) Sem1'!J29</f>
        <v>87</v>
      </c>
      <c r="L79" s="23">
        <f>'11B (S S) Sem1'!K29</f>
        <v>364</v>
      </c>
      <c r="M79" s="192">
        <f>'11B (S S) Sem1'!L29</f>
        <v>60.666666666666664</v>
      </c>
      <c r="N79" s="22">
        <f>'11B (S S) Sem1'!M29</f>
        <v>32</v>
      </c>
      <c r="O79" s="23">
        <f>'11B (S S) Sem1'!N29</f>
        <v>0</v>
      </c>
      <c r="P79" s="42">
        <f>'11B (S S) Sem1'!O29</f>
        <v>0</v>
      </c>
      <c r="Q79" s="78"/>
    </row>
    <row r="80" spans="1:17" ht="18.95" customHeight="1" thickBot="1" x14ac:dyDescent="0.35">
      <c r="A80" s="247"/>
      <c r="B80" s="218"/>
      <c r="C80" s="213">
        <v>16</v>
      </c>
      <c r="D80" s="217" t="s">
        <v>20</v>
      </c>
      <c r="E80" s="24" t="s">
        <v>22</v>
      </c>
      <c r="F80" s="23">
        <f>'11B (S S) Sem2'!E29</f>
        <v>61</v>
      </c>
      <c r="G80" s="23">
        <f>'11B (S S) Sem2'!F29</f>
        <v>65</v>
      </c>
      <c r="H80" s="23">
        <f>'11B (S S) Sem2'!G29</f>
        <v>56</v>
      </c>
      <c r="I80" s="23">
        <f>'11B (S S) Sem2'!H29</f>
        <v>55</v>
      </c>
      <c r="J80" s="23">
        <f>'11B (S S) Sem2'!I29</f>
        <v>68</v>
      </c>
      <c r="K80" s="23">
        <f>'11B (S S) Sem2'!J29</f>
        <v>82</v>
      </c>
      <c r="L80" s="23">
        <f>'11B (S S) Sem2'!K29</f>
        <v>387</v>
      </c>
      <c r="M80" s="192">
        <f>'11B (S S) Sem2'!L29</f>
        <v>64.5</v>
      </c>
      <c r="N80" s="22">
        <f>'11B (S S) Sem2'!M29</f>
        <v>40</v>
      </c>
      <c r="O80" s="23">
        <f>'11B (S S) Sem2'!N29</f>
        <v>0</v>
      </c>
      <c r="P80" s="42">
        <f>'11B (S S) Sem2'!O29</f>
        <v>0</v>
      </c>
      <c r="Q80" s="78"/>
    </row>
    <row r="81" spans="1:17" ht="18.95" customHeight="1" thickBot="1" x14ac:dyDescent="0.35">
      <c r="A81" s="247"/>
      <c r="B81" s="218"/>
      <c r="C81" s="213">
        <v>16</v>
      </c>
      <c r="D81" s="217" t="s">
        <v>20</v>
      </c>
      <c r="E81" s="24" t="s">
        <v>16</v>
      </c>
      <c r="F81" s="23">
        <f>AVERAGE(F79:F80)</f>
        <v>61</v>
      </c>
      <c r="G81" s="23">
        <f t="shared" ref="G81:P81" si="25">AVERAGE(G79:G80)</f>
        <v>57.5</v>
      </c>
      <c r="H81" s="23">
        <f t="shared" si="25"/>
        <v>54</v>
      </c>
      <c r="I81" s="23">
        <f t="shared" si="25"/>
        <v>54.5</v>
      </c>
      <c r="J81" s="23">
        <f t="shared" si="25"/>
        <v>64</v>
      </c>
      <c r="K81" s="23">
        <f t="shared" si="25"/>
        <v>84.5</v>
      </c>
      <c r="L81" s="23">
        <f t="shared" si="25"/>
        <v>375.5</v>
      </c>
      <c r="M81" s="41">
        <f t="shared" si="25"/>
        <v>62.583333333333329</v>
      </c>
      <c r="N81" s="23">
        <f>'11B (N S) Avr'!$I$29</f>
        <v>36</v>
      </c>
      <c r="O81" s="23">
        <f t="shared" si="25"/>
        <v>0</v>
      </c>
      <c r="P81" s="23">
        <f t="shared" si="25"/>
        <v>0</v>
      </c>
      <c r="Q81" s="78"/>
    </row>
    <row r="82" spans="1:17" ht="18.95" customHeight="1" thickBot="1" x14ac:dyDescent="0.35">
      <c r="A82" s="247">
        <v>27</v>
      </c>
      <c r="B82" s="218"/>
      <c r="C82" s="213">
        <v>17</v>
      </c>
      <c r="D82" s="217" t="s">
        <v>20</v>
      </c>
      <c r="E82" s="24" t="s">
        <v>21</v>
      </c>
      <c r="F82" s="23">
        <f>'11B (S S) Sem1'!E30</f>
        <v>55</v>
      </c>
      <c r="G82" s="23">
        <f>'11B (S S) Sem1'!F30</f>
        <v>53</v>
      </c>
      <c r="H82" s="23">
        <f>'11B (S S) Sem1'!G30</f>
        <v>63</v>
      </c>
      <c r="I82" s="23">
        <f>'11B (S S) Sem1'!H30</f>
        <v>63</v>
      </c>
      <c r="J82" s="23">
        <f>'11B (S S) Sem1'!I30</f>
        <v>62</v>
      </c>
      <c r="K82" s="23">
        <f>'11B (S S) Sem1'!J30</f>
        <v>74</v>
      </c>
      <c r="L82" s="23">
        <f>'11B (S S) Sem1'!K30</f>
        <v>370</v>
      </c>
      <c r="M82" s="192">
        <f>'11B (S S) Sem1'!L30</f>
        <v>61.666666666666664</v>
      </c>
      <c r="N82" s="22">
        <f>'11B (S S) Sem1'!M30</f>
        <v>31</v>
      </c>
      <c r="O82" s="23">
        <f>'11B (S S) Sem1'!N30</f>
        <v>0</v>
      </c>
      <c r="P82" s="42">
        <f>'11B (S S) Sem1'!O30</f>
        <v>0</v>
      </c>
      <c r="Q82" s="78"/>
    </row>
    <row r="83" spans="1:17" ht="18.95" customHeight="1" thickBot="1" x14ac:dyDescent="0.35">
      <c r="A83" s="247"/>
      <c r="B83" s="218"/>
      <c r="C83" s="213">
        <v>17</v>
      </c>
      <c r="D83" s="217" t="s">
        <v>20</v>
      </c>
      <c r="E83" s="24" t="s">
        <v>22</v>
      </c>
      <c r="F83" s="29">
        <f>'11B (S S) Sem2'!E30</f>
        <v>71</v>
      </c>
      <c r="G83" s="29">
        <f>'11B (S S) Sem2'!F30</f>
        <v>75</v>
      </c>
      <c r="H83" s="29">
        <f>'11B (S S) Sem2'!G30</f>
        <v>66</v>
      </c>
      <c r="I83" s="29">
        <f>'11B (S S) Sem2'!H30</f>
        <v>69</v>
      </c>
      <c r="J83" s="29">
        <f>'11B (S S) Sem2'!I30</f>
        <v>87</v>
      </c>
      <c r="K83" s="29">
        <f>'11B (S S) Sem2'!J30</f>
        <v>79</v>
      </c>
      <c r="L83" s="23">
        <f>'11B (S S) Sem2'!K30</f>
        <v>447</v>
      </c>
      <c r="M83" s="192">
        <f>'11B (S S) Sem2'!L30</f>
        <v>74.5</v>
      </c>
      <c r="N83" s="22">
        <f>'11B (S S) Sem2'!M30</f>
        <v>24</v>
      </c>
      <c r="O83" s="29">
        <f>'11B (S S) Sem2'!N30</f>
        <v>0</v>
      </c>
      <c r="P83" s="29">
        <f>'11B (S S) Sem2'!O30</f>
        <v>0</v>
      </c>
      <c r="Q83" s="78"/>
    </row>
    <row r="84" spans="1:17" ht="18.95" customHeight="1" thickBot="1" x14ac:dyDescent="0.35">
      <c r="A84" s="247"/>
      <c r="B84" s="218"/>
      <c r="C84" s="213">
        <v>17</v>
      </c>
      <c r="D84" s="217" t="s">
        <v>20</v>
      </c>
      <c r="E84" s="24" t="s">
        <v>16</v>
      </c>
      <c r="F84" s="29">
        <f>AVERAGE(F82:F83)</f>
        <v>63</v>
      </c>
      <c r="G84" s="29">
        <f t="shared" ref="G84:P84" si="26">AVERAGE(G82:G83)</f>
        <v>64</v>
      </c>
      <c r="H84" s="29">
        <f t="shared" si="26"/>
        <v>64.5</v>
      </c>
      <c r="I84" s="29">
        <f t="shared" si="26"/>
        <v>66</v>
      </c>
      <c r="J84" s="29">
        <f t="shared" si="26"/>
        <v>74.5</v>
      </c>
      <c r="K84" s="29">
        <f t="shared" si="26"/>
        <v>76.5</v>
      </c>
      <c r="L84" s="29">
        <f t="shared" si="26"/>
        <v>408.5</v>
      </c>
      <c r="M84" s="194">
        <f t="shared" si="26"/>
        <v>68.083333333333329</v>
      </c>
      <c r="N84" s="29">
        <f>'11B (N S) Avr'!$I$30</f>
        <v>28</v>
      </c>
      <c r="O84" s="29">
        <f t="shared" si="26"/>
        <v>0</v>
      </c>
      <c r="P84" s="29">
        <f t="shared" si="26"/>
        <v>0</v>
      </c>
      <c r="Q84" s="78"/>
    </row>
    <row r="85" spans="1:17" ht="18.95" customHeight="1" thickBot="1" x14ac:dyDescent="0.35">
      <c r="A85" s="247">
        <v>28</v>
      </c>
      <c r="B85" s="218"/>
      <c r="C85" s="213">
        <v>17</v>
      </c>
      <c r="D85" s="217" t="s">
        <v>23</v>
      </c>
      <c r="E85" s="24" t="s">
        <v>21</v>
      </c>
      <c r="F85" s="23">
        <f>'11B (S S) Sem1'!E31</f>
        <v>46</v>
      </c>
      <c r="G85" s="23">
        <f>'11B (S S) Sem1'!F31</f>
        <v>40</v>
      </c>
      <c r="H85" s="23">
        <f>'11B (S S) Sem1'!G31</f>
        <v>52</v>
      </c>
      <c r="I85" s="23">
        <f>'11B (S S) Sem1'!H31</f>
        <v>49</v>
      </c>
      <c r="J85" s="23">
        <f>'11B (S S) Sem1'!I31</f>
        <v>40</v>
      </c>
      <c r="K85" s="23">
        <f>'11B (S S) Sem1'!J31</f>
        <v>57</v>
      </c>
      <c r="L85" s="23">
        <f>'11B (S S) Sem1'!K31</f>
        <v>284</v>
      </c>
      <c r="M85" s="192">
        <f>'11B (S S) Sem1'!L31</f>
        <v>47.333333333333336</v>
      </c>
      <c r="N85" s="22">
        <f>'11B (S S) Sem1'!M31</f>
        <v>53</v>
      </c>
      <c r="O85" s="23">
        <f>'11B (S S) Sem1'!N31</f>
        <v>0</v>
      </c>
      <c r="P85" s="29">
        <f>'11B (S S) Sem1'!O31</f>
        <v>0</v>
      </c>
      <c r="Q85" s="78"/>
    </row>
    <row r="86" spans="1:17" ht="18.95" customHeight="1" thickBot="1" x14ac:dyDescent="0.35">
      <c r="A86" s="247"/>
      <c r="B86" s="218"/>
      <c r="C86" s="213">
        <v>17</v>
      </c>
      <c r="D86" s="217" t="s">
        <v>23</v>
      </c>
      <c r="E86" s="24" t="s">
        <v>22</v>
      </c>
      <c r="F86" s="23">
        <f>'11B (S S) Sem2'!E31</f>
        <v>54</v>
      </c>
      <c r="G86" s="23">
        <f>'11B (S S) Sem2'!F31</f>
        <v>57</v>
      </c>
      <c r="H86" s="23">
        <f>'11B (S S) Sem2'!G31</f>
        <v>56</v>
      </c>
      <c r="I86" s="23">
        <f>'11B (S S) Sem2'!H31</f>
        <v>42</v>
      </c>
      <c r="J86" s="23">
        <f>'11B (S S) Sem2'!I31</f>
        <v>46</v>
      </c>
      <c r="K86" s="23">
        <f>'11B (S S) Sem2'!J31</f>
        <v>65</v>
      </c>
      <c r="L86" s="23">
        <f>'11B (S S) Sem2'!K31</f>
        <v>320</v>
      </c>
      <c r="M86" s="192">
        <f>'11B (S S) Sem2'!L31</f>
        <v>53.333333333333336</v>
      </c>
      <c r="N86" s="22">
        <f>'11B (S S) Sem2'!M31</f>
        <v>53</v>
      </c>
      <c r="O86" s="23">
        <f>'11B (S S) Sem2'!N31</f>
        <v>0</v>
      </c>
      <c r="P86" s="29">
        <f>'11B (S S) Sem2'!O31</f>
        <v>0</v>
      </c>
      <c r="Q86" s="78"/>
    </row>
    <row r="87" spans="1:17" ht="18.95" customHeight="1" thickBot="1" x14ac:dyDescent="0.35">
      <c r="A87" s="247"/>
      <c r="B87" s="218"/>
      <c r="C87" s="213">
        <v>17</v>
      </c>
      <c r="D87" s="217" t="s">
        <v>23</v>
      </c>
      <c r="E87" s="24" t="s">
        <v>16</v>
      </c>
      <c r="F87" s="23">
        <f>AVERAGE(F85:F86)</f>
        <v>50</v>
      </c>
      <c r="G87" s="23">
        <f t="shared" ref="G87:P87" si="27">AVERAGE(G85:G86)</f>
        <v>48.5</v>
      </c>
      <c r="H87" s="23">
        <f t="shared" si="27"/>
        <v>54</v>
      </c>
      <c r="I87" s="23">
        <f t="shared" si="27"/>
        <v>45.5</v>
      </c>
      <c r="J87" s="23">
        <f t="shared" si="27"/>
        <v>43</v>
      </c>
      <c r="K87" s="23">
        <f t="shared" si="27"/>
        <v>61</v>
      </c>
      <c r="L87" s="23">
        <f t="shared" si="27"/>
        <v>302</v>
      </c>
      <c r="M87" s="41">
        <f t="shared" si="27"/>
        <v>50.333333333333336</v>
      </c>
      <c r="N87" s="23">
        <f>'11B (N S) Avr'!$I$31</f>
        <v>53</v>
      </c>
      <c r="O87" s="23">
        <f t="shared" si="27"/>
        <v>0</v>
      </c>
      <c r="P87" s="23">
        <f t="shared" si="27"/>
        <v>0</v>
      </c>
      <c r="Q87" s="78"/>
    </row>
    <row r="88" spans="1:17" ht="23.25" customHeight="1" thickBot="1" x14ac:dyDescent="0.35">
      <c r="A88" s="247">
        <v>29</v>
      </c>
      <c r="B88" s="218"/>
      <c r="C88" s="213">
        <v>17</v>
      </c>
      <c r="D88" s="217" t="s">
        <v>20</v>
      </c>
      <c r="E88" s="24" t="s">
        <v>21</v>
      </c>
      <c r="F88" s="23">
        <f>'11B (S S) Sem1'!E32</f>
        <v>75</v>
      </c>
      <c r="G88" s="23">
        <f>'11B (S S) Sem1'!F32</f>
        <v>77</v>
      </c>
      <c r="H88" s="23">
        <f>'11B (S S) Sem1'!G32</f>
        <v>84</v>
      </c>
      <c r="I88" s="23">
        <f>'11B (S S) Sem1'!H32</f>
        <v>88</v>
      </c>
      <c r="J88" s="23">
        <f>'11B (S S) Sem1'!I32</f>
        <v>81</v>
      </c>
      <c r="K88" s="23">
        <f>'11B (S S) Sem1'!J32</f>
        <v>100</v>
      </c>
      <c r="L88" s="23">
        <f>'11B (S S) Sem1'!K32</f>
        <v>505</v>
      </c>
      <c r="M88" s="192">
        <f>'11B (S S) Sem1'!L32</f>
        <v>84.166666666666671</v>
      </c>
      <c r="N88" s="22">
        <f>'11B (S S) Sem1'!M32</f>
        <v>6</v>
      </c>
      <c r="O88" s="23">
        <f>'11B (S S) Sem1'!N32</f>
        <v>0</v>
      </c>
      <c r="P88" s="29">
        <f>'11B (S S) Sem1'!O32</f>
        <v>0</v>
      </c>
      <c r="Q88" s="78"/>
    </row>
    <row r="89" spans="1:17" ht="21" customHeight="1" thickBot="1" x14ac:dyDescent="0.35">
      <c r="A89" s="247"/>
      <c r="B89" s="218"/>
      <c r="C89" s="213">
        <v>17</v>
      </c>
      <c r="D89" s="217" t="s">
        <v>20</v>
      </c>
      <c r="E89" s="24" t="s">
        <v>22</v>
      </c>
      <c r="F89" s="29">
        <f>'11B (S S) Sem2'!E32</f>
        <v>87</v>
      </c>
      <c r="G89" s="29">
        <f>'11B (S S) Sem2'!F32</f>
        <v>66</v>
      </c>
      <c r="H89" s="29">
        <f>'11B (S S) Sem2'!G32</f>
        <v>94</v>
      </c>
      <c r="I89" s="29">
        <f>'11B (S S) Sem2'!H32</f>
        <v>92</v>
      </c>
      <c r="J89" s="29">
        <f>'11B (S S) Sem2'!I32</f>
        <v>91</v>
      </c>
      <c r="K89" s="29">
        <f>'11B (S S) Sem2'!J32</f>
        <v>97</v>
      </c>
      <c r="L89" s="23">
        <f>'11B (S S) Sem2'!K32</f>
        <v>527</v>
      </c>
      <c r="M89" s="192">
        <f>'11B (S S) Sem2'!L32</f>
        <v>87.833333333333329</v>
      </c>
      <c r="N89" s="22">
        <f>'11B (S S) Sem2'!M32</f>
        <v>5</v>
      </c>
      <c r="O89" s="29">
        <f>'11B (S S) Sem2'!N32</f>
        <v>0</v>
      </c>
      <c r="P89" s="29">
        <f>'11B (S S) Sem2'!O32</f>
        <v>0</v>
      </c>
      <c r="Q89" s="78"/>
    </row>
    <row r="90" spans="1:17" ht="18" thickBot="1" x14ac:dyDescent="0.35">
      <c r="A90" s="247"/>
      <c r="B90" s="218"/>
      <c r="C90" s="213">
        <v>17</v>
      </c>
      <c r="D90" s="217" t="s">
        <v>20</v>
      </c>
      <c r="E90" s="24" t="s">
        <v>16</v>
      </c>
      <c r="F90" s="29">
        <f>AVERAGE(F88:F89)</f>
        <v>81</v>
      </c>
      <c r="G90" s="29">
        <f t="shared" ref="G90:P90" si="28">AVERAGE(G88:G89)</f>
        <v>71.5</v>
      </c>
      <c r="H90" s="29">
        <f t="shared" si="28"/>
        <v>89</v>
      </c>
      <c r="I90" s="29">
        <f t="shared" si="28"/>
        <v>90</v>
      </c>
      <c r="J90" s="29">
        <f t="shared" si="28"/>
        <v>86</v>
      </c>
      <c r="K90" s="29">
        <f t="shared" si="28"/>
        <v>98.5</v>
      </c>
      <c r="L90" s="29">
        <f t="shared" si="28"/>
        <v>516</v>
      </c>
      <c r="M90" s="194">
        <f t="shared" si="28"/>
        <v>86</v>
      </c>
      <c r="N90" s="29">
        <f>'11B (N S) Avr'!$I$32</f>
        <v>5</v>
      </c>
      <c r="O90" s="29">
        <f t="shared" si="28"/>
        <v>0</v>
      </c>
      <c r="P90" s="29">
        <f t="shared" si="28"/>
        <v>0</v>
      </c>
      <c r="Q90" s="78"/>
    </row>
    <row r="91" spans="1:17" ht="18.75" customHeight="1" thickBot="1" x14ac:dyDescent="0.35">
      <c r="A91" s="247">
        <v>30</v>
      </c>
      <c r="B91" s="218"/>
      <c r="C91" s="213">
        <v>16</v>
      </c>
      <c r="D91" s="217" t="s">
        <v>20</v>
      </c>
      <c r="E91" s="24" t="s">
        <v>21</v>
      </c>
      <c r="F91" s="23">
        <f>'11B (S S) Sem1'!E33</f>
        <v>53</v>
      </c>
      <c r="G91" s="23">
        <f>'11B (S S) Sem1'!F33</f>
        <v>50</v>
      </c>
      <c r="H91" s="23">
        <f>'11B (S S) Sem1'!G33</f>
        <v>54</v>
      </c>
      <c r="I91" s="23">
        <f>'11B (S S) Sem1'!H33</f>
        <v>58</v>
      </c>
      <c r="J91" s="23">
        <f>'11B (S S) Sem1'!I33</f>
        <v>71</v>
      </c>
      <c r="K91" s="23">
        <f>'11B (S S) Sem1'!J33</f>
        <v>73</v>
      </c>
      <c r="L91" s="23">
        <f>'11B (S S) Sem1'!K33</f>
        <v>359</v>
      </c>
      <c r="M91" s="192">
        <f>'11B (S S) Sem1'!L33</f>
        <v>59.833333333333336</v>
      </c>
      <c r="N91" s="22">
        <f>'11B (S S) Sem1'!M33</f>
        <v>33</v>
      </c>
      <c r="O91" s="23">
        <f>'11B (S S) Sem1'!N33</f>
        <v>0</v>
      </c>
      <c r="P91" s="29">
        <f>'11B (S S) Sem1'!O33</f>
        <v>0</v>
      </c>
      <c r="Q91" s="78"/>
    </row>
    <row r="92" spans="1:17" ht="20.25" customHeight="1" thickBot="1" x14ac:dyDescent="0.35">
      <c r="A92" s="247"/>
      <c r="B92" s="218"/>
      <c r="C92" s="213">
        <v>16</v>
      </c>
      <c r="D92" s="217" t="s">
        <v>20</v>
      </c>
      <c r="E92" s="24" t="s">
        <v>22</v>
      </c>
      <c r="F92" s="23">
        <f>'11B (S S) Sem2'!E33</f>
        <v>66</v>
      </c>
      <c r="G92" s="23">
        <f>'11B (S S) Sem2'!F33</f>
        <v>76</v>
      </c>
      <c r="H92" s="23">
        <f>'11B (S S) Sem2'!G33</f>
        <v>69</v>
      </c>
      <c r="I92" s="23">
        <f>'11B (S S) Sem2'!H33</f>
        <v>59</v>
      </c>
      <c r="J92" s="23">
        <f>'11B (S S) Sem2'!I33</f>
        <v>77</v>
      </c>
      <c r="K92" s="23">
        <f>'11B (S S) Sem2'!J33</f>
        <v>83</v>
      </c>
      <c r="L92" s="23">
        <f>'11B (S S) Sem2'!K33</f>
        <v>430</v>
      </c>
      <c r="M92" s="192">
        <f>'11B (S S) Sem2'!L33</f>
        <v>71.666666666666671</v>
      </c>
      <c r="N92" s="22">
        <f>'11B (S S) Sem2'!M33</f>
        <v>28</v>
      </c>
      <c r="O92" s="23">
        <f>'11B (S S) Sem2'!N33</f>
        <v>0</v>
      </c>
      <c r="P92" s="29">
        <f>'11B (S S) Sem2'!O33</f>
        <v>0</v>
      </c>
      <c r="Q92" s="78"/>
    </row>
    <row r="93" spans="1:17" ht="20.25" customHeight="1" thickBot="1" x14ac:dyDescent="0.35">
      <c r="A93" s="247"/>
      <c r="B93" s="218"/>
      <c r="C93" s="213">
        <v>16</v>
      </c>
      <c r="D93" s="217" t="s">
        <v>20</v>
      </c>
      <c r="E93" s="24" t="s">
        <v>16</v>
      </c>
      <c r="F93" s="23">
        <f>AVERAGE(F91:F92)</f>
        <v>59.5</v>
      </c>
      <c r="G93" s="23">
        <f t="shared" ref="G93:P93" si="29">AVERAGE(G91:G92)</f>
        <v>63</v>
      </c>
      <c r="H93" s="23">
        <f t="shared" si="29"/>
        <v>61.5</v>
      </c>
      <c r="I93" s="23">
        <f t="shared" si="29"/>
        <v>58.5</v>
      </c>
      <c r="J93" s="23">
        <f t="shared" si="29"/>
        <v>74</v>
      </c>
      <c r="K93" s="23">
        <f t="shared" si="29"/>
        <v>78</v>
      </c>
      <c r="L93" s="23">
        <f t="shared" si="29"/>
        <v>394.5</v>
      </c>
      <c r="M93" s="41">
        <f t="shared" si="29"/>
        <v>65.75</v>
      </c>
      <c r="N93" s="23">
        <f>'11B (N S) Avr'!$I$33</f>
        <v>32</v>
      </c>
      <c r="O93" s="23">
        <f t="shared" si="29"/>
        <v>0</v>
      </c>
      <c r="P93" s="23">
        <f t="shared" si="29"/>
        <v>0</v>
      </c>
      <c r="Q93" s="78"/>
    </row>
    <row r="94" spans="1:17" ht="21.75" customHeight="1" thickBot="1" x14ac:dyDescent="0.35">
      <c r="A94" s="247">
        <v>31</v>
      </c>
      <c r="B94" s="218"/>
      <c r="C94" s="213">
        <v>15</v>
      </c>
      <c r="D94" s="217" t="s">
        <v>23</v>
      </c>
      <c r="E94" s="24" t="s">
        <v>21</v>
      </c>
      <c r="F94" s="23">
        <f>'11B (S S) Sem1'!E34</f>
        <v>85</v>
      </c>
      <c r="G94" s="23">
        <f>'11B (S S) Sem1'!F34</f>
        <v>70</v>
      </c>
      <c r="H94" s="23">
        <f>'11B (S S) Sem1'!G34</f>
        <v>77</v>
      </c>
      <c r="I94" s="23">
        <f>'11B (S S) Sem1'!H34</f>
        <v>82</v>
      </c>
      <c r="J94" s="23">
        <f>'11B (S S) Sem1'!I34</f>
        <v>81</v>
      </c>
      <c r="K94" s="23">
        <f>'11B (S S) Sem1'!J34</f>
        <v>100</v>
      </c>
      <c r="L94" s="23">
        <f>'11B (S S) Sem1'!K34</f>
        <v>495</v>
      </c>
      <c r="M94" s="192">
        <f>'11B (S S) Sem1'!L34</f>
        <v>82.5</v>
      </c>
      <c r="N94" s="22">
        <f>'11B (S S) Sem1'!M34</f>
        <v>8</v>
      </c>
      <c r="O94" s="23">
        <f>'11B (S S) Sem1'!N34</f>
        <v>0</v>
      </c>
      <c r="P94" s="29">
        <f>'11B (S S) Sem1'!O34</f>
        <v>0</v>
      </c>
      <c r="Q94" s="78"/>
    </row>
    <row r="95" spans="1:17" ht="22.5" customHeight="1" thickBot="1" x14ac:dyDescent="0.35">
      <c r="A95" s="247"/>
      <c r="B95" s="218"/>
      <c r="C95" s="213">
        <v>15</v>
      </c>
      <c r="D95" s="217" t="s">
        <v>23</v>
      </c>
      <c r="E95" s="24" t="s">
        <v>22</v>
      </c>
      <c r="F95" s="23">
        <f>'11B (S S) Sem2'!E34</f>
        <v>87</v>
      </c>
      <c r="G95" s="23">
        <f>'11B (S S) Sem2'!F34</f>
        <v>71</v>
      </c>
      <c r="H95" s="23">
        <f>'11B (S S) Sem2'!G34</f>
        <v>74</v>
      </c>
      <c r="I95" s="23">
        <f>'11B (S S) Sem2'!H34</f>
        <v>98</v>
      </c>
      <c r="J95" s="23">
        <f>'11B (S S) Sem2'!I34</f>
        <v>94</v>
      </c>
      <c r="K95" s="23">
        <f>'11B (S S) Sem2'!J34</f>
        <v>97</v>
      </c>
      <c r="L95" s="23">
        <f>'11B (S S) Sem2'!K34</f>
        <v>521</v>
      </c>
      <c r="M95" s="192">
        <f>'11B (S S) Sem2'!L34</f>
        <v>86.833333333333329</v>
      </c>
      <c r="N95" s="22">
        <f>'11B (S S) Sem2'!M34</f>
        <v>6</v>
      </c>
      <c r="O95" s="23">
        <f>'11B (S S) Sem2'!N34</f>
        <v>0</v>
      </c>
      <c r="P95" s="29">
        <f>'11B (S S) Sem2'!O34</f>
        <v>0</v>
      </c>
      <c r="Q95" s="78"/>
    </row>
    <row r="96" spans="1:17" ht="19.5" customHeight="1" thickBot="1" x14ac:dyDescent="0.35">
      <c r="A96" s="247"/>
      <c r="B96" s="218"/>
      <c r="C96" s="213">
        <v>15</v>
      </c>
      <c r="D96" s="217" t="s">
        <v>23</v>
      </c>
      <c r="E96" s="24" t="s">
        <v>16</v>
      </c>
      <c r="F96" s="23">
        <f>AVERAGE(F94:F95)</f>
        <v>86</v>
      </c>
      <c r="G96" s="23">
        <f t="shared" ref="G96:P96" si="30">AVERAGE(G94:G95)</f>
        <v>70.5</v>
      </c>
      <c r="H96" s="23">
        <f t="shared" si="30"/>
        <v>75.5</v>
      </c>
      <c r="I96" s="23">
        <f t="shared" si="30"/>
        <v>90</v>
      </c>
      <c r="J96" s="23">
        <f t="shared" si="30"/>
        <v>87.5</v>
      </c>
      <c r="K96" s="23">
        <f t="shared" si="30"/>
        <v>98.5</v>
      </c>
      <c r="L96" s="23">
        <f t="shared" si="30"/>
        <v>508</v>
      </c>
      <c r="M96" s="41">
        <f t="shared" si="30"/>
        <v>84.666666666666657</v>
      </c>
      <c r="N96" s="23">
        <f>'11B (N S) Avr'!$I$34</f>
        <v>7</v>
      </c>
      <c r="O96" s="23">
        <f t="shared" si="30"/>
        <v>0</v>
      </c>
      <c r="P96" s="23">
        <f t="shared" si="30"/>
        <v>0</v>
      </c>
      <c r="Q96" s="78"/>
    </row>
    <row r="97" spans="1:17" ht="20.25" customHeight="1" thickBot="1" x14ac:dyDescent="0.35">
      <c r="A97" s="247">
        <v>32</v>
      </c>
      <c r="B97" s="218"/>
      <c r="C97" s="213">
        <v>17</v>
      </c>
      <c r="D97" s="217" t="s">
        <v>23</v>
      </c>
      <c r="E97" s="24" t="s">
        <v>21</v>
      </c>
      <c r="F97" s="23">
        <f>'11B (S S) Sem1'!E35</f>
        <v>84</v>
      </c>
      <c r="G97" s="23">
        <f>'11B (S S) Sem1'!F35</f>
        <v>91</v>
      </c>
      <c r="H97" s="23">
        <f>'11B (S S) Sem1'!G35</f>
        <v>77</v>
      </c>
      <c r="I97" s="23">
        <f>'11B (S S) Sem1'!H35</f>
        <v>80</v>
      </c>
      <c r="J97" s="23">
        <f>'11B (S S) Sem1'!I35</f>
        <v>95</v>
      </c>
      <c r="K97" s="23">
        <f>'11B (S S) Sem1'!J35</f>
        <v>100</v>
      </c>
      <c r="L97" s="23">
        <f>'11B (S S) Sem1'!K35</f>
        <v>527</v>
      </c>
      <c r="M97" s="192">
        <f>'11B (S S) Sem1'!L35</f>
        <v>87.833333333333329</v>
      </c>
      <c r="N97" s="22">
        <f>'11B (S S) Sem1'!M35</f>
        <v>4</v>
      </c>
      <c r="O97" s="23">
        <f>'11B (S S) Sem1'!N35</f>
        <v>0</v>
      </c>
      <c r="P97" s="29">
        <f>'11B (S S) Sem1'!O35</f>
        <v>0</v>
      </c>
      <c r="Q97" s="78"/>
    </row>
    <row r="98" spans="1:17" ht="24" customHeight="1" thickBot="1" x14ac:dyDescent="0.35">
      <c r="A98" s="247"/>
      <c r="B98" s="218"/>
      <c r="C98" s="213">
        <v>17</v>
      </c>
      <c r="D98" s="217" t="s">
        <v>23</v>
      </c>
      <c r="E98" s="24" t="s">
        <v>22</v>
      </c>
      <c r="F98" s="23">
        <f>'11B (S S) Sem2'!E35</f>
        <v>95</v>
      </c>
      <c r="G98" s="23">
        <f>'11B (S S) Sem2'!F35</f>
        <v>94</v>
      </c>
      <c r="H98" s="23">
        <f>'11B (S S) Sem2'!G35</f>
        <v>70</v>
      </c>
      <c r="I98" s="23">
        <f>'11B (S S) Sem2'!H35</f>
        <v>91</v>
      </c>
      <c r="J98" s="23">
        <f>'11B (S S) Sem2'!I35</f>
        <v>95</v>
      </c>
      <c r="K98" s="23">
        <f>'11B (S S) Sem2'!J35</f>
        <v>100</v>
      </c>
      <c r="L98" s="23">
        <f>'11B (S S) Sem2'!K35</f>
        <v>545</v>
      </c>
      <c r="M98" s="192">
        <f>'11B (S S) Sem2'!L35</f>
        <v>90.833333333333329</v>
      </c>
      <c r="N98" s="22">
        <f>'11B (S S) Sem2'!M35</f>
        <v>3</v>
      </c>
      <c r="O98" s="23">
        <f>'11B (S S) Sem2'!N35</f>
        <v>0</v>
      </c>
      <c r="P98" s="29">
        <f>'11B (S S) Sem2'!O35</f>
        <v>0</v>
      </c>
      <c r="Q98" s="78"/>
    </row>
    <row r="99" spans="1:17" ht="21" customHeight="1" thickBot="1" x14ac:dyDescent="0.35">
      <c r="A99" s="247"/>
      <c r="B99" s="218"/>
      <c r="C99" s="213">
        <v>17</v>
      </c>
      <c r="D99" s="217" t="s">
        <v>23</v>
      </c>
      <c r="E99" s="24" t="s">
        <v>16</v>
      </c>
      <c r="F99" s="23">
        <f>AVERAGE(F97:F98)</f>
        <v>89.5</v>
      </c>
      <c r="G99" s="23">
        <f t="shared" ref="G99:P99" si="31">AVERAGE(G97:G98)</f>
        <v>92.5</v>
      </c>
      <c r="H99" s="23">
        <f t="shared" si="31"/>
        <v>73.5</v>
      </c>
      <c r="I99" s="23">
        <f t="shared" si="31"/>
        <v>85.5</v>
      </c>
      <c r="J99" s="23">
        <f t="shared" si="31"/>
        <v>95</v>
      </c>
      <c r="K99" s="23">
        <f t="shared" si="31"/>
        <v>100</v>
      </c>
      <c r="L99" s="23">
        <f t="shared" si="31"/>
        <v>536</v>
      </c>
      <c r="M99" s="41">
        <f t="shared" si="31"/>
        <v>89.333333333333329</v>
      </c>
      <c r="N99" s="23">
        <f>'11B (N S) Avr'!$I$35</f>
        <v>4</v>
      </c>
      <c r="O99" s="23">
        <f t="shared" si="31"/>
        <v>0</v>
      </c>
      <c r="P99" s="23">
        <f t="shared" si="31"/>
        <v>0</v>
      </c>
      <c r="Q99" s="78"/>
    </row>
    <row r="100" spans="1:17" ht="18.75" customHeight="1" thickBot="1" x14ac:dyDescent="0.35">
      <c r="A100" s="247">
        <v>33</v>
      </c>
      <c r="B100" s="234"/>
      <c r="C100" s="247">
        <v>17</v>
      </c>
      <c r="D100" s="248" t="s">
        <v>20</v>
      </c>
      <c r="E100" s="24" t="s">
        <v>21</v>
      </c>
      <c r="F100" s="23">
        <f>'11B (S S) Sem1'!E36</f>
        <v>53</v>
      </c>
      <c r="G100" s="23">
        <f>'11B (S S) Sem1'!F36</f>
        <v>46</v>
      </c>
      <c r="H100" s="23">
        <f>'11B (S S) Sem1'!G36</f>
        <v>47</v>
      </c>
      <c r="I100" s="23">
        <f>'11B (S S) Sem1'!H36</f>
        <v>54</v>
      </c>
      <c r="J100" s="23">
        <f>'11B (S S) Sem1'!I36</f>
        <v>61</v>
      </c>
      <c r="K100" s="23">
        <f>'11B (S S) Sem1'!J36</f>
        <v>70</v>
      </c>
      <c r="L100" s="23">
        <f>'11B (S S) Sem1'!K36</f>
        <v>331</v>
      </c>
      <c r="M100" s="192">
        <f>'11B (S S) Sem1'!L36</f>
        <v>55.166666666666664</v>
      </c>
      <c r="N100" s="22">
        <f>'11B (S S) Sem1'!M36</f>
        <v>46</v>
      </c>
      <c r="O100" s="23">
        <f>'11B (S S) Sem1'!N36</f>
        <v>0</v>
      </c>
      <c r="P100" s="29">
        <f>'11B (S S) Sem1'!O36</f>
        <v>0</v>
      </c>
      <c r="Q100" s="78"/>
    </row>
    <row r="101" spans="1:17" ht="18.75" customHeight="1" thickBot="1" x14ac:dyDescent="0.35">
      <c r="A101" s="247"/>
      <c r="B101" s="234"/>
      <c r="C101" s="247">
        <v>17</v>
      </c>
      <c r="D101" s="248" t="s">
        <v>20</v>
      </c>
      <c r="E101" s="24" t="s">
        <v>22</v>
      </c>
      <c r="F101" s="23">
        <f>'11B (S S) Sem2'!E36</f>
        <v>63</v>
      </c>
      <c r="G101" s="23">
        <f>'11B (S S) Sem2'!F36</f>
        <v>81</v>
      </c>
      <c r="H101" s="23">
        <f>'11B (S S) Sem2'!G36</f>
        <v>75</v>
      </c>
      <c r="I101" s="23">
        <f>'11B (S S) Sem2'!H36</f>
        <v>43</v>
      </c>
      <c r="J101" s="23">
        <f>'11B (S S) Sem2'!I36</f>
        <v>75</v>
      </c>
      <c r="K101" s="23">
        <f>'11B (S S) Sem2'!J36</f>
        <v>69</v>
      </c>
      <c r="L101" s="23">
        <f>'11B (S S) Sem2'!K36</f>
        <v>406</v>
      </c>
      <c r="M101" s="192">
        <f>'11B (S S) Sem2'!L36</f>
        <v>67.666666666666671</v>
      </c>
      <c r="N101" s="22">
        <f>'11B (S S) Sem2'!M36</f>
        <v>35</v>
      </c>
      <c r="O101" s="23">
        <f>'11B (S S) Sem2'!N36</f>
        <v>0</v>
      </c>
      <c r="P101" s="29">
        <f>'11B (S S) Sem2'!O36</f>
        <v>0</v>
      </c>
      <c r="Q101" s="78"/>
    </row>
    <row r="102" spans="1:17" ht="18" customHeight="1" thickBot="1" x14ac:dyDescent="0.35">
      <c r="A102" s="247"/>
      <c r="B102" s="234"/>
      <c r="C102" s="247">
        <v>17</v>
      </c>
      <c r="D102" s="248" t="s">
        <v>20</v>
      </c>
      <c r="E102" s="24" t="s">
        <v>16</v>
      </c>
      <c r="F102" s="23">
        <f>AVERAGE(F100:F101)</f>
        <v>58</v>
      </c>
      <c r="G102" s="23">
        <f t="shared" ref="G102:P102" si="32">AVERAGE(G100:G101)</f>
        <v>63.5</v>
      </c>
      <c r="H102" s="23">
        <f t="shared" si="32"/>
        <v>61</v>
      </c>
      <c r="I102" s="23">
        <f t="shared" si="32"/>
        <v>48.5</v>
      </c>
      <c r="J102" s="23">
        <f t="shared" si="32"/>
        <v>68</v>
      </c>
      <c r="K102" s="23">
        <f t="shared" si="32"/>
        <v>69.5</v>
      </c>
      <c r="L102" s="23">
        <f t="shared" si="32"/>
        <v>368.5</v>
      </c>
      <c r="M102" s="41">
        <f t="shared" si="32"/>
        <v>61.416666666666671</v>
      </c>
      <c r="N102" s="23">
        <f>'11B (N S) Avr'!$I$36</f>
        <v>38</v>
      </c>
      <c r="O102" s="23">
        <f t="shared" si="32"/>
        <v>0</v>
      </c>
      <c r="P102" s="23">
        <f t="shared" si="32"/>
        <v>0</v>
      </c>
      <c r="Q102" s="78"/>
    </row>
    <row r="103" spans="1:17" ht="19.5" customHeight="1" thickBot="1" x14ac:dyDescent="0.35">
      <c r="A103" s="247">
        <v>34</v>
      </c>
      <c r="B103" s="218"/>
      <c r="C103" s="213">
        <v>17</v>
      </c>
      <c r="D103" s="217" t="s">
        <v>20</v>
      </c>
      <c r="E103" s="24" t="s">
        <v>21</v>
      </c>
      <c r="F103" s="23">
        <f>'11B (S S) Sem1'!E37</f>
        <v>74</v>
      </c>
      <c r="G103" s="23">
        <f>'11B (S S) Sem1'!F37</f>
        <v>75</v>
      </c>
      <c r="H103" s="23">
        <f>'11B (S S) Sem1'!G37</f>
        <v>81</v>
      </c>
      <c r="I103" s="23">
        <f>'11B (S S) Sem1'!H37</f>
        <v>64</v>
      </c>
      <c r="J103" s="23">
        <f>'11B (S S) Sem1'!I37</f>
        <v>81</v>
      </c>
      <c r="K103" s="23">
        <f>'11B (S S) Sem1'!J37</f>
        <v>89</v>
      </c>
      <c r="L103" s="23">
        <f>'11B (S S) Sem1'!K37</f>
        <v>464</v>
      </c>
      <c r="M103" s="192">
        <f>'11B (S S) Sem1'!L37</f>
        <v>77.333333333333329</v>
      </c>
      <c r="N103" s="22">
        <f>'11B (S S) Sem1'!M37</f>
        <v>15</v>
      </c>
      <c r="O103" s="23">
        <f>'11B (S S) Sem1'!N37</f>
        <v>0</v>
      </c>
      <c r="P103" s="29">
        <f>'11B (S S) Sem1'!O37</f>
        <v>0</v>
      </c>
      <c r="Q103" s="78"/>
    </row>
    <row r="104" spans="1:17" ht="21" customHeight="1" thickBot="1" x14ac:dyDescent="0.35">
      <c r="A104" s="247"/>
      <c r="B104" s="218"/>
      <c r="C104" s="213">
        <v>17</v>
      </c>
      <c r="D104" s="217" t="s">
        <v>20</v>
      </c>
      <c r="E104" s="24" t="s">
        <v>22</v>
      </c>
      <c r="F104" s="23">
        <f>'11B (S S) Sem2'!E37</f>
        <v>78</v>
      </c>
      <c r="G104" s="23">
        <f>'11B (S S) Sem2'!F37</f>
        <v>70</v>
      </c>
      <c r="H104" s="23">
        <f>'11B (S S) Sem2'!G37</f>
        <v>87</v>
      </c>
      <c r="I104" s="23">
        <f>'11B (S S) Sem2'!H37</f>
        <v>85</v>
      </c>
      <c r="J104" s="23">
        <f>'11B (S S) Sem2'!I37</f>
        <v>86</v>
      </c>
      <c r="K104" s="23">
        <f>'11B (S S) Sem2'!J37</f>
        <v>83</v>
      </c>
      <c r="L104" s="23">
        <f>'11B (S S) Sem2'!K37</f>
        <v>489</v>
      </c>
      <c r="M104" s="192">
        <f>'11B (S S) Sem2'!L37</f>
        <v>81.5</v>
      </c>
      <c r="N104" s="22">
        <f>'11B (S S) Sem2'!M37</f>
        <v>16</v>
      </c>
      <c r="O104" s="23">
        <f>'11B (S S) Sem2'!N37</f>
        <v>0</v>
      </c>
      <c r="P104" s="29">
        <f>'11B (S S) Sem2'!O37</f>
        <v>0</v>
      </c>
      <c r="Q104" s="78"/>
    </row>
    <row r="105" spans="1:17" ht="21" customHeight="1" thickBot="1" x14ac:dyDescent="0.35">
      <c r="A105" s="247"/>
      <c r="B105" s="218"/>
      <c r="C105" s="213">
        <v>17</v>
      </c>
      <c r="D105" s="217" t="s">
        <v>20</v>
      </c>
      <c r="E105" s="24" t="s">
        <v>16</v>
      </c>
      <c r="F105" s="23">
        <f>AVERAGE(F103:F104)</f>
        <v>76</v>
      </c>
      <c r="G105" s="23">
        <f t="shared" ref="G105:P105" si="33">AVERAGE(G103:G104)</f>
        <v>72.5</v>
      </c>
      <c r="H105" s="23">
        <f t="shared" si="33"/>
        <v>84</v>
      </c>
      <c r="I105" s="23">
        <f t="shared" si="33"/>
        <v>74.5</v>
      </c>
      <c r="J105" s="23">
        <f t="shared" si="33"/>
        <v>83.5</v>
      </c>
      <c r="K105" s="23">
        <f t="shared" si="33"/>
        <v>86</v>
      </c>
      <c r="L105" s="23">
        <f t="shared" si="33"/>
        <v>476.5</v>
      </c>
      <c r="M105" s="41">
        <f t="shared" si="33"/>
        <v>79.416666666666657</v>
      </c>
      <c r="N105" s="23">
        <f>'11B (N S) Avr'!$I$37</f>
        <v>16</v>
      </c>
      <c r="O105" s="23">
        <f t="shared" si="33"/>
        <v>0</v>
      </c>
      <c r="P105" s="23">
        <f t="shared" si="33"/>
        <v>0</v>
      </c>
      <c r="Q105" s="78"/>
    </row>
    <row r="106" spans="1:17" ht="17.25" customHeight="1" thickBot="1" x14ac:dyDescent="0.35">
      <c r="A106" s="247">
        <v>35</v>
      </c>
      <c r="B106" s="218"/>
      <c r="C106" s="213">
        <v>17</v>
      </c>
      <c r="D106" s="217" t="s">
        <v>23</v>
      </c>
      <c r="E106" s="24" t="s">
        <v>21</v>
      </c>
      <c r="F106" s="23">
        <f>'11B (S S) Sem1'!E38</f>
        <v>67</v>
      </c>
      <c r="G106" s="23">
        <f>'11B (S S) Sem1'!F38</f>
        <v>39</v>
      </c>
      <c r="H106" s="23">
        <f>'11B (S S) Sem1'!G38</f>
        <v>54</v>
      </c>
      <c r="I106" s="23">
        <f>'11B (S S) Sem1'!H38</f>
        <v>55</v>
      </c>
      <c r="J106" s="23">
        <f>'11B (S S) Sem1'!I38</f>
        <v>56</v>
      </c>
      <c r="K106" s="23">
        <f>'11B (S S) Sem1'!J38</f>
        <v>74</v>
      </c>
      <c r="L106" s="23">
        <f>'11B (S S) Sem1'!K38</f>
        <v>345</v>
      </c>
      <c r="M106" s="192">
        <f>'11B (S S) Sem1'!L38</f>
        <v>57.5</v>
      </c>
      <c r="N106" s="22">
        <f>'11B (S S) Sem1'!M38</f>
        <v>40</v>
      </c>
      <c r="O106" s="23">
        <f>'11B (S S) Sem1'!N38</f>
        <v>0</v>
      </c>
      <c r="P106" s="29">
        <f>'11B (S S) Sem1'!O38</f>
        <v>0</v>
      </c>
      <c r="Q106" s="78"/>
    </row>
    <row r="107" spans="1:17" ht="20.25" customHeight="1" thickBot="1" x14ac:dyDescent="0.35">
      <c r="A107" s="247"/>
      <c r="B107" s="218"/>
      <c r="C107" s="213">
        <v>17</v>
      </c>
      <c r="D107" s="217" t="s">
        <v>23</v>
      </c>
      <c r="E107" s="24" t="s">
        <v>22</v>
      </c>
      <c r="F107" s="23">
        <f>'11B (S S) Sem2'!E38</f>
        <v>75</v>
      </c>
      <c r="G107" s="23">
        <f>'11B (S S) Sem2'!F38</f>
        <v>50</v>
      </c>
      <c r="H107" s="23">
        <f>'11B (S S) Sem2'!G38</f>
        <v>60</v>
      </c>
      <c r="I107" s="23">
        <f>'11B (S S) Sem2'!H38</f>
        <v>62</v>
      </c>
      <c r="J107" s="23">
        <f>'11B (S S) Sem2'!I38</f>
        <v>58</v>
      </c>
      <c r="K107" s="23">
        <f>'11B (S S) Sem2'!J38</f>
        <v>78</v>
      </c>
      <c r="L107" s="23">
        <f>'11B (S S) Sem2'!K38</f>
        <v>383</v>
      </c>
      <c r="M107" s="192">
        <f>'11B (S S) Sem2'!L38</f>
        <v>63.833333333333336</v>
      </c>
      <c r="N107" s="22">
        <f>'11B (S S) Sem2'!M38</f>
        <v>42</v>
      </c>
      <c r="O107" s="23">
        <f>'11B (S S) Sem2'!N38</f>
        <v>0</v>
      </c>
      <c r="P107" s="29">
        <f>'11B (S S) Sem2'!O38</f>
        <v>0</v>
      </c>
      <c r="Q107" s="78"/>
    </row>
    <row r="108" spans="1:17" ht="20.25" customHeight="1" thickBot="1" x14ac:dyDescent="0.35">
      <c r="A108" s="247"/>
      <c r="B108" s="218"/>
      <c r="C108" s="213">
        <v>17</v>
      </c>
      <c r="D108" s="217" t="s">
        <v>23</v>
      </c>
      <c r="E108" s="24" t="s">
        <v>16</v>
      </c>
      <c r="F108" s="23">
        <f>AVERAGE(F106:F107)</f>
        <v>71</v>
      </c>
      <c r="G108" s="23">
        <f t="shared" ref="G108:P108" si="34">AVERAGE(G106:G107)</f>
        <v>44.5</v>
      </c>
      <c r="H108" s="23">
        <f t="shared" si="34"/>
        <v>57</v>
      </c>
      <c r="I108" s="23">
        <f t="shared" si="34"/>
        <v>58.5</v>
      </c>
      <c r="J108" s="23">
        <f t="shared" si="34"/>
        <v>57</v>
      </c>
      <c r="K108" s="23">
        <f t="shared" si="34"/>
        <v>76</v>
      </c>
      <c r="L108" s="23">
        <f t="shared" si="34"/>
        <v>364</v>
      </c>
      <c r="M108" s="41">
        <f t="shared" si="34"/>
        <v>60.666666666666671</v>
      </c>
      <c r="N108" s="23">
        <f>'11B (N S) Avr'!$I$38</f>
        <v>40</v>
      </c>
      <c r="O108" s="23">
        <f t="shared" si="34"/>
        <v>0</v>
      </c>
      <c r="P108" s="23">
        <f t="shared" si="34"/>
        <v>0</v>
      </c>
      <c r="Q108" s="78"/>
    </row>
    <row r="109" spans="1:17" ht="18.75" customHeight="1" thickBot="1" x14ac:dyDescent="0.35">
      <c r="A109" s="247">
        <v>36</v>
      </c>
      <c r="B109" s="218"/>
      <c r="C109" s="213">
        <v>15</v>
      </c>
      <c r="D109" s="217" t="s">
        <v>23</v>
      </c>
      <c r="E109" s="24" t="s">
        <v>21</v>
      </c>
      <c r="F109" s="23">
        <f>'11B (S S) Sem1'!E39</f>
        <v>51</v>
      </c>
      <c r="G109" s="23">
        <f>'11B (S S) Sem1'!F39</f>
        <v>34</v>
      </c>
      <c r="H109" s="23">
        <f>'11B (S S) Sem1'!G39</f>
        <v>58</v>
      </c>
      <c r="I109" s="23">
        <f>'11B (S S) Sem1'!H39</f>
        <v>60</v>
      </c>
      <c r="J109" s="23">
        <f>'11B (S S) Sem1'!I39</f>
        <v>47</v>
      </c>
      <c r="K109" s="23">
        <f>'11B (S S) Sem1'!J39</f>
        <v>66</v>
      </c>
      <c r="L109" s="23">
        <f>'11B (S S) Sem1'!K39</f>
        <v>316</v>
      </c>
      <c r="M109" s="192">
        <f>'11B (S S) Sem1'!L39</f>
        <v>52.666666666666664</v>
      </c>
      <c r="N109" s="22">
        <f>'11B (S S) Sem1'!M39</f>
        <v>51</v>
      </c>
      <c r="O109" s="23">
        <f>'11B (S S) Sem1'!N39</f>
        <v>0</v>
      </c>
      <c r="P109" s="29">
        <f>'11B (S S) Sem1'!O39</f>
        <v>0</v>
      </c>
      <c r="Q109" s="78"/>
    </row>
    <row r="110" spans="1:17" ht="17.25" customHeight="1" thickBot="1" x14ac:dyDescent="0.35">
      <c r="A110" s="247"/>
      <c r="B110" s="218"/>
      <c r="C110" s="213">
        <v>15</v>
      </c>
      <c r="D110" s="217" t="s">
        <v>23</v>
      </c>
      <c r="E110" s="24" t="s">
        <v>22</v>
      </c>
      <c r="F110" s="23">
        <f>'11B (S S) Sem2'!E39</f>
        <v>54</v>
      </c>
      <c r="G110" s="23">
        <f>'11B (S S) Sem2'!F39</f>
        <v>42</v>
      </c>
      <c r="H110" s="23">
        <f>'11B (S S) Sem2'!G39</f>
        <v>64</v>
      </c>
      <c r="I110" s="23">
        <f>'11B (S S) Sem2'!H39</f>
        <v>60</v>
      </c>
      <c r="J110" s="23">
        <f>'11B (S S) Sem2'!I39</f>
        <v>57</v>
      </c>
      <c r="K110" s="23">
        <f>'11B (S S) Sem2'!J39</f>
        <v>77</v>
      </c>
      <c r="L110" s="23">
        <f>'11B (S S) Sem2'!K39</f>
        <v>354</v>
      </c>
      <c r="M110" s="192">
        <f>'11B (S S) Sem2'!L39</f>
        <v>59</v>
      </c>
      <c r="N110" s="22">
        <f>'11B (S S) Sem2'!M39</f>
        <v>49</v>
      </c>
      <c r="O110" s="23">
        <f>'11B (S S) Sem2'!N39</f>
        <v>0</v>
      </c>
      <c r="P110" s="29">
        <f>'11B (S S) Sem2'!O39</f>
        <v>0</v>
      </c>
      <c r="Q110" s="78"/>
    </row>
    <row r="111" spans="1:17" ht="21" customHeight="1" thickBot="1" x14ac:dyDescent="0.35">
      <c r="A111" s="247"/>
      <c r="B111" s="218"/>
      <c r="C111" s="213">
        <v>15</v>
      </c>
      <c r="D111" s="217" t="s">
        <v>23</v>
      </c>
      <c r="E111" s="24" t="s">
        <v>16</v>
      </c>
      <c r="F111" s="23">
        <f>AVERAGE(F109:F110)</f>
        <v>52.5</v>
      </c>
      <c r="G111" s="23">
        <f t="shared" ref="G111:P111" si="35">AVERAGE(G109:G110)</f>
        <v>38</v>
      </c>
      <c r="H111" s="23">
        <f t="shared" si="35"/>
        <v>61</v>
      </c>
      <c r="I111" s="23">
        <f t="shared" si="35"/>
        <v>60</v>
      </c>
      <c r="J111" s="23">
        <f t="shared" si="35"/>
        <v>52</v>
      </c>
      <c r="K111" s="23">
        <f t="shared" si="35"/>
        <v>71.5</v>
      </c>
      <c r="L111" s="23">
        <f t="shared" si="35"/>
        <v>335</v>
      </c>
      <c r="M111" s="41">
        <f t="shared" si="35"/>
        <v>55.833333333333329</v>
      </c>
      <c r="N111" s="23">
        <f>'11B (N S) Avr'!$I$39</f>
        <v>51</v>
      </c>
      <c r="O111" s="23">
        <f t="shared" si="35"/>
        <v>0</v>
      </c>
      <c r="P111" s="23">
        <f t="shared" si="35"/>
        <v>0</v>
      </c>
      <c r="Q111" s="78"/>
    </row>
    <row r="112" spans="1:17" ht="19.5" customHeight="1" thickBot="1" x14ac:dyDescent="0.35">
      <c r="A112" s="247">
        <v>37</v>
      </c>
      <c r="B112" s="218"/>
      <c r="C112" s="213">
        <v>18</v>
      </c>
      <c r="D112" s="217" t="s">
        <v>23</v>
      </c>
      <c r="E112" s="24" t="s">
        <v>21</v>
      </c>
      <c r="F112" s="23">
        <f>'11B (S S) Sem1'!E40</f>
        <v>62</v>
      </c>
      <c r="G112" s="23">
        <f>'11B (S S) Sem1'!F40</f>
        <v>45</v>
      </c>
      <c r="H112" s="23">
        <f>'11B (S S) Sem1'!G40</f>
        <v>55</v>
      </c>
      <c r="I112" s="23">
        <f>'11B (S S) Sem1'!H40</f>
        <v>64</v>
      </c>
      <c r="J112" s="23">
        <f>'11B (S S) Sem1'!I40</f>
        <v>61</v>
      </c>
      <c r="K112" s="23">
        <f>'11B (S S) Sem1'!J40</f>
        <v>66</v>
      </c>
      <c r="L112" s="23">
        <f>'11B (S S) Sem1'!K40</f>
        <v>353</v>
      </c>
      <c r="M112" s="192">
        <f>'11B (S S) Sem1'!L40</f>
        <v>58.833333333333336</v>
      </c>
      <c r="N112" s="22">
        <f>'11B (S S) Sem1'!M40</f>
        <v>36</v>
      </c>
      <c r="O112" s="23">
        <f>'11B (S S) Sem1'!N40</f>
        <v>0</v>
      </c>
      <c r="P112" s="29">
        <f>'11B (S S) Sem1'!O40</f>
        <v>0</v>
      </c>
      <c r="Q112" s="78"/>
    </row>
    <row r="113" spans="1:17" ht="17.25" customHeight="1" thickBot="1" x14ac:dyDescent="0.35">
      <c r="A113" s="247"/>
      <c r="B113" s="218"/>
      <c r="C113" s="213">
        <v>18</v>
      </c>
      <c r="D113" s="217" t="s">
        <v>23</v>
      </c>
      <c r="E113" s="24" t="s">
        <v>22</v>
      </c>
      <c r="F113" s="23">
        <f>'11B (S S) Sem2'!E40</f>
        <v>71</v>
      </c>
      <c r="G113" s="23">
        <f>'11B (S S) Sem2'!F40</f>
        <v>54</v>
      </c>
      <c r="H113" s="23">
        <f>'11B (S S) Sem2'!G40</f>
        <v>60</v>
      </c>
      <c r="I113" s="23">
        <f>'11B (S S) Sem2'!H40</f>
        <v>74</v>
      </c>
      <c r="J113" s="23">
        <f>'11B (S S) Sem2'!I40</f>
        <v>69</v>
      </c>
      <c r="K113" s="23">
        <f>'11B (S S) Sem2'!J40</f>
        <v>80</v>
      </c>
      <c r="L113" s="23">
        <f>'11B (S S) Sem2'!K40</f>
        <v>408</v>
      </c>
      <c r="M113" s="192">
        <f>'11B (S S) Sem2'!L40</f>
        <v>68</v>
      </c>
      <c r="N113" s="22">
        <f>'11B (S S) Sem2'!M40</f>
        <v>34</v>
      </c>
      <c r="O113" s="23">
        <f>'11B (S S) Sem2'!N40</f>
        <v>0</v>
      </c>
      <c r="P113" s="29">
        <f>'11B (S S) Sem2'!O40</f>
        <v>0</v>
      </c>
      <c r="Q113" s="78"/>
    </row>
    <row r="114" spans="1:17" ht="20.25" customHeight="1" thickBot="1" x14ac:dyDescent="0.35">
      <c r="A114" s="247"/>
      <c r="B114" s="218"/>
      <c r="C114" s="213">
        <v>18</v>
      </c>
      <c r="D114" s="217" t="s">
        <v>23</v>
      </c>
      <c r="E114" s="24" t="s">
        <v>16</v>
      </c>
      <c r="F114" s="23">
        <f>AVERAGE(F112:F113)</f>
        <v>66.5</v>
      </c>
      <c r="G114" s="23">
        <f t="shared" ref="G114:P114" si="36">AVERAGE(G112:G113)</f>
        <v>49.5</v>
      </c>
      <c r="H114" s="23">
        <f t="shared" si="36"/>
        <v>57.5</v>
      </c>
      <c r="I114" s="23">
        <f t="shared" si="36"/>
        <v>69</v>
      </c>
      <c r="J114" s="23">
        <f t="shared" si="36"/>
        <v>65</v>
      </c>
      <c r="K114" s="23">
        <f t="shared" si="36"/>
        <v>73</v>
      </c>
      <c r="L114" s="23">
        <f t="shared" si="36"/>
        <v>380.5</v>
      </c>
      <c r="M114" s="41">
        <f t="shared" si="36"/>
        <v>63.416666666666671</v>
      </c>
      <c r="N114" s="23">
        <f>'11B (N S) Avr'!$I$40</f>
        <v>34</v>
      </c>
      <c r="O114" s="23">
        <f t="shared" si="36"/>
        <v>0</v>
      </c>
      <c r="P114" s="23">
        <f t="shared" si="36"/>
        <v>0</v>
      </c>
      <c r="Q114" s="78"/>
    </row>
    <row r="115" spans="1:17" ht="18" customHeight="1" thickBot="1" x14ac:dyDescent="0.35">
      <c r="A115" s="247">
        <v>38</v>
      </c>
      <c r="B115" s="218"/>
      <c r="C115" s="213">
        <v>16</v>
      </c>
      <c r="D115" s="217" t="s">
        <v>20</v>
      </c>
      <c r="E115" s="24" t="s">
        <v>21</v>
      </c>
      <c r="F115" s="23">
        <f>'11B (S S) Sem1'!E41</f>
        <v>55</v>
      </c>
      <c r="G115" s="23">
        <f>'11B (S S) Sem1'!F41</f>
        <v>50</v>
      </c>
      <c r="H115" s="23">
        <f>'11B (S S) Sem1'!G41</f>
        <v>64</v>
      </c>
      <c r="I115" s="23">
        <f>'11B (S S) Sem1'!H41</f>
        <v>50</v>
      </c>
      <c r="J115" s="23">
        <f>'11B (S S) Sem1'!I41</f>
        <v>56</v>
      </c>
      <c r="K115" s="23">
        <f>'11B (S S) Sem1'!J41</f>
        <v>55</v>
      </c>
      <c r="L115" s="23">
        <f>'11B (S S) Sem1'!K41</f>
        <v>330</v>
      </c>
      <c r="M115" s="192">
        <f>'11B (S S) Sem1'!L41</f>
        <v>55</v>
      </c>
      <c r="N115" s="22">
        <f>'11B (S S) Sem1'!M41</f>
        <v>47</v>
      </c>
      <c r="O115" s="23">
        <f>'11B (S S) Sem1'!N41</f>
        <v>0</v>
      </c>
      <c r="P115" s="29">
        <f>'11B (S S) Sem1'!O41</f>
        <v>0</v>
      </c>
      <c r="Q115" s="78"/>
    </row>
    <row r="116" spans="1:17" ht="21.75" customHeight="1" thickBot="1" x14ac:dyDescent="0.35">
      <c r="A116" s="247"/>
      <c r="B116" s="218"/>
      <c r="C116" s="213">
        <v>16</v>
      </c>
      <c r="D116" s="217" t="s">
        <v>20</v>
      </c>
      <c r="E116" s="24" t="s">
        <v>22</v>
      </c>
      <c r="F116" s="23">
        <f>'11B (S S) Sem2'!E41</f>
        <v>57</v>
      </c>
      <c r="G116" s="23">
        <f>'11B (S S) Sem2'!F41</f>
        <v>55</v>
      </c>
      <c r="H116" s="23">
        <f>'11B (S S) Sem2'!G41</f>
        <v>78</v>
      </c>
      <c r="I116" s="23">
        <f>'11B (S S) Sem2'!H41</f>
        <v>59</v>
      </c>
      <c r="J116" s="23">
        <f>'11B (S S) Sem2'!I41</f>
        <v>77</v>
      </c>
      <c r="K116" s="23">
        <f>'11B (S S) Sem2'!J41</f>
        <v>56</v>
      </c>
      <c r="L116" s="23">
        <f>'11B (S S) Sem2'!K41</f>
        <v>382</v>
      </c>
      <c r="M116" s="192">
        <f>'11B (S S) Sem2'!L41</f>
        <v>63.666666666666664</v>
      </c>
      <c r="N116" s="22">
        <f>'11B (S S) Sem2'!M41</f>
        <v>43</v>
      </c>
      <c r="O116" s="23">
        <f>'11B (S S) Sem2'!N41</f>
        <v>0</v>
      </c>
      <c r="P116" s="29">
        <f>'11B (S S) Sem2'!O41</f>
        <v>0</v>
      </c>
      <c r="Q116" s="78"/>
    </row>
    <row r="117" spans="1:17" ht="20.25" customHeight="1" thickBot="1" x14ac:dyDescent="0.35">
      <c r="A117" s="247"/>
      <c r="B117" s="218"/>
      <c r="C117" s="213">
        <v>16</v>
      </c>
      <c r="D117" s="217" t="s">
        <v>20</v>
      </c>
      <c r="E117" s="24" t="s">
        <v>16</v>
      </c>
      <c r="F117" s="23">
        <f>AVERAGE(F115:F116)</f>
        <v>56</v>
      </c>
      <c r="G117" s="23">
        <f t="shared" ref="G117:P117" si="37">AVERAGE(G115:G116)</f>
        <v>52.5</v>
      </c>
      <c r="H117" s="23">
        <f t="shared" si="37"/>
        <v>71</v>
      </c>
      <c r="I117" s="23">
        <f t="shared" si="37"/>
        <v>54.5</v>
      </c>
      <c r="J117" s="23">
        <f t="shared" si="37"/>
        <v>66.5</v>
      </c>
      <c r="K117" s="23">
        <f t="shared" si="37"/>
        <v>55.5</v>
      </c>
      <c r="L117" s="23">
        <f t="shared" si="37"/>
        <v>356</v>
      </c>
      <c r="M117" s="41">
        <f t="shared" si="37"/>
        <v>59.333333333333329</v>
      </c>
      <c r="N117" s="23">
        <f>'11B (N S) Avr'!$I$41</f>
        <v>47</v>
      </c>
      <c r="O117" s="23">
        <f t="shared" si="37"/>
        <v>0</v>
      </c>
      <c r="P117" s="23">
        <f t="shared" si="37"/>
        <v>0</v>
      </c>
      <c r="Q117" s="78"/>
    </row>
    <row r="118" spans="1:17" ht="21" customHeight="1" thickBot="1" x14ac:dyDescent="0.35">
      <c r="A118" s="247">
        <v>39</v>
      </c>
      <c r="B118" s="218"/>
      <c r="C118" s="213">
        <v>17</v>
      </c>
      <c r="D118" s="217" t="s">
        <v>20</v>
      </c>
      <c r="E118" s="24" t="s">
        <v>21</v>
      </c>
      <c r="F118" s="23">
        <f>'11B (S S) Sem1'!E42</f>
        <v>73</v>
      </c>
      <c r="G118" s="23">
        <f>'11B (S S) Sem1'!F42</f>
        <v>67</v>
      </c>
      <c r="H118" s="23">
        <f>'11B (S S) Sem1'!G42</f>
        <v>63</v>
      </c>
      <c r="I118" s="23">
        <f>'11B (S S) Sem1'!H42</f>
        <v>74</v>
      </c>
      <c r="J118" s="23">
        <f>'11B (S S) Sem1'!I42</f>
        <v>74</v>
      </c>
      <c r="K118" s="23">
        <f>'11B (S S) Sem1'!J42</f>
        <v>84</v>
      </c>
      <c r="L118" s="23">
        <f>'11B (S S) Sem1'!K42</f>
        <v>435</v>
      </c>
      <c r="M118" s="192">
        <f>'11B (S S) Sem1'!L42</f>
        <v>72.5</v>
      </c>
      <c r="N118" s="22">
        <f>'11B (S S) Sem1'!M42</f>
        <v>21</v>
      </c>
      <c r="O118" s="23">
        <f>'11B (S S) Sem1'!N42</f>
        <v>0</v>
      </c>
      <c r="P118" s="29">
        <f>'11B (S S) Sem1'!O42</f>
        <v>0</v>
      </c>
      <c r="Q118" s="78"/>
    </row>
    <row r="119" spans="1:17" ht="20.25" customHeight="1" thickBot="1" x14ac:dyDescent="0.35">
      <c r="A119" s="247"/>
      <c r="B119" s="218"/>
      <c r="C119" s="213">
        <v>17</v>
      </c>
      <c r="D119" s="217" t="s">
        <v>20</v>
      </c>
      <c r="E119" s="24" t="s">
        <v>22</v>
      </c>
      <c r="F119" s="23">
        <f>'11B (S S) Sem2'!E42</f>
        <v>66</v>
      </c>
      <c r="G119" s="23">
        <f>'11B (S S) Sem2'!F42</f>
        <v>65</v>
      </c>
      <c r="H119" s="23">
        <f>'11B (S S) Sem2'!G42</f>
        <v>78</v>
      </c>
      <c r="I119" s="23">
        <f>'11B (S S) Sem2'!H42</f>
        <v>64</v>
      </c>
      <c r="J119" s="23">
        <f>'11B (S S) Sem2'!I42</f>
        <v>87</v>
      </c>
      <c r="K119" s="23">
        <f>'11B (S S) Sem2'!J42</f>
        <v>74</v>
      </c>
      <c r="L119" s="23">
        <f>'11B (S S) Sem2'!K42</f>
        <v>434</v>
      </c>
      <c r="M119" s="192">
        <f>'11B (S S) Sem2'!L42</f>
        <v>72.333333333333329</v>
      </c>
      <c r="N119" s="22">
        <f>'11B (S S) Sem2'!M42</f>
        <v>27</v>
      </c>
      <c r="O119" s="23">
        <f>'11B (S S) Sem2'!N42</f>
        <v>0</v>
      </c>
      <c r="P119" s="29">
        <f>'11B (S S) Sem2'!O42</f>
        <v>0</v>
      </c>
      <c r="Q119" s="78"/>
    </row>
    <row r="120" spans="1:17" ht="20.25" customHeight="1" thickBot="1" x14ac:dyDescent="0.35">
      <c r="A120" s="247"/>
      <c r="B120" s="218"/>
      <c r="C120" s="213">
        <v>17</v>
      </c>
      <c r="D120" s="217" t="s">
        <v>20</v>
      </c>
      <c r="E120" s="24" t="s">
        <v>16</v>
      </c>
      <c r="F120" s="23">
        <f>AVERAGE(F118:F119)</f>
        <v>69.5</v>
      </c>
      <c r="G120" s="23">
        <f t="shared" ref="G120:P120" si="38">AVERAGE(G118:G119)</f>
        <v>66</v>
      </c>
      <c r="H120" s="23">
        <f t="shared" si="38"/>
        <v>70.5</v>
      </c>
      <c r="I120" s="23">
        <f t="shared" si="38"/>
        <v>69</v>
      </c>
      <c r="J120" s="23">
        <f t="shared" si="38"/>
        <v>80.5</v>
      </c>
      <c r="K120" s="23">
        <f t="shared" si="38"/>
        <v>79</v>
      </c>
      <c r="L120" s="23">
        <f t="shared" si="38"/>
        <v>434.5</v>
      </c>
      <c r="M120" s="41">
        <f t="shared" si="38"/>
        <v>72.416666666666657</v>
      </c>
      <c r="N120" s="23">
        <f>'11B (N S) Avr'!$I$42</f>
        <v>24</v>
      </c>
      <c r="O120" s="23">
        <f t="shared" si="38"/>
        <v>0</v>
      </c>
      <c r="P120" s="23">
        <f t="shared" si="38"/>
        <v>0</v>
      </c>
      <c r="Q120" s="78"/>
    </row>
    <row r="121" spans="1:17" ht="20.25" customHeight="1" thickBot="1" x14ac:dyDescent="0.35">
      <c r="A121" s="247">
        <v>40</v>
      </c>
      <c r="B121" s="218"/>
      <c r="C121" s="213">
        <v>17</v>
      </c>
      <c r="D121" s="217" t="s">
        <v>20</v>
      </c>
      <c r="E121" s="24" t="s">
        <v>21</v>
      </c>
      <c r="F121" s="23">
        <f>'11B (S S) Sem1'!E43</f>
        <v>60</v>
      </c>
      <c r="G121" s="23">
        <f>'11B (S S) Sem1'!F43</f>
        <v>41</v>
      </c>
      <c r="H121" s="23">
        <f>'11B (S S) Sem1'!G43</f>
        <v>54</v>
      </c>
      <c r="I121" s="23">
        <f>'11B (S S) Sem1'!H43</f>
        <v>56</v>
      </c>
      <c r="J121" s="23">
        <f>'11B (S S) Sem1'!I43</f>
        <v>59</v>
      </c>
      <c r="K121" s="23">
        <f>'11B (S S) Sem1'!J43</f>
        <v>66</v>
      </c>
      <c r="L121" s="23">
        <f>'11B (S S) Sem1'!K43</f>
        <v>336</v>
      </c>
      <c r="M121" s="192">
        <f>'11B (S S) Sem1'!L43</f>
        <v>56</v>
      </c>
      <c r="N121" s="22">
        <f>'11B (S S) Sem1'!M43</f>
        <v>44</v>
      </c>
      <c r="O121" s="23">
        <f>'11B (S S) Sem1'!N43</f>
        <v>0</v>
      </c>
      <c r="P121" s="29">
        <f>'11B (S S) Sem1'!O43</f>
        <v>0</v>
      </c>
      <c r="Q121" s="78"/>
    </row>
    <row r="122" spans="1:17" ht="18" customHeight="1" thickBot="1" x14ac:dyDescent="0.35">
      <c r="A122" s="247"/>
      <c r="B122" s="218"/>
      <c r="C122" s="213">
        <v>17</v>
      </c>
      <c r="D122" s="217" t="s">
        <v>20</v>
      </c>
      <c r="E122" s="24" t="s">
        <v>22</v>
      </c>
      <c r="F122" s="23">
        <f>'11B (S S) Sem2'!E43</f>
        <v>65</v>
      </c>
      <c r="G122" s="23">
        <f>'11B (S S) Sem2'!F43</f>
        <v>63</v>
      </c>
      <c r="H122" s="23">
        <f>'11B (S S) Sem2'!G43</f>
        <v>72</v>
      </c>
      <c r="I122" s="23">
        <f>'11B (S S) Sem2'!H43</f>
        <v>57</v>
      </c>
      <c r="J122" s="23">
        <f>'11B (S S) Sem2'!I43</f>
        <v>66</v>
      </c>
      <c r="K122" s="23">
        <f>'11B (S S) Sem2'!J43</f>
        <v>73</v>
      </c>
      <c r="L122" s="23">
        <f>'11B (S S) Sem2'!K43</f>
        <v>396</v>
      </c>
      <c r="M122" s="192">
        <f>'11B (S S) Sem2'!L43</f>
        <v>66</v>
      </c>
      <c r="N122" s="22">
        <f>'11B (S S) Sem2'!M43</f>
        <v>37</v>
      </c>
      <c r="O122" s="23">
        <f>'11B (S S) Sem2'!N43</f>
        <v>0</v>
      </c>
      <c r="P122" s="29">
        <f>'11B (S S) Sem2'!O43</f>
        <v>0</v>
      </c>
      <c r="Q122" s="78"/>
    </row>
    <row r="123" spans="1:17" ht="19.5" customHeight="1" thickBot="1" x14ac:dyDescent="0.35">
      <c r="A123" s="247"/>
      <c r="B123" s="218"/>
      <c r="C123" s="213">
        <v>17</v>
      </c>
      <c r="D123" s="217" t="s">
        <v>20</v>
      </c>
      <c r="E123" s="24" t="s">
        <v>16</v>
      </c>
      <c r="F123" s="23">
        <f>AVERAGE(F121:F122)</f>
        <v>62.5</v>
      </c>
      <c r="G123" s="23">
        <f t="shared" ref="G123:P123" si="39">AVERAGE(G121:G122)</f>
        <v>52</v>
      </c>
      <c r="H123" s="23">
        <f t="shared" si="39"/>
        <v>63</v>
      </c>
      <c r="I123" s="23">
        <f t="shared" si="39"/>
        <v>56.5</v>
      </c>
      <c r="J123" s="23">
        <f t="shared" si="39"/>
        <v>62.5</v>
      </c>
      <c r="K123" s="23">
        <f t="shared" si="39"/>
        <v>69.5</v>
      </c>
      <c r="L123" s="23">
        <f t="shared" si="39"/>
        <v>366</v>
      </c>
      <c r="M123" s="41">
        <f t="shared" si="39"/>
        <v>61</v>
      </c>
      <c r="N123" s="23">
        <f>'11B (N S) Avr'!$I$43</f>
        <v>39</v>
      </c>
      <c r="O123" s="23">
        <f t="shared" si="39"/>
        <v>0</v>
      </c>
      <c r="P123" s="23">
        <f t="shared" si="39"/>
        <v>0</v>
      </c>
      <c r="Q123" s="78"/>
    </row>
    <row r="124" spans="1:17" ht="21" customHeight="1" thickBot="1" x14ac:dyDescent="0.35">
      <c r="A124" s="247">
        <v>41</v>
      </c>
      <c r="B124" s="218"/>
      <c r="C124" s="213">
        <v>17</v>
      </c>
      <c r="D124" s="217" t="s">
        <v>20</v>
      </c>
      <c r="E124" s="24" t="s">
        <v>21</v>
      </c>
      <c r="F124" s="23">
        <f>'11B (S S) Sem1'!E44</f>
        <v>77</v>
      </c>
      <c r="G124" s="23">
        <f>'11B (S S) Sem1'!F44</f>
        <v>65</v>
      </c>
      <c r="H124" s="23">
        <f>'11B (S S) Sem1'!G44</f>
        <v>83</v>
      </c>
      <c r="I124" s="23">
        <f>'11B (S S) Sem1'!H44</f>
        <v>90</v>
      </c>
      <c r="J124" s="23">
        <f>'11B (S S) Sem1'!I44</f>
        <v>84</v>
      </c>
      <c r="K124" s="23">
        <f>'11B (S S) Sem1'!J44</f>
        <v>95</v>
      </c>
      <c r="L124" s="23">
        <f>'11B (S S) Sem1'!K44</f>
        <v>494</v>
      </c>
      <c r="M124" s="192">
        <f>'11B (S S) Sem1'!L44</f>
        <v>82.333333333333329</v>
      </c>
      <c r="N124" s="22">
        <f>'11B (S S) Sem1'!M44</f>
        <v>9</v>
      </c>
      <c r="O124" s="23">
        <f>'11B (S S) Sem1'!N44</f>
        <v>0</v>
      </c>
      <c r="P124" s="29">
        <f>'11B (S S) Sem1'!O44</f>
        <v>0</v>
      </c>
      <c r="Q124" s="78"/>
    </row>
    <row r="125" spans="1:17" ht="20.25" customHeight="1" thickBot="1" x14ac:dyDescent="0.35">
      <c r="A125" s="247"/>
      <c r="B125" s="218"/>
      <c r="C125" s="213">
        <v>17</v>
      </c>
      <c r="D125" s="217" t="s">
        <v>20</v>
      </c>
      <c r="E125" s="24" t="s">
        <v>22</v>
      </c>
      <c r="F125" s="23">
        <f>'11B (S S) Sem2'!E44</f>
        <v>79</v>
      </c>
      <c r="G125" s="23">
        <f>'11B (S S) Sem2'!F44</f>
        <v>72</v>
      </c>
      <c r="H125" s="23">
        <f>'11B (S S) Sem2'!G44</f>
        <v>82</v>
      </c>
      <c r="I125" s="23">
        <f>'11B (S S) Sem2'!H44</f>
        <v>99</v>
      </c>
      <c r="J125" s="23">
        <f>'11B (S S) Sem2'!I44</f>
        <v>92</v>
      </c>
      <c r="K125" s="23">
        <f>'11B (S S) Sem2'!J44</f>
        <v>83</v>
      </c>
      <c r="L125" s="23">
        <f>'11B (S S) Sem2'!K44</f>
        <v>507</v>
      </c>
      <c r="M125" s="192">
        <f>'11B (S S) Sem2'!L44</f>
        <v>84.5</v>
      </c>
      <c r="N125" s="22">
        <f>'11B (S S) Sem2'!M44</f>
        <v>11</v>
      </c>
      <c r="O125" s="23">
        <f>'11B (S S) Sem2'!N44</f>
        <v>0</v>
      </c>
      <c r="P125" s="29">
        <f>'11B (S S) Sem2'!O44</f>
        <v>0</v>
      </c>
      <c r="Q125" s="78"/>
    </row>
    <row r="126" spans="1:17" ht="18.75" customHeight="1" thickBot="1" x14ac:dyDescent="0.35">
      <c r="A126" s="247"/>
      <c r="B126" s="218"/>
      <c r="C126" s="213">
        <v>17</v>
      </c>
      <c r="D126" s="217" t="s">
        <v>20</v>
      </c>
      <c r="E126" s="24" t="s">
        <v>16</v>
      </c>
      <c r="F126" s="23">
        <f>AVERAGE(F124:F125)</f>
        <v>78</v>
      </c>
      <c r="G126" s="23">
        <f t="shared" ref="G126:P126" si="40">AVERAGE(G124:G125)</f>
        <v>68.5</v>
      </c>
      <c r="H126" s="23">
        <f t="shared" si="40"/>
        <v>82.5</v>
      </c>
      <c r="I126" s="23">
        <f t="shared" si="40"/>
        <v>94.5</v>
      </c>
      <c r="J126" s="23">
        <f t="shared" si="40"/>
        <v>88</v>
      </c>
      <c r="K126" s="23">
        <f t="shared" si="40"/>
        <v>89</v>
      </c>
      <c r="L126" s="23">
        <f t="shared" si="40"/>
        <v>500.5</v>
      </c>
      <c r="M126" s="41">
        <f t="shared" si="40"/>
        <v>83.416666666666657</v>
      </c>
      <c r="N126" s="23">
        <f>'11B (N S) Avr'!$I$44</f>
        <v>8</v>
      </c>
      <c r="O126" s="23">
        <f t="shared" si="40"/>
        <v>0</v>
      </c>
      <c r="P126" s="23">
        <f t="shared" si="40"/>
        <v>0</v>
      </c>
      <c r="Q126" s="78"/>
    </row>
    <row r="127" spans="1:17" ht="18.75" customHeight="1" thickBot="1" x14ac:dyDescent="0.35">
      <c r="A127" s="247">
        <v>42</v>
      </c>
      <c r="B127" s="218"/>
      <c r="C127" s="213">
        <v>18</v>
      </c>
      <c r="D127" s="217" t="s">
        <v>20</v>
      </c>
      <c r="E127" s="24" t="s">
        <v>21</v>
      </c>
      <c r="F127" s="23">
        <f>'11B (S S) Sem1'!E45</f>
        <v>73</v>
      </c>
      <c r="G127" s="23">
        <f>'11B (S S) Sem1'!F45</f>
        <v>79</v>
      </c>
      <c r="H127" s="23">
        <f>'11B (S S) Sem1'!G45</f>
        <v>60</v>
      </c>
      <c r="I127" s="23">
        <f>'11B (S S) Sem1'!H45</f>
        <v>67</v>
      </c>
      <c r="J127" s="23">
        <f>'11B (S S) Sem1'!I45</f>
        <v>65</v>
      </c>
      <c r="K127" s="23">
        <f>'11B (S S) Sem1'!J45</f>
        <v>85</v>
      </c>
      <c r="L127" s="23">
        <f>'11B (S S) Sem1'!K45</f>
        <v>429</v>
      </c>
      <c r="M127" s="192">
        <f>'11B (S S) Sem1'!L45</f>
        <v>71.5</v>
      </c>
      <c r="N127" s="22">
        <f>'11B (S S) Sem1'!M45</f>
        <v>22</v>
      </c>
      <c r="O127" s="23">
        <f>'11B (S S) Sem1'!N45</f>
        <v>0</v>
      </c>
      <c r="P127" s="29">
        <f>'11B (S S) Sem1'!O45</f>
        <v>0</v>
      </c>
      <c r="Q127" s="78"/>
    </row>
    <row r="128" spans="1:17" ht="20.25" customHeight="1" thickBot="1" x14ac:dyDescent="0.35">
      <c r="A128" s="247"/>
      <c r="B128" s="218"/>
      <c r="C128" s="213">
        <v>18</v>
      </c>
      <c r="D128" s="217" t="s">
        <v>20</v>
      </c>
      <c r="E128" s="24" t="s">
        <v>22</v>
      </c>
      <c r="F128" s="23">
        <f>'11B (S S) Sem2'!E45</f>
        <v>80</v>
      </c>
      <c r="G128" s="23">
        <f>'11B (S S) Sem2'!F45</f>
        <v>69</v>
      </c>
      <c r="H128" s="23">
        <f>'11B (S S) Sem2'!G45</f>
        <v>77</v>
      </c>
      <c r="I128" s="23">
        <f>'11B (S S) Sem2'!H45</f>
        <v>83</v>
      </c>
      <c r="J128" s="23">
        <f>'11B (S S) Sem2'!I45</f>
        <v>87</v>
      </c>
      <c r="K128" s="23">
        <f>'11B (S S) Sem2'!J45</f>
        <v>78</v>
      </c>
      <c r="L128" s="23">
        <f>'11B (S S) Sem2'!K45</f>
        <v>474</v>
      </c>
      <c r="M128" s="192">
        <f>'11B (S S) Sem2'!L45</f>
        <v>79</v>
      </c>
      <c r="N128" s="22">
        <f>'11B (S S) Sem2'!M45</f>
        <v>18</v>
      </c>
      <c r="O128" s="23">
        <f>'11B (S S) Sem2'!N45</f>
        <v>0</v>
      </c>
      <c r="P128" s="29">
        <f>'11B (S S) Sem2'!O45</f>
        <v>0</v>
      </c>
      <c r="Q128" s="78"/>
    </row>
    <row r="129" spans="1:17" ht="17.25" customHeight="1" thickBot="1" x14ac:dyDescent="0.35">
      <c r="A129" s="247"/>
      <c r="B129" s="218"/>
      <c r="C129" s="213">
        <v>18</v>
      </c>
      <c r="D129" s="217" t="s">
        <v>20</v>
      </c>
      <c r="E129" s="24" t="s">
        <v>16</v>
      </c>
      <c r="F129" s="23">
        <f>AVERAGE(F127:F128)</f>
        <v>76.5</v>
      </c>
      <c r="G129" s="23">
        <f t="shared" ref="G129:P129" si="41">AVERAGE(G127:G128)</f>
        <v>74</v>
      </c>
      <c r="H129" s="23">
        <f t="shared" si="41"/>
        <v>68.5</v>
      </c>
      <c r="I129" s="23">
        <f t="shared" si="41"/>
        <v>75</v>
      </c>
      <c r="J129" s="23">
        <f t="shared" si="41"/>
        <v>76</v>
      </c>
      <c r="K129" s="23">
        <f t="shared" si="41"/>
        <v>81.5</v>
      </c>
      <c r="L129" s="23">
        <f t="shared" si="41"/>
        <v>451.5</v>
      </c>
      <c r="M129" s="41">
        <f t="shared" si="41"/>
        <v>75.25</v>
      </c>
      <c r="N129" s="23">
        <f>'11B (N S) Avr'!$I$45</f>
        <v>20</v>
      </c>
      <c r="O129" s="23">
        <f t="shared" si="41"/>
        <v>0</v>
      </c>
      <c r="P129" s="23">
        <f t="shared" si="41"/>
        <v>0</v>
      </c>
      <c r="Q129" s="78"/>
    </row>
    <row r="130" spans="1:17" ht="19.5" customHeight="1" thickBot="1" x14ac:dyDescent="0.35">
      <c r="A130" s="247">
        <v>43</v>
      </c>
      <c r="B130" s="218"/>
      <c r="C130" s="213">
        <v>16</v>
      </c>
      <c r="D130" s="217" t="s">
        <v>20</v>
      </c>
      <c r="E130" s="24" t="s">
        <v>21</v>
      </c>
      <c r="F130" s="23">
        <f>'11B (S S) Sem1'!E46</f>
        <v>72</v>
      </c>
      <c r="G130" s="23">
        <f>'11B (S S) Sem1'!F46</f>
        <v>50</v>
      </c>
      <c r="H130" s="23">
        <f>'11B (S S) Sem1'!G46</f>
        <v>50</v>
      </c>
      <c r="I130" s="23">
        <f>'11B (S S) Sem1'!H46</f>
        <v>44</v>
      </c>
      <c r="J130" s="23">
        <f>'11B (S S) Sem1'!I46</f>
        <v>57</v>
      </c>
      <c r="K130" s="23">
        <f>'11B (S S) Sem1'!J46</f>
        <v>86</v>
      </c>
      <c r="L130" s="23">
        <f>'11B (S S) Sem1'!K46</f>
        <v>359</v>
      </c>
      <c r="M130" s="192">
        <f>'11B (S S) Sem1'!L46</f>
        <v>59.833333333333336</v>
      </c>
      <c r="N130" s="22">
        <f>'11B (S S) Sem1'!M46</f>
        <v>33</v>
      </c>
      <c r="O130" s="23">
        <f>'11B (S S) Sem1'!N46</f>
        <v>0</v>
      </c>
      <c r="P130" s="29">
        <f>'11B (S S) Sem1'!O46</f>
        <v>0</v>
      </c>
      <c r="Q130" s="78"/>
    </row>
    <row r="131" spans="1:17" ht="21" customHeight="1" thickBot="1" x14ac:dyDescent="0.35">
      <c r="A131" s="247"/>
      <c r="B131" s="218"/>
      <c r="C131" s="213">
        <v>16</v>
      </c>
      <c r="D131" s="217" t="s">
        <v>20</v>
      </c>
      <c r="E131" s="24" t="s">
        <v>22</v>
      </c>
      <c r="F131" s="23">
        <f>'11B (S S) Sem2'!E46</f>
        <v>77</v>
      </c>
      <c r="G131" s="23">
        <f>'11B (S S) Sem2'!F46</f>
        <v>59</v>
      </c>
      <c r="H131" s="23">
        <f>'11B (S S) Sem2'!G46</f>
        <v>50</v>
      </c>
      <c r="I131" s="23">
        <f>'11B (S S) Sem2'!H46</f>
        <v>36</v>
      </c>
      <c r="J131" s="23">
        <f>'11B (S S) Sem2'!I46</f>
        <v>52</v>
      </c>
      <c r="K131" s="23">
        <f>'11B (S S) Sem2'!J46</f>
        <v>78</v>
      </c>
      <c r="L131" s="23">
        <f>'11B (S S) Sem2'!K46</f>
        <v>352</v>
      </c>
      <c r="M131" s="192">
        <f>'11B (S S) Sem2'!L46</f>
        <v>58.666666666666664</v>
      </c>
      <c r="N131" s="22">
        <f>'11B (S S) Sem2'!M46</f>
        <v>50</v>
      </c>
      <c r="O131" s="23">
        <f>'11B (S S) Sem2'!N46</f>
        <v>0</v>
      </c>
      <c r="P131" s="29">
        <f>'11B (S S) Sem2'!O46</f>
        <v>0</v>
      </c>
      <c r="Q131" s="78"/>
    </row>
    <row r="132" spans="1:17" ht="19.5" customHeight="1" thickBot="1" x14ac:dyDescent="0.35">
      <c r="A132" s="247"/>
      <c r="B132" s="218"/>
      <c r="C132" s="213">
        <v>16</v>
      </c>
      <c r="D132" s="217" t="s">
        <v>20</v>
      </c>
      <c r="E132" s="24" t="s">
        <v>16</v>
      </c>
      <c r="F132" s="23">
        <f>AVERAGE(F130:F131)</f>
        <v>74.5</v>
      </c>
      <c r="G132" s="23">
        <f t="shared" ref="G132:P132" si="42">AVERAGE(G130:G131)</f>
        <v>54.5</v>
      </c>
      <c r="H132" s="23">
        <f t="shared" si="42"/>
        <v>50</v>
      </c>
      <c r="I132" s="23">
        <f t="shared" si="42"/>
        <v>40</v>
      </c>
      <c r="J132" s="23">
        <f t="shared" si="42"/>
        <v>54.5</v>
      </c>
      <c r="K132" s="23">
        <f t="shared" si="42"/>
        <v>82</v>
      </c>
      <c r="L132" s="23">
        <f t="shared" si="42"/>
        <v>355.5</v>
      </c>
      <c r="M132" s="41">
        <f t="shared" si="42"/>
        <v>59.25</v>
      </c>
      <c r="N132" s="23">
        <f>'11B (N S) Avr'!$I$46</f>
        <v>48</v>
      </c>
      <c r="O132" s="23">
        <f t="shared" si="42"/>
        <v>0</v>
      </c>
      <c r="P132" s="23">
        <f t="shared" si="42"/>
        <v>0</v>
      </c>
      <c r="Q132" s="78"/>
    </row>
    <row r="133" spans="1:17" ht="19.5" customHeight="1" thickBot="1" x14ac:dyDescent="0.35">
      <c r="A133" s="247">
        <v>44</v>
      </c>
      <c r="B133" s="218"/>
      <c r="C133" s="213">
        <v>16</v>
      </c>
      <c r="D133" s="217" t="s">
        <v>23</v>
      </c>
      <c r="E133" s="24" t="s">
        <v>21</v>
      </c>
      <c r="F133" s="23">
        <f>'11B (S S) Sem1'!E47</f>
        <v>70</v>
      </c>
      <c r="G133" s="23">
        <f>'11B (S S) Sem1'!F47</f>
        <v>65</v>
      </c>
      <c r="H133" s="23">
        <f>'11B (S S) Sem1'!G47</f>
        <v>82</v>
      </c>
      <c r="I133" s="23">
        <f>'11B (S S) Sem1'!H47</f>
        <v>82</v>
      </c>
      <c r="J133" s="23">
        <f>'11B (S S) Sem1'!I47</f>
        <v>77</v>
      </c>
      <c r="K133" s="23">
        <f>'11B (S S) Sem1'!J47</f>
        <v>85</v>
      </c>
      <c r="L133" s="23">
        <f>'11B (S S) Sem1'!K47</f>
        <v>461</v>
      </c>
      <c r="M133" s="192">
        <f>'11B (S S) Sem1'!L47</f>
        <v>76.833333333333329</v>
      </c>
      <c r="N133" s="22">
        <f>'11B (S S) Sem1'!M47</f>
        <v>16</v>
      </c>
      <c r="O133" s="23">
        <f>'11B (S S) Sem1'!N47</f>
        <v>0</v>
      </c>
      <c r="P133" s="29">
        <f>'11B (S S) Sem1'!O47</f>
        <v>0</v>
      </c>
      <c r="Q133" s="78"/>
    </row>
    <row r="134" spans="1:17" ht="20.25" customHeight="1" thickBot="1" x14ac:dyDescent="0.35">
      <c r="A134" s="247"/>
      <c r="B134" s="218"/>
      <c r="C134" s="213">
        <v>16</v>
      </c>
      <c r="D134" s="217" t="s">
        <v>23</v>
      </c>
      <c r="E134" s="24" t="s">
        <v>22</v>
      </c>
      <c r="F134" s="23">
        <f>'11B (S S) Sem2'!E47</f>
        <v>65</v>
      </c>
      <c r="G134" s="23">
        <f>'11B (S S) Sem2'!F47</f>
        <v>67</v>
      </c>
      <c r="H134" s="23">
        <f>'11B (S S) Sem2'!G47</f>
        <v>84</v>
      </c>
      <c r="I134" s="23">
        <f>'11B (S S) Sem2'!H47</f>
        <v>99</v>
      </c>
      <c r="J134" s="23">
        <f>'11B (S S) Sem2'!I47</f>
        <v>92</v>
      </c>
      <c r="K134" s="23">
        <f>'11B (S S) Sem2'!J47</f>
        <v>92</v>
      </c>
      <c r="L134" s="23">
        <f>'11B (S S) Sem2'!K47</f>
        <v>499</v>
      </c>
      <c r="M134" s="192">
        <f>'11B (S S) Sem2'!L47</f>
        <v>83.166666666666671</v>
      </c>
      <c r="N134" s="22">
        <f>'11B (S S) Sem2'!M47</f>
        <v>14</v>
      </c>
      <c r="O134" s="23">
        <f>'11B (S S) Sem2'!N47</f>
        <v>0</v>
      </c>
      <c r="P134" s="29">
        <f>'11B (S S) Sem2'!O47</f>
        <v>0</v>
      </c>
      <c r="Q134" s="78"/>
    </row>
    <row r="135" spans="1:17" ht="21" customHeight="1" thickBot="1" x14ac:dyDescent="0.35">
      <c r="A135" s="247"/>
      <c r="B135" s="218"/>
      <c r="C135" s="213">
        <v>16</v>
      </c>
      <c r="D135" s="217" t="s">
        <v>23</v>
      </c>
      <c r="E135" s="24" t="s">
        <v>16</v>
      </c>
      <c r="F135" s="23">
        <f>AVERAGE(F133:F134)</f>
        <v>67.5</v>
      </c>
      <c r="G135" s="23">
        <f t="shared" ref="G135:P135" si="43">AVERAGE(G133:G134)</f>
        <v>66</v>
      </c>
      <c r="H135" s="23">
        <f t="shared" si="43"/>
        <v>83</v>
      </c>
      <c r="I135" s="23">
        <f t="shared" si="43"/>
        <v>90.5</v>
      </c>
      <c r="J135" s="23">
        <f t="shared" si="43"/>
        <v>84.5</v>
      </c>
      <c r="K135" s="23">
        <f t="shared" si="43"/>
        <v>88.5</v>
      </c>
      <c r="L135" s="23">
        <f t="shared" si="43"/>
        <v>480</v>
      </c>
      <c r="M135" s="41">
        <f t="shared" si="43"/>
        <v>80</v>
      </c>
      <c r="N135" s="23">
        <f>'11B (N S) Avr'!$I$47</f>
        <v>15</v>
      </c>
      <c r="O135" s="23">
        <f t="shared" si="43"/>
        <v>0</v>
      </c>
      <c r="P135" s="23">
        <f t="shared" si="43"/>
        <v>0</v>
      </c>
      <c r="Q135" s="78"/>
    </row>
    <row r="136" spans="1:17" ht="18.75" customHeight="1" thickBot="1" x14ac:dyDescent="0.35">
      <c r="A136" s="261">
        <v>45</v>
      </c>
      <c r="B136" s="262"/>
      <c r="C136" s="263">
        <v>17</v>
      </c>
      <c r="D136" s="264" t="s">
        <v>23</v>
      </c>
      <c r="E136" s="202" t="s">
        <v>21</v>
      </c>
      <c r="F136" s="203">
        <f>'11B (S S) Sem1'!E48</f>
        <v>54</v>
      </c>
      <c r="G136" s="203">
        <f>'11B (S S) Sem1'!F48</f>
        <v>52</v>
      </c>
      <c r="H136" s="203">
        <f>'11B (S S) Sem1'!G48</f>
        <v>56</v>
      </c>
      <c r="I136" s="203">
        <f>'11B (S S) Sem1'!H48</f>
        <v>55</v>
      </c>
      <c r="J136" s="203">
        <f>'11B (S S) Sem1'!I48</f>
        <v>57</v>
      </c>
      <c r="K136" s="203">
        <f>'11B (S S) Sem1'!J48</f>
        <v>70</v>
      </c>
      <c r="L136" s="203">
        <f>'11B (S S) Sem1'!K48</f>
        <v>344</v>
      </c>
      <c r="M136" s="204">
        <f>'11B (S S) Sem1'!L48</f>
        <v>57.333333333333336</v>
      </c>
      <c r="N136" s="205">
        <f>'11B (S S) Sem1'!M48</f>
        <v>41</v>
      </c>
      <c r="O136" s="203">
        <f>'11B (S S) Sem1'!N48</f>
        <v>0</v>
      </c>
      <c r="P136" s="205">
        <f>'11B (S S) Sem1'!O48</f>
        <v>0</v>
      </c>
      <c r="Q136" s="78"/>
    </row>
    <row r="137" spans="1:17" ht="18.75" customHeight="1" thickBot="1" x14ac:dyDescent="0.35">
      <c r="A137" s="261"/>
      <c r="B137" s="262"/>
      <c r="C137" s="263">
        <v>17</v>
      </c>
      <c r="D137" s="264" t="s">
        <v>23</v>
      </c>
      <c r="E137" s="202" t="s">
        <v>22</v>
      </c>
      <c r="F137" s="203">
        <f>'11B (S S) Sem2'!E48</f>
        <v>61</v>
      </c>
      <c r="G137" s="203">
        <f>'11B (S S) Sem2'!F48</f>
        <v>61</v>
      </c>
      <c r="H137" s="203">
        <f>'11B (S S) Sem2'!G48</f>
        <v>61</v>
      </c>
      <c r="I137" s="203">
        <f>'11B (S S) Sem2'!H48</f>
        <v>51</v>
      </c>
      <c r="J137" s="203">
        <f>'11B (S S) Sem2'!I48</f>
        <v>66</v>
      </c>
      <c r="K137" s="203">
        <f>'11B (S S) Sem2'!J48</f>
        <v>81</v>
      </c>
      <c r="L137" s="203">
        <f>'11B (S S) Sem2'!K48</f>
        <v>381</v>
      </c>
      <c r="M137" s="204">
        <f>'11B (S S) Sem2'!L48</f>
        <v>63.5</v>
      </c>
      <c r="N137" s="205">
        <f>'11B (S S) Sem2'!M48</f>
        <v>44</v>
      </c>
      <c r="O137" s="203">
        <f>'11B (S S) Sem2'!N48</f>
        <v>0</v>
      </c>
      <c r="P137" s="205">
        <f>'11B (S S) Sem2'!O48</f>
        <v>0</v>
      </c>
      <c r="Q137" s="78"/>
    </row>
    <row r="138" spans="1:17" ht="20.25" customHeight="1" thickBot="1" x14ac:dyDescent="0.35">
      <c r="A138" s="261"/>
      <c r="B138" s="262"/>
      <c r="C138" s="263">
        <v>17</v>
      </c>
      <c r="D138" s="264" t="s">
        <v>23</v>
      </c>
      <c r="E138" s="202" t="s">
        <v>16</v>
      </c>
      <c r="F138" s="203">
        <f>AVERAGE(F136:F137)</f>
        <v>57.5</v>
      </c>
      <c r="G138" s="203">
        <f t="shared" ref="G138:P138" si="44">AVERAGE(G136:G137)</f>
        <v>56.5</v>
      </c>
      <c r="H138" s="203">
        <f t="shared" si="44"/>
        <v>58.5</v>
      </c>
      <c r="I138" s="203">
        <f t="shared" si="44"/>
        <v>53</v>
      </c>
      <c r="J138" s="203">
        <f t="shared" si="44"/>
        <v>61.5</v>
      </c>
      <c r="K138" s="203">
        <f t="shared" si="44"/>
        <v>75.5</v>
      </c>
      <c r="L138" s="203">
        <f t="shared" si="44"/>
        <v>362.5</v>
      </c>
      <c r="M138" s="206">
        <f t="shared" si="44"/>
        <v>60.416666666666671</v>
      </c>
      <c r="N138" s="203">
        <f>'11B (N S) Avr'!$I$48</f>
        <v>42</v>
      </c>
      <c r="O138" s="203">
        <f t="shared" si="44"/>
        <v>0</v>
      </c>
      <c r="P138" s="203">
        <f t="shared" si="44"/>
        <v>0</v>
      </c>
      <c r="Q138" s="78"/>
    </row>
    <row r="139" spans="1:17" ht="20.25" customHeight="1" thickBot="1" x14ac:dyDescent="0.35">
      <c r="A139" s="247">
        <v>46</v>
      </c>
      <c r="B139" s="218"/>
      <c r="C139" s="213">
        <v>17</v>
      </c>
      <c r="D139" s="217" t="s">
        <v>23</v>
      </c>
      <c r="E139" s="24" t="s">
        <v>21</v>
      </c>
      <c r="F139" s="23">
        <f>'11B (S S) Sem1'!E49</f>
        <v>77</v>
      </c>
      <c r="G139" s="23">
        <f>'11B (S S) Sem1'!F49</f>
        <v>97</v>
      </c>
      <c r="H139" s="23">
        <f>'11B (S S) Sem1'!G49</f>
        <v>94</v>
      </c>
      <c r="I139" s="23">
        <f>'11B (S S) Sem1'!H49</f>
        <v>98</v>
      </c>
      <c r="J139" s="23">
        <f>'11B (S S) Sem1'!I49</f>
        <v>95</v>
      </c>
      <c r="K139" s="23">
        <f>'11B (S S) Sem1'!J49</f>
        <v>100</v>
      </c>
      <c r="L139" s="23">
        <f>'11B (S S) Sem1'!K49</f>
        <v>561</v>
      </c>
      <c r="M139" s="192">
        <f>'11B (S S) Sem1'!L49</f>
        <v>93.5</v>
      </c>
      <c r="N139" s="22">
        <f>'11B (S S) Sem1'!M49</f>
        <v>1</v>
      </c>
      <c r="O139" s="23">
        <f>'11B (S S) Sem1'!N49</f>
        <v>0</v>
      </c>
      <c r="P139" s="29">
        <f>'11B (S S) Sem1'!O49</f>
        <v>0</v>
      </c>
      <c r="Q139" s="78"/>
    </row>
    <row r="140" spans="1:17" ht="19.5" customHeight="1" thickBot="1" x14ac:dyDescent="0.35">
      <c r="A140" s="247"/>
      <c r="B140" s="218"/>
      <c r="C140" s="213">
        <v>17</v>
      </c>
      <c r="D140" s="217" t="s">
        <v>23</v>
      </c>
      <c r="E140" s="24" t="s">
        <v>22</v>
      </c>
      <c r="F140" s="23">
        <f>'11B (S S) Sem2'!E49</f>
        <v>82</v>
      </c>
      <c r="G140" s="23">
        <f>'11B (S S) Sem2'!F49</f>
        <v>89</v>
      </c>
      <c r="H140" s="23">
        <f>'11B (S S) Sem2'!G49</f>
        <v>95</v>
      </c>
      <c r="I140" s="23">
        <f>'11B (S S) Sem2'!H49</f>
        <v>97</v>
      </c>
      <c r="J140" s="23">
        <f>'11B (S S) Sem2'!I49</f>
        <v>98</v>
      </c>
      <c r="K140" s="23">
        <f>'11B (S S) Sem2'!J49</f>
        <v>100</v>
      </c>
      <c r="L140" s="23">
        <f>'11B (S S) Sem2'!K49</f>
        <v>561</v>
      </c>
      <c r="M140" s="192">
        <f>'11B (S S) Sem2'!L49</f>
        <v>93.5</v>
      </c>
      <c r="N140" s="22">
        <f>'11B (S S) Sem2'!M49</f>
        <v>1</v>
      </c>
      <c r="O140" s="23">
        <f>'11B (S S) Sem2'!N49</f>
        <v>0</v>
      </c>
      <c r="P140" s="29">
        <f>'11B (S S) Sem2'!O49</f>
        <v>0</v>
      </c>
      <c r="Q140" s="78"/>
    </row>
    <row r="141" spans="1:17" ht="18.75" customHeight="1" thickBot="1" x14ac:dyDescent="0.35">
      <c r="A141" s="247"/>
      <c r="B141" s="218"/>
      <c r="C141" s="213">
        <v>17</v>
      </c>
      <c r="D141" s="217" t="s">
        <v>23</v>
      </c>
      <c r="E141" s="24" t="s">
        <v>16</v>
      </c>
      <c r="F141" s="23">
        <f>AVERAGE(F139:F140)</f>
        <v>79.5</v>
      </c>
      <c r="G141" s="23">
        <f t="shared" ref="G141:P141" si="45">AVERAGE(G139:G140)</f>
        <v>93</v>
      </c>
      <c r="H141" s="23">
        <f t="shared" si="45"/>
        <v>94.5</v>
      </c>
      <c r="I141" s="23">
        <f t="shared" si="45"/>
        <v>97.5</v>
      </c>
      <c r="J141" s="23">
        <f t="shared" si="45"/>
        <v>96.5</v>
      </c>
      <c r="K141" s="23">
        <f t="shared" si="45"/>
        <v>100</v>
      </c>
      <c r="L141" s="23">
        <f t="shared" si="45"/>
        <v>561</v>
      </c>
      <c r="M141" s="41">
        <f t="shared" si="45"/>
        <v>93.5</v>
      </c>
      <c r="N141" s="23">
        <f>'11B (N S) Avr'!$I$49</f>
        <v>1</v>
      </c>
      <c r="O141" s="23">
        <f t="shared" si="45"/>
        <v>0</v>
      </c>
      <c r="P141" s="23">
        <f t="shared" si="45"/>
        <v>0</v>
      </c>
      <c r="Q141" s="78"/>
    </row>
    <row r="142" spans="1:17" ht="18.75" customHeight="1" thickBot="1" x14ac:dyDescent="0.35">
      <c r="A142" s="247">
        <v>47</v>
      </c>
      <c r="B142" s="218"/>
      <c r="C142" s="213">
        <v>16</v>
      </c>
      <c r="D142" s="217" t="s">
        <v>23</v>
      </c>
      <c r="E142" s="24" t="s">
        <v>21</v>
      </c>
      <c r="F142" s="23">
        <f>'11B (S S) Sem1'!E50</f>
        <v>65</v>
      </c>
      <c r="G142" s="23">
        <f>'11B (S S) Sem1'!F50</f>
        <v>50</v>
      </c>
      <c r="H142" s="23">
        <f>'11B (S S) Sem1'!G50</f>
        <v>72</v>
      </c>
      <c r="I142" s="23">
        <f>'11B (S S) Sem1'!H50</f>
        <v>62</v>
      </c>
      <c r="J142" s="23">
        <f>'11B (S S) Sem1'!I50</f>
        <v>59</v>
      </c>
      <c r="K142" s="23">
        <f>'11B (S S) Sem1'!J50</f>
        <v>81</v>
      </c>
      <c r="L142" s="23">
        <f>'11B (S S) Sem1'!K50</f>
        <v>389</v>
      </c>
      <c r="M142" s="192">
        <f>'11B (S S) Sem1'!L50</f>
        <v>64.833333333333329</v>
      </c>
      <c r="N142" s="22">
        <f>'11B (S S) Sem1'!M50</f>
        <v>28</v>
      </c>
      <c r="O142" s="23">
        <f>'11B (S S) Sem1'!N50</f>
        <v>0</v>
      </c>
      <c r="P142" s="29">
        <f>'11B (S S) Sem1'!O50</f>
        <v>0</v>
      </c>
      <c r="Q142" s="78"/>
    </row>
    <row r="143" spans="1:17" ht="17.25" customHeight="1" thickBot="1" x14ac:dyDescent="0.35">
      <c r="A143" s="247"/>
      <c r="B143" s="218"/>
      <c r="C143" s="213">
        <v>16</v>
      </c>
      <c r="D143" s="217" t="s">
        <v>23</v>
      </c>
      <c r="E143" s="24" t="s">
        <v>22</v>
      </c>
      <c r="F143" s="23">
        <f>'11B (S S) Sem2'!E50</f>
        <v>71</v>
      </c>
      <c r="G143" s="23">
        <f>'11B (S S) Sem2'!F50</f>
        <v>64</v>
      </c>
      <c r="H143" s="23">
        <f>'11B (S S) Sem2'!G50</f>
        <v>64</v>
      </c>
      <c r="I143" s="23">
        <f>'11B (S S) Sem2'!H50</f>
        <v>70</v>
      </c>
      <c r="J143" s="23">
        <f>'11B (S S) Sem2'!I50</f>
        <v>69</v>
      </c>
      <c r="K143" s="23">
        <f>'11B (S S) Sem2'!J50</f>
        <v>73</v>
      </c>
      <c r="L143" s="23">
        <f>'11B (S S) Sem2'!K50</f>
        <v>411</v>
      </c>
      <c r="M143" s="192">
        <f>'11B (S S) Sem2'!L50</f>
        <v>68.5</v>
      </c>
      <c r="N143" s="22">
        <f>'11B (S S) Sem2'!M50</f>
        <v>33</v>
      </c>
      <c r="O143" s="23">
        <f>'11B (S S) Sem2'!N50</f>
        <v>0</v>
      </c>
      <c r="P143" s="29">
        <f>'11B (S S) Sem2'!O50</f>
        <v>0</v>
      </c>
      <c r="Q143" s="78"/>
    </row>
    <row r="144" spans="1:17" ht="18.75" customHeight="1" thickBot="1" x14ac:dyDescent="0.35">
      <c r="A144" s="247"/>
      <c r="B144" s="218"/>
      <c r="C144" s="213">
        <v>16</v>
      </c>
      <c r="D144" s="217" t="s">
        <v>23</v>
      </c>
      <c r="E144" s="24" t="s">
        <v>16</v>
      </c>
      <c r="F144" s="23">
        <f>AVERAGE(F142:F143)</f>
        <v>68</v>
      </c>
      <c r="G144" s="23">
        <f t="shared" ref="G144:P144" si="46">AVERAGE(G142:G143)</f>
        <v>57</v>
      </c>
      <c r="H144" s="23">
        <f t="shared" si="46"/>
        <v>68</v>
      </c>
      <c r="I144" s="23">
        <f t="shared" si="46"/>
        <v>66</v>
      </c>
      <c r="J144" s="23">
        <f t="shared" si="46"/>
        <v>64</v>
      </c>
      <c r="K144" s="23">
        <f t="shared" si="46"/>
        <v>77</v>
      </c>
      <c r="L144" s="23">
        <f t="shared" si="46"/>
        <v>400</v>
      </c>
      <c r="M144" s="41">
        <f t="shared" si="46"/>
        <v>66.666666666666657</v>
      </c>
      <c r="N144" s="23">
        <f>'11B (N S) Avr'!$I$50</f>
        <v>31</v>
      </c>
      <c r="O144" s="23">
        <f t="shared" si="46"/>
        <v>0</v>
      </c>
      <c r="P144" s="23">
        <f t="shared" si="46"/>
        <v>0</v>
      </c>
      <c r="Q144" s="78"/>
    </row>
    <row r="145" spans="1:17" ht="19.5" customHeight="1" thickBot="1" x14ac:dyDescent="0.35">
      <c r="A145" s="247">
        <v>48</v>
      </c>
      <c r="B145" s="218"/>
      <c r="C145" s="213">
        <v>16</v>
      </c>
      <c r="D145" s="217" t="s">
        <v>23</v>
      </c>
      <c r="E145" s="24" t="s">
        <v>21</v>
      </c>
      <c r="F145" s="23">
        <f>'11B (S S) Sem1'!E51</f>
        <v>67</v>
      </c>
      <c r="G145" s="23">
        <f>'11B (S S) Sem1'!F51</f>
        <v>78</v>
      </c>
      <c r="H145" s="23">
        <f>'11B (S S) Sem1'!G51</f>
        <v>90</v>
      </c>
      <c r="I145" s="23">
        <f>'11B (S S) Sem1'!H51</f>
        <v>89</v>
      </c>
      <c r="J145" s="23">
        <f>'11B (S S) Sem1'!I51</f>
        <v>91</v>
      </c>
      <c r="K145" s="23">
        <f>'11B (S S) Sem1'!J51</f>
        <v>96</v>
      </c>
      <c r="L145" s="23">
        <f>'11B (S S) Sem1'!K51</f>
        <v>511</v>
      </c>
      <c r="M145" s="192">
        <f>'11B (S S) Sem1'!L51</f>
        <v>85.166666666666671</v>
      </c>
      <c r="N145" s="22">
        <f>'11B (S S) Sem1'!M51</f>
        <v>5</v>
      </c>
      <c r="O145" s="23">
        <f>'11B (S S) Sem1'!N51</f>
        <v>0</v>
      </c>
      <c r="P145" s="29">
        <f>'11B (S S) Sem1'!O51</f>
        <v>0</v>
      </c>
      <c r="Q145" s="78"/>
    </row>
    <row r="146" spans="1:17" ht="20.25" customHeight="1" thickBot="1" x14ac:dyDescent="0.35">
      <c r="A146" s="247"/>
      <c r="B146" s="218"/>
      <c r="C146" s="213">
        <v>16</v>
      </c>
      <c r="D146" s="217" t="s">
        <v>23</v>
      </c>
      <c r="E146" s="24" t="s">
        <v>22</v>
      </c>
      <c r="F146" s="23">
        <f>'11B (S S) Sem2'!E51</f>
        <v>81</v>
      </c>
      <c r="G146" s="23">
        <f>'11B (S S) Sem2'!F51</f>
        <v>73</v>
      </c>
      <c r="H146" s="23">
        <f>'11B (S S) Sem2'!G51</f>
        <v>86</v>
      </c>
      <c r="I146" s="23">
        <f>'11B (S S) Sem2'!H51</f>
        <v>96</v>
      </c>
      <c r="J146" s="23">
        <f>'11B (S S) Sem2'!I51</f>
        <v>94</v>
      </c>
      <c r="K146" s="23">
        <f>'11B (S S) Sem2'!J51</f>
        <v>89</v>
      </c>
      <c r="L146" s="23">
        <f>'11B (S S) Sem2'!K51</f>
        <v>519</v>
      </c>
      <c r="M146" s="192">
        <f>'11B (S S) Sem2'!L51</f>
        <v>86.5</v>
      </c>
      <c r="N146" s="22">
        <f>'11B (S S) Sem2'!M51</f>
        <v>7</v>
      </c>
      <c r="O146" s="23">
        <f>'11B (S S) Sem2'!N51</f>
        <v>0</v>
      </c>
      <c r="P146" s="29">
        <f>'11B (S S) Sem2'!O51</f>
        <v>0</v>
      </c>
      <c r="Q146" s="78"/>
    </row>
    <row r="147" spans="1:17" ht="21" customHeight="1" thickBot="1" x14ac:dyDescent="0.35">
      <c r="A147" s="247"/>
      <c r="B147" s="218"/>
      <c r="C147" s="213">
        <v>16</v>
      </c>
      <c r="D147" s="217" t="s">
        <v>23</v>
      </c>
      <c r="E147" s="24" t="s">
        <v>16</v>
      </c>
      <c r="F147" s="23">
        <f>AVERAGE(F145:F146)</f>
        <v>74</v>
      </c>
      <c r="G147" s="23">
        <f t="shared" ref="G147:P147" si="47">AVERAGE(G145:G146)</f>
        <v>75.5</v>
      </c>
      <c r="H147" s="23">
        <f t="shared" si="47"/>
        <v>88</v>
      </c>
      <c r="I147" s="23">
        <f t="shared" si="47"/>
        <v>92.5</v>
      </c>
      <c r="J147" s="23">
        <f t="shared" si="47"/>
        <v>92.5</v>
      </c>
      <c r="K147" s="23">
        <f t="shared" si="47"/>
        <v>92.5</v>
      </c>
      <c r="L147" s="23">
        <f t="shared" si="47"/>
        <v>515</v>
      </c>
      <c r="M147" s="41">
        <f t="shared" si="47"/>
        <v>85.833333333333343</v>
      </c>
      <c r="N147" s="23">
        <f>'11B (N S) Avr'!$I$51</f>
        <v>6</v>
      </c>
      <c r="O147" s="23">
        <f t="shared" si="47"/>
        <v>0</v>
      </c>
      <c r="P147" s="23">
        <f t="shared" si="47"/>
        <v>0</v>
      </c>
      <c r="Q147" s="78"/>
    </row>
    <row r="148" spans="1:17" ht="19.5" customHeight="1" thickBot="1" x14ac:dyDescent="0.35">
      <c r="A148" s="247">
        <v>49</v>
      </c>
      <c r="B148" s="218"/>
      <c r="C148" s="213">
        <v>16</v>
      </c>
      <c r="D148" s="217" t="s">
        <v>23</v>
      </c>
      <c r="E148" s="24" t="s">
        <v>21</v>
      </c>
      <c r="F148" s="23">
        <f>'11B (S S) Sem1'!E52</f>
        <v>73</v>
      </c>
      <c r="G148" s="23">
        <f>'11B (S S) Sem1'!F52</f>
        <v>68</v>
      </c>
      <c r="H148" s="23">
        <f>'11B (S S) Sem1'!G52</f>
        <v>85</v>
      </c>
      <c r="I148" s="23">
        <f>'11B (S S) Sem1'!H52</f>
        <v>83</v>
      </c>
      <c r="J148" s="23">
        <f>'11B (S S) Sem1'!I52</f>
        <v>76</v>
      </c>
      <c r="K148" s="23">
        <f>'11B (S S) Sem1'!J52</f>
        <v>92</v>
      </c>
      <c r="L148" s="23">
        <f>'11B (S S) Sem1'!K52</f>
        <v>477</v>
      </c>
      <c r="M148" s="192">
        <f>'11B (S S) Sem1'!L52</f>
        <v>79.5</v>
      </c>
      <c r="N148" s="22">
        <f>'11B (S S) Sem1'!M52</f>
        <v>13</v>
      </c>
      <c r="O148" s="23">
        <f>'11B (S S) Sem1'!N52</f>
        <v>0</v>
      </c>
      <c r="P148" s="29">
        <f>'11B (S S) Sem1'!O52</f>
        <v>0</v>
      </c>
      <c r="Q148" s="78"/>
    </row>
    <row r="149" spans="1:17" ht="21" customHeight="1" thickBot="1" x14ac:dyDescent="0.35">
      <c r="A149" s="247"/>
      <c r="B149" s="218"/>
      <c r="C149" s="213">
        <v>16</v>
      </c>
      <c r="D149" s="217" t="s">
        <v>23</v>
      </c>
      <c r="E149" s="24" t="s">
        <v>22</v>
      </c>
      <c r="F149" s="23">
        <f>'11B (S S) Sem2'!E52</f>
        <v>73</v>
      </c>
      <c r="G149" s="23">
        <f>'11B (S S) Sem2'!F52</f>
        <v>78</v>
      </c>
      <c r="H149" s="23">
        <f>'11B (S S) Sem2'!G52</f>
        <v>90</v>
      </c>
      <c r="I149" s="23">
        <f>'11B (S S) Sem2'!H52</f>
        <v>90</v>
      </c>
      <c r="J149" s="23">
        <f>'11B (S S) Sem2'!I52</f>
        <v>95</v>
      </c>
      <c r="K149" s="23">
        <f>'11B (S S) Sem2'!J52</f>
        <v>93</v>
      </c>
      <c r="L149" s="23">
        <f>'11B (S S) Sem2'!K52</f>
        <v>519</v>
      </c>
      <c r="M149" s="192">
        <f>'11B (S S) Sem2'!L52</f>
        <v>86.5</v>
      </c>
      <c r="N149" s="22">
        <f>'11B (S S) Sem2'!M52</f>
        <v>7</v>
      </c>
      <c r="O149" s="23">
        <f>'11B (S S) Sem2'!N52</f>
        <v>0</v>
      </c>
      <c r="P149" s="29">
        <f>'11B (S S) Sem2'!O52</f>
        <v>0</v>
      </c>
      <c r="Q149" s="78"/>
    </row>
    <row r="150" spans="1:17" ht="21" customHeight="1" thickBot="1" x14ac:dyDescent="0.35">
      <c r="A150" s="247"/>
      <c r="B150" s="218"/>
      <c r="C150" s="213">
        <v>16</v>
      </c>
      <c r="D150" s="217" t="s">
        <v>23</v>
      </c>
      <c r="E150" s="24" t="s">
        <v>16</v>
      </c>
      <c r="F150" s="23">
        <f>AVERAGE(F148:F149)</f>
        <v>73</v>
      </c>
      <c r="G150" s="23">
        <f t="shared" ref="G150:P150" si="48">AVERAGE(G148:G149)</f>
        <v>73</v>
      </c>
      <c r="H150" s="23">
        <f t="shared" si="48"/>
        <v>87.5</v>
      </c>
      <c r="I150" s="23">
        <f t="shared" si="48"/>
        <v>86.5</v>
      </c>
      <c r="J150" s="23">
        <f t="shared" si="48"/>
        <v>85.5</v>
      </c>
      <c r="K150" s="23">
        <f t="shared" si="48"/>
        <v>92.5</v>
      </c>
      <c r="L150" s="23">
        <f t="shared" si="48"/>
        <v>498</v>
      </c>
      <c r="M150" s="41">
        <f t="shared" si="48"/>
        <v>83</v>
      </c>
      <c r="N150" s="23">
        <f>'11B (N S) Avr'!$I$52</f>
        <v>11</v>
      </c>
      <c r="O150" s="23">
        <f t="shared" si="48"/>
        <v>0</v>
      </c>
      <c r="P150" s="23">
        <f t="shared" si="48"/>
        <v>0</v>
      </c>
      <c r="Q150" s="78"/>
    </row>
    <row r="151" spans="1:17" ht="21.75" customHeight="1" thickBot="1" x14ac:dyDescent="0.35">
      <c r="A151" s="247">
        <v>50</v>
      </c>
      <c r="B151" s="218"/>
      <c r="C151" s="213">
        <v>16</v>
      </c>
      <c r="D151" s="217" t="s">
        <v>23</v>
      </c>
      <c r="E151" s="24" t="s">
        <v>21</v>
      </c>
      <c r="F151" s="23">
        <f>'11B (S S) Sem1'!E53</f>
        <v>80</v>
      </c>
      <c r="G151" s="23">
        <f>'11B (S S) Sem1'!F53</f>
        <v>61</v>
      </c>
      <c r="H151" s="23">
        <f>'11B (S S) Sem1'!G53</f>
        <v>86</v>
      </c>
      <c r="I151" s="23">
        <f>'11B (S S) Sem1'!H53</f>
        <v>83</v>
      </c>
      <c r="J151" s="23">
        <f>'11B (S S) Sem1'!I53</f>
        <v>71</v>
      </c>
      <c r="K151" s="23">
        <f>'11B (S S) Sem1'!J53</f>
        <v>88</v>
      </c>
      <c r="L151" s="23">
        <f>'11B (S S) Sem1'!K53</f>
        <v>469</v>
      </c>
      <c r="M151" s="192">
        <f>'11B (S S) Sem1'!L53</f>
        <v>78.166666666666671</v>
      </c>
      <c r="N151" s="22">
        <f>'11B (S S) Sem1'!M53</f>
        <v>14</v>
      </c>
      <c r="O151" s="23">
        <f>'11B (S S) Sem1'!N53</f>
        <v>0</v>
      </c>
      <c r="P151" s="29">
        <f>'11B (S S) Sem1'!O53</f>
        <v>0</v>
      </c>
      <c r="Q151" s="78"/>
    </row>
    <row r="152" spans="1:17" ht="22.5" customHeight="1" thickBot="1" x14ac:dyDescent="0.35">
      <c r="A152" s="247"/>
      <c r="B152" s="218"/>
      <c r="C152" s="213">
        <v>16</v>
      </c>
      <c r="D152" s="217" t="s">
        <v>23</v>
      </c>
      <c r="E152" s="24" t="s">
        <v>22</v>
      </c>
      <c r="F152" s="23">
        <f>'11B (S S) Sem2'!E53</f>
        <v>88</v>
      </c>
      <c r="G152" s="23">
        <f>'11B (S S) Sem2'!F53</f>
        <v>64</v>
      </c>
      <c r="H152" s="23">
        <f>'11B (S S) Sem2'!G53</f>
        <v>84</v>
      </c>
      <c r="I152" s="23">
        <f>'11B (S S) Sem2'!H53</f>
        <v>90</v>
      </c>
      <c r="J152" s="23">
        <f>'11B (S S) Sem2'!I53</f>
        <v>91</v>
      </c>
      <c r="K152" s="23">
        <f>'11B (S S) Sem2'!J53</f>
        <v>89</v>
      </c>
      <c r="L152" s="23">
        <f>'11B (S S) Sem2'!K53</f>
        <v>506</v>
      </c>
      <c r="M152" s="192">
        <f>'11B (S S) Sem2'!L53</f>
        <v>84.333333333333329</v>
      </c>
      <c r="N152" s="22">
        <f>'11B (S S) Sem2'!M53</f>
        <v>12</v>
      </c>
      <c r="O152" s="23">
        <f>'11B (S S) Sem2'!N53</f>
        <v>0</v>
      </c>
      <c r="P152" s="29">
        <f>'11B (S S) Sem2'!O53</f>
        <v>0</v>
      </c>
      <c r="Q152" s="78"/>
    </row>
    <row r="153" spans="1:17" ht="22.5" customHeight="1" thickBot="1" x14ac:dyDescent="0.35">
      <c r="A153" s="247"/>
      <c r="B153" s="218"/>
      <c r="C153" s="213">
        <v>16</v>
      </c>
      <c r="D153" s="217" t="s">
        <v>23</v>
      </c>
      <c r="E153" s="24" t="s">
        <v>16</v>
      </c>
      <c r="F153" s="23">
        <f>AVERAGE(F151:F152)</f>
        <v>84</v>
      </c>
      <c r="G153" s="23">
        <f t="shared" ref="G153:P153" si="49">AVERAGE(G151:G152)</f>
        <v>62.5</v>
      </c>
      <c r="H153" s="23">
        <f t="shared" si="49"/>
        <v>85</v>
      </c>
      <c r="I153" s="23">
        <f t="shared" si="49"/>
        <v>86.5</v>
      </c>
      <c r="J153" s="23">
        <f t="shared" si="49"/>
        <v>81</v>
      </c>
      <c r="K153" s="23">
        <f t="shared" si="49"/>
        <v>88.5</v>
      </c>
      <c r="L153" s="23">
        <f t="shared" si="49"/>
        <v>487.5</v>
      </c>
      <c r="M153" s="41">
        <f t="shared" si="49"/>
        <v>81.25</v>
      </c>
      <c r="N153" s="23">
        <f>'11B (N S) Avr'!$I$53</f>
        <v>14</v>
      </c>
      <c r="O153" s="23">
        <f t="shared" si="49"/>
        <v>0</v>
      </c>
      <c r="P153" s="23">
        <f t="shared" si="49"/>
        <v>0</v>
      </c>
      <c r="Q153" s="78"/>
    </row>
    <row r="154" spans="1:17" ht="20.25" customHeight="1" thickBot="1" x14ac:dyDescent="0.35">
      <c r="A154" s="247">
        <v>51</v>
      </c>
      <c r="B154" s="218"/>
      <c r="C154" s="213">
        <v>15</v>
      </c>
      <c r="D154" s="217" t="s">
        <v>20</v>
      </c>
      <c r="E154" s="24" t="s">
        <v>21</v>
      </c>
      <c r="F154" s="23">
        <f>'11B (S S) Sem1'!E54</f>
        <v>55</v>
      </c>
      <c r="G154" s="23">
        <f>'11B (S S) Sem1'!F54</f>
        <v>66</v>
      </c>
      <c r="H154" s="23">
        <f>'11B (S S) Sem1'!G54</f>
        <v>61</v>
      </c>
      <c r="I154" s="23">
        <f>'11B (S S) Sem1'!H54</f>
        <v>63</v>
      </c>
      <c r="J154" s="23">
        <f>'11B (S S) Sem1'!I54</f>
        <v>73</v>
      </c>
      <c r="K154" s="23">
        <f>'11B (S S) Sem1'!J54</f>
        <v>76</v>
      </c>
      <c r="L154" s="23">
        <f>'11B (S S) Sem1'!K54</f>
        <v>394</v>
      </c>
      <c r="M154" s="192">
        <f>'11B (S S) Sem1'!L54</f>
        <v>65.666666666666671</v>
      </c>
      <c r="N154" s="22">
        <f>'11B (S S) Sem1'!M54</f>
        <v>26</v>
      </c>
      <c r="O154" s="23">
        <f>'11B (S S) Sem1'!N54</f>
        <v>0</v>
      </c>
      <c r="P154" s="29">
        <f>'11B (S S) Sem1'!O54</f>
        <v>0</v>
      </c>
      <c r="Q154" s="78"/>
    </row>
    <row r="155" spans="1:17" ht="21.75" customHeight="1" thickBot="1" x14ac:dyDescent="0.35">
      <c r="A155" s="247"/>
      <c r="B155" s="218"/>
      <c r="C155" s="213">
        <v>15</v>
      </c>
      <c r="D155" s="217" t="s">
        <v>20</v>
      </c>
      <c r="E155" s="24" t="s">
        <v>22</v>
      </c>
      <c r="F155" s="23">
        <f>'11B (S S) Sem2'!E54</f>
        <v>75</v>
      </c>
      <c r="G155" s="23">
        <f>'11B (S S) Sem2'!F54</f>
        <v>75</v>
      </c>
      <c r="H155" s="23">
        <f>'11B (S S) Sem2'!G54</f>
        <v>67</v>
      </c>
      <c r="I155" s="23">
        <f>'11B (S S) Sem2'!H54</f>
        <v>69</v>
      </c>
      <c r="J155" s="23">
        <f>'11B (S S) Sem2'!I54</f>
        <v>87</v>
      </c>
      <c r="K155" s="23">
        <f>'11B (S S) Sem2'!J54</f>
        <v>66</v>
      </c>
      <c r="L155" s="23">
        <f>'11B (S S) Sem2'!K54</f>
        <v>439</v>
      </c>
      <c r="M155" s="192">
        <f>'11B (S S) Sem2'!L54</f>
        <v>73.166666666666671</v>
      </c>
      <c r="N155" s="22">
        <f>'11B (S S) Sem2'!M54</f>
        <v>25</v>
      </c>
      <c r="O155" s="23">
        <f>'11B (S S) Sem2'!N54</f>
        <v>0</v>
      </c>
      <c r="P155" s="29">
        <f>'11B (S S) Sem2'!O54</f>
        <v>0</v>
      </c>
      <c r="Q155" s="78"/>
    </row>
    <row r="156" spans="1:17" ht="22.5" customHeight="1" thickBot="1" x14ac:dyDescent="0.35">
      <c r="A156" s="247"/>
      <c r="B156" s="218"/>
      <c r="C156" s="213">
        <v>15</v>
      </c>
      <c r="D156" s="217" t="s">
        <v>20</v>
      </c>
      <c r="E156" s="89" t="s">
        <v>16</v>
      </c>
      <c r="F156" s="90">
        <f>AVERAGE(F154:F155)</f>
        <v>65</v>
      </c>
      <c r="G156" s="90">
        <f t="shared" ref="G156:P156" si="50">AVERAGE(G154:G155)</f>
        <v>70.5</v>
      </c>
      <c r="H156" s="90">
        <f t="shared" si="50"/>
        <v>64</v>
      </c>
      <c r="I156" s="90">
        <f t="shared" si="50"/>
        <v>66</v>
      </c>
      <c r="J156" s="90">
        <f t="shared" si="50"/>
        <v>80</v>
      </c>
      <c r="K156" s="90">
        <f t="shared" si="50"/>
        <v>71</v>
      </c>
      <c r="L156" s="90">
        <f t="shared" si="50"/>
        <v>416.5</v>
      </c>
      <c r="M156" s="195">
        <f t="shared" si="50"/>
        <v>69.416666666666671</v>
      </c>
      <c r="N156" s="90">
        <f>'11B (N S) Avr'!$I$54</f>
        <v>26</v>
      </c>
      <c r="O156" s="90">
        <f t="shared" si="50"/>
        <v>0</v>
      </c>
      <c r="P156" s="90">
        <f t="shared" si="50"/>
        <v>0</v>
      </c>
      <c r="Q156" s="78"/>
    </row>
    <row r="157" spans="1:17" ht="22.5" customHeight="1" thickBot="1" x14ac:dyDescent="0.3">
      <c r="A157" s="247">
        <v>52</v>
      </c>
      <c r="B157" s="218"/>
      <c r="C157" s="213">
        <v>17</v>
      </c>
      <c r="D157" s="217" t="s">
        <v>23</v>
      </c>
      <c r="E157" s="24" t="s">
        <v>21</v>
      </c>
      <c r="F157" s="29">
        <f>'11B (S S) Sem1'!E55</f>
        <v>45</v>
      </c>
      <c r="G157" s="29">
        <f>'11B (S S) Sem1'!F55</f>
        <v>45</v>
      </c>
      <c r="H157" s="29">
        <f>'11B (S S) Sem1'!G55</f>
        <v>60</v>
      </c>
      <c r="I157" s="29">
        <f>'11B (S S) Sem1'!H55</f>
        <v>62</v>
      </c>
      <c r="J157" s="29">
        <f>'11B (S S) Sem1'!I55</f>
        <v>61</v>
      </c>
      <c r="K157" s="29">
        <f>'11B (S S) Sem1'!J55</f>
        <v>63</v>
      </c>
      <c r="L157" s="29">
        <f>'11B (S S) Sem1'!K55</f>
        <v>336</v>
      </c>
      <c r="M157" s="194">
        <f>'11B (S S) Sem1'!L55</f>
        <v>56</v>
      </c>
      <c r="N157" s="29">
        <f>'11B (S S) Sem1'!M55</f>
        <v>44</v>
      </c>
      <c r="O157" s="29">
        <f>'11B (S S) Sem1'!N55</f>
        <v>0</v>
      </c>
      <c r="P157" s="29">
        <f>'11B (S S) Sem1'!O55</f>
        <v>0</v>
      </c>
    </row>
    <row r="158" spans="1:17" ht="22.5" customHeight="1" thickBot="1" x14ac:dyDescent="0.3">
      <c r="A158" s="247"/>
      <c r="B158" s="218"/>
      <c r="C158" s="213">
        <v>17</v>
      </c>
      <c r="D158" s="217" t="s">
        <v>23</v>
      </c>
      <c r="E158" s="24" t="s">
        <v>22</v>
      </c>
      <c r="F158" s="29">
        <f>'11B (S S) Sem2'!E55</f>
        <v>48</v>
      </c>
      <c r="G158" s="29">
        <f>'11B (S S) Sem2'!F55</f>
        <v>59</v>
      </c>
      <c r="H158" s="29">
        <f>'11B (S S) Sem2'!G55</f>
        <v>64</v>
      </c>
      <c r="I158" s="29">
        <f>'11B (S S) Sem2'!H55</f>
        <v>65</v>
      </c>
      <c r="J158" s="29">
        <f>'11B (S S) Sem2'!I55</f>
        <v>74</v>
      </c>
      <c r="K158" s="29">
        <f>'11B (S S) Sem2'!J55</f>
        <v>82</v>
      </c>
      <c r="L158" s="29">
        <f>'11B (S S) Sem2'!K55</f>
        <v>392</v>
      </c>
      <c r="M158" s="194">
        <f>'11B (S S) Sem2'!L55</f>
        <v>65.333333333333329</v>
      </c>
      <c r="N158" s="29">
        <f>'11B (S S) Sem2'!M55</f>
        <v>38</v>
      </c>
      <c r="O158" s="29">
        <f>'11B (S S) Sem2'!N55</f>
        <v>0</v>
      </c>
      <c r="P158" s="29">
        <f>'11B (S S) Sem2'!O55</f>
        <v>0</v>
      </c>
    </row>
    <row r="159" spans="1:17" ht="22.5" customHeight="1" thickBot="1" x14ac:dyDescent="0.3">
      <c r="A159" s="247"/>
      <c r="B159" s="218"/>
      <c r="C159" s="213">
        <v>17</v>
      </c>
      <c r="D159" s="217" t="s">
        <v>23</v>
      </c>
      <c r="E159" s="89" t="s">
        <v>16</v>
      </c>
      <c r="F159" s="29">
        <f>AVERAGE(F157:F158)</f>
        <v>46.5</v>
      </c>
      <c r="G159" s="29">
        <f t="shared" ref="G159:P159" si="51">AVERAGE(G157:G158)</f>
        <v>52</v>
      </c>
      <c r="H159" s="29">
        <f t="shared" si="51"/>
        <v>62</v>
      </c>
      <c r="I159" s="29">
        <f t="shared" si="51"/>
        <v>63.5</v>
      </c>
      <c r="J159" s="29">
        <f t="shared" si="51"/>
        <v>67.5</v>
      </c>
      <c r="K159" s="29">
        <f t="shared" si="51"/>
        <v>72.5</v>
      </c>
      <c r="L159" s="29">
        <f t="shared" si="51"/>
        <v>364</v>
      </c>
      <c r="M159" s="194">
        <f t="shared" si="51"/>
        <v>60.666666666666664</v>
      </c>
      <c r="N159" s="29">
        <f>'11B (N S) Avr'!$I$55</f>
        <v>41</v>
      </c>
      <c r="O159" s="29">
        <f t="shared" si="51"/>
        <v>0</v>
      </c>
      <c r="P159" s="29">
        <f t="shared" si="51"/>
        <v>0</v>
      </c>
    </row>
    <row r="160" spans="1:17" ht="22.5" customHeight="1" thickBot="1" x14ac:dyDescent="0.3">
      <c r="A160" s="247">
        <v>53</v>
      </c>
      <c r="B160" s="218"/>
      <c r="C160" s="213">
        <v>17</v>
      </c>
      <c r="D160" s="217" t="s">
        <v>20</v>
      </c>
      <c r="E160" s="24" t="s">
        <v>21</v>
      </c>
      <c r="F160" s="29">
        <f>'11B (S S) Sem1'!E56</f>
        <v>80</v>
      </c>
      <c r="G160" s="29">
        <f>'11B (S S) Sem1'!F56</f>
        <v>78</v>
      </c>
      <c r="H160" s="29">
        <f>'11B (S S) Sem1'!G56</f>
        <v>82</v>
      </c>
      <c r="I160" s="29">
        <f>'11B (S S) Sem1'!H56</f>
        <v>79</v>
      </c>
      <c r="J160" s="29">
        <f>'11B (S S) Sem1'!I56</f>
        <v>81</v>
      </c>
      <c r="K160" s="29">
        <f>'11B (S S) Sem1'!J56</f>
        <v>91</v>
      </c>
      <c r="L160" s="29">
        <f>'11B (S S) Sem1'!K56</f>
        <v>491</v>
      </c>
      <c r="M160" s="194">
        <f>'11B (S S) Sem1'!L56</f>
        <v>81.833333333333329</v>
      </c>
      <c r="N160" s="29">
        <f>'11B (S S) Sem1'!M56</f>
        <v>10</v>
      </c>
      <c r="O160" s="29">
        <f>'11B (S S) Sem1'!N56</f>
        <v>0</v>
      </c>
      <c r="P160" s="29">
        <f>'11B (S S) Sem1'!O56</f>
        <v>0</v>
      </c>
    </row>
    <row r="161" spans="1:16" ht="22.5" customHeight="1" thickBot="1" x14ac:dyDescent="0.3">
      <c r="A161" s="247"/>
      <c r="B161" s="218"/>
      <c r="C161" s="213">
        <v>17</v>
      </c>
      <c r="D161" s="217" t="s">
        <v>20</v>
      </c>
      <c r="E161" s="24" t="s">
        <v>22</v>
      </c>
      <c r="F161" s="29">
        <f>'11B (S S) Sem2'!E56</f>
        <v>81</v>
      </c>
      <c r="G161" s="29">
        <f>'11B (S S) Sem2'!F56</f>
        <v>75</v>
      </c>
      <c r="H161" s="29">
        <f>'11B (S S) Sem2'!G56</f>
        <v>84</v>
      </c>
      <c r="I161" s="29">
        <f>'11B (S S) Sem2'!H56</f>
        <v>95</v>
      </c>
      <c r="J161" s="29">
        <f>'11B (S S) Sem2'!I56</f>
        <v>93</v>
      </c>
      <c r="K161" s="29">
        <f>'11B (S S) Sem2'!J56</f>
        <v>81</v>
      </c>
      <c r="L161" s="29">
        <f>'11B (S S) Sem2'!K56</f>
        <v>509</v>
      </c>
      <c r="M161" s="194">
        <f>'11B (S S) Sem2'!L56</f>
        <v>84.833333333333329</v>
      </c>
      <c r="N161" s="29">
        <f>'11B (S S) Sem2'!M56</f>
        <v>9</v>
      </c>
      <c r="O161" s="29">
        <f>'11B (S S) Sem2'!N56</f>
        <v>0</v>
      </c>
      <c r="P161" s="29">
        <f>'11B (S S) Sem2'!O56</f>
        <v>0</v>
      </c>
    </row>
    <row r="162" spans="1:16" ht="22.5" customHeight="1" thickBot="1" x14ac:dyDescent="0.3">
      <c r="A162" s="247"/>
      <c r="B162" s="218"/>
      <c r="C162" s="213">
        <v>17</v>
      </c>
      <c r="D162" s="217" t="s">
        <v>20</v>
      </c>
      <c r="E162" s="89" t="s">
        <v>16</v>
      </c>
      <c r="F162" s="29">
        <f>AVERAGE(F160:F161)</f>
        <v>80.5</v>
      </c>
      <c r="G162" s="29">
        <f t="shared" ref="G162:P162" si="52">AVERAGE(G160:G161)</f>
        <v>76.5</v>
      </c>
      <c r="H162" s="29">
        <f t="shared" si="52"/>
        <v>83</v>
      </c>
      <c r="I162" s="29">
        <f t="shared" si="52"/>
        <v>87</v>
      </c>
      <c r="J162" s="29">
        <f t="shared" si="52"/>
        <v>87</v>
      </c>
      <c r="K162" s="29">
        <f t="shared" si="52"/>
        <v>86</v>
      </c>
      <c r="L162" s="29">
        <f t="shared" si="52"/>
        <v>500</v>
      </c>
      <c r="M162" s="194">
        <f t="shared" si="52"/>
        <v>83.333333333333329</v>
      </c>
      <c r="N162" s="29">
        <f>'11B (N S) Avr'!$I$56</f>
        <v>9</v>
      </c>
      <c r="O162" s="29">
        <f t="shared" si="52"/>
        <v>0</v>
      </c>
      <c r="P162" s="29">
        <f t="shared" si="52"/>
        <v>0</v>
      </c>
    </row>
    <row r="163" spans="1:16" ht="22.5" customHeight="1" thickBot="1" x14ac:dyDescent="0.3">
      <c r="A163" s="247">
        <v>54</v>
      </c>
      <c r="B163" s="253"/>
      <c r="C163" s="251"/>
      <c r="D163" s="252"/>
      <c r="E163" s="24" t="s">
        <v>21</v>
      </c>
      <c r="F163" s="29">
        <f>'11B (S S) Sem1'!E57</f>
        <v>0</v>
      </c>
      <c r="G163" s="29">
        <f>'11B (S S) Sem1'!F57</f>
        <v>0</v>
      </c>
      <c r="H163" s="29">
        <f>'11B (S S) Sem1'!G57</f>
        <v>0</v>
      </c>
      <c r="I163" s="29">
        <f>'11B (S S) Sem1'!H57</f>
        <v>0</v>
      </c>
      <c r="J163" s="29">
        <f>'11B (S S) Sem1'!I57</f>
        <v>0</v>
      </c>
      <c r="K163" s="29">
        <f>'11B (S S) Sem1'!J57</f>
        <v>0</v>
      </c>
      <c r="L163" s="29">
        <f>'11B (S S) Sem1'!K57</f>
        <v>0</v>
      </c>
      <c r="M163" s="29">
        <f>'11B (S S) Sem1'!L57</f>
        <v>0</v>
      </c>
      <c r="N163" s="29">
        <f>'11B (S S) Sem1'!M57</f>
        <v>0</v>
      </c>
      <c r="O163" s="29">
        <f>'11B (S S) Sem1'!N57</f>
        <v>0</v>
      </c>
      <c r="P163" s="29">
        <f>'11B (S S) Sem1'!O57</f>
        <v>0</v>
      </c>
    </row>
    <row r="164" spans="1:16" ht="22.5" customHeight="1" thickBot="1" x14ac:dyDescent="0.3">
      <c r="A164" s="247"/>
      <c r="B164" s="253"/>
      <c r="C164" s="251"/>
      <c r="D164" s="252"/>
      <c r="E164" s="24" t="s">
        <v>22</v>
      </c>
      <c r="F164" s="29">
        <f>'11B (S S) Sem2'!E57</f>
        <v>0</v>
      </c>
      <c r="G164" s="29">
        <f>'11B (S S) Sem2'!F57</f>
        <v>0</v>
      </c>
      <c r="H164" s="29">
        <f>'11B (S S) Sem2'!G57</f>
        <v>0</v>
      </c>
      <c r="I164" s="29">
        <f>'11B (S S) Sem2'!H57</f>
        <v>0</v>
      </c>
      <c r="J164" s="29">
        <f>'11B (S S) Sem2'!I57</f>
        <v>0</v>
      </c>
      <c r="K164" s="29">
        <f>'11B (S S) Sem2'!J57</f>
        <v>0</v>
      </c>
      <c r="L164" s="29">
        <f>'11B (S S) Sem2'!K57</f>
        <v>0</v>
      </c>
      <c r="M164" s="29">
        <f>'11B (S S) Sem2'!L57</f>
        <v>0</v>
      </c>
      <c r="N164" s="29">
        <f>'11B (S S) Sem2'!M57</f>
        <v>0</v>
      </c>
      <c r="O164" s="29">
        <f>'11B (S S) Sem2'!N57</f>
        <v>0</v>
      </c>
      <c r="P164" s="29">
        <f>'11B (S S) Sem2'!O57</f>
        <v>0</v>
      </c>
    </row>
    <row r="165" spans="1:16" ht="22.5" customHeight="1" thickBot="1" x14ac:dyDescent="0.3">
      <c r="A165" s="247"/>
      <c r="B165" s="253"/>
      <c r="C165" s="251"/>
      <c r="D165" s="252"/>
      <c r="E165" s="89" t="s">
        <v>16</v>
      </c>
      <c r="F165" s="29">
        <f>AVERAGE(F163:F164)</f>
        <v>0</v>
      </c>
      <c r="G165" s="29">
        <f t="shared" ref="G165:P165" si="53">AVERAGE(G163:G164)</f>
        <v>0</v>
      </c>
      <c r="H165" s="29">
        <f t="shared" si="53"/>
        <v>0</v>
      </c>
      <c r="I165" s="29">
        <f t="shared" si="53"/>
        <v>0</v>
      </c>
      <c r="J165" s="29">
        <f t="shared" si="53"/>
        <v>0</v>
      </c>
      <c r="K165" s="29">
        <f t="shared" si="53"/>
        <v>0</v>
      </c>
      <c r="L165" s="29">
        <f t="shared" si="53"/>
        <v>0</v>
      </c>
      <c r="M165" s="29">
        <f t="shared" si="53"/>
        <v>0</v>
      </c>
      <c r="N165" s="29">
        <f>'11B (N S) Avr'!$I$57</f>
        <v>0</v>
      </c>
      <c r="O165" s="29">
        <f t="shared" si="53"/>
        <v>0</v>
      </c>
      <c r="P165" s="29">
        <f t="shared" si="53"/>
        <v>0</v>
      </c>
    </row>
    <row r="166" spans="1:16" ht="22.5" customHeight="1" thickBot="1" x14ac:dyDescent="0.3">
      <c r="A166" s="247">
        <v>55</v>
      </c>
      <c r="B166" s="253"/>
      <c r="C166" s="251"/>
      <c r="D166" s="252"/>
      <c r="E166" s="24" t="s">
        <v>21</v>
      </c>
      <c r="F166" s="29">
        <f>'11B (S S) Sem1'!E58</f>
        <v>0</v>
      </c>
      <c r="G166" s="29">
        <f>'11B (S S) Sem1'!F58</f>
        <v>0</v>
      </c>
      <c r="H166" s="29">
        <f>'11B (S S) Sem1'!G58</f>
        <v>0</v>
      </c>
      <c r="I166" s="29">
        <f>'11B (S S) Sem1'!H58</f>
        <v>0</v>
      </c>
      <c r="J166" s="29">
        <f>'11B (S S) Sem1'!I58</f>
        <v>0</v>
      </c>
      <c r="K166" s="29">
        <f>'11B (S S) Sem1'!J58</f>
        <v>0</v>
      </c>
      <c r="L166" s="29">
        <f>'11B (S S) Sem1'!K58</f>
        <v>0</v>
      </c>
      <c r="M166" s="29">
        <f>'11B (S S) Sem1'!L58</f>
        <v>0</v>
      </c>
      <c r="N166" s="29">
        <f>'11B (S S) Sem1'!M58</f>
        <v>0</v>
      </c>
      <c r="O166" s="29">
        <f>'11B (S S) Sem1'!N58</f>
        <v>0</v>
      </c>
      <c r="P166" s="29">
        <f>'11B (S S) Sem1'!O58</f>
        <v>0</v>
      </c>
    </row>
    <row r="167" spans="1:16" ht="22.5" customHeight="1" thickBot="1" x14ac:dyDescent="0.3">
      <c r="A167" s="247"/>
      <c r="B167" s="253"/>
      <c r="C167" s="251"/>
      <c r="D167" s="252"/>
      <c r="E167" s="24" t="s">
        <v>22</v>
      </c>
      <c r="F167" s="29">
        <f>'11B (S S) Sem2'!E58</f>
        <v>0</v>
      </c>
      <c r="G167" s="29">
        <f>'11B (S S) Sem2'!F58</f>
        <v>0</v>
      </c>
      <c r="H167" s="29">
        <f>'11B (S S) Sem2'!G58</f>
        <v>0</v>
      </c>
      <c r="I167" s="29">
        <f>'11B (S S) Sem2'!H58</f>
        <v>0</v>
      </c>
      <c r="J167" s="29">
        <f>'11B (S S) Sem2'!I58</f>
        <v>0</v>
      </c>
      <c r="K167" s="29">
        <f>'11B (S S) Sem2'!J58</f>
        <v>0</v>
      </c>
      <c r="L167" s="29">
        <f>'11B (S S) Sem2'!K58</f>
        <v>0</v>
      </c>
      <c r="M167" s="29">
        <f>'11B (S S) Sem2'!L58</f>
        <v>0</v>
      </c>
      <c r="N167" s="29">
        <f>'11B (S S) Sem2'!M58</f>
        <v>0</v>
      </c>
      <c r="O167" s="29">
        <f>'11B (S S) Sem2'!N58</f>
        <v>0</v>
      </c>
      <c r="P167" s="29">
        <f>'11B (S S) Sem2'!O58</f>
        <v>0</v>
      </c>
    </row>
    <row r="168" spans="1:16" ht="22.5" customHeight="1" thickBot="1" x14ac:dyDescent="0.3">
      <c r="A168" s="247"/>
      <c r="B168" s="253"/>
      <c r="C168" s="251"/>
      <c r="D168" s="252"/>
      <c r="E168" s="24" t="s">
        <v>16</v>
      </c>
      <c r="F168" s="29">
        <f>AVERAGE(F166:F167)</f>
        <v>0</v>
      </c>
      <c r="G168" s="29">
        <f t="shared" ref="G168:P168" si="54">AVERAGE(G166:G167)</f>
        <v>0</v>
      </c>
      <c r="H168" s="29">
        <f t="shared" si="54"/>
        <v>0</v>
      </c>
      <c r="I168" s="29">
        <f t="shared" si="54"/>
        <v>0</v>
      </c>
      <c r="J168" s="29">
        <f t="shared" si="54"/>
        <v>0</v>
      </c>
      <c r="K168" s="29">
        <f t="shared" si="54"/>
        <v>0</v>
      </c>
      <c r="L168" s="29">
        <f t="shared" si="54"/>
        <v>0</v>
      </c>
      <c r="M168" s="29">
        <f t="shared" si="54"/>
        <v>0</v>
      </c>
      <c r="N168" s="29">
        <f>'11B (N S) Avr'!$I$58</f>
        <v>0</v>
      </c>
      <c r="O168" s="29">
        <f t="shared" si="54"/>
        <v>0</v>
      </c>
      <c r="P168" s="29">
        <f t="shared" si="54"/>
        <v>0</v>
      </c>
    </row>
  </sheetData>
  <mergeCells count="222">
    <mergeCell ref="A7:A9"/>
    <mergeCell ref="B7:B9"/>
    <mergeCell ref="C7:C9"/>
    <mergeCell ref="D7:D9"/>
    <mergeCell ref="A10:A12"/>
    <mergeCell ref="B10:B12"/>
    <mergeCell ref="C10:C12"/>
    <mergeCell ref="D10:D12"/>
    <mergeCell ref="A1:P1"/>
    <mergeCell ref="A2:P2"/>
    <mergeCell ref="A4:A6"/>
    <mergeCell ref="B4:B6"/>
    <mergeCell ref="C4:C6"/>
    <mergeCell ref="D4:D6"/>
    <mergeCell ref="A19:A21"/>
    <mergeCell ref="B19:B21"/>
    <mergeCell ref="C19:C21"/>
    <mergeCell ref="D19:D21"/>
    <mergeCell ref="A22:A24"/>
    <mergeCell ref="B22:B24"/>
    <mergeCell ref="C22:C24"/>
    <mergeCell ref="D22:D24"/>
    <mergeCell ref="A13:A15"/>
    <mergeCell ref="B13:B15"/>
    <mergeCell ref="C13:C15"/>
    <mergeCell ref="D13:D15"/>
    <mergeCell ref="A16:A18"/>
    <mergeCell ref="B16:B18"/>
    <mergeCell ref="C16:C18"/>
    <mergeCell ref="D16:D18"/>
    <mergeCell ref="A31:A33"/>
    <mergeCell ref="B31:B33"/>
    <mergeCell ref="C31:C33"/>
    <mergeCell ref="D31:D33"/>
    <mergeCell ref="A34:A36"/>
    <mergeCell ref="B34:B36"/>
    <mergeCell ref="C34:C36"/>
    <mergeCell ref="D34:D36"/>
    <mergeCell ref="A25:A27"/>
    <mergeCell ref="B25:B27"/>
    <mergeCell ref="C25:C27"/>
    <mergeCell ref="D25:D27"/>
    <mergeCell ref="A28:A30"/>
    <mergeCell ref="B28:B30"/>
    <mergeCell ref="C28:C30"/>
    <mergeCell ref="D28:D30"/>
    <mergeCell ref="A43:A45"/>
    <mergeCell ref="B43:B45"/>
    <mergeCell ref="C43:C45"/>
    <mergeCell ref="D43:D45"/>
    <mergeCell ref="A46:A48"/>
    <mergeCell ref="B46:B48"/>
    <mergeCell ref="C46:C48"/>
    <mergeCell ref="D46:D48"/>
    <mergeCell ref="A37:A39"/>
    <mergeCell ref="B37:B39"/>
    <mergeCell ref="C37:C39"/>
    <mergeCell ref="D37:D39"/>
    <mergeCell ref="A40:A42"/>
    <mergeCell ref="B40:B42"/>
    <mergeCell ref="C40:C42"/>
    <mergeCell ref="D40:D42"/>
    <mergeCell ref="A55:A57"/>
    <mergeCell ref="B55:B57"/>
    <mergeCell ref="C55:C57"/>
    <mergeCell ref="D55:D57"/>
    <mergeCell ref="A58:A60"/>
    <mergeCell ref="B58:B60"/>
    <mergeCell ref="C58:C60"/>
    <mergeCell ref="D58:D60"/>
    <mergeCell ref="A49:A51"/>
    <mergeCell ref="B49:B51"/>
    <mergeCell ref="C49:C51"/>
    <mergeCell ref="D49:D51"/>
    <mergeCell ref="A52:A54"/>
    <mergeCell ref="B52:B54"/>
    <mergeCell ref="C52:C54"/>
    <mergeCell ref="D52:D54"/>
    <mergeCell ref="A67:A69"/>
    <mergeCell ref="B67:B69"/>
    <mergeCell ref="C67:C69"/>
    <mergeCell ref="D67:D69"/>
    <mergeCell ref="A70:A72"/>
    <mergeCell ref="B70:B72"/>
    <mergeCell ref="C70:C72"/>
    <mergeCell ref="D70:D72"/>
    <mergeCell ref="A61:A63"/>
    <mergeCell ref="B61:B63"/>
    <mergeCell ref="C61:C63"/>
    <mergeCell ref="D61:D63"/>
    <mergeCell ref="A64:A66"/>
    <mergeCell ref="B64:B66"/>
    <mergeCell ref="C64:C66"/>
    <mergeCell ref="D64:D66"/>
    <mergeCell ref="A79:A81"/>
    <mergeCell ref="B79:B81"/>
    <mergeCell ref="C79:C81"/>
    <mergeCell ref="D79:D81"/>
    <mergeCell ref="A82:A84"/>
    <mergeCell ref="B82:B84"/>
    <mergeCell ref="C82:C84"/>
    <mergeCell ref="D82:D84"/>
    <mergeCell ref="A73:A75"/>
    <mergeCell ref="B73:B75"/>
    <mergeCell ref="C73:C75"/>
    <mergeCell ref="D73:D75"/>
    <mergeCell ref="A76:A78"/>
    <mergeCell ref="B76:B78"/>
    <mergeCell ref="C76:C78"/>
    <mergeCell ref="D76:D78"/>
    <mergeCell ref="A91:A93"/>
    <mergeCell ref="B91:B93"/>
    <mergeCell ref="C91:C93"/>
    <mergeCell ref="D91:D93"/>
    <mergeCell ref="A94:A96"/>
    <mergeCell ref="B94:B96"/>
    <mergeCell ref="C94:C96"/>
    <mergeCell ref="D94:D96"/>
    <mergeCell ref="A85:A87"/>
    <mergeCell ref="B85:B87"/>
    <mergeCell ref="C85:C87"/>
    <mergeCell ref="D85:D87"/>
    <mergeCell ref="A88:A90"/>
    <mergeCell ref="B88:B90"/>
    <mergeCell ref="C88:C90"/>
    <mergeCell ref="D88:D90"/>
    <mergeCell ref="A103:A105"/>
    <mergeCell ref="B103:B105"/>
    <mergeCell ref="C103:C105"/>
    <mergeCell ref="D103:D105"/>
    <mergeCell ref="A106:A108"/>
    <mergeCell ref="B106:B108"/>
    <mergeCell ref="C106:C108"/>
    <mergeCell ref="D106:D108"/>
    <mergeCell ref="A97:A99"/>
    <mergeCell ref="B97:B99"/>
    <mergeCell ref="C97:C99"/>
    <mergeCell ref="D97:D99"/>
    <mergeCell ref="A100:A102"/>
    <mergeCell ref="B100:B102"/>
    <mergeCell ref="C100:C102"/>
    <mergeCell ref="D100:D102"/>
    <mergeCell ref="A115:A117"/>
    <mergeCell ref="B115:B117"/>
    <mergeCell ref="C115:C117"/>
    <mergeCell ref="D115:D117"/>
    <mergeCell ref="A118:A120"/>
    <mergeCell ref="B118:B120"/>
    <mergeCell ref="C118:C120"/>
    <mergeCell ref="D118:D120"/>
    <mergeCell ref="A109:A111"/>
    <mergeCell ref="B109:B111"/>
    <mergeCell ref="C109:C111"/>
    <mergeCell ref="D109:D111"/>
    <mergeCell ref="A112:A114"/>
    <mergeCell ref="B112:B114"/>
    <mergeCell ref="C112:C114"/>
    <mergeCell ref="D112:D114"/>
    <mergeCell ref="A127:A129"/>
    <mergeCell ref="B127:B129"/>
    <mergeCell ref="C127:C129"/>
    <mergeCell ref="D127:D129"/>
    <mergeCell ref="A130:A132"/>
    <mergeCell ref="B130:B132"/>
    <mergeCell ref="C130:C132"/>
    <mergeCell ref="D130:D132"/>
    <mergeCell ref="A121:A123"/>
    <mergeCell ref="B121:B123"/>
    <mergeCell ref="C121:C123"/>
    <mergeCell ref="D121:D123"/>
    <mergeCell ref="A124:A126"/>
    <mergeCell ref="B124:B126"/>
    <mergeCell ref="C124:C126"/>
    <mergeCell ref="D124:D126"/>
    <mergeCell ref="A139:A141"/>
    <mergeCell ref="B139:B141"/>
    <mergeCell ref="C139:C141"/>
    <mergeCell ref="D139:D141"/>
    <mergeCell ref="A142:A144"/>
    <mergeCell ref="B142:B144"/>
    <mergeCell ref="C142:C144"/>
    <mergeCell ref="D142:D144"/>
    <mergeCell ref="A133:A135"/>
    <mergeCell ref="B133:B135"/>
    <mergeCell ref="C133:C135"/>
    <mergeCell ref="D133:D135"/>
    <mergeCell ref="A136:A138"/>
    <mergeCell ref="B136:B138"/>
    <mergeCell ref="C136:C138"/>
    <mergeCell ref="D136:D138"/>
    <mergeCell ref="A151:A153"/>
    <mergeCell ref="B151:B153"/>
    <mergeCell ref="C151:C153"/>
    <mergeCell ref="D151:D153"/>
    <mergeCell ref="A154:A156"/>
    <mergeCell ref="B154:B156"/>
    <mergeCell ref="C154:C156"/>
    <mergeCell ref="D154:D156"/>
    <mergeCell ref="A145:A147"/>
    <mergeCell ref="B145:B147"/>
    <mergeCell ref="C145:C147"/>
    <mergeCell ref="D145:D147"/>
    <mergeCell ref="A148:A150"/>
    <mergeCell ref="B148:B150"/>
    <mergeCell ref="C148:C150"/>
    <mergeCell ref="D148:D150"/>
    <mergeCell ref="A163:A165"/>
    <mergeCell ref="B163:B165"/>
    <mergeCell ref="C163:C165"/>
    <mergeCell ref="D163:D165"/>
    <mergeCell ref="A166:A168"/>
    <mergeCell ref="B166:B168"/>
    <mergeCell ref="C166:C168"/>
    <mergeCell ref="D166:D168"/>
    <mergeCell ref="A157:A159"/>
    <mergeCell ref="B157:B159"/>
    <mergeCell ref="C157:C159"/>
    <mergeCell ref="D157:D159"/>
    <mergeCell ref="A160:A162"/>
    <mergeCell ref="B160:B162"/>
    <mergeCell ref="C160:C162"/>
    <mergeCell ref="D160:D162"/>
  </mergeCells>
  <pageMargins left="0.7" right="0.7" top="0.75" bottom="0.75" header="0.3" footer="0.3"/>
  <pageSetup paperSize="9" scale="91" fitToHeight="0" orientation="landscape" r:id="rId1"/>
  <ignoredErrors>
    <ignoredError sqref="N6:N168" formula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9"/>
  <sheetViews>
    <sheetView workbookViewId="0">
      <selection activeCell="B4" sqref="B4:B56"/>
    </sheetView>
  </sheetViews>
  <sheetFormatPr defaultRowHeight="15" x14ac:dyDescent="0.25"/>
  <cols>
    <col min="1" max="1" width="4.85546875" customWidth="1"/>
    <col min="2" max="2" width="37.140625" customWidth="1"/>
    <col min="3" max="3" width="6.140625" customWidth="1"/>
    <col min="4" max="4" width="4.85546875" customWidth="1"/>
    <col min="5" max="15" width="7.7109375" customWidth="1"/>
    <col min="16" max="16" width="38.28515625" customWidth="1"/>
    <col min="17" max="18" width="4.85546875" customWidth="1"/>
  </cols>
  <sheetData>
    <row r="1" spans="1:18" ht="20.25" customHeight="1" thickBot="1" x14ac:dyDescent="0.3">
      <c r="A1" s="254" t="s">
        <v>61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6"/>
      <c r="P1" s="37"/>
    </row>
    <row r="2" spans="1:18" ht="15.75" customHeight="1" thickBot="1" x14ac:dyDescent="0.3">
      <c r="A2" s="257" t="s">
        <v>73</v>
      </c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8"/>
      <c r="P2" s="37"/>
    </row>
    <row r="3" spans="1:18" ht="54.75" customHeight="1" x14ac:dyDescent="0.25">
      <c r="A3" s="40" t="s">
        <v>28</v>
      </c>
      <c r="B3" s="128" t="s">
        <v>1</v>
      </c>
      <c r="C3" s="128" t="s">
        <v>2</v>
      </c>
      <c r="D3" s="128" t="s">
        <v>3</v>
      </c>
      <c r="E3" s="121" t="s">
        <v>5</v>
      </c>
      <c r="F3" s="121" t="s">
        <v>6</v>
      </c>
      <c r="G3" s="121" t="s">
        <v>11</v>
      </c>
      <c r="H3" s="121" t="s">
        <v>10</v>
      </c>
      <c r="I3" s="121" t="s">
        <v>65</v>
      </c>
      <c r="J3" s="121" t="s">
        <v>67</v>
      </c>
      <c r="K3" s="121" t="s">
        <v>15</v>
      </c>
      <c r="L3" s="121" t="s">
        <v>16</v>
      </c>
      <c r="M3" s="121" t="s">
        <v>17</v>
      </c>
      <c r="N3" s="121" t="s">
        <v>18</v>
      </c>
      <c r="O3" s="77" t="s">
        <v>19</v>
      </c>
    </row>
    <row r="4" spans="1:18" ht="20.100000000000001" customHeight="1" x14ac:dyDescent="0.25">
      <c r="A4" s="155">
        <v>1</v>
      </c>
      <c r="B4" s="141"/>
      <c r="C4" s="145">
        <v>17</v>
      </c>
      <c r="D4" s="145" t="s">
        <v>20</v>
      </c>
      <c r="E4" s="107">
        <v>51</v>
      </c>
      <c r="F4" s="38">
        <v>50</v>
      </c>
      <c r="G4" s="38">
        <v>52</v>
      </c>
      <c r="H4" s="38">
        <v>48</v>
      </c>
      <c r="I4" s="38">
        <v>51</v>
      </c>
      <c r="J4" s="38">
        <v>76</v>
      </c>
      <c r="K4" s="38">
        <f>SUM(E4:J4)</f>
        <v>328</v>
      </c>
      <c r="L4" s="70">
        <f>AVERAGE(E4:J4)</f>
        <v>54.666666666666664</v>
      </c>
      <c r="M4" s="70">
        <f>RANK(L4,$L$4:$L$56)</f>
        <v>50</v>
      </c>
      <c r="N4" s="38"/>
      <c r="O4" s="185"/>
    </row>
    <row r="5" spans="1:18" ht="20.100000000000001" customHeight="1" x14ac:dyDescent="0.25">
      <c r="A5" s="155">
        <v>2</v>
      </c>
      <c r="B5" s="141"/>
      <c r="C5" s="145">
        <v>16</v>
      </c>
      <c r="D5" s="145" t="s">
        <v>20</v>
      </c>
      <c r="E5" s="107">
        <v>80</v>
      </c>
      <c r="F5" s="38">
        <v>70</v>
      </c>
      <c r="G5" s="38">
        <v>77</v>
      </c>
      <c r="H5" s="38">
        <v>87</v>
      </c>
      <c r="I5" s="38">
        <v>84</v>
      </c>
      <c r="J5" s="38">
        <v>100</v>
      </c>
      <c r="K5" s="38">
        <f t="shared" ref="K5:K56" si="0">SUM(E5:J5)</f>
        <v>498</v>
      </c>
      <c r="L5" s="70">
        <f t="shared" ref="L5:L56" si="1">AVERAGE(E5:J5)</f>
        <v>83</v>
      </c>
      <c r="M5" s="70">
        <f t="shared" ref="M5:M56" si="2">RANK(L5,$L$4:$L$56)</f>
        <v>7</v>
      </c>
      <c r="N5" s="38"/>
      <c r="O5" s="185"/>
    </row>
    <row r="6" spans="1:18" ht="20.100000000000001" customHeight="1" x14ac:dyDescent="0.25">
      <c r="A6" s="155">
        <v>3</v>
      </c>
      <c r="B6" s="141"/>
      <c r="C6" s="145">
        <v>17</v>
      </c>
      <c r="D6" s="145" t="s">
        <v>20</v>
      </c>
      <c r="E6" s="107">
        <v>71</v>
      </c>
      <c r="F6" s="38">
        <v>52</v>
      </c>
      <c r="G6" s="38">
        <v>46</v>
      </c>
      <c r="H6" s="38">
        <v>43</v>
      </c>
      <c r="I6" s="38">
        <v>45</v>
      </c>
      <c r="J6" s="38">
        <v>72</v>
      </c>
      <c r="K6" s="38">
        <f t="shared" si="0"/>
        <v>329</v>
      </c>
      <c r="L6" s="70">
        <f t="shared" si="1"/>
        <v>54.833333333333336</v>
      </c>
      <c r="M6" s="70">
        <f t="shared" si="2"/>
        <v>49</v>
      </c>
      <c r="N6" s="38"/>
      <c r="O6" s="185"/>
    </row>
    <row r="7" spans="1:18" ht="20.100000000000001" customHeight="1" x14ac:dyDescent="0.25">
      <c r="A7" s="155">
        <v>4</v>
      </c>
      <c r="B7" s="141"/>
      <c r="C7" s="145">
        <v>17</v>
      </c>
      <c r="D7" s="145" t="s">
        <v>23</v>
      </c>
      <c r="E7" s="107">
        <v>91</v>
      </c>
      <c r="F7" s="38">
        <v>77</v>
      </c>
      <c r="G7" s="38">
        <v>90</v>
      </c>
      <c r="H7" s="38">
        <v>94</v>
      </c>
      <c r="I7" s="38">
        <v>88</v>
      </c>
      <c r="J7" s="38">
        <v>100</v>
      </c>
      <c r="K7" s="38">
        <f t="shared" si="0"/>
        <v>540</v>
      </c>
      <c r="L7" s="70">
        <f t="shared" si="1"/>
        <v>90</v>
      </c>
      <c r="M7" s="70">
        <f t="shared" si="2"/>
        <v>2</v>
      </c>
      <c r="N7" s="38"/>
      <c r="O7" s="185"/>
    </row>
    <row r="8" spans="1:18" ht="20.100000000000001" customHeight="1" x14ac:dyDescent="0.25">
      <c r="A8" s="155">
        <v>5</v>
      </c>
      <c r="B8" s="141"/>
      <c r="C8" s="145">
        <v>16</v>
      </c>
      <c r="D8" s="145" t="s">
        <v>23</v>
      </c>
      <c r="E8" s="107">
        <v>55</v>
      </c>
      <c r="F8" s="38">
        <v>58</v>
      </c>
      <c r="G8" s="38">
        <v>60</v>
      </c>
      <c r="H8" s="38">
        <v>54</v>
      </c>
      <c r="I8" s="38">
        <v>60</v>
      </c>
      <c r="J8" s="38">
        <v>69</v>
      </c>
      <c r="K8" s="38">
        <f t="shared" si="0"/>
        <v>356</v>
      </c>
      <c r="L8" s="70">
        <f t="shared" si="1"/>
        <v>59.333333333333336</v>
      </c>
      <c r="M8" s="70">
        <f t="shared" si="2"/>
        <v>35</v>
      </c>
      <c r="N8" s="38"/>
      <c r="O8" s="185"/>
      <c r="P8" s="8"/>
      <c r="Q8" s="8"/>
      <c r="R8" s="8"/>
    </row>
    <row r="9" spans="1:18" ht="20.100000000000001" customHeight="1" x14ac:dyDescent="0.25">
      <c r="A9" s="155">
        <v>6</v>
      </c>
      <c r="B9" s="141"/>
      <c r="C9" s="145">
        <v>16</v>
      </c>
      <c r="D9" s="145" t="s">
        <v>23</v>
      </c>
      <c r="E9" s="107">
        <v>60</v>
      </c>
      <c r="F9" s="38">
        <v>41</v>
      </c>
      <c r="G9" s="38">
        <v>62</v>
      </c>
      <c r="H9" s="38">
        <v>59</v>
      </c>
      <c r="I9" s="38">
        <v>52</v>
      </c>
      <c r="J9" s="38">
        <v>66</v>
      </c>
      <c r="K9" s="38">
        <f t="shared" si="0"/>
        <v>340</v>
      </c>
      <c r="L9" s="70">
        <f t="shared" si="1"/>
        <v>56.666666666666664</v>
      </c>
      <c r="M9" s="70">
        <f t="shared" si="2"/>
        <v>43</v>
      </c>
      <c r="N9" s="38"/>
      <c r="O9" s="185"/>
      <c r="P9" s="8"/>
      <c r="Q9" s="8"/>
      <c r="R9" s="8"/>
    </row>
    <row r="10" spans="1:18" ht="20.100000000000001" customHeight="1" x14ac:dyDescent="0.25">
      <c r="A10" s="155">
        <v>7</v>
      </c>
      <c r="B10" s="141"/>
      <c r="C10" s="145">
        <v>17</v>
      </c>
      <c r="D10" s="145" t="s">
        <v>23</v>
      </c>
      <c r="E10" s="107">
        <v>63</v>
      </c>
      <c r="F10" s="38">
        <v>51</v>
      </c>
      <c r="G10" s="38">
        <v>76</v>
      </c>
      <c r="H10" s="38">
        <v>68</v>
      </c>
      <c r="I10" s="38">
        <v>69</v>
      </c>
      <c r="J10" s="38">
        <v>76</v>
      </c>
      <c r="K10" s="38">
        <f t="shared" si="0"/>
        <v>403</v>
      </c>
      <c r="L10" s="70">
        <f t="shared" si="1"/>
        <v>67.166666666666671</v>
      </c>
      <c r="M10" s="70">
        <f t="shared" si="2"/>
        <v>25</v>
      </c>
      <c r="N10" s="38"/>
      <c r="O10" s="185"/>
      <c r="P10" s="8"/>
      <c r="Q10" s="8"/>
      <c r="R10" s="8"/>
    </row>
    <row r="11" spans="1:18" ht="20.100000000000001" customHeight="1" x14ac:dyDescent="0.25">
      <c r="A11" s="155">
        <v>8</v>
      </c>
      <c r="B11" s="141"/>
      <c r="C11" s="145">
        <v>18</v>
      </c>
      <c r="D11" s="145" t="s">
        <v>20</v>
      </c>
      <c r="E11" s="107">
        <v>73</v>
      </c>
      <c r="F11" s="38">
        <v>72</v>
      </c>
      <c r="G11" s="38">
        <v>78</v>
      </c>
      <c r="H11" s="38">
        <v>70</v>
      </c>
      <c r="I11" s="38">
        <v>75</v>
      </c>
      <c r="J11" s="38">
        <v>85</v>
      </c>
      <c r="K11" s="38">
        <f t="shared" si="0"/>
        <v>453</v>
      </c>
      <c r="L11" s="70">
        <f t="shared" si="1"/>
        <v>75.5</v>
      </c>
      <c r="M11" s="70">
        <f t="shared" si="2"/>
        <v>18</v>
      </c>
      <c r="N11" s="38"/>
      <c r="O11" s="185"/>
      <c r="P11" s="8"/>
      <c r="Q11" s="8"/>
      <c r="R11" s="8"/>
    </row>
    <row r="12" spans="1:18" ht="20.100000000000001" customHeight="1" x14ac:dyDescent="0.25">
      <c r="A12" s="155">
        <v>9</v>
      </c>
      <c r="B12" s="141"/>
      <c r="C12" s="145">
        <v>17</v>
      </c>
      <c r="D12" s="145" t="s">
        <v>23</v>
      </c>
      <c r="E12" s="107">
        <v>69</v>
      </c>
      <c r="F12" s="38">
        <v>50</v>
      </c>
      <c r="G12" s="38">
        <v>64</v>
      </c>
      <c r="H12" s="38">
        <v>87</v>
      </c>
      <c r="I12" s="38">
        <v>76</v>
      </c>
      <c r="J12" s="38">
        <v>92</v>
      </c>
      <c r="K12" s="38">
        <f t="shared" si="0"/>
        <v>438</v>
      </c>
      <c r="L12" s="70">
        <f t="shared" si="1"/>
        <v>73</v>
      </c>
      <c r="M12" s="70">
        <f t="shared" si="2"/>
        <v>19</v>
      </c>
      <c r="N12" s="38"/>
      <c r="O12" s="185"/>
      <c r="P12" s="8"/>
      <c r="Q12" s="8"/>
      <c r="R12" s="8"/>
    </row>
    <row r="13" spans="1:18" ht="20.100000000000001" customHeight="1" x14ac:dyDescent="0.25">
      <c r="A13" s="155">
        <v>10</v>
      </c>
      <c r="B13" s="141"/>
      <c r="C13" s="145">
        <v>17</v>
      </c>
      <c r="D13" s="145" t="s">
        <v>23</v>
      </c>
      <c r="E13" s="107">
        <v>87</v>
      </c>
      <c r="F13" s="38">
        <v>75</v>
      </c>
      <c r="G13" s="38">
        <v>91</v>
      </c>
      <c r="H13" s="38">
        <v>94</v>
      </c>
      <c r="I13" s="38">
        <v>90</v>
      </c>
      <c r="J13" s="38">
        <v>100</v>
      </c>
      <c r="K13" s="38">
        <f t="shared" si="0"/>
        <v>537</v>
      </c>
      <c r="L13" s="70">
        <f t="shared" si="1"/>
        <v>89.5</v>
      </c>
      <c r="M13" s="70">
        <f t="shared" si="2"/>
        <v>3</v>
      </c>
      <c r="N13" s="38"/>
      <c r="O13" s="185"/>
      <c r="P13" s="8"/>
      <c r="Q13" s="8"/>
      <c r="R13" s="8"/>
    </row>
    <row r="14" spans="1:18" ht="20.100000000000001" customHeight="1" x14ac:dyDescent="0.25">
      <c r="A14" s="155">
        <v>11</v>
      </c>
      <c r="B14" s="141"/>
      <c r="C14" s="145">
        <v>17</v>
      </c>
      <c r="D14" s="145" t="s">
        <v>20</v>
      </c>
      <c r="E14" s="107">
        <v>55</v>
      </c>
      <c r="F14" s="38">
        <v>63</v>
      </c>
      <c r="G14" s="38">
        <v>90</v>
      </c>
      <c r="H14" s="38">
        <v>80</v>
      </c>
      <c r="I14" s="38">
        <v>67</v>
      </c>
      <c r="J14" s="38">
        <v>83</v>
      </c>
      <c r="K14" s="38">
        <f t="shared" si="0"/>
        <v>438</v>
      </c>
      <c r="L14" s="70">
        <f t="shared" si="1"/>
        <v>73</v>
      </c>
      <c r="M14" s="70">
        <f t="shared" si="2"/>
        <v>19</v>
      </c>
      <c r="N14" s="38"/>
      <c r="O14" s="185"/>
      <c r="P14" s="8"/>
      <c r="Q14" s="8"/>
      <c r="R14" s="8"/>
    </row>
    <row r="15" spans="1:18" ht="20.100000000000001" customHeight="1" x14ac:dyDescent="0.25">
      <c r="A15" s="155">
        <v>12</v>
      </c>
      <c r="B15" s="141"/>
      <c r="C15" s="145">
        <v>16</v>
      </c>
      <c r="D15" s="145" t="s">
        <v>23</v>
      </c>
      <c r="E15" s="107">
        <v>46</v>
      </c>
      <c r="F15" s="38">
        <v>60</v>
      </c>
      <c r="G15" s="38">
        <v>71</v>
      </c>
      <c r="H15" s="38">
        <v>67</v>
      </c>
      <c r="I15" s="38">
        <v>66</v>
      </c>
      <c r="J15" s="38">
        <v>79</v>
      </c>
      <c r="K15" s="38">
        <f t="shared" si="0"/>
        <v>389</v>
      </c>
      <c r="L15" s="70">
        <f t="shared" si="1"/>
        <v>64.833333333333329</v>
      </c>
      <c r="M15" s="70">
        <f t="shared" si="2"/>
        <v>28</v>
      </c>
      <c r="N15" s="38"/>
      <c r="O15" s="185"/>
      <c r="P15" s="8"/>
      <c r="Q15" s="8"/>
      <c r="R15" s="8"/>
    </row>
    <row r="16" spans="1:18" ht="20.100000000000001" customHeight="1" x14ac:dyDescent="0.25">
      <c r="A16" s="155">
        <v>13</v>
      </c>
      <c r="B16" s="141"/>
      <c r="C16" s="145">
        <v>17</v>
      </c>
      <c r="D16" s="145" t="s">
        <v>23</v>
      </c>
      <c r="E16" s="107">
        <v>44</v>
      </c>
      <c r="F16" s="38">
        <v>39</v>
      </c>
      <c r="G16" s="38">
        <v>54</v>
      </c>
      <c r="H16" s="38">
        <v>55</v>
      </c>
      <c r="I16" s="38">
        <v>58</v>
      </c>
      <c r="J16" s="38">
        <v>55</v>
      </c>
      <c r="K16" s="38">
        <f t="shared" si="0"/>
        <v>305</v>
      </c>
      <c r="L16" s="70">
        <f t="shared" si="1"/>
        <v>50.833333333333336</v>
      </c>
      <c r="M16" s="70">
        <f t="shared" si="2"/>
        <v>52</v>
      </c>
      <c r="N16" s="38"/>
      <c r="O16" s="185"/>
      <c r="P16" s="8"/>
      <c r="Q16" s="8"/>
      <c r="R16" s="8"/>
    </row>
    <row r="17" spans="1:18" ht="20.100000000000001" customHeight="1" x14ac:dyDescent="0.25">
      <c r="A17" s="155">
        <v>14</v>
      </c>
      <c r="B17" s="141"/>
      <c r="C17" s="145">
        <v>16</v>
      </c>
      <c r="D17" s="145" t="s">
        <v>23</v>
      </c>
      <c r="E17" s="107">
        <v>56</v>
      </c>
      <c r="F17" s="38">
        <v>53</v>
      </c>
      <c r="G17" s="38">
        <v>60</v>
      </c>
      <c r="H17" s="38">
        <v>50</v>
      </c>
      <c r="I17" s="38">
        <v>65</v>
      </c>
      <c r="J17" s="38">
        <v>69</v>
      </c>
      <c r="K17" s="38">
        <f t="shared" si="0"/>
        <v>353</v>
      </c>
      <c r="L17" s="70">
        <f t="shared" si="1"/>
        <v>58.833333333333336</v>
      </c>
      <c r="M17" s="70">
        <f t="shared" si="2"/>
        <v>36</v>
      </c>
      <c r="N17" s="38"/>
      <c r="O17" s="185"/>
      <c r="P17" s="8"/>
      <c r="Q17" s="8"/>
      <c r="R17" s="8"/>
    </row>
    <row r="18" spans="1:18" ht="20.100000000000001" customHeight="1" x14ac:dyDescent="0.25">
      <c r="A18" s="155">
        <v>15</v>
      </c>
      <c r="B18" s="141"/>
      <c r="C18" s="145">
        <v>16</v>
      </c>
      <c r="D18" s="145" t="s">
        <v>23</v>
      </c>
      <c r="E18" s="107">
        <v>74</v>
      </c>
      <c r="F18" s="38">
        <v>41</v>
      </c>
      <c r="G18" s="38">
        <v>56</v>
      </c>
      <c r="H18" s="38">
        <v>48</v>
      </c>
      <c r="I18" s="38">
        <v>57</v>
      </c>
      <c r="J18" s="38">
        <v>71</v>
      </c>
      <c r="K18" s="38">
        <f t="shared" si="0"/>
        <v>347</v>
      </c>
      <c r="L18" s="70">
        <f t="shared" si="1"/>
        <v>57.833333333333336</v>
      </c>
      <c r="M18" s="70">
        <f t="shared" si="2"/>
        <v>39</v>
      </c>
      <c r="N18" s="38"/>
      <c r="O18" s="185"/>
      <c r="P18" s="8"/>
      <c r="Q18" s="8"/>
      <c r="R18" s="8"/>
    </row>
    <row r="19" spans="1:18" ht="20.100000000000001" customHeight="1" x14ac:dyDescent="0.25">
      <c r="A19" s="155">
        <v>16</v>
      </c>
      <c r="B19" s="141"/>
      <c r="C19" s="145">
        <v>17</v>
      </c>
      <c r="D19" s="145" t="s">
        <v>23</v>
      </c>
      <c r="E19" s="107">
        <v>74</v>
      </c>
      <c r="F19" s="38">
        <v>68</v>
      </c>
      <c r="G19" s="38">
        <v>87</v>
      </c>
      <c r="H19" s="38">
        <v>81</v>
      </c>
      <c r="I19" s="38">
        <v>84</v>
      </c>
      <c r="J19" s="38">
        <v>96</v>
      </c>
      <c r="K19" s="38">
        <f t="shared" si="0"/>
        <v>490</v>
      </c>
      <c r="L19" s="70">
        <f t="shared" si="1"/>
        <v>81.666666666666671</v>
      </c>
      <c r="M19" s="70">
        <f t="shared" si="2"/>
        <v>11</v>
      </c>
      <c r="N19" s="38"/>
      <c r="O19" s="185"/>
      <c r="P19" s="8"/>
      <c r="Q19" s="8"/>
      <c r="R19" s="8"/>
    </row>
    <row r="20" spans="1:18" ht="20.100000000000001" customHeight="1" x14ac:dyDescent="0.25">
      <c r="A20" s="155">
        <v>17</v>
      </c>
      <c r="B20" s="141"/>
      <c r="C20" s="145">
        <v>17</v>
      </c>
      <c r="D20" s="145" t="s">
        <v>20</v>
      </c>
      <c r="E20" s="107">
        <v>75</v>
      </c>
      <c r="F20" s="38">
        <v>57</v>
      </c>
      <c r="G20" s="38">
        <v>70</v>
      </c>
      <c r="H20" s="38">
        <v>73</v>
      </c>
      <c r="I20" s="38">
        <v>64</v>
      </c>
      <c r="J20" s="38">
        <v>83</v>
      </c>
      <c r="K20" s="38">
        <f t="shared" si="0"/>
        <v>422</v>
      </c>
      <c r="L20" s="70">
        <f t="shared" si="1"/>
        <v>70.333333333333329</v>
      </c>
      <c r="M20" s="70">
        <f t="shared" si="2"/>
        <v>24</v>
      </c>
      <c r="N20" s="38"/>
      <c r="O20" s="185"/>
      <c r="P20" s="8"/>
      <c r="Q20" s="8"/>
      <c r="R20" s="8"/>
    </row>
    <row r="21" spans="1:18" ht="20.100000000000001" customHeight="1" x14ac:dyDescent="0.25">
      <c r="A21" s="155">
        <v>18</v>
      </c>
      <c r="B21" s="141"/>
      <c r="C21" s="145">
        <v>17</v>
      </c>
      <c r="D21" s="145" t="s">
        <v>23</v>
      </c>
      <c r="E21" s="107">
        <v>76</v>
      </c>
      <c r="F21" s="38">
        <v>55</v>
      </c>
      <c r="G21" s="38">
        <v>65</v>
      </c>
      <c r="H21" s="38">
        <v>57</v>
      </c>
      <c r="I21" s="38">
        <v>66</v>
      </c>
      <c r="J21" s="38">
        <v>73</v>
      </c>
      <c r="K21" s="38">
        <f t="shared" si="0"/>
        <v>392</v>
      </c>
      <c r="L21" s="70">
        <f t="shared" si="1"/>
        <v>65.333333333333329</v>
      </c>
      <c r="M21" s="70">
        <f t="shared" si="2"/>
        <v>27</v>
      </c>
      <c r="N21" s="38"/>
      <c r="O21" s="185"/>
    </row>
    <row r="22" spans="1:18" ht="20.100000000000001" customHeight="1" x14ac:dyDescent="0.25">
      <c r="A22" s="155">
        <v>19</v>
      </c>
      <c r="B22" s="172"/>
      <c r="C22" s="150">
        <v>16</v>
      </c>
      <c r="D22" s="150" t="s">
        <v>23</v>
      </c>
      <c r="E22" s="107">
        <v>64</v>
      </c>
      <c r="F22" s="38">
        <v>55</v>
      </c>
      <c r="G22" s="38">
        <v>56</v>
      </c>
      <c r="H22" s="38">
        <v>59</v>
      </c>
      <c r="I22" s="38">
        <v>69</v>
      </c>
      <c r="J22" s="38">
        <v>76</v>
      </c>
      <c r="K22" s="38">
        <f t="shared" si="0"/>
        <v>379</v>
      </c>
      <c r="L22" s="70">
        <f t="shared" si="1"/>
        <v>63.166666666666664</v>
      </c>
      <c r="M22" s="70">
        <f t="shared" si="2"/>
        <v>30</v>
      </c>
      <c r="N22" s="38"/>
      <c r="O22" s="185"/>
    </row>
    <row r="23" spans="1:18" ht="20.100000000000001" customHeight="1" x14ac:dyDescent="0.25">
      <c r="A23" s="155">
        <v>20</v>
      </c>
      <c r="B23" s="141"/>
      <c r="C23" s="145">
        <v>18</v>
      </c>
      <c r="D23" s="145" t="s">
        <v>23</v>
      </c>
      <c r="E23" s="107">
        <v>81</v>
      </c>
      <c r="F23" s="38">
        <v>68</v>
      </c>
      <c r="G23" s="38">
        <v>66</v>
      </c>
      <c r="H23" s="38">
        <v>69</v>
      </c>
      <c r="I23" s="38">
        <v>80</v>
      </c>
      <c r="J23" s="38">
        <v>94</v>
      </c>
      <c r="K23" s="38">
        <f t="shared" si="0"/>
        <v>458</v>
      </c>
      <c r="L23" s="70">
        <f t="shared" si="1"/>
        <v>76.333333333333329</v>
      </c>
      <c r="M23" s="70">
        <f t="shared" si="2"/>
        <v>17</v>
      </c>
      <c r="N23" s="38"/>
      <c r="O23" s="185"/>
    </row>
    <row r="24" spans="1:18" ht="20.100000000000001" customHeight="1" x14ac:dyDescent="0.25">
      <c r="A24" s="155">
        <v>21</v>
      </c>
      <c r="B24" s="141"/>
      <c r="C24" s="145">
        <v>18</v>
      </c>
      <c r="D24" s="145" t="s">
        <v>23</v>
      </c>
      <c r="E24" s="107">
        <v>48</v>
      </c>
      <c r="F24" s="38">
        <v>57</v>
      </c>
      <c r="G24" s="38">
        <v>50</v>
      </c>
      <c r="H24" s="38">
        <v>47</v>
      </c>
      <c r="I24" s="38">
        <v>51</v>
      </c>
      <c r="J24" s="38">
        <v>77</v>
      </c>
      <c r="K24" s="38">
        <f t="shared" si="0"/>
        <v>330</v>
      </c>
      <c r="L24" s="70">
        <f t="shared" si="1"/>
        <v>55</v>
      </c>
      <c r="M24" s="70">
        <f t="shared" si="2"/>
        <v>47</v>
      </c>
      <c r="N24" s="38"/>
      <c r="O24" s="185"/>
    </row>
    <row r="25" spans="1:18" ht="20.100000000000001" customHeight="1" x14ac:dyDescent="0.25">
      <c r="A25" s="155">
        <v>22</v>
      </c>
      <c r="B25" s="141"/>
      <c r="C25" s="145">
        <v>16</v>
      </c>
      <c r="D25" s="145" t="s">
        <v>20</v>
      </c>
      <c r="E25" s="107">
        <v>62</v>
      </c>
      <c r="F25" s="38">
        <v>44</v>
      </c>
      <c r="G25" s="38">
        <v>52</v>
      </c>
      <c r="H25" s="38">
        <v>62</v>
      </c>
      <c r="I25" s="38">
        <v>53</v>
      </c>
      <c r="J25" s="38">
        <v>71</v>
      </c>
      <c r="K25" s="38">
        <f t="shared" si="0"/>
        <v>344</v>
      </c>
      <c r="L25" s="70">
        <f t="shared" si="1"/>
        <v>57.333333333333336</v>
      </c>
      <c r="M25" s="70">
        <f t="shared" si="2"/>
        <v>41</v>
      </c>
      <c r="N25" s="38"/>
      <c r="O25" s="185"/>
    </row>
    <row r="26" spans="1:18" ht="20.100000000000001" customHeight="1" x14ac:dyDescent="0.25">
      <c r="A26" s="155">
        <v>23</v>
      </c>
      <c r="B26" s="141"/>
      <c r="C26" s="145">
        <v>17</v>
      </c>
      <c r="D26" s="145" t="s">
        <v>20</v>
      </c>
      <c r="E26" s="107">
        <v>55</v>
      </c>
      <c r="F26" s="38">
        <v>51</v>
      </c>
      <c r="G26" s="38">
        <v>55</v>
      </c>
      <c r="H26" s="38">
        <v>59</v>
      </c>
      <c r="I26" s="38">
        <v>50</v>
      </c>
      <c r="J26" s="38">
        <v>79</v>
      </c>
      <c r="K26" s="38">
        <f t="shared" si="0"/>
        <v>349</v>
      </c>
      <c r="L26" s="70">
        <f t="shared" si="1"/>
        <v>58.166666666666664</v>
      </c>
      <c r="M26" s="70">
        <f t="shared" si="2"/>
        <v>38</v>
      </c>
      <c r="N26" s="38"/>
      <c r="O26" s="185"/>
    </row>
    <row r="27" spans="1:18" ht="20.100000000000001" customHeight="1" x14ac:dyDescent="0.25">
      <c r="A27" s="155">
        <v>24</v>
      </c>
      <c r="B27" s="141"/>
      <c r="C27" s="145">
        <v>17</v>
      </c>
      <c r="D27" s="145" t="s">
        <v>23</v>
      </c>
      <c r="E27" s="107">
        <v>66</v>
      </c>
      <c r="F27" s="38">
        <v>50</v>
      </c>
      <c r="G27" s="38">
        <v>86</v>
      </c>
      <c r="H27" s="38">
        <v>70</v>
      </c>
      <c r="I27" s="38">
        <v>64</v>
      </c>
      <c r="J27" s="38">
        <v>88</v>
      </c>
      <c r="K27" s="38">
        <f t="shared" si="0"/>
        <v>424</v>
      </c>
      <c r="L27" s="70">
        <f t="shared" si="1"/>
        <v>70.666666666666671</v>
      </c>
      <c r="M27" s="70">
        <f t="shared" si="2"/>
        <v>23</v>
      </c>
      <c r="N27" s="38"/>
      <c r="O27" s="185"/>
    </row>
    <row r="28" spans="1:18" ht="20.100000000000001" customHeight="1" x14ac:dyDescent="0.25">
      <c r="A28" s="155">
        <v>25</v>
      </c>
      <c r="B28" s="141"/>
      <c r="C28" s="145">
        <v>16</v>
      </c>
      <c r="D28" s="145" t="s">
        <v>23</v>
      </c>
      <c r="E28" s="107">
        <v>82</v>
      </c>
      <c r="F28" s="38">
        <v>69</v>
      </c>
      <c r="G28" s="38">
        <v>82</v>
      </c>
      <c r="H28" s="38">
        <v>82</v>
      </c>
      <c r="I28" s="38">
        <v>70</v>
      </c>
      <c r="J28" s="38">
        <v>97</v>
      </c>
      <c r="K28" s="38">
        <f t="shared" si="0"/>
        <v>482</v>
      </c>
      <c r="L28" s="70">
        <f t="shared" si="1"/>
        <v>80.333333333333329</v>
      </c>
      <c r="M28" s="70">
        <f t="shared" si="2"/>
        <v>12</v>
      </c>
      <c r="N28" s="38"/>
      <c r="O28" s="185"/>
    </row>
    <row r="29" spans="1:18" ht="20.100000000000001" customHeight="1" x14ac:dyDescent="0.25">
      <c r="A29" s="155">
        <v>26</v>
      </c>
      <c r="B29" s="141"/>
      <c r="C29" s="145">
        <v>16</v>
      </c>
      <c r="D29" s="145" t="s">
        <v>20</v>
      </c>
      <c r="E29" s="107">
        <v>61</v>
      </c>
      <c r="F29" s="38">
        <v>50</v>
      </c>
      <c r="G29" s="38">
        <v>52</v>
      </c>
      <c r="H29" s="38">
        <v>54</v>
      </c>
      <c r="I29" s="38">
        <v>60</v>
      </c>
      <c r="J29" s="38">
        <v>87</v>
      </c>
      <c r="K29" s="38">
        <f t="shared" si="0"/>
        <v>364</v>
      </c>
      <c r="L29" s="70">
        <f t="shared" si="1"/>
        <v>60.666666666666664</v>
      </c>
      <c r="M29" s="70">
        <f t="shared" si="2"/>
        <v>32</v>
      </c>
      <c r="N29" s="38"/>
      <c r="O29" s="185"/>
    </row>
    <row r="30" spans="1:18" ht="20.100000000000001" customHeight="1" x14ac:dyDescent="0.25">
      <c r="A30" s="155">
        <v>27</v>
      </c>
      <c r="B30" s="141"/>
      <c r="C30" s="145">
        <v>17</v>
      </c>
      <c r="D30" s="145" t="s">
        <v>20</v>
      </c>
      <c r="E30" s="107">
        <v>55</v>
      </c>
      <c r="F30" s="38">
        <v>53</v>
      </c>
      <c r="G30" s="38">
        <v>63</v>
      </c>
      <c r="H30" s="38">
        <v>63</v>
      </c>
      <c r="I30" s="38">
        <v>62</v>
      </c>
      <c r="J30" s="38">
        <v>74</v>
      </c>
      <c r="K30" s="38">
        <f t="shared" si="0"/>
        <v>370</v>
      </c>
      <c r="L30" s="70">
        <f t="shared" si="1"/>
        <v>61.666666666666664</v>
      </c>
      <c r="M30" s="70">
        <f t="shared" si="2"/>
        <v>31</v>
      </c>
      <c r="N30" s="38"/>
      <c r="O30" s="185"/>
    </row>
    <row r="31" spans="1:18" ht="20.100000000000001" customHeight="1" x14ac:dyDescent="0.25">
      <c r="A31" s="155">
        <v>28</v>
      </c>
      <c r="B31" s="141"/>
      <c r="C31" s="145">
        <v>17</v>
      </c>
      <c r="D31" s="145" t="s">
        <v>23</v>
      </c>
      <c r="E31" s="107">
        <v>46</v>
      </c>
      <c r="F31" s="38">
        <v>40</v>
      </c>
      <c r="G31" s="38">
        <v>52</v>
      </c>
      <c r="H31" s="38">
        <v>49</v>
      </c>
      <c r="I31" s="38">
        <v>40</v>
      </c>
      <c r="J31" s="38">
        <v>57</v>
      </c>
      <c r="K31" s="38">
        <f t="shared" si="0"/>
        <v>284</v>
      </c>
      <c r="L31" s="70">
        <f t="shared" si="1"/>
        <v>47.333333333333336</v>
      </c>
      <c r="M31" s="70">
        <f t="shared" si="2"/>
        <v>53</v>
      </c>
      <c r="N31" s="38"/>
      <c r="O31" s="76"/>
    </row>
    <row r="32" spans="1:18" ht="20.100000000000001" customHeight="1" x14ac:dyDescent="0.25">
      <c r="A32" s="155">
        <v>29</v>
      </c>
      <c r="B32" s="141"/>
      <c r="C32" s="145">
        <v>17</v>
      </c>
      <c r="D32" s="145" t="s">
        <v>20</v>
      </c>
      <c r="E32" s="38">
        <v>75</v>
      </c>
      <c r="F32" s="38">
        <v>77</v>
      </c>
      <c r="G32" s="38">
        <v>84</v>
      </c>
      <c r="H32" s="38">
        <v>88</v>
      </c>
      <c r="I32" s="38">
        <v>81</v>
      </c>
      <c r="J32" s="38">
        <v>100</v>
      </c>
      <c r="K32" s="38">
        <f t="shared" si="0"/>
        <v>505</v>
      </c>
      <c r="L32" s="70">
        <f t="shared" si="1"/>
        <v>84.166666666666671</v>
      </c>
      <c r="M32" s="70">
        <f t="shared" si="2"/>
        <v>6</v>
      </c>
      <c r="N32" s="38"/>
      <c r="O32" s="76"/>
    </row>
    <row r="33" spans="1:15" ht="20.100000000000001" customHeight="1" x14ac:dyDescent="0.25">
      <c r="A33" s="155">
        <v>30</v>
      </c>
      <c r="B33" s="141"/>
      <c r="C33" s="145">
        <v>16</v>
      </c>
      <c r="D33" s="145" t="s">
        <v>20</v>
      </c>
      <c r="E33" s="38">
        <v>53</v>
      </c>
      <c r="F33" s="38">
        <v>50</v>
      </c>
      <c r="G33" s="38">
        <v>54</v>
      </c>
      <c r="H33" s="38">
        <v>58</v>
      </c>
      <c r="I33" s="38">
        <v>71</v>
      </c>
      <c r="J33" s="38">
        <v>73</v>
      </c>
      <c r="K33" s="38">
        <f t="shared" si="0"/>
        <v>359</v>
      </c>
      <c r="L33" s="70">
        <f t="shared" si="1"/>
        <v>59.833333333333336</v>
      </c>
      <c r="M33" s="70">
        <f t="shared" si="2"/>
        <v>33</v>
      </c>
      <c r="N33" s="38"/>
      <c r="O33" s="76"/>
    </row>
    <row r="34" spans="1:15" ht="20.100000000000001" customHeight="1" x14ac:dyDescent="0.25">
      <c r="A34" s="155">
        <v>31</v>
      </c>
      <c r="B34" s="139"/>
      <c r="C34" s="136">
        <v>15</v>
      </c>
      <c r="D34" s="136" t="s">
        <v>23</v>
      </c>
      <c r="E34" s="38">
        <v>85</v>
      </c>
      <c r="F34" s="38">
        <v>70</v>
      </c>
      <c r="G34" s="38">
        <v>77</v>
      </c>
      <c r="H34" s="38">
        <v>82</v>
      </c>
      <c r="I34" s="38">
        <v>81</v>
      </c>
      <c r="J34" s="38">
        <v>100</v>
      </c>
      <c r="K34" s="38">
        <f t="shared" si="0"/>
        <v>495</v>
      </c>
      <c r="L34" s="70">
        <f t="shared" si="1"/>
        <v>82.5</v>
      </c>
      <c r="M34" s="70">
        <f t="shared" si="2"/>
        <v>8</v>
      </c>
      <c r="N34" s="38"/>
      <c r="O34" s="76"/>
    </row>
    <row r="35" spans="1:15" ht="20.100000000000001" customHeight="1" x14ac:dyDescent="0.25">
      <c r="A35" s="155">
        <v>32</v>
      </c>
      <c r="B35" s="139"/>
      <c r="C35" s="136">
        <v>17</v>
      </c>
      <c r="D35" s="136" t="s">
        <v>23</v>
      </c>
      <c r="E35" s="38">
        <v>84</v>
      </c>
      <c r="F35" s="38">
        <v>91</v>
      </c>
      <c r="G35" s="38">
        <v>77</v>
      </c>
      <c r="H35" s="38">
        <v>80</v>
      </c>
      <c r="I35" s="38">
        <v>95</v>
      </c>
      <c r="J35" s="38">
        <v>100</v>
      </c>
      <c r="K35" s="38">
        <f t="shared" si="0"/>
        <v>527</v>
      </c>
      <c r="L35" s="70">
        <f t="shared" si="1"/>
        <v>87.833333333333329</v>
      </c>
      <c r="M35" s="70">
        <f t="shared" si="2"/>
        <v>4</v>
      </c>
      <c r="N35" s="38"/>
      <c r="O35" s="76"/>
    </row>
    <row r="36" spans="1:15" ht="20.100000000000001" customHeight="1" x14ac:dyDescent="0.25">
      <c r="A36" s="155">
        <v>33</v>
      </c>
      <c r="B36" s="141"/>
      <c r="C36" s="136">
        <v>17</v>
      </c>
      <c r="D36" s="136" t="s">
        <v>20</v>
      </c>
      <c r="E36" s="38">
        <v>53</v>
      </c>
      <c r="F36" s="38">
        <v>46</v>
      </c>
      <c r="G36" s="38">
        <v>47</v>
      </c>
      <c r="H36" s="38">
        <v>54</v>
      </c>
      <c r="I36" s="38">
        <v>61</v>
      </c>
      <c r="J36" s="38">
        <v>70</v>
      </c>
      <c r="K36" s="38">
        <f t="shared" si="0"/>
        <v>331</v>
      </c>
      <c r="L36" s="70">
        <f t="shared" si="1"/>
        <v>55.166666666666664</v>
      </c>
      <c r="M36" s="70">
        <f t="shared" si="2"/>
        <v>46</v>
      </c>
      <c r="N36" s="38"/>
      <c r="O36" s="76"/>
    </row>
    <row r="37" spans="1:15" ht="20.100000000000001" customHeight="1" x14ac:dyDescent="0.25">
      <c r="A37" s="155">
        <v>34</v>
      </c>
      <c r="B37" s="139"/>
      <c r="C37" s="136">
        <v>17</v>
      </c>
      <c r="D37" s="136" t="s">
        <v>20</v>
      </c>
      <c r="E37" s="38">
        <v>74</v>
      </c>
      <c r="F37" s="38">
        <v>75</v>
      </c>
      <c r="G37" s="38">
        <v>81</v>
      </c>
      <c r="H37" s="38">
        <v>64</v>
      </c>
      <c r="I37" s="38">
        <v>81</v>
      </c>
      <c r="J37" s="38">
        <v>89</v>
      </c>
      <c r="K37" s="38">
        <f t="shared" si="0"/>
        <v>464</v>
      </c>
      <c r="L37" s="70">
        <f t="shared" si="1"/>
        <v>77.333333333333329</v>
      </c>
      <c r="M37" s="70">
        <f t="shared" si="2"/>
        <v>15</v>
      </c>
      <c r="N37" s="38"/>
      <c r="O37" s="76"/>
    </row>
    <row r="38" spans="1:15" ht="20.100000000000001" customHeight="1" x14ac:dyDescent="0.25">
      <c r="A38" s="155">
        <v>35</v>
      </c>
      <c r="B38" s="139"/>
      <c r="C38" s="136">
        <v>17</v>
      </c>
      <c r="D38" s="136" t="s">
        <v>23</v>
      </c>
      <c r="E38" s="38">
        <v>67</v>
      </c>
      <c r="F38" s="38">
        <v>39</v>
      </c>
      <c r="G38" s="38">
        <v>54</v>
      </c>
      <c r="H38" s="38">
        <v>55</v>
      </c>
      <c r="I38" s="38">
        <v>56</v>
      </c>
      <c r="J38" s="38">
        <v>74</v>
      </c>
      <c r="K38" s="38">
        <f t="shared" si="0"/>
        <v>345</v>
      </c>
      <c r="L38" s="70">
        <f t="shared" si="1"/>
        <v>57.5</v>
      </c>
      <c r="M38" s="70">
        <f t="shared" si="2"/>
        <v>40</v>
      </c>
      <c r="N38" s="38"/>
      <c r="O38" s="76"/>
    </row>
    <row r="39" spans="1:15" ht="20.100000000000001" customHeight="1" x14ac:dyDescent="0.25">
      <c r="A39" s="155">
        <v>36</v>
      </c>
      <c r="B39" s="139"/>
      <c r="C39" s="136">
        <v>15</v>
      </c>
      <c r="D39" s="136" t="s">
        <v>23</v>
      </c>
      <c r="E39" s="38">
        <v>51</v>
      </c>
      <c r="F39" s="38">
        <v>34</v>
      </c>
      <c r="G39" s="38">
        <v>58</v>
      </c>
      <c r="H39" s="38">
        <v>60</v>
      </c>
      <c r="I39" s="38">
        <v>47</v>
      </c>
      <c r="J39" s="38">
        <v>66</v>
      </c>
      <c r="K39" s="38">
        <f t="shared" si="0"/>
        <v>316</v>
      </c>
      <c r="L39" s="70">
        <f t="shared" si="1"/>
        <v>52.666666666666664</v>
      </c>
      <c r="M39" s="70">
        <f t="shared" si="2"/>
        <v>51</v>
      </c>
      <c r="N39" s="38"/>
      <c r="O39" s="76"/>
    </row>
    <row r="40" spans="1:15" ht="20.100000000000001" customHeight="1" x14ac:dyDescent="0.25">
      <c r="A40" s="155">
        <v>37</v>
      </c>
      <c r="B40" s="139"/>
      <c r="C40" s="136">
        <v>18</v>
      </c>
      <c r="D40" s="136" t="s">
        <v>23</v>
      </c>
      <c r="E40" s="38">
        <v>62</v>
      </c>
      <c r="F40" s="38">
        <v>45</v>
      </c>
      <c r="G40" s="38">
        <v>55</v>
      </c>
      <c r="H40" s="38">
        <v>64</v>
      </c>
      <c r="I40" s="38">
        <v>61</v>
      </c>
      <c r="J40" s="38">
        <v>66</v>
      </c>
      <c r="K40" s="38">
        <f t="shared" si="0"/>
        <v>353</v>
      </c>
      <c r="L40" s="70">
        <f t="shared" si="1"/>
        <v>58.833333333333336</v>
      </c>
      <c r="M40" s="70">
        <f t="shared" si="2"/>
        <v>36</v>
      </c>
      <c r="N40" s="38"/>
      <c r="O40" s="76"/>
    </row>
    <row r="41" spans="1:15" ht="20.100000000000001" customHeight="1" x14ac:dyDescent="0.25">
      <c r="A41" s="155">
        <v>38</v>
      </c>
      <c r="B41" s="139"/>
      <c r="C41" s="136">
        <v>16</v>
      </c>
      <c r="D41" s="136" t="s">
        <v>20</v>
      </c>
      <c r="E41" s="38">
        <v>55</v>
      </c>
      <c r="F41" s="38">
        <v>50</v>
      </c>
      <c r="G41" s="38">
        <v>64</v>
      </c>
      <c r="H41" s="38">
        <v>50</v>
      </c>
      <c r="I41" s="38">
        <v>56</v>
      </c>
      <c r="J41" s="38">
        <v>55</v>
      </c>
      <c r="K41" s="38">
        <f t="shared" si="0"/>
        <v>330</v>
      </c>
      <c r="L41" s="70">
        <f t="shared" si="1"/>
        <v>55</v>
      </c>
      <c r="M41" s="70">
        <f t="shared" si="2"/>
        <v>47</v>
      </c>
      <c r="N41" s="38"/>
      <c r="O41" s="76"/>
    </row>
    <row r="42" spans="1:15" ht="20.100000000000001" customHeight="1" x14ac:dyDescent="0.25">
      <c r="A42" s="155">
        <v>39</v>
      </c>
      <c r="B42" s="139"/>
      <c r="C42" s="136">
        <v>17</v>
      </c>
      <c r="D42" s="136" t="s">
        <v>20</v>
      </c>
      <c r="E42" s="38">
        <v>73</v>
      </c>
      <c r="F42" s="38">
        <v>67</v>
      </c>
      <c r="G42" s="38">
        <v>63</v>
      </c>
      <c r="H42" s="38">
        <v>74</v>
      </c>
      <c r="I42" s="38">
        <v>74</v>
      </c>
      <c r="J42" s="38">
        <v>84</v>
      </c>
      <c r="K42" s="38">
        <f t="shared" si="0"/>
        <v>435</v>
      </c>
      <c r="L42" s="70">
        <f t="shared" si="1"/>
        <v>72.5</v>
      </c>
      <c r="M42" s="70">
        <f t="shared" si="2"/>
        <v>21</v>
      </c>
      <c r="N42" s="38"/>
      <c r="O42" s="76"/>
    </row>
    <row r="43" spans="1:15" ht="20.100000000000001" customHeight="1" x14ac:dyDescent="0.25">
      <c r="A43" s="155">
        <v>40</v>
      </c>
      <c r="B43" s="139"/>
      <c r="C43" s="136">
        <v>17</v>
      </c>
      <c r="D43" s="136" t="s">
        <v>20</v>
      </c>
      <c r="E43" s="38">
        <v>60</v>
      </c>
      <c r="F43" s="38">
        <v>41</v>
      </c>
      <c r="G43" s="38">
        <v>54</v>
      </c>
      <c r="H43" s="38">
        <v>56</v>
      </c>
      <c r="I43" s="38">
        <v>59</v>
      </c>
      <c r="J43" s="38">
        <v>66</v>
      </c>
      <c r="K43" s="38">
        <f t="shared" si="0"/>
        <v>336</v>
      </c>
      <c r="L43" s="70">
        <f t="shared" si="1"/>
        <v>56</v>
      </c>
      <c r="M43" s="70">
        <f t="shared" si="2"/>
        <v>44</v>
      </c>
      <c r="N43" s="38"/>
      <c r="O43" s="76"/>
    </row>
    <row r="44" spans="1:15" ht="20.100000000000001" customHeight="1" x14ac:dyDescent="0.25">
      <c r="A44" s="155">
        <v>41</v>
      </c>
      <c r="B44" s="139"/>
      <c r="C44" s="136">
        <v>17</v>
      </c>
      <c r="D44" s="136" t="s">
        <v>20</v>
      </c>
      <c r="E44" s="38">
        <v>77</v>
      </c>
      <c r="F44" s="38">
        <v>65</v>
      </c>
      <c r="G44" s="38">
        <v>83</v>
      </c>
      <c r="H44" s="38">
        <v>90</v>
      </c>
      <c r="I44" s="38">
        <v>84</v>
      </c>
      <c r="J44" s="38">
        <v>95</v>
      </c>
      <c r="K44" s="38">
        <f t="shared" si="0"/>
        <v>494</v>
      </c>
      <c r="L44" s="70">
        <f t="shared" si="1"/>
        <v>82.333333333333329</v>
      </c>
      <c r="M44" s="70">
        <f t="shared" si="2"/>
        <v>9</v>
      </c>
      <c r="N44" s="38"/>
      <c r="O44" s="76"/>
    </row>
    <row r="45" spans="1:15" ht="20.100000000000001" customHeight="1" x14ac:dyDescent="0.25">
      <c r="A45" s="155">
        <v>42</v>
      </c>
      <c r="B45" s="139"/>
      <c r="C45" s="136">
        <v>18</v>
      </c>
      <c r="D45" s="136" t="s">
        <v>20</v>
      </c>
      <c r="E45" s="38">
        <v>73</v>
      </c>
      <c r="F45" s="38">
        <v>79</v>
      </c>
      <c r="G45" s="38">
        <v>60</v>
      </c>
      <c r="H45" s="38">
        <v>67</v>
      </c>
      <c r="I45" s="38">
        <v>65</v>
      </c>
      <c r="J45" s="38">
        <v>85</v>
      </c>
      <c r="K45" s="38">
        <f t="shared" si="0"/>
        <v>429</v>
      </c>
      <c r="L45" s="70">
        <f t="shared" si="1"/>
        <v>71.5</v>
      </c>
      <c r="M45" s="70">
        <f t="shared" si="2"/>
        <v>22</v>
      </c>
      <c r="N45" s="38"/>
      <c r="O45" s="76"/>
    </row>
    <row r="46" spans="1:15" ht="20.100000000000001" customHeight="1" x14ac:dyDescent="0.25">
      <c r="A46" s="155">
        <v>43</v>
      </c>
      <c r="B46" s="139"/>
      <c r="C46" s="136">
        <v>16</v>
      </c>
      <c r="D46" s="136" t="s">
        <v>20</v>
      </c>
      <c r="E46" s="38">
        <v>72</v>
      </c>
      <c r="F46" s="38">
        <v>50</v>
      </c>
      <c r="G46" s="38">
        <v>50</v>
      </c>
      <c r="H46" s="38">
        <v>44</v>
      </c>
      <c r="I46" s="38">
        <v>57</v>
      </c>
      <c r="J46" s="38">
        <v>86</v>
      </c>
      <c r="K46" s="38">
        <f t="shared" si="0"/>
        <v>359</v>
      </c>
      <c r="L46" s="70">
        <f t="shared" si="1"/>
        <v>59.833333333333336</v>
      </c>
      <c r="M46" s="70">
        <f t="shared" si="2"/>
        <v>33</v>
      </c>
      <c r="N46" s="38"/>
      <c r="O46" s="76"/>
    </row>
    <row r="47" spans="1:15" ht="20.100000000000001" customHeight="1" x14ac:dyDescent="0.25">
      <c r="A47" s="155">
        <v>44</v>
      </c>
      <c r="B47" s="139"/>
      <c r="C47" s="136">
        <v>16</v>
      </c>
      <c r="D47" s="136" t="s">
        <v>23</v>
      </c>
      <c r="E47" s="38">
        <v>70</v>
      </c>
      <c r="F47" s="38">
        <v>65</v>
      </c>
      <c r="G47" s="38">
        <v>82</v>
      </c>
      <c r="H47" s="38">
        <v>82</v>
      </c>
      <c r="I47" s="38">
        <v>77</v>
      </c>
      <c r="J47" s="38">
        <v>85</v>
      </c>
      <c r="K47" s="38">
        <f t="shared" si="0"/>
        <v>461</v>
      </c>
      <c r="L47" s="70">
        <f t="shared" si="1"/>
        <v>76.833333333333329</v>
      </c>
      <c r="M47" s="70">
        <f t="shared" si="2"/>
        <v>16</v>
      </c>
      <c r="N47" s="38"/>
      <c r="O47" s="76"/>
    </row>
    <row r="48" spans="1:15" ht="20.100000000000001" customHeight="1" x14ac:dyDescent="0.25">
      <c r="A48" s="155">
        <v>45</v>
      </c>
      <c r="B48" s="139"/>
      <c r="C48" s="136">
        <v>17</v>
      </c>
      <c r="D48" s="136" t="s">
        <v>23</v>
      </c>
      <c r="E48" s="38">
        <v>54</v>
      </c>
      <c r="F48" s="38">
        <v>52</v>
      </c>
      <c r="G48" s="38">
        <v>56</v>
      </c>
      <c r="H48" s="38">
        <v>55</v>
      </c>
      <c r="I48" s="38">
        <v>57</v>
      </c>
      <c r="J48" s="38">
        <v>70</v>
      </c>
      <c r="K48" s="38">
        <f t="shared" si="0"/>
        <v>344</v>
      </c>
      <c r="L48" s="70">
        <f t="shared" si="1"/>
        <v>57.333333333333336</v>
      </c>
      <c r="M48" s="70">
        <f t="shared" si="2"/>
        <v>41</v>
      </c>
      <c r="N48" s="38"/>
      <c r="O48" s="76"/>
    </row>
    <row r="49" spans="1:15" ht="20.100000000000001" customHeight="1" x14ac:dyDescent="0.25">
      <c r="A49" s="155">
        <v>46</v>
      </c>
      <c r="B49" s="139"/>
      <c r="C49" s="136">
        <v>17</v>
      </c>
      <c r="D49" s="136" t="s">
        <v>23</v>
      </c>
      <c r="E49" s="38">
        <v>77</v>
      </c>
      <c r="F49" s="38">
        <v>97</v>
      </c>
      <c r="G49" s="38">
        <v>94</v>
      </c>
      <c r="H49" s="38">
        <v>98</v>
      </c>
      <c r="I49" s="38">
        <v>95</v>
      </c>
      <c r="J49" s="38">
        <v>100</v>
      </c>
      <c r="K49" s="38">
        <f t="shared" si="0"/>
        <v>561</v>
      </c>
      <c r="L49" s="70">
        <f t="shared" si="1"/>
        <v>93.5</v>
      </c>
      <c r="M49" s="70">
        <f t="shared" si="2"/>
        <v>1</v>
      </c>
      <c r="N49" s="38"/>
      <c r="O49" s="76"/>
    </row>
    <row r="50" spans="1:15" ht="20.100000000000001" customHeight="1" x14ac:dyDescent="0.25">
      <c r="A50" s="155">
        <v>47</v>
      </c>
      <c r="B50" s="139"/>
      <c r="C50" s="136">
        <v>16</v>
      </c>
      <c r="D50" s="136" t="s">
        <v>23</v>
      </c>
      <c r="E50" s="38">
        <v>65</v>
      </c>
      <c r="F50" s="38">
        <v>50</v>
      </c>
      <c r="G50" s="38">
        <v>72</v>
      </c>
      <c r="H50" s="38">
        <v>62</v>
      </c>
      <c r="I50" s="38">
        <v>59</v>
      </c>
      <c r="J50" s="38">
        <v>81</v>
      </c>
      <c r="K50" s="38">
        <f t="shared" si="0"/>
        <v>389</v>
      </c>
      <c r="L50" s="70">
        <f t="shared" si="1"/>
        <v>64.833333333333329</v>
      </c>
      <c r="M50" s="70">
        <f t="shared" si="2"/>
        <v>28</v>
      </c>
      <c r="N50" s="38"/>
      <c r="O50" s="76"/>
    </row>
    <row r="51" spans="1:15" ht="20.100000000000001" customHeight="1" x14ac:dyDescent="0.25">
      <c r="A51" s="155">
        <v>48</v>
      </c>
      <c r="B51" s="139"/>
      <c r="C51" s="136">
        <v>16</v>
      </c>
      <c r="D51" s="136" t="s">
        <v>23</v>
      </c>
      <c r="E51" s="38">
        <v>67</v>
      </c>
      <c r="F51" s="38">
        <v>78</v>
      </c>
      <c r="G51" s="38">
        <v>90</v>
      </c>
      <c r="H51" s="38">
        <v>89</v>
      </c>
      <c r="I51" s="38">
        <v>91</v>
      </c>
      <c r="J51" s="38">
        <v>96</v>
      </c>
      <c r="K51" s="38">
        <f t="shared" si="0"/>
        <v>511</v>
      </c>
      <c r="L51" s="70">
        <f t="shared" si="1"/>
        <v>85.166666666666671</v>
      </c>
      <c r="M51" s="70">
        <f t="shared" si="2"/>
        <v>5</v>
      </c>
      <c r="N51" s="38"/>
      <c r="O51" s="76"/>
    </row>
    <row r="52" spans="1:15" ht="20.100000000000001" customHeight="1" x14ac:dyDescent="0.25">
      <c r="A52" s="155">
        <v>49</v>
      </c>
      <c r="B52" s="139"/>
      <c r="C52" s="136">
        <v>16</v>
      </c>
      <c r="D52" s="136" t="s">
        <v>23</v>
      </c>
      <c r="E52" s="38">
        <v>73</v>
      </c>
      <c r="F52" s="38">
        <v>68</v>
      </c>
      <c r="G52" s="38">
        <v>85</v>
      </c>
      <c r="H52" s="38">
        <v>83</v>
      </c>
      <c r="I52" s="38">
        <v>76</v>
      </c>
      <c r="J52" s="38">
        <v>92</v>
      </c>
      <c r="K52" s="38">
        <f t="shared" si="0"/>
        <v>477</v>
      </c>
      <c r="L52" s="70">
        <f t="shared" si="1"/>
        <v>79.5</v>
      </c>
      <c r="M52" s="70">
        <f t="shared" si="2"/>
        <v>13</v>
      </c>
      <c r="N52" s="38"/>
      <c r="O52" s="76"/>
    </row>
    <row r="53" spans="1:15" ht="20.100000000000001" customHeight="1" x14ac:dyDescent="0.25">
      <c r="A53" s="155">
        <v>50</v>
      </c>
      <c r="B53" s="139"/>
      <c r="C53" s="136">
        <v>16</v>
      </c>
      <c r="D53" s="136" t="s">
        <v>23</v>
      </c>
      <c r="E53" s="38">
        <v>80</v>
      </c>
      <c r="F53" s="38">
        <v>61</v>
      </c>
      <c r="G53" s="38">
        <v>86</v>
      </c>
      <c r="H53" s="38">
        <v>83</v>
      </c>
      <c r="I53" s="38">
        <v>71</v>
      </c>
      <c r="J53" s="38">
        <v>88</v>
      </c>
      <c r="K53" s="38">
        <f t="shared" si="0"/>
        <v>469</v>
      </c>
      <c r="L53" s="70">
        <f t="shared" si="1"/>
        <v>78.166666666666671</v>
      </c>
      <c r="M53" s="70">
        <f t="shared" si="2"/>
        <v>14</v>
      </c>
      <c r="N53" s="38"/>
      <c r="O53" s="76"/>
    </row>
    <row r="54" spans="1:15" ht="20.100000000000001" customHeight="1" x14ac:dyDescent="0.25">
      <c r="A54" s="155">
        <v>51</v>
      </c>
      <c r="B54" s="139"/>
      <c r="C54" s="136">
        <v>15</v>
      </c>
      <c r="D54" s="136" t="s">
        <v>20</v>
      </c>
      <c r="E54" s="38">
        <v>55</v>
      </c>
      <c r="F54" s="38">
        <v>66</v>
      </c>
      <c r="G54" s="38">
        <v>61</v>
      </c>
      <c r="H54" s="38">
        <v>63</v>
      </c>
      <c r="I54" s="38">
        <v>73</v>
      </c>
      <c r="J54" s="38">
        <v>76</v>
      </c>
      <c r="K54" s="38">
        <f t="shared" si="0"/>
        <v>394</v>
      </c>
      <c r="L54" s="70">
        <f t="shared" si="1"/>
        <v>65.666666666666671</v>
      </c>
      <c r="M54" s="70">
        <f t="shared" si="2"/>
        <v>26</v>
      </c>
      <c r="N54" s="38"/>
      <c r="O54" s="76"/>
    </row>
    <row r="55" spans="1:15" ht="20.100000000000001" customHeight="1" x14ac:dyDescent="0.25">
      <c r="A55" s="155">
        <v>52</v>
      </c>
      <c r="B55" s="139"/>
      <c r="C55" s="136">
        <v>17</v>
      </c>
      <c r="D55" s="136" t="s">
        <v>23</v>
      </c>
      <c r="E55" s="38">
        <v>45</v>
      </c>
      <c r="F55" s="38">
        <v>45</v>
      </c>
      <c r="G55" s="38">
        <v>60</v>
      </c>
      <c r="H55" s="38">
        <v>62</v>
      </c>
      <c r="I55" s="38">
        <v>61</v>
      </c>
      <c r="J55" s="38">
        <v>63</v>
      </c>
      <c r="K55" s="38">
        <f t="shared" si="0"/>
        <v>336</v>
      </c>
      <c r="L55" s="70">
        <f t="shared" si="1"/>
        <v>56</v>
      </c>
      <c r="M55" s="70">
        <f t="shared" si="2"/>
        <v>44</v>
      </c>
      <c r="N55" s="38"/>
      <c r="O55" s="76"/>
    </row>
    <row r="56" spans="1:15" ht="20.100000000000001" customHeight="1" x14ac:dyDescent="0.25">
      <c r="A56" s="155">
        <v>53</v>
      </c>
      <c r="B56" s="153"/>
      <c r="C56" s="42">
        <v>17</v>
      </c>
      <c r="D56" s="42" t="s">
        <v>20</v>
      </c>
      <c r="E56" s="11">
        <v>80</v>
      </c>
      <c r="F56" s="76">
        <v>78</v>
      </c>
      <c r="G56" s="76">
        <v>82</v>
      </c>
      <c r="H56" s="76">
        <v>79</v>
      </c>
      <c r="I56" s="76">
        <v>81</v>
      </c>
      <c r="J56" s="76">
        <v>91</v>
      </c>
      <c r="K56" s="38">
        <f t="shared" si="0"/>
        <v>491</v>
      </c>
      <c r="L56" s="70">
        <f t="shared" si="1"/>
        <v>81.833333333333329</v>
      </c>
      <c r="M56" s="70">
        <f t="shared" si="2"/>
        <v>10</v>
      </c>
      <c r="N56" s="76"/>
      <c r="O56" s="76"/>
    </row>
    <row r="57" spans="1:15" ht="20.100000000000001" customHeight="1" x14ac:dyDescent="0.25">
      <c r="A57" s="155">
        <v>54</v>
      </c>
      <c r="B57" s="153"/>
      <c r="C57" s="42"/>
      <c r="D57" s="42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spans="1:15" ht="20.100000000000001" customHeight="1" x14ac:dyDescent="0.25">
      <c r="A58" s="155">
        <v>55</v>
      </c>
      <c r="B58" s="153"/>
      <c r="C58" s="42"/>
      <c r="D58" s="42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1:15" ht="13.5" customHeight="1" x14ac:dyDescent="0.25"/>
    <row r="60" spans="1:15" ht="13.5" customHeight="1" x14ac:dyDescent="0.25"/>
    <row r="61" spans="1:15" ht="13.5" customHeight="1" x14ac:dyDescent="0.25"/>
    <row r="62" spans="1:15" ht="13.5" customHeight="1" x14ac:dyDescent="0.25"/>
    <row r="63" spans="1:15" ht="13.5" customHeight="1" x14ac:dyDescent="0.25"/>
    <row r="64" spans="1:15" ht="13.5" customHeight="1" x14ac:dyDescent="0.25"/>
    <row r="65" spans="1:4" ht="13.5" customHeight="1" x14ac:dyDescent="0.25"/>
    <row r="66" spans="1:4" ht="13.5" customHeight="1" x14ac:dyDescent="0.25">
      <c r="A66" s="37"/>
      <c r="B66" s="37"/>
    </row>
    <row r="67" spans="1:4" ht="13.5" customHeight="1" x14ac:dyDescent="0.25">
      <c r="A67" s="37"/>
      <c r="B67" s="37"/>
    </row>
    <row r="68" spans="1:4" ht="13.5" customHeight="1" x14ac:dyDescent="0.25">
      <c r="A68" s="37"/>
      <c r="B68" s="37"/>
    </row>
    <row r="69" spans="1:4" ht="13.5" customHeight="1" x14ac:dyDescent="0.25">
      <c r="A69" s="37"/>
      <c r="B69" s="37"/>
    </row>
    <row r="70" spans="1:4" ht="13.5" customHeight="1" x14ac:dyDescent="0.25">
      <c r="A70" s="37"/>
      <c r="B70" s="37"/>
    </row>
    <row r="71" spans="1:4" ht="13.5" customHeight="1" x14ac:dyDescent="0.25">
      <c r="A71" s="37"/>
      <c r="B71" s="37"/>
    </row>
    <row r="72" spans="1:4" ht="13.5" customHeight="1" x14ac:dyDescent="0.25">
      <c r="A72" s="37"/>
      <c r="B72" s="37"/>
    </row>
    <row r="73" spans="1:4" ht="13.5" customHeight="1" x14ac:dyDescent="0.25">
      <c r="A73" s="37"/>
      <c r="B73" s="37"/>
    </row>
    <row r="74" spans="1:4" ht="13.5" customHeight="1" x14ac:dyDescent="0.25">
      <c r="A74" s="37"/>
      <c r="B74" s="37"/>
    </row>
    <row r="75" spans="1:4" ht="13.5" customHeight="1" x14ac:dyDescent="0.25">
      <c r="A75" s="37"/>
      <c r="B75" s="37"/>
      <c r="C75" s="8"/>
      <c r="D75" s="8"/>
    </row>
    <row r="76" spans="1:4" ht="13.5" customHeight="1" x14ac:dyDescent="0.25">
      <c r="A76" s="37"/>
      <c r="B76" s="37"/>
      <c r="C76" s="8"/>
      <c r="D76" s="8"/>
    </row>
    <row r="77" spans="1:4" ht="13.5" customHeight="1" x14ac:dyDescent="0.25">
      <c r="A77" s="37"/>
      <c r="B77" s="37"/>
      <c r="C77" s="8"/>
      <c r="D77" s="8"/>
    </row>
    <row r="78" spans="1:4" ht="13.5" customHeight="1" x14ac:dyDescent="0.25">
      <c r="A78" s="37"/>
      <c r="B78" s="37"/>
      <c r="C78" s="8"/>
      <c r="D78" s="8"/>
    </row>
    <row r="79" spans="1:4" ht="13.5" customHeight="1" x14ac:dyDescent="0.25">
      <c r="A79" s="37"/>
      <c r="B79" s="37"/>
      <c r="C79" s="8"/>
      <c r="D79" s="8"/>
    </row>
    <row r="80" spans="1:4" ht="13.5" customHeight="1" x14ac:dyDescent="0.25">
      <c r="A80" s="37"/>
      <c r="B80" s="37"/>
      <c r="C80" s="8"/>
      <c r="D80" s="8"/>
    </row>
    <row r="81" spans="1:4" ht="13.5" customHeight="1" x14ac:dyDescent="0.25">
      <c r="A81" s="37"/>
      <c r="B81" s="37"/>
      <c r="C81" s="8"/>
      <c r="D81" s="8"/>
    </row>
    <row r="82" spans="1:4" ht="13.5" customHeight="1" x14ac:dyDescent="0.25">
      <c r="A82" s="37"/>
      <c r="B82" s="37"/>
      <c r="C82" s="8"/>
      <c r="D82" s="8"/>
    </row>
    <row r="83" spans="1:4" ht="13.5" customHeight="1" x14ac:dyDescent="0.25">
      <c r="A83" s="37"/>
      <c r="B83" s="37"/>
      <c r="C83" s="8"/>
      <c r="D83" s="8"/>
    </row>
    <row r="84" spans="1:4" ht="13.5" customHeight="1" x14ac:dyDescent="0.25">
      <c r="A84" s="37"/>
      <c r="B84" s="37"/>
    </row>
    <row r="85" spans="1:4" ht="13.5" customHeight="1" x14ac:dyDescent="0.25">
      <c r="A85" s="37"/>
      <c r="B85" s="37"/>
    </row>
    <row r="86" spans="1:4" ht="13.5" customHeight="1" x14ac:dyDescent="0.25">
      <c r="A86" s="37"/>
      <c r="B86" s="37"/>
    </row>
    <row r="87" spans="1:4" ht="13.5" customHeight="1" x14ac:dyDescent="0.25">
      <c r="A87" s="37"/>
      <c r="B87" s="37"/>
    </row>
    <row r="88" spans="1:4" ht="13.5" customHeight="1" x14ac:dyDescent="0.25">
      <c r="A88" s="37"/>
      <c r="B88" s="37"/>
    </row>
    <row r="89" spans="1:4" ht="13.5" customHeight="1" x14ac:dyDescent="0.25">
      <c r="A89" s="37"/>
      <c r="B89" s="37"/>
    </row>
    <row r="90" spans="1:4" ht="13.5" customHeight="1" x14ac:dyDescent="0.25">
      <c r="A90" s="37"/>
      <c r="B90" s="37"/>
    </row>
    <row r="91" spans="1:4" ht="13.5" customHeight="1" x14ac:dyDescent="0.25">
      <c r="A91" s="37"/>
      <c r="B91" s="37"/>
    </row>
    <row r="92" spans="1:4" ht="13.5" customHeight="1" x14ac:dyDescent="0.25">
      <c r="A92" s="37"/>
      <c r="B92" s="37"/>
    </row>
    <row r="93" spans="1:4" ht="13.5" customHeight="1" x14ac:dyDescent="0.25">
      <c r="A93" s="37"/>
      <c r="B93" s="37"/>
    </row>
    <row r="94" spans="1:4" ht="13.5" customHeight="1" x14ac:dyDescent="0.25">
      <c r="A94" s="37"/>
      <c r="B94" s="37"/>
    </row>
    <row r="95" spans="1:4" ht="13.5" customHeight="1" x14ac:dyDescent="0.25">
      <c r="A95" s="37"/>
      <c r="B95" s="37"/>
    </row>
    <row r="96" spans="1:4" ht="13.5" customHeight="1" x14ac:dyDescent="0.25">
      <c r="A96" s="37"/>
      <c r="B96" s="37"/>
    </row>
    <row r="97" spans="1:2" ht="13.5" customHeight="1" x14ac:dyDescent="0.25">
      <c r="A97" s="37"/>
      <c r="B97" s="37"/>
    </row>
    <row r="98" spans="1:2" ht="13.5" customHeight="1" x14ac:dyDescent="0.25">
      <c r="A98" s="37"/>
      <c r="B98" s="37"/>
    </row>
    <row r="99" spans="1:2" ht="15" customHeight="1" x14ac:dyDescent="0.25">
      <c r="A99" s="37"/>
      <c r="B99" s="37"/>
    </row>
  </sheetData>
  <mergeCells count="2">
    <mergeCell ref="A1:O1"/>
    <mergeCell ref="A2:O2"/>
  </mergeCells>
  <pageMargins left="0.7" right="0.7" top="0.75" bottom="0.75" header="0.3" footer="0.3"/>
  <pageSetup paperSize="9" scale="95" fitToHeight="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7"/>
  <sheetViews>
    <sheetView workbookViewId="0">
      <selection activeCell="B4" sqref="B4:B56"/>
    </sheetView>
  </sheetViews>
  <sheetFormatPr defaultRowHeight="15" x14ac:dyDescent="0.25"/>
  <cols>
    <col min="1" max="1" width="4.85546875" customWidth="1"/>
    <col min="2" max="2" width="37.140625" customWidth="1"/>
    <col min="3" max="3" width="6.140625" customWidth="1"/>
    <col min="4" max="4" width="4.85546875" customWidth="1"/>
    <col min="5" max="15" width="7.7109375" customWidth="1"/>
    <col min="16" max="16" width="38.28515625" customWidth="1"/>
    <col min="17" max="18" width="4.85546875" customWidth="1"/>
  </cols>
  <sheetData>
    <row r="1" spans="1:18" ht="20.25" customHeight="1" thickBot="1" x14ac:dyDescent="0.3">
      <c r="A1" s="254" t="s">
        <v>61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6"/>
      <c r="P1" s="37"/>
    </row>
    <row r="2" spans="1:18" ht="15.75" customHeight="1" thickBot="1" x14ac:dyDescent="0.3">
      <c r="A2" s="257" t="s">
        <v>74</v>
      </c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8"/>
      <c r="P2" s="37"/>
    </row>
    <row r="3" spans="1:18" ht="60" customHeight="1" x14ac:dyDescent="0.25">
      <c r="A3" s="40" t="s">
        <v>28</v>
      </c>
      <c r="B3" s="128" t="s">
        <v>1</v>
      </c>
      <c r="C3" s="128" t="s">
        <v>2</v>
      </c>
      <c r="D3" s="128" t="s">
        <v>3</v>
      </c>
      <c r="E3" s="121" t="s">
        <v>5</v>
      </c>
      <c r="F3" s="121" t="s">
        <v>6</v>
      </c>
      <c r="G3" s="121" t="s">
        <v>11</v>
      </c>
      <c r="H3" s="121" t="s">
        <v>10</v>
      </c>
      <c r="I3" s="121" t="s">
        <v>65</v>
      </c>
      <c r="J3" s="121" t="s">
        <v>67</v>
      </c>
      <c r="K3" s="19" t="s">
        <v>15</v>
      </c>
      <c r="L3" s="17" t="s">
        <v>16</v>
      </c>
      <c r="M3" s="17" t="s">
        <v>17</v>
      </c>
      <c r="N3" s="17" t="s">
        <v>18</v>
      </c>
      <c r="O3" s="191" t="s">
        <v>19</v>
      </c>
    </row>
    <row r="4" spans="1:18" ht="20.100000000000001" customHeight="1" x14ac:dyDescent="0.25">
      <c r="A4" s="155">
        <v>1</v>
      </c>
      <c r="B4" s="137"/>
      <c r="C4" s="145">
        <v>17</v>
      </c>
      <c r="D4" s="145" t="s">
        <v>20</v>
      </c>
      <c r="E4" s="23">
        <v>53</v>
      </c>
      <c r="F4" s="23">
        <v>55</v>
      </c>
      <c r="G4" s="23">
        <v>57</v>
      </c>
      <c r="H4" s="23">
        <v>64</v>
      </c>
      <c r="I4" s="23">
        <v>65</v>
      </c>
      <c r="J4" s="23">
        <v>64</v>
      </c>
      <c r="K4" s="23">
        <f>SUM(E4:J4)</f>
        <v>358</v>
      </c>
      <c r="L4" s="192">
        <f>AVERAGE(E4:J4)</f>
        <v>59.666666666666664</v>
      </c>
      <c r="M4" s="22">
        <f>RANK(L4,$L$4:$L$56)</f>
        <v>48</v>
      </c>
      <c r="N4" s="23"/>
      <c r="O4" s="186"/>
    </row>
    <row r="5" spans="1:18" ht="20.100000000000001" customHeight="1" x14ac:dyDescent="0.25">
      <c r="A5" s="155">
        <v>2</v>
      </c>
      <c r="B5" s="137"/>
      <c r="C5" s="145">
        <v>16</v>
      </c>
      <c r="D5" s="145" t="s">
        <v>20</v>
      </c>
      <c r="E5" s="23">
        <v>83</v>
      </c>
      <c r="F5" s="23">
        <v>56</v>
      </c>
      <c r="G5" s="23">
        <v>75</v>
      </c>
      <c r="H5" s="23">
        <v>91</v>
      </c>
      <c r="I5" s="23">
        <v>88</v>
      </c>
      <c r="J5" s="23">
        <v>89</v>
      </c>
      <c r="K5" s="23">
        <f t="shared" ref="K5:K56" si="0">SUM(E5:J5)</f>
        <v>482</v>
      </c>
      <c r="L5" s="192">
        <f t="shared" ref="L5:L56" si="1">AVERAGE(E5:J5)</f>
        <v>80.333333333333329</v>
      </c>
      <c r="M5" s="22">
        <f t="shared" ref="M5:M56" si="2">RANK(L5,$L$4:$L$56)</f>
        <v>17</v>
      </c>
      <c r="N5" s="23"/>
      <c r="O5" s="186"/>
    </row>
    <row r="6" spans="1:18" ht="20.100000000000001" customHeight="1" x14ac:dyDescent="0.25">
      <c r="A6" s="155">
        <v>3</v>
      </c>
      <c r="B6" s="137"/>
      <c r="C6" s="145">
        <v>17</v>
      </c>
      <c r="D6" s="145" t="s">
        <v>20</v>
      </c>
      <c r="E6" s="23">
        <v>66</v>
      </c>
      <c r="F6" s="23">
        <v>72</v>
      </c>
      <c r="G6" s="23">
        <v>57</v>
      </c>
      <c r="H6" s="23">
        <v>51</v>
      </c>
      <c r="I6" s="23">
        <v>68</v>
      </c>
      <c r="J6" s="23">
        <v>75</v>
      </c>
      <c r="K6" s="23">
        <f t="shared" si="0"/>
        <v>389</v>
      </c>
      <c r="L6" s="192">
        <f t="shared" si="1"/>
        <v>64.833333333333329</v>
      </c>
      <c r="M6" s="22">
        <f t="shared" si="2"/>
        <v>39</v>
      </c>
      <c r="N6" s="23"/>
      <c r="O6" s="186"/>
    </row>
    <row r="7" spans="1:18" ht="20.100000000000001" customHeight="1" x14ac:dyDescent="0.25">
      <c r="A7" s="155">
        <v>4</v>
      </c>
      <c r="B7" s="137"/>
      <c r="C7" s="145">
        <v>17</v>
      </c>
      <c r="D7" s="145" t="s">
        <v>23</v>
      </c>
      <c r="E7" s="23">
        <v>95</v>
      </c>
      <c r="F7" s="23">
        <v>80</v>
      </c>
      <c r="G7" s="23">
        <v>93</v>
      </c>
      <c r="H7" s="23">
        <v>96</v>
      </c>
      <c r="I7" s="23">
        <v>96</v>
      </c>
      <c r="J7" s="23">
        <v>100</v>
      </c>
      <c r="K7" s="23">
        <f t="shared" si="0"/>
        <v>560</v>
      </c>
      <c r="L7" s="192">
        <f t="shared" si="1"/>
        <v>93.333333333333329</v>
      </c>
      <c r="M7" s="22">
        <f t="shared" si="2"/>
        <v>2</v>
      </c>
      <c r="N7" s="23"/>
      <c r="O7" s="186"/>
    </row>
    <row r="8" spans="1:18" ht="20.100000000000001" customHeight="1" x14ac:dyDescent="0.25">
      <c r="A8" s="155">
        <v>5</v>
      </c>
      <c r="B8" s="137"/>
      <c r="C8" s="145">
        <v>16</v>
      </c>
      <c r="D8" s="145" t="s">
        <v>23</v>
      </c>
      <c r="E8" s="23">
        <v>58</v>
      </c>
      <c r="F8" s="23">
        <v>61</v>
      </c>
      <c r="G8" s="23">
        <v>52</v>
      </c>
      <c r="H8" s="23">
        <v>55</v>
      </c>
      <c r="I8" s="23">
        <v>73</v>
      </c>
      <c r="J8" s="23">
        <v>87</v>
      </c>
      <c r="K8" s="23">
        <f t="shared" si="0"/>
        <v>386</v>
      </c>
      <c r="L8" s="192">
        <f t="shared" si="1"/>
        <v>64.333333333333329</v>
      </c>
      <c r="M8" s="22">
        <f t="shared" si="2"/>
        <v>41</v>
      </c>
      <c r="N8" s="23"/>
      <c r="O8" s="186"/>
      <c r="P8" s="8"/>
      <c r="Q8" s="8"/>
      <c r="R8" s="8"/>
    </row>
    <row r="9" spans="1:18" ht="20.100000000000001" customHeight="1" x14ac:dyDescent="0.25">
      <c r="A9" s="155">
        <v>6</v>
      </c>
      <c r="B9" s="137"/>
      <c r="C9" s="145">
        <v>16</v>
      </c>
      <c r="D9" s="145" t="s">
        <v>23</v>
      </c>
      <c r="E9" s="23">
        <v>67</v>
      </c>
      <c r="F9" s="23">
        <v>45</v>
      </c>
      <c r="G9" s="23">
        <v>60</v>
      </c>
      <c r="H9" s="23">
        <v>66</v>
      </c>
      <c r="I9" s="23">
        <v>73</v>
      </c>
      <c r="J9" s="23">
        <v>69</v>
      </c>
      <c r="K9" s="23">
        <f t="shared" si="0"/>
        <v>380</v>
      </c>
      <c r="L9" s="192">
        <f t="shared" si="1"/>
        <v>63.333333333333336</v>
      </c>
      <c r="M9" s="22">
        <f t="shared" si="2"/>
        <v>46</v>
      </c>
      <c r="N9" s="23"/>
      <c r="O9" s="186"/>
      <c r="P9" s="8"/>
      <c r="Q9" s="8"/>
      <c r="R9" s="8"/>
    </row>
    <row r="10" spans="1:18" ht="20.100000000000001" customHeight="1" x14ac:dyDescent="0.25">
      <c r="A10" s="155">
        <v>7</v>
      </c>
      <c r="B10" s="137"/>
      <c r="C10" s="145">
        <v>17</v>
      </c>
      <c r="D10" s="145" t="s">
        <v>23</v>
      </c>
      <c r="E10" s="23">
        <v>79</v>
      </c>
      <c r="F10" s="23">
        <v>50</v>
      </c>
      <c r="G10" s="23">
        <v>80</v>
      </c>
      <c r="H10" s="23">
        <v>92</v>
      </c>
      <c r="I10" s="23">
        <v>84</v>
      </c>
      <c r="J10" s="23">
        <v>82</v>
      </c>
      <c r="K10" s="23">
        <f t="shared" si="0"/>
        <v>467</v>
      </c>
      <c r="L10" s="192">
        <f t="shared" si="1"/>
        <v>77.833333333333329</v>
      </c>
      <c r="M10" s="22">
        <f t="shared" si="2"/>
        <v>19</v>
      </c>
      <c r="N10" s="23"/>
      <c r="O10" s="186"/>
      <c r="P10" s="8"/>
      <c r="Q10" s="8"/>
      <c r="R10" s="8"/>
    </row>
    <row r="11" spans="1:18" ht="20.100000000000001" customHeight="1" x14ac:dyDescent="0.25">
      <c r="A11" s="155">
        <v>8</v>
      </c>
      <c r="B11" s="137"/>
      <c r="C11" s="145">
        <v>18</v>
      </c>
      <c r="D11" s="145" t="s">
        <v>20</v>
      </c>
      <c r="E11" s="23">
        <v>80</v>
      </c>
      <c r="F11" s="23">
        <v>76</v>
      </c>
      <c r="G11" s="23">
        <v>78</v>
      </c>
      <c r="H11" s="23">
        <v>61</v>
      </c>
      <c r="I11" s="23">
        <v>91</v>
      </c>
      <c r="J11" s="23">
        <v>72</v>
      </c>
      <c r="K11" s="23">
        <f t="shared" si="0"/>
        <v>458</v>
      </c>
      <c r="L11" s="192">
        <f t="shared" si="1"/>
        <v>76.333333333333329</v>
      </c>
      <c r="M11" s="22">
        <f t="shared" si="2"/>
        <v>22</v>
      </c>
      <c r="N11" s="23"/>
      <c r="O11" s="186"/>
      <c r="P11" s="8"/>
      <c r="Q11" s="8"/>
      <c r="R11" s="8"/>
    </row>
    <row r="12" spans="1:18" ht="20.100000000000001" customHeight="1" x14ac:dyDescent="0.25">
      <c r="A12" s="155">
        <v>9</v>
      </c>
      <c r="B12" s="137"/>
      <c r="C12" s="145">
        <v>17</v>
      </c>
      <c r="D12" s="145" t="s">
        <v>23</v>
      </c>
      <c r="E12" s="23">
        <v>73</v>
      </c>
      <c r="F12" s="23">
        <v>53</v>
      </c>
      <c r="G12" s="23">
        <v>70</v>
      </c>
      <c r="H12" s="23">
        <v>94</v>
      </c>
      <c r="I12" s="23">
        <v>94</v>
      </c>
      <c r="J12" s="23">
        <v>78</v>
      </c>
      <c r="K12" s="23">
        <f t="shared" si="0"/>
        <v>462</v>
      </c>
      <c r="L12" s="192">
        <f t="shared" si="1"/>
        <v>77</v>
      </c>
      <c r="M12" s="22">
        <f t="shared" si="2"/>
        <v>21</v>
      </c>
      <c r="N12" s="23"/>
      <c r="O12" s="186"/>
      <c r="P12" s="8"/>
      <c r="Q12" s="8"/>
      <c r="R12" s="8"/>
    </row>
    <row r="13" spans="1:18" ht="20.100000000000001" customHeight="1" x14ac:dyDescent="0.25">
      <c r="A13" s="155">
        <v>10</v>
      </c>
      <c r="B13" s="137"/>
      <c r="C13" s="145">
        <v>17</v>
      </c>
      <c r="D13" s="145" t="s">
        <v>23</v>
      </c>
      <c r="E13" s="23">
        <v>93</v>
      </c>
      <c r="F13" s="23">
        <v>77</v>
      </c>
      <c r="G13" s="23">
        <v>89</v>
      </c>
      <c r="H13" s="23">
        <v>95</v>
      </c>
      <c r="I13" s="23">
        <v>97</v>
      </c>
      <c r="J13" s="23">
        <v>94</v>
      </c>
      <c r="K13" s="23">
        <f t="shared" si="0"/>
        <v>545</v>
      </c>
      <c r="L13" s="192">
        <f t="shared" si="1"/>
        <v>90.833333333333329</v>
      </c>
      <c r="M13" s="22">
        <f t="shared" si="2"/>
        <v>3</v>
      </c>
      <c r="N13" s="23"/>
      <c r="O13" s="186"/>
      <c r="P13" s="8"/>
      <c r="Q13" s="8"/>
      <c r="R13" s="8"/>
    </row>
    <row r="14" spans="1:18" ht="20.100000000000001" customHeight="1" x14ac:dyDescent="0.25">
      <c r="A14" s="155">
        <v>11</v>
      </c>
      <c r="B14" s="137"/>
      <c r="C14" s="145">
        <v>17</v>
      </c>
      <c r="D14" s="145" t="s">
        <v>20</v>
      </c>
      <c r="E14" s="23">
        <v>66</v>
      </c>
      <c r="F14" s="23">
        <v>56</v>
      </c>
      <c r="G14" s="23">
        <v>87</v>
      </c>
      <c r="H14" s="23">
        <v>98</v>
      </c>
      <c r="I14" s="23">
        <v>94</v>
      </c>
      <c r="J14" s="23">
        <v>66</v>
      </c>
      <c r="K14" s="23">
        <f t="shared" si="0"/>
        <v>467</v>
      </c>
      <c r="L14" s="192">
        <f t="shared" si="1"/>
        <v>77.833333333333329</v>
      </c>
      <c r="M14" s="22">
        <f t="shared" si="2"/>
        <v>19</v>
      </c>
      <c r="N14" s="23"/>
      <c r="O14" s="186"/>
      <c r="P14" s="8"/>
      <c r="Q14" s="8"/>
      <c r="R14" s="8"/>
    </row>
    <row r="15" spans="1:18" ht="20.100000000000001" customHeight="1" x14ac:dyDescent="0.25">
      <c r="A15" s="155">
        <v>12</v>
      </c>
      <c r="B15" s="137"/>
      <c r="C15" s="145">
        <v>16</v>
      </c>
      <c r="D15" s="145" t="s">
        <v>23</v>
      </c>
      <c r="E15" s="23">
        <v>70</v>
      </c>
      <c r="F15" s="23">
        <v>63</v>
      </c>
      <c r="G15" s="23">
        <v>72</v>
      </c>
      <c r="H15" s="23">
        <v>72</v>
      </c>
      <c r="I15" s="23">
        <v>76</v>
      </c>
      <c r="J15" s="23">
        <v>69</v>
      </c>
      <c r="K15" s="23">
        <f t="shared" si="0"/>
        <v>422</v>
      </c>
      <c r="L15" s="192">
        <f t="shared" si="1"/>
        <v>70.333333333333329</v>
      </c>
      <c r="M15" s="22">
        <f t="shared" si="2"/>
        <v>32</v>
      </c>
      <c r="N15" s="23"/>
      <c r="O15" s="186"/>
      <c r="P15" s="8"/>
      <c r="Q15" s="8"/>
      <c r="R15" s="8"/>
    </row>
    <row r="16" spans="1:18" ht="20.100000000000001" customHeight="1" x14ac:dyDescent="0.25">
      <c r="A16" s="155">
        <v>13</v>
      </c>
      <c r="B16" s="137"/>
      <c r="C16" s="145">
        <v>17</v>
      </c>
      <c r="D16" s="145" t="s">
        <v>23</v>
      </c>
      <c r="E16" s="23">
        <v>52</v>
      </c>
      <c r="F16" s="23">
        <v>64</v>
      </c>
      <c r="G16" s="23">
        <v>52</v>
      </c>
      <c r="H16" s="23">
        <v>50</v>
      </c>
      <c r="I16" s="23">
        <v>66</v>
      </c>
      <c r="J16" s="23">
        <v>61</v>
      </c>
      <c r="K16" s="23">
        <f t="shared" si="0"/>
        <v>345</v>
      </c>
      <c r="L16" s="192">
        <f t="shared" si="1"/>
        <v>57.5</v>
      </c>
      <c r="M16" s="22">
        <f t="shared" si="2"/>
        <v>52</v>
      </c>
      <c r="N16" s="23"/>
      <c r="O16" s="186"/>
      <c r="P16" s="8"/>
      <c r="Q16" s="8"/>
      <c r="R16" s="8"/>
    </row>
    <row r="17" spans="1:18" ht="20.100000000000001" customHeight="1" x14ac:dyDescent="0.25">
      <c r="A17" s="155">
        <v>14</v>
      </c>
      <c r="B17" s="137"/>
      <c r="C17" s="145">
        <v>16</v>
      </c>
      <c r="D17" s="145" t="s">
        <v>23</v>
      </c>
      <c r="E17" s="23">
        <v>77</v>
      </c>
      <c r="F17" s="23">
        <v>50</v>
      </c>
      <c r="G17" s="23">
        <v>57</v>
      </c>
      <c r="H17" s="23">
        <v>53</v>
      </c>
      <c r="I17" s="23">
        <v>74</v>
      </c>
      <c r="J17" s="23">
        <v>88</v>
      </c>
      <c r="K17" s="23">
        <f t="shared" si="0"/>
        <v>399</v>
      </c>
      <c r="L17" s="192">
        <f t="shared" si="1"/>
        <v>66.5</v>
      </c>
      <c r="M17" s="22">
        <f t="shared" si="2"/>
        <v>36</v>
      </c>
      <c r="N17" s="23"/>
      <c r="O17" s="186"/>
      <c r="P17" s="8"/>
      <c r="Q17" s="8"/>
      <c r="R17" s="8"/>
    </row>
    <row r="18" spans="1:18" ht="20.100000000000001" customHeight="1" x14ac:dyDescent="0.25">
      <c r="A18" s="155">
        <v>15</v>
      </c>
      <c r="B18" s="137"/>
      <c r="C18" s="145">
        <v>16</v>
      </c>
      <c r="D18" s="145" t="s">
        <v>23</v>
      </c>
      <c r="E18" s="23">
        <v>79</v>
      </c>
      <c r="F18" s="23">
        <v>50</v>
      </c>
      <c r="G18" s="23">
        <v>51</v>
      </c>
      <c r="H18" s="23">
        <v>58</v>
      </c>
      <c r="I18" s="23">
        <v>54</v>
      </c>
      <c r="J18" s="23">
        <v>73</v>
      </c>
      <c r="K18" s="23">
        <f t="shared" si="0"/>
        <v>365</v>
      </c>
      <c r="L18" s="192">
        <f t="shared" si="1"/>
        <v>60.833333333333336</v>
      </c>
      <c r="M18" s="22">
        <f t="shared" si="2"/>
        <v>47</v>
      </c>
      <c r="N18" s="23"/>
      <c r="O18" s="186"/>
      <c r="P18" s="8"/>
      <c r="Q18" s="8"/>
      <c r="R18" s="8"/>
    </row>
    <row r="19" spans="1:18" ht="20.100000000000001" customHeight="1" x14ac:dyDescent="0.25">
      <c r="A19" s="155">
        <v>16</v>
      </c>
      <c r="B19" s="137"/>
      <c r="C19" s="145">
        <v>17</v>
      </c>
      <c r="D19" s="145" t="s">
        <v>23</v>
      </c>
      <c r="E19" s="23">
        <v>71</v>
      </c>
      <c r="F19" s="23">
        <v>74</v>
      </c>
      <c r="G19" s="23">
        <v>94</v>
      </c>
      <c r="H19" s="23">
        <v>93</v>
      </c>
      <c r="I19" s="23">
        <v>93</v>
      </c>
      <c r="J19" s="23">
        <v>83</v>
      </c>
      <c r="K19" s="23">
        <f t="shared" si="0"/>
        <v>508</v>
      </c>
      <c r="L19" s="192">
        <f t="shared" si="1"/>
        <v>84.666666666666671</v>
      </c>
      <c r="M19" s="22">
        <f t="shared" si="2"/>
        <v>10</v>
      </c>
      <c r="N19" s="23"/>
      <c r="O19" s="186"/>
      <c r="P19" s="8"/>
      <c r="Q19" s="8"/>
      <c r="R19" s="8"/>
    </row>
    <row r="20" spans="1:18" ht="20.100000000000001" customHeight="1" x14ac:dyDescent="0.25">
      <c r="A20" s="155">
        <v>17</v>
      </c>
      <c r="B20" s="137"/>
      <c r="C20" s="145">
        <v>17</v>
      </c>
      <c r="D20" s="145" t="s">
        <v>20</v>
      </c>
      <c r="E20" s="23">
        <v>78</v>
      </c>
      <c r="F20" s="23">
        <v>53</v>
      </c>
      <c r="G20" s="23">
        <v>72</v>
      </c>
      <c r="H20" s="23">
        <v>81</v>
      </c>
      <c r="I20" s="23">
        <v>71</v>
      </c>
      <c r="J20" s="23">
        <v>68</v>
      </c>
      <c r="K20" s="23">
        <f t="shared" si="0"/>
        <v>423</v>
      </c>
      <c r="L20" s="192">
        <f t="shared" si="1"/>
        <v>70.5</v>
      </c>
      <c r="M20" s="22">
        <f t="shared" si="2"/>
        <v>31</v>
      </c>
      <c r="N20" s="23"/>
      <c r="O20" s="186"/>
      <c r="P20" s="8"/>
      <c r="Q20" s="8"/>
      <c r="R20" s="8"/>
    </row>
    <row r="21" spans="1:18" ht="20.100000000000001" customHeight="1" x14ac:dyDescent="0.25">
      <c r="A21" s="155">
        <v>18</v>
      </c>
      <c r="B21" s="137"/>
      <c r="C21" s="145">
        <v>17</v>
      </c>
      <c r="D21" s="145" t="s">
        <v>23</v>
      </c>
      <c r="E21" s="23">
        <v>88</v>
      </c>
      <c r="F21" s="23">
        <v>50</v>
      </c>
      <c r="G21" s="23">
        <v>64</v>
      </c>
      <c r="H21" s="23">
        <v>74</v>
      </c>
      <c r="I21" s="23">
        <v>80</v>
      </c>
      <c r="J21" s="23">
        <v>81</v>
      </c>
      <c r="K21" s="23">
        <f t="shared" si="0"/>
        <v>437</v>
      </c>
      <c r="L21" s="192">
        <f t="shared" si="1"/>
        <v>72.833333333333329</v>
      </c>
      <c r="M21" s="22">
        <f t="shared" si="2"/>
        <v>26</v>
      </c>
      <c r="N21" s="23"/>
      <c r="O21" s="186"/>
    </row>
    <row r="22" spans="1:18" ht="20.100000000000001" customHeight="1" x14ac:dyDescent="0.25">
      <c r="A22" s="155">
        <v>19</v>
      </c>
      <c r="B22" s="149"/>
      <c r="C22" s="150">
        <v>16</v>
      </c>
      <c r="D22" s="150" t="s">
        <v>23</v>
      </c>
      <c r="E22" s="23">
        <v>69</v>
      </c>
      <c r="F22" s="23">
        <v>56</v>
      </c>
      <c r="G22" s="23">
        <v>62</v>
      </c>
      <c r="H22" s="23">
        <v>71</v>
      </c>
      <c r="I22" s="23">
        <v>83</v>
      </c>
      <c r="J22" s="23">
        <v>85</v>
      </c>
      <c r="K22" s="23">
        <f t="shared" si="0"/>
        <v>426</v>
      </c>
      <c r="L22" s="192">
        <f t="shared" si="1"/>
        <v>71</v>
      </c>
      <c r="M22" s="22">
        <f t="shared" si="2"/>
        <v>29</v>
      </c>
      <c r="N22" s="23"/>
      <c r="O22" s="186"/>
    </row>
    <row r="23" spans="1:18" ht="20.100000000000001" customHeight="1" x14ac:dyDescent="0.25">
      <c r="A23" s="155">
        <v>20</v>
      </c>
      <c r="B23" s="137"/>
      <c r="C23" s="145">
        <v>18</v>
      </c>
      <c r="D23" s="145" t="s">
        <v>23</v>
      </c>
      <c r="E23" s="23">
        <v>81</v>
      </c>
      <c r="F23" s="23">
        <v>76</v>
      </c>
      <c r="G23" s="23">
        <v>80</v>
      </c>
      <c r="H23" s="23">
        <v>78</v>
      </c>
      <c r="I23" s="23">
        <v>86</v>
      </c>
      <c r="J23" s="23">
        <v>91</v>
      </c>
      <c r="K23" s="23">
        <f t="shared" si="0"/>
        <v>492</v>
      </c>
      <c r="L23" s="192">
        <f t="shared" si="1"/>
        <v>82</v>
      </c>
      <c r="M23" s="22">
        <f t="shared" si="2"/>
        <v>15</v>
      </c>
      <c r="N23" s="23"/>
      <c r="O23" s="186"/>
    </row>
    <row r="24" spans="1:18" ht="20.100000000000001" customHeight="1" x14ac:dyDescent="0.25">
      <c r="A24" s="155">
        <v>21</v>
      </c>
      <c r="B24" s="137"/>
      <c r="C24" s="145">
        <v>18</v>
      </c>
      <c r="D24" s="145" t="s">
        <v>23</v>
      </c>
      <c r="E24" s="23">
        <v>54</v>
      </c>
      <c r="F24" s="23">
        <v>51</v>
      </c>
      <c r="G24" s="23">
        <v>60</v>
      </c>
      <c r="H24" s="23">
        <v>50</v>
      </c>
      <c r="I24" s="23">
        <v>61</v>
      </c>
      <c r="J24" s="23">
        <v>73</v>
      </c>
      <c r="K24" s="23">
        <f t="shared" si="0"/>
        <v>349</v>
      </c>
      <c r="L24" s="192">
        <f t="shared" si="1"/>
        <v>58.166666666666664</v>
      </c>
      <c r="M24" s="22">
        <f t="shared" si="2"/>
        <v>51</v>
      </c>
      <c r="N24" s="23"/>
      <c r="O24" s="186"/>
    </row>
    <row r="25" spans="1:18" ht="20.100000000000001" customHeight="1" x14ac:dyDescent="0.25">
      <c r="A25" s="155">
        <v>22</v>
      </c>
      <c r="B25" s="137"/>
      <c r="C25" s="145">
        <v>16</v>
      </c>
      <c r="D25" s="145" t="s">
        <v>20</v>
      </c>
      <c r="E25" s="23">
        <v>73</v>
      </c>
      <c r="F25" s="23">
        <v>50</v>
      </c>
      <c r="G25" s="23">
        <v>70</v>
      </c>
      <c r="H25" s="23">
        <v>52</v>
      </c>
      <c r="I25" s="23">
        <v>72</v>
      </c>
      <c r="J25" s="23">
        <v>64</v>
      </c>
      <c r="K25" s="23">
        <f t="shared" si="0"/>
        <v>381</v>
      </c>
      <c r="L25" s="192">
        <f t="shared" si="1"/>
        <v>63.5</v>
      </c>
      <c r="M25" s="22">
        <f t="shared" si="2"/>
        <v>44</v>
      </c>
      <c r="N25" s="23"/>
      <c r="O25" s="186"/>
    </row>
    <row r="26" spans="1:18" ht="20.100000000000001" customHeight="1" x14ac:dyDescent="0.25">
      <c r="A26" s="155">
        <v>23</v>
      </c>
      <c r="B26" s="137"/>
      <c r="C26" s="145">
        <v>17</v>
      </c>
      <c r="D26" s="145" t="s">
        <v>20</v>
      </c>
      <c r="E26" s="23">
        <v>77</v>
      </c>
      <c r="F26" s="23">
        <v>50</v>
      </c>
      <c r="G26" s="23">
        <v>63</v>
      </c>
      <c r="H26" s="23">
        <v>68</v>
      </c>
      <c r="I26" s="23">
        <v>77</v>
      </c>
      <c r="J26" s="23">
        <v>89</v>
      </c>
      <c r="K26" s="23">
        <f t="shared" si="0"/>
        <v>424</v>
      </c>
      <c r="L26" s="192">
        <f t="shared" si="1"/>
        <v>70.666666666666671</v>
      </c>
      <c r="M26" s="22">
        <f t="shared" si="2"/>
        <v>30</v>
      </c>
      <c r="N26" s="23"/>
      <c r="O26" s="186"/>
    </row>
    <row r="27" spans="1:18" ht="20.100000000000001" customHeight="1" x14ac:dyDescent="0.25">
      <c r="A27" s="155">
        <v>24</v>
      </c>
      <c r="B27" s="137"/>
      <c r="C27" s="145">
        <v>17</v>
      </c>
      <c r="D27" s="145" t="s">
        <v>23</v>
      </c>
      <c r="E27" s="23">
        <v>67</v>
      </c>
      <c r="F27" s="23">
        <v>50</v>
      </c>
      <c r="G27" s="23">
        <v>82</v>
      </c>
      <c r="H27" s="23">
        <v>86</v>
      </c>
      <c r="I27" s="23">
        <v>85</v>
      </c>
      <c r="J27" s="23">
        <v>79</v>
      </c>
      <c r="K27" s="23">
        <f t="shared" si="0"/>
        <v>449</v>
      </c>
      <c r="L27" s="192">
        <f t="shared" si="1"/>
        <v>74.833333333333329</v>
      </c>
      <c r="M27" s="22">
        <f t="shared" si="2"/>
        <v>23</v>
      </c>
      <c r="N27" s="23"/>
      <c r="O27" s="186"/>
    </row>
    <row r="28" spans="1:18" ht="20.100000000000001" customHeight="1" x14ac:dyDescent="0.25">
      <c r="A28" s="155">
        <v>25</v>
      </c>
      <c r="B28" s="137"/>
      <c r="C28" s="145">
        <v>16</v>
      </c>
      <c r="D28" s="145" t="s">
        <v>23</v>
      </c>
      <c r="E28" s="23">
        <v>88</v>
      </c>
      <c r="F28" s="23">
        <v>63</v>
      </c>
      <c r="G28" s="23">
        <v>86</v>
      </c>
      <c r="H28" s="23">
        <v>89</v>
      </c>
      <c r="I28" s="23">
        <v>86</v>
      </c>
      <c r="J28" s="23">
        <v>93</v>
      </c>
      <c r="K28" s="23">
        <f t="shared" si="0"/>
        <v>505</v>
      </c>
      <c r="L28" s="192">
        <f t="shared" si="1"/>
        <v>84.166666666666671</v>
      </c>
      <c r="M28" s="22">
        <f t="shared" si="2"/>
        <v>13</v>
      </c>
      <c r="N28" s="23"/>
      <c r="O28" s="186"/>
    </row>
    <row r="29" spans="1:18" ht="20.100000000000001" customHeight="1" x14ac:dyDescent="0.25">
      <c r="A29" s="155">
        <v>26</v>
      </c>
      <c r="B29" s="137"/>
      <c r="C29" s="145">
        <v>16</v>
      </c>
      <c r="D29" s="145" t="s">
        <v>20</v>
      </c>
      <c r="E29" s="23">
        <v>61</v>
      </c>
      <c r="F29" s="23">
        <v>65</v>
      </c>
      <c r="G29" s="23">
        <v>56</v>
      </c>
      <c r="H29" s="23">
        <v>55</v>
      </c>
      <c r="I29" s="23">
        <v>68</v>
      </c>
      <c r="J29" s="23">
        <v>82</v>
      </c>
      <c r="K29" s="23">
        <f t="shared" si="0"/>
        <v>387</v>
      </c>
      <c r="L29" s="192">
        <f t="shared" si="1"/>
        <v>64.5</v>
      </c>
      <c r="M29" s="22">
        <f t="shared" si="2"/>
        <v>40</v>
      </c>
      <c r="N29" s="23"/>
      <c r="O29" s="186"/>
    </row>
    <row r="30" spans="1:18" ht="20.100000000000001" customHeight="1" x14ac:dyDescent="0.25">
      <c r="A30" s="155">
        <v>27</v>
      </c>
      <c r="B30" s="137"/>
      <c r="C30" s="145">
        <v>17</v>
      </c>
      <c r="D30" s="145" t="s">
        <v>20</v>
      </c>
      <c r="E30" s="23">
        <v>71</v>
      </c>
      <c r="F30" s="23">
        <v>75</v>
      </c>
      <c r="G30" s="23">
        <v>66</v>
      </c>
      <c r="H30" s="23">
        <v>69</v>
      </c>
      <c r="I30" s="23">
        <v>87</v>
      </c>
      <c r="J30" s="23">
        <v>79</v>
      </c>
      <c r="K30" s="23">
        <f t="shared" si="0"/>
        <v>447</v>
      </c>
      <c r="L30" s="192">
        <f t="shared" si="1"/>
        <v>74.5</v>
      </c>
      <c r="M30" s="22">
        <f t="shared" si="2"/>
        <v>24</v>
      </c>
      <c r="N30" s="23"/>
      <c r="O30" s="186"/>
    </row>
    <row r="31" spans="1:18" ht="20.100000000000001" customHeight="1" x14ac:dyDescent="0.25">
      <c r="A31" s="155">
        <v>28</v>
      </c>
      <c r="B31" s="137"/>
      <c r="C31" s="145">
        <v>17</v>
      </c>
      <c r="D31" s="145" t="s">
        <v>23</v>
      </c>
      <c r="E31" s="23">
        <v>54</v>
      </c>
      <c r="F31" s="23">
        <v>57</v>
      </c>
      <c r="G31" s="23">
        <v>56</v>
      </c>
      <c r="H31" s="23">
        <v>42</v>
      </c>
      <c r="I31" s="23">
        <v>46</v>
      </c>
      <c r="J31" s="23">
        <v>65</v>
      </c>
      <c r="K31" s="23">
        <f t="shared" si="0"/>
        <v>320</v>
      </c>
      <c r="L31" s="192">
        <f t="shared" si="1"/>
        <v>53.333333333333336</v>
      </c>
      <c r="M31" s="22">
        <f t="shared" si="2"/>
        <v>53</v>
      </c>
      <c r="N31" s="23"/>
      <c r="O31" s="11"/>
    </row>
    <row r="32" spans="1:18" ht="20.100000000000001" customHeight="1" x14ac:dyDescent="0.25">
      <c r="A32" s="155">
        <v>29</v>
      </c>
      <c r="B32" s="137"/>
      <c r="C32" s="145">
        <v>17</v>
      </c>
      <c r="D32" s="145" t="s">
        <v>20</v>
      </c>
      <c r="E32" s="23">
        <v>87</v>
      </c>
      <c r="F32" s="23">
        <v>66</v>
      </c>
      <c r="G32" s="23">
        <v>94</v>
      </c>
      <c r="H32" s="23">
        <v>92</v>
      </c>
      <c r="I32" s="23">
        <v>91</v>
      </c>
      <c r="J32" s="23">
        <v>97</v>
      </c>
      <c r="K32" s="23">
        <f t="shared" si="0"/>
        <v>527</v>
      </c>
      <c r="L32" s="192">
        <f t="shared" si="1"/>
        <v>87.833333333333329</v>
      </c>
      <c r="M32" s="22">
        <f t="shared" si="2"/>
        <v>5</v>
      </c>
      <c r="N32" s="23"/>
      <c r="O32" s="11"/>
    </row>
    <row r="33" spans="1:15" ht="20.100000000000001" customHeight="1" x14ac:dyDescent="0.25">
      <c r="A33" s="155">
        <v>30</v>
      </c>
      <c r="B33" s="137"/>
      <c r="C33" s="145">
        <v>16</v>
      </c>
      <c r="D33" s="145" t="s">
        <v>20</v>
      </c>
      <c r="E33" s="23">
        <v>66</v>
      </c>
      <c r="F33" s="23">
        <v>76</v>
      </c>
      <c r="G33" s="23">
        <v>69</v>
      </c>
      <c r="H33" s="23">
        <v>59</v>
      </c>
      <c r="I33" s="23">
        <v>77</v>
      </c>
      <c r="J33" s="23">
        <v>83</v>
      </c>
      <c r="K33" s="23">
        <f t="shared" si="0"/>
        <v>430</v>
      </c>
      <c r="L33" s="192">
        <f t="shared" si="1"/>
        <v>71.666666666666671</v>
      </c>
      <c r="M33" s="22">
        <f t="shared" si="2"/>
        <v>28</v>
      </c>
      <c r="N33" s="23"/>
      <c r="O33" s="11"/>
    </row>
    <row r="34" spans="1:15" ht="20.100000000000001" customHeight="1" x14ac:dyDescent="0.25">
      <c r="A34" s="155">
        <v>31</v>
      </c>
      <c r="B34" s="151"/>
      <c r="C34" s="136">
        <v>15</v>
      </c>
      <c r="D34" s="136" t="s">
        <v>23</v>
      </c>
      <c r="E34" s="23">
        <v>87</v>
      </c>
      <c r="F34" s="23">
        <v>71</v>
      </c>
      <c r="G34" s="23">
        <v>74</v>
      </c>
      <c r="H34" s="23">
        <v>98</v>
      </c>
      <c r="I34" s="23">
        <v>94</v>
      </c>
      <c r="J34" s="23">
        <v>97</v>
      </c>
      <c r="K34" s="23">
        <f t="shared" si="0"/>
        <v>521</v>
      </c>
      <c r="L34" s="192">
        <f t="shared" si="1"/>
        <v>86.833333333333329</v>
      </c>
      <c r="M34" s="22">
        <f t="shared" si="2"/>
        <v>6</v>
      </c>
      <c r="N34" s="23"/>
      <c r="O34" s="11"/>
    </row>
    <row r="35" spans="1:15" ht="20.100000000000001" customHeight="1" x14ac:dyDescent="0.25">
      <c r="A35" s="155">
        <v>32</v>
      </c>
      <c r="B35" s="92"/>
      <c r="C35" s="136">
        <v>17</v>
      </c>
      <c r="D35" s="136" t="s">
        <v>23</v>
      </c>
      <c r="E35" s="23">
        <v>95</v>
      </c>
      <c r="F35" s="23">
        <v>94</v>
      </c>
      <c r="G35" s="23">
        <v>70</v>
      </c>
      <c r="H35" s="23">
        <v>91</v>
      </c>
      <c r="I35" s="23">
        <v>95</v>
      </c>
      <c r="J35" s="23">
        <v>100</v>
      </c>
      <c r="K35" s="23">
        <f t="shared" si="0"/>
        <v>545</v>
      </c>
      <c r="L35" s="192">
        <f t="shared" si="1"/>
        <v>90.833333333333329</v>
      </c>
      <c r="M35" s="22">
        <f t="shared" si="2"/>
        <v>3</v>
      </c>
      <c r="N35" s="23"/>
      <c r="O35" s="11"/>
    </row>
    <row r="36" spans="1:15" ht="20.100000000000001" customHeight="1" x14ac:dyDescent="0.25">
      <c r="A36" s="155">
        <v>33</v>
      </c>
      <c r="B36" s="152"/>
      <c r="C36" s="136">
        <v>17</v>
      </c>
      <c r="D36" s="136" t="s">
        <v>20</v>
      </c>
      <c r="E36" s="23">
        <v>63</v>
      </c>
      <c r="F36" s="23">
        <v>81</v>
      </c>
      <c r="G36" s="23">
        <v>75</v>
      </c>
      <c r="H36" s="23">
        <v>43</v>
      </c>
      <c r="I36" s="23">
        <v>75</v>
      </c>
      <c r="J36" s="23">
        <v>69</v>
      </c>
      <c r="K36" s="23">
        <f t="shared" si="0"/>
        <v>406</v>
      </c>
      <c r="L36" s="192">
        <f t="shared" si="1"/>
        <v>67.666666666666671</v>
      </c>
      <c r="M36" s="22">
        <f t="shared" si="2"/>
        <v>35</v>
      </c>
      <c r="N36" s="23"/>
      <c r="O36" s="11"/>
    </row>
    <row r="37" spans="1:15" ht="20.100000000000001" customHeight="1" x14ac:dyDescent="0.25">
      <c r="A37" s="155">
        <v>34</v>
      </c>
      <c r="B37" s="92"/>
      <c r="C37" s="136">
        <v>17</v>
      </c>
      <c r="D37" s="136" t="s">
        <v>20</v>
      </c>
      <c r="E37" s="23">
        <v>78</v>
      </c>
      <c r="F37" s="23">
        <v>70</v>
      </c>
      <c r="G37" s="23">
        <v>87</v>
      </c>
      <c r="H37" s="23">
        <v>85</v>
      </c>
      <c r="I37" s="23">
        <v>86</v>
      </c>
      <c r="J37" s="23">
        <v>83</v>
      </c>
      <c r="K37" s="23">
        <f t="shared" si="0"/>
        <v>489</v>
      </c>
      <c r="L37" s="192">
        <f t="shared" si="1"/>
        <v>81.5</v>
      </c>
      <c r="M37" s="22">
        <f t="shared" si="2"/>
        <v>16</v>
      </c>
      <c r="N37" s="23"/>
      <c r="O37" s="11"/>
    </row>
    <row r="38" spans="1:15" ht="20.100000000000001" customHeight="1" x14ac:dyDescent="0.25">
      <c r="A38" s="155">
        <v>35</v>
      </c>
      <c r="B38" s="92"/>
      <c r="C38" s="136">
        <v>17</v>
      </c>
      <c r="D38" s="136" t="s">
        <v>23</v>
      </c>
      <c r="E38" s="23">
        <v>75</v>
      </c>
      <c r="F38" s="23">
        <v>50</v>
      </c>
      <c r="G38" s="23">
        <v>60</v>
      </c>
      <c r="H38" s="23">
        <v>62</v>
      </c>
      <c r="I38" s="23">
        <v>58</v>
      </c>
      <c r="J38" s="23">
        <v>78</v>
      </c>
      <c r="K38" s="23">
        <f t="shared" si="0"/>
        <v>383</v>
      </c>
      <c r="L38" s="192">
        <f t="shared" si="1"/>
        <v>63.833333333333336</v>
      </c>
      <c r="M38" s="22">
        <f t="shared" si="2"/>
        <v>42</v>
      </c>
      <c r="N38" s="23"/>
      <c r="O38" s="11"/>
    </row>
    <row r="39" spans="1:15" ht="20.100000000000001" customHeight="1" x14ac:dyDescent="0.25">
      <c r="A39" s="155">
        <v>36</v>
      </c>
      <c r="B39" s="151"/>
      <c r="C39" s="136">
        <v>15</v>
      </c>
      <c r="D39" s="136" t="s">
        <v>23</v>
      </c>
      <c r="E39" s="23">
        <v>54</v>
      </c>
      <c r="F39" s="23">
        <v>42</v>
      </c>
      <c r="G39" s="23">
        <v>64</v>
      </c>
      <c r="H39" s="23">
        <v>60</v>
      </c>
      <c r="I39" s="23">
        <v>57</v>
      </c>
      <c r="J39" s="23">
        <v>77</v>
      </c>
      <c r="K39" s="23">
        <f t="shared" si="0"/>
        <v>354</v>
      </c>
      <c r="L39" s="192">
        <f t="shared" si="1"/>
        <v>59</v>
      </c>
      <c r="M39" s="22">
        <f t="shared" si="2"/>
        <v>49</v>
      </c>
      <c r="N39" s="23"/>
      <c r="O39" s="11"/>
    </row>
    <row r="40" spans="1:15" ht="20.100000000000001" customHeight="1" x14ac:dyDescent="0.25">
      <c r="A40" s="155">
        <v>37</v>
      </c>
      <c r="B40" s="92"/>
      <c r="C40" s="136">
        <v>18</v>
      </c>
      <c r="D40" s="136" t="s">
        <v>23</v>
      </c>
      <c r="E40" s="23">
        <v>71</v>
      </c>
      <c r="F40" s="23">
        <v>54</v>
      </c>
      <c r="G40" s="23">
        <v>60</v>
      </c>
      <c r="H40" s="23">
        <v>74</v>
      </c>
      <c r="I40" s="23">
        <v>69</v>
      </c>
      <c r="J40" s="23">
        <v>80</v>
      </c>
      <c r="K40" s="23">
        <f t="shared" si="0"/>
        <v>408</v>
      </c>
      <c r="L40" s="192">
        <f t="shared" si="1"/>
        <v>68</v>
      </c>
      <c r="M40" s="22">
        <f t="shared" si="2"/>
        <v>34</v>
      </c>
      <c r="N40" s="23"/>
      <c r="O40" s="11"/>
    </row>
    <row r="41" spans="1:15" ht="20.100000000000001" customHeight="1" x14ac:dyDescent="0.25">
      <c r="A41" s="155">
        <v>38</v>
      </c>
      <c r="B41" s="92"/>
      <c r="C41" s="136">
        <v>16</v>
      </c>
      <c r="D41" s="136" t="s">
        <v>20</v>
      </c>
      <c r="E41" s="23">
        <v>57</v>
      </c>
      <c r="F41" s="23">
        <v>55</v>
      </c>
      <c r="G41" s="23">
        <v>78</v>
      </c>
      <c r="H41" s="23">
        <v>59</v>
      </c>
      <c r="I41" s="23">
        <v>77</v>
      </c>
      <c r="J41" s="23">
        <v>56</v>
      </c>
      <c r="K41" s="23">
        <f t="shared" si="0"/>
        <v>382</v>
      </c>
      <c r="L41" s="192">
        <f t="shared" si="1"/>
        <v>63.666666666666664</v>
      </c>
      <c r="M41" s="22">
        <f t="shared" si="2"/>
        <v>43</v>
      </c>
      <c r="N41" s="23"/>
      <c r="O41" s="11"/>
    </row>
    <row r="42" spans="1:15" ht="20.100000000000001" customHeight="1" x14ac:dyDescent="0.25">
      <c r="A42" s="155">
        <v>39</v>
      </c>
      <c r="B42" s="151"/>
      <c r="C42" s="136">
        <v>17</v>
      </c>
      <c r="D42" s="136" t="s">
        <v>20</v>
      </c>
      <c r="E42" s="23">
        <v>66</v>
      </c>
      <c r="F42" s="23">
        <v>65</v>
      </c>
      <c r="G42" s="23">
        <v>78</v>
      </c>
      <c r="H42" s="23">
        <v>64</v>
      </c>
      <c r="I42" s="23">
        <v>87</v>
      </c>
      <c r="J42" s="23">
        <v>74</v>
      </c>
      <c r="K42" s="23">
        <f t="shared" si="0"/>
        <v>434</v>
      </c>
      <c r="L42" s="192">
        <f t="shared" si="1"/>
        <v>72.333333333333329</v>
      </c>
      <c r="M42" s="22">
        <f t="shared" si="2"/>
        <v>27</v>
      </c>
      <c r="N42" s="23"/>
      <c r="O42" s="11"/>
    </row>
    <row r="43" spans="1:15" ht="20.100000000000001" customHeight="1" x14ac:dyDescent="0.25">
      <c r="A43" s="155">
        <v>40</v>
      </c>
      <c r="B43" s="92"/>
      <c r="C43" s="136">
        <v>17</v>
      </c>
      <c r="D43" s="136" t="s">
        <v>20</v>
      </c>
      <c r="E43" s="23">
        <v>65</v>
      </c>
      <c r="F43" s="23">
        <v>63</v>
      </c>
      <c r="G43" s="23">
        <v>72</v>
      </c>
      <c r="H43" s="23">
        <v>57</v>
      </c>
      <c r="I43" s="23">
        <v>66</v>
      </c>
      <c r="J43" s="23">
        <v>73</v>
      </c>
      <c r="K43" s="23">
        <f t="shared" si="0"/>
        <v>396</v>
      </c>
      <c r="L43" s="192">
        <f t="shared" si="1"/>
        <v>66</v>
      </c>
      <c r="M43" s="22">
        <f t="shared" si="2"/>
        <v>37</v>
      </c>
      <c r="N43" s="23"/>
      <c r="O43" s="11"/>
    </row>
    <row r="44" spans="1:15" ht="20.100000000000001" customHeight="1" x14ac:dyDescent="0.25">
      <c r="A44" s="155">
        <v>41</v>
      </c>
      <c r="B44" s="92"/>
      <c r="C44" s="136">
        <v>17</v>
      </c>
      <c r="D44" s="136" t="s">
        <v>20</v>
      </c>
      <c r="E44" s="23">
        <v>79</v>
      </c>
      <c r="F44" s="23">
        <v>72</v>
      </c>
      <c r="G44" s="23">
        <v>82</v>
      </c>
      <c r="H44" s="23">
        <v>99</v>
      </c>
      <c r="I44" s="23">
        <v>92</v>
      </c>
      <c r="J44" s="23">
        <v>83</v>
      </c>
      <c r="K44" s="23">
        <f t="shared" si="0"/>
        <v>507</v>
      </c>
      <c r="L44" s="192">
        <f t="shared" si="1"/>
        <v>84.5</v>
      </c>
      <c r="M44" s="22">
        <f t="shared" si="2"/>
        <v>11</v>
      </c>
      <c r="N44" s="23"/>
      <c r="O44" s="11"/>
    </row>
    <row r="45" spans="1:15" ht="20.100000000000001" customHeight="1" x14ac:dyDescent="0.25">
      <c r="A45" s="155">
        <v>42</v>
      </c>
      <c r="B45" s="92"/>
      <c r="C45" s="136">
        <v>18</v>
      </c>
      <c r="D45" s="136" t="s">
        <v>20</v>
      </c>
      <c r="E45" s="23">
        <v>80</v>
      </c>
      <c r="F45" s="23">
        <v>69</v>
      </c>
      <c r="G45" s="23">
        <v>77</v>
      </c>
      <c r="H45" s="23">
        <v>83</v>
      </c>
      <c r="I45" s="23">
        <v>87</v>
      </c>
      <c r="J45" s="23">
        <v>78</v>
      </c>
      <c r="K45" s="23">
        <f t="shared" si="0"/>
        <v>474</v>
      </c>
      <c r="L45" s="192">
        <f t="shared" si="1"/>
        <v>79</v>
      </c>
      <c r="M45" s="22">
        <f t="shared" si="2"/>
        <v>18</v>
      </c>
      <c r="N45" s="23"/>
      <c r="O45" s="11"/>
    </row>
    <row r="46" spans="1:15" ht="20.100000000000001" customHeight="1" x14ac:dyDescent="0.25">
      <c r="A46" s="155">
        <v>43</v>
      </c>
      <c r="B46" s="92"/>
      <c r="C46" s="136">
        <v>16</v>
      </c>
      <c r="D46" s="136" t="s">
        <v>20</v>
      </c>
      <c r="E46" s="23">
        <v>77</v>
      </c>
      <c r="F46" s="23">
        <v>59</v>
      </c>
      <c r="G46" s="23">
        <v>50</v>
      </c>
      <c r="H46" s="23">
        <v>36</v>
      </c>
      <c r="I46" s="23">
        <v>52</v>
      </c>
      <c r="J46" s="23">
        <v>78</v>
      </c>
      <c r="K46" s="23">
        <f t="shared" si="0"/>
        <v>352</v>
      </c>
      <c r="L46" s="192">
        <f t="shared" si="1"/>
        <v>58.666666666666664</v>
      </c>
      <c r="M46" s="22">
        <f t="shared" si="2"/>
        <v>50</v>
      </c>
      <c r="N46" s="23"/>
      <c r="O46" s="11"/>
    </row>
    <row r="47" spans="1:15" ht="20.100000000000001" customHeight="1" x14ac:dyDescent="0.25">
      <c r="A47" s="155">
        <v>44</v>
      </c>
      <c r="B47" s="92"/>
      <c r="C47" s="136">
        <v>16</v>
      </c>
      <c r="D47" s="136" t="s">
        <v>23</v>
      </c>
      <c r="E47" s="23">
        <v>65</v>
      </c>
      <c r="F47" s="23">
        <v>67</v>
      </c>
      <c r="G47" s="23">
        <v>84</v>
      </c>
      <c r="H47" s="23">
        <v>99</v>
      </c>
      <c r="I47" s="23">
        <v>92</v>
      </c>
      <c r="J47" s="23">
        <v>92</v>
      </c>
      <c r="K47" s="23">
        <f t="shared" si="0"/>
        <v>499</v>
      </c>
      <c r="L47" s="192">
        <f t="shared" si="1"/>
        <v>83.166666666666671</v>
      </c>
      <c r="M47" s="22">
        <f t="shared" si="2"/>
        <v>14</v>
      </c>
      <c r="N47" s="23"/>
      <c r="O47" s="11"/>
    </row>
    <row r="48" spans="1:15" ht="20.100000000000001" customHeight="1" x14ac:dyDescent="0.25">
      <c r="A48" s="155">
        <v>45</v>
      </c>
      <c r="B48" s="92"/>
      <c r="C48" s="136">
        <v>17</v>
      </c>
      <c r="D48" s="136" t="s">
        <v>23</v>
      </c>
      <c r="E48" s="23">
        <v>61</v>
      </c>
      <c r="F48" s="23">
        <v>61</v>
      </c>
      <c r="G48" s="23">
        <v>61</v>
      </c>
      <c r="H48" s="23">
        <v>51</v>
      </c>
      <c r="I48" s="23">
        <v>66</v>
      </c>
      <c r="J48" s="23">
        <v>81</v>
      </c>
      <c r="K48" s="23">
        <f t="shared" si="0"/>
        <v>381</v>
      </c>
      <c r="L48" s="192">
        <f t="shared" si="1"/>
        <v>63.5</v>
      </c>
      <c r="M48" s="22">
        <f t="shared" si="2"/>
        <v>44</v>
      </c>
      <c r="N48" s="23"/>
      <c r="O48" s="11"/>
    </row>
    <row r="49" spans="1:15" ht="20.100000000000001" customHeight="1" x14ac:dyDescent="0.25">
      <c r="A49" s="155">
        <v>46</v>
      </c>
      <c r="B49" s="92"/>
      <c r="C49" s="136">
        <v>17</v>
      </c>
      <c r="D49" s="136" t="s">
        <v>23</v>
      </c>
      <c r="E49" s="23">
        <v>82</v>
      </c>
      <c r="F49" s="23">
        <v>89</v>
      </c>
      <c r="G49" s="23">
        <v>95</v>
      </c>
      <c r="H49" s="23">
        <v>97</v>
      </c>
      <c r="I49" s="23">
        <v>98</v>
      </c>
      <c r="J49" s="23">
        <v>100</v>
      </c>
      <c r="K49" s="23">
        <f t="shared" si="0"/>
        <v>561</v>
      </c>
      <c r="L49" s="192">
        <f t="shared" si="1"/>
        <v>93.5</v>
      </c>
      <c r="M49" s="22">
        <f t="shared" si="2"/>
        <v>1</v>
      </c>
      <c r="N49" s="23"/>
      <c r="O49" s="11"/>
    </row>
    <row r="50" spans="1:15" ht="20.100000000000001" customHeight="1" x14ac:dyDescent="0.25">
      <c r="A50" s="155">
        <v>47</v>
      </c>
      <c r="B50" s="92"/>
      <c r="C50" s="136">
        <v>16</v>
      </c>
      <c r="D50" s="136" t="s">
        <v>23</v>
      </c>
      <c r="E50" s="23">
        <v>71</v>
      </c>
      <c r="F50" s="23">
        <v>64</v>
      </c>
      <c r="G50" s="23">
        <v>64</v>
      </c>
      <c r="H50" s="23">
        <v>70</v>
      </c>
      <c r="I50" s="23">
        <v>69</v>
      </c>
      <c r="J50" s="23">
        <v>73</v>
      </c>
      <c r="K50" s="23">
        <f t="shared" si="0"/>
        <v>411</v>
      </c>
      <c r="L50" s="192">
        <f t="shared" si="1"/>
        <v>68.5</v>
      </c>
      <c r="M50" s="22">
        <f t="shared" si="2"/>
        <v>33</v>
      </c>
      <c r="N50" s="23"/>
      <c r="O50" s="11"/>
    </row>
    <row r="51" spans="1:15" ht="20.100000000000001" customHeight="1" x14ac:dyDescent="0.25">
      <c r="A51" s="155">
        <v>48</v>
      </c>
      <c r="B51" s="92"/>
      <c r="C51" s="136">
        <v>16</v>
      </c>
      <c r="D51" s="136" t="s">
        <v>23</v>
      </c>
      <c r="E51" s="23">
        <v>81</v>
      </c>
      <c r="F51" s="23">
        <v>73</v>
      </c>
      <c r="G51" s="23">
        <v>86</v>
      </c>
      <c r="H51" s="23">
        <v>96</v>
      </c>
      <c r="I51" s="23">
        <v>94</v>
      </c>
      <c r="J51" s="23">
        <v>89</v>
      </c>
      <c r="K51" s="23">
        <f t="shared" si="0"/>
        <v>519</v>
      </c>
      <c r="L51" s="192">
        <f t="shared" si="1"/>
        <v>86.5</v>
      </c>
      <c r="M51" s="22">
        <f t="shared" si="2"/>
        <v>7</v>
      </c>
      <c r="N51" s="23"/>
      <c r="O51" s="11"/>
    </row>
    <row r="52" spans="1:15" ht="20.100000000000001" customHeight="1" x14ac:dyDescent="0.25">
      <c r="A52" s="155">
        <v>49</v>
      </c>
      <c r="B52" s="92"/>
      <c r="C52" s="136">
        <v>16</v>
      </c>
      <c r="D52" s="136" t="s">
        <v>23</v>
      </c>
      <c r="E52" s="23">
        <v>73</v>
      </c>
      <c r="F52" s="23">
        <v>78</v>
      </c>
      <c r="G52" s="23">
        <v>90</v>
      </c>
      <c r="H52" s="23">
        <v>90</v>
      </c>
      <c r="I52" s="23">
        <v>95</v>
      </c>
      <c r="J52" s="23">
        <v>93</v>
      </c>
      <c r="K52" s="23">
        <f t="shared" si="0"/>
        <v>519</v>
      </c>
      <c r="L52" s="192">
        <f t="shared" si="1"/>
        <v>86.5</v>
      </c>
      <c r="M52" s="22">
        <f t="shared" si="2"/>
        <v>7</v>
      </c>
      <c r="N52" s="23"/>
      <c r="O52" s="11"/>
    </row>
    <row r="53" spans="1:15" ht="20.100000000000001" customHeight="1" x14ac:dyDescent="0.25">
      <c r="A53" s="155">
        <v>50</v>
      </c>
      <c r="B53" s="92"/>
      <c r="C53" s="136">
        <v>16</v>
      </c>
      <c r="D53" s="136" t="s">
        <v>23</v>
      </c>
      <c r="E53" s="23">
        <v>88</v>
      </c>
      <c r="F53" s="23">
        <v>64</v>
      </c>
      <c r="G53" s="23">
        <v>84</v>
      </c>
      <c r="H53" s="23">
        <v>90</v>
      </c>
      <c r="I53" s="23">
        <v>91</v>
      </c>
      <c r="J53" s="23">
        <v>89</v>
      </c>
      <c r="K53" s="23">
        <f t="shared" si="0"/>
        <v>506</v>
      </c>
      <c r="L53" s="192">
        <f t="shared" si="1"/>
        <v>84.333333333333329</v>
      </c>
      <c r="M53" s="22">
        <f t="shared" si="2"/>
        <v>12</v>
      </c>
      <c r="N53" s="23"/>
      <c r="O53" s="11"/>
    </row>
    <row r="54" spans="1:15" ht="20.100000000000001" customHeight="1" x14ac:dyDescent="0.25">
      <c r="A54" s="155">
        <v>51</v>
      </c>
      <c r="B54" s="92"/>
      <c r="C54" s="136">
        <v>15</v>
      </c>
      <c r="D54" s="136" t="s">
        <v>20</v>
      </c>
      <c r="E54" s="23">
        <v>75</v>
      </c>
      <c r="F54" s="23">
        <v>75</v>
      </c>
      <c r="G54" s="23">
        <v>67</v>
      </c>
      <c r="H54" s="23">
        <v>69</v>
      </c>
      <c r="I54" s="23">
        <v>87</v>
      </c>
      <c r="J54" s="23">
        <v>66</v>
      </c>
      <c r="K54" s="23">
        <f t="shared" si="0"/>
        <v>439</v>
      </c>
      <c r="L54" s="192">
        <f t="shared" si="1"/>
        <v>73.166666666666671</v>
      </c>
      <c r="M54" s="22">
        <f t="shared" si="2"/>
        <v>25</v>
      </c>
      <c r="N54" s="23"/>
      <c r="O54" s="11"/>
    </row>
    <row r="55" spans="1:15" ht="20.100000000000001" customHeight="1" x14ac:dyDescent="0.25">
      <c r="A55" s="155">
        <v>52</v>
      </c>
      <c r="B55" s="92"/>
      <c r="C55" s="136">
        <v>17</v>
      </c>
      <c r="D55" s="136" t="s">
        <v>23</v>
      </c>
      <c r="E55" s="11">
        <v>48</v>
      </c>
      <c r="F55" s="11">
        <v>59</v>
      </c>
      <c r="G55" s="11">
        <v>64</v>
      </c>
      <c r="H55" s="11">
        <v>65</v>
      </c>
      <c r="I55" s="11">
        <v>74</v>
      </c>
      <c r="J55" s="11">
        <v>82</v>
      </c>
      <c r="K55" s="23">
        <f t="shared" si="0"/>
        <v>392</v>
      </c>
      <c r="L55" s="192">
        <f t="shared" si="1"/>
        <v>65.333333333333329</v>
      </c>
      <c r="M55" s="22">
        <f t="shared" si="2"/>
        <v>38</v>
      </c>
      <c r="N55" s="11"/>
      <c r="O55" s="11"/>
    </row>
    <row r="56" spans="1:15" ht="20.100000000000001" customHeight="1" x14ac:dyDescent="0.25">
      <c r="A56" s="155">
        <v>53</v>
      </c>
      <c r="B56" s="133"/>
      <c r="C56" s="42">
        <v>17</v>
      </c>
      <c r="D56" s="42" t="s">
        <v>20</v>
      </c>
      <c r="E56" s="11">
        <v>81</v>
      </c>
      <c r="F56" s="11">
        <v>75</v>
      </c>
      <c r="G56" s="11">
        <v>84</v>
      </c>
      <c r="H56" s="11">
        <v>95</v>
      </c>
      <c r="I56" s="11">
        <v>93</v>
      </c>
      <c r="J56" s="11">
        <v>81</v>
      </c>
      <c r="K56" s="23">
        <f t="shared" si="0"/>
        <v>509</v>
      </c>
      <c r="L56" s="192">
        <f t="shared" si="1"/>
        <v>84.833333333333329</v>
      </c>
      <c r="M56" s="22">
        <f t="shared" si="2"/>
        <v>9</v>
      </c>
      <c r="N56" s="11"/>
      <c r="O56" s="11"/>
    </row>
    <row r="57" spans="1:15" ht="20.100000000000001" customHeight="1" x14ac:dyDescent="0.25">
      <c r="A57" s="155">
        <v>54</v>
      </c>
      <c r="B57" s="133"/>
      <c r="C57" s="42"/>
      <c r="D57" s="42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spans="1:15" ht="20.100000000000001" customHeight="1" x14ac:dyDescent="0.25">
      <c r="A58" s="145">
        <v>55</v>
      </c>
      <c r="B58" s="133"/>
      <c r="C58" s="42"/>
      <c r="D58" s="42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1:15" ht="13.5" customHeight="1" x14ac:dyDescent="0.25">
      <c r="A59" s="37"/>
      <c r="B59" s="37"/>
    </row>
    <row r="60" spans="1:15" ht="13.5" customHeight="1" x14ac:dyDescent="0.25">
      <c r="A60" s="37"/>
      <c r="B60" s="37"/>
    </row>
    <row r="61" spans="1:15" ht="13.5" customHeight="1" x14ac:dyDescent="0.25">
      <c r="A61" s="37"/>
      <c r="B61" s="37"/>
    </row>
    <row r="62" spans="1:15" ht="13.5" customHeight="1" x14ac:dyDescent="0.25">
      <c r="A62" s="37"/>
      <c r="B62" s="37"/>
    </row>
    <row r="63" spans="1:15" ht="13.5" customHeight="1" x14ac:dyDescent="0.25">
      <c r="A63" s="37"/>
      <c r="B63" s="37"/>
    </row>
    <row r="64" spans="1:15" ht="13.5" customHeight="1" x14ac:dyDescent="0.25">
      <c r="A64" s="37"/>
      <c r="B64" s="37"/>
    </row>
    <row r="65" spans="1:4" ht="13.5" customHeight="1" x14ac:dyDescent="0.25">
      <c r="A65" s="37"/>
      <c r="B65" s="37"/>
    </row>
    <row r="66" spans="1:4" ht="13.5" customHeight="1" x14ac:dyDescent="0.25">
      <c r="A66" s="37"/>
      <c r="B66" s="37"/>
    </row>
    <row r="67" spans="1:4" ht="13.5" customHeight="1" x14ac:dyDescent="0.25">
      <c r="A67" s="37"/>
      <c r="B67" s="37"/>
    </row>
    <row r="68" spans="1:4" ht="13.5" customHeight="1" x14ac:dyDescent="0.25">
      <c r="A68" s="37"/>
      <c r="B68" s="37"/>
    </row>
    <row r="69" spans="1:4" ht="13.5" customHeight="1" x14ac:dyDescent="0.25">
      <c r="A69" s="37"/>
      <c r="B69" s="37"/>
    </row>
    <row r="70" spans="1:4" ht="13.5" customHeight="1" x14ac:dyDescent="0.25">
      <c r="A70" s="37"/>
      <c r="B70" s="37"/>
    </row>
    <row r="71" spans="1:4" ht="13.5" customHeight="1" x14ac:dyDescent="0.25">
      <c r="A71" s="37"/>
      <c r="B71" s="37"/>
    </row>
    <row r="72" spans="1:4" ht="13.5" customHeight="1" x14ac:dyDescent="0.25">
      <c r="A72" s="37"/>
      <c r="B72" s="37"/>
      <c r="C72" s="8"/>
      <c r="D72" s="8"/>
    </row>
    <row r="73" spans="1:4" ht="13.5" customHeight="1" x14ac:dyDescent="0.25">
      <c r="A73" s="37"/>
      <c r="B73" s="37"/>
      <c r="C73" s="8"/>
      <c r="D73" s="8"/>
    </row>
    <row r="74" spans="1:4" ht="13.5" customHeight="1" x14ac:dyDescent="0.25">
      <c r="A74" s="37"/>
      <c r="B74" s="37"/>
      <c r="C74" s="8"/>
      <c r="D74" s="8"/>
    </row>
    <row r="75" spans="1:4" ht="13.5" customHeight="1" x14ac:dyDescent="0.25">
      <c r="A75" s="37"/>
      <c r="B75" s="37"/>
      <c r="C75" s="8"/>
      <c r="D75" s="8"/>
    </row>
    <row r="76" spans="1:4" ht="13.5" customHeight="1" x14ac:dyDescent="0.25">
      <c r="A76" s="37"/>
      <c r="B76" s="37"/>
      <c r="C76" s="8"/>
      <c r="D76" s="8"/>
    </row>
    <row r="77" spans="1:4" ht="13.5" customHeight="1" x14ac:dyDescent="0.25">
      <c r="A77" s="37"/>
      <c r="B77" s="37"/>
      <c r="C77" s="8"/>
      <c r="D77" s="8"/>
    </row>
    <row r="78" spans="1:4" ht="13.5" customHeight="1" x14ac:dyDescent="0.25">
      <c r="A78" s="37"/>
      <c r="B78" s="37"/>
      <c r="C78" s="8"/>
      <c r="D78" s="8"/>
    </row>
    <row r="79" spans="1:4" ht="13.5" customHeight="1" x14ac:dyDescent="0.25">
      <c r="A79" s="37"/>
      <c r="B79" s="37"/>
      <c r="C79" s="8"/>
      <c r="D79" s="8"/>
    </row>
    <row r="80" spans="1:4" ht="13.5" customHeight="1" x14ac:dyDescent="0.25">
      <c r="A80" s="37"/>
      <c r="B80" s="37"/>
      <c r="C80" s="8"/>
      <c r="D80" s="8"/>
    </row>
    <row r="81" spans="1:2" ht="13.5" customHeight="1" x14ac:dyDescent="0.25">
      <c r="A81" s="37"/>
      <c r="B81" s="37"/>
    </row>
    <row r="82" spans="1:2" ht="13.5" customHeight="1" x14ac:dyDescent="0.25">
      <c r="A82" s="37"/>
      <c r="B82" s="37"/>
    </row>
    <row r="83" spans="1:2" ht="13.5" customHeight="1" x14ac:dyDescent="0.25">
      <c r="A83" s="37"/>
      <c r="B83" s="37"/>
    </row>
    <row r="84" spans="1:2" ht="13.5" customHeight="1" x14ac:dyDescent="0.25">
      <c r="A84" s="37"/>
      <c r="B84" s="37"/>
    </row>
    <row r="85" spans="1:2" ht="13.5" customHeight="1" x14ac:dyDescent="0.25">
      <c r="A85" s="37"/>
      <c r="B85" s="37"/>
    </row>
    <row r="86" spans="1:2" ht="13.5" customHeight="1" x14ac:dyDescent="0.25">
      <c r="A86" s="37"/>
      <c r="B86" s="37"/>
    </row>
    <row r="87" spans="1:2" ht="13.5" customHeight="1" x14ac:dyDescent="0.25">
      <c r="A87" s="37"/>
      <c r="B87" s="37"/>
    </row>
    <row r="88" spans="1:2" ht="13.5" customHeight="1" x14ac:dyDescent="0.25">
      <c r="A88" s="37"/>
      <c r="B88" s="37"/>
    </row>
    <row r="89" spans="1:2" ht="13.5" customHeight="1" x14ac:dyDescent="0.25">
      <c r="A89" s="37"/>
      <c r="B89" s="37"/>
    </row>
    <row r="90" spans="1:2" ht="13.5" customHeight="1" x14ac:dyDescent="0.25">
      <c r="A90" s="37"/>
      <c r="B90" s="37"/>
    </row>
    <row r="91" spans="1:2" ht="13.5" customHeight="1" x14ac:dyDescent="0.25">
      <c r="A91" s="37"/>
      <c r="B91" s="37"/>
    </row>
    <row r="92" spans="1:2" ht="13.5" customHeight="1" x14ac:dyDescent="0.25">
      <c r="A92" s="37"/>
      <c r="B92" s="37"/>
    </row>
    <row r="93" spans="1:2" ht="13.5" customHeight="1" x14ac:dyDescent="0.25">
      <c r="A93" s="37"/>
      <c r="B93" s="37"/>
    </row>
    <row r="94" spans="1:2" ht="13.5" customHeight="1" x14ac:dyDescent="0.25">
      <c r="A94" s="37"/>
      <c r="B94" s="37"/>
    </row>
    <row r="95" spans="1:2" ht="13.5" customHeight="1" x14ac:dyDescent="0.25">
      <c r="A95" s="37"/>
      <c r="B95" s="37"/>
    </row>
    <row r="96" spans="1:2" ht="13.5" customHeight="1" x14ac:dyDescent="0.25">
      <c r="A96" s="37"/>
      <c r="B96" s="37"/>
    </row>
    <row r="97" ht="15" customHeight="1" x14ac:dyDescent="0.25"/>
  </sheetData>
  <mergeCells count="2">
    <mergeCell ref="A1:O1"/>
    <mergeCell ref="A2:O2"/>
  </mergeCells>
  <pageMargins left="0.7" right="0.7" top="0.75" bottom="0.75" header="0.3" footer="0.3"/>
  <pageSetup paperSize="9" scale="95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"/>
  <sheetViews>
    <sheetView workbookViewId="0">
      <selection activeCell="B4" sqref="B4:B56"/>
    </sheetView>
  </sheetViews>
  <sheetFormatPr defaultRowHeight="15" x14ac:dyDescent="0.25"/>
  <cols>
    <col min="1" max="1" width="4.85546875" customWidth="1"/>
    <col min="2" max="2" width="37.140625" customWidth="1"/>
    <col min="3" max="3" width="6.140625" customWidth="1"/>
    <col min="4" max="4" width="4.85546875" customWidth="1"/>
    <col min="5" max="7" width="12.7109375" customWidth="1"/>
    <col min="8" max="8" width="4.85546875" hidden="1" customWidth="1"/>
    <col min="9" max="9" width="9.85546875" customWidth="1"/>
    <col min="10" max="11" width="4.85546875" customWidth="1"/>
  </cols>
  <sheetData>
    <row r="1" spans="1:15" ht="20.25" customHeight="1" x14ac:dyDescent="0.25">
      <c r="A1" s="243" t="s">
        <v>61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</row>
    <row r="2" spans="1:15" ht="15.75" customHeight="1" x14ac:dyDescent="0.25">
      <c r="A2" s="265" t="s">
        <v>75</v>
      </c>
      <c r="B2" s="266"/>
      <c r="C2" s="266"/>
      <c r="D2" s="266"/>
      <c r="E2" s="266"/>
      <c r="F2" s="266"/>
      <c r="G2" s="266"/>
      <c r="H2" s="266"/>
      <c r="I2" s="266"/>
      <c r="J2" s="266"/>
      <c r="K2" s="266"/>
    </row>
    <row r="3" spans="1:15" ht="44.25" customHeight="1" x14ac:dyDescent="0.25">
      <c r="A3" s="40" t="s">
        <v>28</v>
      </c>
      <c r="B3" s="128" t="s">
        <v>1</v>
      </c>
      <c r="C3" s="128" t="s">
        <v>2</v>
      </c>
      <c r="D3" s="128" t="s">
        <v>3</v>
      </c>
      <c r="E3" s="57" t="s">
        <v>26</v>
      </c>
      <c r="F3" s="57" t="s">
        <v>27</v>
      </c>
      <c r="G3" s="57" t="s">
        <v>16</v>
      </c>
      <c r="H3" s="58" t="s">
        <v>17</v>
      </c>
      <c r="I3" s="57" t="s">
        <v>17</v>
      </c>
      <c r="L3" s="94"/>
      <c r="M3" s="94"/>
      <c r="N3" s="94"/>
      <c r="O3" s="94"/>
    </row>
    <row r="4" spans="1:15" ht="18.95" customHeight="1" x14ac:dyDescent="0.25">
      <c r="A4" s="155">
        <v>1</v>
      </c>
      <c r="B4" s="141"/>
      <c r="C4" s="145">
        <v>17</v>
      </c>
      <c r="D4" s="145" t="s">
        <v>20</v>
      </c>
      <c r="E4" s="41">
        <f>'11B (S S) Sem1'!L4</f>
        <v>54.666666666666664</v>
      </c>
      <c r="F4" s="41">
        <f>'11B (S S) Sem2'!L4</f>
        <v>59.666666666666664</v>
      </c>
      <c r="G4" s="41">
        <f>AVERAGE(E4:F4)</f>
        <v>57.166666666666664</v>
      </c>
      <c r="H4" s="59"/>
      <c r="I4" s="42">
        <f>RANK(G4,$G$4:$G$56)</f>
        <v>49</v>
      </c>
    </row>
    <row r="5" spans="1:15" ht="18.95" customHeight="1" x14ac:dyDescent="0.25">
      <c r="A5" s="155">
        <v>2</v>
      </c>
      <c r="B5" s="141"/>
      <c r="C5" s="145">
        <v>16</v>
      </c>
      <c r="D5" s="145" t="s">
        <v>20</v>
      </c>
      <c r="E5" s="41">
        <f>'11B (S S) Sem1'!L5</f>
        <v>83</v>
      </c>
      <c r="F5" s="41">
        <f>'11B (S S) Sem2'!L5</f>
        <v>80.333333333333329</v>
      </c>
      <c r="G5" s="41">
        <f t="shared" ref="G5:G58" si="0">AVERAGE(E5:F5)</f>
        <v>81.666666666666657</v>
      </c>
      <c r="H5" s="59"/>
      <c r="I5" s="193">
        <f t="shared" ref="I5:I56" si="1">RANK(G5,$G$4:$G$56)</f>
        <v>13</v>
      </c>
    </row>
    <row r="6" spans="1:15" ht="18.95" customHeight="1" x14ac:dyDescent="0.25">
      <c r="A6" s="155">
        <v>3</v>
      </c>
      <c r="B6" s="141"/>
      <c r="C6" s="145">
        <v>17</v>
      </c>
      <c r="D6" s="145" t="s">
        <v>20</v>
      </c>
      <c r="E6" s="41">
        <f>'11B (S S) Sem1'!L6</f>
        <v>54.833333333333336</v>
      </c>
      <c r="F6" s="41">
        <f>'11B (S S) Sem2'!L6</f>
        <v>64.833333333333329</v>
      </c>
      <c r="G6" s="41">
        <f t="shared" si="0"/>
        <v>59.833333333333329</v>
      </c>
      <c r="H6" s="59"/>
      <c r="I6" s="193">
        <f t="shared" si="1"/>
        <v>45</v>
      </c>
    </row>
    <row r="7" spans="1:15" ht="18.95" customHeight="1" x14ac:dyDescent="0.25">
      <c r="A7" s="155">
        <v>4</v>
      </c>
      <c r="B7" s="141"/>
      <c r="C7" s="145">
        <v>17</v>
      </c>
      <c r="D7" s="145" t="s">
        <v>23</v>
      </c>
      <c r="E7" s="41">
        <f>'11B (S S) Sem1'!L7</f>
        <v>90</v>
      </c>
      <c r="F7" s="41">
        <f>'11B (S S) Sem2'!L7</f>
        <v>93.333333333333329</v>
      </c>
      <c r="G7" s="41">
        <f t="shared" si="0"/>
        <v>91.666666666666657</v>
      </c>
      <c r="H7" s="59"/>
      <c r="I7" s="193">
        <f t="shared" si="1"/>
        <v>2</v>
      </c>
    </row>
    <row r="8" spans="1:15" ht="18.95" customHeight="1" x14ac:dyDescent="0.25">
      <c r="A8" s="155">
        <v>5</v>
      </c>
      <c r="B8" s="141"/>
      <c r="C8" s="145">
        <v>16</v>
      </c>
      <c r="D8" s="145" t="s">
        <v>23</v>
      </c>
      <c r="E8" s="41">
        <f>'11B (S S) Sem1'!L8</f>
        <v>59.333333333333336</v>
      </c>
      <c r="F8" s="41">
        <f>'11B (S S) Sem2'!L8</f>
        <v>64.333333333333329</v>
      </c>
      <c r="G8" s="41">
        <f t="shared" si="0"/>
        <v>61.833333333333329</v>
      </c>
      <c r="H8" s="59"/>
      <c r="I8" s="193">
        <f t="shared" si="1"/>
        <v>37</v>
      </c>
      <c r="J8" s="8"/>
      <c r="K8" s="8"/>
    </row>
    <row r="9" spans="1:15" ht="18.95" customHeight="1" x14ac:dyDescent="0.25">
      <c r="A9" s="155">
        <v>6</v>
      </c>
      <c r="B9" s="141"/>
      <c r="C9" s="145">
        <v>16</v>
      </c>
      <c r="D9" s="145" t="s">
        <v>23</v>
      </c>
      <c r="E9" s="41">
        <f>'11B (S S) Sem1'!L9</f>
        <v>56.666666666666664</v>
      </c>
      <c r="F9" s="41">
        <f>'11B (S S) Sem2'!L9</f>
        <v>63.333333333333336</v>
      </c>
      <c r="G9" s="41">
        <f t="shared" si="0"/>
        <v>60</v>
      </c>
      <c r="H9" s="59"/>
      <c r="I9" s="193">
        <f t="shared" si="1"/>
        <v>44</v>
      </c>
      <c r="J9" s="8"/>
      <c r="K9" s="8"/>
    </row>
    <row r="10" spans="1:15" ht="18.95" customHeight="1" x14ac:dyDescent="0.25">
      <c r="A10" s="155">
        <v>7</v>
      </c>
      <c r="B10" s="141"/>
      <c r="C10" s="145">
        <v>17</v>
      </c>
      <c r="D10" s="145" t="s">
        <v>23</v>
      </c>
      <c r="E10" s="41">
        <f>'11B (S S) Sem1'!L10</f>
        <v>67.166666666666671</v>
      </c>
      <c r="F10" s="41">
        <f>'11B (S S) Sem2'!L10</f>
        <v>77.833333333333329</v>
      </c>
      <c r="G10" s="41">
        <f t="shared" si="0"/>
        <v>72.5</v>
      </c>
      <c r="H10" s="59"/>
      <c r="I10" s="193">
        <f t="shared" si="1"/>
        <v>23</v>
      </c>
      <c r="J10" s="8"/>
      <c r="K10" s="8"/>
    </row>
    <row r="11" spans="1:15" ht="18.95" customHeight="1" x14ac:dyDescent="0.25">
      <c r="A11" s="155">
        <v>8</v>
      </c>
      <c r="B11" s="141"/>
      <c r="C11" s="145">
        <v>18</v>
      </c>
      <c r="D11" s="145" t="s">
        <v>20</v>
      </c>
      <c r="E11" s="41">
        <f>'11B (S S) Sem1'!L11</f>
        <v>75.5</v>
      </c>
      <c r="F11" s="41">
        <f>'11B (S S) Sem2'!L11</f>
        <v>76.333333333333329</v>
      </c>
      <c r="G11" s="41">
        <f t="shared" si="0"/>
        <v>75.916666666666657</v>
      </c>
      <c r="H11" s="59"/>
      <c r="I11" s="193">
        <f t="shared" si="1"/>
        <v>18</v>
      </c>
      <c r="J11" s="8"/>
      <c r="K11" s="8"/>
    </row>
    <row r="12" spans="1:15" ht="18.95" customHeight="1" x14ac:dyDescent="0.25">
      <c r="A12" s="155">
        <v>9</v>
      </c>
      <c r="B12" s="141"/>
      <c r="C12" s="145">
        <v>17</v>
      </c>
      <c r="D12" s="145" t="s">
        <v>23</v>
      </c>
      <c r="E12" s="41">
        <f>'11B (S S) Sem1'!L12</f>
        <v>73</v>
      </c>
      <c r="F12" s="41">
        <f>'11B (S S) Sem2'!L12</f>
        <v>77</v>
      </c>
      <c r="G12" s="41">
        <f t="shared" si="0"/>
        <v>75</v>
      </c>
      <c r="H12" s="59"/>
      <c r="I12" s="193">
        <f t="shared" si="1"/>
        <v>21</v>
      </c>
      <c r="J12" s="8"/>
      <c r="K12" s="8"/>
    </row>
    <row r="13" spans="1:15" ht="18.95" customHeight="1" x14ac:dyDescent="0.25">
      <c r="A13" s="155">
        <v>10</v>
      </c>
      <c r="B13" s="141"/>
      <c r="C13" s="145">
        <v>17</v>
      </c>
      <c r="D13" s="145" t="s">
        <v>23</v>
      </c>
      <c r="E13" s="41">
        <f>'11B (S S) Sem1'!L13</f>
        <v>89.5</v>
      </c>
      <c r="F13" s="41">
        <f>'11B (S S) Sem2'!L13</f>
        <v>90.833333333333329</v>
      </c>
      <c r="G13" s="41">
        <f t="shared" si="0"/>
        <v>90.166666666666657</v>
      </c>
      <c r="H13" s="59"/>
      <c r="I13" s="193">
        <f t="shared" si="1"/>
        <v>3</v>
      </c>
      <c r="J13" s="8"/>
      <c r="K13" s="8"/>
    </row>
    <row r="14" spans="1:15" ht="18.95" customHeight="1" x14ac:dyDescent="0.25">
      <c r="A14" s="155">
        <v>11</v>
      </c>
      <c r="B14" s="141"/>
      <c r="C14" s="145">
        <v>17</v>
      </c>
      <c r="D14" s="145" t="s">
        <v>20</v>
      </c>
      <c r="E14" s="41">
        <f>'11B (S S) Sem1'!L14</f>
        <v>73</v>
      </c>
      <c r="F14" s="41">
        <f>'11B (S S) Sem2'!L14</f>
        <v>77.833333333333329</v>
      </c>
      <c r="G14" s="41">
        <f t="shared" si="0"/>
        <v>75.416666666666657</v>
      </c>
      <c r="H14" s="59"/>
      <c r="I14" s="193">
        <f t="shared" si="1"/>
        <v>19</v>
      </c>
      <c r="J14" s="8"/>
      <c r="K14" s="8"/>
    </row>
    <row r="15" spans="1:15" ht="18.95" customHeight="1" x14ac:dyDescent="0.25">
      <c r="A15" s="155">
        <v>12</v>
      </c>
      <c r="B15" s="141"/>
      <c r="C15" s="145">
        <v>16</v>
      </c>
      <c r="D15" s="145" t="s">
        <v>23</v>
      </c>
      <c r="E15" s="41">
        <f>'11B (S S) Sem1'!L15</f>
        <v>64.833333333333329</v>
      </c>
      <c r="F15" s="41">
        <f>'11B (S S) Sem2'!L15</f>
        <v>70.333333333333329</v>
      </c>
      <c r="G15" s="41">
        <f t="shared" si="0"/>
        <v>67.583333333333329</v>
      </c>
      <c r="H15" s="59"/>
      <c r="I15" s="193">
        <f t="shared" si="1"/>
        <v>29</v>
      </c>
      <c r="J15" s="8"/>
      <c r="K15" s="8"/>
    </row>
    <row r="16" spans="1:15" ht="18.95" customHeight="1" x14ac:dyDescent="0.25">
      <c r="A16" s="155">
        <v>13</v>
      </c>
      <c r="B16" s="141"/>
      <c r="C16" s="145">
        <v>17</v>
      </c>
      <c r="D16" s="145" t="s">
        <v>23</v>
      </c>
      <c r="E16" s="41">
        <f>'11B (S S) Sem1'!L16</f>
        <v>50.833333333333336</v>
      </c>
      <c r="F16" s="41">
        <f>'11B (S S) Sem2'!L16</f>
        <v>57.5</v>
      </c>
      <c r="G16" s="41">
        <f t="shared" si="0"/>
        <v>54.166666666666671</v>
      </c>
      <c r="H16" s="59"/>
      <c r="I16" s="193">
        <f t="shared" si="1"/>
        <v>52</v>
      </c>
      <c r="J16" s="8"/>
      <c r="K16" s="8"/>
    </row>
    <row r="17" spans="1:11" ht="18.95" customHeight="1" x14ac:dyDescent="0.25">
      <c r="A17" s="155">
        <v>14</v>
      </c>
      <c r="B17" s="141"/>
      <c r="C17" s="145">
        <v>16</v>
      </c>
      <c r="D17" s="145" t="s">
        <v>23</v>
      </c>
      <c r="E17" s="41">
        <f>'11B (S S) Sem1'!L17</f>
        <v>58.833333333333336</v>
      </c>
      <c r="F17" s="41">
        <f>'11B (S S) Sem2'!L17</f>
        <v>66.5</v>
      </c>
      <c r="G17" s="41">
        <f t="shared" si="0"/>
        <v>62.666666666666671</v>
      </c>
      <c r="H17" s="59"/>
      <c r="I17" s="193">
        <f t="shared" si="1"/>
        <v>35</v>
      </c>
      <c r="J17" s="8"/>
      <c r="K17" s="8"/>
    </row>
    <row r="18" spans="1:11" ht="18.95" customHeight="1" x14ac:dyDescent="0.25">
      <c r="A18" s="155">
        <v>15</v>
      </c>
      <c r="B18" s="141"/>
      <c r="C18" s="145">
        <v>16</v>
      </c>
      <c r="D18" s="145" t="s">
        <v>23</v>
      </c>
      <c r="E18" s="41">
        <f>'11B (S S) Sem1'!L18</f>
        <v>57.833333333333336</v>
      </c>
      <c r="F18" s="41">
        <f>'11B (S S) Sem2'!L18</f>
        <v>60.833333333333336</v>
      </c>
      <c r="G18" s="41">
        <f t="shared" si="0"/>
        <v>59.333333333333336</v>
      </c>
      <c r="H18" s="59"/>
      <c r="I18" s="193">
        <f t="shared" si="1"/>
        <v>46</v>
      </c>
      <c r="J18" s="8"/>
      <c r="K18" s="8"/>
    </row>
    <row r="19" spans="1:11" ht="18.95" customHeight="1" x14ac:dyDescent="0.25">
      <c r="A19" s="155">
        <v>16</v>
      </c>
      <c r="B19" s="141"/>
      <c r="C19" s="145">
        <v>17</v>
      </c>
      <c r="D19" s="145" t="s">
        <v>23</v>
      </c>
      <c r="E19" s="41">
        <f>'11B (S S) Sem1'!L19</f>
        <v>81.666666666666671</v>
      </c>
      <c r="F19" s="41">
        <f>'11B (S S) Sem2'!L19</f>
        <v>84.666666666666671</v>
      </c>
      <c r="G19" s="41">
        <f t="shared" si="0"/>
        <v>83.166666666666671</v>
      </c>
      <c r="H19" s="59"/>
      <c r="I19" s="193">
        <f t="shared" si="1"/>
        <v>10</v>
      </c>
      <c r="J19" s="8"/>
      <c r="K19" s="8"/>
    </row>
    <row r="20" spans="1:11" ht="18.95" customHeight="1" x14ac:dyDescent="0.25">
      <c r="A20" s="155">
        <v>17</v>
      </c>
      <c r="B20" s="141"/>
      <c r="C20" s="145">
        <v>17</v>
      </c>
      <c r="D20" s="145" t="s">
        <v>20</v>
      </c>
      <c r="E20" s="41">
        <f>'11B (S S) Sem1'!L20</f>
        <v>70.333333333333329</v>
      </c>
      <c r="F20" s="41">
        <f>'11B (S S) Sem2'!L20</f>
        <v>70.5</v>
      </c>
      <c r="G20" s="41">
        <f t="shared" si="0"/>
        <v>70.416666666666657</v>
      </c>
      <c r="H20" s="59"/>
      <c r="I20" s="193">
        <f t="shared" si="1"/>
        <v>25</v>
      </c>
      <c r="J20" s="8"/>
      <c r="K20" s="8"/>
    </row>
    <row r="21" spans="1:11" ht="18.95" customHeight="1" x14ac:dyDescent="0.25">
      <c r="A21" s="155">
        <v>18</v>
      </c>
      <c r="B21" s="141"/>
      <c r="C21" s="145">
        <v>17</v>
      </c>
      <c r="D21" s="145" t="s">
        <v>23</v>
      </c>
      <c r="E21" s="41">
        <f>'11B (S S) Sem1'!L21</f>
        <v>65.333333333333329</v>
      </c>
      <c r="F21" s="41">
        <f>'11B (S S) Sem2'!L21</f>
        <v>72.833333333333329</v>
      </c>
      <c r="G21" s="41">
        <f t="shared" si="0"/>
        <v>69.083333333333329</v>
      </c>
      <c r="H21" s="59"/>
      <c r="I21" s="193">
        <f t="shared" si="1"/>
        <v>27</v>
      </c>
    </row>
    <row r="22" spans="1:11" ht="18.95" customHeight="1" x14ac:dyDescent="0.25">
      <c r="A22" s="155">
        <v>19</v>
      </c>
      <c r="B22" s="172"/>
      <c r="C22" s="150">
        <v>16</v>
      </c>
      <c r="D22" s="150" t="s">
        <v>23</v>
      </c>
      <c r="E22" s="41">
        <f>'11B (S S) Sem1'!L22</f>
        <v>63.166666666666664</v>
      </c>
      <c r="F22" s="41">
        <f>'11B (S S) Sem2'!L22</f>
        <v>71</v>
      </c>
      <c r="G22" s="41">
        <f t="shared" si="0"/>
        <v>67.083333333333329</v>
      </c>
      <c r="H22" s="59"/>
      <c r="I22" s="193">
        <f t="shared" si="1"/>
        <v>30</v>
      </c>
    </row>
    <row r="23" spans="1:11" ht="18.75" customHeight="1" x14ac:dyDescent="0.25">
      <c r="A23" s="155">
        <v>20</v>
      </c>
      <c r="B23" s="141"/>
      <c r="C23" s="145">
        <v>18</v>
      </c>
      <c r="D23" s="145" t="s">
        <v>23</v>
      </c>
      <c r="E23" s="41">
        <f>'11B (S S) Sem1'!L23</f>
        <v>76.333333333333329</v>
      </c>
      <c r="F23" s="41">
        <f>'11B (S S) Sem2'!L23</f>
        <v>82</v>
      </c>
      <c r="G23" s="41">
        <f t="shared" si="0"/>
        <v>79.166666666666657</v>
      </c>
      <c r="H23" s="59"/>
      <c r="I23" s="193">
        <f t="shared" si="1"/>
        <v>17</v>
      </c>
    </row>
    <row r="24" spans="1:11" ht="18.95" customHeight="1" x14ac:dyDescent="0.25">
      <c r="A24" s="155">
        <v>21</v>
      </c>
      <c r="B24" s="141"/>
      <c r="C24" s="145">
        <v>18</v>
      </c>
      <c r="D24" s="145" t="s">
        <v>23</v>
      </c>
      <c r="E24" s="41">
        <f>'11B (S S) Sem1'!L24</f>
        <v>55</v>
      </c>
      <c r="F24" s="41">
        <f>'11B (S S) Sem2'!L24</f>
        <v>58.166666666666664</v>
      </c>
      <c r="G24" s="41">
        <f t="shared" si="0"/>
        <v>56.583333333333329</v>
      </c>
      <c r="H24" s="59"/>
      <c r="I24" s="193">
        <f t="shared" si="1"/>
        <v>50</v>
      </c>
    </row>
    <row r="25" spans="1:11" ht="18.95" customHeight="1" x14ac:dyDescent="0.25">
      <c r="A25" s="155">
        <v>22</v>
      </c>
      <c r="B25" s="141"/>
      <c r="C25" s="145">
        <v>16</v>
      </c>
      <c r="D25" s="145" t="s">
        <v>20</v>
      </c>
      <c r="E25" s="41">
        <f>'11B (S S) Sem1'!L25</f>
        <v>57.333333333333336</v>
      </c>
      <c r="F25" s="41">
        <f>'11B (S S) Sem2'!L25</f>
        <v>63.5</v>
      </c>
      <c r="G25" s="41">
        <f t="shared" si="0"/>
        <v>60.416666666666671</v>
      </c>
      <c r="H25" s="59"/>
      <c r="I25" s="193">
        <f t="shared" si="1"/>
        <v>42</v>
      </c>
    </row>
    <row r="26" spans="1:11" ht="18.95" customHeight="1" x14ac:dyDescent="0.25">
      <c r="A26" s="155">
        <v>23</v>
      </c>
      <c r="B26" s="141"/>
      <c r="C26" s="145">
        <v>17</v>
      </c>
      <c r="D26" s="145" t="s">
        <v>20</v>
      </c>
      <c r="E26" s="41">
        <f>'11B (S S) Sem1'!L26</f>
        <v>58.166666666666664</v>
      </c>
      <c r="F26" s="41">
        <f>'11B (S S) Sem2'!L26</f>
        <v>70.666666666666671</v>
      </c>
      <c r="G26" s="41">
        <f t="shared" si="0"/>
        <v>64.416666666666671</v>
      </c>
      <c r="H26" s="59"/>
      <c r="I26" s="193">
        <f t="shared" si="1"/>
        <v>33</v>
      </c>
    </row>
    <row r="27" spans="1:11" ht="18.95" customHeight="1" x14ac:dyDescent="0.25">
      <c r="A27" s="155">
        <v>24</v>
      </c>
      <c r="B27" s="141"/>
      <c r="C27" s="145">
        <v>17</v>
      </c>
      <c r="D27" s="145" t="s">
        <v>23</v>
      </c>
      <c r="E27" s="41">
        <f>'11B (S S) Sem1'!L27</f>
        <v>70.666666666666671</v>
      </c>
      <c r="F27" s="41">
        <f>'11B (S S) Sem2'!L27</f>
        <v>74.833333333333329</v>
      </c>
      <c r="G27" s="41">
        <f t="shared" si="0"/>
        <v>72.75</v>
      </c>
      <c r="H27" s="59"/>
      <c r="I27" s="193">
        <f t="shared" si="1"/>
        <v>22</v>
      </c>
    </row>
    <row r="28" spans="1:11" ht="18.95" customHeight="1" x14ac:dyDescent="0.25">
      <c r="A28" s="155">
        <v>25</v>
      </c>
      <c r="B28" s="141"/>
      <c r="C28" s="145">
        <v>16</v>
      </c>
      <c r="D28" s="145" t="s">
        <v>23</v>
      </c>
      <c r="E28" s="41">
        <f>'11B (S S) Sem1'!L28</f>
        <v>80.333333333333329</v>
      </c>
      <c r="F28" s="41">
        <f>'11B (S S) Sem2'!L28</f>
        <v>84.166666666666671</v>
      </c>
      <c r="G28" s="41">
        <f t="shared" si="0"/>
        <v>82.25</v>
      </c>
      <c r="H28" s="59"/>
      <c r="I28" s="193">
        <f t="shared" si="1"/>
        <v>12</v>
      </c>
    </row>
    <row r="29" spans="1:11" ht="18.95" customHeight="1" x14ac:dyDescent="0.25">
      <c r="A29" s="155">
        <v>26</v>
      </c>
      <c r="B29" s="141"/>
      <c r="C29" s="145">
        <v>16</v>
      </c>
      <c r="D29" s="145" t="s">
        <v>20</v>
      </c>
      <c r="E29" s="41">
        <f>'11B (S S) Sem1'!L29</f>
        <v>60.666666666666664</v>
      </c>
      <c r="F29" s="41">
        <f>'11B (S S) Sem2'!L29</f>
        <v>64.5</v>
      </c>
      <c r="G29" s="41">
        <f t="shared" si="0"/>
        <v>62.583333333333329</v>
      </c>
      <c r="H29" s="59"/>
      <c r="I29" s="193">
        <f t="shared" si="1"/>
        <v>36</v>
      </c>
    </row>
    <row r="30" spans="1:11" ht="18.95" customHeight="1" x14ac:dyDescent="0.25">
      <c r="A30" s="155">
        <v>27</v>
      </c>
      <c r="B30" s="141"/>
      <c r="C30" s="145">
        <v>17</v>
      </c>
      <c r="D30" s="145" t="s">
        <v>20</v>
      </c>
      <c r="E30" s="41">
        <f>'11B (S S) Sem1'!L30</f>
        <v>61.666666666666664</v>
      </c>
      <c r="F30" s="41">
        <f>'11B (S S) Sem2'!L30</f>
        <v>74.5</v>
      </c>
      <c r="G30" s="41">
        <f t="shared" si="0"/>
        <v>68.083333333333329</v>
      </c>
      <c r="H30" s="59"/>
      <c r="I30" s="193">
        <f t="shared" si="1"/>
        <v>28</v>
      </c>
    </row>
    <row r="31" spans="1:11" ht="18.95" customHeight="1" x14ac:dyDescent="0.25">
      <c r="A31" s="155">
        <v>28</v>
      </c>
      <c r="B31" s="141"/>
      <c r="C31" s="145">
        <v>17</v>
      </c>
      <c r="D31" s="145" t="s">
        <v>23</v>
      </c>
      <c r="E31" s="41">
        <f>'11B (S S) Sem1'!L31</f>
        <v>47.333333333333336</v>
      </c>
      <c r="F31" s="41">
        <f>'11B (S S) Sem2'!L31</f>
        <v>53.333333333333336</v>
      </c>
      <c r="G31" s="41">
        <f t="shared" si="0"/>
        <v>50.333333333333336</v>
      </c>
      <c r="H31" s="12"/>
      <c r="I31" s="193">
        <f t="shared" si="1"/>
        <v>53</v>
      </c>
    </row>
    <row r="32" spans="1:11" ht="18.95" customHeight="1" x14ac:dyDescent="0.25">
      <c r="A32" s="155">
        <v>29</v>
      </c>
      <c r="B32" s="141"/>
      <c r="C32" s="145">
        <v>17</v>
      </c>
      <c r="D32" s="145" t="s">
        <v>20</v>
      </c>
      <c r="E32" s="41">
        <f>'11B (S S) Sem1'!L32</f>
        <v>84.166666666666671</v>
      </c>
      <c r="F32" s="41">
        <f>'11B (S S) Sem2'!L32</f>
        <v>87.833333333333329</v>
      </c>
      <c r="G32" s="41">
        <f t="shared" si="0"/>
        <v>86</v>
      </c>
      <c r="H32" s="12"/>
      <c r="I32" s="193">
        <f t="shared" si="1"/>
        <v>5</v>
      </c>
    </row>
    <row r="33" spans="1:9" ht="18.75" customHeight="1" x14ac:dyDescent="0.25">
      <c r="A33" s="175">
        <v>30</v>
      </c>
      <c r="B33" s="141"/>
      <c r="C33" s="145">
        <v>16</v>
      </c>
      <c r="D33" s="145" t="s">
        <v>20</v>
      </c>
      <c r="E33" s="41">
        <f>'11B (S S) Sem1'!L33</f>
        <v>59.833333333333336</v>
      </c>
      <c r="F33" s="41">
        <f>'11B (S S) Sem2'!L33</f>
        <v>71.666666666666671</v>
      </c>
      <c r="G33" s="41">
        <f t="shared" si="0"/>
        <v>65.75</v>
      </c>
      <c r="H33" s="59"/>
      <c r="I33" s="193">
        <f t="shared" si="1"/>
        <v>32</v>
      </c>
    </row>
    <row r="34" spans="1:9" ht="19.5" customHeight="1" x14ac:dyDescent="0.25">
      <c r="A34" s="155">
        <v>31</v>
      </c>
      <c r="B34" s="139"/>
      <c r="C34" s="136">
        <v>15</v>
      </c>
      <c r="D34" s="136" t="s">
        <v>23</v>
      </c>
      <c r="E34" s="41">
        <f>'11B (S S) Sem1'!L34</f>
        <v>82.5</v>
      </c>
      <c r="F34" s="41">
        <f>'11B (S S) Sem2'!L34</f>
        <v>86.833333333333329</v>
      </c>
      <c r="G34" s="41">
        <f t="shared" si="0"/>
        <v>84.666666666666657</v>
      </c>
      <c r="H34" s="59"/>
      <c r="I34" s="193">
        <f t="shared" si="1"/>
        <v>7</v>
      </c>
    </row>
    <row r="35" spans="1:9" ht="19.5" customHeight="1" x14ac:dyDescent="0.25">
      <c r="A35" s="175">
        <v>32</v>
      </c>
      <c r="B35" s="139"/>
      <c r="C35" s="136">
        <v>17</v>
      </c>
      <c r="D35" s="136" t="s">
        <v>23</v>
      </c>
      <c r="E35" s="41">
        <f>'11B (S S) Sem1'!L35</f>
        <v>87.833333333333329</v>
      </c>
      <c r="F35" s="41">
        <f>'11B (S S) Sem2'!L35</f>
        <v>90.833333333333329</v>
      </c>
      <c r="G35" s="41">
        <f t="shared" si="0"/>
        <v>89.333333333333329</v>
      </c>
      <c r="H35" s="59"/>
      <c r="I35" s="193">
        <f t="shared" si="1"/>
        <v>4</v>
      </c>
    </row>
    <row r="36" spans="1:9" ht="20.25" customHeight="1" x14ac:dyDescent="0.25">
      <c r="A36" s="155">
        <v>33</v>
      </c>
      <c r="B36" s="141"/>
      <c r="C36" s="136">
        <v>17</v>
      </c>
      <c r="D36" s="136" t="s">
        <v>20</v>
      </c>
      <c r="E36" s="41">
        <f>'11B (S S) Sem1'!L36</f>
        <v>55.166666666666664</v>
      </c>
      <c r="F36" s="41">
        <f>'11B (S S) Sem2'!L36</f>
        <v>67.666666666666671</v>
      </c>
      <c r="G36" s="41">
        <f t="shared" si="0"/>
        <v>61.416666666666671</v>
      </c>
      <c r="H36" s="59"/>
      <c r="I36" s="193">
        <f t="shared" si="1"/>
        <v>38</v>
      </c>
    </row>
    <row r="37" spans="1:9" ht="17.25" customHeight="1" x14ac:dyDescent="0.25">
      <c r="A37" s="175">
        <v>34</v>
      </c>
      <c r="B37" s="139"/>
      <c r="C37" s="136">
        <v>17</v>
      </c>
      <c r="D37" s="136" t="s">
        <v>20</v>
      </c>
      <c r="E37" s="41">
        <f>'11B (S S) Sem1'!L37</f>
        <v>77.333333333333329</v>
      </c>
      <c r="F37" s="41">
        <f>'11B (S S) Sem2'!L37</f>
        <v>81.5</v>
      </c>
      <c r="G37" s="41">
        <f t="shared" si="0"/>
        <v>79.416666666666657</v>
      </c>
      <c r="H37" s="59"/>
      <c r="I37" s="193">
        <f t="shared" si="1"/>
        <v>16</v>
      </c>
    </row>
    <row r="38" spans="1:9" ht="17.25" customHeight="1" x14ac:dyDescent="0.25">
      <c r="A38" s="155">
        <v>35</v>
      </c>
      <c r="B38" s="139"/>
      <c r="C38" s="136">
        <v>17</v>
      </c>
      <c r="D38" s="136" t="s">
        <v>23</v>
      </c>
      <c r="E38" s="41">
        <f>'11B (S S) Sem1'!L38</f>
        <v>57.5</v>
      </c>
      <c r="F38" s="41">
        <f>'11B (S S) Sem2'!L38</f>
        <v>63.833333333333336</v>
      </c>
      <c r="G38" s="41">
        <f t="shared" si="0"/>
        <v>60.666666666666671</v>
      </c>
      <c r="H38" s="59"/>
      <c r="I38" s="193">
        <f t="shared" si="1"/>
        <v>40</v>
      </c>
    </row>
    <row r="39" spans="1:9" ht="21" customHeight="1" x14ac:dyDescent="0.25">
      <c r="A39" s="175">
        <v>36</v>
      </c>
      <c r="B39" s="139"/>
      <c r="C39" s="136">
        <v>15</v>
      </c>
      <c r="D39" s="136" t="s">
        <v>23</v>
      </c>
      <c r="E39" s="41">
        <f>'11B (S S) Sem1'!L39</f>
        <v>52.666666666666664</v>
      </c>
      <c r="F39" s="41">
        <f>'11B (S S) Sem2'!L39</f>
        <v>59</v>
      </c>
      <c r="G39" s="41">
        <f t="shared" si="0"/>
        <v>55.833333333333329</v>
      </c>
      <c r="H39" s="59"/>
      <c r="I39" s="193">
        <f t="shared" si="1"/>
        <v>51</v>
      </c>
    </row>
    <row r="40" spans="1:9" ht="17.25" customHeight="1" x14ac:dyDescent="0.25">
      <c r="A40" s="155">
        <v>37</v>
      </c>
      <c r="B40" s="139"/>
      <c r="C40" s="136">
        <v>18</v>
      </c>
      <c r="D40" s="136" t="s">
        <v>23</v>
      </c>
      <c r="E40" s="41">
        <f>'11B (S S) Sem1'!L40</f>
        <v>58.833333333333336</v>
      </c>
      <c r="F40" s="41">
        <f>'11B (S S) Sem2'!L40</f>
        <v>68</v>
      </c>
      <c r="G40" s="41">
        <f t="shared" si="0"/>
        <v>63.416666666666671</v>
      </c>
      <c r="H40" s="59"/>
      <c r="I40" s="193">
        <f t="shared" si="1"/>
        <v>34</v>
      </c>
    </row>
    <row r="41" spans="1:9" ht="18.75" customHeight="1" x14ac:dyDescent="0.25">
      <c r="A41" s="175">
        <v>38</v>
      </c>
      <c r="B41" s="139"/>
      <c r="C41" s="136">
        <v>16</v>
      </c>
      <c r="D41" s="136" t="s">
        <v>20</v>
      </c>
      <c r="E41" s="41">
        <f>'11B (S S) Sem1'!L41</f>
        <v>55</v>
      </c>
      <c r="F41" s="41">
        <f>'11B (S S) Sem2'!L41</f>
        <v>63.666666666666664</v>
      </c>
      <c r="G41" s="41">
        <f t="shared" si="0"/>
        <v>59.333333333333329</v>
      </c>
      <c r="H41" s="59"/>
      <c r="I41" s="193">
        <f t="shared" si="1"/>
        <v>47</v>
      </c>
    </row>
    <row r="42" spans="1:9" ht="17.25" customHeight="1" x14ac:dyDescent="0.25">
      <c r="A42" s="155">
        <v>39</v>
      </c>
      <c r="B42" s="139"/>
      <c r="C42" s="136">
        <v>17</v>
      </c>
      <c r="D42" s="136" t="s">
        <v>20</v>
      </c>
      <c r="E42" s="41">
        <f>'11B (S S) Sem1'!L42</f>
        <v>72.5</v>
      </c>
      <c r="F42" s="41">
        <f>'11B (S S) Sem2'!L42</f>
        <v>72.333333333333329</v>
      </c>
      <c r="G42" s="41">
        <f t="shared" si="0"/>
        <v>72.416666666666657</v>
      </c>
      <c r="H42" s="59"/>
      <c r="I42" s="193">
        <f t="shared" si="1"/>
        <v>24</v>
      </c>
    </row>
    <row r="43" spans="1:9" ht="16.5" customHeight="1" x14ac:dyDescent="0.25">
      <c r="A43" s="175">
        <v>40</v>
      </c>
      <c r="B43" s="139"/>
      <c r="C43" s="136">
        <v>17</v>
      </c>
      <c r="D43" s="136" t="s">
        <v>20</v>
      </c>
      <c r="E43" s="41">
        <f>'11B (S S) Sem1'!L43</f>
        <v>56</v>
      </c>
      <c r="F43" s="41">
        <f>'11B (S S) Sem2'!L43</f>
        <v>66</v>
      </c>
      <c r="G43" s="41">
        <f t="shared" si="0"/>
        <v>61</v>
      </c>
      <c r="H43" s="59"/>
      <c r="I43" s="193">
        <f t="shared" si="1"/>
        <v>39</v>
      </c>
    </row>
    <row r="44" spans="1:9" ht="19.5" customHeight="1" x14ac:dyDescent="0.25">
      <c r="A44" s="155">
        <v>41</v>
      </c>
      <c r="B44" s="139"/>
      <c r="C44" s="136">
        <v>17</v>
      </c>
      <c r="D44" s="136" t="s">
        <v>20</v>
      </c>
      <c r="E44" s="41">
        <f>'11B (S S) Sem1'!L44</f>
        <v>82.333333333333329</v>
      </c>
      <c r="F44" s="41">
        <f>'11B (S S) Sem2'!L44</f>
        <v>84.5</v>
      </c>
      <c r="G44" s="41">
        <f t="shared" si="0"/>
        <v>83.416666666666657</v>
      </c>
      <c r="H44" s="59"/>
      <c r="I44" s="193">
        <f t="shared" si="1"/>
        <v>8</v>
      </c>
    </row>
    <row r="45" spans="1:9" ht="18.75" customHeight="1" x14ac:dyDescent="0.25">
      <c r="A45" s="175">
        <v>42</v>
      </c>
      <c r="B45" s="139"/>
      <c r="C45" s="136">
        <v>18</v>
      </c>
      <c r="D45" s="136" t="s">
        <v>20</v>
      </c>
      <c r="E45" s="41">
        <f>'11B (S S) Sem1'!L45</f>
        <v>71.5</v>
      </c>
      <c r="F45" s="41">
        <f>'11B (S S) Sem2'!L45</f>
        <v>79</v>
      </c>
      <c r="G45" s="41">
        <f t="shared" si="0"/>
        <v>75.25</v>
      </c>
      <c r="H45" s="59"/>
      <c r="I45" s="193">
        <f t="shared" si="1"/>
        <v>20</v>
      </c>
    </row>
    <row r="46" spans="1:9" ht="19.5" customHeight="1" x14ac:dyDescent="0.25">
      <c r="A46" s="155">
        <v>43</v>
      </c>
      <c r="B46" s="139"/>
      <c r="C46" s="136">
        <v>16</v>
      </c>
      <c r="D46" s="136" t="s">
        <v>20</v>
      </c>
      <c r="E46" s="41">
        <f>'11B (S S) Sem1'!L46</f>
        <v>59.833333333333336</v>
      </c>
      <c r="F46" s="41">
        <f>'11B (S S) Sem2'!L46</f>
        <v>58.666666666666664</v>
      </c>
      <c r="G46" s="41">
        <f t="shared" si="0"/>
        <v>59.25</v>
      </c>
      <c r="H46" s="59"/>
      <c r="I46" s="193">
        <f t="shared" si="1"/>
        <v>48</v>
      </c>
    </row>
    <row r="47" spans="1:9" ht="18.75" customHeight="1" x14ac:dyDescent="0.25">
      <c r="A47" s="175">
        <v>44</v>
      </c>
      <c r="B47" s="139"/>
      <c r="C47" s="136">
        <v>16</v>
      </c>
      <c r="D47" s="136" t="s">
        <v>23</v>
      </c>
      <c r="E47" s="41">
        <f>'11B (S S) Sem1'!L47</f>
        <v>76.833333333333329</v>
      </c>
      <c r="F47" s="41">
        <f>'11B (S S) Sem2'!L47</f>
        <v>83.166666666666671</v>
      </c>
      <c r="G47" s="41">
        <f t="shared" si="0"/>
        <v>80</v>
      </c>
      <c r="H47" s="59"/>
      <c r="I47" s="193">
        <f t="shared" si="1"/>
        <v>15</v>
      </c>
    </row>
    <row r="48" spans="1:9" ht="18.75" customHeight="1" x14ac:dyDescent="0.25">
      <c r="A48" s="155">
        <v>45</v>
      </c>
      <c r="B48" s="139"/>
      <c r="C48" s="136">
        <v>17</v>
      </c>
      <c r="D48" s="136" t="s">
        <v>23</v>
      </c>
      <c r="E48" s="41">
        <f>'11B (S S) Sem1'!L48</f>
        <v>57.333333333333336</v>
      </c>
      <c r="F48" s="41">
        <f>'11B (S S) Sem2'!L48</f>
        <v>63.5</v>
      </c>
      <c r="G48" s="41">
        <f t="shared" si="0"/>
        <v>60.416666666666671</v>
      </c>
      <c r="H48" s="59"/>
      <c r="I48" s="193">
        <f t="shared" si="1"/>
        <v>42</v>
      </c>
    </row>
    <row r="49" spans="1:9" ht="18" customHeight="1" x14ac:dyDescent="0.25">
      <c r="A49" s="175">
        <v>46</v>
      </c>
      <c r="B49" s="139"/>
      <c r="C49" s="136">
        <v>17</v>
      </c>
      <c r="D49" s="136" t="s">
        <v>23</v>
      </c>
      <c r="E49" s="41">
        <f>'11B (S S) Sem1'!L49</f>
        <v>93.5</v>
      </c>
      <c r="F49" s="41">
        <f>'11B (S S) Sem2'!L49</f>
        <v>93.5</v>
      </c>
      <c r="G49" s="41">
        <f t="shared" si="0"/>
        <v>93.5</v>
      </c>
      <c r="H49" s="59"/>
      <c r="I49" s="193">
        <f t="shared" si="1"/>
        <v>1</v>
      </c>
    </row>
    <row r="50" spans="1:9" ht="18.75" customHeight="1" x14ac:dyDescent="0.25">
      <c r="A50" s="155">
        <v>47</v>
      </c>
      <c r="B50" s="139"/>
      <c r="C50" s="136">
        <v>16</v>
      </c>
      <c r="D50" s="136" t="s">
        <v>23</v>
      </c>
      <c r="E50" s="41">
        <f>'11B (S S) Sem1'!L50</f>
        <v>64.833333333333329</v>
      </c>
      <c r="F50" s="41">
        <f>'11B (S S) Sem2'!L50</f>
        <v>68.5</v>
      </c>
      <c r="G50" s="41">
        <f t="shared" si="0"/>
        <v>66.666666666666657</v>
      </c>
      <c r="H50" s="59"/>
      <c r="I50" s="193">
        <f t="shared" si="1"/>
        <v>31</v>
      </c>
    </row>
    <row r="51" spans="1:9" ht="19.5" customHeight="1" x14ac:dyDescent="0.25">
      <c r="A51" s="175">
        <v>48</v>
      </c>
      <c r="B51" s="139"/>
      <c r="C51" s="136">
        <v>16</v>
      </c>
      <c r="D51" s="136" t="s">
        <v>23</v>
      </c>
      <c r="E51" s="41">
        <f>'11B (S S) Sem1'!L51</f>
        <v>85.166666666666671</v>
      </c>
      <c r="F51" s="41">
        <f>'11B (S S) Sem2'!L51</f>
        <v>86.5</v>
      </c>
      <c r="G51" s="41">
        <f t="shared" si="0"/>
        <v>85.833333333333343</v>
      </c>
      <c r="H51" s="59"/>
      <c r="I51" s="193">
        <f t="shared" si="1"/>
        <v>6</v>
      </c>
    </row>
    <row r="52" spans="1:9" ht="21.75" customHeight="1" x14ac:dyDescent="0.25">
      <c r="A52" s="155">
        <v>49</v>
      </c>
      <c r="B52" s="139"/>
      <c r="C52" s="136">
        <v>16</v>
      </c>
      <c r="D52" s="136" t="s">
        <v>23</v>
      </c>
      <c r="E52" s="41">
        <f>'11B (S S) Sem1'!L52</f>
        <v>79.5</v>
      </c>
      <c r="F52" s="41">
        <f>'11B (S S) Sem2'!L52</f>
        <v>86.5</v>
      </c>
      <c r="G52" s="41">
        <f t="shared" si="0"/>
        <v>83</v>
      </c>
      <c r="H52" s="59"/>
      <c r="I52" s="193">
        <f t="shared" si="1"/>
        <v>11</v>
      </c>
    </row>
    <row r="53" spans="1:9" ht="17.25" customHeight="1" x14ac:dyDescent="0.25">
      <c r="A53" s="175">
        <v>50</v>
      </c>
      <c r="B53" s="139"/>
      <c r="C53" s="136">
        <v>16</v>
      </c>
      <c r="D53" s="136" t="s">
        <v>23</v>
      </c>
      <c r="E53" s="41">
        <f>'11B (S S) Sem1'!L53</f>
        <v>78.166666666666671</v>
      </c>
      <c r="F53" s="41">
        <f>'11B (S S) Sem2'!L53</f>
        <v>84.333333333333329</v>
      </c>
      <c r="G53" s="41">
        <f t="shared" si="0"/>
        <v>81.25</v>
      </c>
      <c r="H53" s="59"/>
      <c r="I53" s="193">
        <f t="shared" si="1"/>
        <v>14</v>
      </c>
    </row>
    <row r="54" spans="1:9" ht="19.5" customHeight="1" x14ac:dyDescent="0.25">
      <c r="A54" s="155">
        <v>51</v>
      </c>
      <c r="B54" s="139"/>
      <c r="C54" s="136">
        <v>15</v>
      </c>
      <c r="D54" s="136" t="s">
        <v>20</v>
      </c>
      <c r="E54" s="41">
        <f>'11B (S S) Sem1'!L54</f>
        <v>65.666666666666671</v>
      </c>
      <c r="F54" s="41">
        <f>'11B (S S) Sem2'!L54</f>
        <v>73.166666666666671</v>
      </c>
      <c r="G54" s="41">
        <f t="shared" si="0"/>
        <v>69.416666666666671</v>
      </c>
      <c r="H54" s="59"/>
      <c r="I54" s="193">
        <f t="shared" si="1"/>
        <v>26</v>
      </c>
    </row>
    <row r="55" spans="1:9" ht="19.5" customHeight="1" x14ac:dyDescent="0.25">
      <c r="A55" s="175">
        <v>52</v>
      </c>
      <c r="B55" s="153"/>
      <c r="C55" s="42">
        <v>17</v>
      </c>
      <c r="D55" s="42" t="s">
        <v>23</v>
      </c>
      <c r="E55" s="11">
        <f>'11B (S S) Sem1'!L55</f>
        <v>56</v>
      </c>
      <c r="F55" s="25">
        <f>'11B (S S) Sem2'!L55</f>
        <v>65.333333333333329</v>
      </c>
      <c r="G55" s="41">
        <f t="shared" si="0"/>
        <v>60.666666666666664</v>
      </c>
      <c r="H55" s="12"/>
      <c r="I55" s="193">
        <f t="shared" si="1"/>
        <v>41</v>
      </c>
    </row>
    <row r="56" spans="1:9" ht="19.5" customHeight="1" x14ac:dyDescent="0.25">
      <c r="A56" s="155">
        <v>53</v>
      </c>
      <c r="B56" s="153"/>
      <c r="C56" s="42">
        <v>17</v>
      </c>
      <c r="D56" s="42" t="s">
        <v>20</v>
      </c>
      <c r="E56" s="25">
        <f>'11B (S S) Sem1'!L56</f>
        <v>81.833333333333329</v>
      </c>
      <c r="F56" s="25">
        <f>'11B (S S) Sem2'!L56</f>
        <v>84.833333333333329</v>
      </c>
      <c r="G56" s="41">
        <f t="shared" si="0"/>
        <v>83.333333333333329</v>
      </c>
      <c r="H56" s="12"/>
      <c r="I56" s="193">
        <f t="shared" si="1"/>
        <v>9</v>
      </c>
    </row>
    <row r="57" spans="1:9" ht="19.5" customHeight="1" x14ac:dyDescent="0.25">
      <c r="A57" s="175">
        <v>54</v>
      </c>
      <c r="B57" s="153"/>
      <c r="C57" s="42"/>
      <c r="D57" s="42"/>
      <c r="E57" s="11">
        <f>'11B (S S) Sem1'!L57</f>
        <v>0</v>
      </c>
      <c r="F57" s="11">
        <f>'11B (S S) Sem2'!L57</f>
        <v>0</v>
      </c>
      <c r="G57" s="41">
        <f t="shared" si="0"/>
        <v>0</v>
      </c>
      <c r="H57" s="12"/>
      <c r="I57" s="12"/>
    </row>
    <row r="58" spans="1:9" ht="19.5" customHeight="1" x14ac:dyDescent="0.25">
      <c r="A58" s="155">
        <v>55</v>
      </c>
      <c r="B58" s="153"/>
      <c r="C58" s="42"/>
      <c r="D58" s="42"/>
      <c r="E58" s="11">
        <f>'11B (S S) Sem1'!L58</f>
        <v>0</v>
      </c>
      <c r="F58" s="11">
        <f>'11B (S S) Sem2'!L58</f>
        <v>0</v>
      </c>
      <c r="G58" s="41">
        <f t="shared" si="0"/>
        <v>0</v>
      </c>
      <c r="H58" s="12"/>
      <c r="I58" s="12"/>
    </row>
    <row r="59" spans="1:9" ht="13.5" customHeight="1" x14ac:dyDescent="0.25"/>
    <row r="60" spans="1:9" ht="13.5" customHeight="1" x14ac:dyDescent="0.25"/>
    <row r="61" spans="1:9" ht="13.5" customHeight="1" x14ac:dyDescent="0.25"/>
    <row r="62" spans="1:9" ht="13.5" customHeight="1" x14ac:dyDescent="0.25">
      <c r="A62" s="37"/>
      <c r="B62" s="37"/>
    </row>
    <row r="63" spans="1:9" ht="13.5" customHeight="1" x14ac:dyDescent="0.25">
      <c r="A63" s="37"/>
      <c r="B63" s="37"/>
    </row>
    <row r="64" spans="1:9" ht="13.5" customHeight="1" x14ac:dyDescent="0.25">
      <c r="A64" s="37"/>
      <c r="B64" s="37"/>
    </row>
    <row r="65" spans="1:4" ht="13.5" customHeight="1" x14ac:dyDescent="0.25">
      <c r="A65" s="37"/>
      <c r="B65" s="37"/>
    </row>
    <row r="66" spans="1:4" ht="13.5" customHeight="1" x14ac:dyDescent="0.25">
      <c r="A66" s="37"/>
      <c r="B66" s="37"/>
    </row>
    <row r="67" spans="1:4" ht="13.5" customHeight="1" x14ac:dyDescent="0.25">
      <c r="A67" s="37"/>
      <c r="B67" s="37"/>
    </row>
    <row r="68" spans="1:4" ht="13.5" customHeight="1" x14ac:dyDescent="0.25">
      <c r="A68" s="37"/>
      <c r="B68" s="37"/>
    </row>
    <row r="69" spans="1:4" ht="13.5" customHeight="1" x14ac:dyDescent="0.25">
      <c r="A69" s="37"/>
      <c r="B69" s="37"/>
    </row>
    <row r="70" spans="1:4" ht="13.5" customHeight="1" x14ac:dyDescent="0.25">
      <c r="A70" s="37"/>
      <c r="B70" s="37"/>
    </row>
    <row r="71" spans="1:4" ht="13.5" customHeight="1" x14ac:dyDescent="0.25">
      <c r="A71" s="37"/>
      <c r="B71" s="37"/>
    </row>
    <row r="72" spans="1:4" ht="13.5" customHeight="1" x14ac:dyDescent="0.25">
      <c r="A72" s="37"/>
      <c r="B72" s="37"/>
    </row>
    <row r="73" spans="1:4" ht="13.5" customHeight="1" x14ac:dyDescent="0.25">
      <c r="A73" s="37"/>
      <c r="B73" s="37"/>
    </row>
    <row r="74" spans="1:4" ht="13.5" customHeight="1" x14ac:dyDescent="0.25">
      <c r="A74" s="37"/>
      <c r="B74" s="37"/>
    </row>
    <row r="75" spans="1:4" ht="13.5" customHeight="1" x14ac:dyDescent="0.25">
      <c r="A75" s="37"/>
      <c r="B75" s="37"/>
      <c r="C75" s="8"/>
      <c r="D75" s="8"/>
    </row>
    <row r="76" spans="1:4" ht="13.5" customHeight="1" x14ac:dyDescent="0.25">
      <c r="A76" s="37"/>
      <c r="B76" s="37"/>
      <c r="C76" s="8"/>
      <c r="D76" s="8"/>
    </row>
    <row r="77" spans="1:4" ht="13.5" customHeight="1" x14ac:dyDescent="0.25">
      <c r="A77" s="37"/>
      <c r="B77" s="37"/>
      <c r="C77" s="8"/>
      <c r="D77" s="8"/>
    </row>
    <row r="78" spans="1:4" ht="13.5" customHeight="1" x14ac:dyDescent="0.25">
      <c r="A78" s="37"/>
      <c r="B78" s="37"/>
      <c r="C78" s="8"/>
      <c r="D78" s="8"/>
    </row>
    <row r="79" spans="1:4" ht="13.5" customHeight="1" x14ac:dyDescent="0.25">
      <c r="A79" s="37"/>
      <c r="B79" s="37"/>
      <c r="C79" s="8"/>
      <c r="D79" s="8"/>
    </row>
    <row r="80" spans="1:4" ht="13.5" customHeight="1" x14ac:dyDescent="0.25">
      <c r="A80" s="37"/>
      <c r="B80" s="37"/>
      <c r="C80" s="8"/>
      <c r="D80" s="8"/>
    </row>
    <row r="81" spans="1:4" ht="13.5" customHeight="1" x14ac:dyDescent="0.25">
      <c r="A81" s="37"/>
      <c r="B81" s="37"/>
      <c r="C81" s="8"/>
      <c r="D81" s="8"/>
    </row>
    <row r="82" spans="1:4" ht="13.5" customHeight="1" x14ac:dyDescent="0.25">
      <c r="A82" s="37"/>
      <c r="B82" s="37"/>
      <c r="C82" s="8"/>
      <c r="D82" s="8"/>
    </row>
    <row r="83" spans="1:4" ht="13.5" customHeight="1" x14ac:dyDescent="0.25">
      <c r="A83" s="37"/>
      <c r="B83" s="37"/>
      <c r="C83" s="8"/>
      <c r="D83" s="8"/>
    </row>
    <row r="84" spans="1:4" ht="13.5" customHeight="1" x14ac:dyDescent="0.25">
      <c r="A84" s="37"/>
      <c r="B84" s="37"/>
    </row>
    <row r="85" spans="1:4" ht="13.5" customHeight="1" x14ac:dyDescent="0.25">
      <c r="A85" s="37"/>
      <c r="B85" s="37"/>
    </row>
    <row r="86" spans="1:4" ht="13.5" customHeight="1" x14ac:dyDescent="0.25">
      <c r="A86" s="37"/>
      <c r="B86" s="37"/>
    </row>
    <row r="87" spans="1:4" ht="13.5" customHeight="1" x14ac:dyDescent="0.25">
      <c r="A87" s="37"/>
      <c r="B87" s="37"/>
    </row>
    <row r="88" spans="1:4" ht="13.5" customHeight="1" x14ac:dyDescent="0.25">
      <c r="A88" s="37"/>
      <c r="B88" s="37"/>
    </row>
    <row r="89" spans="1:4" ht="13.5" customHeight="1" x14ac:dyDescent="0.25">
      <c r="A89" s="37"/>
      <c r="B89" s="37"/>
    </row>
    <row r="90" spans="1:4" ht="13.5" customHeight="1" x14ac:dyDescent="0.25">
      <c r="A90" s="37"/>
      <c r="B90" s="37"/>
    </row>
    <row r="91" spans="1:4" ht="13.5" customHeight="1" x14ac:dyDescent="0.25">
      <c r="A91" s="37"/>
      <c r="B91" s="37"/>
    </row>
    <row r="92" spans="1:4" ht="13.5" customHeight="1" x14ac:dyDescent="0.25">
      <c r="A92" s="37"/>
      <c r="B92" s="37"/>
    </row>
    <row r="93" spans="1:4" ht="13.5" customHeight="1" x14ac:dyDescent="0.25">
      <c r="A93" s="37"/>
      <c r="B93" s="37"/>
    </row>
    <row r="94" spans="1:4" ht="13.5" customHeight="1" x14ac:dyDescent="0.25">
      <c r="A94" s="37"/>
      <c r="B94" s="37"/>
    </row>
    <row r="95" spans="1:4" ht="13.5" customHeight="1" x14ac:dyDescent="0.25">
      <c r="A95" s="37"/>
      <c r="B95" s="37"/>
    </row>
    <row r="96" spans="1:4" ht="13.5" customHeight="1" x14ac:dyDescent="0.25">
      <c r="A96" s="37"/>
      <c r="B96" s="37"/>
    </row>
    <row r="97" spans="1:2" ht="13.5" customHeight="1" x14ac:dyDescent="0.25">
      <c r="A97" s="37"/>
      <c r="B97" s="37"/>
    </row>
    <row r="98" spans="1:2" ht="13.5" customHeight="1" x14ac:dyDescent="0.25">
      <c r="A98" s="37"/>
      <c r="B98" s="37"/>
    </row>
    <row r="99" spans="1:2" ht="15" customHeight="1" x14ac:dyDescent="0.25">
      <c r="A99" s="37"/>
      <c r="B99" s="37"/>
    </row>
  </sheetData>
  <mergeCells count="2">
    <mergeCell ref="A1:K1"/>
    <mergeCell ref="A2:K2"/>
  </mergeCells>
  <pageMargins left="0.7" right="0.7" top="0.75" bottom="0.75" header="0.3" footer="0.3"/>
  <pageSetup paperSize="9" scale="85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6"/>
  <sheetViews>
    <sheetView view="pageBreakPreview" zoomScale="60" zoomScaleNormal="100" workbookViewId="0">
      <selection activeCell="B6" sqref="B6:B92"/>
    </sheetView>
  </sheetViews>
  <sheetFormatPr defaultRowHeight="15" x14ac:dyDescent="0.25"/>
  <cols>
    <col min="1" max="1" width="4" customWidth="1"/>
    <col min="2" max="2" width="35.28515625" customWidth="1"/>
    <col min="3" max="4" width="4.140625" style="9" customWidth="1"/>
    <col min="6" max="6" width="6" customWidth="1"/>
    <col min="7" max="7" width="7" customWidth="1"/>
    <col min="8" max="10" width="6.28515625" customWidth="1"/>
    <col min="11" max="11" width="5.85546875" customWidth="1"/>
    <col min="12" max="12" width="6.5703125" customWidth="1"/>
    <col min="13" max="13" width="6.28515625" customWidth="1"/>
    <col min="14" max="14" width="7.7109375" style="127" customWidth="1"/>
    <col min="15" max="15" width="6.140625" customWidth="1"/>
    <col min="16" max="16" width="7.85546875" customWidth="1"/>
    <col min="17" max="18" width="5" style="28" customWidth="1"/>
    <col min="19" max="19" width="4.7109375" customWidth="1"/>
    <col min="20" max="20" width="30.85546875" customWidth="1"/>
    <col min="21" max="21" width="3.85546875" customWidth="1"/>
    <col min="22" max="22" width="3.7109375" customWidth="1"/>
  </cols>
  <sheetData>
    <row r="1" spans="1:21" ht="20.25" x14ac:dyDescent="0.25">
      <c r="A1" s="222" t="s">
        <v>62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4"/>
    </row>
    <row r="2" spans="1:21" ht="18.7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123"/>
      <c r="O2" s="73"/>
      <c r="P2" s="73"/>
      <c r="Q2" s="26"/>
      <c r="R2" s="27"/>
    </row>
    <row r="3" spans="1:21" x14ac:dyDescent="0.25">
      <c r="A3" s="225" t="s">
        <v>47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3"/>
      <c r="T3" s="3"/>
      <c r="U3" s="3"/>
    </row>
    <row r="4" spans="1:21" ht="15.75" thickBo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124"/>
      <c r="O4" s="4"/>
      <c r="P4" s="4"/>
      <c r="Q4" s="4"/>
      <c r="R4" s="4"/>
      <c r="S4" s="3"/>
      <c r="T4" s="3"/>
      <c r="U4" s="3"/>
    </row>
    <row r="5" spans="1:21" ht="46.5" customHeight="1" thickBot="1" x14ac:dyDescent="0.3">
      <c r="A5" s="61" t="s">
        <v>28</v>
      </c>
      <c r="B5" s="61" t="s">
        <v>1</v>
      </c>
      <c r="C5" s="65" t="s">
        <v>2</v>
      </c>
      <c r="D5" s="65" t="s">
        <v>3</v>
      </c>
      <c r="E5" s="17" t="s">
        <v>25</v>
      </c>
      <c r="F5" s="17" t="s">
        <v>5</v>
      </c>
      <c r="G5" s="17" t="s">
        <v>6</v>
      </c>
      <c r="H5" s="17" t="s">
        <v>7</v>
      </c>
      <c r="I5" s="17" t="s">
        <v>8</v>
      </c>
      <c r="J5" s="17" t="s">
        <v>9</v>
      </c>
      <c r="K5" s="17" t="s">
        <v>13</v>
      </c>
      <c r="L5" s="19" t="s">
        <v>68</v>
      </c>
      <c r="M5" s="19" t="s">
        <v>15</v>
      </c>
      <c r="N5" s="125" t="s">
        <v>16</v>
      </c>
      <c r="O5" s="17" t="s">
        <v>17</v>
      </c>
      <c r="P5" s="17" t="s">
        <v>18</v>
      </c>
      <c r="Q5" s="67" t="s">
        <v>19</v>
      </c>
      <c r="R5"/>
    </row>
    <row r="6" spans="1:21" ht="17.25" customHeight="1" thickBot="1" x14ac:dyDescent="0.3">
      <c r="A6" s="251">
        <v>1</v>
      </c>
      <c r="B6" s="218"/>
      <c r="C6" s="213">
        <v>16</v>
      </c>
      <c r="D6" s="215" t="s">
        <v>20</v>
      </c>
      <c r="E6" s="21" t="s">
        <v>21</v>
      </c>
      <c r="F6" s="22">
        <f>'12A (NS) Sem 1'!E4</f>
        <v>61</v>
      </c>
      <c r="G6" s="22">
        <f>'12A (NS) Sem 1'!F4</f>
        <v>54</v>
      </c>
      <c r="H6" s="22">
        <f>'12A (NS) Sem 1'!G4</f>
        <v>66</v>
      </c>
      <c r="I6" s="22">
        <f>'12A (NS) Sem 1'!H4</f>
        <v>52</v>
      </c>
      <c r="J6" s="22">
        <f>'12A (NS) Sem 1'!I4</f>
        <v>62</v>
      </c>
      <c r="K6" s="22">
        <f>'12A (NS) Sem 1'!J4</f>
        <v>85</v>
      </c>
      <c r="L6" s="22">
        <f>'12A (NS) Sem 1'!K4</f>
        <v>66</v>
      </c>
      <c r="M6" s="22">
        <f>'12A (NS) Sem 1'!L4</f>
        <v>446</v>
      </c>
      <c r="N6" s="192">
        <f>'12A (NS) Sem 1'!M4</f>
        <v>63.714285714285715</v>
      </c>
      <c r="O6" s="22">
        <f>'12A (NS) Sem 1'!N4</f>
        <v>28</v>
      </c>
      <c r="P6" s="33">
        <f>'12A (NS) Sem 1'!O4</f>
        <v>0</v>
      </c>
      <c r="Q6" s="34">
        <f>'12A (NS) Sem 1'!P4</f>
        <v>0</v>
      </c>
      <c r="R6"/>
    </row>
    <row r="7" spans="1:21" ht="17.25" customHeight="1" thickBot="1" x14ac:dyDescent="0.3">
      <c r="A7" s="251"/>
      <c r="B7" s="218"/>
      <c r="C7" s="213">
        <v>16</v>
      </c>
      <c r="D7" s="215" t="s">
        <v>20</v>
      </c>
      <c r="E7" s="21" t="s">
        <v>22</v>
      </c>
      <c r="F7" s="29">
        <f>'12A (NS)Sem 2'!E4</f>
        <v>68</v>
      </c>
      <c r="G7" s="29">
        <f>'12A (NS)Sem 2'!F4</f>
        <v>79</v>
      </c>
      <c r="H7" s="29">
        <f>'12A (NS)Sem 2'!G4</f>
        <v>71</v>
      </c>
      <c r="I7" s="29">
        <f>'12A (NS)Sem 2'!H4</f>
        <v>60</v>
      </c>
      <c r="J7" s="29">
        <f>'12A (NS)Sem 2'!I4</f>
        <v>72</v>
      </c>
      <c r="K7" s="29">
        <f>'12A (NS)Sem 2'!J4</f>
        <v>89</v>
      </c>
      <c r="L7" s="29">
        <f>'12A (NS)Sem 2'!K4</f>
        <v>70</v>
      </c>
      <c r="M7" s="22">
        <f>'12A (NS)Sem 2'!L4</f>
        <v>509</v>
      </c>
      <c r="N7" s="192">
        <f>'12A (NS)Sem 2'!M4</f>
        <v>72.714285714285708</v>
      </c>
      <c r="O7" s="22">
        <f>'12A (NS)Sem 2'!N4</f>
        <v>28</v>
      </c>
      <c r="P7" s="32">
        <f>'12A (NS)Sem 2'!O4</f>
        <v>0</v>
      </c>
      <c r="Q7" s="35">
        <f>'12A (NS)Sem 2'!P4</f>
        <v>0</v>
      </c>
      <c r="R7"/>
    </row>
    <row r="8" spans="1:21" ht="17.25" customHeight="1" thickBot="1" x14ac:dyDescent="0.3">
      <c r="A8" s="251"/>
      <c r="B8" s="218"/>
      <c r="C8" s="213">
        <v>16</v>
      </c>
      <c r="D8" s="215" t="s">
        <v>20</v>
      </c>
      <c r="E8" s="21" t="s">
        <v>16</v>
      </c>
      <c r="F8" s="22">
        <f>AVERAGE(F6:F7)</f>
        <v>64.5</v>
      </c>
      <c r="G8" s="22">
        <f t="shared" ref="G8:Q8" si="0">AVERAGE(G6:G7)</f>
        <v>66.5</v>
      </c>
      <c r="H8" s="22">
        <f t="shared" si="0"/>
        <v>68.5</v>
      </c>
      <c r="I8" s="22">
        <f t="shared" si="0"/>
        <v>56</v>
      </c>
      <c r="J8" s="22">
        <f t="shared" si="0"/>
        <v>67</v>
      </c>
      <c r="K8" s="22">
        <f t="shared" si="0"/>
        <v>87</v>
      </c>
      <c r="L8" s="22">
        <f t="shared" si="0"/>
        <v>68</v>
      </c>
      <c r="M8" s="22">
        <f t="shared" si="0"/>
        <v>477.5</v>
      </c>
      <c r="N8" s="192">
        <f t="shared" si="0"/>
        <v>68.214285714285708</v>
      </c>
      <c r="O8" s="22">
        <f>'12A Sem avr (NS)'!$H$4</f>
        <v>28</v>
      </c>
      <c r="P8" s="22">
        <f t="shared" si="0"/>
        <v>0</v>
      </c>
      <c r="Q8" s="22">
        <f t="shared" si="0"/>
        <v>0</v>
      </c>
      <c r="R8"/>
    </row>
    <row r="9" spans="1:21" ht="17.25" customHeight="1" thickBot="1" x14ac:dyDescent="0.3">
      <c r="A9" s="247">
        <v>2</v>
      </c>
      <c r="B9" s="218"/>
      <c r="C9" s="213">
        <v>18</v>
      </c>
      <c r="D9" s="215" t="s">
        <v>20</v>
      </c>
      <c r="E9" s="21" t="s">
        <v>21</v>
      </c>
      <c r="F9" s="22">
        <f>'12A (NS) Sem 1'!E5</f>
        <v>86</v>
      </c>
      <c r="G9" s="22">
        <f>'12A (NS) Sem 1'!F5</f>
        <v>80</v>
      </c>
      <c r="H9" s="22">
        <f>'12A (NS) Sem 1'!G5</f>
        <v>90</v>
      </c>
      <c r="I9" s="22">
        <f>'12A (NS) Sem 1'!H5</f>
        <v>88</v>
      </c>
      <c r="J9" s="22">
        <f>'12A (NS) Sem 1'!I5</f>
        <v>97</v>
      </c>
      <c r="K9" s="22">
        <f>'12A (NS) Sem 1'!J5</f>
        <v>98</v>
      </c>
      <c r="L9" s="22">
        <f>'12A (NS) Sem 1'!K5</f>
        <v>91</v>
      </c>
      <c r="M9" s="22">
        <f>'12A (NS) Sem 1'!L5</f>
        <v>630</v>
      </c>
      <c r="N9" s="192">
        <f>'12A (NS) Sem 1'!M5</f>
        <v>90</v>
      </c>
      <c r="O9" s="22">
        <f>'12A (NS) Sem 1'!N5</f>
        <v>5</v>
      </c>
      <c r="P9" s="36">
        <f>'12A (NS) Sem 1'!O5</f>
        <v>0</v>
      </c>
      <c r="Q9" s="36">
        <f>'12A (NS) Sem 1'!P5</f>
        <v>0</v>
      </c>
      <c r="R9"/>
    </row>
    <row r="10" spans="1:21" ht="17.25" customHeight="1" thickBot="1" x14ac:dyDescent="0.3">
      <c r="A10" s="247"/>
      <c r="B10" s="218"/>
      <c r="C10" s="213">
        <v>18</v>
      </c>
      <c r="D10" s="215" t="s">
        <v>20</v>
      </c>
      <c r="E10" s="21" t="s">
        <v>22</v>
      </c>
      <c r="F10" s="22">
        <f>'12A (NS)Sem 2'!E5</f>
        <v>88</v>
      </c>
      <c r="G10" s="22">
        <f>'12A (NS)Sem 2'!F5</f>
        <v>93</v>
      </c>
      <c r="H10" s="22">
        <f>'12A (NS)Sem 2'!G5</f>
        <v>92</v>
      </c>
      <c r="I10" s="22">
        <f>'12A (NS)Sem 2'!H5</f>
        <v>90</v>
      </c>
      <c r="J10" s="22">
        <f>'12A (NS)Sem 2'!I5</f>
        <v>98</v>
      </c>
      <c r="K10" s="22">
        <f>'12A (NS)Sem 2'!J5</f>
        <v>100</v>
      </c>
      <c r="L10" s="22">
        <f>'12A (NS)Sem 2'!K5</f>
        <v>97</v>
      </c>
      <c r="M10" s="22">
        <f>'12A (NS)Sem 2'!L5</f>
        <v>658</v>
      </c>
      <c r="N10" s="192">
        <f>'12A (NS)Sem 2'!M5</f>
        <v>94</v>
      </c>
      <c r="O10" s="22">
        <f>'12A (NS)Sem 2'!N5</f>
        <v>4</v>
      </c>
      <c r="P10" s="36">
        <f>'12A (NS)Sem 2'!O5</f>
        <v>0</v>
      </c>
      <c r="Q10" s="36">
        <f>'12A (NS)Sem 2'!P5</f>
        <v>0</v>
      </c>
      <c r="R10"/>
    </row>
    <row r="11" spans="1:21" ht="17.25" customHeight="1" thickBot="1" x14ac:dyDescent="0.3">
      <c r="A11" s="247"/>
      <c r="B11" s="218"/>
      <c r="C11" s="213">
        <v>18</v>
      </c>
      <c r="D11" s="215" t="s">
        <v>20</v>
      </c>
      <c r="E11" s="21" t="s">
        <v>16</v>
      </c>
      <c r="F11" s="22">
        <f>AVERAGE(F9:F10)</f>
        <v>87</v>
      </c>
      <c r="G11" s="22">
        <f t="shared" ref="G11:Q11" si="1">AVERAGE(G9:G10)</f>
        <v>86.5</v>
      </c>
      <c r="H11" s="22">
        <f t="shared" si="1"/>
        <v>91</v>
      </c>
      <c r="I11" s="22">
        <f t="shared" si="1"/>
        <v>89</v>
      </c>
      <c r="J11" s="22">
        <f t="shared" si="1"/>
        <v>97.5</v>
      </c>
      <c r="K11" s="22">
        <f t="shared" si="1"/>
        <v>99</v>
      </c>
      <c r="L11" s="22">
        <f t="shared" si="1"/>
        <v>94</v>
      </c>
      <c r="M11" s="22">
        <f t="shared" si="1"/>
        <v>644</v>
      </c>
      <c r="N11" s="192">
        <f t="shared" si="1"/>
        <v>92</v>
      </c>
      <c r="O11" s="22">
        <f>'12A Sem avr (NS)'!$H$5</f>
        <v>5</v>
      </c>
      <c r="P11" s="22">
        <f t="shared" si="1"/>
        <v>0</v>
      </c>
      <c r="Q11" s="22">
        <f t="shared" si="1"/>
        <v>0</v>
      </c>
      <c r="R11"/>
    </row>
    <row r="12" spans="1:21" ht="17.25" customHeight="1" thickBot="1" x14ac:dyDescent="0.3">
      <c r="A12" s="249">
        <v>3</v>
      </c>
      <c r="B12" s="218"/>
      <c r="C12" s="213">
        <v>18</v>
      </c>
      <c r="D12" s="215" t="s">
        <v>20</v>
      </c>
      <c r="E12" s="21" t="s">
        <v>21</v>
      </c>
      <c r="F12" s="22">
        <f>'12A (NS) Sem 1'!E6</f>
        <v>71</v>
      </c>
      <c r="G12" s="22">
        <f>'12A (NS) Sem 1'!F6</f>
        <v>58</v>
      </c>
      <c r="H12" s="22">
        <f>'12A (NS) Sem 1'!G6</f>
        <v>67</v>
      </c>
      <c r="I12" s="22">
        <f>'12A (NS) Sem 1'!H6</f>
        <v>58</v>
      </c>
      <c r="J12" s="22">
        <f>'12A (NS) Sem 1'!I6</f>
        <v>73</v>
      </c>
      <c r="K12" s="22">
        <f>'12A (NS) Sem 1'!J6</f>
        <v>86</v>
      </c>
      <c r="L12" s="22">
        <f>'12A (NS) Sem 1'!K6</f>
        <v>66</v>
      </c>
      <c r="M12" s="22">
        <f>'12A (NS) Sem 1'!L6</f>
        <v>479</v>
      </c>
      <c r="N12" s="192">
        <f>'12A (NS) Sem 1'!M6</f>
        <v>68.428571428571431</v>
      </c>
      <c r="O12" s="22">
        <f>'12A (NS) Sem 1'!N6</f>
        <v>24</v>
      </c>
      <c r="P12" s="36">
        <f>'12A (NS) Sem 1'!O6</f>
        <v>0</v>
      </c>
      <c r="Q12" s="36">
        <f>'12A (NS) Sem 1'!P6</f>
        <v>0</v>
      </c>
      <c r="R12"/>
    </row>
    <row r="13" spans="1:21" ht="17.25" customHeight="1" thickBot="1" x14ac:dyDescent="0.3">
      <c r="A13" s="249"/>
      <c r="B13" s="218"/>
      <c r="C13" s="213">
        <v>18</v>
      </c>
      <c r="D13" s="215" t="s">
        <v>20</v>
      </c>
      <c r="E13" s="21" t="s">
        <v>22</v>
      </c>
      <c r="F13" s="22">
        <f>'12A (NS)Sem 2'!E6</f>
        <v>76</v>
      </c>
      <c r="G13" s="22">
        <f>'12A (NS)Sem 2'!F6</f>
        <v>61</v>
      </c>
      <c r="H13" s="22">
        <f>'12A (NS)Sem 2'!G6</f>
        <v>71</v>
      </c>
      <c r="I13" s="22">
        <f>'12A (NS)Sem 2'!H6</f>
        <v>62</v>
      </c>
      <c r="J13" s="22">
        <f>'12A (NS)Sem 2'!I6</f>
        <v>75</v>
      </c>
      <c r="K13" s="22">
        <f>'12A (NS)Sem 2'!J6</f>
        <v>97</v>
      </c>
      <c r="L13" s="22">
        <f>'12A (NS)Sem 2'!K6</f>
        <v>85</v>
      </c>
      <c r="M13" s="22">
        <f>'12A (NS)Sem 2'!L6</f>
        <v>527</v>
      </c>
      <c r="N13" s="192">
        <f>'12A (NS)Sem 2'!M6</f>
        <v>75.285714285714292</v>
      </c>
      <c r="O13" s="22">
        <f>'12A (NS)Sem 2'!N6</f>
        <v>24</v>
      </c>
      <c r="P13" s="36">
        <f>'12A (NS)Sem 2'!O6</f>
        <v>0</v>
      </c>
      <c r="Q13" s="36">
        <f>'12A (NS)Sem 2'!P6</f>
        <v>0</v>
      </c>
      <c r="R13"/>
    </row>
    <row r="14" spans="1:21" ht="17.25" customHeight="1" thickBot="1" x14ac:dyDescent="0.3">
      <c r="A14" s="249"/>
      <c r="B14" s="218"/>
      <c r="C14" s="213">
        <v>18</v>
      </c>
      <c r="D14" s="215" t="s">
        <v>20</v>
      </c>
      <c r="E14" s="21" t="s">
        <v>16</v>
      </c>
      <c r="F14" s="22">
        <f>AVERAGE(F12:F13)</f>
        <v>73.5</v>
      </c>
      <c r="G14" s="22">
        <f t="shared" ref="G14:Q14" si="2">AVERAGE(G12:G13)</f>
        <v>59.5</v>
      </c>
      <c r="H14" s="22">
        <f t="shared" si="2"/>
        <v>69</v>
      </c>
      <c r="I14" s="22">
        <f t="shared" si="2"/>
        <v>60</v>
      </c>
      <c r="J14" s="22">
        <f t="shared" si="2"/>
        <v>74</v>
      </c>
      <c r="K14" s="22">
        <f t="shared" si="2"/>
        <v>91.5</v>
      </c>
      <c r="L14" s="22">
        <f t="shared" si="2"/>
        <v>75.5</v>
      </c>
      <c r="M14" s="22">
        <f t="shared" si="2"/>
        <v>503</v>
      </c>
      <c r="N14" s="192">
        <f t="shared" si="2"/>
        <v>71.857142857142861</v>
      </c>
      <c r="O14" s="22">
        <f>'12A Sem avr (NS)'!$H$6</f>
        <v>24</v>
      </c>
      <c r="P14" s="22">
        <f t="shared" si="2"/>
        <v>0</v>
      </c>
      <c r="Q14" s="22">
        <f t="shared" si="2"/>
        <v>0</v>
      </c>
      <c r="R14"/>
    </row>
    <row r="15" spans="1:21" ht="17.25" customHeight="1" thickBot="1" x14ac:dyDescent="0.3">
      <c r="A15" s="247">
        <v>4</v>
      </c>
      <c r="B15" s="218"/>
      <c r="C15" s="247">
        <v>18</v>
      </c>
      <c r="D15" s="267" t="s">
        <v>20</v>
      </c>
      <c r="E15" s="21" t="s">
        <v>21</v>
      </c>
      <c r="F15" s="22">
        <f>'12A (NS) Sem 1'!E7</f>
        <v>86</v>
      </c>
      <c r="G15" s="22">
        <f>'12A (NS) Sem 1'!F7</f>
        <v>63</v>
      </c>
      <c r="H15" s="22">
        <f>'12A (NS) Sem 1'!G7</f>
        <v>73</v>
      </c>
      <c r="I15" s="22">
        <f>'12A (NS) Sem 1'!H7</f>
        <v>67</v>
      </c>
      <c r="J15" s="22">
        <f>'12A (NS) Sem 1'!I7</f>
        <v>83</v>
      </c>
      <c r="K15" s="22">
        <f>'12A (NS) Sem 1'!J7</f>
        <v>94</v>
      </c>
      <c r="L15" s="22">
        <f>'12A (NS) Sem 1'!K7</f>
        <v>90</v>
      </c>
      <c r="M15" s="22">
        <f>'12A (NS) Sem 1'!L7</f>
        <v>556</v>
      </c>
      <c r="N15" s="192">
        <f>'12A (NS) Sem 1'!M7</f>
        <v>79.428571428571431</v>
      </c>
      <c r="O15" s="22">
        <f>'12A (NS) Sem 1'!N7</f>
        <v>17</v>
      </c>
      <c r="P15" s="36">
        <f>'12A (NS) Sem 1'!O7</f>
        <v>0</v>
      </c>
      <c r="Q15" s="36">
        <f>'12A (NS) Sem 1'!P7</f>
        <v>0</v>
      </c>
      <c r="R15"/>
    </row>
    <row r="16" spans="1:21" ht="17.25" customHeight="1" thickBot="1" x14ac:dyDescent="0.3">
      <c r="A16" s="247"/>
      <c r="B16" s="218"/>
      <c r="C16" s="247">
        <v>18</v>
      </c>
      <c r="D16" s="267" t="s">
        <v>20</v>
      </c>
      <c r="E16" s="21" t="s">
        <v>22</v>
      </c>
      <c r="F16" s="22">
        <f>'12A (NS)Sem 2'!E7</f>
        <v>87</v>
      </c>
      <c r="G16" s="22">
        <f>'12A (NS)Sem 2'!F7</f>
        <v>66</v>
      </c>
      <c r="H16" s="22">
        <f>'12A (NS)Sem 2'!G7</f>
        <v>75</v>
      </c>
      <c r="I16" s="22">
        <f>'12A (NS)Sem 2'!H7</f>
        <v>70</v>
      </c>
      <c r="J16" s="22">
        <f>'12A (NS)Sem 2'!I7</f>
        <v>85</v>
      </c>
      <c r="K16" s="22">
        <f>'12A (NS)Sem 2'!J7</f>
        <v>98</v>
      </c>
      <c r="L16" s="22">
        <f>'12A (NS)Sem 2'!K7</f>
        <v>92</v>
      </c>
      <c r="M16" s="22">
        <f>'12A (NS)Sem 2'!L7</f>
        <v>573</v>
      </c>
      <c r="N16" s="192">
        <f>'12A (NS)Sem 2'!M7</f>
        <v>81.857142857142861</v>
      </c>
      <c r="O16" s="22">
        <f>'12A (NS)Sem 2'!N7</f>
        <v>19</v>
      </c>
      <c r="P16" s="36">
        <f>'12A (NS)Sem 2'!O7</f>
        <v>0</v>
      </c>
      <c r="Q16" s="36">
        <f>'12A (NS)Sem 2'!P7</f>
        <v>0</v>
      </c>
      <c r="R16"/>
    </row>
    <row r="17" spans="1:18" ht="17.25" customHeight="1" thickBot="1" x14ac:dyDescent="0.3">
      <c r="A17" s="247"/>
      <c r="B17" s="218"/>
      <c r="C17" s="247">
        <v>18</v>
      </c>
      <c r="D17" s="267" t="s">
        <v>20</v>
      </c>
      <c r="E17" s="21" t="s">
        <v>16</v>
      </c>
      <c r="F17" s="22">
        <f>AVERAGE(F15:F16)</f>
        <v>86.5</v>
      </c>
      <c r="G17" s="22">
        <f t="shared" ref="G17:Q17" si="3">AVERAGE(G15:G16)</f>
        <v>64.5</v>
      </c>
      <c r="H17" s="22">
        <f t="shared" si="3"/>
        <v>74</v>
      </c>
      <c r="I17" s="22">
        <f t="shared" si="3"/>
        <v>68.5</v>
      </c>
      <c r="J17" s="22">
        <f t="shared" si="3"/>
        <v>84</v>
      </c>
      <c r="K17" s="22">
        <f t="shared" si="3"/>
        <v>96</v>
      </c>
      <c r="L17" s="22">
        <f t="shared" si="3"/>
        <v>91</v>
      </c>
      <c r="M17" s="22">
        <f t="shared" si="3"/>
        <v>564.5</v>
      </c>
      <c r="N17" s="192">
        <f t="shared" si="3"/>
        <v>80.642857142857139</v>
      </c>
      <c r="O17" s="22">
        <f>'12A Sem avr (NS)'!$H$7</f>
        <v>19</v>
      </c>
      <c r="P17" s="22">
        <f t="shared" si="3"/>
        <v>0</v>
      </c>
      <c r="Q17" s="22">
        <f t="shared" si="3"/>
        <v>0</v>
      </c>
      <c r="R17"/>
    </row>
    <row r="18" spans="1:18" ht="17.25" customHeight="1" thickBot="1" x14ac:dyDescent="0.3">
      <c r="A18" s="247">
        <v>5</v>
      </c>
      <c r="B18" s="218"/>
      <c r="C18" s="213">
        <v>17</v>
      </c>
      <c r="D18" s="215" t="s">
        <v>20</v>
      </c>
      <c r="E18" s="21" t="s">
        <v>21</v>
      </c>
      <c r="F18" s="22">
        <f>'12A (NS) Sem 1'!E8</f>
        <v>92</v>
      </c>
      <c r="G18" s="22">
        <f>'12A (NS) Sem 1'!F8</f>
        <v>70</v>
      </c>
      <c r="H18" s="22">
        <f>'12A (NS) Sem 1'!G8</f>
        <v>76</v>
      </c>
      <c r="I18" s="22">
        <f>'12A (NS) Sem 1'!H8</f>
        <v>74</v>
      </c>
      <c r="J18" s="22">
        <f>'12A (NS) Sem 1'!I8</f>
        <v>83</v>
      </c>
      <c r="K18" s="22">
        <f>'12A (NS) Sem 1'!J8</f>
        <v>91</v>
      </c>
      <c r="L18" s="22">
        <f>'12A (NS) Sem 1'!K8</f>
        <v>87</v>
      </c>
      <c r="M18" s="22">
        <f>'12A (NS) Sem 1'!L8</f>
        <v>573</v>
      </c>
      <c r="N18" s="192">
        <f>'12A (NS) Sem 1'!M8</f>
        <v>81.857142857142861</v>
      </c>
      <c r="O18" s="22">
        <f>'12A (NS) Sem 1'!N8</f>
        <v>11</v>
      </c>
      <c r="P18" s="36">
        <f>'12A (NS) Sem 1'!O8</f>
        <v>0</v>
      </c>
      <c r="Q18" s="36">
        <f>'12A (NS) Sem 1'!P8</f>
        <v>0</v>
      </c>
      <c r="R18"/>
    </row>
    <row r="19" spans="1:18" ht="17.25" customHeight="1" thickBot="1" x14ac:dyDescent="0.3">
      <c r="A19" s="247"/>
      <c r="B19" s="218"/>
      <c r="C19" s="213">
        <v>17</v>
      </c>
      <c r="D19" s="215" t="s">
        <v>20</v>
      </c>
      <c r="E19" s="21" t="s">
        <v>22</v>
      </c>
      <c r="F19" s="22">
        <f>'12A (NS)Sem 2'!E8</f>
        <v>92</v>
      </c>
      <c r="G19" s="22">
        <f>'12A (NS)Sem 2'!F8</f>
        <v>74</v>
      </c>
      <c r="H19" s="22">
        <f>'12A (NS)Sem 2'!G8</f>
        <v>89</v>
      </c>
      <c r="I19" s="22">
        <f>'12A (NS)Sem 2'!H8</f>
        <v>80</v>
      </c>
      <c r="J19" s="22">
        <f>'12A (NS)Sem 2'!I8</f>
        <v>88</v>
      </c>
      <c r="K19" s="22">
        <f>'12A (NS)Sem 2'!J8</f>
        <v>97</v>
      </c>
      <c r="L19" s="22">
        <f>'12A (NS)Sem 2'!K8</f>
        <v>90</v>
      </c>
      <c r="M19" s="22">
        <f>'12A (NS)Sem 2'!L8</f>
        <v>610</v>
      </c>
      <c r="N19" s="192">
        <f>'12A (NS)Sem 2'!M8</f>
        <v>87.142857142857139</v>
      </c>
      <c r="O19" s="22">
        <f>'12A (NS)Sem 2'!N8</f>
        <v>10</v>
      </c>
      <c r="P19" s="36">
        <f>'12A (NS)Sem 2'!O8</f>
        <v>0</v>
      </c>
      <c r="Q19" s="36">
        <f>'12A (NS)Sem 2'!P8</f>
        <v>0</v>
      </c>
      <c r="R19"/>
    </row>
    <row r="20" spans="1:18" ht="17.25" customHeight="1" thickBot="1" x14ac:dyDescent="0.3">
      <c r="A20" s="247"/>
      <c r="B20" s="218"/>
      <c r="C20" s="213">
        <v>17</v>
      </c>
      <c r="D20" s="215" t="s">
        <v>20</v>
      </c>
      <c r="E20" s="21" t="s">
        <v>16</v>
      </c>
      <c r="F20" s="22">
        <f>AVERAGE(F18:F19)</f>
        <v>92</v>
      </c>
      <c r="G20" s="22">
        <f t="shared" ref="G20:Q20" si="4">AVERAGE(G18:G19)</f>
        <v>72</v>
      </c>
      <c r="H20" s="22">
        <f t="shared" si="4"/>
        <v>82.5</v>
      </c>
      <c r="I20" s="22">
        <f t="shared" si="4"/>
        <v>77</v>
      </c>
      <c r="J20" s="22">
        <f t="shared" si="4"/>
        <v>85.5</v>
      </c>
      <c r="K20" s="22">
        <f t="shared" si="4"/>
        <v>94</v>
      </c>
      <c r="L20" s="22">
        <f t="shared" si="4"/>
        <v>88.5</v>
      </c>
      <c r="M20" s="22">
        <f t="shared" si="4"/>
        <v>591.5</v>
      </c>
      <c r="N20" s="192">
        <f t="shared" si="4"/>
        <v>84.5</v>
      </c>
      <c r="O20" s="22">
        <f>'12A Sem avr (NS)'!$H$8</f>
        <v>11</v>
      </c>
      <c r="P20" s="22">
        <f t="shared" si="4"/>
        <v>0</v>
      </c>
      <c r="Q20" s="22">
        <f t="shared" si="4"/>
        <v>0</v>
      </c>
      <c r="R20"/>
    </row>
    <row r="21" spans="1:18" ht="17.25" customHeight="1" thickBot="1" x14ac:dyDescent="0.3">
      <c r="A21" s="249">
        <v>6</v>
      </c>
      <c r="B21" s="218"/>
      <c r="C21" s="213">
        <v>17</v>
      </c>
      <c r="D21" s="215" t="s">
        <v>23</v>
      </c>
      <c r="E21" s="21" t="s">
        <v>21</v>
      </c>
      <c r="F21" s="22">
        <f>'12A (NS) Sem 1'!E9</f>
        <v>90</v>
      </c>
      <c r="G21" s="22">
        <f>'12A (NS) Sem 1'!F9</f>
        <v>66</v>
      </c>
      <c r="H21" s="22">
        <f>'12A (NS) Sem 1'!G9</f>
        <v>76</v>
      </c>
      <c r="I21" s="22">
        <f>'12A (NS) Sem 1'!H9</f>
        <v>82</v>
      </c>
      <c r="J21" s="22">
        <f>'12A (NS) Sem 1'!I9</f>
        <v>88</v>
      </c>
      <c r="K21" s="22">
        <f>'12A (NS) Sem 1'!J9</f>
        <v>95</v>
      </c>
      <c r="L21" s="22">
        <f>'12A (NS) Sem 1'!K9</f>
        <v>92</v>
      </c>
      <c r="M21" s="22">
        <f>'12A (NS) Sem 1'!L9</f>
        <v>589</v>
      </c>
      <c r="N21" s="192">
        <f>'12A (NS) Sem 1'!M9</f>
        <v>84.142857142857139</v>
      </c>
      <c r="O21" s="22">
        <f>'12A (NS) Sem 1'!N9</f>
        <v>8</v>
      </c>
      <c r="P21" s="36">
        <f>'12A (NS) Sem 1'!O9</f>
        <v>0</v>
      </c>
      <c r="Q21" s="36">
        <f>'12A (NS) Sem 1'!P9</f>
        <v>0</v>
      </c>
      <c r="R21"/>
    </row>
    <row r="22" spans="1:18" ht="17.25" customHeight="1" thickBot="1" x14ac:dyDescent="0.3">
      <c r="A22" s="249"/>
      <c r="B22" s="218"/>
      <c r="C22" s="213">
        <v>17</v>
      </c>
      <c r="D22" s="215" t="s">
        <v>23</v>
      </c>
      <c r="E22" s="21" t="s">
        <v>22</v>
      </c>
      <c r="F22" s="22">
        <f>'12A (NS)Sem 2'!E9</f>
        <v>90</v>
      </c>
      <c r="G22" s="22">
        <f>'12A (NS)Sem 2'!F9</f>
        <v>68</v>
      </c>
      <c r="H22" s="22">
        <f>'12A (NS)Sem 2'!G9</f>
        <v>91</v>
      </c>
      <c r="I22" s="22">
        <f>'12A (NS)Sem 2'!H9</f>
        <v>87</v>
      </c>
      <c r="J22" s="22">
        <f>'12A (NS)Sem 2'!I9</f>
        <v>92</v>
      </c>
      <c r="K22" s="22">
        <f>'12A (NS)Sem 2'!J9</f>
        <v>100</v>
      </c>
      <c r="L22" s="22">
        <f>'12A (NS)Sem 2'!K9</f>
        <v>95</v>
      </c>
      <c r="M22" s="22">
        <f>'12A (NS)Sem 2'!L9</f>
        <v>623</v>
      </c>
      <c r="N22" s="192">
        <f>'12A (NS)Sem 2'!M9</f>
        <v>89</v>
      </c>
      <c r="O22" s="22">
        <f>'12A (NS)Sem 2'!N9</f>
        <v>8</v>
      </c>
      <c r="P22" s="36">
        <f>'12A (NS)Sem 2'!O9</f>
        <v>0</v>
      </c>
      <c r="Q22" s="36">
        <f>'12A (NS)Sem 2'!P9</f>
        <v>0</v>
      </c>
      <c r="R22"/>
    </row>
    <row r="23" spans="1:18" ht="17.25" customHeight="1" thickBot="1" x14ac:dyDescent="0.3">
      <c r="A23" s="249"/>
      <c r="B23" s="218"/>
      <c r="C23" s="213">
        <v>17</v>
      </c>
      <c r="D23" s="215" t="s">
        <v>23</v>
      </c>
      <c r="E23" s="21" t="s">
        <v>16</v>
      </c>
      <c r="F23" s="22">
        <f>AVERAGE(F21:F22)</f>
        <v>90</v>
      </c>
      <c r="G23" s="22">
        <f t="shared" ref="G23:Q23" si="5">AVERAGE(G21:G22)</f>
        <v>67</v>
      </c>
      <c r="H23" s="22">
        <f t="shared" si="5"/>
        <v>83.5</v>
      </c>
      <c r="I23" s="22">
        <f t="shared" si="5"/>
        <v>84.5</v>
      </c>
      <c r="J23" s="22">
        <f t="shared" si="5"/>
        <v>90</v>
      </c>
      <c r="K23" s="22">
        <f t="shared" si="5"/>
        <v>97.5</v>
      </c>
      <c r="L23" s="22">
        <f t="shared" si="5"/>
        <v>93.5</v>
      </c>
      <c r="M23" s="22">
        <f t="shared" si="5"/>
        <v>606</v>
      </c>
      <c r="N23" s="192">
        <f t="shared" si="5"/>
        <v>86.571428571428569</v>
      </c>
      <c r="O23" s="22">
        <f>'12A Sem avr (NS)'!$H$9</f>
        <v>8</v>
      </c>
      <c r="P23" s="22">
        <f t="shared" si="5"/>
        <v>0</v>
      </c>
      <c r="Q23" s="22">
        <f t="shared" si="5"/>
        <v>0</v>
      </c>
      <c r="R23"/>
    </row>
    <row r="24" spans="1:18" ht="17.25" customHeight="1" thickBot="1" x14ac:dyDescent="0.3">
      <c r="A24" s="247">
        <v>7</v>
      </c>
      <c r="B24" s="218"/>
      <c r="C24" s="213">
        <v>18</v>
      </c>
      <c r="D24" s="215" t="s">
        <v>23</v>
      </c>
      <c r="E24" s="21" t="s">
        <v>21</v>
      </c>
      <c r="F24" s="22">
        <f>'12A (NS) Sem 1'!E10</f>
        <v>87</v>
      </c>
      <c r="G24" s="22">
        <f>'12A (NS) Sem 1'!F10</f>
        <v>66</v>
      </c>
      <c r="H24" s="22">
        <f>'12A (NS) Sem 1'!G10</f>
        <v>76</v>
      </c>
      <c r="I24" s="22">
        <f>'12A (NS) Sem 1'!H10</f>
        <v>75</v>
      </c>
      <c r="J24" s="22">
        <f>'12A (NS) Sem 1'!I10</f>
        <v>90</v>
      </c>
      <c r="K24" s="22">
        <f>'12A (NS) Sem 1'!J10</f>
        <v>89</v>
      </c>
      <c r="L24" s="22">
        <f>'12A (NS) Sem 1'!K10</f>
        <v>88</v>
      </c>
      <c r="M24" s="22">
        <f>'12A (NS) Sem 1'!L10</f>
        <v>571</v>
      </c>
      <c r="N24" s="192">
        <f>'12A (NS) Sem 1'!M10</f>
        <v>81.571428571428569</v>
      </c>
      <c r="O24" s="22">
        <f>'12A (NS) Sem 1'!N10</f>
        <v>13</v>
      </c>
      <c r="P24" s="36">
        <f>'12A (NS) Sem 1'!O10</f>
        <v>0</v>
      </c>
      <c r="Q24" s="36">
        <f>'12A (NS) Sem 1'!P10</f>
        <v>0</v>
      </c>
      <c r="R24"/>
    </row>
    <row r="25" spans="1:18" ht="17.25" customHeight="1" thickBot="1" x14ac:dyDescent="0.3">
      <c r="A25" s="247"/>
      <c r="B25" s="218"/>
      <c r="C25" s="213">
        <v>18</v>
      </c>
      <c r="D25" s="215" t="s">
        <v>23</v>
      </c>
      <c r="E25" s="21" t="s">
        <v>22</v>
      </c>
      <c r="F25" s="22">
        <f>'12A (NS)Sem 2'!E10</f>
        <v>90</v>
      </c>
      <c r="G25" s="22">
        <f>'12A (NS)Sem 2'!F10</f>
        <v>68</v>
      </c>
      <c r="H25" s="22">
        <f>'12A (NS)Sem 2'!G10</f>
        <v>90</v>
      </c>
      <c r="I25" s="22">
        <f>'12A (NS)Sem 2'!H10</f>
        <v>80</v>
      </c>
      <c r="J25" s="22">
        <f>'12A (NS)Sem 2'!I10</f>
        <v>93</v>
      </c>
      <c r="K25" s="22">
        <f>'12A (NS)Sem 2'!J10</f>
        <v>96</v>
      </c>
      <c r="L25" s="22">
        <f>'12A (NS)Sem 2'!K10</f>
        <v>95</v>
      </c>
      <c r="M25" s="22">
        <f>'12A (NS)Sem 2'!L10</f>
        <v>612</v>
      </c>
      <c r="N25" s="192">
        <f>'12A (NS)Sem 2'!M10</f>
        <v>87.428571428571431</v>
      </c>
      <c r="O25" s="22">
        <f>'12A (NS)Sem 2'!N10</f>
        <v>9</v>
      </c>
      <c r="P25" s="36">
        <f>'12A (NS)Sem 2'!O10</f>
        <v>0</v>
      </c>
      <c r="Q25" s="36">
        <f>'12A (NS)Sem 2'!P10</f>
        <v>0</v>
      </c>
      <c r="R25"/>
    </row>
    <row r="26" spans="1:18" ht="17.25" customHeight="1" thickBot="1" x14ac:dyDescent="0.3">
      <c r="A26" s="247"/>
      <c r="B26" s="218"/>
      <c r="C26" s="213">
        <v>18</v>
      </c>
      <c r="D26" s="215" t="s">
        <v>23</v>
      </c>
      <c r="E26" s="21" t="s">
        <v>16</v>
      </c>
      <c r="F26" s="22">
        <f>AVERAGE(F24:F25)</f>
        <v>88.5</v>
      </c>
      <c r="G26" s="22">
        <f t="shared" ref="G26:Q26" si="6">AVERAGE(G24:G25)</f>
        <v>67</v>
      </c>
      <c r="H26" s="22">
        <f t="shared" si="6"/>
        <v>83</v>
      </c>
      <c r="I26" s="22">
        <f t="shared" si="6"/>
        <v>77.5</v>
      </c>
      <c r="J26" s="22">
        <f t="shared" si="6"/>
        <v>91.5</v>
      </c>
      <c r="K26" s="22">
        <f t="shared" si="6"/>
        <v>92.5</v>
      </c>
      <c r="L26" s="22">
        <f t="shared" si="6"/>
        <v>91.5</v>
      </c>
      <c r="M26" s="22">
        <f t="shared" si="6"/>
        <v>591.5</v>
      </c>
      <c r="N26" s="192">
        <f t="shared" si="6"/>
        <v>84.5</v>
      </c>
      <c r="O26" s="22">
        <f>'12A Sem avr (NS)'!$H$10</f>
        <v>11</v>
      </c>
      <c r="P26" s="22">
        <f t="shared" si="6"/>
        <v>0</v>
      </c>
      <c r="Q26" s="22">
        <f t="shared" si="6"/>
        <v>0</v>
      </c>
      <c r="R26"/>
    </row>
    <row r="27" spans="1:18" ht="17.25" customHeight="1" thickBot="1" x14ac:dyDescent="0.3">
      <c r="A27" s="247">
        <v>8</v>
      </c>
      <c r="B27" s="218"/>
      <c r="C27" s="213">
        <v>18</v>
      </c>
      <c r="D27" s="215" t="s">
        <v>20</v>
      </c>
      <c r="E27" s="21" t="s">
        <v>21</v>
      </c>
      <c r="F27" s="22">
        <f>'12A (NS) Sem 1'!E11</f>
        <v>72</v>
      </c>
      <c r="G27" s="22">
        <f>'12A (NS) Sem 1'!F11</f>
        <v>80</v>
      </c>
      <c r="H27" s="22">
        <f>'12A (NS) Sem 1'!G11</f>
        <v>76</v>
      </c>
      <c r="I27" s="22">
        <f>'12A (NS) Sem 1'!H11</f>
        <v>78</v>
      </c>
      <c r="J27" s="22">
        <f>'12A (NS) Sem 1'!I11</f>
        <v>91</v>
      </c>
      <c r="K27" s="22">
        <f>'12A (NS) Sem 1'!J11</f>
        <v>96</v>
      </c>
      <c r="L27" s="22">
        <f>'12A (NS) Sem 1'!K11</f>
        <v>92</v>
      </c>
      <c r="M27" s="22">
        <f>'12A (NS) Sem 1'!L11</f>
        <v>585</v>
      </c>
      <c r="N27" s="192">
        <f>'12A (NS) Sem 1'!M11</f>
        <v>83.571428571428569</v>
      </c>
      <c r="O27" s="22">
        <f>'12A (NS) Sem 1'!N11</f>
        <v>9</v>
      </c>
      <c r="P27" s="36">
        <f>'12A (NS) Sem 1'!O11</f>
        <v>0</v>
      </c>
      <c r="Q27" s="36">
        <f>'12A (NS) Sem 1'!P11</f>
        <v>0</v>
      </c>
      <c r="R27"/>
    </row>
    <row r="28" spans="1:18" ht="17.25" customHeight="1" thickBot="1" x14ac:dyDescent="0.3">
      <c r="A28" s="247"/>
      <c r="B28" s="218"/>
      <c r="C28" s="213">
        <v>18</v>
      </c>
      <c r="D28" s="215" t="s">
        <v>20</v>
      </c>
      <c r="E28" s="21" t="s">
        <v>22</v>
      </c>
      <c r="F28" s="22">
        <f>'12A (NS)Sem 2'!E11</f>
        <v>79</v>
      </c>
      <c r="G28" s="22">
        <f>'12A (NS)Sem 2'!F11</f>
        <v>72</v>
      </c>
      <c r="H28" s="22">
        <f>'12A (NS)Sem 2'!G11</f>
        <v>88</v>
      </c>
      <c r="I28" s="22">
        <f>'12A (NS)Sem 2'!H11</f>
        <v>82</v>
      </c>
      <c r="J28" s="22">
        <f>'12A (NS)Sem 2'!I11</f>
        <v>91</v>
      </c>
      <c r="K28" s="22">
        <f>'12A (NS)Sem 2'!J11</f>
        <v>100</v>
      </c>
      <c r="L28" s="22">
        <f>'12A (NS)Sem 2'!K11</f>
        <v>87</v>
      </c>
      <c r="M28" s="22">
        <f>'12A (NS)Sem 2'!L11</f>
        <v>599</v>
      </c>
      <c r="N28" s="192">
        <f>'12A (NS)Sem 2'!M11</f>
        <v>85.571428571428569</v>
      </c>
      <c r="O28" s="22">
        <f>'12A (NS)Sem 2'!N11</f>
        <v>15</v>
      </c>
      <c r="P28" s="36">
        <f>'12A (NS)Sem 2'!O11</f>
        <v>0</v>
      </c>
      <c r="Q28" s="36">
        <f>'12A (NS)Sem 2'!P11</f>
        <v>0</v>
      </c>
      <c r="R28"/>
    </row>
    <row r="29" spans="1:18" ht="17.25" customHeight="1" thickBot="1" x14ac:dyDescent="0.3">
      <c r="A29" s="247"/>
      <c r="B29" s="218"/>
      <c r="C29" s="213">
        <v>18</v>
      </c>
      <c r="D29" s="215" t="s">
        <v>20</v>
      </c>
      <c r="E29" s="21" t="s">
        <v>16</v>
      </c>
      <c r="F29" s="22">
        <f>AVERAGE(F27:F28)</f>
        <v>75.5</v>
      </c>
      <c r="G29" s="22">
        <f t="shared" ref="G29:Q29" si="7">AVERAGE(G27:G28)</f>
        <v>76</v>
      </c>
      <c r="H29" s="22">
        <f t="shared" si="7"/>
        <v>82</v>
      </c>
      <c r="I29" s="22">
        <f t="shared" si="7"/>
        <v>80</v>
      </c>
      <c r="J29" s="22">
        <f t="shared" si="7"/>
        <v>91</v>
      </c>
      <c r="K29" s="22">
        <f t="shared" si="7"/>
        <v>98</v>
      </c>
      <c r="L29" s="22">
        <f t="shared" si="7"/>
        <v>89.5</v>
      </c>
      <c r="M29" s="22">
        <f t="shared" si="7"/>
        <v>592</v>
      </c>
      <c r="N29" s="192">
        <f t="shared" si="7"/>
        <v>84.571428571428569</v>
      </c>
      <c r="O29" s="22">
        <f>'12A Sem avr (NS)'!$H$11</f>
        <v>10</v>
      </c>
      <c r="P29" s="22">
        <f t="shared" si="7"/>
        <v>0</v>
      </c>
      <c r="Q29" s="22">
        <f t="shared" si="7"/>
        <v>0</v>
      </c>
      <c r="R29"/>
    </row>
    <row r="30" spans="1:18" ht="17.25" customHeight="1" thickBot="1" x14ac:dyDescent="0.3">
      <c r="A30" s="249">
        <v>9</v>
      </c>
      <c r="B30" s="218"/>
      <c r="C30" s="213">
        <v>18</v>
      </c>
      <c r="D30" s="215" t="s">
        <v>23</v>
      </c>
      <c r="E30" s="21" t="s">
        <v>21</v>
      </c>
      <c r="F30" s="22">
        <f>'12A (NS) Sem 1'!E12</f>
        <v>86</v>
      </c>
      <c r="G30" s="22">
        <f>'12A (NS) Sem 1'!F12</f>
        <v>79</v>
      </c>
      <c r="H30" s="22">
        <f>'12A (NS) Sem 1'!G12</f>
        <v>85</v>
      </c>
      <c r="I30" s="22">
        <f>'12A (NS) Sem 1'!H12</f>
        <v>86</v>
      </c>
      <c r="J30" s="22">
        <f>'12A (NS) Sem 1'!I12</f>
        <v>90</v>
      </c>
      <c r="K30" s="22">
        <f>'12A (NS) Sem 1'!J12</f>
        <v>94</v>
      </c>
      <c r="L30" s="22">
        <f>'12A (NS) Sem 1'!K12</f>
        <v>80</v>
      </c>
      <c r="M30" s="22">
        <f>'12A (NS) Sem 1'!L12</f>
        <v>600</v>
      </c>
      <c r="N30" s="192">
        <f>'12A (NS) Sem 1'!M12</f>
        <v>85.714285714285708</v>
      </c>
      <c r="O30" s="22">
        <f>'12A (NS) Sem 1'!N12</f>
        <v>7</v>
      </c>
      <c r="P30" s="36">
        <f>'12A (NS) Sem 1'!O12</f>
        <v>0</v>
      </c>
      <c r="Q30" s="36">
        <f>'12A (NS) Sem 1'!P12</f>
        <v>0</v>
      </c>
      <c r="R30"/>
    </row>
    <row r="31" spans="1:18" ht="17.25" customHeight="1" thickBot="1" x14ac:dyDescent="0.3">
      <c r="A31" s="249"/>
      <c r="B31" s="218"/>
      <c r="C31" s="213">
        <v>18</v>
      </c>
      <c r="D31" s="215" t="s">
        <v>23</v>
      </c>
      <c r="E31" s="21" t="s">
        <v>22</v>
      </c>
      <c r="F31" s="22">
        <f>'12A (NS)Sem 2'!E12</f>
        <v>83</v>
      </c>
      <c r="G31" s="22">
        <f>'12A (NS)Sem 2'!F12</f>
        <v>92</v>
      </c>
      <c r="H31" s="22">
        <f>'12A (NS)Sem 2'!G12</f>
        <v>93</v>
      </c>
      <c r="I31" s="22">
        <f>'12A (NS)Sem 2'!H12</f>
        <v>90</v>
      </c>
      <c r="J31" s="22">
        <f>'12A (NS)Sem 2'!I12</f>
        <v>94</v>
      </c>
      <c r="K31" s="22">
        <f>'12A (NS)Sem 2'!J12</f>
        <v>99</v>
      </c>
      <c r="L31" s="22">
        <f>'12A (NS)Sem 2'!K12</f>
        <v>92</v>
      </c>
      <c r="M31" s="22">
        <f>'12A (NS)Sem 2'!L12</f>
        <v>643</v>
      </c>
      <c r="N31" s="192">
        <f>'12A (NS)Sem 2'!M12</f>
        <v>91.857142857142861</v>
      </c>
      <c r="O31" s="22">
        <f>'12A (NS)Sem 2'!N12</f>
        <v>6</v>
      </c>
      <c r="P31" s="36">
        <f>'12A (NS)Sem 2'!O12</f>
        <v>0</v>
      </c>
      <c r="Q31" s="36">
        <f>'12A (NS)Sem 2'!P12</f>
        <v>0</v>
      </c>
      <c r="R31"/>
    </row>
    <row r="32" spans="1:18" ht="17.25" customHeight="1" thickBot="1" x14ac:dyDescent="0.3">
      <c r="A32" s="249"/>
      <c r="B32" s="218"/>
      <c r="C32" s="213">
        <v>18</v>
      </c>
      <c r="D32" s="215" t="s">
        <v>23</v>
      </c>
      <c r="E32" s="21" t="s">
        <v>16</v>
      </c>
      <c r="F32" s="22">
        <f>AVERAGE(F30:F31)</f>
        <v>84.5</v>
      </c>
      <c r="G32" s="22">
        <f t="shared" ref="G32:Q32" si="8">AVERAGE(G30:G31)</f>
        <v>85.5</v>
      </c>
      <c r="H32" s="22">
        <f t="shared" si="8"/>
        <v>89</v>
      </c>
      <c r="I32" s="22">
        <f t="shared" si="8"/>
        <v>88</v>
      </c>
      <c r="J32" s="22">
        <f t="shared" si="8"/>
        <v>92</v>
      </c>
      <c r="K32" s="22">
        <f t="shared" si="8"/>
        <v>96.5</v>
      </c>
      <c r="L32" s="22">
        <f t="shared" si="8"/>
        <v>86</v>
      </c>
      <c r="M32" s="22">
        <f t="shared" si="8"/>
        <v>621.5</v>
      </c>
      <c r="N32" s="192">
        <f t="shared" si="8"/>
        <v>88.785714285714278</v>
      </c>
      <c r="O32" s="22">
        <f>'12A Sem avr (NS)'!$H$12</f>
        <v>7</v>
      </c>
      <c r="P32" s="22">
        <f t="shared" si="8"/>
        <v>0</v>
      </c>
      <c r="Q32" s="22">
        <f t="shared" si="8"/>
        <v>0</v>
      </c>
      <c r="R32"/>
    </row>
    <row r="33" spans="1:18" ht="17.25" customHeight="1" thickBot="1" x14ac:dyDescent="0.3">
      <c r="A33" s="247">
        <v>10</v>
      </c>
      <c r="B33" s="218"/>
      <c r="C33" s="213">
        <v>17</v>
      </c>
      <c r="D33" s="215" t="s">
        <v>20</v>
      </c>
      <c r="E33" s="21" t="s">
        <v>21</v>
      </c>
      <c r="F33" s="22">
        <f>'12A (NS) Sem 1'!E13</f>
        <v>76</v>
      </c>
      <c r="G33" s="22">
        <f>'12A (NS) Sem 1'!F13</f>
        <v>73</v>
      </c>
      <c r="H33" s="22">
        <f>'12A (NS) Sem 1'!G13</f>
        <v>82</v>
      </c>
      <c r="I33" s="22">
        <f>'12A (NS) Sem 1'!H13</f>
        <v>65</v>
      </c>
      <c r="J33" s="22">
        <f>'12A (NS) Sem 1'!I13</f>
        <v>73</v>
      </c>
      <c r="K33" s="22">
        <f>'12A (NS) Sem 1'!J13</f>
        <v>95</v>
      </c>
      <c r="L33" s="22">
        <f>'12A (NS) Sem 1'!K13</f>
        <v>81</v>
      </c>
      <c r="M33" s="22">
        <f>'12A (NS) Sem 1'!L13</f>
        <v>545</v>
      </c>
      <c r="N33" s="192">
        <f>'12A (NS) Sem 1'!M13</f>
        <v>77.857142857142861</v>
      </c>
      <c r="O33" s="22">
        <f>'12A (NS) Sem 1'!N13</f>
        <v>19</v>
      </c>
      <c r="P33" s="36">
        <f>'12A (NS) Sem 1'!O13</f>
        <v>0</v>
      </c>
      <c r="Q33" s="36">
        <f>'12A (NS) Sem 1'!P13</f>
        <v>0</v>
      </c>
      <c r="R33"/>
    </row>
    <row r="34" spans="1:18" ht="17.25" customHeight="1" thickBot="1" x14ac:dyDescent="0.3">
      <c r="A34" s="247"/>
      <c r="B34" s="218"/>
      <c r="C34" s="213">
        <v>17</v>
      </c>
      <c r="D34" s="215" t="s">
        <v>20</v>
      </c>
      <c r="E34" s="21" t="s">
        <v>22</v>
      </c>
      <c r="F34" s="22">
        <f>'12A (NS)Sem 2'!E13</f>
        <v>79</v>
      </c>
      <c r="G34" s="22">
        <f>'12A (NS)Sem 2'!F13</f>
        <v>70</v>
      </c>
      <c r="H34" s="22">
        <f>'12A (NS)Sem 2'!G13</f>
        <v>90</v>
      </c>
      <c r="I34" s="22">
        <f>'12A (NS)Sem 2'!H13</f>
        <v>71</v>
      </c>
      <c r="J34" s="22">
        <f>'12A (NS)Sem 2'!I13</f>
        <v>85</v>
      </c>
      <c r="K34" s="22">
        <f>'12A (NS)Sem 2'!J13</f>
        <v>100</v>
      </c>
      <c r="L34" s="22">
        <f>'12A (NS)Sem 2'!K13</f>
        <v>90</v>
      </c>
      <c r="M34" s="22">
        <f>'12A (NS)Sem 2'!L13</f>
        <v>585</v>
      </c>
      <c r="N34" s="192">
        <f>'12A (NS)Sem 2'!M13</f>
        <v>83.571428571428569</v>
      </c>
      <c r="O34" s="22">
        <f>'12A (NS)Sem 2'!N13</f>
        <v>18</v>
      </c>
      <c r="P34" s="36">
        <f>'12A (NS)Sem 2'!O13</f>
        <v>0</v>
      </c>
      <c r="Q34" s="36">
        <f>'12A (NS)Sem 2'!P13</f>
        <v>0</v>
      </c>
      <c r="R34"/>
    </row>
    <row r="35" spans="1:18" ht="17.25" customHeight="1" thickBot="1" x14ac:dyDescent="0.3">
      <c r="A35" s="247"/>
      <c r="B35" s="218"/>
      <c r="C35" s="213">
        <v>17</v>
      </c>
      <c r="D35" s="215" t="s">
        <v>20</v>
      </c>
      <c r="E35" s="21" t="s">
        <v>16</v>
      </c>
      <c r="F35" s="22">
        <f>AVERAGE(F33:F34)</f>
        <v>77.5</v>
      </c>
      <c r="G35" s="22">
        <f t="shared" ref="G35:Q35" si="9">AVERAGE(G33:G34)</f>
        <v>71.5</v>
      </c>
      <c r="H35" s="22">
        <f t="shared" si="9"/>
        <v>86</v>
      </c>
      <c r="I35" s="22">
        <f t="shared" si="9"/>
        <v>68</v>
      </c>
      <c r="J35" s="22">
        <f t="shared" si="9"/>
        <v>79</v>
      </c>
      <c r="K35" s="22">
        <f t="shared" si="9"/>
        <v>97.5</v>
      </c>
      <c r="L35" s="22">
        <f t="shared" si="9"/>
        <v>85.5</v>
      </c>
      <c r="M35" s="22">
        <f t="shared" si="9"/>
        <v>565</v>
      </c>
      <c r="N35" s="192">
        <f t="shared" si="9"/>
        <v>80.714285714285722</v>
      </c>
      <c r="O35" s="22">
        <f>'12A Sem avr (NS)'!$H$13</f>
        <v>18</v>
      </c>
      <c r="P35" s="22">
        <f t="shared" si="9"/>
        <v>0</v>
      </c>
      <c r="Q35" s="22">
        <f t="shared" si="9"/>
        <v>0</v>
      </c>
      <c r="R35"/>
    </row>
    <row r="36" spans="1:18" ht="17.25" customHeight="1" thickBot="1" x14ac:dyDescent="0.3">
      <c r="A36" s="249">
        <v>11</v>
      </c>
      <c r="B36" s="218"/>
      <c r="C36" s="213">
        <v>18</v>
      </c>
      <c r="D36" s="215" t="s">
        <v>23</v>
      </c>
      <c r="E36" s="21" t="s">
        <v>21</v>
      </c>
      <c r="F36" s="22">
        <f>'12A (NS) Sem 1'!E14</f>
        <v>71</v>
      </c>
      <c r="G36" s="22">
        <f>'12A (NS) Sem 1'!F14</f>
        <v>77</v>
      </c>
      <c r="H36" s="22">
        <f>'12A (NS) Sem 1'!G14</f>
        <v>72</v>
      </c>
      <c r="I36" s="22">
        <f>'12A (NS) Sem 1'!H14</f>
        <v>68</v>
      </c>
      <c r="J36" s="22">
        <f>'12A (NS) Sem 1'!I14</f>
        <v>79</v>
      </c>
      <c r="K36" s="22">
        <f>'12A (NS) Sem 1'!J14</f>
        <v>81</v>
      </c>
      <c r="L36" s="22">
        <f>'12A (NS) Sem 1'!K14</f>
        <v>79</v>
      </c>
      <c r="M36" s="22">
        <f>'12A (NS) Sem 1'!L14</f>
        <v>527</v>
      </c>
      <c r="N36" s="192">
        <f>'12A (NS) Sem 1'!M14</f>
        <v>75.285714285714292</v>
      </c>
      <c r="O36" s="22">
        <f>'12A (NS) Sem 1'!N14</f>
        <v>22</v>
      </c>
      <c r="P36" s="36">
        <f>'12A (NS) Sem 1'!O14</f>
        <v>0</v>
      </c>
      <c r="Q36" s="36">
        <f>'12A (NS) Sem 1'!P14</f>
        <v>0</v>
      </c>
      <c r="R36"/>
    </row>
    <row r="37" spans="1:18" ht="17.25" customHeight="1" thickBot="1" x14ac:dyDescent="0.3">
      <c r="A37" s="249"/>
      <c r="B37" s="218"/>
      <c r="C37" s="213">
        <v>18</v>
      </c>
      <c r="D37" s="215" t="s">
        <v>23</v>
      </c>
      <c r="E37" s="21" t="s">
        <v>22</v>
      </c>
      <c r="F37" s="22">
        <f>'12A (NS)Sem 2'!E14</f>
        <v>73</v>
      </c>
      <c r="G37" s="22">
        <f>'12A (NS)Sem 2'!F14</f>
        <v>76</v>
      </c>
      <c r="H37" s="22">
        <f>'12A (NS)Sem 2'!G14</f>
        <v>79</v>
      </c>
      <c r="I37" s="22">
        <f>'12A (NS)Sem 2'!H14</f>
        <v>72</v>
      </c>
      <c r="J37" s="22">
        <f>'12A (NS)Sem 2'!I14</f>
        <v>82</v>
      </c>
      <c r="K37" s="22">
        <f>'12A (NS)Sem 2'!J14</f>
        <v>96</v>
      </c>
      <c r="L37" s="22">
        <f>'12A (NS)Sem 2'!K14</f>
        <v>85</v>
      </c>
      <c r="M37" s="22">
        <f>'12A (NS)Sem 2'!L14</f>
        <v>563</v>
      </c>
      <c r="N37" s="192">
        <f>'12A (NS)Sem 2'!M14</f>
        <v>80.428571428571431</v>
      </c>
      <c r="O37" s="22">
        <f>'12A (NS)Sem 2'!N14</f>
        <v>22</v>
      </c>
      <c r="P37" s="36">
        <f>'12A (NS)Sem 2'!O14</f>
        <v>0</v>
      </c>
      <c r="Q37" s="36">
        <f>'12A (NS)Sem 2'!P14</f>
        <v>0</v>
      </c>
      <c r="R37"/>
    </row>
    <row r="38" spans="1:18" ht="17.25" customHeight="1" thickBot="1" x14ac:dyDescent="0.3">
      <c r="A38" s="249"/>
      <c r="B38" s="218"/>
      <c r="C38" s="213">
        <v>18</v>
      </c>
      <c r="D38" s="215" t="s">
        <v>23</v>
      </c>
      <c r="E38" s="21" t="s">
        <v>16</v>
      </c>
      <c r="F38" s="22">
        <f>AVERAGE(F36:F37)</f>
        <v>72</v>
      </c>
      <c r="G38" s="22">
        <f t="shared" ref="G38:Q38" si="10">AVERAGE(G36:G37)</f>
        <v>76.5</v>
      </c>
      <c r="H38" s="22">
        <f t="shared" si="10"/>
        <v>75.5</v>
      </c>
      <c r="I38" s="22">
        <f t="shared" si="10"/>
        <v>70</v>
      </c>
      <c r="J38" s="22">
        <f t="shared" si="10"/>
        <v>80.5</v>
      </c>
      <c r="K38" s="22">
        <f t="shared" si="10"/>
        <v>88.5</v>
      </c>
      <c r="L38" s="22">
        <f t="shared" si="10"/>
        <v>82</v>
      </c>
      <c r="M38" s="22">
        <f t="shared" si="10"/>
        <v>545</v>
      </c>
      <c r="N38" s="192">
        <f t="shared" si="10"/>
        <v>77.857142857142861</v>
      </c>
      <c r="O38" s="22">
        <f>'12A Sem avr (NS)'!$H$14</f>
        <v>22</v>
      </c>
      <c r="P38" s="22">
        <f t="shared" si="10"/>
        <v>0</v>
      </c>
      <c r="Q38" s="22">
        <f t="shared" si="10"/>
        <v>0</v>
      </c>
      <c r="R38"/>
    </row>
    <row r="39" spans="1:18" ht="17.25" customHeight="1" thickBot="1" x14ac:dyDescent="0.3">
      <c r="A39" s="249">
        <v>12</v>
      </c>
      <c r="B39" s="218"/>
      <c r="C39" s="213">
        <v>17</v>
      </c>
      <c r="D39" s="215" t="s">
        <v>20</v>
      </c>
      <c r="E39" s="21" t="s">
        <v>21</v>
      </c>
      <c r="F39" s="22">
        <f>'12A (NS) Sem 1'!E15</f>
        <v>85</v>
      </c>
      <c r="G39" s="22">
        <f>'12A (NS) Sem 1'!F15</f>
        <v>92</v>
      </c>
      <c r="H39" s="22">
        <f>'12A (NS) Sem 1'!G15</f>
        <v>94</v>
      </c>
      <c r="I39" s="22">
        <f>'12A (NS) Sem 1'!H15</f>
        <v>83</v>
      </c>
      <c r="J39" s="22">
        <f>'12A (NS) Sem 1'!I15</f>
        <v>91</v>
      </c>
      <c r="K39" s="22">
        <f>'12A (NS) Sem 1'!J15</f>
        <v>95</v>
      </c>
      <c r="L39" s="22">
        <f>'12A (NS) Sem 1'!K15</f>
        <v>93</v>
      </c>
      <c r="M39" s="22">
        <f>'12A (NS) Sem 1'!L15</f>
        <v>633</v>
      </c>
      <c r="N39" s="192">
        <f>'12A (NS) Sem 1'!M15</f>
        <v>90.428571428571431</v>
      </c>
      <c r="O39" s="22">
        <f>'12A (NS) Sem 1'!N15</f>
        <v>4</v>
      </c>
      <c r="P39" s="36">
        <f>'12A (NS) Sem 1'!O15</f>
        <v>0</v>
      </c>
      <c r="Q39" s="36">
        <f>'12A (NS) Sem 1'!P15</f>
        <v>0</v>
      </c>
      <c r="R39"/>
    </row>
    <row r="40" spans="1:18" ht="17.25" customHeight="1" thickBot="1" x14ac:dyDescent="0.3">
      <c r="A40" s="249"/>
      <c r="B40" s="218"/>
      <c r="C40" s="213">
        <v>17</v>
      </c>
      <c r="D40" s="215" t="s">
        <v>20</v>
      </c>
      <c r="E40" s="21" t="s">
        <v>22</v>
      </c>
      <c r="F40" s="22">
        <f>'12A (NS)Sem 2'!E15</f>
        <v>86</v>
      </c>
      <c r="G40" s="22">
        <f>'12A (NS)Sem 2'!F15</f>
        <v>95</v>
      </c>
      <c r="H40" s="22">
        <f>'12A (NS)Sem 2'!G15</f>
        <v>98</v>
      </c>
      <c r="I40" s="22">
        <f>'12A (NS)Sem 2'!H15</f>
        <v>90</v>
      </c>
      <c r="J40" s="22">
        <f>'12A (NS)Sem 2'!I15</f>
        <v>95</v>
      </c>
      <c r="K40" s="22">
        <f>'12A (NS)Sem 2'!J15</f>
        <v>100</v>
      </c>
      <c r="L40" s="22">
        <f>'12A (NS)Sem 2'!K15</f>
        <v>92</v>
      </c>
      <c r="M40" s="22">
        <f>'12A (NS)Sem 2'!L15</f>
        <v>656</v>
      </c>
      <c r="N40" s="192">
        <f>'12A (NS)Sem 2'!M15</f>
        <v>93.714285714285708</v>
      </c>
      <c r="O40" s="22">
        <f>'12A (NS)Sem 2'!N15</f>
        <v>5</v>
      </c>
      <c r="P40" s="36">
        <f>'12A (NS)Sem 2'!O15</f>
        <v>0</v>
      </c>
      <c r="Q40" s="36">
        <f>'12A (NS)Sem 2'!P15</f>
        <v>0</v>
      </c>
      <c r="R40"/>
    </row>
    <row r="41" spans="1:18" ht="17.25" customHeight="1" thickBot="1" x14ac:dyDescent="0.3">
      <c r="A41" s="249"/>
      <c r="B41" s="218"/>
      <c r="C41" s="213">
        <v>17</v>
      </c>
      <c r="D41" s="215" t="s">
        <v>20</v>
      </c>
      <c r="E41" s="21" t="s">
        <v>16</v>
      </c>
      <c r="F41" s="22">
        <f>AVERAGE(F39:F40)</f>
        <v>85.5</v>
      </c>
      <c r="G41" s="22">
        <f t="shared" ref="G41:Q41" si="11">AVERAGE(G39:G40)</f>
        <v>93.5</v>
      </c>
      <c r="H41" s="22">
        <f t="shared" si="11"/>
        <v>96</v>
      </c>
      <c r="I41" s="22">
        <f t="shared" si="11"/>
        <v>86.5</v>
      </c>
      <c r="J41" s="22">
        <f t="shared" si="11"/>
        <v>93</v>
      </c>
      <c r="K41" s="22">
        <f t="shared" si="11"/>
        <v>97.5</v>
      </c>
      <c r="L41" s="22">
        <f t="shared" si="11"/>
        <v>92.5</v>
      </c>
      <c r="M41" s="22">
        <f t="shared" si="11"/>
        <v>644.5</v>
      </c>
      <c r="N41" s="192">
        <f t="shared" si="11"/>
        <v>92.071428571428569</v>
      </c>
      <c r="O41" s="22">
        <f>'12A Sem avr (NS)'!$H$15</f>
        <v>4</v>
      </c>
      <c r="P41" s="22">
        <f t="shared" si="11"/>
        <v>0</v>
      </c>
      <c r="Q41" s="22">
        <f t="shared" si="11"/>
        <v>0</v>
      </c>
      <c r="R41"/>
    </row>
    <row r="42" spans="1:18" ht="17.25" customHeight="1" thickBot="1" x14ac:dyDescent="0.3">
      <c r="A42" s="249">
        <v>13</v>
      </c>
      <c r="B42" s="218"/>
      <c r="C42" s="213">
        <v>18</v>
      </c>
      <c r="D42" s="215" t="s">
        <v>23</v>
      </c>
      <c r="E42" s="21" t="s">
        <v>21</v>
      </c>
      <c r="F42" s="22">
        <f>'12A (NS) Sem 1'!E16</f>
        <v>83</v>
      </c>
      <c r="G42" s="22">
        <f>'12A (NS) Sem 1'!F16</f>
        <v>70</v>
      </c>
      <c r="H42" s="22">
        <f>'12A (NS) Sem 1'!G16</f>
        <v>77</v>
      </c>
      <c r="I42" s="22">
        <f>'12A (NS) Sem 1'!H16</f>
        <v>70</v>
      </c>
      <c r="J42" s="22">
        <f>'12A (NS) Sem 1'!I16</f>
        <v>87</v>
      </c>
      <c r="K42" s="22">
        <f>'12A (NS) Sem 1'!J16</f>
        <v>92</v>
      </c>
      <c r="L42" s="22">
        <f>'12A (NS) Sem 1'!K16</f>
        <v>82</v>
      </c>
      <c r="M42" s="22">
        <f>'12A (NS) Sem 1'!L16</f>
        <v>561</v>
      </c>
      <c r="N42" s="192">
        <f>'12A (NS) Sem 1'!M16</f>
        <v>80.142857142857139</v>
      </c>
      <c r="O42" s="22">
        <f>'12A (NS) Sem 1'!N16</f>
        <v>15</v>
      </c>
      <c r="P42" s="36">
        <f>'12A (NS) Sem 1'!O16</f>
        <v>0</v>
      </c>
      <c r="Q42" s="36">
        <f>'12A (NS) Sem 1'!P16</f>
        <v>0</v>
      </c>
      <c r="R42"/>
    </row>
    <row r="43" spans="1:18" ht="17.25" customHeight="1" thickBot="1" x14ac:dyDescent="0.3">
      <c r="A43" s="249"/>
      <c r="B43" s="218"/>
      <c r="C43" s="213">
        <v>18</v>
      </c>
      <c r="D43" s="215" t="s">
        <v>23</v>
      </c>
      <c r="E43" s="21" t="s">
        <v>22</v>
      </c>
      <c r="F43" s="22">
        <f>'12A (NS)Sem 2'!E16</f>
        <v>84</v>
      </c>
      <c r="G43" s="22">
        <f>'12A (NS)Sem 2'!F16</f>
        <v>71</v>
      </c>
      <c r="H43" s="22">
        <f>'12A (NS)Sem 2'!G16</f>
        <v>87</v>
      </c>
      <c r="I43" s="22">
        <f>'12A (NS)Sem 2'!H16</f>
        <v>75</v>
      </c>
      <c r="J43" s="22">
        <f>'12A (NS)Sem 2'!I16</f>
        <v>90</v>
      </c>
      <c r="K43" s="22">
        <f>'12A (NS)Sem 2'!J16</f>
        <v>97</v>
      </c>
      <c r="L43" s="22">
        <f>'12A (NS)Sem 2'!K16</f>
        <v>95</v>
      </c>
      <c r="M43" s="22">
        <f>'12A (NS)Sem 2'!L16</f>
        <v>599</v>
      </c>
      <c r="N43" s="192">
        <f>'12A (NS)Sem 2'!M16</f>
        <v>85.571428571428569</v>
      </c>
      <c r="O43" s="22">
        <f>'12A (NS)Sem 2'!N16</f>
        <v>15</v>
      </c>
      <c r="P43" s="36">
        <f>'12A (NS)Sem 2'!O16</f>
        <v>0</v>
      </c>
      <c r="Q43" s="36">
        <f>'12A (NS)Sem 2'!P16</f>
        <v>0</v>
      </c>
      <c r="R43"/>
    </row>
    <row r="44" spans="1:18" ht="17.25" customHeight="1" thickBot="1" x14ac:dyDescent="0.3">
      <c r="A44" s="249"/>
      <c r="B44" s="218"/>
      <c r="C44" s="213">
        <v>18</v>
      </c>
      <c r="D44" s="215" t="s">
        <v>23</v>
      </c>
      <c r="E44" s="21" t="s">
        <v>16</v>
      </c>
      <c r="F44" s="22">
        <f>AVERAGE(F42:F43)</f>
        <v>83.5</v>
      </c>
      <c r="G44" s="22">
        <f t="shared" ref="G44:Q44" si="12">AVERAGE(G42:G43)</f>
        <v>70.5</v>
      </c>
      <c r="H44" s="22">
        <f t="shared" si="12"/>
        <v>82</v>
      </c>
      <c r="I44" s="22">
        <f t="shared" si="12"/>
        <v>72.5</v>
      </c>
      <c r="J44" s="22">
        <f t="shared" si="12"/>
        <v>88.5</v>
      </c>
      <c r="K44" s="22">
        <f t="shared" si="12"/>
        <v>94.5</v>
      </c>
      <c r="L44" s="22">
        <f t="shared" si="12"/>
        <v>88.5</v>
      </c>
      <c r="M44" s="22">
        <f t="shared" si="12"/>
        <v>580</v>
      </c>
      <c r="N44" s="192">
        <f t="shared" si="12"/>
        <v>82.857142857142861</v>
      </c>
      <c r="O44" s="22">
        <f>'12A Sem avr (NS)'!$H$16</f>
        <v>14</v>
      </c>
      <c r="P44" s="22">
        <f t="shared" si="12"/>
        <v>0</v>
      </c>
      <c r="Q44" s="22">
        <f t="shared" si="12"/>
        <v>0</v>
      </c>
      <c r="R44"/>
    </row>
    <row r="45" spans="1:18" ht="17.25" customHeight="1" thickBot="1" x14ac:dyDescent="0.3">
      <c r="A45" s="247">
        <v>14</v>
      </c>
      <c r="B45" s="218"/>
      <c r="C45" s="213">
        <v>17</v>
      </c>
      <c r="D45" s="215" t="s">
        <v>23</v>
      </c>
      <c r="E45" s="21" t="s">
        <v>21</v>
      </c>
      <c r="F45" s="22">
        <f>'12A (NS) Sem 1'!E17</f>
        <v>66</v>
      </c>
      <c r="G45" s="22">
        <f>'12A (NS) Sem 1'!F17</f>
        <v>46</v>
      </c>
      <c r="H45" s="22">
        <f>'12A (NS) Sem 1'!G17</f>
        <v>69</v>
      </c>
      <c r="I45" s="22">
        <f>'12A (NS) Sem 1'!H17</f>
        <v>59</v>
      </c>
      <c r="J45" s="22">
        <f>'12A (NS) Sem 1'!I17</f>
        <v>71</v>
      </c>
      <c r="K45" s="22">
        <f>'12A (NS) Sem 1'!J17</f>
        <v>78</v>
      </c>
      <c r="L45" s="22">
        <f>'12A (NS) Sem 1'!K17</f>
        <v>80</v>
      </c>
      <c r="M45" s="22">
        <f>'12A (NS) Sem 1'!L17</f>
        <v>469</v>
      </c>
      <c r="N45" s="192">
        <f>'12A (NS) Sem 1'!M17</f>
        <v>67</v>
      </c>
      <c r="O45" s="22">
        <f>'12A (NS) Sem 1'!N17</f>
        <v>26</v>
      </c>
      <c r="P45" s="36">
        <f>'12A (NS) Sem 1'!O17</f>
        <v>0</v>
      </c>
      <c r="Q45" s="36">
        <f>'12A (NS) Sem 1'!P17</f>
        <v>0</v>
      </c>
      <c r="R45"/>
    </row>
    <row r="46" spans="1:18" ht="17.25" customHeight="1" thickBot="1" x14ac:dyDescent="0.3">
      <c r="A46" s="247"/>
      <c r="B46" s="218"/>
      <c r="C46" s="213">
        <v>17</v>
      </c>
      <c r="D46" s="215" t="s">
        <v>23</v>
      </c>
      <c r="E46" s="21" t="s">
        <v>22</v>
      </c>
      <c r="F46" s="22">
        <f>'12A (NS)Sem 2'!E17</f>
        <v>67</v>
      </c>
      <c r="G46" s="22">
        <f>'12A (NS)Sem 2'!F17</f>
        <v>61</v>
      </c>
      <c r="H46" s="22">
        <f>'12A (NS)Sem 2'!G17</f>
        <v>75</v>
      </c>
      <c r="I46" s="22">
        <f>'12A (NS)Sem 2'!H17</f>
        <v>63</v>
      </c>
      <c r="J46" s="22">
        <f>'12A (NS)Sem 2'!I17</f>
        <v>75</v>
      </c>
      <c r="K46" s="22">
        <f>'12A (NS)Sem 2'!J17</f>
        <v>91</v>
      </c>
      <c r="L46" s="22">
        <f>'12A (NS)Sem 2'!K17</f>
        <v>92</v>
      </c>
      <c r="M46" s="22">
        <f>'12A (NS)Sem 2'!L17</f>
        <v>524</v>
      </c>
      <c r="N46" s="192">
        <f>'12A (NS)Sem 2'!M17</f>
        <v>74.857142857142861</v>
      </c>
      <c r="O46" s="22">
        <f>'12A (NS)Sem 2'!N17</f>
        <v>25</v>
      </c>
      <c r="P46" s="36">
        <f>'12A (NS)Sem 2'!O17</f>
        <v>0</v>
      </c>
      <c r="Q46" s="36">
        <f>'12A (NS)Sem 2'!P17</f>
        <v>0</v>
      </c>
      <c r="R46"/>
    </row>
    <row r="47" spans="1:18" ht="17.25" customHeight="1" thickBot="1" x14ac:dyDescent="0.3">
      <c r="A47" s="247"/>
      <c r="B47" s="218"/>
      <c r="C47" s="213">
        <v>17</v>
      </c>
      <c r="D47" s="215" t="s">
        <v>23</v>
      </c>
      <c r="E47" s="21" t="s">
        <v>16</v>
      </c>
      <c r="F47" s="22">
        <f>AVERAGE(F45:F46)</f>
        <v>66.5</v>
      </c>
      <c r="G47" s="22">
        <f t="shared" ref="G47:Q47" si="13">AVERAGE(G45:G46)</f>
        <v>53.5</v>
      </c>
      <c r="H47" s="22">
        <f t="shared" si="13"/>
        <v>72</v>
      </c>
      <c r="I47" s="22">
        <f t="shared" si="13"/>
        <v>61</v>
      </c>
      <c r="J47" s="22">
        <f t="shared" si="13"/>
        <v>73</v>
      </c>
      <c r="K47" s="22">
        <f t="shared" si="13"/>
        <v>84.5</v>
      </c>
      <c r="L47" s="22">
        <f t="shared" si="13"/>
        <v>86</v>
      </c>
      <c r="M47" s="22">
        <f t="shared" si="13"/>
        <v>496.5</v>
      </c>
      <c r="N47" s="192">
        <f t="shared" si="13"/>
        <v>70.928571428571431</v>
      </c>
      <c r="O47" s="22">
        <f>'12A Sem avr (NS)'!$H$17</f>
        <v>25</v>
      </c>
      <c r="P47" s="22">
        <f t="shared" si="13"/>
        <v>0</v>
      </c>
      <c r="Q47" s="22">
        <f t="shared" si="13"/>
        <v>0</v>
      </c>
      <c r="R47"/>
    </row>
    <row r="48" spans="1:18" ht="17.25" customHeight="1" thickBot="1" x14ac:dyDescent="0.3">
      <c r="A48" s="249">
        <v>15</v>
      </c>
      <c r="B48" s="218"/>
      <c r="C48" s="213">
        <v>17</v>
      </c>
      <c r="D48" s="215" t="s">
        <v>20</v>
      </c>
      <c r="E48" s="21" t="s">
        <v>21</v>
      </c>
      <c r="F48" s="22">
        <f>'12A (NS) Sem 1'!E18</f>
        <v>87</v>
      </c>
      <c r="G48" s="22">
        <f>'12A (NS) Sem 1'!F18</f>
        <v>75</v>
      </c>
      <c r="H48" s="23">
        <f>'12A (NS) Sem 1'!G18</f>
        <v>73</v>
      </c>
      <c r="I48" s="22">
        <f>'12A (NS) Sem 1'!H18</f>
        <v>74</v>
      </c>
      <c r="J48" s="22">
        <f>'12A (NS) Sem 1'!I18</f>
        <v>90</v>
      </c>
      <c r="K48" s="22">
        <f>'12A (NS) Sem 1'!J18</f>
        <v>97</v>
      </c>
      <c r="L48" s="22">
        <f>'12A (NS) Sem 1'!K18</f>
        <v>88</v>
      </c>
      <c r="M48" s="22">
        <f>'12A (NS) Sem 1'!L18</f>
        <v>584</v>
      </c>
      <c r="N48" s="192">
        <f>'12A (NS) Sem 1'!M18</f>
        <v>83.428571428571431</v>
      </c>
      <c r="O48" s="22">
        <f>'12A (NS) Sem 1'!N18</f>
        <v>10</v>
      </c>
      <c r="P48" s="36">
        <f>'12A (NS) Sem 1'!O18</f>
        <v>0</v>
      </c>
      <c r="Q48" s="36">
        <f>'12A (NS) Sem 1'!P18</f>
        <v>0</v>
      </c>
      <c r="R48"/>
    </row>
    <row r="49" spans="1:22" ht="17.25" customHeight="1" thickBot="1" x14ac:dyDescent="0.3">
      <c r="A49" s="249"/>
      <c r="B49" s="218"/>
      <c r="C49" s="213">
        <v>17</v>
      </c>
      <c r="D49" s="215" t="s">
        <v>20</v>
      </c>
      <c r="E49" s="21" t="s">
        <v>22</v>
      </c>
      <c r="F49" s="22">
        <f>'12A (NS)Sem 2'!E18</f>
        <v>91</v>
      </c>
      <c r="G49" s="22">
        <f>'12A (NS)Sem 2'!F18</f>
        <v>76</v>
      </c>
      <c r="H49" s="23">
        <f>'12A (NS)Sem 2'!G18</f>
        <v>80</v>
      </c>
      <c r="I49" s="22">
        <f>'12A (NS)Sem 2'!H18</f>
        <v>78</v>
      </c>
      <c r="J49" s="22">
        <f>'12A (NS)Sem 2'!I18</f>
        <v>90</v>
      </c>
      <c r="K49" s="22">
        <f>'12A (NS)Sem 2'!J18</f>
        <v>98</v>
      </c>
      <c r="L49" s="22">
        <f>'12A (NS)Sem 2'!K18</f>
        <v>90</v>
      </c>
      <c r="M49" s="22">
        <f>'12A (NS)Sem 2'!L18</f>
        <v>603</v>
      </c>
      <c r="N49" s="192">
        <f>'12A (NS)Sem 2'!M18</f>
        <v>86.142857142857139</v>
      </c>
      <c r="O49" s="22">
        <f>'12A (NS)Sem 2'!N18</f>
        <v>13</v>
      </c>
      <c r="P49" s="36">
        <f>'12A (NS)Sem 2'!O18</f>
        <v>0</v>
      </c>
      <c r="Q49" s="36">
        <f>'12A (NS)Sem 2'!P18</f>
        <v>0</v>
      </c>
      <c r="R49" s="5"/>
      <c r="S49" s="5"/>
      <c r="T49" s="5"/>
      <c r="U49" s="5"/>
      <c r="V49" s="5"/>
    </row>
    <row r="50" spans="1:22" ht="17.25" customHeight="1" thickBot="1" x14ac:dyDescent="0.3">
      <c r="A50" s="249"/>
      <c r="B50" s="218"/>
      <c r="C50" s="213">
        <v>17</v>
      </c>
      <c r="D50" s="215" t="s">
        <v>20</v>
      </c>
      <c r="E50" s="21" t="s">
        <v>16</v>
      </c>
      <c r="F50" s="22">
        <f>AVERAGE(F48:F49)</f>
        <v>89</v>
      </c>
      <c r="G50" s="22">
        <f t="shared" ref="G50:Q50" si="14">AVERAGE(G48:G49)</f>
        <v>75.5</v>
      </c>
      <c r="H50" s="22">
        <f t="shared" si="14"/>
        <v>76.5</v>
      </c>
      <c r="I50" s="22">
        <f t="shared" si="14"/>
        <v>76</v>
      </c>
      <c r="J50" s="22">
        <f t="shared" si="14"/>
        <v>90</v>
      </c>
      <c r="K50" s="22">
        <f t="shared" si="14"/>
        <v>97.5</v>
      </c>
      <c r="L50" s="22">
        <f t="shared" si="14"/>
        <v>89</v>
      </c>
      <c r="M50" s="22">
        <f t="shared" si="14"/>
        <v>593.5</v>
      </c>
      <c r="N50" s="192">
        <f t="shared" si="14"/>
        <v>84.785714285714278</v>
      </c>
      <c r="O50" s="22">
        <f>'12A Sem avr (NS)'!$H$18</f>
        <v>9</v>
      </c>
      <c r="P50" s="22">
        <f t="shared" si="14"/>
        <v>0</v>
      </c>
      <c r="Q50" s="22">
        <f t="shared" si="14"/>
        <v>0</v>
      </c>
      <c r="R50" s="5"/>
      <c r="S50" s="5"/>
      <c r="T50" s="5"/>
      <c r="U50" s="5"/>
      <c r="V50" s="5"/>
    </row>
    <row r="51" spans="1:22" ht="17.25" customHeight="1" thickBot="1" x14ac:dyDescent="0.3">
      <c r="A51" s="247">
        <v>16</v>
      </c>
      <c r="B51" s="218"/>
      <c r="C51" s="213">
        <v>17</v>
      </c>
      <c r="D51" s="215" t="s">
        <v>23</v>
      </c>
      <c r="E51" s="21" t="s">
        <v>21</v>
      </c>
      <c r="F51" s="22">
        <f>'12A (NS) Sem 1'!E19</f>
        <v>80</v>
      </c>
      <c r="G51" s="22">
        <f>'12A (NS) Sem 1'!F19</f>
        <v>68</v>
      </c>
      <c r="H51" s="22">
        <f>'12A (NS) Sem 1'!G19</f>
        <v>74</v>
      </c>
      <c r="I51" s="22">
        <f>'12A (NS) Sem 1'!H19</f>
        <v>72</v>
      </c>
      <c r="J51" s="22">
        <f>'12A (NS) Sem 1'!I19</f>
        <v>86</v>
      </c>
      <c r="K51" s="22">
        <f>'12A (NS) Sem 1'!J19</f>
        <v>87</v>
      </c>
      <c r="L51" s="22">
        <f>'12A (NS) Sem 1'!K19</f>
        <v>92</v>
      </c>
      <c r="M51" s="22">
        <f>'12A (NS) Sem 1'!L19</f>
        <v>559</v>
      </c>
      <c r="N51" s="192">
        <f>'12A (NS) Sem 1'!M19</f>
        <v>79.857142857142861</v>
      </c>
      <c r="O51" s="22">
        <f>'12A (NS) Sem 1'!N19</f>
        <v>16</v>
      </c>
      <c r="P51" s="36">
        <f>'12A (NS) Sem 1'!O19</f>
        <v>0</v>
      </c>
      <c r="Q51" s="36">
        <f>'12A (NS) Sem 1'!P19</f>
        <v>0</v>
      </c>
      <c r="R51" s="5"/>
      <c r="S51" s="5"/>
      <c r="T51" s="5"/>
      <c r="U51" s="5"/>
      <c r="V51" s="5"/>
    </row>
    <row r="52" spans="1:22" ht="17.25" customHeight="1" thickBot="1" x14ac:dyDescent="0.3">
      <c r="A52" s="247"/>
      <c r="B52" s="218"/>
      <c r="C52" s="213">
        <v>17</v>
      </c>
      <c r="D52" s="215" t="s">
        <v>23</v>
      </c>
      <c r="E52" s="21" t="s">
        <v>22</v>
      </c>
      <c r="F52" s="22">
        <f>'12A (NS)Sem 2'!E19</f>
        <v>79</v>
      </c>
      <c r="G52" s="22">
        <f>'12A (NS)Sem 2'!F19</f>
        <v>73</v>
      </c>
      <c r="H52" s="22">
        <f>'12A (NS)Sem 2'!G19</f>
        <v>86</v>
      </c>
      <c r="I52" s="22">
        <f>'12A (NS)Sem 2'!H19</f>
        <v>78</v>
      </c>
      <c r="J52" s="22">
        <f>'12A (NS)Sem 2'!I19</f>
        <v>92</v>
      </c>
      <c r="K52" s="22">
        <f>'12A (NS)Sem 2'!J19</f>
        <v>95</v>
      </c>
      <c r="L52" s="22">
        <f>'12A (NS)Sem 2'!K19</f>
        <v>98</v>
      </c>
      <c r="M52" s="22">
        <f>'12A (NS)Sem 2'!L19</f>
        <v>601</v>
      </c>
      <c r="N52" s="192">
        <f>'12A (NS)Sem 2'!M19</f>
        <v>85.857142857142861</v>
      </c>
      <c r="O52" s="22">
        <f>'12A (NS)Sem 2'!N19</f>
        <v>14</v>
      </c>
      <c r="P52" s="36">
        <f>'12A (NS)Sem 2'!O19</f>
        <v>0</v>
      </c>
      <c r="Q52" s="36">
        <f>'12A (NS)Sem 2'!P19</f>
        <v>0</v>
      </c>
      <c r="R52" s="5"/>
      <c r="S52" s="5"/>
      <c r="T52" s="5"/>
      <c r="U52" s="5"/>
      <c r="V52" s="5"/>
    </row>
    <row r="53" spans="1:22" ht="17.25" customHeight="1" thickBot="1" x14ac:dyDescent="0.3">
      <c r="A53" s="247"/>
      <c r="B53" s="218"/>
      <c r="C53" s="213">
        <v>17</v>
      </c>
      <c r="D53" s="215" t="s">
        <v>23</v>
      </c>
      <c r="E53" s="21" t="s">
        <v>16</v>
      </c>
      <c r="F53" s="22">
        <f>AVERAGE(F51:F52)</f>
        <v>79.5</v>
      </c>
      <c r="G53" s="22">
        <f t="shared" ref="G53:Q53" si="15">AVERAGE(G51:G52)</f>
        <v>70.5</v>
      </c>
      <c r="H53" s="22">
        <f t="shared" si="15"/>
        <v>80</v>
      </c>
      <c r="I53" s="22">
        <f t="shared" si="15"/>
        <v>75</v>
      </c>
      <c r="J53" s="22">
        <f t="shared" si="15"/>
        <v>89</v>
      </c>
      <c r="K53" s="22">
        <f t="shared" si="15"/>
        <v>91</v>
      </c>
      <c r="L53" s="22">
        <f t="shared" si="15"/>
        <v>95</v>
      </c>
      <c r="M53" s="22">
        <f t="shared" si="15"/>
        <v>580</v>
      </c>
      <c r="N53" s="192">
        <f t="shared" si="15"/>
        <v>82.857142857142861</v>
      </c>
      <c r="O53" s="22">
        <f>'12A Sem avr (NS)'!$H$19</f>
        <v>14</v>
      </c>
      <c r="P53" s="22">
        <f t="shared" si="15"/>
        <v>0</v>
      </c>
      <c r="Q53" s="22">
        <f t="shared" si="15"/>
        <v>0</v>
      </c>
      <c r="R53" s="5"/>
      <c r="S53" s="5"/>
      <c r="T53" s="5"/>
      <c r="U53" s="5"/>
      <c r="V53" s="5"/>
    </row>
    <row r="54" spans="1:22" ht="17.25" customHeight="1" thickBot="1" x14ac:dyDescent="0.3">
      <c r="A54" s="247">
        <v>17</v>
      </c>
      <c r="B54" s="218"/>
      <c r="C54" s="213">
        <v>17</v>
      </c>
      <c r="D54" s="215" t="s">
        <v>20</v>
      </c>
      <c r="E54" s="21" t="s">
        <v>21</v>
      </c>
      <c r="F54" s="22">
        <f>'12A (NS) Sem 1'!E20</f>
        <v>62</v>
      </c>
      <c r="G54" s="22">
        <f>'12A (NS) Sem 1'!F20</f>
        <v>45</v>
      </c>
      <c r="H54" s="22">
        <f>'12A (NS) Sem 1'!G20</f>
        <v>70</v>
      </c>
      <c r="I54" s="22">
        <f>'12A (NS) Sem 1'!H20</f>
        <v>60</v>
      </c>
      <c r="J54" s="22">
        <f>'12A (NS) Sem 1'!I20</f>
        <v>70</v>
      </c>
      <c r="K54" s="22">
        <f>'12A (NS) Sem 1'!J20</f>
        <v>75</v>
      </c>
      <c r="L54" s="22">
        <f>'12A (NS) Sem 1'!K20</f>
        <v>73</v>
      </c>
      <c r="M54" s="22">
        <f>'12A (NS) Sem 1'!L20</f>
        <v>455</v>
      </c>
      <c r="N54" s="192">
        <f>'12A (NS) Sem 1'!M20</f>
        <v>65</v>
      </c>
      <c r="O54" s="22">
        <f>'12A (NS) Sem 1'!N20</f>
        <v>27</v>
      </c>
      <c r="P54" s="36">
        <f>'12A (NS) Sem 1'!O20</f>
        <v>0</v>
      </c>
      <c r="Q54" s="36">
        <f>'12A (NS) Sem 1'!P20</f>
        <v>0</v>
      </c>
      <c r="R54" s="5"/>
      <c r="S54" s="5"/>
      <c r="T54" s="5"/>
      <c r="U54" s="5"/>
      <c r="V54" s="5"/>
    </row>
    <row r="55" spans="1:22" ht="17.25" customHeight="1" thickBot="1" x14ac:dyDescent="0.3">
      <c r="A55" s="247"/>
      <c r="B55" s="218"/>
      <c r="C55" s="213">
        <v>17</v>
      </c>
      <c r="D55" s="215" t="s">
        <v>20</v>
      </c>
      <c r="E55" s="21" t="s">
        <v>22</v>
      </c>
      <c r="F55" s="22">
        <f>'12A (NS)Sem 2'!E20</f>
        <v>68</v>
      </c>
      <c r="G55" s="22">
        <f>'12A (NS)Sem 2'!F20</f>
        <v>60</v>
      </c>
      <c r="H55" s="22">
        <f>'12A (NS)Sem 2'!G20</f>
        <v>72</v>
      </c>
      <c r="I55" s="22">
        <f>'12A (NS)Sem 2'!H20</f>
        <v>65</v>
      </c>
      <c r="J55" s="22">
        <f>'12A (NS)Sem 2'!I20</f>
        <v>71</v>
      </c>
      <c r="K55" s="22">
        <f>'12A (NS)Sem 2'!J20</f>
        <v>90</v>
      </c>
      <c r="L55" s="22">
        <f>'12A (NS)Sem 2'!K20</f>
        <v>85</v>
      </c>
      <c r="M55" s="22">
        <f>'12A (NS)Sem 2'!L20</f>
        <v>511</v>
      </c>
      <c r="N55" s="192">
        <f>'12A (NS)Sem 2'!M20</f>
        <v>73</v>
      </c>
      <c r="O55" s="22">
        <f>'12A (NS)Sem 2'!N20</f>
        <v>27</v>
      </c>
      <c r="P55" s="36">
        <f>'12A (NS)Sem 2'!O20</f>
        <v>0</v>
      </c>
      <c r="Q55" s="36">
        <f>'12A (NS)Sem 2'!P20</f>
        <v>0</v>
      </c>
      <c r="R55" s="5"/>
      <c r="S55" s="5"/>
      <c r="T55" s="5"/>
      <c r="U55" s="5"/>
      <c r="V55" s="5"/>
    </row>
    <row r="56" spans="1:22" ht="17.25" customHeight="1" thickBot="1" x14ac:dyDescent="0.3">
      <c r="A56" s="247"/>
      <c r="B56" s="218"/>
      <c r="C56" s="213">
        <v>17</v>
      </c>
      <c r="D56" s="215" t="s">
        <v>20</v>
      </c>
      <c r="E56" s="21" t="s">
        <v>16</v>
      </c>
      <c r="F56" s="22">
        <f>AVERAGE(F54:F55)</f>
        <v>65</v>
      </c>
      <c r="G56" s="22">
        <f t="shared" ref="G56:Q56" si="16">AVERAGE(G54:G55)</f>
        <v>52.5</v>
      </c>
      <c r="H56" s="22">
        <f t="shared" si="16"/>
        <v>71</v>
      </c>
      <c r="I56" s="22">
        <f t="shared" si="16"/>
        <v>62.5</v>
      </c>
      <c r="J56" s="22">
        <f t="shared" si="16"/>
        <v>70.5</v>
      </c>
      <c r="K56" s="22">
        <f t="shared" si="16"/>
        <v>82.5</v>
      </c>
      <c r="L56" s="22">
        <f t="shared" si="16"/>
        <v>79</v>
      </c>
      <c r="M56" s="22">
        <f t="shared" si="16"/>
        <v>483</v>
      </c>
      <c r="N56" s="192">
        <f t="shared" si="16"/>
        <v>69</v>
      </c>
      <c r="O56" s="22">
        <f>'12A Sem avr (NS)'!$H$20</f>
        <v>27</v>
      </c>
      <c r="P56" s="22">
        <f t="shared" si="16"/>
        <v>0</v>
      </c>
      <c r="Q56" s="22">
        <f t="shared" si="16"/>
        <v>0</v>
      </c>
      <c r="R56" s="5"/>
      <c r="S56" s="5"/>
      <c r="T56" s="5"/>
      <c r="U56" s="5"/>
      <c r="V56" s="5"/>
    </row>
    <row r="57" spans="1:22" ht="17.25" customHeight="1" thickBot="1" x14ac:dyDescent="0.3">
      <c r="A57" s="247">
        <v>18</v>
      </c>
      <c r="B57" s="218"/>
      <c r="C57" s="213">
        <v>17</v>
      </c>
      <c r="D57" s="231" t="s">
        <v>23</v>
      </c>
      <c r="E57" s="21" t="s">
        <v>21</v>
      </c>
      <c r="F57" s="22">
        <f>'12A (NS) Sem 1'!E21</f>
        <v>52</v>
      </c>
      <c r="G57" s="22">
        <f>'12A (NS) Sem 1'!F21</f>
        <v>64</v>
      </c>
      <c r="H57" s="23">
        <f>'12A (NS) Sem 1'!G21</f>
        <v>67</v>
      </c>
      <c r="I57" s="22">
        <f>'12A (NS) Sem 1'!H21</f>
        <v>69</v>
      </c>
      <c r="J57" s="22">
        <f>'12A (NS) Sem 1'!I21</f>
        <v>79</v>
      </c>
      <c r="K57" s="22">
        <f>'12A (NS) Sem 1'!J21</f>
        <v>87</v>
      </c>
      <c r="L57" s="22">
        <f>'12A (NS) Sem 1'!K21</f>
        <v>85</v>
      </c>
      <c r="M57" s="22">
        <f>'12A (NS) Sem 1'!L21</f>
        <v>503</v>
      </c>
      <c r="N57" s="192">
        <f>'12A (NS) Sem 1'!M21</f>
        <v>71.857142857142861</v>
      </c>
      <c r="O57" s="22">
        <f>'12A (NS) Sem 1'!N21</f>
        <v>23</v>
      </c>
      <c r="P57" s="36">
        <f>'12A (NS) Sem 1'!O21</f>
        <v>0</v>
      </c>
      <c r="Q57" s="36">
        <f>'12A (NS) Sem 1'!P21</f>
        <v>0</v>
      </c>
      <c r="R57" s="5"/>
      <c r="S57" s="5"/>
      <c r="T57" s="5"/>
      <c r="U57" s="5"/>
      <c r="V57" s="5"/>
    </row>
    <row r="58" spans="1:22" ht="18.75" customHeight="1" thickBot="1" x14ac:dyDescent="0.3">
      <c r="A58" s="247"/>
      <c r="B58" s="218"/>
      <c r="C58" s="213">
        <v>17</v>
      </c>
      <c r="D58" s="232" t="s">
        <v>23</v>
      </c>
      <c r="E58" s="21" t="s">
        <v>22</v>
      </c>
      <c r="F58" s="22">
        <f>'12A (NS)Sem 2'!E21</f>
        <v>65</v>
      </c>
      <c r="G58" s="22">
        <f>'12A (NS)Sem 2'!F21</f>
        <v>75</v>
      </c>
      <c r="H58" s="23">
        <f>'12A (NS)Sem 2'!G21</f>
        <v>77</v>
      </c>
      <c r="I58" s="22">
        <f>'12A (NS)Sem 2'!H21</f>
        <v>73</v>
      </c>
      <c r="J58" s="22">
        <f>'12A (NS)Sem 2'!I21</f>
        <v>81</v>
      </c>
      <c r="K58" s="22">
        <f>'12A (NS)Sem 2'!J21</f>
        <v>94</v>
      </c>
      <c r="L58" s="22">
        <f>'12A (NS)Sem 2'!K21</f>
        <v>92</v>
      </c>
      <c r="M58" s="22">
        <f>'12A (NS)Sem 2'!L21</f>
        <v>557</v>
      </c>
      <c r="N58" s="192">
        <f>'12A (NS)Sem 2'!M21</f>
        <v>79.571428571428569</v>
      </c>
      <c r="O58" s="22">
        <f>'12A (NS)Sem 2'!N21</f>
        <v>23</v>
      </c>
      <c r="P58" s="36">
        <f>'12A (NS)Sem 2'!O21</f>
        <v>0</v>
      </c>
      <c r="Q58" s="36">
        <f>'12A (NS)Sem 2'!P21</f>
        <v>0</v>
      </c>
      <c r="R58" s="5"/>
      <c r="S58" s="5"/>
      <c r="T58" s="5"/>
      <c r="U58" s="5"/>
      <c r="V58" s="5"/>
    </row>
    <row r="59" spans="1:22" ht="18.75" customHeight="1" thickBot="1" x14ac:dyDescent="0.3">
      <c r="A59" s="247"/>
      <c r="B59" s="218"/>
      <c r="C59" s="213">
        <v>17</v>
      </c>
      <c r="D59" s="233" t="s">
        <v>23</v>
      </c>
      <c r="E59" s="21" t="s">
        <v>16</v>
      </c>
      <c r="F59" s="22">
        <f>AVERAGE(F57:F58)</f>
        <v>58.5</v>
      </c>
      <c r="G59" s="22">
        <f t="shared" ref="G59:Q59" si="17">AVERAGE(G57:G58)</f>
        <v>69.5</v>
      </c>
      <c r="H59" s="22">
        <f t="shared" si="17"/>
        <v>72</v>
      </c>
      <c r="I59" s="22">
        <f t="shared" si="17"/>
        <v>71</v>
      </c>
      <c r="J59" s="22">
        <f t="shared" si="17"/>
        <v>80</v>
      </c>
      <c r="K59" s="22">
        <f t="shared" si="17"/>
        <v>90.5</v>
      </c>
      <c r="L59" s="22">
        <f t="shared" si="17"/>
        <v>88.5</v>
      </c>
      <c r="M59" s="22">
        <f t="shared" si="17"/>
        <v>530</v>
      </c>
      <c r="N59" s="192">
        <f t="shared" si="17"/>
        <v>75.714285714285722</v>
      </c>
      <c r="O59" s="22">
        <f>'12A Sem avr (NS)'!$H$21</f>
        <v>23</v>
      </c>
      <c r="P59" s="22">
        <f t="shared" si="17"/>
        <v>0</v>
      </c>
      <c r="Q59" s="22">
        <f t="shared" si="17"/>
        <v>0</v>
      </c>
      <c r="R59" s="5"/>
      <c r="S59" s="5"/>
      <c r="T59" s="5"/>
      <c r="U59" s="5"/>
      <c r="V59" s="5"/>
    </row>
    <row r="60" spans="1:22" ht="18.75" customHeight="1" thickBot="1" x14ac:dyDescent="0.3">
      <c r="A60" s="249">
        <v>19</v>
      </c>
      <c r="B60" s="218"/>
      <c r="C60" s="213">
        <v>17</v>
      </c>
      <c r="D60" s="215" t="s">
        <v>20</v>
      </c>
      <c r="E60" s="21" t="s">
        <v>21</v>
      </c>
      <c r="F60" s="22">
        <f>'12A (NS) Sem 1'!E22</f>
        <v>60</v>
      </c>
      <c r="G60" s="22">
        <f>'12A (NS) Sem 1'!F22</f>
        <v>65</v>
      </c>
      <c r="H60" s="22">
        <f>'12A (NS) Sem 1'!G22</f>
        <v>63</v>
      </c>
      <c r="I60" s="22">
        <f>'12A (NS) Sem 1'!H22</f>
        <v>59</v>
      </c>
      <c r="J60" s="22">
        <f>'12A (NS) Sem 1'!I22</f>
        <v>68</v>
      </c>
      <c r="K60" s="22">
        <f>'12A (NS) Sem 1'!J22</f>
        <v>84</v>
      </c>
      <c r="L60" s="22">
        <f>'12A (NS) Sem 1'!K22</f>
        <v>77</v>
      </c>
      <c r="M60" s="22">
        <f>'12A (NS) Sem 1'!L22</f>
        <v>476</v>
      </c>
      <c r="N60" s="192">
        <f>'12A (NS) Sem 1'!M22</f>
        <v>68</v>
      </c>
      <c r="O60" s="22">
        <f>'12A (NS) Sem 1'!N22</f>
        <v>25</v>
      </c>
      <c r="P60" s="36">
        <f>'12A (NS) Sem 1'!O22</f>
        <v>0</v>
      </c>
      <c r="Q60" s="36">
        <f>'12A (NS) Sem 1'!P22</f>
        <v>0</v>
      </c>
      <c r="R60" s="5"/>
      <c r="S60" s="5"/>
      <c r="T60" s="5"/>
      <c r="U60" s="5"/>
      <c r="V60" s="5"/>
    </row>
    <row r="61" spans="1:22" ht="18.75" customHeight="1" thickBot="1" x14ac:dyDescent="0.3">
      <c r="A61" s="249"/>
      <c r="B61" s="218"/>
      <c r="C61" s="213">
        <v>17</v>
      </c>
      <c r="D61" s="215" t="s">
        <v>20</v>
      </c>
      <c r="E61" s="21" t="s">
        <v>22</v>
      </c>
      <c r="F61" s="22">
        <f>'12A (NS)Sem 2'!E22</f>
        <v>63</v>
      </c>
      <c r="G61" s="22">
        <f>'12A (NS)Sem 2'!F22</f>
        <v>70</v>
      </c>
      <c r="H61" s="22">
        <f>'12A (NS)Sem 2'!G22</f>
        <v>68</v>
      </c>
      <c r="I61" s="22">
        <f>'12A (NS)Sem 2'!H22</f>
        <v>65</v>
      </c>
      <c r="J61" s="22">
        <f>'12A (NS)Sem 2'!I22</f>
        <v>70</v>
      </c>
      <c r="K61" s="22">
        <f>'12A (NS)Sem 2'!J22</f>
        <v>94</v>
      </c>
      <c r="L61" s="22">
        <f>'12A (NS)Sem 2'!K22</f>
        <v>85</v>
      </c>
      <c r="M61" s="22">
        <f>'12A (NS)Sem 2'!L22</f>
        <v>515</v>
      </c>
      <c r="N61" s="192">
        <f>'12A (NS)Sem 2'!M22</f>
        <v>73.571428571428569</v>
      </c>
      <c r="O61" s="22">
        <f>'12A (NS)Sem 2'!N22</f>
        <v>26</v>
      </c>
      <c r="P61" s="36">
        <f>'12A (NS)Sem 2'!O22</f>
        <v>0</v>
      </c>
      <c r="Q61" s="36">
        <f>'12A (NS)Sem 2'!P22</f>
        <v>0</v>
      </c>
      <c r="R61" s="5"/>
      <c r="S61" s="5"/>
      <c r="T61" s="5"/>
      <c r="U61" s="5"/>
      <c r="V61" s="5"/>
    </row>
    <row r="62" spans="1:22" ht="18.75" customHeight="1" thickBot="1" x14ac:dyDescent="0.3">
      <c r="A62" s="249"/>
      <c r="B62" s="218"/>
      <c r="C62" s="213">
        <v>17</v>
      </c>
      <c r="D62" s="215" t="s">
        <v>20</v>
      </c>
      <c r="E62" s="21" t="s">
        <v>16</v>
      </c>
      <c r="F62" s="22">
        <f>AVERAGE(F60:F61)</f>
        <v>61.5</v>
      </c>
      <c r="G62" s="22">
        <f t="shared" ref="G62:Q62" si="18">AVERAGE(G60:G61)</f>
        <v>67.5</v>
      </c>
      <c r="H62" s="22">
        <f t="shared" si="18"/>
        <v>65.5</v>
      </c>
      <c r="I62" s="22">
        <f t="shared" si="18"/>
        <v>62</v>
      </c>
      <c r="J62" s="22">
        <f t="shared" si="18"/>
        <v>69</v>
      </c>
      <c r="K62" s="22">
        <f t="shared" si="18"/>
        <v>89</v>
      </c>
      <c r="L62" s="22">
        <f t="shared" si="18"/>
        <v>81</v>
      </c>
      <c r="M62" s="22">
        <f t="shared" si="18"/>
        <v>495.5</v>
      </c>
      <c r="N62" s="192">
        <f t="shared" si="18"/>
        <v>70.785714285714278</v>
      </c>
      <c r="O62" s="22">
        <f>'12A Sem avr (NS)'!$H$22</f>
        <v>26</v>
      </c>
      <c r="P62" s="22">
        <f t="shared" si="18"/>
        <v>0</v>
      </c>
      <c r="Q62" s="22">
        <f t="shared" si="18"/>
        <v>0</v>
      </c>
      <c r="R62" s="5"/>
      <c r="S62" s="5"/>
      <c r="T62" s="5"/>
      <c r="U62" s="5"/>
      <c r="V62" s="5"/>
    </row>
    <row r="63" spans="1:22" ht="18.75" customHeight="1" thickBot="1" x14ac:dyDescent="0.3">
      <c r="A63" s="249">
        <v>20</v>
      </c>
      <c r="B63" s="218"/>
      <c r="C63" s="213">
        <v>17</v>
      </c>
      <c r="D63" s="215" t="s">
        <v>20</v>
      </c>
      <c r="E63" s="21" t="s">
        <v>21</v>
      </c>
      <c r="F63" s="22">
        <f>'12A (NS) Sem 1'!E23</f>
        <v>92</v>
      </c>
      <c r="G63" s="22">
        <f>'12A (NS) Sem 1'!F23</f>
        <v>66</v>
      </c>
      <c r="H63" s="22">
        <f>'12A (NS) Sem 1'!G23</f>
        <v>72</v>
      </c>
      <c r="I63" s="22">
        <f>'12A (NS) Sem 1'!H23</f>
        <v>67</v>
      </c>
      <c r="J63" s="22">
        <f>'12A (NS) Sem 1'!I23</f>
        <v>81</v>
      </c>
      <c r="K63" s="22">
        <f>'12A (NS) Sem 1'!J23</f>
        <v>91</v>
      </c>
      <c r="L63" s="22">
        <f>'12A (NS) Sem 1'!K23</f>
        <v>83</v>
      </c>
      <c r="M63" s="22">
        <f>'12A (NS) Sem 1'!L23</f>
        <v>552</v>
      </c>
      <c r="N63" s="192">
        <f>'12A (NS) Sem 1'!M23</f>
        <v>78.857142857142861</v>
      </c>
      <c r="O63" s="22">
        <f>'12A (NS) Sem 1'!N23</f>
        <v>18</v>
      </c>
      <c r="P63" s="36">
        <f>'12A (NS) Sem 1'!O23</f>
        <v>0</v>
      </c>
      <c r="Q63" s="36">
        <f>'12A (NS) Sem 1'!P23</f>
        <v>0</v>
      </c>
      <c r="R63" s="5"/>
      <c r="S63" s="5"/>
      <c r="T63" s="5"/>
      <c r="U63" s="5"/>
      <c r="V63" s="5"/>
    </row>
    <row r="64" spans="1:22" ht="18.75" customHeight="1" thickBot="1" x14ac:dyDescent="0.3">
      <c r="A64" s="249"/>
      <c r="B64" s="218"/>
      <c r="C64" s="213">
        <v>17</v>
      </c>
      <c r="D64" s="215" t="s">
        <v>20</v>
      </c>
      <c r="E64" s="21" t="s">
        <v>22</v>
      </c>
      <c r="F64" s="22">
        <f>'12A (NS)Sem 2'!E23</f>
        <v>88</v>
      </c>
      <c r="G64" s="22">
        <f>'12A (NS)Sem 2'!F23</f>
        <v>66</v>
      </c>
      <c r="H64" s="22">
        <f>'12A (NS)Sem 2'!G23</f>
        <v>79</v>
      </c>
      <c r="I64" s="22">
        <f>'12A (NS)Sem 2'!H23</f>
        <v>70</v>
      </c>
      <c r="J64" s="22">
        <f>'12A (NS)Sem 2'!I23</f>
        <v>81</v>
      </c>
      <c r="K64" s="22">
        <f>'12A (NS)Sem 2'!J23</f>
        <v>96</v>
      </c>
      <c r="L64" s="22">
        <f>'12A (NS)Sem 2'!K23</f>
        <v>90</v>
      </c>
      <c r="M64" s="22">
        <f>'12A (NS)Sem 2'!L23</f>
        <v>570</v>
      </c>
      <c r="N64" s="192">
        <f>'12A (NS)Sem 2'!M23</f>
        <v>81.428571428571431</v>
      </c>
      <c r="O64" s="22">
        <f>'12A (NS)Sem 2'!N23</f>
        <v>20</v>
      </c>
      <c r="P64" s="36">
        <f>'12A (NS)Sem 2'!O23</f>
        <v>0</v>
      </c>
      <c r="Q64" s="36">
        <f>'12A (NS)Sem 2'!P23</f>
        <v>0</v>
      </c>
      <c r="R64" s="5"/>
      <c r="S64" s="5"/>
      <c r="T64" s="5"/>
      <c r="U64" s="5"/>
      <c r="V64" s="5"/>
    </row>
    <row r="65" spans="1:22" ht="18.75" customHeight="1" thickBot="1" x14ac:dyDescent="0.3">
      <c r="A65" s="249"/>
      <c r="B65" s="218"/>
      <c r="C65" s="213">
        <v>17</v>
      </c>
      <c r="D65" s="215" t="s">
        <v>20</v>
      </c>
      <c r="E65" s="21" t="s">
        <v>16</v>
      </c>
      <c r="F65" s="22">
        <f>AVERAGE(F63:F64)</f>
        <v>90</v>
      </c>
      <c r="G65" s="22">
        <f t="shared" ref="G65:Q65" si="19">AVERAGE(G63:G64)</f>
        <v>66</v>
      </c>
      <c r="H65" s="22">
        <f t="shared" si="19"/>
        <v>75.5</v>
      </c>
      <c r="I65" s="22">
        <f t="shared" si="19"/>
        <v>68.5</v>
      </c>
      <c r="J65" s="22">
        <f t="shared" si="19"/>
        <v>81</v>
      </c>
      <c r="K65" s="22">
        <f t="shared" si="19"/>
        <v>93.5</v>
      </c>
      <c r="L65" s="22">
        <f t="shared" si="19"/>
        <v>86.5</v>
      </c>
      <c r="M65" s="22">
        <f t="shared" si="19"/>
        <v>561</v>
      </c>
      <c r="N65" s="192">
        <f t="shared" si="19"/>
        <v>80.142857142857139</v>
      </c>
      <c r="O65" s="22">
        <f>'12A Sem avr (NS)'!$H$23</f>
        <v>20</v>
      </c>
      <c r="P65" s="22">
        <f t="shared" si="19"/>
        <v>0</v>
      </c>
      <c r="Q65" s="22">
        <f t="shared" si="19"/>
        <v>0</v>
      </c>
      <c r="R65" s="5"/>
      <c r="S65" s="5"/>
      <c r="T65" s="5"/>
      <c r="U65" s="5"/>
      <c r="V65" s="5"/>
    </row>
    <row r="66" spans="1:22" ht="18.75" customHeight="1" thickBot="1" x14ac:dyDescent="0.3">
      <c r="A66" s="249">
        <v>21</v>
      </c>
      <c r="B66" s="218"/>
      <c r="C66" s="213">
        <v>18</v>
      </c>
      <c r="D66" s="215" t="s">
        <v>20</v>
      </c>
      <c r="E66" s="21" t="s">
        <v>21</v>
      </c>
      <c r="F66" s="22">
        <f>'12A (NS) Sem 1'!E24</f>
        <v>84</v>
      </c>
      <c r="G66" s="22">
        <f>'12A (NS) Sem 1'!F24</f>
        <v>72</v>
      </c>
      <c r="H66" s="22">
        <f>'12A (NS) Sem 1'!G24</f>
        <v>79</v>
      </c>
      <c r="I66" s="22">
        <f>'12A (NS) Sem 1'!H24</f>
        <v>72</v>
      </c>
      <c r="J66" s="22">
        <f>'12A (NS) Sem 1'!I24</f>
        <v>87</v>
      </c>
      <c r="K66" s="22">
        <f>'12A (NS) Sem 1'!J24</f>
        <v>89</v>
      </c>
      <c r="L66" s="22">
        <f>'12A (NS) Sem 1'!K24</f>
        <v>90</v>
      </c>
      <c r="M66" s="22">
        <f>'12A (NS) Sem 1'!L24</f>
        <v>573</v>
      </c>
      <c r="N66" s="192">
        <f>'12A (NS) Sem 1'!M24</f>
        <v>81.857142857142861</v>
      </c>
      <c r="O66" s="22">
        <f>'12A (NS) Sem 1'!N24</f>
        <v>11</v>
      </c>
      <c r="P66" s="36">
        <f>'12A (NS) Sem 1'!O24</f>
        <v>0</v>
      </c>
      <c r="Q66" s="36">
        <f>'12A (NS) Sem 1'!P24</f>
        <v>0</v>
      </c>
      <c r="R66" s="5"/>
      <c r="S66" s="5"/>
      <c r="T66" s="5"/>
      <c r="U66" s="5"/>
      <c r="V66" s="5"/>
    </row>
    <row r="67" spans="1:22" ht="18.75" customHeight="1" thickBot="1" x14ac:dyDescent="0.3">
      <c r="A67" s="249"/>
      <c r="B67" s="218"/>
      <c r="C67" s="213">
        <v>18</v>
      </c>
      <c r="D67" s="215" t="s">
        <v>20</v>
      </c>
      <c r="E67" s="21" t="s">
        <v>22</v>
      </c>
      <c r="F67" s="22">
        <f>'12A (NS)Sem 2'!E24</f>
        <v>87</v>
      </c>
      <c r="G67" s="22">
        <f>'12A (NS)Sem 2'!F24</f>
        <v>76</v>
      </c>
      <c r="H67" s="22">
        <f>'12A (NS)Sem 2'!G24</f>
        <v>86</v>
      </c>
      <c r="I67" s="22">
        <f>'12A (NS)Sem 2'!H24</f>
        <v>77</v>
      </c>
      <c r="J67" s="22">
        <f>'12A (NS)Sem 2'!I24</f>
        <v>90</v>
      </c>
      <c r="K67" s="22">
        <f>'12A (NS)Sem 2'!J24</f>
        <v>96</v>
      </c>
      <c r="L67" s="22">
        <f>'12A (NS)Sem 2'!K24</f>
        <v>95</v>
      </c>
      <c r="M67" s="22">
        <f>'12A (NS)Sem 2'!L24</f>
        <v>607</v>
      </c>
      <c r="N67" s="192">
        <f>'12A (NS)Sem 2'!M24</f>
        <v>86.714285714285708</v>
      </c>
      <c r="O67" s="22">
        <f>'12A (NS)Sem 2'!N24</f>
        <v>11</v>
      </c>
      <c r="P67" s="36">
        <f>'12A (NS)Sem 2'!O24</f>
        <v>0</v>
      </c>
      <c r="Q67" s="36">
        <f>'12A (NS)Sem 2'!P24</f>
        <v>0</v>
      </c>
      <c r="R67" s="5"/>
      <c r="S67" s="5"/>
      <c r="T67" s="5"/>
      <c r="U67" s="5"/>
      <c r="V67" s="5"/>
    </row>
    <row r="68" spans="1:22" ht="18.75" customHeight="1" thickBot="1" x14ac:dyDescent="0.3">
      <c r="A68" s="249"/>
      <c r="B68" s="218"/>
      <c r="C68" s="213">
        <v>18</v>
      </c>
      <c r="D68" s="215" t="s">
        <v>20</v>
      </c>
      <c r="E68" s="21" t="s">
        <v>16</v>
      </c>
      <c r="F68" s="22">
        <f>AVERAGE(F66:F67)</f>
        <v>85.5</v>
      </c>
      <c r="G68" s="22">
        <f t="shared" ref="G68:Q68" si="20">AVERAGE(G66:G67)</f>
        <v>74</v>
      </c>
      <c r="H68" s="22">
        <f t="shared" si="20"/>
        <v>82.5</v>
      </c>
      <c r="I68" s="22">
        <f t="shared" si="20"/>
        <v>74.5</v>
      </c>
      <c r="J68" s="22">
        <f t="shared" si="20"/>
        <v>88.5</v>
      </c>
      <c r="K68" s="22">
        <f t="shared" si="20"/>
        <v>92.5</v>
      </c>
      <c r="L68" s="22">
        <f t="shared" si="20"/>
        <v>92.5</v>
      </c>
      <c r="M68" s="22">
        <f t="shared" si="20"/>
        <v>590</v>
      </c>
      <c r="N68" s="192">
        <f t="shared" si="20"/>
        <v>84.285714285714278</v>
      </c>
      <c r="O68" s="22">
        <f>'12A Sem avr (NS)'!$H$24</f>
        <v>13</v>
      </c>
      <c r="P68" s="22">
        <f t="shared" si="20"/>
        <v>0</v>
      </c>
      <c r="Q68" s="22">
        <f t="shared" si="20"/>
        <v>0</v>
      </c>
      <c r="R68" s="5"/>
      <c r="S68" s="5"/>
      <c r="T68" s="5"/>
      <c r="U68" s="5"/>
      <c r="V68" s="5"/>
    </row>
    <row r="69" spans="1:22" ht="18.75" customHeight="1" thickBot="1" x14ac:dyDescent="0.3">
      <c r="A69" s="247">
        <v>22</v>
      </c>
      <c r="B69" s="218"/>
      <c r="C69" s="213">
        <v>17</v>
      </c>
      <c r="D69" s="215" t="s">
        <v>23</v>
      </c>
      <c r="E69" s="21" t="s">
        <v>21</v>
      </c>
      <c r="F69" s="22">
        <f>'12A (NS) Sem 1'!E25</f>
        <v>90</v>
      </c>
      <c r="G69" s="22">
        <f>'12A (NS) Sem 1'!F25</f>
        <v>71</v>
      </c>
      <c r="H69" s="22">
        <f>'12A (NS) Sem 1'!G25</f>
        <v>74</v>
      </c>
      <c r="I69" s="22">
        <f>'12A (NS) Sem 1'!H25</f>
        <v>66</v>
      </c>
      <c r="J69" s="22">
        <f>'12A (NS) Sem 1'!I25</f>
        <v>86</v>
      </c>
      <c r="K69" s="22">
        <f>'12A (NS) Sem 1'!J25</f>
        <v>93</v>
      </c>
      <c r="L69" s="22">
        <f>'12A (NS) Sem 1'!K25</f>
        <v>83</v>
      </c>
      <c r="M69" s="22">
        <f>'12A (NS) Sem 1'!L25</f>
        <v>563</v>
      </c>
      <c r="N69" s="192">
        <f>'12A (NS) Sem 1'!M25</f>
        <v>80.428571428571431</v>
      </c>
      <c r="O69" s="22">
        <f>'12A (NS) Sem 1'!N25</f>
        <v>14</v>
      </c>
      <c r="P69" s="36">
        <f>'12A (NS) Sem 1'!O25</f>
        <v>0</v>
      </c>
      <c r="Q69" s="36">
        <f>'12A (NS) Sem 1'!P25</f>
        <v>0</v>
      </c>
      <c r="R69" s="5"/>
      <c r="S69" s="5"/>
      <c r="T69" s="5"/>
      <c r="U69" s="5"/>
      <c r="V69" s="5"/>
    </row>
    <row r="70" spans="1:22" ht="18.75" customHeight="1" thickBot="1" x14ac:dyDescent="0.3">
      <c r="A70" s="247"/>
      <c r="B70" s="218"/>
      <c r="C70" s="213">
        <v>17</v>
      </c>
      <c r="D70" s="215" t="s">
        <v>23</v>
      </c>
      <c r="E70" s="21" t="s">
        <v>22</v>
      </c>
      <c r="F70" s="22">
        <f>'12A (NS)Sem 2'!E25</f>
        <v>91</v>
      </c>
      <c r="G70" s="22">
        <f>'12A (NS)Sem 2'!F25</f>
        <v>66</v>
      </c>
      <c r="H70" s="22">
        <f>'12A (NS)Sem 2'!G25</f>
        <v>80</v>
      </c>
      <c r="I70" s="22">
        <f>'12A (NS)Sem 2'!H25</f>
        <v>71</v>
      </c>
      <c r="J70" s="22">
        <f>'12A (NS)Sem 2'!I25</f>
        <v>90</v>
      </c>
      <c r="K70" s="22">
        <f>'12A (NS)Sem 2'!J25</f>
        <v>97</v>
      </c>
      <c r="L70" s="22">
        <f>'12A (NS)Sem 2'!K25</f>
        <v>95</v>
      </c>
      <c r="M70" s="22">
        <f>'12A (NS)Sem 2'!L25</f>
        <v>590</v>
      </c>
      <c r="N70" s="192">
        <f>'12A (NS)Sem 2'!M25</f>
        <v>84.285714285714292</v>
      </c>
      <c r="O70" s="22">
        <f>'12A (NS)Sem 2'!N25</f>
        <v>17</v>
      </c>
      <c r="P70" s="36">
        <f>'12A (NS)Sem 2'!O25</f>
        <v>0</v>
      </c>
      <c r="Q70" s="36">
        <f>'12A (NS)Sem 2'!P25</f>
        <v>0</v>
      </c>
      <c r="R70" s="5"/>
      <c r="S70" s="5"/>
      <c r="T70" s="5"/>
      <c r="U70" s="5"/>
      <c r="V70" s="5"/>
    </row>
    <row r="71" spans="1:22" ht="18.75" customHeight="1" thickBot="1" x14ac:dyDescent="0.3">
      <c r="A71" s="247"/>
      <c r="B71" s="218"/>
      <c r="C71" s="213">
        <v>17</v>
      </c>
      <c r="D71" s="215" t="s">
        <v>23</v>
      </c>
      <c r="E71" s="21" t="s">
        <v>16</v>
      </c>
      <c r="F71" s="22">
        <f>AVERAGE(F69:F70)</f>
        <v>90.5</v>
      </c>
      <c r="G71" s="22">
        <f t="shared" ref="G71:Q71" si="21">AVERAGE(G69:G70)</f>
        <v>68.5</v>
      </c>
      <c r="H71" s="22">
        <f t="shared" si="21"/>
        <v>77</v>
      </c>
      <c r="I71" s="22">
        <f t="shared" si="21"/>
        <v>68.5</v>
      </c>
      <c r="J71" s="22">
        <f t="shared" si="21"/>
        <v>88</v>
      </c>
      <c r="K71" s="22">
        <f t="shared" si="21"/>
        <v>95</v>
      </c>
      <c r="L71" s="22">
        <f t="shared" si="21"/>
        <v>89</v>
      </c>
      <c r="M71" s="22">
        <f t="shared" si="21"/>
        <v>576.5</v>
      </c>
      <c r="N71" s="192">
        <f t="shared" si="21"/>
        <v>82.357142857142861</v>
      </c>
      <c r="O71" s="22">
        <f>'12A Sem avr (NS)'!$H$25</f>
        <v>16</v>
      </c>
      <c r="P71" s="22">
        <f t="shared" si="21"/>
        <v>0</v>
      </c>
      <c r="Q71" s="22">
        <f t="shared" si="21"/>
        <v>0</v>
      </c>
      <c r="R71" s="5"/>
      <c r="S71" s="5"/>
      <c r="T71" s="5"/>
      <c r="U71" s="5"/>
      <c r="V71" s="5"/>
    </row>
    <row r="72" spans="1:22" ht="18.75" customHeight="1" thickBot="1" x14ac:dyDescent="0.3">
      <c r="A72" s="247">
        <v>23</v>
      </c>
      <c r="B72" s="218"/>
      <c r="C72" s="213">
        <v>17</v>
      </c>
      <c r="D72" s="215" t="s">
        <v>23</v>
      </c>
      <c r="E72" s="21" t="s">
        <v>21</v>
      </c>
      <c r="F72" s="22">
        <f>'12A (NS) Sem 1'!E26</f>
        <v>74</v>
      </c>
      <c r="G72" s="22">
        <f>'12A (NS) Sem 1'!F26</f>
        <v>67</v>
      </c>
      <c r="H72" s="22">
        <f>'12A (NS) Sem 1'!G26</f>
        <v>73</v>
      </c>
      <c r="I72" s="22">
        <f>'12A (NS) Sem 1'!H26</f>
        <v>72</v>
      </c>
      <c r="J72" s="22">
        <f>'12A (NS) Sem 1'!I26</f>
        <v>88</v>
      </c>
      <c r="K72" s="22">
        <f>'12A (NS) Sem 1'!J26</f>
        <v>81</v>
      </c>
      <c r="L72" s="22">
        <f>'12A (NS) Sem 1'!K26</f>
        <v>87</v>
      </c>
      <c r="M72" s="22">
        <f>'12A (NS) Sem 1'!L26</f>
        <v>542</v>
      </c>
      <c r="N72" s="192">
        <f>'12A (NS) Sem 1'!M26</f>
        <v>77.428571428571431</v>
      </c>
      <c r="O72" s="22">
        <f>'12A (NS) Sem 1'!N26</f>
        <v>20</v>
      </c>
      <c r="P72" s="36">
        <f>'12A (NS) Sem 1'!O26</f>
        <v>0</v>
      </c>
      <c r="Q72" s="36">
        <f>'12A (NS) Sem 1'!P26</f>
        <v>0</v>
      </c>
      <c r="R72" s="5"/>
      <c r="S72" s="5"/>
      <c r="T72" s="5"/>
      <c r="U72" s="5"/>
      <c r="V72" s="5"/>
    </row>
    <row r="73" spans="1:22" ht="18.75" customHeight="1" thickBot="1" x14ac:dyDescent="0.3">
      <c r="A73" s="247"/>
      <c r="B73" s="218"/>
      <c r="C73" s="213">
        <v>17</v>
      </c>
      <c r="D73" s="215" t="s">
        <v>23</v>
      </c>
      <c r="E73" s="21" t="s">
        <v>22</v>
      </c>
      <c r="F73" s="22">
        <f>'12A (NS)Sem 2'!E26</f>
        <v>75</v>
      </c>
      <c r="G73" s="22">
        <f>'12A (NS)Sem 2'!F26</f>
        <v>67</v>
      </c>
      <c r="H73" s="22">
        <f>'12A (NS)Sem 2'!G26</f>
        <v>84</v>
      </c>
      <c r="I73" s="22">
        <f>'12A (NS)Sem 2'!H26</f>
        <v>75</v>
      </c>
      <c r="J73" s="22">
        <f>'12A (NS)Sem 2'!I26</f>
        <v>90</v>
      </c>
      <c r="K73" s="22">
        <f>'12A (NS)Sem 2'!J26</f>
        <v>90</v>
      </c>
      <c r="L73" s="22">
        <f>'12A (NS)Sem 2'!K26</f>
        <v>88</v>
      </c>
      <c r="M73" s="22">
        <f>'12A (NS)Sem 2'!L26</f>
        <v>569</v>
      </c>
      <c r="N73" s="192">
        <f>'12A (NS)Sem 2'!M26</f>
        <v>81.285714285714292</v>
      </c>
      <c r="O73" s="22">
        <f>'12A (NS)Sem 2'!N26</f>
        <v>21</v>
      </c>
      <c r="P73" s="36">
        <f>'12A (NS)Sem 2'!O26</f>
        <v>0</v>
      </c>
      <c r="Q73" s="36">
        <f>'12A (NS)Sem 2'!P26</f>
        <v>0</v>
      </c>
      <c r="R73" s="5"/>
      <c r="S73" s="5"/>
      <c r="T73" s="5"/>
      <c r="U73" s="5"/>
      <c r="V73" s="5"/>
    </row>
    <row r="74" spans="1:22" ht="18.75" customHeight="1" thickBot="1" x14ac:dyDescent="0.3">
      <c r="A74" s="247"/>
      <c r="B74" s="218"/>
      <c r="C74" s="213">
        <v>17</v>
      </c>
      <c r="D74" s="215" t="s">
        <v>23</v>
      </c>
      <c r="E74" s="21" t="s">
        <v>16</v>
      </c>
      <c r="F74" s="22">
        <f>AVERAGE(F72:F73)</f>
        <v>74.5</v>
      </c>
      <c r="G74" s="22">
        <f t="shared" ref="G74:Q74" si="22">AVERAGE(G72:G73)</f>
        <v>67</v>
      </c>
      <c r="H74" s="22">
        <f t="shared" si="22"/>
        <v>78.5</v>
      </c>
      <c r="I74" s="22">
        <f t="shared" si="22"/>
        <v>73.5</v>
      </c>
      <c r="J74" s="22">
        <f t="shared" si="22"/>
        <v>89</v>
      </c>
      <c r="K74" s="22">
        <f t="shared" si="22"/>
        <v>85.5</v>
      </c>
      <c r="L74" s="22">
        <f t="shared" si="22"/>
        <v>87.5</v>
      </c>
      <c r="M74" s="22">
        <f t="shared" si="22"/>
        <v>555.5</v>
      </c>
      <c r="N74" s="192">
        <f t="shared" si="22"/>
        <v>79.357142857142861</v>
      </c>
      <c r="O74" s="22">
        <f>'12A Sem avr (NS)'!$H$26</f>
        <v>21</v>
      </c>
      <c r="P74" s="22">
        <f t="shared" si="22"/>
        <v>0</v>
      </c>
      <c r="Q74" s="22">
        <f t="shared" si="22"/>
        <v>0</v>
      </c>
      <c r="R74" s="5"/>
      <c r="S74" s="5"/>
      <c r="T74" s="5"/>
      <c r="U74" s="5"/>
      <c r="V74" s="5"/>
    </row>
    <row r="75" spans="1:22" ht="18.75" customHeight="1" thickBot="1" x14ac:dyDescent="0.3">
      <c r="A75" s="249">
        <v>24</v>
      </c>
      <c r="B75" s="218"/>
      <c r="C75" s="213">
        <v>19</v>
      </c>
      <c r="D75" s="215" t="s">
        <v>20</v>
      </c>
      <c r="E75" s="21" t="s">
        <v>21</v>
      </c>
      <c r="F75" s="22">
        <f>'12A (NS) Sem 1'!E27</f>
        <v>93</v>
      </c>
      <c r="G75" s="22">
        <f>'12A (NS) Sem 1'!F27</f>
        <v>98</v>
      </c>
      <c r="H75" s="23">
        <f>'12A (NS) Sem 1'!G27</f>
        <v>98</v>
      </c>
      <c r="I75" s="23">
        <f>'12A (NS) Sem 1'!H27</f>
        <v>97</v>
      </c>
      <c r="J75" s="22">
        <f>'12A (NS) Sem 1'!I27</f>
        <v>100</v>
      </c>
      <c r="K75" s="23">
        <f>'12A (NS) Sem 1'!J27</f>
        <v>100</v>
      </c>
      <c r="L75" s="22">
        <f>'12A (NS) Sem 1'!K27</f>
        <v>100</v>
      </c>
      <c r="M75" s="22">
        <f>'12A (NS) Sem 1'!L27</f>
        <v>686</v>
      </c>
      <c r="N75" s="192">
        <f>'12A (NS) Sem 1'!M27</f>
        <v>98</v>
      </c>
      <c r="O75" s="22">
        <f>'12A (NS) Sem 1'!N27</f>
        <v>2</v>
      </c>
      <c r="P75" s="36">
        <f>'12A (NS) Sem 1'!O27</f>
        <v>0</v>
      </c>
      <c r="Q75" s="36">
        <f>'12A (NS) Sem 1'!P27</f>
        <v>0</v>
      </c>
      <c r="R75" s="5"/>
      <c r="S75" s="5"/>
      <c r="T75" s="5"/>
      <c r="U75" s="5"/>
      <c r="V75" s="5"/>
    </row>
    <row r="76" spans="1:22" ht="18.75" customHeight="1" thickBot="1" x14ac:dyDescent="0.3">
      <c r="A76" s="249"/>
      <c r="B76" s="218"/>
      <c r="C76" s="213">
        <v>19</v>
      </c>
      <c r="D76" s="215" t="s">
        <v>20</v>
      </c>
      <c r="E76" s="21" t="s">
        <v>22</v>
      </c>
      <c r="F76" s="22">
        <f>'12A (NS)Sem 2'!E27</f>
        <v>92</v>
      </c>
      <c r="G76" s="22">
        <f>'12A (NS)Sem 2'!F27</f>
        <v>99</v>
      </c>
      <c r="H76" s="23">
        <f>'12A (NS)Sem 2'!G27</f>
        <v>99</v>
      </c>
      <c r="I76" s="23">
        <f>'12A (NS)Sem 2'!H27</f>
        <v>98</v>
      </c>
      <c r="J76" s="22">
        <f>'12A (NS)Sem 2'!I27</f>
        <v>100</v>
      </c>
      <c r="K76" s="23">
        <f>'12A (NS)Sem 2'!J27</f>
        <v>100</v>
      </c>
      <c r="L76" s="22">
        <f>'12A (NS)Sem 2'!K27</f>
        <v>100</v>
      </c>
      <c r="M76" s="22">
        <f>'12A (NS)Sem 2'!L27</f>
        <v>688</v>
      </c>
      <c r="N76" s="192">
        <f>'12A (NS)Sem 2'!M27</f>
        <v>98.285714285714292</v>
      </c>
      <c r="O76" s="22">
        <f>'12A (NS)Sem 2'!N27</f>
        <v>2</v>
      </c>
      <c r="P76" s="36">
        <f>'12A (NS)Sem 2'!O27</f>
        <v>0</v>
      </c>
      <c r="Q76" s="36">
        <f>'12A (NS)Sem 2'!P27</f>
        <v>0</v>
      </c>
      <c r="R76" s="5"/>
      <c r="S76" s="5"/>
      <c r="T76" s="5"/>
      <c r="U76" s="5"/>
      <c r="V76" s="5"/>
    </row>
    <row r="77" spans="1:22" ht="18.75" customHeight="1" thickBot="1" x14ac:dyDescent="0.3">
      <c r="A77" s="249"/>
      <c r="B77" s="218"/>
      <c r="C77" s="213">
        <v>19</v>
      </c>
      <c r="D77" s="215" t="s">
        <v>20</v>
      </c>
      <c r="E77" s="21" t="s">
        <v>16</v>
      </c>
      <c r="F77" s="22">
        <f>AVERAGE(F75:F76)</f>
        <v>92.5</v>
      </c>
      <c r="G77" s="22">
        <f t="shared" ref="G77:Q77" si="23">AVERAGE(G75:G76)</f>
        <v>98.5</v>
      </c>
      <c r="H77" s="22">
        <f t="shared" si="23"/>
        <v>98.5</v>
      </c>
      <c r="I77" s="22">
        <f t="shared" si="23"/>
        <v>97.5</v>
      </c>
      <c r="J77" s="22">
        <f t="shared" si="23"/>
        <v>100</v>
      </c>
      <c r="K77" s="22">
        <f t="shared" si="23"/>
        <v>100</v>
      </c>
      <c r="L77" s="22">
        <f t="shared" si="23"/>
        <v>100</v>
      </c>
      <c r="M77" s="22">
        <f t="shared" si="23"/>
        <v>687</v>
      </c>
      <c r="N77" s="192">
        <f t="shared" si="23"/>
        <v>98.142857142857139</v>
      </c>
      <c r="O77" s="22">
        <f>'12A Sem avr (NS)'!$H$27</f>
        <v>2</v>
      </c>
      <c r="P77" s="22">
        <f t="shared" si="23"/>
        <v>0</v>
      </c>
      <c r="Q77" s="22">
        <f t="shared" si="23"/>
        <v>0</v>
      </c>
      <c r="R77" s="5"/>
      <c r="S77" s="5"/>
      <c r="T77" s="5"/>
      <c r="U77" s="5"/>
      <c r="V77" s="5"/>
    </row>
    <row r="78" spans="1:22" ht="18.75" customHeight="1" thickBot="1" x14ac:dyDescent="0.3">
      <c r="A78" s="247">
        <v>25</v>
      </c>
      <c r="B78" s="218"/>
      <c r="C78" s="213">
        <v>18</v>
      </c>
      <c r="D78" s="215" t="s">
        <v>23</v>
      </c>
      <c r="E78" s="21" t="s">
        <v>21</v>
      </c>
      <c r="F78" s="22">
        <f>'12A (NS) Sem 1'!E28</f>
        <v>97</v>
      </c>
      <c r="G78" s="23">
        <f>'12A (NS) Sem 1'!F28</f>
        <v>100</v>
      </c>
      <c r="H78" s="23">
        <f>'12A (NS) Sem 1'!G28</f>
        <v>100</v>
      </c>
      <c r="I78" s="22">
        <f>'12A (NS) Sem 1'!H28</f>
        <v>95</v>
      </c>
      <c r="J78" s="23">
        <f>'12A (NS) Sem 1'!I28</f>
        <v>100</v>
      </c>
      <c r="K78" s="22">
        <f>'12A (NS) Sem 1'!J28</f>
        <v>100</v>
      </c>
      <c r="L78" s="22">
        <f>'12A (NS) Sem 1'!K28</f>
        <v>97</v>
      </c>
      <c r="M78" s="22">
        <f>'12A (NS) Sem 1'!L28</f>
        <v>689</v>
      </c>
      <c r="N78" s="192">
        <f>'12A (NS) Sem 1'!M28</f>
        <v>98.428571428571431</v>
      </c>
      <c r="O78" s="22">
        <f>'12A (NS) Sem 1'!N28</f>
        <v>1</v>
      </c>
      <c r="P78" s="36">
        <f>'12A (NS) Sem 1'!O28</f>
        <v>0</v>
      </c>
      <c r="Q78" s="36">
        <f>'12A (NS) Sem 1'!P28</f>
        <v>0</v>
      </c>
      <c r="R78" s="5"/>
      <c r="S78" s="5"/>
      <c r="T78" s="5"/>
      <c r="U78" s="5"/>
      <c r="V78" s="5"/>
    </row>
    <row r="79" spans="1:22" ht="18.75" customHeight="1" thickBot="1" x14ac:dyDescent="0.3">
      <c r="A79" s="247"/>
      <c r="B79" s="218"/>
      <c r="C79" s="213">
        <v>18</v>
      </c>
      <c r="D79" s="215" t="s">
        <v>23</v>
      </c>
      <c r="E79" s="21" t="s">
        <v>22</v>
      </c>
      <c r="F79" s="22">
        <f>'12A (NS)Sem 2'!E28</f>
        <v>96</v>
      </c>
      <c r="G79" s="23">
        <f>'12A (NS)Sem 2'!F28</f>
        <v>99</v>
      </c>
      <c r="H79" s="23">
        <f>'12A (NS)Sem 2'!G28</f>
        <v>100</v>
      </c>
      <c r="I79" s="22">
        <f>'12A (NS)Sem 2'!H28</f>
        <v>97</v>
      </c>
      <c r="J79" s="23">
        <f>'12A (NS)Sem 2'!I28</f>
        <v>100</v>
      </c>
      <c r="K79" s="22">
        <f>'12A (NS)Sem 2'!J28</f>
        <v>100</v>
      </c>
      <c r="L79" s="22">
        <f>'12A (NS)Sem 2'!K28</f>
        <v>100</v>
      </c>
      <c r="M79" s="22">
        <f>'12A (NS)Sem 2'!L28</f>
        <v>692</v>
      </c>
      <c r="N79" s="192">
        <f>'12A (NS)Sem 2'!M28</f>
        <v>98.857142857142861</v>
      </c>
      <c r="O79" s="22">
        <f>'12A (NS)Sem 2'!N28</f>
        <v>1</v>
      </c>
      <c r="P79" s="36">
        <f>'12A (NS)Sem 2'!O28</f>
        <v>0</v>
      </c>
      <c r="Q79" s="36">
        <f>'12A (NS)Sem 2'!P28</f>
        <v>0</v>
      </c>
      <c r="R79" s="5"/>
      <c r="S79" s="5"/>
      <c r="T79" s="5"/>
      <c r="U79" s="5"/>
      <c r="V79" s="5"/>
    </row>
    <row r="80" spans="1:22" ht="18.75" customHeight="1" thickBot="1" x14ac:dyDescent="0.3">
      <c r="A80" s="247"/>
      <c r="B80" s="218"/>
      <c r="C80" s="213">
        <v>18</v>
      </c>
      <c r="D80" s="215" t="s">
        <v>23</v>
      </c>
      <c r="E80" s="21" t="s">
        <v>16</v>
      </c>
      <c r="F80" s="22">
        <f>AVERAGE(F78:F79)</f>
        <v>96.5</v>
      </c>
      <c r="G80" s="22">
        <f t="shared" ref="G80:Q80" si="24">AVERAGE(G78:G79)</f>
        <v>99.5</v>
      </c>
      <c r="H80" s="22">
        <f t="shared" si="24"/>
        <v>100</v>
      </c>
      <c r="I80" s="22">
        <f t="shared" si="24"/>
        <v>96</v>
      </c>
      <c r="J80" s="22">
        <f t="shared" si="24"/>
        <v>100</v>
      </c>
      <c r="K80" s="22">
        <f t="shared" si="24"/>
        <v>100</v>
      </c>
      <c r="L80" s="22">
        <f t="shared" si="24"/>
        <v>98.5</v>
      </c>
      <c r="M80" s="22">
        <f t="shared" si="24"/>
        <v>690.5</v>
      </c>
      <c r="N80" s="192">
        <f t="shared" si="24"/>
        <v>98.642857142857139</v>
      </c>
      <c r="O80" s="22">
        <f>'12A Sem avr (NS)'!$H$28</f>
        <v>1</v>
      </c>
      <c r="P80" s="22">
        <f t="shared" si="24"/>
        <v>0</v>
      </c>
      <c r="Q80" s="22">
        <f t="shared" si="24"/>
        <v>0</v>
      </c>
      <c r="R80" s="5"/>
      <c r="S80" s="5"/>
      <c r="T80" s="5"/>
      <c r="U80" s="5"/>
      <c r="V80" s="5"/>
    </row>
    <row r="81" spans="1:22" ht="18.75" customHeight="1" thickBot="1" x14ac:dyDescent="0.3">
      <c r="A81" s="249">
        <v>26</v>
      </c>
      <c r="B81" s="218"/>
      <c r="C81" s="213">
        <v>17</v>
      </c>
      <c r="D81" s="215" t="s">
        <v>23</v>
      </c>
      <c r="E81" s="21" t="s">
        <v>21</v>
      </c>
      <c r="F81" s="22">
        <f>'12A (NS) Sem 1'!E29</f>
        <v>95</v>
      </c>
      <c r="G81" s="22">
        <f>'12A (NS) Sem 1'!F29</f>
        <v>82</v>
      </c>
      <c r="H81" s="22">
        <f>'12A (NS) Sem 1'!G29</f>
        <v>85</v>
      </c>
      <c r="I81" s="22">
        <f>'12A (NS) Sem 1'!H29</f>
        <v>83</v>
      </c>
      <c r="J81" s="22">
        <f>'12A (NS) Sem 1'!I29</f>
        <v>100</v>
      </c>
      <c r="K81" s="22">
        <f>'12A (NS) Sem 1'!J29</f>
        <v>98</v>
      </c>
      <c r="L81" s="22">
        <f>'12A (NS) Sem 1'!K29</f>
        <v>93</v>
      </c>
      <c r="M81" s="22">
        <f>'12A (NS) Sem 1'!L29</f>
        <v>636</v>
      </c>
      <c r="N81" s="192">
        <f>'12A (NS) Sem 1'!M29</f>
        <v>90.857142857142861</v>
      </c>
      <c r="O81" s="22">
        <f>'12A (NS) Sem 1'!N29</f>
        <v>3</v>
      </c>
      <c r="P81" s="36">
        <f>'12A (NS) Sem 1'!O29</f>
        <v>0</v>
      </c>
      <c r="Q81" s="36">
        <f>'12A (NS) Sem 1'!P29</f>
        <v>0</v>
      </c>
      <c r="R81" s="5"/>
      <c r="S81" s="5"/>
      <c r="T81" s="5"/>
      <c r="U81" s="5"/>
      <c r="V81" s="5"/>
    </row>
    <row r="82" spans="1:22" ht="18.75" customHeight="1" thickBot="1" x14ac:dyDescent="0.3">
      <c r="A82" s="249"/>
      <c r="B82" s="218"/>
      <c r="C82" s="213">
        <v>17</v>
      </c>
      <c r="D82" s="215" t="s">
        <v>23</v>
      </c>
      <c r="E82" s="21" t="s">
        <v>22</v>
      </c>
      <c r="F82" s="22">
        <f>'12A (NS)Sem 2'!E29</f>
        <v>96</v>
      </c>
      <c r="G82" s="22">
        <f>'12A (NS)Sem 2'!F29</f>
        <v>90</v>
      </c>
      <c r="H82" s="22">
        <f>'12A (NS)Sem 2'!G29</f>
        <v>95</v>
      </c>
      <c r="I82" s="22">
        <f>'12A (NS)Sem 2'!H29</f>
        <v>87</v>
      </c>
      <c r="J82" s="22">
        <f>'12A (NS)Sem 2'!I29</f>
        <v>100</v>
      </c>
      <c r="K82" s="22">
        <f>'12A (NS)Sem 2'!J29</f>
        <v>100</v>
      </c>
      <c r="L82" s="22">
        <f>'12A (NS)Sem 2'!K29</f>
        <v>100</v>
      </c>
      <c r="M82" s="22">
        <f>'12A (NS)Sem 2'!L29</f>
        <v>668</v>
      </c>
      <c r="N82" s="192">
        <f>'12A (NS)Sem 2'!M29</f>
        <v>95.428571428571431</v>
      </c>
      <c r="O82" s="22">
        <f>'12A (NS)Sem 2'!N29</f>
        <v>3</v>
      </c>
      <c r="P82" s="36">
        <f>'12A (NS)Sem 2'!O29</f>
        <v>0</v>
      </c>
      <c r="Q82" s="36">
        <f>'12A (NS)Sem 2'!P29</f>
        <v>0</v>
      </c>
      <c r="R82" s="5"/>
      <c r="S82" s="5"/>
      <c r="T82" s="5"/>
      <c r="U82" s="5"/>
      <c r="V82" s="5"/>
    </row>
    <row r="83" spans="1:22" ht="18.75" customHeight="1" thickBot="1" x14ac:dyDescent="0.3">
      <c r="A83" s="249"/>
      <c r="B83" s="218"/>
      <c r="C83" s="213">
        <v>17</v>
      </c>
      <c r="D83" s="215" t="s">
        <v>23</v>
      </c>
      <c r="E83" s="21" t="s">
        <v>16</v>
      </c>
      <c r="F83" s="22">
        <f>AVERAGE(F81:F82)</f>
        <v>95.5</v>
      </c>
      <c r="G83" s="22">
        <f t="shared" ref="G83:Q83" si="25">AVERAGE(G81:G82)</f>
        <v>86</v>
      </c>
      <c r="H83" s="22">
        <f t="shared" si="25"/>
        <v>90</v>
      </c>
      <c r="I83" s="22">
        <f t="shared" si="25"/>
        <v>85</v>
      </c>
      <c r="J83" s="22">
        <f t="shared" si="25"/>
        <v>100</v>
      </c>
      <c r="K83" s="22">
        <f t="shared" si="25"/>
        <v>99</v>
      </c>
      <c r="L83" s="22">
        <f t="shared" si="25"/>
        <v>96.5</v>
      </c>
      <c r="M83" s="22">
        <f t="shared" si="25"/>
        <v>652</v>
      </c>
      <c r="N83" s="192">
        <f t="shared" si="25"/>
        <v>93.142857142857139</v>
      </c>
      <c r="O83" s="22">
        <f>'12A Sem avr (NS)'!$H$29</f>
        <v>3</v>
      </c>
      <c r="P83" s="22">
        <f t="shared" si="25"/>
        <v>0</v>
      </c>
      <c r="Q83" s="22">
        <f t="shared" si="25"/>
        <v>0</v>
      </c>
      <c r="R83" s="5"/>
      <c r="S83" s="5"/>
      <c r="T83" s="5"/>
      <c r="U83" s="5"/>
      <c r="V83" s="5"/>
    </row>
    <row r="84" spans="1:22" ht="18.75" customHeight="1" thickBot="1" x14ac:dyDescent="0.3">
      <c r="A84" s="249">
        <v>27</v>
      </c>
      <c r="B84" s="218"/>
      <c r="C84" s="213">
        <v>17</v>
      </c>
      <c r="D84" s="215" t="s">
        <v>23</v>
      </c>
      <c r="E84" s="21" t="s">
        <v>21</v>
      </c>
      <c r="F84" s="22">
        <f>'12A (NS) Sem 1'!E30</f>
        <v>66</v>
      </c>
      <c r="G84" s="22">
        <f>'12A (NS) Sem 1'!F30</f>
        <v>72</v>
      </c>
      <c r="H84" s="23">
        <f>'12A (NS) Sem 1'!G30</f>
        <v>67</v>
      </c>
      <c r="I84" s="22">
        <f>'12A (NS) Sem 1'!H30</f>
        <v>74</v>
      </c>
      <c r="J84" s="22">
        <f>'12A (NS) Sem 1'!I30</f>
        <v>83</v>
      </c>
      <c r="K84" s="22">
        <f>'12A (NS) Sem 1'!J30</f>
        <v>89</v>
      </c>
      <c r="L84" s="22">
        <f>'12A (NS) Sem 1'!K30</f>
        <v>86</v>
      </c>
      <c r="M84" s="22">
        <f>'12A (NS) Sem 1'!L30</f>
        <v>537</v>
      </c>
      <c r="N84" s="192">
        <f>'12A (NS) Sem 1'!M30</f>
        <v>76.714285714285708</v>
      </c>
      <c r="O84" s="22">
        <f>'12A (NS) Sem 1'!N30</f>
        <v>21</v>
      </c>
      <c r="P84" s="36">
        <f>'9A Sem 1'!U30</f>
        <v>0</v>
      </c>
      <c r="Q84" s="36">
        <f>'9A Sem 1'!V30</f>
        <v>0</v>
      </c>
      <c r="R84" s="5"/>
      <c r="S84" s="5"/>
      <c r="T84" s="5"/>
      <c r="U84" s="5"/>
      <c r="V84" s="5"/>
    </row>
    <row r="85" spans="1:22" ht="18.75" customHeight="1" thickBot="1" x14ac:dyDescent="0.3">
      <c r="A85" s="249"/>
      <c r="B85" s="218"/>
      <c r="C85" s="213">
        <v>17</v>
      </c>
      <c r="D85" s="215" t="s">
        <v>23</v>
      </c>
      <c r="E85" s="21" t="s">
        <v>22</v>
      </c>
      <c r="F85" s="22">
        <f>'12A (NS)Sem 2'!E30</f>
        <v>82</v>
      </c>
      <c r="G85" s="22">
        <f>'12A (NS)Sem 2'!F30</f>
        <v>88</v>
      </c>
      <c r="H85" s="23">
        <f>'12A (NS)Sem 2'!G30</f>
        <v>77</v>
      </c>
      <c r="I85" s="22">
        <f>'12A (NS)Sem 2'!H30</f>
        <v>79</v>
      </c>
      <c r="J85" s="22">
        <f>'12A (NS)Sem 2'!I30</f>
        <v>88</v>
      </c>
      <c r="K85" s="22">
        <f>'12A (NS)Sem 2'!J30</f>
        <v>99</v>
      </c>
      <c r="L85" s="22">
        <f>'12A (NS)Sem 2'!K30</f>
        <v>93</v>
      </c>
      <c r="M85" s="22">
        <f>'12A (NS)Sem 2'!L30</f>
        <v>606</v>
      </c>
      <c r="N85" s="192">
        <f>'12A (NS)Sem 2'!M30</f>
        <v>86.571428571428569</v>
      </c>
      <c r="O85" s="22">
        <f>'12A (NS)Sem 2'!N30</f>
        <v>12</v>
      </c>
      <c r="P85" s="36">
        <f>'12A (NS)Sem 2'!O30</f>
        <v>0</v>
      </c>
      <c r="Q85" s="36">
        <f>'12A (NS)Sem 2'!P30</f>
        <v>0</v>
      </c>
      <c r="R85" s="5"/>
      <c r="S85" s="5"/>
      <c r="T85" s="5"/>
      <c r="U85" s="5"/>
      <c r="V85" s="5"/>
    </row>
    <row r="86" spans="1:22" ht="18.75" customHeight="1" thickBot="1" x14ac:dyDescent="0.3">
      <c r="A86" s="249"/>
      <c r="B86" s="218"/>
      <c r="C86" s="213">
        <v>17</v>
      </c>
      <c r="D86" s="215" t="s">
        <v>23</v>
      </c>
      <c r="E86" s="21" t="s">
        <v>16</v>
      </c>
      <c r="F86" s="22">
        <f>AVERAGE(F84:F85)</f>
        <v>74</v>
      </c>
      <c r="G86" s="22">
        <f t="shared" ref="G86:Q86" si="26">AVERAGE(G84:G85)</f>
        <v>80</v>
      </c>
      <c r="H86" s="22">
        <f t="shared" si="26"/>
        <v>72</v>
      </c>
      <c r="I86" s="22">
        <f t="shared" si="26"/>
        <v>76.5</v>
      </c>
      <c r="J86" s="22">
        <f t="shared" si="26"/>
        <v>85.5</v>
      </c>
      <c r="K86" s="22">
        <f t="shared" si="26"/>
        <v>94</v>
      </c>
      <c r="L86" s="22">
        <f t="shared" si="26"/>
        <v>89.5</v>
      </c>
      <c r="M86" s="22">
        <f t="shared" si="26"/>
        <v>571.5</v>
      </c>
      <c r="N86" s="192">
        <f t="shared" si="26"/>
        <v>81.642857142857139</v>
      </c>
      <c r="O86" s="22">
        <f>'12A Sem avr (NS)'!$H$30</f>
        <v>17</v>
      </c>
      <c r="P86" s="22">
        <f t="shared" si="26"/>
        <v>0</v>
      </c>
      <c r="Q86" s="22">
        <f t="shared" si="26"/>
        <v>0</v>
      </c>
      <c r="R86" s="5"/>
      <c r="S86" s="5"/>
      <c r="T86" s="5"/>
      <c r="U86" s="5"/>
      <c r="V86" s="5"/>
    </row>
    <row r="87" spans="1:22" ht="18.75" customHeight="1" thickBot="1" x14ac:dyDescent="0.3">
      <c r="A87" s="249">
        <v>28</v>
      </c>
      <c r="B87" s="218"/>
      <c r="C87" s="213">
        <v>17</v>
      </c>
      <c r="D87" s="215" t="s">
        <v>23</v>
      </c>
      <c r="E87" s="21" t="s">
        <v>21</v>
      </c>
      <c r="F87" s="22">
        <f>'12A (NS) Sem 1'!E31</f>
        <v>53</v>
      </c>
      <c r="G87" s="22">
        <f>'12A (NS) Sem 1'!F31</f>
        <v>42</v>
      </c>
      <c r="H87" s="22">
        <f>'12A (NS) Sem 1'!G31</f>
        <v>60</v>
      </c>
      <c r="I87" s="22">
        <f>'12A (NS) Sem 1'!H31</f>
        <v>52</v>
      </c>
      <c r="J87" s="22">
        <f>'12A (NS) Sem 1'!I31</f>
        <v>67</v>
      </c>
      <c r="K87" s="22">
        <f>'12A (NS) Sem 1'!J31</f>
        <v>78</v>
      </c>
      <c r="L87" s="22">
        <f>'12A (NS) Sem 1'!K31</f>
        <v>67</v>
      </c>
      <c r="M87" s="22">
        <f>'12A (NS) Sem 1'!L31</f>
        <v>419</v>
      </c>
      <c r="N87" s="192">
        <f>'12A (NS) Sem 1'!M31</f>
        <v>59.857142857142854</v>
      </c>
      <c r="O87" s="22">
        <f>'12A (NS) Sem 1'!N31</f>
        <v>29</v>
      </c>
      <c r="P87" s="36">
        <f>'12A (NS) Sem 1'!O31</f>
        <v>0</v>
      </c>
      <c r="Q87" s="36">
        <f>'12A (NS) Sem 1'!P31</f>
        <v>0</v>
      </c>
      <c r="R87" s="5"/>
      <c r="S87" s="5"/>
      <c r="T87" s="5"/>
      <c r="U87" s="5"/>
      <c r="V87" s="5"/>
    </row>
    <row r="88" spans="1:22" ht="18.75" customHeight="1" thickBot="1" x14ac:dyDescent="0.3">
      <c r="A88" s="249"/>
      <c r="B88" s="218"/>
      <c r="C88" s="213">
        <v>17</v>
      </c>
      <c r="D88" s="215" t="s">
        <v>23</v>
      </c>
      <c r="E88" s="21" t="s">
        <v>22</v>
      </c>
      <c r="F88" s="22">
        <f>'12A (NS)Sem 2'!E31</f>
        <v>63</v>
      </c>
      <c r="G88" s="22">
        <f>'12A (NS)Sem 2'!F31</f>
        <v>68</v>
      </c>
      <c r="H88" s="22">
        <f>'12A (NS)Sem 2'!G31</f>
        <v>69</v>
      </c>
      <c r="I88" s="22">
        <f>'12A (NS)Sem 2'!H31</f>
        <v>60</v>
      </c>
      <c r="J88" s="22">
        <f>'12A (NS)Sem 2'!I31</f>
        <v>70</v>
      </c>
      <c r="K88" s="22">
        <f>'12A (NS)Sem 2'!J31</f>
        <v>91</v>
      </c>
      <c r="L88" s="22">
        <f>'12A (NS)Sem 2'!K31</f>
        <v>78</v>
      </c>
      <c r="M88" s="22">
        <f>'12A (NS)Sem 2'!L31</f>
        <v>499</v>
      </c>
      <c r="N88" s="192">
        <f>'12A (NS)Sem 2'!M31</f>
        <v>71.285714285714292</v>
      </c>
      <c r="O88" s="22">
        <f>'12A (NS)Sem 2'!N31</f>
        <v>29</v>
      </c>
      <c r="P88" s="36">
        <f>'12A (NS)Sem 2'!O31</f>
        <v>0</v>
      </c>
      <c r="Q88" s="36">
        <f>'12A (NS)Sem 2'!P31</f>
        <v>0</v>
      </c>
      <c r="R88" s="5"/>
      <c r="S88" s="5"/>
      <c r="T88" s="5"/>
      <c r="U88" s="5"/>
      <c r="V88" s="5"/>
    </row>
    <row r="89" spans="1:22" ht="18.75" customHeight="1" thickBot="1" x14ac:dyDescent="0.3">
      <c r="A89" s="249"/>
      <c r="B89" s="218"/>
      <c r="C89" s="213">
        <v>17</v>
      </c>
      <c r="D89" s="215" t="s">
        <v>23</v>
      </c>
      <c r="E89" s="21" t="s">
        <v>16</v>
      </c>
      <c r="F89" s="22">
        <f>AVERAGE(F87:F88)</f>
        <v>58</v>
      </c>
      <c r="G89" s="22">
        <f t="shared" ref="G89:Q89" si="27">AVERAGE(G87:G88)</f>
        <v>55</v>
      </c>
      <c r="H89" s="22">
        <f t="shared" si="27"/>
        <v>64.5</v>
      </c>
      <c r="I89" s="22">
        <f t="shared" si="27"/>
        <v>56</v>
      </c>
      <c r="J89" s="22">
        <f t="shared" si="27"/>
        <v>68.5</v>
      </c>
      <c r="K89" s="22">
        <f t="shared" si="27"/>
        <v>84.5</v>
      </c>
      <c r="L89" s="22">
        <f t="shared" si="27"/>
        <v>72.5</v>
      </c>
      <c r="M89" s="22">
        <f t="shared" si="27"/>
        <v>459</v>
      </c>
      <c r="N89" s="192">
        <f t="shared" si="27"/>
        <v>65.571428571428569</v>
      </c>
      <c r="O89" s="22">
        <f>'12A Sem avr (NS)'!$H$31</f>
        <v>29</v>
      </c>
      <c r="P89" s="22">
        <f t="shared" si="27"/>
        <v>0</v>
      </c>
      <c r="Q89" s="22">
        <f t="shared" si="27"/>
        <v>0</v>
      </c>
      <c r="R89" s="5"/>
      <c r="S89" s="5"/>
      <c r="T89" s="5"/>
      <c r="U89" s="5"/>
      <c r="V89" s="5"/>
    </row>
    <row r="90" spans="1:22" ht="18.75" customHeight="1" thickBot="1" x14ac:dyDescent="0.3">
      <c r="A90" s="247">
        <v>29</v>
      </c>
      <c r="B90" s="218"/>
      <c r="C90" s="213">
        <v>17</v>
      </c>
      <c r="D90" s="215" t="s">
        <v>20</v>
      </c>
      <c r="E90" s="21" t="s">
        <v>21</v>
      </c>
      <c r="F90" s="22">
        <f>'12A (NS) Sem 1'!E32</f>
        <v>80</v>
      </c>
      <c r="G90" s="22">
        <f>'12A (NS) Sem 1'!F32</f>
        <v>90</v>
      </c>
      <c r="H90" s="22">
        <f>'12A (NS) Sem 1'!G32</f>
        <v>84</v>
      </c>
      <c r="I90" s="22">
        <f>'12A (NS) Sem 1'!H32</f>
        <v>85</v>
      </c>
      <c r="J90" s="22">
        <f>'12A (NS) Sem 1'!I32</f>
        <v>95</v>
      </c>
      <c r="K90" s="22">
        <f>'12A (NS) Sem 1'!J32</f>
        <v>95</v>
      </c>
      <c r="L90" s="22">
        <f>'12A (NS) Sem 1'!K32</f>
        <v>90</v>
      </c>
      <c r="M90" s="22">
        <f>'12A (NS) Sem 1'!L32</f>
        <v>619</v>
      </c>
      <c r="N90" s="192">
        <f>'12A (NS) Sem 1'!M32</f>
        <v>88.428571428571431</v>
      </c>
      <c r="O90" s="22">
        <f>'12A (NS) Sem 1'!N32</f>
        <v>6</v>
      </c>
      <c r="P90" s="36">
        <f>'12A (NS) Sem 1'!O32</f>
        <v>0</v>
      </c>
      <c r="Q90" s="36">
        <f>'12A (NS) Sem 1'!P32</f>
        <v>0</v>
      </c>
      <c r="R90" s="5"/>
      <c r="S90" s="5"/>
      <c r="T90" s="5"/>
      <c r="U90" s="5"/>
      <c r="V90" s="5"/>
    </row>
    <row r="91" spans="1:22" ht="18.75" customHeight="1" thickBot="1" x14ac:dyDescent="0.3">
      <c r="A91" s="247"/>
      <c r="B91" s="218"/>
      <c r="C91" s="213">
        <v>17</v>
      </c>
      <c r="D91" s="215" t="s">
        <v>20</v>
      </c>
      <c r="E91" s="21" t="s">
        <v>22</v>
      </c>
      <c r="F91" s="22">
        <f>'12A (NS)Sem 2'!E32</f>
        <v>87</v>
      </c>
      <c r="G91" s="22">
        <f>'12A (NS)Sem 2'!F32</f>
        <v>89</v>
      </c>
      <c r="H91" s="22">
        <f>'12A (NS)Sem 2'!G32</f>
        <v>91</v>
      </c>
      <c r="I91" s="22">
        <f>'12A (NS)Sem 2'!H32</f>
        <v>89</v>
      </c>
      <c r="J91" s="22">
        <f>'12A (NS)Sem 2'!I32</f>
        <v>95</v>
      </c>
      <c r="K91" s="22">
        <f>'12A (NS)Sem 2'!J32</f>
        <v>100</v>
      </c>
      <c r="L91" s="22">
        <f>'12A (NS)Sem 2'!K32</f>
        <v>92</v>
      </c>
      <c r="M91" s="22">
        <f>'12A (NS)Sem 2'!L32</f>
        <v>643</v>
      </c>
      <c r="N91" s="192">
        <f>'12A (NS)Sem 2'!M32</f>
        <v>91.857142857142861</v>
      </c>
      <c r="O91" s="22">
        <f>'12A (NS)Sem 2'!N32</f>
        <v>6</v>
      </c>
      <c r="P91" s="36">
        <f>'12A (NS)Sem 2'!O32</f>
        <v>0</v>
      </c>
      <c r="Q91" s="36">
        <f>'12A (NS)Sem 2'!P32</f>
        <v>0</v>
      </c>
      <c r="R91" s="5"/>
      <c r="S91" s="5"/>
      <c r="T91" s="5"/>
      <c r="U91" s="5"/>
      <c r="V91" s="5"/>
    </row>
    <row r="92" spans="1:22" ht="18.75" customHeight="1" thickBot="1" x14ac:dyDescent="0.3">
      <c r="A92" s="247"/>
      <c r="B92" s="218"/>
      <c r="C92" s="213">
        <v>17</v>
      </c>
      <c r="D92" s="215" t="s">
        <v>20</v>
      </c>
      <c r="E92" s="21" t="s">
        <v>16</v>
      </c>
      <c r="F92" s="22">
        <f>AVERAGE(F90:F91)</f>
        <v>83.5</v>
      </c>
      <c r="G92" s="22">
        <f t="shared" ref="G92:Q92" si="28">AVERAGE(G90:G91)</f>
        <v>89.5</v>
      </c>
      <c r="H92" s="22">
        <f t="shared" si="28"/>
        <v>87.5</v>
      </c>
      <c r="I92" s="22">
        <f t="shared" si="28"/>
        <v>87</v>
      </c>
      <c r="J92" s="22">
        <f t="shared" si="28"/>
        <v>95</v>
      </c>
      <c r="K92" s="22">
        <f t="shared" si="28"/>
        <v>97.5</v>
      </c>
      <c r="L92" s="22">
        <f t="shared" si="28"/>
        <v>91</v>
      </c>
      <c r="M92" s="22">
        <f t="shared" si="28"/>
        <v>631</v>
      </c>
      <c r="N92" s="192">
        <f t="shared" si="28"/>
        <v>90.142857142857139</v>
      </c>
      <c r="O92" s="22">
        <f>'12A Sem avr (NS)'!$H$32</f>
        <v>6</v>
      </c>
      <c r="P92" s="22">
        <f t="shared" si="28"/>
        <v>0</v>
      </c>
      <c r="Q92" s="22">
        <f t="shared" si="28"/>
        <v>0</v>
      </c>
      <c r="R92" s="5"/>
      <c r="S92" s="5"/>
      <c r="T92" s="5"/>
      <c r="U92" s="5"/>
      <c r="V92" s="5"/>
    </row>
    <row r="93" spans="1:22" ht="18" customHeight="1" x14ac:dyDescent="0.25">
      <c r="B93" s="5"/>
      <c r="C93" s="5"/>
      <c r="D93" s="5"/>
      <c r="E93" s="5"/>
    </row>
    <row r="94" spans="1:22" ht="18" customHeight="1" x14ac:dyDescent="0.25">
      <c r="B94" s="5"/>
      <c r="C94" s="5"/>
      <c r="D94" s="5"/>
      <c r="E94" s="5"/>
    </row>
    <row r="95" spans="1:22" ht="18" customHeight="1" x14ac:dyDescent="0.25">
      <c r="B95" s="5"/>
      <c r="C95" s="5"/>
      <c r="D95" s="5"/>
      <c r="E95" s="5"/>
    </row>
    <row r="96" spans="1:22" ht="18" customHeight="1" x14ac:dyDescent="0.25">
      <c r="B96" s="5"/>
      <c r="C96"/>
      <c r="D96"/>
    </row>
    <row r="97" spans="3:4" ht="18" customHeight="1" x14ac:dyDescent="0.25">
      <c r="C97"/>
      <c r="D97"/>
    </row>
    <row r="98" spans="3:4" ht="19.5" customHeight="1" x14ac:dyDescent="0.25">
      <c r="C98"/>
      <c r="D98"/>
    </row>
    <row r="99" spans="3:4" ht="18.75" customHeight="1" x14ac:dyDescent="0.25">
      <c r="C99"/>
      <c r="D99"/>
    </row>
    <row r="100" spans="3:4" ht="18" customHeight="1" x14ac:dyDescent="0.25">
      <c r="C100"/>
      <c r="D100"/>
    </row>
    <row r="101" spans="3:4" ht="18" customHeight="1" x14ac:dyDescent="0.25">
      <c r="C101"/>
      <c r="D101"/>
    </row>
    <row r="102" spans="3:4" ht="18" customHeight="1" x14ac:dyDescent="0.25">
      <c r="C102"/>
      <c r="D102"/>
    </row>
    <row r="103" spans="3:4" ht="18" customHeight="1" x14ac:dyDescent="0.25">
      <c r="C103"/>
      <c r="D103"/>
    </row>
    <row r="104" spans="3:4" ht="18" customHeight="1" x14ac:dyDescent="0.25">
      <c r="C104"/>
      <c r="D104"/>
    </row>
    <row r="105" spans="3:4" ht="18" customHeight="1" x14ac:dyDescent="0.25">
      <c r="C105"/>
      <c r="D105"/>
    </row>
    <row r="106" spans="3:4" ht="18" customHeight="1" x14ac:dyDescent="0.25">
      <c r="C106"/>
      <c r="D106"/>
    </row>
    <row r="107" spans="3:4" ht="18" customHeight="1" x14ac:dyDescent="0.25">
      <c r="C107"/>
      <c r="D107"/>
    </row>
    <row r="108" spans="3:4" ht="18" customHeight="1" x14ac:dyDescent="0.25">
      <c r="C108"/>
      <c r="D108"/>
    </row>
    <row r="109" spans="3:4" ht="18" customHeight="1" x14ac:dyDescent="0.25">
      <c r="C109"/>
      <c r="D109"/>
    </row>
    <row r="110" spans="3:4" ht="18" customHeight="1" x14ac:dyDescent="0.25">
      <c r="C110"/>
      <c r="D110"/>
    </row>
    <row r="111" spans="3:4" ht="18" customHeight="1" x14ac:dyDescent="0.25">
      <c r="C111"/>
      <c r="D111"/>
    </row>
    <row r="112" spans="3:4" ht="18" customHeight="1" x14ac:dyDescent="0.25">
      <c r="C112"/>
      <c r="D112"/>
    </row>
    <row r="113" spans="3:4" ht="18" customHeight="1" x14ac:dyDescent="0.25">
      <c r="C113"/>
      <c r="D113"/>
    </row>
    <row r="114" spans="3:4" ht="18" customHeight="1" x14ac:dyDescent="0.25">
      <c r="C114"/>
      <c r="D114"/>
    </row>
    <row r="115" spans="3:4" ht="18" customHeight="1" x14ac:dyDescent="0.25">
      <c r="C115"/>
      <c r="D115"/>
    </row>
    <row r="116" spans="3:4" ht="18" customHeight="1" x14ac:dyDescent="0.25">
      <c r="C116"/>
      <c r="D116"/>
    </row>
    <row r="117" spans="3:4" ht="18" customHeight="1" x14ac:dyDescent="0.25">
      <c r="C117"/>
      <c r="D117"/>
    </row>
    <row r="118" spans="3:4" ht="18" customHeight="1" x14ac:dyDescent="0.25">
      <c r="C118"/>
      <c r="D118"/>
    </row>
    <row r="119" spans="3:4" ht="18" customHeight="1" x14ac:dyDescent="0.25">
      <c r="C119"/>
      <c r="D119"/>
    </row>
    <row r="120" spans="3:4" ht="18" customHeight="1" x14ac:dyDescent="0.25">
      <c r="C120"/>
      <c r="D120"/>
    </row>
    <row r="121" spans="3:4" ht="18" customHeight="1" x14ac:dyDescent="0.25">
      <c r="C121"/>
      <c r="D121"/>
    </row>
    <row r="122" spans="3:4" ht="18" customHeight="1" x14ac:dyDescent="0.25">
      <c r="C122"/>
      <c r="D122"/>
    </row>
    <row r="123" spans="3:4" ht="18" customHeight="1" x14ac:dyDescent="0.25"/>
    <row r="124" spans="3:4" ht="18" customHeight="1" x14ac:dyDescent="0.25"/>
    <row r="125" spans="3:4" ht="18" customHeight="1" x14ac:dyDescent="0.25"/>
    <row r="126" spans="3:4" ht="18.75" customHeight="1" x14ac:dyDescent="0.25"/>
    <row r="127" spans="3:4" ht="18.75" customHeight="1" x14ac:dyDescent="0.25"/>
    <row r="128" spans="3:4" ht="18.75" customHeight="1" x14ac:dyDescent="0.25"/>
    <row r="129" ht="18.75" customHeight="1" x14ac:dyDescent="0.25"/>
    <row r="130" ht="18.75" customHeight="1" x14ac:dyDescent="0.25"/>
    <row r="131" ht="18.75" customHeight="1" x14ac:dyDescent="0.25"/>
    <row r="132" ht="18.75" customHeight="1" x14ac:dyDescent="0.25"/>
    <row r="133" ht="18.75" customHeight="1" x14ac:dyDescent="0.25"/>
    <row r="134" ht="18.75" customHeight="1" x14ac:dyDescent="0.25"/>
    <row r="135" ht="18.75" customHeight="1" x14ac:dyDescent="0.25"/>
    <row r="136" ht="18.75" customHeight="1" x14ac:dyDescent="0.25"/>
    <row r="137" ht="18.75" customHeight="1" x14ac:dyDescent="0.25"/>
    <row r="138" ht="18.75" customHeight="1" x14ac:dyDescent="0.25"/>
    <row r="139" ht="18.75" customHeight="1" x14ac:dyDescent="0.25"/>
    <row r="140" ht="18.75" customHeight="1" x14ac:dyDescent="0.25"/>
    <row r="141" ht="18.75" customHeight="1" x14ac:dyDescent="0.25"/>
    <row r="142" ht="18.75" customHeight="1" x14ac:dyDescent="0.25"/>
    <row r="143" ht="18.75" customHeight="1" x14ac:dyDescent="0.25"/>
    <row r="144" ht="18.75" customHeight="1" x14ac:dyDescent="0.25"/>
    <row r="145" ht="18.75" customHeight="1" x14ac:dyDescent="0.25"/>
    <row r="146" ht="18.75" customHeight="1" x14ac:dyDescent="0.25"/>
    <row r="147" ht="18.75" customHeight="1" x14ac:dyDescent="0.25"/>
    <row r="151" ht="19.5" customHeight="1" x14ac:dyDescent="0.25"/>
    <row r="154" ht="16.5" customHeight="1" x14ac:dyDescent="0.25"/>
    <row r="163" ht="17.25" customHeight="1" x14ac:dyDescent="0.25"/>
    <row r="166" ht="19.5" customHeight="1" x14ac:dyDescent="0.25"/>
  </sheetData>
  <mergeCells count="118">
    <mergeCell ref="D57:D59"/>
    <mergeCell ref="A1:R1"/>
    <mergeCell ref="A3:R3"/>
    <mergeCell ref="A6:A8"/>
    <mergeCell ref="B6:B8"/>
    <mergeCell ref="C6:C8"/>
    <mergeCell ref="D6:D8"/>
    <mergeCell ref="A15:A17"/>
    <mergeCell ref="B15:B17"/>
    <mergeCell ref="C15:C17"/>
    <mergeCell ref="D15:D17"/>
    <mergeCell ref="A18:A20"/>
    <mergeCell ref="B18:B20"/>
    <mergeCell ref="C18:C20"/>
    <mergeCell ref="D18:D20"/>
    <mergeCell ref="A9:A11"/>
    <mergeCell ref="B9:B11"/>
    <mergeCell ref="C9:C11"/>
    <mergeCell ref="D9:D11"/>
    <mergeCell ref="A12:A14"/>
    <mergeCell ref="B12:B14"/>
    <mergeCell ref="C12:C14"/>
    <mergeCell ref="D12:D14"/>
    <mergeCell ref="A27:A29"/>
    <mergeCell ref="B27:B29"/>
    <mergeCell ref="C27:C29"/>
    <mergeCell ref="D27:D29"/>
    <mergeCell ref="A30:A32"/>
    <mergeCell ref="B30:B32"/>
    <mergeCell ref="C30:C32"/>
    <mergeCell ref="D30:D32"/>
    <mergeCell ref="A21:A23"/>
    <mergeCell ref="B21:B23"/>
    <mergeCell ref="C21:C23"/>
    <mergeCell ref="D21:D23"/>
    <mergeCell ref="A24:A26"/>
    <mergeCell ref="B24:B26"/>
    <mergeCell ref="C24:C26"/>
    <mergeCell ref="D24:D26"/>
    <mergeCell ref="A39:A41"/>
    <mergeCell ref="B39:B41"/>
    <mergeCell ref="C39:C41"/>
    <mergeCell ref="D39:D41"/>
    <mergeCell ref="A42:A44"/>
    <mergeCell ref="B42:B44"/>
    <mergeCell ref="C42:C44"/>
    <mergeCell ref="D42:D44"/>
    <mergeCell ref="A33:A35"/>
    <mergeCell ref="B33:B35"/>
    <mergeCell ref="C33:C35"/>
    <mergeCell ref="D33:D35"/>
    <mergeCell ref="A36:A38"/>
    <mergeCell ref="B36:B38"/>
    <mergeCell ref="C36:C38"/>
    <mergeCell ref="D36:D38"/>
    <mergeCell ref="D51:D53"/>
    <mergeCell ref="A54:A56"/>
    <mergeCell ref="B54:B56"/>
    <mergeCell ref="C54:C56"/>
    <mergeCell ref="D54:D56"/>
    <mergeCell ref="A45:A47"/>
    <mergeCell ref="B45:B47"/>
    <mergeCell ref="C45:C47"/>
    <mergeCell ref="D45:D47"/>
    <mergeCell ref="A48:A50"/>
    <mergeCell ref="B48:B50"/>
    <mergeCell ref="C48:C50"/>
    <mergeCell ref="D48:D50"/>
    <mergeCell ref="A57:A59"/>
    <mergeCell ref="B57:B59"/>
    <mergeCell ref="C57:C59"/>
    <mergeCell ref="A60:A62"/>
    <mergeCell ref="B60:B62"/>
    <mergeCell ref="C60:C62"/>
    <mergeCell ref="A51:A53"/>
    <mergeCell ref="B51:B53"/>
    <mergeCell ref="C51:C53"/>
    <mergeCell ref="D60:D62"/>
    <mergeCell ref="A63:A65"/>
    <mergeCell ref="B63:B65"/>
    <mergeCell ref="C63:C65"/>
    <mergeCell ref="D63:D65"/>
    <mergeCell ref="A66:A68"/>
    <mergeCell ref="B66:B68"/>
    <mergeCell ref="C66:C68"/>
    <mergeCell ref="D66:D68"/>
    <mergeCell ref="A75:A77"/>
    <mergeCell ref="B75:B77"/>
    <mergeCell ref="C75:C77"/>
    <mergeCell ref="D75:D77"/>
    <mergeCell ref="A78:A80"/>
    <mergeCell ref="B78:B80"/>
    <mergeCell ref="C78:C80"/>
    <mergeCell ref="D78:D80"/>
    <mergeCell ref="A69:A71"/>
    <mergeCell ref="B69:B71"/>
    <mergeCell ref="C69:C71"/>
    <mergeCell ref="D69:D71"/>
    <mergeCell ref="A72:A74"/>
    <mergeCell ref="B72:B74"/>
    <mergeCell ref="C72:C74"/>
    <mergeCell ref="D72:D74"/>
    <mergeCell ref="A87:A89"/>
    <mergeCell ref="B87:B89"/>
    <mergeCell ref="C87:C89"/>
    <mergeCell ref="D87:D89"/>
    <mergeCell ref="A90:A92"/>
    <mergeCell ref="B90:B92"/>
    <mergeCell ref="C90:C92"/>
    <mergeCell ref="D90:D92"/>
    <mergeCell ref="A81:A83"/>
    <mergeCell ref="B81:B83"/>
    <mergeCell ref="C81:C83"/>
    <mergeCell ref="D81:D83"/>
    <mergeCell ref="A84:A86"/>
    <mergeCell ref="B84:B86"/>
    <mergeCell ref="C84:C86"/>
    <mergeCell ref="D84:D86"/>
  </mergeCells>
  <pageMargins left="0.7" right="0.7" top="0.75" bottom="0.75" header="0.3" footer="0.3"/>
  <pageSetup paperSize="9" scale="80" orientation="landscape" verticalDpi="4294967295" r:id="rId1"/>
  <rowBreaks count="3" manualBreakCount="3">
    <brk id="26" max="16383" man="1"/>
    <brk id="50" max="17" man="1"/>
    <brk id="74" max="17" man="1"/>
  </rowBreaks>
  <ignoredErrors>
    <ignoredError sqref="O8:O92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8"/>
  <sheetViews>
    <sheetView zoomScaleNormal="100" workbookViewId="0">
      <selection activeCell="B4" sqref="B4:B39"/>
    </sheetView>
  </sheetViews>
  <sheetFormatPr defaultRowHeight="15" x14ac:dyDescent="0.25"/>
  <cols>
    <col min="1" max="1" width="6.7109375" style="10" customWidth="1"/>
    <col min="2" max="2" width="35.140625" bestFit="1" customWidth="1"/>
    <col min="3" max="3" width="4.7109375" customWidth="1"/>
    <col min="4" max="4" width="4.140625" customWidth="1"/>
    <col min="5" max="12" width="7.7109375" customWidth="1"/>
    <col min="13" max="13" width="9" style="10" customWidth="1"/>
    <col min="14" max="17" width="7.7109375" style="10" customWidth="1"/>
  </cols>
  <sheetData>
    <row r="1" spans="1:17" ht="20.25" x14ac:dyDescent="0.25">
      <c r="A1" s="222" t="s">
        <v>62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4"/>
    </row>
    <row r="2" spans="1:17" ht="15.75" thickBot="1" x14ac:dyDescent="0.3">
      <c r="A2" s="225" t="s">
        <v>47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</row>
    <row r="3" spans="1:17" ht="67.5" customHeight="1" thickBot="1" x14ac:dyDescent="0.3">
      <c r="A3" s="13" t="s">
        <v>24</v>
      </c>
      <c r="B3" s="14" t="s">
        <v>1</v>
      </c>
      <c r="C3" s="15" t="s">
        <v>2</v>
      </c>
      <c r="D3" s="14" t="s">
        <v>3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13</v>
      </c>
      <c r="K3" s="19" t="s">
        <v>68</v>
      </c>
      <c r="L3" s="19" t="s">
        <v>15</v>
      </c>
      <c r="M3" s="17" t="s">
        <v>16</v>
      </c>
      <c r="N3" s="17" t="s">
        <v>17</v>
      </c>
      <c r="O3" s="17" t="s">
        <v>18</v>
      </c>
      <c r="P3" s="67" t="s">
        <v>19</v>
      </c>
      <c r="Q3"/>
    </row>
    <row r="4" spans="1:17" ht="20.100000000000001" customHeight="1" x14ac:dyDescent="0.25">
      <c r="A4" s="154">
        <v>1</v>
      </c>
      <c r="B4" s="141"/>
      <c r="C4" s="145">
        <v>16</v>
      </c>
      <c r="D4" s="145" t="s">
        <v>20</v>
      </c>
      <c r="E4" s="100">
        <v>61</v>
      </c>
      <c r="F4" s="22">
        <v>54</v>
      </c>
      <c r="G4" s="22">
        <v>66</v>
      </c>
      <c r="H4" s="22">
        <v>52</v>
      </c>
      <c r="I4" s="22">
        <v>62</v>
      </c>
      <c r="J4" s="22">
        <v>85</v>
      </c>
      <c r="K4" s="22">
        <v>66</v>
      </c>
      <c r="L4" s="11">
        <f>SUM(E4:K4)</f>
        <v>446</v>
      </c>
      <c r="M4" s="25">
        <f>AVERAGE(E4:K4)</f>
        <v>63.714285714285715</v>
      </c>
      <c r="N4" s="11">
        <f>RANK(M4,$M$4:$M$32)</f>
        <v>28</v>
      </c>
      <c r="O4" s="11"/>
      <c r="P4" s="11"/>
      <c r="Q4"/>
    </row>
    <row r="5" spans="1:17" ht="20.100000000000001" customHeight="1" x14ac:dyDescent="0.25">
      <c r="A5" s="155">
        <v>2</v>
      </c>
      <c r="B5" s="141"/>
      <c r="C5" s="145">
        <v>18</v>
      </c>
      <c r="D5" s="145" t="s">
        <v>20</v>
      </c>
      <c r="E5" s="100">
        <v>86</v>
      </c>
      <c r="F5" s="22">
        <v>80</v>
      </c>
      <c r="G5" s="22">
        <v>90</v>
      </c>
      <c r="H5" s="22">
        <v>88</v>
      </c>
      <c r="I5" s="22">
        <v>97</v>
      </c>
      <c r="J5" s="22">
        <v>98</v>
      </c>
      <c r="K5" s="22">
        <v>91</v>
      </c>
      <c r="L5" s="11">
        <f t="shared" ref="L5:L32" si="0">SUM(E5:K5)</f>
        <v>630</v>
      </c>
      <c r="M5" s="25">
        <f t="shared" ref="M5:M32" si="1">AVERAGE(E5:K5)</f>
        <v>90</v>
      </c>
      <c r="N5" s="11">
        <f t="shared" ref="N5:N32" si="2">RANK(M5,$M$4:$M$32)</f>
        <v>5</v>
      </c>
      <c r="O5" s="11"/>
      <c r="P5" s="11"/>
      <c r="Q5"/>
    </row>
    <row r="6" spans="1:17" ht="20.100000000000001" customHeight="1" x14ac:dyDescent="0.25">
      <c r="A6" s="156">
        <v>3</v>
      </c>
      <c r="B6" s="141"/>
      <c r="C6" s="145">
        <v>18</v>
      </c>
      <c r="D6" s="145" t="s">
        <v>20</v>
      </c>
      <c r="E6" s="100">
        <v>71</v>
      </c>
      <c r="F6" s="22">
        <v>58</v>
      </c>
      <c r="G6" s="22">
        <v>67</v>
      </c>
      <c r="H6" s="22">
        <v>58</v>
      </c>
      <c r="I6" s="22">
        <v>73</v>
      </c>
      <c r="J6" s="22">
        <v>86</v>
      </c>
      <c r="K6" s="22">
        <v>66</v>
      </c>
      <c r="L6" s="11">
        <f t="shared" si="0"/>
        <v>479</v>
      </c>
      <c r="M6" s="25">
        <f t="shared" si="1"/>
        <v>68.428571428571431</v>
      </c>
      <c r="N6" s="11">
        <f t="shared" si="2"/>
        <v>24</v>
      </c>
      <c r="O6" s="11"/>
      <c r="P6" s="11"/>
      <c r="Q6"/>
    </row>
    <row r="7" spans="1:17" ht="20.100000000000001" customHeight="1" x14ac:dyDescent="0.25">
      <c r="A7" s="155">
        <v>4</v>
      </c>
      <c r="B7" s="141"/>
      <c r="C7" s="145">
        <v>18</v>
      </c>
      <c r="D7" s="145" t="s">
        <v>20</v>
      </c>
      <c r="E7" s="100">
        <v>86</v>
      </c>
      <c r="F7" s="22">
        <v>63</v>
      </c>
      <c r="G7" s="22">
        <v>73</v>
      </c>
      <c r="H7" s="22">
        <v>67</v>
      </c>
      <c r="I7" s="22">
        <v>83</v>
      </c>
      <c r="J7" s="22">
        <v>94</v>
      </c>
      <c r="K7" s="22">
        <v>90</v>
      </c>
      <c r="L7" s="11">
        <f t="shared" si="0"/>
        <v>556</v>
      </c>
      <c r="M7" s="25">
        <f t="shared" si="1"/>
        <v>79.428571428571431</v>
      </c>
      <c r="N7" s="11">
        <f t="shared" si="2"/>
        <v>17</v>
      </c>
      <c r="O7" s="11"/>
      <c r="P7" s="11"/>
      <c r="Q7"/>
    </row>
    <row r="8" spans="1:17" ht="20.100000000000001" customHeight="1" x14ac:dyDescent="0.25">
      <c r="A8" s="155">
        <v>5</v>
      </c>
      <c r="B8" s="141"/>
      <c r="C8" s="145">
        <v>17</v>
      </c>
      <c r="D8" s="145" t="s">
        <v>20</v>
      </c>
      <c r="E8" s="100">
        <v>92</v>
      </c>
      <c r="F8" s="22">
        <v>70</v>
      </c>
      <c r="G8" s="22">
        <v>76</v>
      </c>
      <c r="H8" s="22">
        <v>74</v>
      </c>
      <c r="I8" s="22">
        <v>83</v>
      </c>
      <c r="J8" s="22">
        <v>91</v>
      </c>
      <c r="K8" s="22">
        <v>87</v>
      </c>
      <c r="L8" s="11">
        <f t="shared" si="0"/>
        <v>573</v>
      </c>
      <c r="M8" s="25">
        <f t="shared" si="1"/>
        <v>81.857142857142861</v>
      </c>
      <c r="N8" s="11">
        <f t="shared" si="2"/>
        <v>11</v>
      </c>
      <c r="O8" s="11"/>
      <c r="P8" s="11"/>
      <c r="Q8"/>
    </row>
    <row r="9" spans="1:17" ht="20.100000000000001" customHeight="1" x14ac:dyDescent="0.25">
      <c r="A9" s="156">
        <v>6</v>
      </c>
      <c r="B9" s="141"/>
      <c r="C9" s="145">
        <v>17</v>
      </c>
      <c r="D9" s="145" t="s">
        <v>23</v>
      </c>
      <c r="E9" s="100">
        <v>90</v>
      </c>
      <c r="F9" s="22">
        <v>66</v>
      </c>
      <c r="G9" s="22">
        <v>76</v>
      </c>
      <c r="H9" s="22">
        <v>82</v>
      </c>
      <c r="I9" s="22">
        <v>88</v>
      </c>
      <c r="J9" s="22">
        <v>95</v>
      </c>
      <c r="K9" s="22">
        <v>92</v>
      </c>
      <c r="L9" s="11">
        <f t="shared" si="0"/>
        <v>589</v>
      </c>
      <c r="M9" s="25">
        <f t="shared" si="1"/>
        <v>84.142857142857139</v>
      </c>
      <c r="N9" s="11">
        <f t="shared" si="2"/>
        <v>8</v>
      </c>
      <c r="O9" s="11"/>
      <c r="P9" s="11"/>
      <c r="Q9"/>
    </row>
    <row r="10" spans="1:17" ht="20.100000000000001" customHeight="1" x14ac:dyDescent="0.25">
      <c r="A10" s="155">
        <v>7</v>
      </c>
      <c r="B10" s="141"/>
      <c r="C10" s="145">
        <v>18</v>
      </c>
      <c r="D10" s="145" t="s">
        <v>23</v>
      </c>
      <c r="E10" s="100">
        <v>87</v>
      </c>
      <c r="F10" s="22">
        <v>66</v>
      </c>
      <c r="G10" s="22">
        <v>76</v>
      </c>
      <c r="H10" s="22">
        <v>75</v>
      </c>
      <c r="I10" s="22">
        <v>90</v>
      </c>
      <c r="J10" s="22">
        <v>89</v>
      </c>
      <c r="K10" s="22">
        <v>88</v>
      </c>
      <c r="L10" s="11">
        <f t="shared" si="0"/>
        <v>571</v>
      </c>
      <c r="M10" s="25">
        <f t="shared" si="1"/>
        <v>81.571428571428569</v>
      </c>
      <c r="N10" s="11">
        <f t="shared" si="2"/>
        <v>13</v>
      </c>
      <c r="O10" s="11"/>
      <c r="P10" s="11"/>
      <c r="Q10"/>
    </row>
    <row r="11" spans="1:17" ht="20.100000000000001" customHeight="1" x14ac:dyDescent="0.25">
      <c r="A11" s="155">
        <v>8</v>
      </c>
      <c r="B11" s="141"/>
      <c r="C11" s="145">
        <v>18</v>
      </c>
      <c r="D11" s="145" t="s">
        <v>20</v>
      </c>
      <c r="E11" s="100">
        <v>72</v>
      </c>
      <c r="F11" s="22">
        <v>80</v>
      </c>
      <c r="G11" s="22">
        <v>76</v>
      </c>
      <c r="H11" s="22">
        <v>78</v>
      </c>
      <c r="I11" s="22">
        <v>91</v>
      </c>
      <c r="J11" s="22">
        <v>96</v>
      </c>
      <c r="K11" s="22">
        <v>92</v>
      </c>
      <c r="L11" s="11">
        <f t="shared" si="0"/>
        <v>585</v>
      </c>
      <c r="M11" s="25">
        <f t="shared" si="1"/>
        <v>83.571428571428569</v>
      </c>
      <c r="N11" s="11">
        <f t="shared" si="2"/>
        <v>9</v>
      </c>
      <c r="O11" s="11"/>
      <c r="P11" s="11"/>
      <c r="Q11"/>
    </row>
    <row r="12" spans="1:17" ht="20.100000000000001" customHeight="1" x14ac:dyDescent="0.25">
      <c r="A12" s="156">
        <v>9</v>
      </c>
      <c r="B12" s="141"/>
      <c r="C12" s="145">
        <v>18</v>
      </c>
      <c r="D12" s="145" t="s">
        <v>23</v>
      </c>
      <c r="E12" s="100">
        <v>86</v>
      </c>
      <c r="F12" s="22">
        <v>79</v>
      </c>
      <c r="G12" s="22">
        <v>85</v>
      </c>
      <c r="H12" s="22">
        <v>86</v>
      </c>
      <c r="I12" s="22">
        <v>90</v>
      </c>
      <c r="J12" s="22">
        <v>94</v>
      </c>
      <c r="K12" s="22">
        <v>80</v>
      </c>
      <c r="L12" s="11">
        <f t="shared" si="0"/>
        <v>600</v>
      </c>
      <c r="M12" s="25">
        <f t="shared" si="1"/>
        <v>85.714285714285708</v>
      </c>
      <c r="N12" s="11">
        <f t="shared" si="2"/>
        <v>7</v>
      </c>
      <c r="O12" s="11"/>
      <c r="P12" s="11"/>
      <c r="Q12"/>
    </row>
    <row r="13" spans="1:17" ht="20.100000000000001" customHeight="1" x14ac:dyDescent="0.25">
      <c r="A13" s="155">
        <v>10</v>
      </c>
      <c r="B13" s="141"/>
      <c r="C13" s="145">
        <v>17</v>
      </c>
      <c r="D13" s="145" t="s">
        <v>20</v>
      </c>
      <c r="E13" s="100">
        <v>76</v>
      </c>
      <c r="F13" s="22">
        <v>73</v>
      </c>
      <c r="G13" s="22">
        <v>82</v>
      </c>
      <c r="H13" s="22">
        <v>65</v>
      </c>
      <c r="I13" s="22">
        <v>73</v>
      </c>
      <c r="J13" s="22">
        <v>95</v>
      </c>
      <c r="K13" s="22">
        <v>81</v>
      </c>
      <c r="L13" s="11">
        <f t="shared" si="0"/>
        <v>545</v>
      </c>
      <c r="M13" s="25">
        <f t="shared" si="1"/>
        <v>77.857142857142861</v>
      </c>
      <c r="N13" s="11">
        <f t="shared" si="2"/>
        <v>19</v>
      </c>
      <c r="O13" s="11"/>
      <c r="P13" s="11"/>
      <c r="Q13"/>
    </row>
    <row r="14" spans="1:17" ht="20.100000000000001" customHeight="1" x14ac:dyDescent="0.25">
      <c r="A14" s="156">
        <v>11</v>
      </c>
      <c r="B14" s="141"/>
      <c r="C14" s="145">
        <v>18</v>
      </c>
      <c r="D14" s="145" t="s">
        <v>23</v>
      </c>
      <c r="E14" s="100">
        <v>71</v>
      </c>
      <c r="F14" s="22">
        <v>77</v>
      </c>
      <c r="G14" s="22">
        <v>72</v>
      </c>
      <c r="H14" s="22">
        <v>68</v>
      </c>
      <c r="I14" s="22">
        <v>79</v>
      </c>
      <c r="J14" s="22">
        <v>81</v>
      </c>
      <c r="K14" s="22">
        <v>79</v>
      </c>
      <c r="L14" s="11">
        <f t="shared" si="0"/>
        <v>527</v>
      </c>
      <c r="M14" s="25">
        <f t="shared" si="1"/>
        <v>75.285714285714292</v>
      </c>
      <c r="N14" s="11">
        <f t="shared" si="2"/>
        <v>22</v>
      </c>
      <c r="O14" s="11"/>
      <c r="P14" s="11"/>
      <c r="Q14"/>
    </row>
    <row r="15" spans="1:17" ht="20.100000000000001" customHeight="1" x14ac:dyDescent="0.25">
      <c r="A15" s="156">
        <v>12</v>
      </c>
      <c r="B15" s="141"/>
      <c r="C15" s="145">
        <v>17</v>
      </c>
      <c r="D15" s="145" t="s">
        <v>20</v>
      </c>
      <c r="E15" s="100">
        <v>85</v>
      </c>
      <c r="F15" s="22">
        <v>92</v>
      </c>
      <c r="G15" s="22">
        <v>94</v>
      </c>
      <c r="H15" s="22">
        <v>83</v>
      </c>
      <c r="I15" s="22">
        <v>91</v>
      </c>
      <c r="J15" s="22">
        <v>95</v>
      </c>
      <c r="K15" s="22">
        <v>93</v>
      </c>
      <c r="L15" s="11">
        <f t="shared" si="0"/>
        <v>633</v>
      </c>
      <c r="M15" s="25">
        <f t="shared" si="1"/>
        <v>90.428571428571431</v>
      </c>
      <c r="N15" s="11">
        <f t="shared" si="2"/>
        <v>4</v>
      </c>
      <c r="O15" s="11"/>
      <c r="P15" s="11"/>
      <c r="Q15"/>
    </row>
    <row r="16" spans="1:17" ht="20.100000000000001" customHeight="1" x14ac:dyDescent="0.25">
      <c r="A16" s="156">
        <v>13</v>
      </c>
      <c r="B16" s="141"/>
      <c r="C16" s="145">
        <v>18</v>
      </c>
      <c r="D16" s="145" t="s">
        <v>23</v>
      </c>
      <c r="E16" s="100">
        <v>83</v>
      </c>
      <c r="F16" s="22">
        <v>70</v>
      </c>
      <c r="G16" s="22">
        <v>77</v>
      </c>
      <c r="H16" s="22">
        <v>70</v>
      </c>
      <c r="I16" s="22">
        <v>87</v>
      </c>
      <c r="J16" s="22">
        <v>92</v>
      </c>
      <c r="K16" s="22">
        <v>82</v>
      </c>
      <c r="L16" s="11">
        <f t="shared" si="0"/>
        <v>561</v>
      </c>
      <c r="M16" s="25">
        <f t="shared" si="1"/>
        <v>80.142857142857139</v>
      </c>
      <c r="N16" s="11">
        <f t="shared" si="2"/>
        <v>15</v>
      </c>
      <c r="O16" s="11"/>
      <c r="P16" s="11"/>
      <c r="Q16"/>
    </row>
    <row r="17" spans="1:17" ht="20.100000000000001" customHeight="1" x14ac:dyDescent="0.25">
      <c r="A17" s="155">
        <v>14</v>
      </c>
      <c r="B17" s="141"/>
      <c r="C17" s="145">
        <v>17</v>
      </c>
      <c r="D17" s="145" t="s">
        <v>23</v>
      </c>
      <c r="E17" s="100">
        <v>66</v>
      </c>
      <c r="F17" s="22">
        <v>46</v>
      </c>
      <c r="G17" s="22">
        <v>69</v>
      </c>
      <c r="H17" s="22">
        <v>59</v>
      </c>
      <c r="I17" s="22">
        <v>71</v>
      </c>
      <c r="J17" s="22">
        <v>78</v>
      </c>
      <c r="K17" s="22">
        <v>80</v>
      </c>
      <c r="L17" s="11">
        <f t="shared" si="0"/>
        <v>469</v>
      </c>
      <c r="M17" s="25">
        <f t="shared" si="1"/>
        <v>67</v>
      </c>
      <c r="N17" s="11">
        <f t="shared" si="2"/>
        <v>26</v>
      </c>
      <c r="O17" s="11"/>
      <c r="P17" s="11"/>
      <c r="Q17"/>
    </row>
    <row r="18" spans="1:17" ht="20.100000000000001" customHeight="1" x14ac:dyDescent="0.25">
      <c r="A18" s="156">
        <v>15</v>
      </c>
      <c r="B18" s="141"/>
      <c r="C18" s="145">
        <v>17</v>
      </c>
      <c r="D18" s="145" t="s">
        <v>20</v>
      </c>
      <c r="E18" s="100">
        <v>87</v>
      </c>
      <c r="F18" s="22">
        <v>75</v>
      </c>
      <c r="G18" s="23">
        <v>73</v>
      </c>
      <c r="H18" s="22">
        <v>74</v>
      </c>
      <c r="I18" s="22">
        <v>90</v>
      </c>
      <c r="J18" s="22">
        <v>97</v>
      </c>
      <c r="K18" s="22">
        <v>88</v>
      </c>
      <c r="L18" s="11">
        <f t="shared" si="0"/>
        <v>584</v>
      </c>
      <c r="M18" s="25">
        <f t="shared" si="1"/>
        <v>83.428571428571431</v>
      </c>
      <c r="N18" s="11">
        <f t="shared" si="2"/>
        <v>10</v>
      </c>
      <c r="O18" s="11"/>
      <c r="P18" s="11"/>
      <c r="Q18"/>
    </row>
    <row r="19" spans="1:17" ht="20.100000000000001" customHeight="1" x14ac:dyDescent="0.25">
      <c r="A19" s="155">
        <v>16</v>
      </c>
      <c r="B19" s="141"/>
      <c r="C19" s="145">
        <v>17</v>
      </c>
      <c r="D19" s="145" t="s">
        <v>23</v>
      </c>
      <c r="E19" s="100">
        <v>80</v>
      </c>
      <c r="F19" s="22">
        <v>68</v>
      </c>
      <c r="G19" s="22">
        <v>74</v>
      </c>
      <c r="H19" s="22">
        <v>72</v>
      </c>
      <c r="I19" s="22">
        <v>86</v>
      </c>
      <c r="J19" s="22">
        <v>87</v>
      </c>
      <c r="K19" s="22">
        <v>92</v>
      </c>
      <c r="L19" s="11">
        <f t="shared" si="0"/>
        <v>559</v>
      </c>
      <c r="M19" s="25">
        <f t="shared" si="1"/>
        <v>79.857142857142861</v>
      </c>
      <c r="N19" s="11">
        <f t="shared" si="2"/>
        <v>16</v>
      </c>
      <c r="O19" s="11"/>
      <c r="P19" s="11"/>
      <c r="Q19"/>
    </row>
    <row r="20" spans="1:17" ht="20.100000000000001" customHeight="1" x14ac:dyDescent="0.25">
      <c r="A20" s="155">
        <v>17</v>
      </c>
      <c r="B20" s="141"/>
      <c r="C20" s="145">
        <v>17</v>
      </c>
      <c r="D20" s="145" t="s">
        <v>20</v>
      </c>
      <c r="E20" s="100">
        <v>62</v>
      </c>
      <c r="F20" s="22">
        <v>45</v>
      </c>
      <c r="G20" s="22">
        <v>70</v>
      </c>
      <c r="H20" s="22">
        <v>60</v>
      </c>
      <c r="I20" s="22">
        <v>70</v>
      </c>
      <c r="J20" s="22">
        <v>75</v>
      </c>
      <c r="K20" s="22">
        <v>73</v>
      </c>
      <c r="L20" s="11">
        <f t="shared" si="0"/>
        <v>455</v>
      </c>
      <c r="M20" s="25">
        <f t="shared" si="1"/>
        <v>65</v>
      </c>
      <c r="N20" s="11">
        <f t="shared" si="2"/>
        <v>27</v>
      </c>
      <c r="O20" s="11"/>
      <c r="P20" s="11"/>
      <c r="Q20"/>
    </row>
    <row r="21" spans="1:17" ht="20.100000000000001" customHeight="1" x14ac:dyDescent="0.25">
      <c r="A21" s="155">
        <v>18</v>
      </c>
      <c r="B21" s="141"/>
      <c r="C21" s="145">
        <v>17</v>
      </c>
      <c r="D21" s="145" t="s">
        <v>23</v>
      </c>
      <c r="E21" s="100">
        <v>52</v>
      </c>
      <c r="F21" s="22">
        <v>64</v>
      </c>
      <c r="G21" s="23">
        <v>67</v>
      </c>
      <c r="H21" s="22">
        <v>69</v>
      </c>
      <c r="I21" s="22">
        <v>79</v>
      </c>
      <c r="J21" s="22">
        <v>87</v>
      </c>
      <c r="K21" s="22">
        <v>85</v>
      </c>
      <c r="L21" s="11">
        <f t="shared" si="0"/>
        <v>503</v>
      </c>
      <c r="M21" s="25">
        <f t="shared" si="1"/>
        <v>71.857142857142861</v>
      </c>
      <c r="N21" s="11">
        <f t="shared" si="2"/>
        <v>23</v>
      </c>
      <c r="O21" s="11"/>
      <c r="P21" s="11"/>
      <c r="Q21"/>
    </row>
    <row r="22" spans="1:17" ht="20.100000000000001" customHeight="1" x14ac:dyDescent="0.25">
      <c r="A22" s="156">
        <v>19</v>
      </c>
      <c r="B22" s="141"/>
      <c r="C22" s="145">
        <v>17</v>
      </c>
      <c r="D22" s="145" t="s">
        <v>20</v>
      </c>
      <c r="E22" s="100">
        <v>60</v>
      </c>
      <c r="F22" s="22">
        <v>65</v>
      </c>
      <c r="G22" s="22">
        <v>63</v>
      </c>
      <c r="H22" s="22">
        <v>59</v>
      </c>
      <c r="I22" s="22">
        <v>68</v>
      </c>
      <c r="J22" s="22">
        <v>84</v>
      </c>
      <c r="K22" s="22">
        <v>77</v>
      </c>
      <c r="L22" s="11">
        <f t="shared" si="0"/>
        <v>476</v>
      </c>
      <c r="M22" s="25">
        <f t="shared" si="1"/>
        <v>68</v>
      </c>
      <c r="N22" s="11">
        <f t="shared" si="2"/>
        <v>25</v>
      </c>
      <c r="O22" s="11"/>
      <c r="P22" s="11"/>
      <c r="Q22"/>
    </row>
    <row r="23" spans="1:17" ht="20.100000000000001" customHeight="1" x14ac:dyDescent="0.25">
      <c r="A23" s="156">
        <v>20</v>
      </c>
      <c r="B23" s="141"/>
      <c r="C23" s="145">
        <v>17</v>
      </c>
      <c r="D23" s="145" t="s">
        <v>20</v>
      </c>
      <c r="E23" s="100">
        <v>92</v>
      </c>
      <c r="F23" s="22">
        <v>66</v>
      </c>
      <c r="G23" s="22">
        <v>72</v>
      </c>
      <c r="H23" s="22">
        <v>67</v>
      </c>
      <c r="I23" s="22">
        <v>81</v>
      </c>
      <c r="J23" s="22">
        <v>91</v>
      </c>
      <c r="K23" s="22">
        <v>83</v>
      </c>
      <c r="L23" s="11">
        <f t="shared" si="0"/>
        <v>552</v>
      </c>
      <c r="M23" s="25">
        <f t="shared" si="1"/>
        <v>78.857142857142861</v>
      </c>
      <c r="N23" s="11">
        <f t="shared" si="2"/>
        <v>18</v>
      </c>
      <c r="O23" s="11"/>
      <c r="P23" s="11"/>
      <c r="Q23"/>
    </row>
    <row r="24" spans="1:17" ht="20.100000000000001" customHeight="1" x14ac:dyDescent="0.25">
      <c r="A24" s="156">
        <v>21</v>
      </c>
      <c r="B24" s="141"/>
      <c r="C24" s="145">
        <v>18</v>
      </c>
      <c r="D24" s="145" t="s">
        <v>20</v>
      </c>
      <c r="E24" s="100">
        <v>84</v>
      </c>
      <c r="F24" s="22">
        <v>72</v>
      </c>
      <c r="G24" s="22">
        <v>79</v>
      </c>
      <c r="H24" s="22">
        <v>72</v>
      </c>
      <c r="I24" s="22">
        <v>87</v>
      </c>
      <c r="J24" s="22">
        <v>89</v>
      </c>
      <c r="K24" s="22">
        <v>90</v>
      </c>
      <c r="L24" s="11">
        <f t="shared" si="0"/>
        <v>573</v>
      </c>
      <c r="M24" s="25">
        <f t="shared" si="1"/>
        <v>81.857142857142861</v>
      </c>
      <c r="N24" s="11">
        <f t="shared" si="2"/>
        <v>11</v>
      </c>
      <c r="O24" s="11"/>
      <c r="P24" s="11"/>
      <c r="Q24"/>
    </row>
    <row r="25" spans="1:17" ht="20.100000000000001" customHeight="1" x14ac:dyDescent="0.25">
      <c r="A25" s="155">
        <v>22</v>
      </c>
      <c r="B25" s="141"/>
      <c r="C25" s="145">
        <v>17</v>
      </c>
      <c r="D25" s="145" t="s">
        <v>23</v>
      </c>
      <c r="E25" s="100">
        <v>90</v>
      </c>
      <c r="F25" s="22">
        <v>71</v>
      </c>
      <c r="G25" s="22">
        <v>74</v>
      </c>
      <c r="H25" s="22">
        <v>66</v>
      </c>
      <c r="I25" s="22">
        <v>86</v>
      </c>
      <c r="J25" s="22">
        <v>93</v>
      </c>
      <c r="K25" s="22">
        <v>83</v>
      </c>
      <c r="L25" s="11">
        <f t="shared" si="0"/>
        <v>563</v>
      </c>
      <c r="M25" s="25">
        <f t="shared" si="1"/>
        <v>80.428571428571431</v>
      </c>
      <c r="N25" s="11">
        <f t="shared" si="2"/>
        <v>14</v>
      </c>
      <c r="O25" s="11"/>
      <c r="P25" s="11"/>
      <c r="Q25"/>
    </row>
    <row r="26" spans="1:17" ht="20.100000000000001" customHeight="1" x14ac:dyDescent="0.25">
      <c r="A26" s="155">
        <v>23</v>
      </c>
      <c r="B26" s="141"/>
      <c r="C26" s="145">
        <v>17</v>
      </c>
      <c r="D26" s="145" t="s">
        <v>23</v>
      </c>
      <c r="E26" s="100">
        <v>74</v>
      </c>
      <c r="F26" s="22">
        <v>67</v>
      </c>
      <c r="G26" s="22">
        <v>73</v>
      </c>
      <c r="H26" s="22">
        <v>72</v>
      </c>
      <c r="I26" s="22">
        <v>88</v>
      </c>
      <c r="J26" s="22">
        <v>81</v>
      </c>
      <c r="K26" s="22">
        <v>87</v>
      </c>
      <c r="L26" s="11">
        <f t="shared" si="0"/>
        <v>542</v>
      </c>
      <c r="M26" s="25">
        <f t="shared" si="1"/>
        <v>77.428571428571431</v>
      </c>
      <c r="N26" s="11">
        <f t="shared" si="2"/>
        <v>20</v>
      </c>
      <c r="O26" s="11"/>
      <c r="P26" s="11"/>
      <c r="Q26"/>
    </row>
    <row r="27" spans="1:17" ht="20.100000000000001" customHeight="1" x14ac:dyDescent="0.25">
      <c r="A27" s="156">
        <v>24</v>
      </c>
      <c r="B27" s="141"/>
      <c r="C27" s="145">
        <v>19</v>
      </c>
      <c r="D27" s="145" t="s">
        <v>20</v>
      </c>
      <c r="E27" s="100">
        <v>93</v>
      </c>
      <c r="F27" s="22">
        <v>98</v>
      </c>
      <c r="G27" s="23">
        <v>98</v>
      </c>
      <c r="H27" s="23">
        <v>97</v>
      </c>
      <c r="I27" s="22">
        <v>100</v>
      </c>
      <c r="J27" s="23">
        <v>100</v>
      </c>
      <c r="K27" s="22">
        <v>100</v>
      </c>
      <c r="L27" s="11">
        <f t="shared" si="0"/>
        <v>686</v>
      </c>
      <c r="M27" s="25">
        <f t="shared" si="1"/>
        <v>98</v>
      </c>
      <c r="N27" s="11">
        <f t="shared" si="2"/>
        <v>2</v>
      </c>
      <c r="O27" s="11"/>
      <c r="P27" s="11"/>
      <c r="Q27"/>
    </row>
    <row r="28" spans="1:17" ht="20.100000000000001" customHeight="1" x14ac:dyDescent="0.25">
      <c r="A28" s="155">
        <v>25</v>
      </c>
      <c r="B28" s="172"/>
      <c r="C28" s="150">
        <v>18</v>
      </c>
      <c r="D28" s="150" t="s">
        <v>23</v>
      </c>
      <c r="E28" s="100">
        <v>97</v>
      </c>
      <c r="F28" s="23">
        <v>100</v>
      </c>
      <c r="G28" s="23">
        <v>100</v>
      </c>
      <c r="H28" s="22">
        <v>95</v>
      </c>
      <c r="I28" s="23">
        <v>100</v>
      </c>
      <c r="J28" s="22">
        <v>100</v>
      </c>
      <c r="K28" s="22">
        <v>97</v>
      </c>
      <c r="L28" s="11">
        <f t="shared" si="0"/>
        <v>689</v>
      </c>
      <c r="M28" s="25">
        <f t="shared" si="1"/>
        <v>98.428571428571431</v>
      </c>
      <c r="N28" s="11">
        <f t="shared" si="2"/>
        <v>1</v>
      </c>
      <c r="O28" s="11"/>
      <c r="P28" s="11"/>
      <c r="Q28"/>
    </row>
    <row r="29" spans="1:17" ht="20.100000000000001" customHeight="1" x14ac:dyDescent="0.25">
      <c r="A29" s="156">
        <v>26</v>
      </c>
      <c r="B29" s="141"/>
      <c r="C29" s="145">
        <v>17</v>
      </c>
      <c r="D29" s="145" t="s">
        <v>23</v>
      </c>
      <c r="E29" s="100">
        <v>95</v>
      </c>
      <c r="F29" s="22">
        <v>82</v>
      </c>
      <c r="G29" s="22">
        <v>85</v>
      </c>
      <c r="H29" s="22">
        <v>83</v>
      </c>
      <c r="I29" s="22">
        <v>100</v>
      </c>
      <c r="J29" s="22">
        <v>98</v>
      </c>
      <c r="K29" s="22">
        <v>93</v>
      </c>
      <c r="L29" s="11">
        <f t="shared" si="0"/>
        <v>636</v>
      </c>
      <c r="M29" s="25">
        <f t="shared" si="1"/>
        <v>90.857142857142861</v>
      </c>
      <c r="N29" s="11">
        <f t="shared" si="2"/>
        <v>3</v>
      </c>
      <c r="O29" s="11"/>
      <c r="P29" s="11"/>
      <c r="Q29"/>
    </row>
    <row r="30" spans="1:17" ht="20.100000000000001" customHeight="1" x14ac:dyDescent="0.25">
      <c r="A30" s="156">
        <v>27</v>
      </c>
      <c r="B30" s="141"/>
      <c r="C30" s="145">
        <v>17</v>
      </c>
      <c r="D30" s="145" t="s">
        <v>23</v>
      </c>
      <c r="E30" s="100">
        <v>66</v>
      </c>
      <c r="F30" s="22">
        <v>72</v>
      </c>
      <c r="G30" s="23">
        <v>67</v>
      </c>
      <c r="H30" s="22">
        <v>74</v>
      </c>
      <c r="I30" s="22">
        <v>83</v>
      </c>
      <c r="J30" s="22">
        <v>89</v>
      </c>
      <c r="K30" s="22">
        <v>86</v>
      </c>
      <c r="L30" s="11">
        <f t="shared" si="0"/>
        <v>537</v>
      </c>
      <c r="M30" s="25">
        <f t="shared" si="1"/>
        <v>76.714285714285708</v>
      </c>
      <c r="N30" s="11">
        <f t="shared" si="2"/>
        <v>21</v>
      </c>
      <c r="O30" s="11"/>
      <c r="P30" s="11"/>
      <c r="Q30"/>
    </row>
    <row r="31" spans="1:17" ht="20.100000000000001" customHeight="1" x14ac:dyDescent="0.25">
      <c r="A31" s="156">
        <v>28</v>
      </c>
      <c r="B31" s="141"/>
      <c r="C31" s="145">
        <v>17</v>
      </c>
      <c r="D31" s="145" t="s">
        <v>23</v>
      </c>
      <c r="E31" s="100">
        <v>53</v>
      </c>
      <c r="F31" s="22">
        <v>42</v>
      </c>
      <c r="G31" s="22">
        <v>60</v>
      </c>
      <c r="H31" s="22">
        <v>52</v>
      </c>
      <c r="I31" s="22">
        <v>67</v>
      </c>
      <c r="J31" s="22">
        <v>78</v>
      </c>
      <c r="K31" s="22">
        <v>67</v>
      </c>
      <c r="L31" s="11">
        <f t="shared" si="0"/>
        <v>419</v>
      </c>
      <c r="M31" s="25">
        <f t="shared" si="1"/>
        <v>59.857142857142854</v>
      </c>
      <c r="N31" s="11">
        <f t="shared" si="2"/>
        <v>29</v>
      </c>
      <c r="O31" s="11"/>
      <c r="P31" s="11"/>
      <c r="Q31"/>
    </row>
    <row r="32" spans="1:17" ht="20.100000000000001" customHeight="1" x14ac:dyDescent="0.25">
      <c r="A32" s="155">
        <v>29</v>
      </c>
      <c r="B32" s="141"/>
      <c r="C32" s="145">
        <v>17</v>
      </c>
      <c r="D32" s="145" t="s">
        <v>20</v>
      </c>
      <c r="E32" s="100">
        <v>80</v>
      </c>
      <c r="F32" s="22">
        <v>90</v>
      </c>
      <c r="G32" s="22">
        <v>84</v>
      </c>
      <c r="H32" s="22">
        <v>85</v>
      </c>
      <c r="I32" s="22">
        <v>95</v>
      </c>
      <c r="J32" s="22">
        <v>95</v>
      </c>
      <c r="K32" s="22">
        <v>90</v>
      </c>
      <c r="L32" s="11">
        <f t="shared" si="0"/>
        <v>619</v>
      </c>
      <c r="M32" s="25">
        <f t="shared" si="1"/>
        <v>88.428571428571431</v>
      </c>
      <c r="N32" s="11">
        <f t="shared" si="2"/>
        <v>6</v>
      </c>
      <c r="O32" s="11"/>
      <c r="P32" s="11"/>
      <c r="Q32"/>
    </row>
    <row r="33" spans="1:17" ht="20.100000000000001" customHeight="1" x14ac:dyDescent="0.25">
      <c r="A33" s="156">
        <v>30</v>
      </c>
      <c r="B33" s="141"/>
      <c r="C33" s="145"/>
      <c r="D33" s="145"/>
      <c r="E33" s="100"/>
      <c r="F33" s="23"/>
      <c r="G33" s="23"/>
      <c r="H33" s="23"/>
      <c r="I33" s="22"/>
      <c r="J33" s="22"/>
      <c r="K33" s="22"/>
      <c r="L33" s="11"/>
      <c r="M33" s="25"/>
      <c r="N33" s="11"/>
      <c r="O33" s="11"/>
      <c r="P33" s="11"/>
      <c r="Q33"/>
    </row>
    <row r="34" spans="1:17" ht="20.100000000000001" customHeight="1" x14ac:dyDescent="0.25">
      <c r="A34" s="155">
        <v>31</v>
      </c>
      <c r="B34" s="142"/>
      <c r="C34" s="148"/>
      <c r="D34" s="148"/>
      <c r="E34" s="100"/>
      <c r="F34" s="22"/>
      <c r="G34" s="23"/>
      <c r="H34" s="22"/>
      <c r="I34" s="22"/>
      <c r="J34" s="22"/>
      <c r="K34" s="22"/>
      <c r="L34" s="11"/>
      <c r="M34" s="25"/>
      <c r="N34" s="11"/>
      <c r="O34" s="11"/>
      <c r="P34" s="11"/>
      <c r="Q34"/>
    </row>
    <row r="35" spans="1:17" ht="20.100000000000001" customHeight="1" x14ac:dyDescent="0.25">
      <c r="A35" s="156">
        <v>32</v>
      </c>
      <c r="B35" s="141"/>
      <c r="C35" s="145"/>
      <c r="D35" s="145"/>
      <c r="E35" s="45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/>
    </row>
    <row r="36" spans="1:17" ht="20.100000000000001" customHeight="1" x14ac:dyDescent="0.25">
      <c r="A36" s="155">
        <v>33</v>
      </c>
      <c r="B36" s="141"/>
      <c r="C36" s="145"/>
      <c r="D36" s="145"/>
      <c r="E36" s="45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/>
    </row>
    <row r="37" spans="1:17" ht="20.100000000000001" customHeight="1" x14ac:dyDescent="0.25">
      <c r="A37" s="156">
        <v>34</v>
      </c>
      <c r="B37" s="172"/>
      <c r="C37" s="150"/>
      <c r="D37" s="150"/>
      <c r="E37" s="45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/>
    </row>
    <row r="38" spans="1:17" ht="20.100000000000001" customHeight="1" x14ac:dyDescent="0.25">
      <c r="A38" s="155">
        <v>35</v>
      </c>
      <c r="B38" s="141"/>
      <c r="C38" s="145"/>
      <c r="D38" s="145"/>
      <c r="E38" s="45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/>
    </row>
    <row r="39" spans="1:17" ht="20.100000000000001" customHeight="1" x14ac:dyDescent="0.25">
      <c r="A39" s="156">
        <v>36</v>
      </c>
      <c r="B39" s="141"/>
      <c r="C39" s="145"/>
      <c r="D39" s="145"/>
      <c r="E39" s="45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/>
    </row>
    <row r="40" spans="1:17" ht="20.100000000000001" customHeight="1" x14ac:dyDescent="0.25">
      <c r="A40" s="155">
        <v>37</v>
      </c>
      <c r="B40" s="141"/>
      <c r="C40" s="145"/>
      <c r="D40" s="145"/>
      <c r="E40" s="45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/>
    </row>
    <row r="41" spans="1:17" ht="20.100000000000001" customHeight="1" x14ac:dyDescent="0.25">
      <c r="A41" s="156">
        <v>38</v>
      </c>
      <c r="B41" s="141"/>
      <c r="C41" s="145"/>
      <c r="D41" s="145"/>
      <c r="E41" s="45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/>
    </row>
    <row r="42" spans="1:17" ht="20.100000000000001" customHeight="1" x14ac:dyDescent="0.25">
      <c r="A42" s="155">
        <v>39</v>
      </c>
      <c r="B42" s="141"/>
      <c r="C42" s="145"/>
      <c r="D42" s="145"/>
      <c r="E42" s="45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/>
    </row>
    <row r="43" spans="1:17" ht="20.100000000000001" customHeight="1" x14ac:dyDescent="0.25">
      <c r="A43" s="156">
        <v>40</v>
      </c>
      <c r="B43" s="141"/>
      <c r="C43" s="145"/>
      <c r="D43" s="145"/>
      <c r="E43" s="45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/>
    </row>
    <row r="44" spans="1:17" ht="20.100000000000001" customHeight="1" x14ac:dyDescent="0.25">
      <c r="A44" s="155">
        <v>41</v>
      </c>
      <c r="B44" s="141"/>
      <c r="C44" s="145"/>
      <c r="D44" s="145"/>
      <c r="E44" s="45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/>
    </row>
    <row r="45" spans="1:17" ht="20.100000000000001" customHeight="1" x14ac:dyDescent="0.25">
      <c r="A45" s="156">
        <v>42</v>
      </c>
      <c r="B45" s="141"/>
      <c r="C45" s="145"/>
      <c r="D45" s="145"/>
      <c r="E45" s="45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/>
    </row>
    <row r="46" spans="1:17" ht="20.100000000000001" customHeight="1" x14ac:dyDescent="0.25">
      <c r="A46" s="155">
        <v>43</v>
      </c>
      <c r="B46" s="141"/>
      <c r="C46" s="145"/>
      <c r="D46" s="145"/>
      <c r="E46" s="45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/>
    </row>
    <row r="47" spans="1:17" ht="20.100000000000001" customHeight="1" x14ac:dyDescent="0.25">
      <c r="A47" s="156">
        <v>44</v>
      </c>
      <c r="B47" s="141"/>
      <c r="C47" s="145"/>
      <c r="D47" s="145"/>
      <c r="E47" s="45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/>
    </row>
    <row r="48" spans="1:17" ht="20.100000000000001" customHeight="1" x14ac:dyDescent="0.25">
      <c r="A48" s="155">
        <v>45</v>
      </c>
      <c r="B48" s="141"/>
      <c r="C48" s="145"/>
      <c r="D48" s="145"/>
      <c r="E48" s="45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/>
    </row>
    <row r="49" spans="1:17" ht="20.100000000000001" customHeight="1" x14ac:dyDescent="0.25">
      <c r="A49" s="156">
        <v>46</v>
      </c>
      <c r="B49" s="147"/>
      <c r="C49" s="158"/>
      <c r="D49" s="158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/>
    </row>
    <row r="50" spans="1:17" ht="20.100000000000001" customHeight="1" x14ac:dyDescent="0.25">
      <c r="A50" s="155">
        <v>47</v>
      </c>
      <c r="B50" s="153"/>
      <c r="C50" s="42"/>
      <c r="D50" s="42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/>
    </row>
    <row r="51" spans="1:17" ht="20.100000000000001" customHeight="1" x14ac:dyDescent="0.25">
      <c r="A51" s="156">
        <v>48</v>
      </c>
      <c r="B51" s="153"/>
      <c r="C51" s="42"/>
      <c r="D51" s="42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/>
    </row>
    <row r="52" spans="1:17" ht="20.100000000000001" customHeight="1" x14ac:dyDescent="0.25">
      <c r="A52" s="155">
        <v>49</v>
      </c>
      <c r="B52" s="153"/>
      <c r="C52" s="42"/>
      <c r="D52" s="42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/>
    </row>
    <row r="53" spans="1:17" ht="20.100000000000001" customHeight="1" x14ac:dyDescent="0.25">
      <c r="A53" s="156">
        <v>50</v>
      </c>
      <c r="B53" s="153"/>
      <c r="C53" s="42"/>
      <c r="D53" s="42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/>
    </row>
    <row r="54" spans="1:17" ht="20.100000000000001" customHeight="1" x14ac:dyDescent="0.25">
      <c r="A54" s="155">
        <v>51</v>
      </c>
      <c r="B54" s="153"/>
      <c r="C54" s="42"/>
      <c r="D54" s="42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/>
    </row>
    <row r="55" spans="1:17" ht="20.100000000000001" customHeight="1" x14ac:dyDescent="0.25">
      <c r="A55" s="156">
        <v>52</v>
      </c>
      <c r="B55" s="153"/>
      <c r="C55" s="42"/>
      <c r="D55" s="42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1:17" ht="20.100000000000001" customHeight="1" x14ac:dyDescent="0.25">
      <c r="A56" s="155">
        <v>53</v>
      </c>
      <c r="B56" s="153"/>
      <c r="C56" s="42"/>
      <c r="D56" s="42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17" ht="20.100000000000001" customHeight="1" x14ac:dyDescent="0.25">
      <c r="A57" s="156">
        <v>54</v>
      </c>
      <c r="B57" s="153"/>
      <c r="C57" s="42"/>
      <c r="D57" s="42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spans="1:17" ht="20.100000000000001" customHeight="1" x14ac:dyDescent="0.25">
      <c r="A58" s="155">
        <v>55</v>
      </c>
      <c r="B58" s="153"/>
      <c r="C58" s="42"/>
      <c r="D58" s="42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</sheetData>
  <mergeCells count="2">
    <mergeCell ref="A1:Q1"/>
    <mergeCell ref="A2:Q2"/>
  </mergeCells>
  <pageMargins left="0.7" right="0.7" top="0.75" bottom="0.75" header="0.3" footer="0.3"/>
  <pageSetup paperSize="9" scale="86" fitToHeight="0" orientation="landscape" verticalDpi="0" r:id="rId1"/>
  <rowBreaks count="1" manualBreakCount="1">
    <brk id="36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workbookViewId="0">
      <selection activeCell="B4" sqref="B4:B40"/>
    </sheetView>
  </sheetViews>
  <sheetFormatPr defaultRowHeight="15" x14ac:dyDescent="0.25"/>
  <cols>
    <col min="1" max="1" width="6.7109375" style="10" customWidth="1"/>
    <col min="2" max="2" width="35.140625" bestFit="1" customWidth="1"/>
    <col min="3" max="3" width="4.7109375" customWidth="1"/>
    <col min="4" max="4" width="4.140625" customWidth="1"/>
    <col min="5" max="12" width="7.7109375" customWidth="1"/>
    <col min="13" max="17" width="7.7109375" style="10" customWidth="1"/>
  </cols>
  <sheetData>
    <row r="1" spans="1:17" ht="20.25" x14ac:dyDescent="0.25">
      <c r="A1" s="222" t="s">
        <v>62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4"/>
    </row>
    <row r="2" spans="1:17" ht="15.75" thickBot="1" x14ac:dyDescent="0.3">
      <c r="A2" s="225" t="s">
        <v>48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</row>
    <row r="3" spans="1:17" ht="67.5" customHeight="1" thickBot="1" x14ac:dyDescent="0.3">
      <c r="A3" s="13" t="s">
        <v>24</v>
      </c>
      <c r="B3" s="14" t="s">
        <v>1</v>
      </c>
      <c r="C3" s="15" t="s">
        <v>2</v>
      </c>
      <c r="D3" s="14" t="s">
        <v>3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13</v>
      </c>
      <c r="K3" s="19" t="s">
        <v>68</v>
      </c>
      <c r="L3" s="19" t="s">
        <v>15</v>
      </c>
      <c r="M3" s="17" t="s">
        <v>16</v>
      </c>
      <c r="N3" s="17" t="s">
        <v>17</v>
      </c>
      <c r="O3" s="17" t="s">
        <v>18</v>
      </c>
      <c r="P3" s="67" t="s">
        <v>19</v>
      </c>
      <c r="Q3"/>
    </row>
    <row r="4" spans="1:17" ht="20.100000000000001" customHeight="1" x14ac:dyDescent="0.25">
      <c r="A4" s="154">
        <v>1</v>
      </c>
      <c r="B4" s="141"/>
      <c r="C4" s="145">
        <v>16</v>
      </c>
      <c r="D4" s="145" t="s">
        <v>20</v>
      </c>
      <c r="E4" s="22">
        <v>68</v>
      </c>
      <c r="F4" s="22">
        <v>79</v>
      </c>
      <c r="G4" s="22">
        <v>71</v>
      </c>
      <c r="H4" s="22">
        <v>60</v>
      </c>
      <c r="I4" s="22">
        <v>72</v>
      </c>
      <c r="J4" s="22">
        <v>89</v>
      </c>
      <c r="K4" s="22">
        <v>70</v>
      </c>
      <c r="L4" s="11">
        <f>SUM(E4:K4)</f>
        <v>509</v>
      </c>
      <c r="M4" s="25">
        <f>AVERAGE(E4:K4)</f>
        <v>72.714285714285708</v>
      </c>
      <c r="N4" s="11">
        <f>RANK(M4,$M$4:$M$32)</f>
        <v>28</v>
      </c>
      <c r="O4" s="11"/>
      <c r="P4" s="11"/>
      <c r="Q4"/>
    </row>
    <row r="5" spans="1:17" ht="20.100000000000001" customHeight="1" x14ac:dyDescent="0.25">
      <c r="A5" s="155">
        <v>2</v>
      </c>
      <c r="B5" s="141"/>
      <c r="C5" s="145">
        <v>18</v>
      </c>
      <c r="D5" s="145" t="s">
        <v>20</v>
      </c>
      <c r="E5" s="22">
        <v>88</v>
      </c>
      <c r="F5" s="22">
        <v>93</v>
      </c>
      <c r="G5" s="22">
        <v>92</v>
      </c>
      <c r="H5" s="22">
        <v>90</v>
      </c>
      <c r="I5" s="22">
        <v>98</v>
      </c>
      <c r="J5" s="22">
        <v>100</v>
      </c>
      <c r="K5" s="22">
        <v>97</v>
      </c>
      <c r="L5" s="11">
        <f t="shared" ref="L5:L32" si="0">SUM(E5:K5)</f>
        <v>658</v>
      </c>
      <c r="M5" s="25">
        <f t="shared" ref="M5:M32" si="1">AVERAGE(E5:K5)</f>
        <v>94</v>
      </c>
      <c r="N5" s="11">
        <f t="shared" ref="N5:N32" si="2">RANK(M5,$M$4:$M$32)</f>
        <v>4</v>
      </c>
      <c r="O5" s="11"/>
      <c r="P5" s="11"/>
      <c r="Q5"/>
    </row>
    <row r="6" spans="1:17" ht="20.100000000000001" customHeight="1" x14ac:dyDescent="0.25">
      <c r="A6" s="156">
        <v>3</v>
      </c>
      <c r="B6" s="141"/>
      <c r="C6" s="145">
        <v>18</v>
      </c>
      <c r="D6" s="145" t="s">
        <v>20</v>
      </c>
      <c r="E6" s="22">
        <v>76</v>
      </c>
      <c r="F6" s="22">
        <v>61</v>
      </c>
      <c r="G6" s="22">
        <v>71</v>
      </c>
      <c r="H6" s="22">
        <v>62</v>
      </c>
      <c r="I6" s="22">
        <v>75</v>
      </c>
      <c r="J6" s="22">
        <v>97</v>
      </c>
      <c r="K6" s="22">
        <v>85</v>
      </c>
      <c r="L6" s="11">
        <f t="shared" si="0"/>
        <v>527</v>
      </c>
      <c r="M6" s="25">
        <f t="shared" si="1"/>
        <v>75.285714285714292</v>
      </c>
      <c r="N6" s="11">
        <f t="shared" si="2"/>
        <v>24</v>
      </c>
      <c r="O6" s="11"/>
      <c r="P6" s="11"/>
      <c r="Q6"/>
    </row>
    <row r="7" spans="1:17" ht="20.100000000000001" customHeight="1" x14ac:dyDescent="0.25">
      <c r="A7" s="155">
        <v>4</v>
      </c>
      <c r="B7" s="141"/>
      <c r="C7" s="145">
        <v>18</v>
      </c>
      <c r="D7" s="145" t="s">
        <v>20</v>
      </c>
      <c r="E7" s="22">
        <v>87</v>
      </c>
      <c r="F7" s="22">
        <v>66</v>
      </c>
      <c r="G7" s="22">
        <v>75</v>
      </c>
      <c r="H7" s="22">
        <v>70</v>
      </c>
      <c r="I7" s="22">
        <v>85</v>
      </c>
      <c r="J7" s="22">
        <v>98</v>
      </c>
      <c r="K7" s="22">
        <v>92</v>
      </c>
      <c r="L7" s="11">
        <f t="shared" si="0"/>
        <v>573</v>
      </c>
      <c r="M7" s="25">
        <f t="shared" si="1"/>
        <v>81.857142857142861</v>
      </c>
      <c r="N7" s="11">
        <f t="shared" si="2"/>
        <v>19</v>
      </c>
      <c r="O7" s="11"/>
      <c r="P7" s="11"/>
      <c r="Q7"/>
    </row>
    <row r="8" spans="1:17" ht="20.100000000000001" customHeight="1" x14ac:dyDescent="0.25">
      <c r="A8" s="155">
        <v>5</v>
      </c>
      <c r="B8" s="141"/>
      <c r="C8" s="145">
        <v>17</v>
      </c>
      <c r="D8" s="145" t="s">
        <v>20</v>
      </c>
      <c r="E8" s="22">
        <v>92</v>
      </c>
      <c r="F8" s="22">
        <v>74</v>
      </c>
      <c r="G8" s="22">
        <v>89</v>
      </c>
      <c r="H8" s="22">
        <v>80</v>
      </c>
      <c r="I8" s="22">
        <v>88</v>
      </c>
      <c r="J8" s="22">
        <v>97</v>
      </c>
      <c r="K8" s="22">
        <v>90</v>
      </c>
      <c r="L8" s="11">
        <f t="shared" si="0"/>
        <v>610</v>
      </c>
      <c r="M8" s="25">
        <f t="shared" si="1"/>
        <v>87.142857142857139</v>
      </c>
      <c r="N8" s="11">
        <f t="shared" si="2"/>
        <v>10</v>
      </c>
      <c r="O8" s="11"/>
      <c r="P8" s="11"/>
      <c r="Q8"/>
    </row>
    <row r="9" spans="1:17" ht="20.100000000000001" customHeight="1" x14ac:dyDescent="0.25">
      <c r="A9" s="156">
        <v>6</v>
      </c>
      <c r="B9" s="141"/>
      <c r="C9" s="145">
        <v>17</v>
      </c>
      <c r="D9" s="145" t="s">
        <v>23</v>
      </c>
      <c r="E9" s="22">
        <v>90</v>
      </c>
      <c r="F9" s="22">
        <v>68</v>
      </c>
      <c r="G9" s="22">
        <v>91</v>
      </c>
      <c r="H9" s="22">
        <v>87</v>
      </c>
      <c r="I9" s="22">
        <v>92</v>
      </c>
      <c r="J9" s="22">
        <v>100</v>
      </c>
      <c r="K9" s="22">
        <v>95</v>
      </c>
      <c r="L9" s="11">
        <f t="shared" si="0"/>
        <v>623</v>
      </c>
      <c r="M9" s="25">
        <f t="shared" si="1"/>
        <v>89</v>
      </c>
      <c r="N9" s="11">
        <f t="shared" si="2"/>
        <v>8</v>
      </c>
      <c r="O9" s="11"/>
      <c r="P9" s="11"/>
      <c r="Q9"/>
    </row>
    <row r="10" spans="1:17" ht="20.100000000000001" customHeight="1" x14ac:dyDescent="0.25">
      <c r="A10" s="155">
        <v>7</v>
      </c>
      <c r="B10" s="141"/>
      <c r="C10" s="145">
        <v>18</v>
      </c>
      <c r="D10" s="145" t="s">
        <v>23</v>
      </c>
      <c r="E10" s="22">
        <v>90</v>
      </c>
      <c r="F10" s="22">
        <v>68</v>
      </c>
      <c r="G10" s="22">
        <v>90</v>
      </c>
      <c r="H10" s="22">
        <v>80</v>
      </c>
      <c r="I10" s="22">
        <v>93</v>
      </c>
      <c r="J10" s="22">
        <v>96</v>
      </c>
      <c r="K10" s="22">
        <v>95</v>
      </c>
      <c r="L10" s="11">
        <f t="shared" si="0"/>
        <v>612</v>
      </c>
      <c r="M10" s="25">
        <f t="shared" si="1"/>
        <v>87.428571428571431</v>
      </c>
      <c r="N10" s="11">
        <f t="shared" si="2"/>
        <v>9</v>
      </c>
      <c r="O10" s="11"/>
      <c r="P10" s="11"/>
      <c r="Q10"/>
    </row>
    <row r="11" spans="1:17" ht="20.100000000000001" customHeight="1" x14ac:dyDescent="0.25">
      <c r="A11" s="155">
        <v>8</v>
      </c>
      <c r="B11" s="141"/>
      <c r="C11" s="145">
        <v>18</v>
      </c>
      <c r="D11" s="145" t="s">
        <v>20</v>
      </c>
      <c r="E11" s="22">
        <v>79</v>
      </c>
      <c r="F11" s="22">
        <v>72</v>
      </c>
      <c r="G11" s="22">
        <v>88</v>
      </c>
      <c r="H11" s="22">
        <v>82</v>
      </c>
      <c r="I11" s="22">
        <v>91</v>
      </c>
      <c r="J11" s="22">
        <v>100</v>
      </c>
      <c r="K11" s="22">
        <v>87</v>
      </c>
      <c r="L11" s="11">
        <f t="shared" si="0"/>
        <v>599</v>
      </c>
      <c r="M11" s="25">
        <f t="shared" si="1"/>
        <v>85.571428571428569</v>
      </c>
      <c r="N11" s="11">
        <f t="shared" si="2"/>
        <v>15</v>
      </c>
      <c r="O11" s="11"/>
      <c r="P11" s="11"/>
      <c r="Q11"/>
    </row>
    <row r="12" spans="1:17" ht="20.100000000000001" customHeight="1" x14ac:dyDescent="0.25">
      <c r="A12" s="156">
        <v>9</v>
      </c>
      <c r="B12" s="141"/>
      <c r="C12" s="145">
        <v>18</v>
      </c>
      <c r="D12" s="145" t="s">
        <v>23</v>
      </c>
      <c r="E12" s="22">
        <v>83</v>
      </c>
      <c r="F12" s="22">
        <v>92</v>
      </c>
      <c r="G12" s="22">
        <v>93</v>
      </c>
      <c r="H12" s="22">
        <v>90</v>
      </c>
      <c r="I12" s="22">
        <v>94</v>
      </c>
      <c r="J12" s="22">
        <v>99</v>
      </c>
      <c r="K12" s="22">
        <v>92</v>
      </c>
      <c r="L12" s="11">
        <f t="shared" si="0"/>
        <v>643</v>
      </c>
      <c r="M12" s="25">
        <f t="shared" si="1"/>
        <v>91.857142857142861</v>
      </c>
      <c r="N12" s="11">
        <f t="shared" si="2"/>
        <v>6</v>
      </c>
      <c r="O12" s="11"/>
      <c r="P12" s="11"/>
      <c r="Q12"/>
    </row>
    <row r="13" spans="1:17" ht="20.100000000000001" customHeight="1" x14ac:dyDescent="0.25">
      <c r="A13" s="155">
        <v>10</v>
      </c>
      <c r="B13" s="141"/>
      <c r="C13" s="145">
        <v>17</v>
      </c>
      <c r="D13" s="145" t="s">
        <v>20</v>
      </c>
      <c r="E13" s="22">
        <v>79</v>
      </c>
      <c r="F13" s="22">
        <v>70</v>
      </c>
      <c r="G13" s="22">
        <v>90</v>
      </c>
      <c r="H13" s="22">
        <v>71</v>
      </c>
      <c r="I13" s="22">
        <v>85</v>
      </c>
      <c r="J13" s="22">
        <v>100</v>
      </c>
      <c r="K13" s="22">
        <v>90</v>
      </c>
      <c r="L13" s="11">
        <f t="shared" si="0"/>
        <v>585</v>
      </c>
      <c r="M13" s="25">
        <f t="shared" si="1"/>
        <v>83.571428571428569</v>
      </c>
      <c r="N13" s="11">
        <f t="shared" si="2"/>
        <v>18</v>
      </c>
      <c r="O13" s="11"/>
      <c r="P13" s="11"/>
      <c r="Q13"/>
    </row>
    <row r="14" spans="1:17" ht="20.100000000000001" customHeight="1" x14ac:dyDescent="0.25">
      <c r="A14" s="156">
        <v>11</v>
      </c>
      <c r="B14" s="141"/>
      <c r="C14" s="145">
        <v>18</v>
      </c>
      <c r="D14" s="145" t="s">
        <v>23</v>
      </c>
      <c r="E14" s="22">
        <v>73</v>
      </c>
      <c r="F14" s="22">
        <v>76</v>
      </c>
      <c r="G14" s="22">
        <v>79</v>
      </c>
      <c r="H14" s="22">
        <v>72</v>
      </c>
      <c r="I14" s="22">
        <v>82</v>
      </c>
      <c r="J14" s="22">
        <v>96</v>
      </c>
      <c r="K14" s="22">
        <v>85</v>
      </c>
      <c r="L14" s="11">
        <f t="shared" si="0"/>
        <v>563</v>
      </c>
      <c r="M14" s="25">
        <f t="shared" si="1"/>
        <v>80.428571428571431</v>
      </c>
      <c r="N14" s="11">
        <f t="shared" si="2"/>
        <v>22</v>
      </c>
      <c r="O14" s="11"/>
      <c r="P14" s="11"/>
      <c r="Q14"/>
    </row>
    <row r="15" spans="1:17" ht="20.100000000000001" customHeight="1" x14ac:dyDescent="0.25">
      <c r="A15" s="156">
        <v>12</v>
      </c>
      <c r="B15" s="141"/>
      <c r="C15" s="145">
        <v>17</v>
      </c>
      <c r="D15" s="145" t="s">
        <v>20</v>
      </c>
      <c r="E15" s="22">
        <v>86</v>
      </c>
      <c r="F15" s="22">
        <v>95</v>
      </c>
      <c r="G15" s="22">
        <v>98</v>
      </c>
      <c r="H15" s="22">
        <v>90</v>
      </c>
      <c r="I15" s="22">
        <v>95</v>
      </c>
      <c r="J15" s="22">
        <v>100</v>
      </c>
      <c r="K15" s="22">
        <v>92</v>
      </c>
      <c r="L15" s="11">
        <f t="shared" si="0"/>
        <v>656</v>
      </c>
      <c r="M15" s="25">
        <f t="shared" si="1"/>
        <v>93.714285714285708</v>
      </c>
      <c r="N15" s="11">
        <f t="shared" si="2"/>
        <v>5</v>
      </c>
      <c r="O15" s="11"/>
      <c r="P15" s="11"/>
      <c r="Q15"/>
    </row>
    <row r="16" spans="1:17" ht="20.100000000000001" customHeight="1" x14ac:dyDescent="0.25">
      <c r="A16" s="156">
        <v>13</v>
      </c>
      <c r="B16" s="141"/>
      <c r="C16" s="145">
        <v>18</v>
      </c>
      <c r="D16" s="145" t="s">
        <v>23</v>
      </c>
      <c r="E16" s="22">
        <v>84</v>
      </c>
      <c r="F16" s="22">
        <v>71</v>
      </c>
      <c r="G16" s="22">
        <v>87</v>
      </c>
      <c r="H16" s="22">
        <v>75</v>
      </c>
      <c r="I16" s="22">
        <v>90</v>
      </c>
      <c r="J16" s="22">
        <v>97</v>
      </c>
      <c r="K16" s="22">
        <v>95</v>
      </c>
      <c r="L16" s="11">
        <f t="shared" si="0"/>
        <v>599</v>
      </c>
      <c r="M16" s="25">
        <f t="shared" si="1"/>
        <v>85.571428571428569</v>
      </c>
      <c r="N16" s="11">
        <f t="shared" si="2"/>
        <v>15</v>
      </c>
      <c r="O16" s="11"/>
      <c r="P16" s="11"/>
      <c r="Q16"/>
    </row>
    <row r="17" spans="1:17" ht="20.100000000000001" customHeight="1" x14ac:dyDescent="0.25">
      <c r="A17" s="155">
        <v>14</v>
      </c>
      <c r="B17" s="141"/>
      <c r="C17" s="145">
        <v>17</v>
      </c>
      <c r="D17" s="145" t="s">
        <v>23</v>
      </c>
      <c r="E17" s="22">
        <v>67</v>
      </c>
      <c r="F17" s="22">
        <v>61</v>
      </c>
      <c r="G17" s="22">
        <v>75</v>
      </c>
      <c r="H17" s="22">
        <v>63</v>
      </c>
      <c r="I17" s="22">
        <v>75</v>
      </c>
      <c r="J17" s="22">
        <v>91</v>
      </c>
      <c r="K17" s="22">
        <v>92</v>
      </c>
      <c r="L17" s="11">
        <f t="shared" si="0"/>
        <v>524</v>
      </c>
      <c r="M17" s="25">
        <f t="shared" si="1"/>
        <v>74.857142857142861</v>
      </c>
      <c r="N17" s="11">
        <f t="shared" si="2"/>
        <v>25</v>
      </c>
      <c r="O17" s="11"/>
      <c r="P17" s="11"/>
      <c r="Q17"/>
    </row>
    <row r="18" spans="1:17" ht="20.100000000000001" customHeight="1" x14ac:dyDescent="0.25">
      <c r="A18" s="156">
        <v>15</v>
      </c>
      <c r="B18" s="141"/>
      <c r="C18" s="145">
        <v>17</v>
      </c>
      <c r="D18" s="145" t="s">
        <v>20</v>
      </c>
      <c r="E18" s="22">
        <v>91</v>
      </c>
      <c r="F18" s="22">
        <v>76</v>
      </c>
      <c r="G18" s="23">
        <v>80</v>
      </c>
      <c r="H18" s="22">
        <v>78</v>
      </c>
      <c r="I18" s="22">
        <v>90</v>
      </c>
      <c r="J18" s="22">
        <v>98</v>
      </c>
      <c r="K18" s="22">
        <v>90</v>
      </c>
      <c r="L18" s="11">
        <f t="shared" si="0"/>
        <v>603</v>
      </c>
      <c r="M18" s="25">
        <f t="shared" si="1"/>
        <v>86.142857142857139</v>
      </c>
      <c r="N18" s="11">
        <f t="shared" si="2"/>
        <v>13</v>
      </c>
      <c r="O18" s="11"/>
      <c r="P18" s="11"/>
      <c r="Q18"/>
    </row>
    <row r="19" spans="1:17" ht="20.100000000000001" customHeight="1" x14ac:dyDescent="0.25">
      <c r="A19" s="155">
        <v>16</v>
      </c>
      <c r="B19" s="141"/>
      <c r="C19" s="145">
        <v>17</v>
      </c>
      <c r="D19" s="145" t="s">
        <v>23</v>
      </c>
      <c r="E19" s="22">
        <v>79</v>
      </c>
      <c r="F19" s="22">
        <v>73</v>
      </c>
      <c r="G19" s="22">
        <v>86</v>
      </c>
      <c r="H19" s="22">
        <v>78</v>
      </c>
      <c r="I19" s="22">
        <v>92</v>
      </c>
      <c r="J19" s="22">
        <v>95</v>
      </c>
      <c r="K19" s="22">
        <v>98</v>
      </c>
      <c r="L19" s="11">
        <f t="shared" si="0"/>
        <v>601</v>
      </c>
      <c r="M19" s="25">
        <f t="shared" si="1"/>
        <v>85.857142857142861</v>
      </c>
      <c r="N19" s="11">
        <f t="shared" si="2"/>
        <v>14</v>
      </c>
      <c r="O19" s="11"/>
      <c r="P19" s="11"/>
      <c r="Q19"/>
    </row>
    <row r="20" spans="1:17" ht="20.100000000000001" customHeight="1" x14ac:dyDescent="0.25">
      <c r="A20" s="155">
        <v>17</v>
      </c>
      <c r="B20" s="141"/>
      <c r="C20" s="145">
        <v>17</v>
      </c>
      <c r="D20" s="145" t="s">
        <v>20</v>
      </c>
      <c r="E20" s="22">
        <v>68</v>
      </c>
      <c r="F20" s="22">
        <v>60</v>
      </c>
      <c r="G20" s="22">
        <v>72</v>
      </c>
      <c r="H20" s="22">
        <v>65</v>
      </c>
      <c r="I20" s="22">
        <v>71</v>
      </c>
      <c r="J20" s="22">
        <v>90</v>
      </c>
      <c r="K20" s="22">
        <v>85</v>
      </c>
      <c r="L20" s="11">
        <f t="shared" si="0"/>
        <v>511</v>
      </c>
      <c r="M20" s="25">
        <f t="shared" si="1"/>
        <v>73</v>
      </c>
      <c r="N20" s="11">
        <f t="shared" si="2"/>
        <v>27</v>
      </c>
      <c r="O20" s="11"/>
      <c r="P20" s="11"/>
      <c r="Q20"/>
    </row>
    <row r="21" spans="1:17" ht="20.100000000000001" customHeight="1" x14ac:dyDescent="0.25">
      <c r="A21" s="155">
        <v>18</v>
      </c>
      <c r="B21" s="141"/>
      <c r="C21" s="145">
        <v>17</v>
      </c>
      <c r="D21" s="145" t="s">
        <v>23</v>
      </c>
      <c r="E21" s="22">
        <v>65</v>
      </c>
      <c r="F21" s="22">
        <v>75</v>
      </c>
      <c r="G21" s="23">
        <v>77</v>
      </c>
      <c r="H21" s="22">
        <v>73</v>
      </c>
      <c r="I21" s="22">
        <v>81</v>
      </c>
      <c r="J21" s="22">
        <v>94</v>
      </c>
      <c r="K21" s="22">
        <v>92</v>
      </c>
      <c r="L21" s="11">
        <f t="shared" si="0"/>
        <v>557</v>
      </c>
      <c r="M21" s="25">
        <f t="shared" si="1"/>
        <v>79.571428571428569</v>
      </c>
      <c r="N21" s="11">
        <f t="shared" si="2"/>
        <v>23</v>
      </c>
      <c r="O21" s="11"/>
      <c r="P21" s="11"/>
      <c r="Q21"/>
    </row>
    <row r="22" spans="1:17" ht="20.100000000000001" customHeight="1" x14ac:dyDescent="0.25">
      <c r="A22" s="156">
        <v>19</v>
      </c>
      <c r="B22" s="141"/>
      <c r="C22" s="145">
        <v>17</v>
      </c>
      <c r="D22" s="145" t="s">
        <v>20</v>
      </c>
      <c r="E22" s="22">
        <v>63</v>
      </c>
      <c r="F22" s="22">
        <v>70</v>
      </c>
      <c r="G22" s="22">
        <v>68</v>
      </c>
      <c r="H22" s="22">
        <v>65</v>
      </c>
      <c r="I22" s="22">
        <v>70</v>
      </c>
      <c r="J22" s="22">
        <v>94</v>
      </c>
      <c r="K22" s="22">
        <v>85</v>
      </c>
      <c r="L22" s="11">
        <f t="shared" si="0"/>
        <v>515</v>
      </c>
      <c r="M22" s="25">
        <f t="shared" si="1"/>
        <v>73.571428571428569</v>
      </c>
      <c r="N22" s="11">
        <f t="shared" si="2"/>
        <v>26</v>
      </c>
      <c r="O22" s="11"/>
      <c r="P22" s="11"/>
      <c r="Q22"/>
    </row>
    <row r="23" spans="1:17" ht="20.100000000000001" customHeight="1" x14ac:dyDescent="0.25">
      <c r="A23" s="156">
        <v>20</v>
      </c>
      <c r="B23" s="141"/>
      <c r="C23" s="145">
        <v>17</v>
      </c>
      <c r="D23" s="145" t="s">
        <v>20</v>
      </c>
      <c r="E23" s="22">
        <v>88</v>
      </c>
      <c r="F23" s="22">
        <v>66</v>
      </c>
      <c r="G23" s="22">
        <v>79</v>
      </c>
      <c r="H23" s="22">
        <v>70</v>
      </c>
      <c r="I23" s="22">
        <v>81</v>
      </c>
      <c r="J23" s="22">
        <v>96</v>
      </c>
      <c r="K23" s="22">
        <v>90</v>
      </c>
      <c r="L23" s="11">
        <f t="shared" si="0"/>
        <v>570</v>
      </c>
      <c r="M23" s="25">
        <f t="shared" si="1"/>
        <v>81.428571428571431</v>
      </c>
      <c r="N23" s="11">
        <f t="shared" si="2"/>
        <v>20</v>
      </c>
      <c r="O23" s="11"/>
      <c r="P23" s="11"/>
      <c r="Q23"/>
    </row>
    <row r="24" spans="1:17" ht="20.100000000000001" customHeight="1" x14ac:dyDescent="0.25">
      <c r="A24" s="156">
        <v>21</v>
      </c>
      <c r="B24" s="141"/>
      <c r="C24" s="145">
        <v>18</v>
      </c>
      <c r="D24" s="145" t="s">
        <v>20</v>
      </c>
      <c r="E24" s="22">
        <v>87</v>
      </c>
      <c r="F24" s="22">
        <v>76</v>
      </c>
      <c r="G24" s="22">
        <v>86</v>
      </c>
      <c r="H24" s="22">
        <v>77</v>
      </c>
      <c r="I24" s="22">
        <v>90</v>
      </c>
      <c r="J24" s="22">
        <v>96</v>
      </c>
      <c r="K24" s="22">
        <v>95</v>
      </c>
      <c r="L24" s="11">
        <f t="shared" si="0"/>
        <v>607</v>
      </c>
      <c r="M24" s="25">
        <f t="shared" si="1"/>
        <v>86.714285714285708</v>
      </c>
      <c r="N24" s="11">
        <f t="shared" si="2"/>
        <v>11</v>
      </c>
      <c r="O24" s="11"/>
      <c r="P24" s="11"/>
      <c r="Q24"/>
    </row>
    <row r="25" spans="1:17" ht="20.100000000000001" customHeight="1" x14ac:dyDescent="0.25">
      <c r="A25" s="155">
        <v>22</v>
      </c>
      <c r="B25" s="141"/>
      <c r="C25" s="145">
        <v>17</v>
      </c>
      <c r="D25" s="145" t="s">
        <v>23</v>
      </c>
      <c r="E25" s="22">
        <v>91</v>
      </c>
      <c r="F25" s="22">
        <v>66</v>
      </c>
      <c r="G25" s="22">
        <v>80</v>
      </c>
      <c r="H25" s="22">
        <v>71</v>
      </c>
      <c r="I25" s="22">
        <v>90</v>
      </c>
      <c r="J25" s="22">
        <v>97</v>
      </c>
      <c r="K25" s="22">
        <v>95</v>
      </c>
      <c r="L25" s="11">
        <f t="shared" si="0"/>
        <v>590</v>
      </c>
      <c r="M25" s="25">
        <f t="shared" si="1"/>
        <v>84.285714285714292</v>
      </c>
      <c r="N25" s="11">
        <f t="shared" si="2"/>
        <v>17</v>
      </c>
      <c r="O25" s="11"/>
      <c r="P25" s="11"/>
      <c r="Q25"/>
    </row>
    <row r="26" spans="1:17" ht="20.100000000000001" customHeight="1" x14ac:dyDescent="0.25">
      <c r="A26" s="155">
        <v>23</v>
      </c>
      <c r="B26" s="141"/>
      <c r="C26" s="145">
        <v>17</v>
      </c>
      <c r="D26" s="145" t="s">
        <v>23</v>
      </c>
      <c r="E26" s="22">
        <v>75</v>
      </c>
      <c r="F26" s="22">
        <v>67</v>
      </c>
      <c r="G26" s="22">
        <v>84</v>
      </c>
      <c r="H26" s="22">
        <v>75</v>
      </c>
      <c r="I26" s="22">
        <v>90</v>
      </c>
      <c r="J26" s="22">
        <v>90</v>
      </c>
      <c r="K26" s="22">
        <v>88</v>
      </c>
      <c r="L26" s="11">
        <f t="shared" si="0"/>
        <v>569</v>
      </c>
      <c r="M26" s="25">
        <f t="shared" si="1"/>
        <v>81.285714285714292</v>
      </c>
      <c r="N26" s="11">
        <f t="shared" si="2"/>
        <v>21</v>
      </c>
      <c r="O26" s="11"/>
      <c r="P26" s="11"/>
      <c r="Q26"/>
    </row>
    <row r="27" spans="1:17" ht="20.100000000000001" customHeight="1" x14ac:dyDescent="0.25">
      <c r="A27" s="156">
        <v>24</v>
      </c>
      <c r="B27" s="141"/>
      <c r="C27" s="145">
        <v>19</v>
      </c>
      <c r="D27" s="145" t="s">
        <v>20</v>
      </c>
      <c r="E27" s="22">
        <v>92</v>
      </c>
      <c r="F27" s="22">
        <v>99</v>
      </c>
      <c r="G27" s="23">
        <v>99</v>
      </c>
      <c r="H27" s="23">
        <v>98</v>
      </c>
      <c r="I27" s="22">
        <v>100</v>
      </c>
      <c r="J27" s="23">
        <v>100</v>
      </c>
      <c r="K27" s="22">
        <v>100</v>
      </c>
      <c r="L27" s="11">
        <f t="shared" si="0"/>
        <v>688</v>
      </c>
      <c r="M27" s="25">
        <f t="shared" si="1"/>
        <v>98.285714285714292</v>
      </c>
      <c r="N27" s="11">
        <f t="shared" si="2"/>
        <v>2</v>
      </c>
      <c r="O27" s="11"/>
      <c r="P27" s="11"/>
      <c r="Q27"/>
    </row>
    <row r="28" spans="1:17" ht="20.100000000000001" customHeight="1" x14ac:dyDescent="0.25">
      <c r="A28" s="155">
        <v>25</v>
      </c>
      <c r="B28" s="172"/>
      <c r="C28" s="150">
        <v>18</v>
      </c>
      <c r="D28" s="150" t="s">
        <v>23</v>
      </c>
      <c r="E28" s="22">
        <v>96</v>
      </c>
      <c r="F28" s="23">
        <v>99</v>
      </c>
      <c r="G28" s="23">
        <v>100</v>
      </c>
      <c r="H28" s="22">
        <v>97</v>
      </c>
      <c r="I28" s="23">
        <v>100</v>
      </c>
      <c r="J28" s="22">
        <v>100</v>
      </c>
      <c r="K28" s="22">
        <v>100</v>
      </c>
      <c r="L28" s="11">
        <f t="shared" si="0"/>
        <v>692</v>
      </c>
      <c r="M28" s="25">
        <f t="shared" si="1"/>
        <v>98.857142857142861</v>
      </c>
      <c r="N28" s="11">
        <f t="shared" si="2"/>
        <v>1</v>
      </c>
      <c r="O28" s="11"/>
      <c r="P28" s="11"/>
      <c r="Q28"/>
    </row>
    <row r="29" spans="1:17" ht="20.100000000000001" customHeight="1" x14ac:dyDescent="0.25">
      <c r="A29" s="156">
        <v>26</v>
      </c>
      <c r="B29" s="141"/>
      <c r="C29" s="145">
        <v>17</v>
      </c>
      <c r="D29" s="145" t="s">
        <v>23</v>
      </c>
      <c r="E29" s="22">
        <v>96</v>
      </c>
      <c r="F29" s="22">
        <v>90</v>
      </c>
      <c r="G29" s="22">
        <v>95</v>
      </c>
      <c r="H29" s="22">
        <v>87</v>
      </c>
      <c r="I29" s="22">
        <v>100</v>
      </c>
      <c r="J29" s="22">
        <v>100</v>
      </c>
      <c r="K29" s="22">
        <v>100</v>
      </c>
      <c r="L29" s="11">
        <f t="shared" si="0"/>
        <v>668</v>
      </c>
      <c r="M29" s="25">
        <f t="shared" si="1"/>
        <v>95.428571428571431</v>
      </c>
      <c r="N29" s="11">
        <f t="shared" si="2"/>
        <v>3</v>
      </c>
      <c r="O29" s="11"/>
      <c r="P29" s="11"/>
      <c r="Q29"/>
    </row>
    <row r="30" spans="1:17" ht="20.100000000000001" customHeight="1" x14ac:dyDescent="0.25">
      <c r="A30" s="156">
        <v>27</v>
      </c>
      <c r="B30" s="141"/>
      <c r="C30" s="145">
        <v>17</v>
      </c>
      <c r="D30" s="145" t="s">
        <v>23</v>
      </c>
      <c r="E30" s="22">
        <v>82</v>
      </c>
      <c r="F30" s="22">
        <v>88</v>
      </c>
      <c r="G30" s="23">
        <v>77</v>
      </c>
      <c r="H30" s="22">
        <v>79</v>
      </c>
      <c r="I30" s="22">
        <v>88</v>
      </c>
      <c r="J30" s="22">
        <v>99</v>
      </c>
      <c r="K30" s="22">
        <v>93</v>
      </c>
      <c r="L30" s="11">
        <f t="shared" si="0"/>
        <v>606</v>
      </c>
      <c r="M30" s="25">
        <f t="shared" si="1"/>
        <v>86.571428571428569</v>
      </c>
      <c r="N30" s="11">
        <f t="shared" si="2"/>
        <v>12</v>
      </c>
      <c r="O30" s="11"/>
      <c r="P30" s="11"/>
      <c r="Q30"/>
    </row>
    <row r="31" spans="1:17" ht="20.100000000000001" customHeight="1" x14ac:dyDescent="0.25">
      <c r="A31" s="156">
        <v>28</v>
      </c>
      <c r="B31" s="141"/>
      <c r="C31" s="145">
        <v>17</v>
      </c>
      <c r="D31" s="145" t="s">
        <v>23</v>
      </c>
      <c r="E31" s="22">
        <v>63</v>
      </c>
      <c r="F31" s="22">
        <v>68</v>
      </c>
      <c r="G31" s="22">
        <v>69</v>
      </c>
      <c r="H31" s="22">
        <v>60</v>
      </c>
      <c r="I31" s="22">
        <v>70</v>
      </c>
      <c r="J31" s="22">
        <v>91</v>
      </c>
      <c r="K31" s="22">
        <v>78</v>
      </c>
      <c r="L31" s="11">
        <f t="shared" si="0"/>
        <v>499</v>
      </c>
      <c r="M31" s="25">
        <f t="shared" si="1"/>
        <v>71.285714285714292</v>
      </c>
      <c r="N31" s="11">
        <f t="shared" si="2"/>
        <v>29</v>
      </c>
      <c r="O31" s="11"/>
      <c r="P31" s="11"/>
      <c r="Q31"/>
    </row>
    <row r="32" spans="1:17" ht="20.100000000000001" customHeight="1" x14ac:dyDescent="0.25">
      <c r="A32" s="155">
        <v>29</v>
      </c>
      <c r="B32" s="141"/>
      <c r="C32" s="145">
        <v>17</v>
      </c>
      <c r="D32" s="145" t="s">
        <v>20</v>
      </c>
      <c r="E32" s="22">
        <v>87</v>
      </c>
      <c r="F32" s="22">
        <v>89</v>
      </c>
      <c r="G32" s="22">
        <v>91</v>
      </c>
      <c r="H32" s="22">
        <v>89</v>
      </c>
      <c r="I32" s="22">
        <v>95</v>
      </c>
      <c r="J32" s="22">
        <v>100</v>
      </c>
      <c r="K32" s="22">
        <v>92</v>
      </c>
      <c r="L32" s="11">
        <f t="shared" si="0"/>
        <v>643</v>
      </c>
      <c r="M32" s="25">
        <f t="shared" si="1"/>
        <v>91.857142857142861</v>
      </c>
      <c r="N32" s="11">
        <f t="shared" si="2"/>
        <v>6</v>
      </c>
      <c r="O32" s="11"/>
      <c r="P32" s="11"/>
      <c r="Q32"/>
    </row>
    <row r="33" spans="1:17" ht="20.100000000000001" customHeight="1" x14ac:dyDescent="0.25">
      <c r="A33" s="156">
        <v>30</v>
      </c>
      <c r="B33" s="178"/>
      <c r="C33" s="157"/>
      <c r="D33" s="157"/>
      <c r="E33" s="22"/>
      <c r="F33" s="23"/>
      <c r="G33" s="23"/>
      <c r="H33" s="23"/>
      <c r="I33" s="22"/>
      <c r="J33" s="22"/>
      <c r="K33" s="22"/>
      <c r="L33" s="11"/>
      <c r="M33" s="25"/>
      <c r="N33" s="11"/>
      <c r="O33" s="11"/>
      <c r="P33" s="11"/>
      <c r="Q33"/>
    </row>
    <row r="34" spans="1:17" ht="20.100000000000001" customHeight="1" x14ac:dyDescent="0.25">
      <c r="A34" s="155">
        <v>31</v>
      </c>
      <c r="B34" s="179"/>
      <c r="C34" s="176"/>
      <c r="D34" s="176"/>
      <c r="E34" s="22"/>
      <c r="F34" s="22"/>
      <c r="G34" s="23"/>
      <c r="H34" s="22"/>
      <c r="I34" s="22"/>
      <c r="J34" s="22"/>
      <c r="K34" s="22"/>
      <c r="L34" s="11"/>
      <c r="M34" s="25"/>
      <c r="N34" s="11"/>
      <c r="O34" s="11"/>
      <c r="P34" s="11"/>
      <c r="Q34"/>
    </row>
    <row r="35" spans="1:17" ht="20.100000000000001" customHeight="1" x14ac:dyDescent="0.25">
      <c r="A35" s="155">
        <v>32</v>
      </c>
      <c r="B35" s="178"/>
      <c r="C35" s="157"/>
      <c r="D35" s="157"/>
      <c r="E35" s="22"/>
      <c r="F35" s="22"/>
      <c r="G35" s="22"/>
      <c r="H35" s="22"/>
      <c r="I35" s="22"/>
      <c r="J35" s="22"/>
      <c r="K35" s="22"/>
      <c r="L35" s="11"/>
      <c r="M35" s="25"/>
      <c r="N35" s="11"/>
      <c r="O35" s="11"/>
      <c r="P35" s="11"/>
      <c r="Q35"/>
    </row>
    <row r="36" spans="1:17" ht="20.100000000000001" customHeight="1" x14ac:dyDescent="0.25">
      <c r="A36" s="155">
        <v>33</v>
      </c>
      <c r="B36" s="178"/>
      <c r="C36" s="157"/>
      <c r="D36" s="157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/>
    </row>
    <row r="37" spans="1:17" ht="20.100000000000001" customHeight="1" x14ac:dyDescent="0.25">
      <c r="A37" s="155">
        <v>34</v>
      </c>
      <c r="B37" s="180"/>
      <c r="C37" s="177"/>
      <c r="D37" s="177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/>
    </row>
    <row r="38" spans="1:17" ht="20.100000000000001" customHeight="1" x14ac:dyDescent="0.25">
      <c r="A38" s="155">
        <v>35</v>
      </c>
      <c r="B38" s="178"/>
      <c r="C38" s="157"/>
      <c r="D38" s="157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/>
    </row>
    <row r="39" spans="1:17" ht="20.100000000000001" customHeight="1" x14ac:dyDescent="0.25">
      <c r="A39" s="155">
        <v>36</v>
      </c>
      <c r="B39" s="178"/>
      <c r="C39" s="157"/>
      <c r="D39" s="157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/>
    </row>
    <row r="40" spans="1:17" ht="20.100000000000001" customHeight="1" x14ac:dyDescent="0.25">
      <c r="A40" s="155">
        <v>37</v>
      </c>
      <c r="B40" s="178"/>
      <c r="C40" s="157"/>
      <c r="D40" s="157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/>
    </row>
    <row r="41" spans="1:17" ht="20.100000000000001" customHeight="1" x14ac:dyDescent="0.25">
      <c r="A41" s="155">
        <v>38</v>
      </c>
      <c r="B41" s="178"/>
      <c r="C41" s="157"/>
      <c r="D41" s="157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/>
    </row>
    <row r="42" spans="1:17" ht="20.100000000000001" customHeight="1" x14ac:dyDescent="0.25">
      <c r="A42" s="155">
        <v>39</v>
      </c>
      <c r="B42" s="178"/>
      <c r="C42" s="157"/>
      <c r="D42" s="157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/>
    </row>
    <row r="43" spans="1:17" ht="20.100000000000001" customHeight="1" x14ac:dyDescent="0.25">
      <c r="A43" s="155">
        <v>40</v>
      </c>
      <c r="B43" s="178"/>
      <c r="C43" s="157"/>
      <c r="D43" s="157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/>
    </row>
    <row r="44" spans="1:17" ht="20.100000000000001" customHeight="1" x14ac:dyDescent="0.25">
      <c r="A44" s="155">
        <v>41</v>
      </c>
      <c r="B44" s="178"/>
      <c r="C44" s="157"/>
      <c r="D44" s="157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/>
    </row>
    <row r="45" spans="1:17" ht="20.100000000000001" customHeight="1" x14ac:dyDescent="0.25">
      <c r="A45" s="155">
        <v>42</v>
      </c>
      <c r="B45" s="178"/>
      <c r="C45" s="157"/>
      <c r="D45" s="157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/>
    </row>
    <row r="46" spans="1:17" ht="20.100000000000001" customHeight="1" x14ac:dyDescent="0.25">
      <c r="A46" s="155">
        <v>43</v>
      </c>
      <c r="B46" s="178"/>
      <c r="C46" s="157"/>
      <c r="D46" s="157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/>
    </row>
    <row r="47" spans="1:17" ht="20.100000000000001" customHeight="1" x14ac:dyDescent="0.25">
      <c r="A47" s="155">
        <v>44</v>
      </c>
      <c r="B47" s="178"/>
      <c r="C47" s="157"/>
      <c r="D47" s="157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/>
    </row>
    <row r="48" spans="1:17" ht="20.100000000000001" customHeight="1" x14ac:dyDescent="0.25">
      <c r="A48" s="155">
        <v>45</v>
      </c>
      <c r="B48" s="178"/>
      <c r="C48" s="157"/>
      <c r="D48" s="157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/>
    </row>
    <row r="49" spans="1:17" ht="20.100000000000001" customHeight="1" x14ac:dyDescent="0.25">
      <c r="A49" s="155">
        <v>46</v>
      </c>
      <c r="B49" s="153"/>
      <c r="C49" s="42"/>
      <c r="D49" s="42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/>
    </row>
    <row r="50" spans="1:17" ht="20.100000000000001" customHeight="1" x14ac:dyDescent="0.25">
      <c r="A50" s="155">
        <v>47</v>
      </c>
      <c r="B50" s="153"/>
      <c r="C50" s="42"/>
      <c r="D50" s="42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/>
    </row>
    <row r="51" spans="1:17" ht="20.100000000000001" customHeight="1" x14ac:dyDescent="0.25">
      <c r="A51" s="155">
        <v>48</v>
      </c>
      <c r="B51" s="153"/>
      <c r="C51" s="42"/>
      <c r="D51" s="42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/>
    </row>
    <row r="52" spans="1:17" ht="20.100000000000001" customHeight="1" x14ac:dyDescent="0.25">
      <c r="A52" s="155">
        <v>49</v>
      </c>
      <c r="B52" s="153"/>
      <c r="C52" s="42"/>
      <c r="D52" s="42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/>
    </row>
    <row r="53" spans="1:17" ht="20.100000000000001" customHeight="1" x14ac:dyDescent="0.25">
      <c r="A53" s="155">
        <v>50</v>
      </c>
      <c r="B53" s="153"/>
      <c r="C53" s="42"/>
      <c r="D53" s="42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/>
    </row>
    <row r="54" spans="1:17" ht="20.100000000000001" customHeight="1" x14ac:dyDescent="0.25">
      <c r="A54" s="155">
        <v>51</v>
      </c>
      <c r="B54" s="153"/>
      <c r="C54" s="42"/>
      <c r="D54" s="42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/>
    </row>
    <row r="55" spans="1:17" ht="20.100000000000001" customHeight="1" x14ac:dyDescent="0.25">
      <c r="A55" s="155">
        <v>52</v>
      </c>
      <c r="B55" s="153"/>
      <c r="C55" s="42"/>
      <c r="D55" s="42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1:17" ht="20.100000000000001" customHeight="1" x14ac:dyDescent="0.25">
      <c r="A56" s="155">
        <v>53</v>
      </c>
      <c r="B56" s="153"/>
      <c r="C56" s="42"/>
      <c r="D56" s="42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17" ht="20.100000000000001" customHeight="1" x14ac:dyDescent="0.25">
      <c r="A57" s="155">
        <v>54</v>
      </c>
      <c r="B57" s="153"/>
      <c r="C57" s="42"/>
      <c r="D57" s="42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spans="1:17" ht="20.100000000000001" customHeight="1" x14ac:dyDescent="0.25">
      <c r="A58" s="155">
        <v>55</v>
      </c>
      <c r="B58" s="153"/>
      <c r="C58" s="42"/>
      <c r="D58" s="42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</sheetData>
  <mergeCells count="2">
    <mergeCell ref="A1:Q1"/>
    <mergeCell ref="A2:Q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workbookViewId="0">
      <selection activeCell="B4" sqref="B4:B40"/>
    </sheetView>
  </sheetViews>
  <sheetFormatPr defaultRowHeight="15" x14ac:dyDescent="0.25"/>
  <cols>
    <col min="1" max="1" width="6.7109375" style="10" customWidth="1"/>
    <col min="2" max="2" width="35.140625" bestFit="1" customWidth="1"/>
    <col min="3" max="3" width="4.7109375" customWidth="1"/>
    <col min="4" max="4" width="4.140625" customWidth="1"/>
    <col min="5" max="5" width="12" style="10" customWidth="1"/>
    <col min="6" max="7" width="10.5703125" style="10" customWidth="1"/>
  </cols>
  <sheetData>
    <row r="1" spans="1:8" ht="20.25" x14ac:dyDescent="0.25">
      <c r="A1" s="243" t="s">
        <v>62</v>
      </c>
      <c r="B1" s="244"/>
      <c r="C1" s="244"/>
      <c r="D1" s="244"/>
      <c r="E1" s="244"/>
      <c r="F1" s="244"/>
      <c r="G1" s="244"/>
      <c r="H1" s="244"/>
    </row>
    <row r="2" spans="1:8" x14ac:dyDescent="0.25">
      <c r="A2" s="245" t="s">
        <v>49</v>
      </c>
      <c r="B2" s="246"/>
      <c r="C2" s="246"/>
      <c r="D2" s="246"/>
      <c r="E2" s="246"/>
      <c r="F2" s="246"/>
      <c r="G2" s="246"/>
      <c r="H2" s="246"/>
    </row>
    <row r="3" spans="1:8" ht="67.5" customHeight="1" thickBot="1" x14ac:dyDescent="0.3">
      <c r="A3" s="13" t="s">
        <v>24</v>
      </c>
      <c r="B3" s="14" t="s">
        <v>1</v>
      </c>
      <c r="C3" s="15" t="s">
        <v>2</v>
      </c>
      <c r="D3" s="14" t="s">
        <v>3</v>
      </c>
      <c r="E3" s="57" t="s">
        <v>26</v>
      </c>
      <c r="F3" s="57" t="s">
        <v>27</v>
      </c>
      <c r="G3" s="57" t="s">
        <v>16</v>
      </c>
      <c r="H3" s="91" t="s">
        <v>17</v>
      </c>
    </row>
    <row r="4" spans="1:8" ht="20.100000000000001" customHeight="1" x14ac:dyDescent="0.25">
      <c r="A4" s="154">
        <v>1</v>
      </c>
      <c r="B4" s="141"/>
      <c r="C4" s="145">
        <v>16</v>
      </c>
      <c r="D4" s="145" t="s">
        <v>20</v>
      </c>
      <c r="E4" s="25">
        <f>'12A (NS) Sem 1'!M4</f>
        <v>63.714285714285715</v>
      </c>
      <c r="F4" s="25">
        <f>'12A (NS)Sem 2'!M4</f>
        <v>72.714285714285708</v>
      </c>
      <c r="G4" s="25">
        <f>AVERAGE(E4:F4)</f>
        <v>68.214285714285708</v>
      </c>
      <c r="H4" s="11">
        <f>RANK(G4,$G$4:$G$32)</f>
        <v>28</v>
      </c>
    </row>
    <row r="5" spans="1:8" ht="20.100000000000001" customHeight="1" x14ac:dyDescent="0.25">
      <c r="A5" s="155">
        <v>2</v>
      </c>
      <c r="B5" s="141"/>
      <c r="C5" s="145">
        <v>18</v>
      </c>
      <c r="D5" s="145" t="s">
        <v>20</v>
      </c>
      <c r="E5" s="25">
        <f>'12A (NS) Sem 1'!M5</f>
        <v>90</v>
      </c>
      <c r="F5" s="25">
        <f>'12A (NS)Sem 2'!M5</f>
        <v>94</v>
      </c>
      <c r="G5" s="25">
        <f t="shared" ref="G5:G58" si="0">AVERAGE(E5:F5)</f>
        <v>92</v>
      </c>
      <c r="H5" s="11">
        <f t="shared" ref="H5:H32" si="1">RANK(G5,$G$4:$G$32)</f>
        <v>5</v>
      </c>
    </row>
    <row r="6" spans="1:8" ht="20.100000000000001" customHeight="1" x14ac:dyDescent="0.25">
      <c r="A6" s="156">
        <v>3</v>
      </c>
      <c r="B6" s="141"/>
      <c r="C6" s="145">
        <v>18</v>
      </c>
      <c r="D6" s="145" t="s">
        <v>20</v>
      </c>
      <c r="E6" s="25">
        <f>'12A (NS) Sem 1'!M6</f>
        <v>68.428571428571431</v>
      </c>
      <c r="F6" s="25">
        <f>'12A (NS)Sem 2'!M6</f>
        <v>75.285714285714292</v>
      </c>
      <c r="G6" s="25">
        <f t="shared" si="0"/>
        <v>71.857142857142861</v>
      </c>
      <c r="H6" s="11">
        <f t="shared" si="1"/>
        <v>24</v>
      </c>
    </row>
    <row r="7" spans="1:8" ht="20.100000000000001" customHeight="1" x14ac:dyDescent="0.25">
      <c r="A7" s="155">
        <v>4</v>
      </c>
      <c r="B7" s="141"/>
      <c r="C7" s="145">
        <v>18</v>
      </c>
      <c r="D7" s="145" t="s">
        <v>20</v>
      </c>
      <c r="E7" s="25">
        <f>'12A (NS) Sem 1'!M7</f>
        <v>79.428571428571431</v>
      </c>
      <c r="F7" s="25">
        <f>'12A (NS)Sem 2'!M7</f>
        <v>81.857142857142861</v>
      </c>
      <c r="G7" s="25">
        <f t="shared" si="0"/>
        <v>80.642857142857139</v>
      </c>
      <c r="H7" s="11">
        <f t="shared" si="1"/>
        <v>19</v>
      </c>
    </row>
    <row r="8" spans="1:8" ht="20.100000000000001" customHeight="1" x14ac:dyDescent="0.25">
      <c r="A8" s="155">
        <v>5</v>
      </c>
      <c r="B8" s="141"/>
      <c r="C8" s="145">
        <v>17</v>
      </c>
      <c r="D8" s="145" t="s">
        <v>20</v>
      </c>
      <c r="E8" s="25">
        <f>'12A (NS) Sem 1'!M8</f>
        <v>81.857142857142861</v>
      </c>
      <c r="F8" s="25">
        <f>'12A (NS)Sem 2'!M8</f>
        <v>87.142857142857139</v>
      </c>
      <c r="G8" s="25">
        <f t="shared" si="0"/>
        <v>84.5</v>
      </c>
      <c r="H8" s="11">
        <f t="shared" si="1"/>
        <v>11</v>
      </c>
    </row>
    <row r="9" spans="1:8" ht="20.100000000000001" customHeight="1" x14ac:dyDescent="0.25">
      <c r="A9" s="156">
        <v>6</v>
      </c>
      <c r="B9" s="141"/>
      <c r="C9" s="145">
        <v>17</v>
      </c>
      <c r="D9" s="145" t="s">
        <v>23</v>
      </c>
      <c r="E9" s="25">
        <f>'12A (NS) Sem 1'!M9</f>
        <v>84.142857142857139</v>
      </c>
      <c r="F9" s="25">
        <f>'12A (NS)Sem 2'!M9</f>
        <v>89</v>
      </c>
      <c r="G9" s="25">
        <f t="shared" si="0"/>
        <v>86.571428571428569</v>
      </c>
      <c r="H9" s="11">
        <f t="shared" si="1"/>
        <v>8</v>
      </c>
    </row>
    <row r="10" spans="1:8" ht="20.100000000000001" customHeight="1" x14ac:dyDescent="0.25">
      <c r="A10" s="155">
        <v>7</v>
      </c>
      <c r="B10" s="141"/>
      <c r="C10" s="145">
        <v>18</v>
      </c>
      <c r="D10" s="145" t="s">
        <v>23</v>
      </c>
      <c r="E10" s="25">
        <f>'12A (NS) Sem 1'!M10</f>
        <v>81.571428571428569</v>
      </c>
      <c r="F10" s="25">
        <f>'12A (NS)Sem 2'!M10</f>
        <v>87.428571428571431</v>
      </c>
      <c r="G10" s="25">
        <f t="shared" si="0"/>
        <v>84.5</v>
      </c>
      <c r="H10" s="11">
        <f t="shared" si="1"/>
        <v>11</v>
      </c>
    </row>
    <row r="11" spans="1:8" ht="20.100000000000001" customHeight="1" x14ac:dyDescent="0.25">
      <c r="A11" s="155">
        <v>8</v>
      </c>
      <c r="B11" s="141"/>
      <c r="C11" s="145">
        <v>18</v>
      </c>
      <c r="D11" s="145" t="s">
        <v>20</v>
      </c>
      <c r="E11" s="25">
        <f>'12A (NS) Sem 1'!M11</f>
        <v>83.571428571428569</v>
      </c>
      <c r="F11" s="25">
        <f>'12A (NS)Sem 2'!M11</f>
        <v>85.571428571428569</v>
      </c>
      <c r="G11" s="25">
        <f t="shared" si="0"/>
        <v>84.571428571428569</v>
      </c>
      <c r="H11" s="11">
        <f t="shared" si="1"/>
        <v>10</v>
      </c>
    </row>
    <row r="12" spans="1:8" ht="20.100000000000001" customHeight="1" x14ac:dyDescent="0.25">
      <c r="A12" s="156">
        <v>9</v>
      </c>
      <c r="B12" s="141"/>
      <c r="C12" s="145">
        <v>18</v>
      </c>
      <c r="D12" s="145" t="s">
        <v>23</v>
      </c>
      <c r="E12" s="25">
        <f>'12A (NS) Sem 1'!M12</f>
        <v>85.714285714285708</v>
      </c>
      <c r="F12" s="25">
        <f>'12A (NS)Sem 2'!M12</f>
        <v>91.857142857142861</v>
      </c>
      <c r="G12" s="25">
        <f t="shared" si="0"/>
        <v>88.785714285714278</v>
      </c>
      <c r="H12" s="11">
        <f t="shared" si="1"/>
        <v>7</v>
      </c>
    </row>
    <row r="13" spans="1:8" ht="20.100000000000001" customHeight="1" x14ac:dyDescent="0.25">
      <c r="A13" s="155">
        <v>10</v>
      </c>
      <c r="B13" s="141"/>
      <c r="C13" s="145">
        <v>17</v>
      </c>
      <c r="D13" s="145" t="s">
        <v>20</v>
      </c>
      <c r="E13" s="25">
        <f>'12A (NS) Sem 1'!M13</f>
        <v>77.857142857142861</v>
      </c>
      <c r="F13" s="25">
        <f>'12A (NS)Sem 2'!M13</f>
        <v>83.571428571428569</v>
      </c>
      <c r="G13" s="25">
        <f t="shared" si="0"/>
        <v>80.714285714285722</v>
      </c>
      <c r="H13" s="11">
        <f t="shared" si="1"/>
        <v>18</v>
      </c>
    </row>
    <row r="14" spans="1:8" ht="20.100000000000001" customHeight="1" x14ac:dyDescent="0.25">
      <c r="A14" s="156">
        <v>11</v>
      </c>
      <c r="B14" s="141"/>
      <c r="C14" s="145">
        <v>18</v>
      </c>
      <c r="D14" s="145" t="s">
        <v>23</v>
      </c>
      <c r="E14" s="25">
        <f>'12A (NS) Sem 1'!M14</f>
        <v>75.285714285714292</v>
      </c>
      <c r="F14" s="25">
        <f>'12A (NS)Sem 2'!M14</f>
        <v>80.428571428571431</v>
      </c>
      <c r="G14" s="25">
        <f t="shared" si="0"/>
        <v>77.857142857142861</v>
      </c>
      <c r="H14" s="11">
        <f t="shared" si="1"/>
        <v>22</v>
      </c>
    </row>
    <row r="15" spans="1:8" ht="20.100000000000001" customHeight="1" x14ac:dyDescent="0.25">
      <c r="A15" s="156">
        <v>12</v>
      </c>
      <c r="B15" s="141"/>
      <c r="C15" s="145">
        <v>17</v>
      </c>
      <c r="D15" s="145" t="s">
        <v>20</v>
      </c>
      <c r="E15" s="25">
        <f>'12A (NS) Sem 1'!M15</f>
        <v>90.428571428571431</v>
      </c>
      <c r="F15" s="25">
        <f>'12A (NS)Sem 2'!M15</f>
        <v>93.714285714285708</v>
      </c>
      <c r="G15" s="25">
        <f t="shared" si="0"/>
        <v>92.071428571428569</v>
      </c>
      <c r="H15" s="11">
        <f t="shared" si="1"/>
        <v>4</v>
      </c>
    </row>
    <row r="16" spans="1:8" ht="20.100000000000001" customHeight="1" x14ac:dyDescent="0.25">
      <c r="A16" s="156">
        <v>13</v>
      </c>
      <c r="B16" s="141"/>
      <c r="C16" s="145">
        <v>18</v>
      </c>
      <c r="D16" s="145" t="s">
        <v>23</v>
      </c>
      <c r="E16" s="25">
        <f>'12A (NS) Sem 1'!M16</f>
        <v>80.142857142857139</v>
      </c>
      <c r="F16" s="25">
        <f>'12A (NS)Sem 2'!M16</f>
        <v>85.571428571428569</v>
      </c>
      <c r="G16" s="25">
        <f t="shared" si="0"/>
        <v>82.857142857142861</v>
      </c>
      <c r="H16" s="11">
        <f t="shared" si="1"/>
        <v>14</v>
      </c>
    </row>
    <row r="17" spans="1:8" ht="20.100000000000001" customHeight="1" x14ac:dyDescent="0.25">
      <c r="A17" s="155">
        <v>14</v>
      </c>
      <c r="B17" s="141"/>
      <c r="C17" s="145">
        <v>17</v>
      </c>
      <c r="D17" s="145" t="s">
        <v>23</v>
      </c>
      <c r="E17" s="25">
        <f>'12A (NS) Sem 1'!M17</f>
        <v>67</v>
      </c>
      <c r="F17" s="25">
        <f>'12A (NS)Sem 2'!M17</f>
        <v>74.857142857142861</v>
      </c>
      <c r="G17" s="25">
        <f t="shared" si="0"/>
        <v>70.928571428571431</v>
      </c>
      <c r="H17" s="11">
        <f t="shared" si="1"/>
        <v>25</v>
      </c>
    </row>
    <row r="18" spans="1:8" ht="20.100000000000001" customHeight="1" x14ac:dyDescent="0.25">
      <c r="A18" s="156">
        <v>15</v>
      </c>
      <c r="B18" s="141"/>
      <c r="C18" s="145">
        <v>17</v>
      </c>
      <c r="D18" s="145" t="s">
        <v>20</v>
      </c>
      <c r="E18" s="25">
        <f>'12A (NS) Sem 1'!M18</f>
        <v>83.428571428571431</v>
      </c>
      <c r="F18" s="25">
        <f>'12A (NS)Sem 2'!M18</f>
        <v>86.142857142857139</v>
      </c>
      <c r="G18" s="25">
        <f t="shared" si="0"/>
        <v>84.785714285714278</v>
      </c>
      <c r="H18" s="11">
        <f t="shared" si="1"/>
        <v>9</v>
      </c>
    </row>
    <row r="19" spans="1:8" ht="20.100000000000001" customHeight="1" x14ac:dyDescent="0.25">
      <c r="A19" s="155">
        <v>16</v>
      </c>
      <c r="B19" s="141"/>
      <c r="C19" s="145">
        <v>17</v>
      </c>
      <c r="D19" s="145" t="s">
        <v>23</v>
      </c>
      <c r="E19" s="25">
        <f>'12A (NS) Sem 1'!M19</f>
        <v>79.857142857142861</v>
      </c>
      <c r="F19" s="25">
        <f>'12A (NS)Sem 2'!M19</f>
        <v>85.857142857142861</v>
      </c>
      <c r="G19" s="25">
        <f t="shared" si="0"/>
        <v>82.857142857142861</v>
      </c>
      <c r="H19" s="11">
        <f t="shared" si="1"/>
        <v>14</v>
      </c>
    </row>
    <row r="20" spans="1:8" ht="20.100000000000001" customHeight="1" x14ac:dyDescent="0.25">
      <c r="A20" s="155">
        <v>17</v>
      </c>
      <c r="B20" s="141"/>
      <c r="C20" s="145">
        <v>17</v>
      </c>
      <c r="D20" s="145" t="s">
        <v>20</v>
      </c>
      <c r="E20" s="25">
        <f>'12A (NS) Sem 1'!M20</f>
        <v>65</v>
      </c>
      <c r="F20" s="25">
        <f>'12A (NS)Sem 2'!M20</f>
        <v>73</v>
      </c>
      <c r="G20" s="25">
        <f t="shared" si="0"/>
        <v>69</v>
      </c>
      <c r="H20" s="11">
        <f t="shared" si="1"/>
        <v>27</v>
      </c>
    </row>
    <row r="21" spans="1:8" ht="20.100000000000001" customHeight="1" x14ac:dyDescent="0.25">
      <c r="A21" s="155">
        <v>18</v>
      </c>
      <c r="B21" s="141"/>
      <c r="C21" s="145">
        <v>17</v>
      </c>
      <c r="D21" s="145" t="s">
        <v>23</v>
      </c>
      <c r="E21" s="25">
        <f>'12A (NS) Sem 1'!M21</f>
        <v>71.857142857142861</v>
      </c>
      <c r="F21" s="25">
        <f>'12A (NS)Sem 2'!M21</f>
        <v>79.571428571428569</v>
      </c>
      <c r="G21" s="25">
        <f t="shared" si="0"/>
        <v>75.714285714285722</v>
      </c>
      <c r="H21" s="11">
        <f t="shared" si="1"/>
        <v>23</v>
      </c>
    </row>
    <row r="22" spans="1:8" ht="20.100000000000001" customHeight="1" x14ac:dyDescent="0.25">
      <c r="A22" s="156">
        <v>19</v>
      </c>
      <c r="B22" s="141"/>
      <c r="C22" s="145">
        <v>17</v>
      </c>
      <c r="D22" s="145" t="s">
        <v>20</v>
      </c>
      <c r="E22" s="25">
        <f>'12A (NS) Sem 1'!M22</f>
        <v>68</v>
      </c>
      <c r="F22" s="25">
        <f>'12A (NS)Sem 2'!M22</f>
        <v>73.571428571428569</v>
      </c>
      <c r="G22" s="25">
        <f t="shared" si="0"/>
        <v>70.785714285714278</v>
      </c>
      <c r="H22" s="11">
        <f t="shared" si="1"/>
        <v>26</v>
      </c>
    </row>
    <row r="23" spans="1:8" ht="20.100000000000001" customHeight="1" x14ac:dyDescent="0.25">
      <c r="A23" s="156">
        <v>20</v>
      </c>
      <c r="B23" s="141"/>
      <c r="C23" s="145">
        <v>17</v>
      </c>
      <c r="D23" s="145" t="s">
        <v>20</v>
      </c>
      <c r="E23" s="25">
        <f>'12A (NS) Sem 1'!M23</f>
        <v>78.857142857142861</v>
      </c>
      <c r="F23" s="25">
        <f>'12A (NS)Sem 2'!M23</f>
        <v>81.428571428571431</v>
      </c>
      <c r="G23" s="25">
        <f t="shared" si="0"/>
        <v>80.142857142857139</v>
      </c>
      <c r="H23" s="11">
        <f t="shared" si="1"/>
        <v>20</v>
      </c>
    </row>
    <row r="24" spans="1:8" ht="20.100000000000001" customHeight="1" x14ac:dyDescent="0.25">
      <c r="A24" s="156">
        <v>21</v>
      </c>
      <c r="B24" s="141"/>
      <c r="C24" s="145">
        <v>18</v>
      </c>
      <c r="D24" s="145" t="s">
        <v>20</v>
      </c>
      <c r="E24" s="25">
        <f>'12A (NS) Sem 1'!M24</f>
        <v>81.857142857142861</v>
      </c>
      <c r="F24" s="25">
        <f>'12A (NS)Sem 2'!M24</f>
        <v>86.714285714285708</v>
      </c>
      <c r="G24" s="25">
        <f t="shared" si="0"/>
        <v>84.285714285714278</v>
      </c>
      <c r="H24" s="11">
        <f t="shared" si="1"/>
        <v>13</v>
      </c>
    </row>
    <row r="25" spans="1:8" ht="20.100000000000001" customHeight="1" x14ac:dyDescent="0.25">
      <c r="A25" s="155">
        <v>22</v>
      </c>
      <c r="B25" s="141"/>
      <c r="C25" s="145">
        <v>17</v>
      </c>
      <c r="D25" s="145" t="s">
        <v>23</v>
      </c>
      <c r="E25" s="25">
        <f>'12A (NS) Sem 1'!M25</f>
        <v>80.428571428571431</v>
      </c>
      <c r="F25" s="25">
        <f>'12A (NS)Sem 2'!M25</f>
        <v>84.285714285714292</v>
      </c>
      <c r="G25" s="25">
        <f t="shared" si="0"/>
        <v>82.357142857142861</v>
      </c>
      <c r="H25" s="11">
        <f t="shared" si="1"/>
        <v>16</v>
      </c>
    </row>
    <row r="26" spans="1:8" ht="20.100000000000001" customHeight="1" x14ac:dyDescent="0.25">
      <c r="A26" s="155">
        <v>23</v>
      </c>
      <c r="B26" s="141"/>
      <c r="C26" s="145">
        <v>17</v>
      </c>
      <c r="D26" s="145" t="s">
        <v>23</v>
      </c>
      <c r="E26" s="25">
        <f>'12A (NS) Sem 1'!M26</f>
        <v>77.428571428571431</v>
      </c>
      <c r="F26" s="25">
        <f>'12A (NS)Sem 2'!M26</f>
        <v>81.285714285714292</v>
      </c>
      <c r="G26" s="25">
        <f t="shared" si="0"/>
        <v>79.357142857142861</v>
      </c>
      <c r="H26" s="11">
        <f t="shared" si="1"/>
        <v>21</v>
      </c>
    </row>
    <row r="27" spans="1:8" ht="20.100000000000001" customHeight="1" x14ac:dyDescent="0.25">
      <c r="A27" s="156">
        <v>24</v>
      </c>
      <c r="B27" s="141"/>
      <c r="C27" s="145">
        <v>19</v>
      </c>
      <c r="D27" s="145" t="s">
        <v>20</v>
      </c>
      <c r="E27" s="25">
        <f>'12A (NS) Sem 1'!M27</f>
        <v>98</v>
      </c>
      <c r="F27" s="25">
        <f>'12A (NS)Sem 2'!M27</f>
        <v>98.285714285714292</v>
      </c>
      <c r="G27" s="25">
        <f t="shared" si="0"/>
        <v>98.142857142857139</v>
      </c>
      <c r="H27" s="11">
        <f t="shared" si="1"/>
        <v>2</v>
      </c>
    </row>
    <row r="28" spans="1:8" ht="20.100000000000001" customHeight="1" x14ac:dyDescent="0.25">
      <c r="A28" s="155">
        <v>25</v>
      </c>
      <c r="B28" s="172"/>
      <c r="C28" s="150">
        <v>18</v>
      </c>
      <c r="D28" s="150" t="s">
        <v>23</v>
      </c>
      <c r="E28" s="25">
        <f>'12A (NS) Sem 1'!M28</f>
        <v>98.428571428571431</v>
      </c>
      <c r="F28" s="25">
        <f>'12A (NS)Sem 2'!M28</f>
        <v>98.857142857142861</v>
      </c>
      <c r="G28" s="25">
        <f t="shared" si="0"/>
        <v>98.642857142857139</v>
      </c>
      <c r="H28" s="11">
        <f t="shared" si="1"/>
        <v>1</v>
      </c>
    </row>
    <row r="29" spans="1:8" ht="20.100000000000001" customHeight="1" x14ac:dyDescent="0.25">
      <c r="A29" s="156">
        <v>26</v>
      </c>
      <c r="B29" s="141"/>
      <c r="C29" s="145">
        <v>17</v>
      </c>
      <c r="D29" s="145" t="s">
        <v>23</v>
      </c>
      <c r="E29" s="25">
        <f>'12A (NS) Sem 1'!M29</f>
        <v>90.857142857142861</v>
      </c>
      <c r="F29" s="25">
        <f>'12A (NS)Sem 2'!M29</f>
        <v>95.428571428571431</v>
      </c>
      <c r="G29" s="25">
        <f t="shared" si="0"/>
        <v>93.142857142857139</v>
      </c>
      <c r="H29" s="11">
        <f t="shared" si="1"/>
        <v>3</v>
      </c>
    </row>
    <row r="30" spans="1:8" ht="20.100000000000001" customHeight="1" x14ac:dyDescent="0.25">
      <c r="A30" s="156">
        <v>27</v>
      </c>
      <c r="B30" s="141"/>
      <c r="C30" s="145">
        <v>17</v>
      </c>
      <c r="D30" s="145" t="s">
        <v>23</v>
      </c>
      <c r="E30" s="25">
        <f>'12A (NS) Sem 1'!M30</f>
        <v>76.714285714285708</v>
      </c>
      <c r="F30" s="25">
        <f>'12A (NS)Sem 2'!M30</f>
        <v>86.571428571428569</v>
      </c>
      <c r="G30" s="25">
        <f t="shared" si="0"/>
        <v>81.642857142857139</v>
      </c>
      <c r="H30" s="11">
        <f t="shared" si="1"/>
        <v>17</v>
      </c>
    </row>
    <row r="31" spans="1:8" ht="20.100000000000001" customHeight="1" x14ac:dyDescent="0.25">
      <c r="A31" s="156">
        <v>28</v>
      </c>
      <c r="B31" s="141"/>
      <c r="C31" s="145">
        <v>17</v>
      </c>
      <c r="D31" s="145" t="s">
        <v>23</v>
      </c>
      <c r="E31" s="25">
        <f>'12A (NS) Sem 1'!M31</f>
        <v>59.857142857142854</v>
      </c>
      <c r="F31" s="25">
        <f>'12A (NS)Sem 2'!M31</f>
        <v>71.285714285714292</v>
      </c>
      <c r="G31" s="25">
        <f t="shared" si="0"/>
        <v>65.571428571428569</v>
      </c>
      <c r="H31" s="11">
        <f t="shared" si="1"/>
        <v>29</v>
      </c>
    </row>
    <row r="32" spans="1:8" ht="20.100000000000001" customHeight="1" x14ac:dyDescent="0.25">
      <c r="A32" s="155">
        <v>29</v>
      </c>
      <c r="B32" s="141"/>
      <c r="C32" s="145">
        <v>17</v>
      </c>
      <c r="D32" s="145" t="s">
        <v>20</v>
      </c>
      <c r="E32" s="25">
        <f>'12A (NS) Sem 1'!M32</f>
        <v>88.428571428571431</v>
      </c>
      <c r="F32" s="25">
        <f>'12A (NS)Sem 2'!M32</f>
        <v>91.857142857142861</v>
      </c>
      <c r="G32" s="25">
        <f t="shared" si="0"/>
        <v>90.142857142857139</v>
      </c>
      <c r="H32" s="11">
        <f t="shared" si="1"/>
        <v>6</v>
      </c>
    </row>
    <row r="33" spans="1:8" ht="20.100000000000001" customHeight="1" x14ac:dyDescent="0.25">
      <c r="A33" s="156">
        <v>30</v>
      </c>
      <c r="B33" s="178"/>
      <c r="C33" s="157"/>
      <c r="D33" s="157"/>
      <c r="E33" s="25">
        <f>'12A (NS) Sem 1'!M33</f>
        <v>0</v>
      </c>
      <c r="F33" s="25">
        <f>'12A (NS)Sem 2'!M33</f>
        <v>0</v>
      </c>
      <c r="G33" s="25">
        <f t="shared" si="0"/>
        <v>0</v>
      </c>
      <c r="H33" s="11"/>
    </row>
    <row r="34" spans="1:8" ht="20.100000000000001" customHeight="1" x14ac:dyDescent="0.25">
      <c r="A34" s="155">
        <v>31</v>
      </c>
      <c r="B34" s="179"/>
      <c r="C34" s="176"/>
      <c r="D34" s="176"/>
      <c r="E34" s="25">
        <f>'12A (NS) Sem 1'!M34</f>
        <v>0</v>
      </c>
      <c r="F34" s="25">
        <f>'12A (NS)Sem 2'!M34</f>
        <v>0</v>
      </c>
      <c r="G34" s="25">
        <f t="shared" si="0"/>
        <v>0</v>
      </c>
      <c r="H34" s="11"/>
    </row>
    <row r="35" spans="1:8" ht="20.100000000000001" customHeight="1" x14ac:dyDescent="0.25">
      <c r="A35" s="156">
        <v>32</v>
      </c>
      <c r="B35" s="178"/>
      <c r="C35" s="157"/>
      <c r="D35" s="157"/>
      <c r="E35" s="25">
        <f>'12A (NS) Sem 1'!M35</f>
        <v>0</v>
      </c>
      <c r="F35" s="25">
        <f>'12A (NS)Sem 2'!M35</f>
        <v>0</v>
      </c>
      <c r="G35" s="25">
        <f t="shared" si="0"/>
        <v>0</v>
      </c>
      <c r="H35" s="11"/>
    </row>
    <row r="36" spans="1:8" ht="20.100000000000001" customHeight="1" x14ac:dyDescent="0.25">
      <c r="A36" s="155">
        <v>33</v>
      </c>
      <c r="B36" s="178"/>
      <c r="C36" s="157"/>
      <c r="D36" s="157"/>
      <c r="E36" s="25">
        <f>'12A (NS) Sem 1'!M36</f>
        <v>0</v>
      </c>
      <c r="F36" s="25">
        <f>'12A (NS)Sem 2'!M36</f>
        <v>0</v>
      </c>
      <c r="G36" s="25">
        <f t="shared" si="0"/>
        <v>0</v>
      </c>
      <c r="H36" s="11"/>
    </row>
    <row r="37" spans="1:8" ht="20.100000000000001" customHeight="1" x14ac:dyDescent="0.25">
      <c r="A37" s="156">
        <v>34</v>
      </c>
      <c r="B37" s="180"/>
      <c r="C37" s="177"/>
      <c r="D37" s="177"/>
      <c r="E37" s="25">
        <f>'12A (NS) Sem 1'!M37</f>
        <v>0</v>
      </c>
      <c r="F37" s="25">
        <f>'12A (NS)Sem 2'!M37</f>
        <v>0</v>
      </c>
      <c r="G37" s="25">
        <f t="shared" si="0"/>
        <v>0</v>
      </c>
      <c r="H37" s="11"/>
    </row>
    <row r="38" spans="1:8" ht="20.100000000000001" customHeight="1" x14ac:dyDescent="0.25">
      <c r="A38" s="155">
        <v>35</v>
      </c>
      <c r="B38" s="178"/>
      <c r="C38" s="157"/>
      <c r="D38" s="157"/>
      <c r="E38" s="25">
        <f>'12A (NS) Sem 1'!M38</f>
        <v>0</v>
      </c>
      <c r="F38" s="25">
        <f>'12A (NS)Sem 2'!M38</f>
        <v>0</v>
      </c>
      <c r="G38" s="25">
        <f t="shared" si="0"/>
        <v>0</v>
      </c>
      <c r="H38" s="11"/>
    </row>
    <row r="39" spans="1:8" ht="20.100000000000001" customHeight="1" x14ac:dyDescent="0.25">
      <c r="A39" s="156">
        <v>36</v>
      </c>
      <c r="B39" s="178"/>
      <c r="C39" s="157"/>
      <c r="D39" s="157"/>
      <c r="E39" s="25">
        <f>'12A (NS) Sem 1'!M39</f>
        <v>0</v>
      </c>
      <c r="F39" s="25">
        <f>'12A (NS)Sem 2'!M39</f>
        <v>0</v>
      </c>
      <c r="G39" s="25">
        <f t="shared" si="0"/>
        <v>0</v>
      </c>
      <c r="H39" s="11"/>
    </row>
    <row r="40" spans="1:8" ht="20.100000000000001" customHeight="1" x14ac:dyDescent="0.25">
      <c r="A40" s="155">
        <v>37</v>
      </c>
      <c r="B40" s="178"/>
      <c r="C40" s="157"/>
      <c r="D40" s="157"/>
      <c r="E40" s="25">
        <f>'12A (NS) Sem 1'!M40</f>
        <v>0</v>
      </c>
      <c r="F40" s="25">
        <f>'12A (NS)Sem 2'!M40</f>
        <v>0</v>
      </c>
      <c r="G40" s="25">
        <f t="shared" si="0"/>
        <v>0</v>
      </c>
      <c r="H40" s="11"/>
    </row>
    <row r="41" spans="1:8" ht="20.100000000000001" customHeight="1" x14ac:dyDescent="0.25">
      <c r="A41" s="156">
        <v>38</v>
      </c>
      <c r="B41" s="178"/>
      <c r="C41" s="157"/>
      <c r="D41" s="157"/>
      <c r="E41" s="25">
        <f>'12A (NS) Sem 1'!M41</f>
        <v>0</v>
      </c>
      <c r="F41" s="25">
        <f>'12A (NS)Sem 2'!M41</f>
        <v>0</v>
      </c>
      <c r="G41" s="25">
        <f t="shared" si="0"/>
        <v>0</v>
      </c>
      <c r="H41" s="11"/>
    </row>
    <row r="42" spans="1:8" ht="20.100000000000001" customHeight="1" x14ac:dyDescent="0.25">
      <c r="A42" s="155">
        <v>39</v>
      </c>
      <c r="B42" s="178"/>
      <c r="C42" s="157"/>
      <c r="D42" s="157"/>
      <c r="E42" s="25">
        <f>'12A (NS) Sem 1'!M42</f>
        <v>0</v>
      </c>
      <c r="F42" s="25">
        <f>'12A (NS)Sem 2'!M42</f>
        <v>0</v>
      </c>
      <c r="G42" s="25">
        <f t="shared" si="0"/>
        <v>0</v>
      </c>
      <c r="H42" s="11"/>
    </row>
    <row r="43" spans="1:8" ht="20.100000000000001" customHeight="1" x14ac:dyDescent="0.25">
      <c r="A43" s="156">
        <v>40</v>
      </c>
      <c r="B43" s="178"/>
      <c r="C43" s="157"/>
      <c r="D43" s="157"/>
      <c r="E43" s="25">
        <f>'12A (NS) Sem 1'!M43</f>
        <v>0</v>
      </c>
      <c r="F43" s="25">
        <f>'12A (NS)Sem 2'!M43</f>
        <v>0</v>
      </c>
      <c r="G43" s="25">
        <f t="shared" si="0"/>
        <v>0</v>
      </c>
      <c r="H43" s="11"/>
    </row>
    <row r="44" spans="1:8" ht="20.100000000000001" customHeight="1" x14ac:dyDescent="0.25">
      <c r="A44" s="155">
        <v>41</v>
      </c>
      <c r="B44" s="178"/>
      <c r="C44" s="157"/>
      <c r="D44" s="157"/>
      <c r="E44" s="25">
        <f>'12A (NS) Sem 1'!M44</f>
        <v>0</v>
      </c>
      <c r="F44" s="25">
        <f>'12A (NS)Sem 2'!M44</f>
        <v>0</v>
      </c>
      <c r="G44" s="25">
        <f t="shared" si="0"/>
        <v>0</v>
      </c>
      <c r="H44" s="11"/>
    </row>
    <row r="45" spans="1:8" ht="20.100000000000001" customHeight="1" x14ac:dyDescent="0.25">
      <c r="A45" s="156">
        <v>42</v>
      </c>
      <c r="B45" s="178"/>
      <c r="C45" s="157"/>
      <c r="D45" s="157"/>
      <c r="E45" s="25">
        <f>'12A (NS) Sem 1'!M45</f>
        <v>0</v>
      </c>
      <c r="F45" s="25">
        <f>'12A (NS)Sem 2'!M45</f>
        <v>0</v>
      </c>
      <c r="G45" s="25">
        <f t="shared" si="0"/>
        <v>0</v>
      </c>
      <c r="H45" s="11"/>
    </row>
    <row r="46" spans="1:8" ht="20.100000000000001" customHeight="1" x14ac:dyDescent="0.25">
      <c r="A46" s="155">
        <v>43</v>
      </c>
      <c r="B46" s="178"/>
      <c r="C46" s="157"/>
      <c r="D46" s="157"/>
      <c r="E46" s="25">
        <f>'12A (NS) Sem 1'!M46</f>
        <v>0</v>
      </c>
      <c r="F46" s="25">
        <f>'12A (NS)Sem 2'!M46</f>
        <v>0</v>
      </c>
      <c r="G46" s="25">
        <f t="shared" si="0"/>
        <v>0</v>
      </c>
      <c r="H46" s="11"/>
    </row>
    <row r="47" spans="1:8" ht="20.100000000000001" customHeight="1" x14ac:dyDescent="0.25">
      <c r="A47" s="156">
        <v>44</v>
      </c>
      <c r="B47" s="178"/>
      <c r="C47" s="157"/>
      <c r="D47" s="157"/>
      <c r="E47" s="25">
        <f>'12A (NS) Sem 1'!M47</f>
        <v>0</v>
      </c>
      <c r="F47" s="25">
        <f>'12A (NS)Sem 2'!M47</f>
        <v>0</v>
      </c>
      <c r="G47" s="25">
        <f t="shared" si="0"/>
        <v>0</v>
      </c>
      <c r="H47" s="11"/>
    </row>
    <row r="48" spans="1:8" ht="20.100000000000001" customHeight="1" x14ac:dyDescent="0.25">
      <c r="A48" s="155">
        <v>45</v>
      </c>
      <c r="B48" s="178"/>
      <c r="C48" s="157"/>
      <c r="D48" s="157"/>
      <c r="E48" s="25">
        <f>'12A (NS) Sem 1'!M48</f>
        <v>0</v>
      </c>
      <c r="F48" s="25">
        <f>'12A (NS)Sem 2'!M48</f>
        <v>0</v>
      </c>
      <c r="G48" s="25">
        <f t="shared" si="0"/>
        <v>0</v>
      </c>
      <c r="H48" s="11"/>
    </row>
    <row r="49" spans="1:8" ht="20.100000000000001" customHeight="1" x14ac:dyDescent="0.25">
      <c r="A49" s="156">
        <v>46</v>
      </c>
      <c r="B49" s="153"/>
      <c r="C49" s="42"/>
      <c r="D49" s="42"/>
      <c r="E49" s="25">
        <f>'12A (NS) Sem 1'!M49</f>
        <v>0</v>
      </c>
      <c r="F49" s="25">
        <f>'12A (NS)Sem 2'!M49</f>
        <v>0</v>
      </c>
      <c r="G49" s="25">
        <f t="shared" si="0"/>
        <v>0</v>
      </c>
      <c r="H49" s="11"/>
    </row>
    <row r="50" spans="1:8" ht="20.100000000000001" customHeight="1" x14ac:dyDescent="0.25">
      <c r="A50" s="155">
        <v>47</v>
      </c>
      <c r="B50" s="153"/>
      <c r="C50" s="42"/>
      <c r="D50" s="42"/>
      <c r="E50" s="25">
        <f>'12A (NS) Sem 1'!M50</f>
        <v>0</v>
      </c>
      <c r="F50" s="25">
        <f>'12A (NS)Sem 2'!M50</f>
        <v>0</v>
      </c>
      <c r="G50" s="25">
        <f t="shared" si="0"/>
        <v>0</v>
      </c>
      <c r="H50" s="11"/>
    </row>
    <row r="51" spans="1:8" ht="20.100000000000001" customHeight="1" x14ac:dyDescent="0.25">
      <c r="A51" s="156">
        <v>48</v>
      </c>
      <c r="B51" s="153"/>
      <c r="C51" s="42"/>
      <c r="D51" s="42"/>
      <c r="E51" s="25">
        <f>'12A (NS) Sem 1'!M51</f>
        <v>0</v>
      </c>
      <c r="F51" s="25">
        <f>'12A (NS)Sem 2'!M51</f>
        <v>0</v>
      </c>
      <c r="G51" s="25">
        <f t="shared" si="0"/>
        <v>0</v>
      </c>
      <c r="H51" s="11"/>
    </row>
    <row r="52" spans="1:8" ht="20.100000000000001" customHeight="1" x14ac:dyDescent="0.25">
      <c r="A52" s="155">
        <v>49</v>
      </c>
      <c r="B52" s="153"/>
      <c r="C52" s="42"/>
      <c r="D52" s="42"/>
      <c r="E52" s="25">
        <f>'12A (NS) Sem 1'!M52</f>
        <v>0</v>
      </c>
      <c r="F52" s="25">
        <f>'12A (NS)Sem 2'!M52</f>
        <v>0</v>
      </c>
      <c r="G52" s="25">
        <f t="shared" si="0"/>
        <v>0</v>
      </c>
      <c r="H52" s="11"/>
    </row>
    <row r="53" spans="1:8" ht="20.100000000000001" customHeight="1" x14ac:dyDescent="0.25">
      <c r="A53" s="156">
        <v>50</v>
      </c>
      <c r="B53" s="153"/>
      <c r="C53" s="42"/>
      <c r="D53" s="42"/>
      <c r="E53" s="25">
        <f>'12A (NS) Sem 1'!M53</f>
        <v>0</v>
      </c>
      <c r="F53" s="25">
        <f>'12A (NS)Sem 2'!M53</f>
        <v>0</v>
      </c>
      <c r="G53" s="25">
        <f t="shared" si="0"/>
        <v>0</v>
      </c>
      <c r="H53" s="11"/>
    </row>
    <row r="54" spans="1:8" ht="20.100000000000001" customHeight="1" x14ac:dyDescent="0.25">
      <c r="A54" s="155">
        <v>51</v>
      </c>
      <c r="B54" s="153"/>
      <c r="C54" s="42"/>
      <c r="D54" s="42"/>
      <c r="E54" s="25">
        <f>'12A (NS) Sem 1'!M54</f>
        <v>0</v>
      </c>
      <c r="F54" s="25">
        <f>'12A (NS)Sem 2'!M54</f>
        <v>0</v>
      </c>
      <c r="G54" s="25">
        <f t="shared" si="0"/>
        <v>0</v>
      </c>
      <c r="H54" s="11"/>
    </row>
    <row r="55" spans="1:8" ht="20.100000000000001" customHeight="1" x14ac:dyDescent="0.25">
      <c r="A55" s="156">
        <v>52</v>
      </c>
      <c r="B55" s="153"/>
      <c r="C55" s="42"/>
      <c r="D55" s="42"/>
      <c r="E55" s="25">
        <f>'12A (NS) Sem 1'!M55</f>
        <v>0</v>
      </c>
      <c r="F55" s="25">
        <f>'12A (NS)Sem 2'!M55</f>
        <v>0</v>
      </c>
      <c r="G55" s="25">
        <f t="shared" si="0"/>
        <v>0</v>
      </c>
      <c r="H55" s="11"/>
    </row>
    <row r="56" spans="1:8" ht="20.100000000000001" customHeight="1" x14ac:dyDescent="0.25">
      <c r="A56" s="155">
        <v>53</v>
      </c>
      <c r="B56" s="153"/>
      <c r="C56" s="42"/>
      <c r="D56" s="42"/>
      <c r="E56" s="25">
        <f>'12A (NS) Sem 1'!M56</f>
        <v>0</v>
      </c>
      <c r="F56" s="25">
        <f>'12A (NS)Sem 2'!M56</f>
        <v>0</v>
      </c>
      <c r="G56" s="25">
        <f t="shared" si="0"/>
        <v>0</v>
      </c>
      <c r="H56" s="11"/>
    </row>
    <row r="57" spans="1:8" ht="20.100000000000001" customHeight="1" x14ac:dyDescent="0.25">
      <c r="A57" s="156">
        <v>54</v>
      </c>
      <c r="B57" s="153"/>
      <c r="C57" s="42"/>
      <c r="D57" s="42"/>
      <c r="E57" s="25">
        <f>'12A (NS) Sem 1'!M57</f>
        <v>0</v>
      </c>
      <c r="F57" s="25">
        <f>'12A (NS)Sem 2'!M57</f>
        <v>0</v>
      </c>
      <c r="G57" s="25">
        <f t="shared" si="0"/>
        <v>0</v>
      </c>
      <c r="H57" s="11"/>
    </row>
    <row r="58" spans="1:8" ht="20.100000000000001" customHeight="1" x14ac:dyDescent="0.25">
      <c r="A58" s="155">
        <v>55</v>
      </c>
      <c r="B58" s="153"/>
      <c r="C58" s="42"/>
      <c r="D58" s="42"/>
      <c r="E58" s="25">
        <f>'12A (NS) Sem 1'!M58</f>
        <v>0</v>
      </c>
      <c r="F58" s="25">
        <f>'12A (NS)Sem 2'!M58</f>
        <v>0</v>
      </c>
      <c r="G58" s="25">
        <f t="shared" si="0"/>
        <v>0</v>
      </c>
      <c r="H58" s="11"/>
    </row>
  </sheetData>
  <mergeCells count="2">
    <mergeCell ref="A1:H1"/>
    <mergeCell ref="A2:H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4"/>
  <sheetViews>
    <sheetView zoomScaleNormal="100" workbookViewId="0">
      <selection activeCell="B6" sqref="B6:B92"/>
    </sheetView>
  </sheetViews>
  <sheetFormatPr defaultRowHeight="15" x14ac:dyDescent="0.25"/>
  <cols>
    <col min="1" max="1" width="4" customWidth="1"/>
    <col min="2" max="2" width="35.28515625" customWidth="1"/>
    <col min="3" max="4" width="4.140625" style="9" customWidth="1"/>
    <col min="6" max="6" width="6" customWidth="1"/>
    <col min="7" max="7" width="7" customWidth="1"/>
    <col min="8" max="10" width="6.28515625" customWidth="1"/>
    <col min="11" max="11" width="5.85546875" customWidth="1"/>
    <col min="12" max="12" width="6.5703125" customWidth="1"/>
    <col min="13" max="13" width="6.28515625" customWidth="1"/>
    <col min="14" max="14" width="7.7109375" customWidth="1"/>
    <col min="15" max="15" width="6.140625" customWidth="1"/>
    <col min="16" max="16" width="7.85546875" customWidth="1"/>
    <col min="17" max="18" width="5" style="28" customWidth="1"/>
    <col min="19" max="19" width="4.7109375" customWidth="1"/>
    <col min="20" max="20" width="15" customWidth="1"/>
    <col min="21" max="21" width="3.85546875" customWidth="1"/>
    <col min="22" max="22" width="8" customWidth="1"/>
  </cols>
  <sheetData>
    <row r="1" spans="1:21" ht="20.25" x14ac:dyDescent="0.25">
      <c r="A1" s="222" t="s">
        <v>63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95"/>
    </row>
    <row r="2" spans="1:21" ht="18.7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26"/>
      <c r="R2" s="26"/>
      <c r="S2" s="95"/>
    </row>
    <row r="3" spans="1:21" ht="17.25" x14ac:dyDescent="0.25">
      <c r="A3" s="225" t="s">
        <v>50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73"/>
      <c r="S3" s="3"/>
      <c r="T3" s="3"/>
      <c r="U3" s="3"/>
    </row>
    <row r="4" spans="1:21" ht="15.75" thickBo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3"/>
      <c r="T4" s="3"/>
      <c r="U4" s="3"/>
    </row>
    <row r="5" spans="1:21" ht="51.75" customHeight="1" thickBot="1" x14ac:dyDescent="0.3">
      <c r="A5" s="61" t="s">
        <v>28</v>
      </c>
      <c r="B5" s="61" t="s">
        <v>1</v>
      </c>
      <c r="C5" s="65" t="s">
        <v>2</v>
      </c>
      <c r="D5" s="65" t="s">
        <v>3</v>
      </c>
      <c r="E5" s="17" t="s">
        <v>25</v>
      </c>
      <c r="F5" s="17" t="s">
        <v>5</v>
      </c>
      <c r="G5" s="17" t="s">
        <v>6</v>
      </c>
      <c r="H5" s="17" t="s">
        <v>7</v>
      </c>
      <c r="I5" s="17" t="s">
        <v>8</v>
      </c>
      <c r="J5" s="17" t="s">
        <v>9</v>
      </c>
      <c r="K5" s="17" t="s">
        <v>13</v>
      </c>
      <c r="L5" s="19" t="s">
        <v>68</v>
      </c>
      <c r="M5" s="19" t="s">
        <v>15</v>
      </c>
      <c r="N5" s="17" t="s">
        <v>16</v>
      </c>
      <c r="O5" s="17" t="s">
        <v>17</v>
      </c>
      <c r="P5" s="17" t="s">
        <v>18</v>
      </c>
      <c r="Q5" s="67" t="s">
        <v>19</v>
      </c>
      <c r="R5"/>
    </row>
    <row r="6" spans="1:21" ht="17.25" customHeight="1" thickBot="1" x14ac:dyDescent="0.3">
      <c r="A6" s="251">
        <v>1</v>
      </c>
      <c r="B6" s="271"/>
      <c r="C6" s="213">
        <v>19</v>
      </c>
      <c r="D6" s="215" t="s">
        <v>20</v>
      </c>
      <c r="E6" s="21" t="s">
        <v>21</v>
      </c>
      <c r="F6" s="22">
        <f>'12B Sem 1'!E4</f>
        <v>53</v>
      </c>
      <c r="G6" s="22">
        <f>'12B Sem 1'!F4</f>
        <v>45</v>
      </c>
      <c r="H6" s="22">
        <f>'12B Sem 1'!G4</f>
        <v>58</v>
      </c>
      <c r="I6" s="22">
        <f>'12B Sem 1'!H4</f>
        <v>67</v>
      </c>
      <c r="J6" s="22">
        <f>'12B Sem 1'!I4</f>
        <v>53</v>
      </c>
      <c r="K6" s="22">
        <f>'12B Sem 1'!J4</f>
        <v>72</v>
      </c>
      <c r="L6" s="22">
        <f>'12B Sem 1'!K4</f>
        <v>51</v>
      </c>
      <c r="M6" s="22">
        <f>'12B Sem 1'!L4</f>
        <v>399</v>
      </c>
      <c r="N6" s="122">
        <f>'12B Sem 1'!M4</f>
        <v>57</v>
      </c>
      <c r="O6" s="122">
        <f>'12B Sem 1'!N4</f>
        <v>28</v>
      </c>
      <c r="P6" s="33">
        <f>'12B Sem 1'!O4</f>
        <v>0</v>
      </c>
      <c r="Q6" s="34">
        <f>'12B Sem 1'!P4</f>
        <v>0</v>
      </c>
      <c r="R6"/>
    </row>
    <row r="7" spans="1:21" ht="17.25" customHeight="1" thickBot="1" x14ac:dyDescent="0.3">
      <c r="A7" s="251"/>
      <c r="B7" s="271"/>
      <c r="C7" s="213">
        <v>19</v>
      </c>
      <c r="D7" s="215" t="s">
        <v>20</v>
      </c>
      <c r="E7" s="21" t="s">
        <v>22</v>
      </c>
      <c r="F7" s="29">
        <f>'12B (NS)Sem 2'!E4</f>
        <v>60</v>
      </c>
      <c r="G7" s="29">
        <f>'12B (NS)Sem 2'!F4</f>
        <v>77</v>
      </c>
      <c r="H7" s="29">
        <f>'12B (NS)Sem 2'!G4</f>
        <v>66</v>
      </c>
      <c r="I7" s="29">
        <f>'12B (NS)Sem 2'!H4</f>
        <v>70</v>
      </c>
      <c r="J7" s="29">
        <f>'12B (NS)Sem 2'!I4</f>
        <v>60</v>
      </c>
      <c r="K7" s="29">
        <f>'12B (NS)Sem 2'!J4</f>
        <v>90</v>
      </c>
      <c r="L7" s="29">
        <f>'12B (NS)Sem 2'!K4</f>
        <v>70</v>
      </c>
      <c r="M7" s="22">
        <f>'12B (NS)Sem 2'!L4</f>
        <v>493</v>
      </c>
      <c r="N7" s="192">
        <f>'12B (NS)Sem 2'!M4</f>
        <v>70.428571428571431</v>
      </c>
      <c r="O7" s="22">
        <f>'12B (NS)Sem 2'!N4</f>
        <v>28</v>
      </c>
      <c r="P7" s="32">
        <f>'12B (NS)Sem 2'!O4</f>
        <v>0</v>
      </c>
      <c r="Q7" s="35">
        <f>'12B (NS)Sem 2'!P4</f>
        <v>0</v>
      </c>
      <c r="R7"/>
    </row>
    <row r="8" spans="1:21" ht="17.25" customHeight="1" thickBot="1" x14ac:dyDescent="0.3">
      <c r="A8" s="251"/>
      <c r="B8" s="271"/>
      <c r="C8" s="213">
        <v>19</v>
      </c>
      <c r="D8" s="215" t="s">
        <v>20</v>
      </c>
      <c r="E8" s="21" t="s">
        <v>16</v>
      </c>
      <c r="F8" s="22">
        <f>AVERAGE(F6:F7)</f>
        <v>56.5</v>
      </c>
      <c r="G8" s="22">
        <f t="shared" ref="G8:Q8" si="0">AVERAGE(G6:G7)</f>
        <v>61</v>
      </c>
      <c r="H8" s="22">
        <f t="shared" si="0"/>
        <v>62</v>
      </c>
      <c r="I8" s="22">
        <f t="shared" si="0"/>
        <v>68.5</v>
      </c>
      <c r="J8" s="22">
        <f t="shared" si="0"/>
        <v>56.5</v>
      </c>
      <c r="K8" s="22">
        <f t="shared" si="0"/>
        <v>81</v>
      </c>
      <c r="L8" s="22">
        <f t="shared" si="0"/>
        <v>60.5</v>
      </c>
      <c r="M8" s="22">
        <f t="shared" si="0"/>
        <v>446</v>
      </c>
      <c r="N8" s="192">
        <f t="shared" si="0"/>
        <v>63.714285714285715</v>
      </c>
      <c r="O8" s="22">
        <f>'12B Sem avr (NS) '!$H$4</f>
        <v>28</v>
      </c>
      <c r="P8" s="22">
        <f t="shared" si="0"/>
        <v>0</v>
      </c>
      <c r="Q8" s="22">
        <f t="shared" si="0"/>
        <v>0</v>
      </c>
      <c r="R8"/>
    </row>
    <row r="9" spans="1:21" ht="17.25" customHeight="1" thickBot="1" x14ac:dyDescent="0.3">
      <c r="A9" s="247">
        <v>2</v>
      </c>
      <c r="B9" s="271"/>
      <c r="C9" s="213">
        <v>17</v>
      </c>
      <c r="D9" s="215" t="s">
        <v>20</v>
      </c>
      <c r="E9" s="21" t="s">
        <v>21</v>
      </c>
      <c r="F9" s="22">
        <f>'12B Sem 1'!E5</f>
        <v>85</v>
      </c>
      <c r="G9" s="22">
        <f>'12B Sem 1'!F5</f>
        <v>98</v>
      </c>
      <c r="H9" s="22">
        <f>'12B Sem 1'!G5</f>
        <v>100</v>
      </c>
      <c r="I9" s="22">
        <f>'12B Sem 1'!H5</f>
        <v>89</v>
      </c>
      <c r="J9" s="22">
        <f>'12B Sem 1'!I5</f>
        <v>96</v>
      </c>
      <c r="K9" s="22">
        <f>'12B Sem 1'!J5</f>
        <v>97</v>
      </c>
      <c r="L9" s="22">
        <f>'12B Sem 1'!K5</f>
        <v>90</v>
      </c>
      <c r="M9" s="22">
        <f>'12B Sem 1'!L5</f>
        <v>655</v>
      </c>
      <c r="N9" s="192">
        <f>'12B Sem 1'!M5</f>
        <v>93.571428571428569</v>
      </c>
      <c r="O9" s="22">
        <f>'12B Sem 1'!N5</f>
        <v>3</v>
      </c>
      <c r="P9" s="36">
        <f>'12B Sem 1'!O5</f>
        <v>0</v>
      </c>
      <c r="Q9" s="36">
        <f>'12B Sem 1'!P5</f>
        <v>0</v>
      </c>
      <c r="R9"/>
    </row>
    <row r="10" spans="1:21" ht="17.25" customHeight="1" thickBot="1" x14ac:dyDescent="0.3">
      <c r="A10" s="247"/>
      <c r="B10" s="271"/>
      <c r="C10" s="213">
        <v>17</v>
      </c>
      <c r="D10" s="215" t="s">
        <v>20</v>
      </c>
      <c r="E10" s="21" t="s">
        <v>22</v>
      </c>
      <c r="F10" s="22">
        <f>'12B (NS)Sem 2'!E5</f>
        <v>90</v>
      </c>
      <c r="G10" s="22">
        <f>'12B (NS)Sem 2'!F5</f>
        <v>99</v>
      </c>
      <c r="H10" s="22">
        <f>'12B (NS)Sem 2'!G5</f>
        <v>100</v>
      </c>
      <c r="I10" s="22">
        <f>'12B (NS)Sem 2'!H5</f>
        <v>94</v>
      </c>
      <c r="J10" s="22">
        <f>'12B (NS)Sem 2'!I5</f>
        <v>98</v>
      </c>
      <c r="K10" s="22">
        <f>'12B (NS)Sem 2'!J5</f>
        <v>100</v>
      </c>
      <c r="L10" s="22">
        <f>'12B (NS)Sem 2'!K5</f>
        <v>100</v>
      </c>
      <c r="M10" s="22">
        <f>'12B (NS)Sem 2'!L5</f>
        <v>681</v>
      </c>
      <c r="N10" s="192">
        <f>'12B (NS)Sem 2'!M5</f>
        <v>97.285714285714292</v>
      </c>
      <c r="O10" s="22">
        <f>'12B (NS)Sem 2'!N5</f>
        <v>3</v>
      </c>
      <c r="P10" s="36">
        <f>'12B (NS)Sem 2'!O5</f>
        <v>0</v>
      </c>
      <c r="Q10" s="36">
        <f>'12B (NS)Sem 2'!P5</f>
        <v>0</v>
      </c>
      <c r="R10"/>
    </row>
    <row r="11" spans="1:21" ht="17.25" customHeight="1" thickBot="1" x14ac:dyDescent="0.3">
      <c r="A11" s="247"/>
      <c r="B11" s="271"/>
      <c r="C11" s="213">
        <v>17</v>
      </c>
      <c r="D11" s="215" t="s">
        <v>20</v>
      </c>
      <c r="E11" s="21" t="s">
        <v>16</v>
      </c>
      <c r="F11" s="22">
        <f>AVERAGE(F9:F10)</f>
        <v>87.5</v>
      </c>
      <c r="G11" s="22">
        <f t="shared" ref="G11:Q11" si="1">AVERAGE(G9:G10)</f>
        <v>98.5</v>
      </c>
      <c r="H11" s="22">
        <f t="shared" si="1"/>
        <v>100</v>
      </c>
      <c r="I11" s="22">
        <f t="shared" si="1"/>
        <v>91.5</v>
      </c>
      <c r="J11" s="22">
        <f t="shared" si="1"/>
        <v>97</v>
      </c>
      <c r="K11" s="22">
        <f t="shared" si="1"/>
        <v>98.5</v>
      </c>
      <c r="L11" s="22">
        <f t="shared" si="1"/>
        <v>95</v>
      </c>
      <c r="M11" s="22">
        <f t="shared" si="1"/>
        <v>668</v>
      </c>
      <c r="N11" s="192">
        <f t="shared" si="1"/>
        <v>95.428571428571431</v>
      </c>
      <c r="O11" s="22">
        <f>'12B Sem avr (NS) '!$H$5</f>
        <v>3</v>
      </c>
      <c r="P11" s="22">
        <f t="shared" si="1"/>
        <v>0</v>
      </c>
      <c r="Q11" s="22">
        <f t="shared" si="1"/>
        <v>0</v>
      </c>
      <c r="R11"/>
    </row>
    <row r="12" spans="1:21" ht="17.25" customHeight="1" thickBot="1" x14ac:dyDescent="0.3">
      <c r="A12" s="249">
        <v>3</v>
      </c>
      <c r="B12" s="272"/>
      <c r="C12" s="214">
        <v>17</v>
      </c>
      <c r="D12" s="231" t="s">
        <v>20</v>
      </c>
      <c r="E12" s="21" t="s">
        <v>21</v>
      </c>
      <c r="F12" s="22">
        <f>'12B Sem 1'!E6</f>
        <v>86</v>
      </c>
      <c r="G12" s="22">
        <f>'12B Sem 1'!F6</f>
        <v>85</v>
      </c>
      <c r="H12" s="22">
        <f>'12B Sem 1'!G6</f>
        <v>91</v>
      </c>
      <c r="I12" s="22">
        <f>'12B Sem 1'!H6</f>
        <v>90</v>
      </c>
      <c r="J12" s="22">
        <f>'12B Sem 1'!I6</f>
        <v>94</v>
      </c>
      <c r="K12" s="22">
        <f>'12B Sem 1'!J6</f>
        <v>96</v>
      </c>
      <c r="L12" s="22">
        <f>'12B Sem 1'!K6</f>
        <v>90</v>
      </c>
      <c r="M12" s="22">
        <f>'12B Sem 1'!L6</f>
        <v>632</v>
      </c>
      <c r="N12" s="192">
        <f>'12B Sem 1'!M6</f>
        <v>90.285714285714292</v>
      </c>
      <c r="O12" s="22">
        <f>'12B Sem 1'!N6</f>
        <v>4</v>
      </c>
      <c r="P12" s="36">
        <f>'12B Sem 1'!O6</f>
        <v>0</v>
      </c>
      <c r="Q12" s="36">
        <f>'12B Sem 1'!P6</f>
        <v>0</v>
      </c>
      <c r="R12"/>
    </row>
    <row r="13" spans="1:21" ht="17.25" customHeight="1" thickBot="1" x14ac:dyDescent="0.3">
      <c r="A13" s="249"/>
      <c r="B13" s="274"/>
      <c r="C13" s="229">
        <v>17</v>
      </c>
      <c r="D13" s="232" t="s">
        <v>20</v>
      </c>
      <c r="E13" s="21" t="s">
        <v>22</v>
      </c>
      <c r="F13" s="22">
        <f>'12B (NS)Sem 2'!E6</f>
        <v>90</v>
      </c>
      <c r="G13" s="22">
        <f>'12B (NS)Sem 2'!F6</f>
        <v>94</v>
      </c>
      <c r="H13" s="22">
        <f>'12B (NS)Sem 2'!G6</f>
        <v>94</v>
      </c>
      <c r="I13" s="22">
        <f>'12B (NS)Sem 2'!H6</f>
        <v>92</v>
      </c>
      <c r="J13" s="22">
        <f>'12B (NS)Sem 2'!I6</f>
        <v>96</v>
      </c>
      <c r="K13" s="22">
        <f>'12B (NS)Sem 2'!J6</f>
        <v>100</v>
      </c>
      <c r="L13" s="22">
        <f>'12B (NS)Sem 2'!K6</f>
        <v>92</v>
      </c>
      <c r="M13" s="22">
        <f>'12B (NS)Sem 2'!L6</f>
        <v>658</v>
      </c>
      <c r="N13" s="22">
        <f>'12B (NS)Sem 2'!M6</f>
        <v>94</v>
      </c>
      <c r="O13" s="22">
        <f>'12B (NS)Sem 2'!N6</f>
        <v>4</v>
      </c>
      <c r="P13" s="36">
        <f>'12B (NS)Sem 2'!O6</f>
        <v>0</v>
      </c>
      <c r="Q13" s="36">
        <f>'12B (NS)Sem 2'!P6</f>
        <v>0</v>
      </c>
      <c r="R13"/>
    </row>
    <row r="14" spans="1:21" ht="17.25" customHeight="1" thickBot="1" x14ac:dyDescent="0.3">
      <c r="A14" s="249"/>
      <c r="B14" s="275"/>
      <c r="C14" s="230">
        <v>17</v>
      </c>
      <c r="D14" s="233" t="s">
        <v>20</v>
      </c>
      <c r="E14" s="21" t="s">
        <v>16</v>
      </c>
      <c r="F14" s="22">
        <f>AVERAGE(F12:F13)</f>
        <v>88</v>
      </c>
      <c r="G14" s="22">
        <f t="shared" ref="G14:Q14" si="2">AVERAGE(G12:G13)</f>
        <v>89.5</v>
      </c>
      <c r="H14" s="22">
        <f t="shared" si="2"/>
        <v>92.5</v>
      </c>
      <c r="I14" s="22">
        <f t="shared" si="2"/>
        <v>91</v>
      </c>
      <c r="J14" s="22">
        <f t="shared" si="2"/>
        <v>95</v>
      </c>
      <c r="K14" s="22">
        <f t="shared" si="2"/>
        <v>98</v>
      </c>
      <c r="L14" s="22">
        <f t="shared" si="2"/>
        <v>91</v>
      </c>
      <c r="M14" s="22">
        <f t="shared" si="2"/>
        <v>645</v>
      </c>
      <c r="N14" s="192">
        <f t="shared" si="2"/>
        <v>92.142857142857139</v>
      </c>
      <c r="O14" s="22">
        <f>'12B Sem avr (NS) '!$H$6</f>
        <v>4</v>
      </c>
      <c r="P14" s="22">
        <f t="shared" si="2"/>
        <v>0</v>
      </c>
      <c r="Q14" s="22">
        <f t="shared" si="2"/>
        <v>0</v>
      </c>
      <c r="R14"/>
    </row>
    <row r="15" spans="1:21" ht="17.25" customHeight="1" thickBot="1" x14ac:dyDescent="0.3">
      <c r="A15" s="247">
        <v>4</v>
      </c>
      <c r="B15" s="271"/>
      <c r="C15" s="247">
        <v>16</v>
      </c>
      <c r="D15" s="267" t="s">
        <v>20</v>
      </c>
      <c r="E15" s="21" t="s">
        <v>21</v>
      </c>
      <c r="F15" s="22">
        <f>'12B Sem 1'!E7</f>
        <v>98</v>
      </c>
      <c r="G15" s="22">
        <f>'12B Sem 1'!F7</f>
        <v>82</v>
      </c>
      <c r="H15" s="22">
        <f>'12B Sem 1'!G7</f>
        <v>84</v>
      </c>
      <c r="I15" s="22">
        <f>'12B Sem 1'!H7</f>
        <v>85</v>
      </c>
      <c r="J15" s="22">
        <f>'12B Sem 1'!I7</f>
        <v>92</v>
      </c>
      <c r="K15" s="22">
        <f>'12B Sem 1'!J7</f>
        <v>96</v>
      </c>
      <c r="L15" s="22">
        <f>'12B Sem 1'!K7</f>
        <v>90</v>
      </c>
      <c r="M15" s="22">
        <f>'12B Sem 1'!L7</f>
        <v>627</v>
      </c>
      <c r="N15" s="192">
        <f>'12B Sem 1'!M7</f>
        <v>89.571428571428569</v>
      </c>
      <c r="O15" s="22">
        <f>'12B Sem 1'!N7</f>
        <v>5</v>
      </c>
      <c r="P15" s="36">
        <f>'12B Sem 1'!O7</f>
        <v>0</v>
      </c>
      <c r="Q15" s="36">
        <f>'12B Sem 1'!P7</f>
        <v>0</v>
      </c>
      <c r="R15"/>
    </row>
    <row r="16" spans="1:21" ht="17.25" customHeight="1" thickBot="1" x14ac:dyDescent="0.3">
      <c r="A16" s="247"/>
      <c r="B16" s="271"/>
      <c r="C16" s="247">
        <v>16</v>
      </c>
      <c r="D16" s="267" t="s">
        <v>20</v>
      </c>
      <c r="E16" s="21" t="s">
        <v>22</v>
      </c>
      <c r="F16" s="22">
        <f>'12B (NS)Sem 2'!E7</f>
        <v>95</v>
      </c>
      <c r="G16" s="22">
        <f>'12B (NS)Sem 2'!F7</f>
        <v>90</v>
      </c>
      <c r="H16" s="22">
        <f>'12B (NS)Sem 2'!G7</f>
        <v>89</v>
      </c>
      <c r="I16" s="22">
        <f>'12B (NS)Sem 2'!H7</f>
        <v>88</v>
      </c>
      <c r="J16" s="22">
        <f>'12B (NS)Sem 2'!I7</f>
        <v>95</v>
      </c>
      <c r="K16" s="22">
        <f>'12B (NS)Sem 2'!J7</f>
        <v>100</v>
      </c>
      <c r="L16" s="22">
        <f>'12B (NS)Sem 2'!K7</f>
        <v>87</v>
      </c>
      <c r="M16" s="22">
        <f>'12B (NS)Sem 2'!L7</f>
        <v>644</v>
      </c>
      <c r="N16" s="22">
        <f>'12B (NS)Sem 2'!M7</f>
        <v>92</v>
      </c>
      <c r="O16" s="22">
        <f>'12B (NS)Sem 2'!N7</f>
        <v>6</v>
      </c>
      <c r="P16" s="36">
        <f>'12B (NS)Sem 2'!O7</f>
        <v>0</v>
      </c>
      <c r="Q16" s="36">
        <f>'12B (NS)Sem 2'!P7</f>
        <v>0</v>
      </c>
      <c r="R16"/>
    </row>
    <row r="17" spans="1:18" ht="17.25" customHeight="1" thickBot="1" x14ac:dyDescent="0.3">
      <c r="A17" s="247"/>
      <c r="B17" s="271"/>
      <c r="C17" s="247">
        <v>16</v>
      </c>
      <c r="D17" s="267" t="s">
        <v>20</v>
      </c>
      <c r="E17" s="21" t="s">
        <v>16</v>
      </c>
      <c r="F17" s="22">
        <f>AVERAGE(F15:F16)</f>
        <v>96.5</v>
      </c>
      <c r="G17" s="22">
        <f t="shared" ref="G17:Q17" si="3">AVERAGE(G15:G16)</f>
        <v>86</v>
      </c>
      <c r="H17" s="22">
        <f t="shared" si="3"/>
        <v>86.5</v>
      </c>
      <c r="I17" s="22">
        <f t="shared" si="3"/>
        <v>86.5</v>
      </c>
      <c r="J17" s="22">
        <f t="shared" si="3"/>
        <v>93.5</v>
      </c>
      <c r="K17" s="22">
        <f t="shared" si="3"/>
        <v>98</v>
      </c>
      <c r="L17" s="22">
        <f t="shared" si="3"/>
        <v>88.5</v>
      </c>
      <c r="M17" s="22">
        <f t="shared" si="3"/>
        <v>635.5</v>
      </c>
      <c r="N17" s="192">
        <f t="shared" si="3"/>
        <v>90.785714285714278</v>
      </c>
      <c r="O17" s="22">
        <f>'12B Sem avr (NS) '!$H$7</f>
        <v>5</v>
      </c>
      <c r="P17" s="22">
        <f t="shared" si="3"/>
        <v>0</v>
      </c>
      <c r="Q17" s="22">
        <f t="shared" si="3"/>
        <v>0</v>
      </c>
      <c r="R17"/>
    </row>
    <row r="18" spans="1:18" ht="17.25" customHeight="1" thickBot="1" x14ac:dyDescent="0.3">
      <c r="A18" s="247">
        <v>5</v>
      </c>
      <c r="B18" s="271"/>
      <c r="C18" s="213">
        <v>19</v>
      </c>
      <c r="D18" s="215" t="s">
        <v>23</v>
      </c>
      <c r="E18" s="21" t="s">
        <v>21</v>
      </c>
      <c r="F18" s="22">
        <f>'12B Sem 1'!E8</f>
        <v>64</v>
      </c>
      <c r="G18" s="22">
        <f>'12B Sem 1'!F8</f>
        <v>58</v>
      </c>
      <c r="H18" s="22">
        <f>'12B Sem 1'!G8</f>
        <v>65</v>
      </c>
      <c r="I18" s="22">
        <f>'12B Sem 1'!H8</f>
        <v>61</v>
      </c>
      <c r="J18" s="22">
        <f>'12B Sem 1'!I8</f>
        <v>72</v>
      </c>
      <c r="K18" s="22">
        <f>'12B Sem 1'!J8</f>
        <v>78</v>
      </c>
      <c r="L18" s="22">
        <f>'12B Sem 1'!K8</f>
        <v>80</v>
      </c>
      <c r="M18" s="22">
        <f>'12B Sem 1'!L8</f>
        <v>478</v>
      </c>
      <c r="N18" s="192">
        <f>'12B Sem 1'!M8</f>
        <v>68.285714285714292</v>
      </c>
      <c r="O18" s="22">
        <f>'12B Sem 1'!N8</f>
        <v>22</v>
      </c>
      <c r="P18" s="36">
        <f>'12B Sem 1'!O8</f>
        <v>0</v>
      </c>
      <c r="Q18" s="36">
        <f>'12B Sem 1'!P8</f>
        <v>0</v>
      </c>
      <c r="R18"/>
    </row>
    <row r="19" spans="1:18" ht="17.25" customHeight="1" thickBot="1" x14ac:dyDescent="0.3">
      <c r="A19" s="247"/>
      <c r="B19" s="271"/>
      <c r="C19" s="213">
        <v>19</v>
      </c>
      <c r="D19" s="215" t="s">
        <v>23</v>
      </c>
      <c r="E19" s="21" t="s">
        <v>22</v>
      </c>
      <c r="F19" s="22">
        <f>'12B (NS)Sem 2'!E8</f>
        <v>73</v>
      </c>
      <c r="G19" s="22">
        <f>'12B (NS)Sem 2'!F8</f>
        <v>63</v>
      </c>
      <c r="H19" s="22">
        <f>'12B (NS)Sem 2'!G8</f>
        <v>73</v>
      </c>
      <c r="I19" s="22">
        <f>'12B (NS)Sem 2'!H8</f>
        <v>68</v>
      </c>
      <c r="J19" s="22">
        <f>'12B (NS)Sem 2'!I8</f>
        <v>76</v>
      </c>
      <c r="K19" s="22">
        <f>'12B (NS)Sem 2'!J8</f>
        <v>93</v>
      </c>
      <c r="L19" s="22">
        <f>'12B (NS)Sem 2'!K8</f>
        <v>95</v>
      </c>
      <c r="M19" s="22">
        <f>'12B (NS)Sem 2'!L8</f>
        <v>541</v>
      </c>
      <c r="N19" s="192">
        <f>'12B (NS)Sem 2'!M8</f>
        <v>77.285714285714292</v>
      </c>
      <c r="O19" s="22">
        <f>'12B (NS)Sem 2'!N8</f>
        <v>20</v>
      </c>
      <c r="P19" s="36">
        <f>'12B (NS)Sem 2'!O8</f>
        <v>0</v>
      </c>
      <c r="Q19" s="36">
        <f>'12B (NS)Sem 2'!P8</f>
        <v>0</v>
      </c>
      <c r="R19"/>
    </row>
    <row r="20" spans="1:18" ht="17.25" customHeight="1" thickBot="1" x14ac:dyDescent="0.3">
      <c r="A20" s="247"/>
      <c r="B20" s="271"/>
      <c r="C20" s="213">
        <v>19</v>
      </c>
      <c r="D20" s="215" t="s">
        <v>23</v>
      </c>
      <c r="E20" s="21" t="s">
        <v>16</v>
      </c>
      <c r="F20" s="22">
        <f>AVERAGE(F18:F19)</f>
        <v>68.5</v>
      </c>
      <c r="G20" s="22">
        <f t="shared" ref="G20:Q20" si="4">AVERAGE(G18:G19)</f>
        <v>60.5</v>
      </c>
      <c r="H20" s="22">
        <f t="shared" si="4"/>
        <v>69</v>
      </c>
      <c r="I20" s="22">
        <f t="shared" si="4"/>
        <v>64.5</v>
      </c>
      <c r="J20" s="22">
        <f t="shared" si="4"/>
        <v>74</v>
      </c>
      <c r="K20" s="22">
        <f t="shared" si="4"/>
        <v>85.5</v>
      </c>
      <c r="L20" s="22">
        <f t="shared" si="4"/>
        <v>87.5</v>
      </c>
      <c r="M20" s="22">
        <f t="shared" si="4"/>
        <v>509.5</v>
      </c>
      <c r="N20" s="192">
        <f t="shared" si="4"/>
        <v>72.785714285714292</v>
      </c>
      <c r="O20" s="22">
        <f>'12B Sem avr (NS) '!$H$8</f>
        <v>22</v>
      </c>
      <c r="P20" s="22">
        <f t="shared" si="4"/>
        <v>0</v>
      </c>
      <c r="Q20" s="22">
        <f t="shared" si="4"/>
        <v>0</v>
      </c>
      <c r="R20"/>
    </row>
    <row r="21" spans="1:18" ht="17.25" customHeight="1" thickBot="1" x14ac:dyDescent="0.3">
      <c r="A21" s="249">
        <v>6</v>
      </c>
      <c r="B21" s="271"/>
      <c r="C21" s="213">
        <v>17</v>
      </c>
      <c r="D21" s="215" t="s">
        <v>23</v>
      </c>
      <c r="E21" s="21" t="s">
        <v>21</v>
      </c>
      <c r="F21" s="22">
        <f>'12B Sem 1'!E9</f>
        <v>90</v>
      </c>
      <c r="G21" s="22">
        <f>'12B Sem 1'!F9</f>
        <v>49</v>
      </c>
      <c r="H21" s="22">
        <f>'12B Sem 1'!G9</f>
        <v>63</v>
      </c>
      <c r="I21" s="22">
        <f>'12B Sem 1'!H9</f>
        <v>53</v>
      </c>
      <c r="J21" s="22">
        <f>'12B Sem 1'!I9</f>
        <v>70</v>
      </c>
      <c r="K21" s="22">
        <f>'12B Sem 1'!J9</f>
        <v>98</v>
      </c>
      <c r="L21" s="22">
        <f>'12B Sem 1'!K9</f>
        <v>63</v>
      </c>
      <c r="M21" s="22">
        <f>'12B Sem 1'!L9</f>
        <v>486</v>
      </c>
      <c r="N21" s="192">
        <f>'12B Sem 1'!M9</f>
        <v>69.428571428571431</v>
      </c>
      <c r="O21" s="22">
        <f>'12B Sem 1'!N9</f>
        <v>21</v>
      </c>
      <c r="P21" s="36">
        <f>'12B Sem 1'!O9</f>
        <v>0</v>
      </c>
      <c r="Q21" s="36">
        <f>'12B Sem 1'!P9</f>
        <v>0</v>
      </c>
      <c r="R21"/>
    </row>
    <row r="22" spans="1:18" ht="17.25" customHeight="1" thickBot="1" x14ac:dyDescent="0.3">
      <c r="A22" s="249"/>
      <c r="B22" s="271"/>
      <c r="C22" s="213">
        <v>17</v>
      </c>
      <c r="D22" s="215" t="s">
        <v>23</v>
      </c>
      <c r="E22" s="21" t="s">
        <v>22</v>
      </c>
      <c r="F22" s="22">
        <f>'12B (NS)Sem 2'!E9</f>
        <v>91</v>
      </c>
      <c r="G22" s="22">
        <f>'12B (NS)Sem 2'!F9</f>
        <v>69</v>
      </c>
      <c r="H22" s="22">
        <f>'12B (NS)Sem 2'!G9</f>
        <v>70</v>
      </c>
      <c r="I22" s="22">
        <f>'12B (NS)Sem 2'!H9</f>
        <v>76</v>
      </c>
      <c r="J22" s="22">
        <f>'12B (NS)Sem 2'!I9</f>
        <v>72</v>
      </c>
      <c r="K22" s="22">
        <f>'12B (NS)Sem 2'!J9</f>
        <v>100</v>
      </c>
      <c r="L22" s="22">
        <f>'12B (NS)Sem 2'!K9</f>
        <v>88</v>
      </c>
      <c r="M22" s="22">
        <f>'12B (NS)Sem 2'!L9</f>
        <v>566</v>
      </c>
      <c r="N22" s="192">
        <f>'12B (NS)Sem 2'!M9</f>
        <v>80.857142857142861</v>
      </c>
      <c r="O22" s="22">
        <f>'12B (NS)Sem 2'!N9</f>
        <v>15</v>
      </c>
      <c r="P22" s="36">
        <f>'12B (NS)Sem 2'!O9</f>
        <v>0</v>
      </c>
      <c r="Q22" s="36">
        <f>'12B (NS)Sem 2'!P9</f>
        <v>0</v>
      </c>
      <c r="R22"/>
    </row>
    <row r="23" spans="1:18" ht="17.25" customHeight="1" thickBot="1" x14ac:dyDescent="0.3">
      <c r="A23" s="249"/>
      <c r="B23" s="271"/>
      <c r="C23" s="213">
        <v>17</v>
      </c>
      <c r="D23" s="215" t="s">
        <v>23</v>
      </c>
      <c r="E23" s="21" t="s">
        <v>16</v>
      </c>
      <c r="F23" s="22">
        <f>AVERAGE(F21:F22)</f>
        <v>90.5</v>
      </c>
      <c r="G23" s="22">
        <f t="shared" ref="G23:Q23" si="5">AVERAGE(G21:G22)</f>
        <v>59</v>
      </c>
      <c r="H23" s="22">
        <f t="shared" si="5"/>
        <v>66.5</v>
      </c>
      <c r="I23" s="22">
        <f t="shared" si="5"/>
        <v>64.5</v>
      </c>
      <c r="J23" s="22">
        <f t="shared" si="5"/>
        <v>71</v>
      </c>
      <c r="K23" s="22">
        <f t="shared" si="5"/>
        <v>99</v>
      </c>
      <c r="L23" s="22">
        <f t="shared" si="5"/>
        <v>75.5</v>
      </c>
      <c r="M23" s="22">
        <f t="shared" si="5"/>
        <v>526</v>
      </c>
      <c r="N23" s="192">
        <f t="shared" si="5"/>
        <v>75.142857142857139</v>
      </c>
      <c r="O23" s="22">
        <f>'12B Sem avr (NS) '!$H$9</f>
        <v>18</v>
      </c>
      <c r="P23" s="22">
        <f t="shared" si="5"/>
        <v>0</v>
      </c>
      <c r="Q23" s="22">
        <f t="shared" si="5"/>
        <v>0</v>
      </c>
      <c r="R23"/>
    </row>
    <row r="24" spans="1:18" ht="17.25" customHeight="1" thickBot="1" x14ac:dyDescent="0.3">
      <c r="A24" s="247">
        <v>7</v>
      </c>
      <c r="B24" s="271"/>
      <c r="C24" s="213">
        <v>16</v>
      </c>
      <c r="D24" s="215" t="s">
        <v>23</v>
      </c>
      <c r="E24" s="21" t="s">
        <v>21</v>
      </c>
      <c r="F24" s="22">
        <f>'12B Sem 1'!E10</f>
        <v>62</v>
      </c>
      <c r="G24" s="22">
        <f>'12B Sem 1'!F10</f>
        <v>61</v>
      </c>
      <c r="H24" s="22">
        <f>'12B Sem 1'!G10</f>
        <v>61</v>
      </c>
      <c r="I24" s="22">
        <f>'12B Sem 1'!H10</f>
        <v>63</v>
      </c>
      <c r="J24" s="22">
        <f>'12B Sem 1'!I10</f>
        <v>69</v>
      </c>
      <c r="K24" s="22">
        <f>'12B Sem 1'!J10</f>
        <v>86</v>
      </c>
      <c r="L24" s="22">
        <f>'12B Sem 1'!K10</f>
        <v>85</v>
      </c>
      <c r="M24" s="22">
        <f>'12B Sem 1'!L10</f>
        <v>487</v>
      </c>
      <c r="N24" s="192">
        <f>'12B Sem 1'!M10</f>
        <v>69.571428571428569</v>
      </c>
      <c r="O24" s="22">
        <f>'12B Sem 1'!N10</f>
        <v>20</v>
      </c>
      <c r="P24" s="36">
        <f>'12B Sem 1'!O10</f>
        <v>0</v>
      </c>
      <c r="Q24" s="36">
        <f>'12B Sem 1'!P10</f>
        <v>0</v>
      </c>
      <c r="R24"/>
    </row>
    <row r="25" spans="1:18" ht="17.25" customHeight="1" thickBot="1" x14ac:dyDescent="0.3">
      <c r="A25" s="247"/>
      <c r="B25" s="271"/>
      <c r="C25" s="213">
        <v>16</v>
      </c>
      <c r="D25" s="215" t="s">
        <v>23</v>
      </c>
      <c r="E25" s="21" t="s">
        <v>22</v>
      </c>
      <c r="F25" s="22">
        <f>'12B (NS)Sem 2'!E10</f>
        <v>74</v>
      </c>
      <c r="G25" s="22">
        <f>'12B (NS)Sem 2'!F10</f>
        <v>77</v>
      </c>
      <c r="H25" s="22">
        <f>'12B (NS)Sem 2'!G10</f>
        <v>70</v>
      </c>
      <c r="I25" s="22">
        <f>'12B (NS)Sem 2'!H10</f>
        <v>65</v>
      </c>
      <c r="J25" s="22">
        <f>'12B (NS)Sem 2'!I10</f>
        <v>75</v>
      </c>
      <c r="K25" s="22">
        <f>'12B (NS)Sem 2'!J10</f>
        <v>97</v>
      </c>
      <c r="L25" s="22">
        <f>'12B (NS)Sem 2'!K10</f>
        <v>75</v>
      </c>
      <c r="M25" s="22">
        <f>'12B (NS)Sem 2'!L10</f>
        <v>533</v>
      </c>
      <c r="N25" s="192">
        <f>'12B (NS)Sem 2'!M10</f>
        <v>76.142857142857139</v>
      </c>
      <c r="O25" s="22">
        <f>'12B (NS)Sem 2'!N10</f>
        <v>22</v>
      </c>
      <c r="P25" s="36">
        <f>'12B (NS)Sem 2'!O10</f>
        <v>0</v>
      </c>
      <c r="Q25" s="36">
        <f>'12B (NS)Sem 2'!P10</f>
        <v>0</v>
      </c>
      <c r="R25"/>
    </row>
    <row r="26" spans="1:18" ht="17.25" customHeight="1" thickBot="1" x14ac:dyDescent="0.3">
      <c r="A26" s="247"/>
      <c r="B26" s="271"/>
      <c r="C26" s="213">
        <v>16</v>
      </c>
      <c r="D26" s="215" t="s">
        <v>23</v>
      </c>
      <c r="E26" s="21" t="s">
        <v>16</v>
      </c>
      <c r="F26" s="22">
        <f>AVERAGE(F24:F25)</f>
        <v>68</v>
      </c>
      <c r="G26" s="22">
        <f t="shared" ref="G26:Q26" si="6">AVERAGE(G24:G25)</f>
        <v>69</v>
      </c>
      <c r="H26" s="22">
        <f t="shared" si="6"/>
        <v>65.5</v>
      </c>
      <c r="I26" s="22">
        <f t="shared" si="6"/>
        <v>64</v>
      </c>
      <c r="J26" s="22">
        <f t="shared" si="6"/>
        <v>72</v>
      </c>
      <c r="K26" s="22">
        <f t="shared" si="6"/>
        <v>91.5</v>
      </c>
      <c r="L26" s="22">
        <f t="shared" si="6"/>
        <v>80</v>
      </c>
      <c r="M26" s="22">
        <f t="shared" si="6"/>
        <v>510</v>
      </c>
      <c r="N26" s="192">
        <f t="shared" si="6"/>
        <v>72.857142857142861</v>
      </c>
      <c r="O26" s="22">
        <f>'12B Sem avr (NS) '!$H$10</f>
        <v>21</v>
      </c>
      <c r="P26" s="22">
        <f t="shared" si="6"/>
        <v>0</v>
      </c>
      <c r="Q26" s="22">
        <f t="shared" si="6"/>
        <v>0</v>
      </c>
      <c r="R26"/>
    </row>
    <row r="27" spans="1:18" ht="17.25" customHeight="1" thickBot="1" x14ac:dyDescent="0.3">
      <c r="A27" s="247">
        <v>8</v>
      </c>
      <c r="B27" s="271"/>
      <c r="C27" s="213">
        <v>18</v>
      </c>
      <c r="D27" s="215" t="s">
        <v>23</v>
      </c>
      <c r="E27" s="21" t="s">
        <v>21</v>
      </c>
      <c r="F27" s="22">
        <f>'12B Sem 1'!E11</f>
        <v>87</v>
      </c>
      <c r="G27" s="22">
        <f>'12B Sem 1'!F11</f>
        <v>77</v>
      </c>
      <c r="H27" s="22">
        <f>'12B Sem 1'!G11</f>
        <v>82</v>
      </c>
      <c r="I27" s="22">
        <f>'12B Sem 1'!H11</f>
        <v>79</v>
      </c>
      <c r="J27" s="22">
        <f>'12B Sem 1'!I11</f>
        <v>90</v>
      </c>
      <c r="K27" s="22">
        <f>'12B Sem 1'!J11</f>
        <v>96</v>
      </c>
      <c r="L27" s="22">
        <f>'12B Sem 1'!K11</f>
        <v>86</v>
      </c>
      <c r="M27" s="22">
        <f>'12B Sem 1'!L11</f>
        <v>597</v>
      </c>
      <c r="N27" s="192">
        <f>'12B Sem 1'!M11</f>
        <v>85.285714285714292</v>
      </c>
      <c r="O27" s="22">
        <f>'12B Sem 1'!N11</f>
        <v>7</v>
      </c>
      <c r="P27" s="36">
        <f>'12B Sem 1'!O11</f>
        <v>0</v>
      </c>
      <c r="Q27" s="36">
        <f>'12B Sem 1'!P11</f>
        <v>0</v>
      </c>
      <c r="R27"/>
    </row>
    <row r="28" spans="1:18" ht="17.25" customHeight="1" thickBot="1" x14ac:dyDescent="0.3">
      <c r="A28" s="247"/>
      <c r="B28" s="271"/>
      <c r="C28" s="213">
        <v>18</v>
      </c>
      <c r="D28" s="215" t="s">
        <v>23</v>
      </c>
      <c r="E28" s="21" t="s">
        <v>22</v>
      </c>
      <c r="F28" s="22">
        <f>'12B (NS)Sem 2'!E11</f>
        <v>86</v>
      </c>
      <c r="G28" s="22">
        <f>'12B (NS)Sem 2'!F11</f>
        <v>78</v>
      </c>
      <c r="H28" s="22">
        <f>'12B (NS)Sem 2'!G11</f>
        <v>89</v>
      </c>
      <c r="I28" s="22">
        <f>'12B (NS)Sem 2'!H11</f>
        <v>85</v>
      </c>
      <c r="J28" s="22">
        <f>'12B (NS)Sem 2'!I11</f>
        <v>94</v>
      </c>
      <c r="K28" s="22">
        <f>'12B (NS)Sem 2'!J11</f>
        <v>100</v>
      </c>
      <c r="L28" s="22">
        <f>'12B (NS)Sem 2'!K11</f>
        <v>88</v>
      </c>
      <c r="M28" s="22">
        <f>'12B (NS)Sem 2'!L11</f>
        <v>620</v>
      </c>
      <c r="N28" s="192">
        <f>'12B (NS)Sem 2'!M11</f>
        <v>88.571428571428569</v>
      </c>
      <c r="O28" s="22">
        <f>'12B (NS)Sem 2'!N11</f>
        <v>8</v>
      </c>
      <c r="P28" s="36">
        <f>'12B (NS)Sem 2'!O11</f>
        <v>0</v>
      </c>
      <c r="Q28" s="36">
        <f>'12B (NS)Sem 2'!P11</f>
        <v>0</v>
      </c>
      <c r="R28"/>
    </row>
    <row r="29" spans="1:18" ht="17.25" customHeight="1" thickBot="1" x14ac:dyDescent="0.3">
      <c r="A29" s="247"/>
      <c r="B29" s="271"/>
      <c r="C29" s="213">
        <v>18</v>
      </c>
      <c r="D29" s="215" t="s">
        <v>23</v>
      </c>
      <c r="E29" s="21" t="s">
        <v>16</v>
      </c>
      <c r="F29" s="22">
        <f>AVERAGE(F27:F28)</f>
        <v>86.5</v>
      </c>
      <c r="G29" s="22">
        <f t="shared" ref="G29:Q29" si="7">AVERAGE(G27:G28)</f>
        <v>77.5</v>
      </c>
      <c r="H29" s="22">
        <f t="shared" si="7"/>
        <v>85.5</v>
      </c>
      <c r="I29" s="22">
        <f t="shared" si="7"/>
        <v>82</v>
      </c>
      <c r="J29" s="22">
        <f t="shared" si="7"/>
        <v>92</v>
      </c>
      <c r="K29" s="22">
        <f t="shared" si="7"/>
        <v>98</v>
      </c>
      <c r="L29" s="22">
        <f t="shared" si="7"/>
        <v>87</v>
      </c>
      <c r="M29" s="22">
        <f t="shared" si="7"/>
        <v>608.5</v>
      </c>
      <c r="N29" s="192">
        <f t="shared" si="7"/>
        <v>86.928571428571431</v>
      </c>
      <c r="O29" s="22">
        <f>'12B Sem avr (NS) '!$H$11</f>
        <v>8</v>
      </c>
      <c r="P29" s="22">
        <f t="shared" si="7"/>
        <v>0</v>
      </c>
      <c r="Q29" s="22">
        <f t="shared" si="7"/>
        <v>0</v>
      </c>
      <c r="R29"/>
    </row>
    <row r="30" spans="1:18" ht="17.25" customHeight="1" thickBot="1" x14ac:dyDescent="0.3">
      <c r="A30" s="249">
        <v>9</v>
      </c>
      <c r="B30" s="271"/>
      <c r="C30" s="213">
        <v>18</v>
      </c>
      <c r="D30" s="215" t="s">
        <v>20</v>
      </c>
      <c r="E30" s="21" t="s">
        <v>21</v>
      </c>
      <c r="F30" s="22">
        <f>'12B Sem 1'!E12</f>
        <v>73</v>
      </c>
      <c r="G30" s="22">
        <f>'12B Sem 1'!F12</f>
        <v>66</v>
      </c>
      <c r="H30" s="22">
        <f>'12B Sem 1'!G12</f>
        <v>69</v>
      </c>
      <c r="I30" s="22">
        <f>'12B Sem 1'!H12</f>
        <v>66</v>
      </c>
      <c r="J30" s="22">
        <f>'12B Sem 1'!I12</f>
        <v>75</v>
      </c>
      <c r="K30" s="22">
        <f>'12B Sem 1'!J12</f>
        <v>86</v>
      </c>
      <c r="L30" s="22">
        <f>'12B Sem 1'!K12</f>
        <v>91</v>
      </c>
      <c r="M30" s="22">
        <f>'12B Sem 1'!L12</f>
        <v>526</v>
      </c>
      <c r="N30" s="192">
        <f>'12B Sem 1'!M12</f>
        <v>75.142857142857139</v>
      </c>
      <c r="O30" s="22">
        <f>'12B Sem 1'!N12</f>
        <v>13</v>
      </c>
      <c r="P30" s="36">
        <f>'12B Sem 1'!O12</f>
        <v>0</v>
      </c>
      <c r="Q30" s="36">
        <f>'12B Sem 1'!P12</f>
        <v>0</v>
      </c>
      <c r="R30"/>
    </row>
    <row r="31" spans="1:18" ht="17.25" customHeight="1" thickBot="1" x14ac:dyDescent="0.3">
      <c r="A31" s="249"/>
      <c r="B31" s="271"/>
      <c r="C31" s="213">
        <v>18</v>
      </c>
      <c r="D31" s="215" t="s">
        <v>20</v>
      </c>
      <c r="E31" s="21" t="s">
        <v>22</v>
      </c>
      <c r="F31" s="22">
        <f>'12B (NS)Sem 2'!E12</f>
        <v>77</v>
      </c>
      <c r="G31" s="22">
        <f>'12B (NS)Sem 2'!F12</f>
        <v>61</v>
      </c>
      <c r="H31" s="22">
        <f>'12B (NS)Sem 2'!G12</f>
        <v>80</v>
      </c>
      <c r="I31" s="22">
        <f>'12B (NS)Sem 2'!H12</f>
        <v>70</v>
      </c>
      <c r="J31" s="22">
        <f>'12B (NS)Sem 2'!I12</f>
        <v>80</v>
      </c>
      <c r="K31" s="22">
        <f>'12B (NS)Sem 2'!J12</f>
        <v>96</v>
      </c>
      <c r="L31" s="22">
        <f>'12B (NS)Sem 2'!K12</f>
        <v>97</v>
      </c>
      <c r="M31" s="22">
        <f>'12B (NS)Sem 2'!L12</f>
        <v>561</v>
      </c>
      <c r="N31" s="192">
        <f>'12B (NS)Sem 2'!M12</f>
        <v>80.142857142857139</v>
      </c>
      <c r="O31" s="22">
        <f>'12B (NS)Sem 2'!N12</f>
        <v>17</v>
      </c>
      <c r="P31" s="36">
        <f>'12B (NS)Sem 2'!O12</f>
        <v>0</v>
      </c>
      <c r="Q31" s="36">
        <f>'12B (NS)Sem 2'!P12</f>
        <v>0</v>
      </c>
      <c r="R31"/>
    </row>
    <row r="32" spans="1:18" ht="17.25" customHeight="1" thickBot="1" x14ac:dyDescent="0.3">
      <c r="A32" s="249"/>
      <c r="B32" s="271"/>
      <c r="C32" s="213">
        <v>18</v>
      </c>
      <c r="D32" s="215" t="s">
        <v>20</v>
      </c>
      <c r="E32" s="21" t="s">
        <v>16</v>
      </c>
      <c r="F32" s="22">
        <f>AVERAGE(F30:F31)</f>
        <v>75</v>
      </c>
      <c r="G32" s="22">
        <f t="shared" ref="G32:Q32" si="8">AVERAGE(G30:G31)</f>
        <v>63.5</v>
      </c>
      <c r="H32" s="22">
        <f t="shared" si="8"/>
        <v>74.5</v>
      </c>
      <c r="I32" s="22">
        <f t="shared" si="8"/>
        <v>68</v>
      </c>
      <c r="J32" s="22">
        <f t="shared" si="8"/>
        <v>77.5</v>
      </c>
      <c r="K32" s="22">
        <f t="shared" si="8"/>
        <v>91</v>
      </c>
      <c r="L32" s="22">
        <f t="shared" si="8"/>
        <v>94</v>
      </c>
      <c r="M32" s="22">
        <f t="shared" si="8"/>
        <v>543.5</v>
      </c>
      <c r="N32" s="192">
        <f t="shared" si="8"/>
        <v>77.642857142857139</v>
      </c>
      <c r="O32" s="22">
        <f>'12B Sem avr (NS) '!$H$12</f>
        <v>15</v>
      </c>
      <c r="P32" s="22">
        <f t="shared" si="8"/>
        <v>0</v>
      </c>
      <c r="Q32" s="22">
        <f t="shared" si="8"/>
        <v>0</v>
      </c>
      <c r="R32"/>
    </row>
    <row r="33" spans="1:18" ht="17.25" customHeight="1" thickBot="1" x14ac:dyDescent="0.3">
      <c r="A33" s="247">
        <v>10</v>
      </c>
      <c r="B33" s="271"/>
      <c r="C33" s="213">
        <v>18</v>
      </c>
      <c r="D33" s="215" t="s">
        <v>20</v>
      </c>
      <c r="E33" s="21" t="s">
        <v>21</v>
      </c>
      <c r="F33" s="22">
        <f>'12B Sem 1'!E13</f>
        <v>61</v>
      </c>
      <c r="G33" s="22">
        <f>'12B Sem 1'!F13</f>
        <v>40</v>
      </c>
      <c r="H33" s="22">
        <f>'12B Sem 1'!G13</f>
        <v>59</v>
      </c>
      <c r="I33" s="22">
        <f>'12B Sem 1'!H13</f>
        <v>45</v>
      </c>
      <c r="J33" s="22">
        <f>'12B Sem 1'!I13</f>
        <v>58</v>
      </c>
      <c r="K33" s="22">
        <f>'12B Sem 1'!J13</f>
        <v>72</v>
      </c>
      <c r="L33" s="22">
        <f>'12B Sem 1'!K13</f>
        <v>61</v>
      </c>
      <c r="M33" s="22">
        <f>'12B Sem 1'!L13</f>
        <v>396</v>
      </c>
      <c r="N33" s="192">
        <f>'12B Sem 1'!M13</f>
        <v>56.571428571428569</v>
      </c>
      <c r="O33" s="22">
        <f>'12B Sem 1'!N13</f>
        <v>29</v>
      </c>
      <c r="P33" s="36">
        <f>'12B Sem 1'!O13</f>
        <v>0</v>
      </c>
      <c r="Q33" s="36">
        <f>'12B Sem 1'!P13</f>
        <v>0</v>
      </c>
      <c r="R33"/>
    </row>
    <row r="34" spans="1:18" ht="17.25" customHeight="1" thickBot="1" x14ac:dyDescent="0.3">
      <c r="A34" s="247"/>
      <c r="B34" s="271"/>
      <c r="C34" s="213">
        <v>18</v>
      </c>
      <c r="D34" s="215" t="s">
        <v>20</v>
      </c>
      <c r="E34" s="21" t="s">
        <v>22</v>
      </c>
      <c r="F34" s="22">
        <f>'12B (NS)Sem 2'!E13</f>
        <v>62</v>
      </c>
      <c r="G34" s="22">
        <f>'12B (NS)Sem 2'!F13</f>
        <v>60</v>
      </c>
      <c r="H34" s="22">
        <f>'12B (NS)Sem 2'!G13</f>
        <v>66</v>
      </c>
      <c r="I34" s="22">
        <f>'12B (NS)Sem 2'!H13</f>
        <v>52</v>
      </c>
      <c r="J34" s="22">
        <f>'12B (NS)Sem 2'!I13</f>
        <v>60</v>
      </c>
      <c r="K34" s="22">
        <f>'12B (NS)Sem 2'!J13</f>
        <v>81</v>
      </c>
      <c r="L34" s="22">
        <f>'12B (NS)Sem 2'!K13</f>
        <v>73</v>
      </c>
      <c r="M34" s="22">
        <f>'12B (NS)Sem 2'!L13</f>
        <v>454</v>
      </c>
      <c r="N34" s="192">
        <f>'12B (NS)Sem 2'!M13</f>
        <v>64.857142857142861</v>
      </c>
      <c r="O34" s="22">
        <f>'12B (NS)Sem 2'!N13</f>
        <v>29</v>
      </c>
      <c r="P34" s="36">
        <f>'12B (NS)Sem 2'!O13</f>
        <v>0</v>
      </c>
      <c r="Q34" s="36">
        <f>'12B (NS)Sem 2'!P13</f>
        <v>0</v>
      </c>
      <c r="R34"/>
    </row>
    <row r="35" spans="1:18" ht="17.25" customHeight="1" thickBot="1" x14ac:dyDescent="0.3">
      <c r="A35" s="247"/>
      <c r="B35" s="271"/>
      <c r="C35" s="213">
        <v>18</v>
      </c>
      <c r="D35" s="215" t="s">
        <v>20</v>
      </c>
      <c r="E35" s="21" t="s">
        <v>16</v>
      </c>
      <c r="F35" s="22">
        <f>AVERAGE(F33:F34)</f>
        <v>61.5</v>
      </c>
      <c r="G35" s="22">
        <f t="shared" ref="G35:Q35" si="9">AVERAGE(G33:G34)</f>
        <v>50</v>
      </c>
      <c r="H35" s="22">
        <f t="shared" si="9"/>
        <v>62.5</v>
      </c>
      <c r="I35" s="22">
        <f t="shared" si="9"/>
        <v>48.5</v>
      </c>
      <c r="J35" s="22">
        <f t="shared" si="9"/>
        <v>59</v>
      </c>
      <c r="K35" s="22">
        <f t="shared" si="9"/>
        <v>76.5</v>
      </c>
      <c r="L35" s="22">
        <f t="shared" si="9"/>
        <v>67</v>
      </c>
      <c r="M35" s="22">
        <f t="shared" si="9"/>
        <v>425</v>
      </c>
      <c r="N35" s="192">
        <f t="shared" si="9"/>
        <v>60.714285714285715</v>
      </c>
      <c r="O35" s="22">
        <f>'12B Sem avr (NS) '!$H$13</f>
        <v>29</v>
      </c>
      <c r="P35" s="22">
        <f t="shared" si="9"/>
        <v>0</v>
      </c>
      <c r="Q35" s="22">
        <f t="shared" si="9"/>
        <v>0</v>
      </c>
      <c r="R35"/>
    </row>
    <row r="36" spans="1:18" ht="17.25" customHeight="1" thickBot="1" x14ac:dyDescent="0.3">
      <c r="A36" s="249">
        <v>11</v>
      </c>
      <c r="B36" s="271"/>
      <c r="C36" s="213">
        <v>17</v>
      </c>
      <c r="D36" s="215" t="s">
        <v>23</v>
      </c>
      <c r="E36" s="21" t="s">
        <v>21</v>
      </c>
      <c r="F36" s="22">
        <f>'12B Sem 1'!E14</f>
        <v>90</v>
      </c>
      <c r="G36" s="22">
        <f>'12B Sem 1'!F14</f>
        <v>95</v>
      </c>
      <c r="H36" s="22">
        <f>'12B Sem 1'!G14</f>
        <v>96</v>
      </c>
      <c r="I36" s="22">
        <f>'12B Sem 1'!H14</f>
        <v>98</v>
      </c>
      <c r="J36" s="22">
        <f>'12B Sem 1'!I14</f>
        <v>100</v>
      </c>
      <c r="K36" s="22">
        <f>'12B Sem 1'!J14</f>
        <v>100</v>
      </c>
      <c r="L36" s="22">
        <f>'12B Sem 1'!K14</f>
        <v>98</v>
      </c>
      <c r="M36" s="22">
        <f>'12B Sem 1'!L14</f>
        <v>677</v>
      </c>
      <c r="N36" s="192">
        <f>'12B Sem 1'!M14</f>
        <v>96.714285714285708</v>
      </c>
      <c r="O36" s="22">
        <f>'12B Sem 1'!N14</f>
        <v>1</v>
      </c>
      <c r="P36" s="36">
        <f>'12B Sem 1'!O14</f>
        <v>0</v>
      </c>
      <c r="Q36" s="36">
        <f>'12B Sem 1'!P14</f>
        <v>0</v>
      </c>
      <c r="R36"/>
    </row>
    <row r="37" spans="1:18" ht="17.25" customHeight="1" thickBot="1" x14ac:dyDescent="0.3">
      <c r="A37" s="249"/>
      <c r="B37" s="271"/>
      <c r="C37" s="213">
        <v>17</v>
      </c>
      <c r="D37" s="215" t="s">
        <v>23</v>
      </c>
      <c r="E37" s="21" t="s">
        <v>22</v>
      </c>
      <c r="F37" s="22">
        <f>'12B (NS)Sem 2'!E14</f>
        <v>91</v>
      </c>
      <c r="G37" s="22">
        <f>'12B (NS)Sem 2'!F14</f>
        <v>95</v>
      </c>
      <c r="H37" s="22">
        <f>'12B (NS)Sem 2'!G14</f>
        <v>99</v>
      </c>
      <c r="I37" s="22">
        <f>'12B (NS)Sem 2'!H14</f>
        <v>99</v>
      </c>
      <c r="J37" s="22">
        <f>'12B (NS)Sem 2'!I14</f>
        <v>100</v>
      </c>
      <c r="K37" s="22">
        <f>'12B (NS)Sem 2'!J14</f>
        <v>100</v>
      </c>
      <c r="L37" s="22">
        <f>'12B (NS)Sem 2'!K14</f>
        <v>100</v>
      </c>
      <c r="M37" s="22">
        <f>'12B (NS)Sem 2'!L14</f>
        <v>684</v>
      </c>
      <c r="N37" s="192">
        <f>'12B (NS)Sem 2'!M14</f>
        <v>97.714285714285708</v>
      </c>
      <c r="O37" s="22">
        <f>'12B (NS)Sem 2'!N14</f>
        <v>2</v>
      </c>
      <c r="P37" s="36">
        <f>'12B (NS)Sem 2'!O14</f>
        <v>0</v>
      </c>
      <c r="Q37" s="36">
        <f>'12B (NS)Sem 2'!P14</f>
        <v>0</v>
      </c>
      <c r="R37"/>
    </row>
    <row r="38" spans="1:18" ht="17.25" customHeight="1" thickBot="1" x14ac:dyDescent="0.3">
      <c r="A38" s="249"/>
      <c r="B38" s="271"/>
      <c r="C38" s="213">
        <v>17</v>
      </c>
      <c r="D38" s="215" t="s">
        <v>23</v>
      </c>
      <c r="E38" s="21" t="s">
        <v>16</v>
      </c>
      <c r="F38" s="22">
        <f>AVERAGE(F36:F37)</f>
        <v>90.5</v>
      </c>
      <c r="G38" s="22">
        <f t="shared" ref="G38:Q38" si="10">AVERAGE(G36:G37)</f>
        <v>95</v>
      </c>
      <c r="H38" s="22">
        <f t="shared" si="10"/>
        <v>97.5</v>
      </c>
      <c r="I38" s="22">
        <f t="shared" si="10"/>
        <v>98.5</v>
      </c>
      <c r="J38" s="22">
        <f t="shared" si="10"/>
        <v>100</v>
      </c>
      <c r="K38" s="22">
        <f t="shared" si="10"/>
        <v>100</v>
      </c>
      <c r="L38" s="22">
        <f t="shared" si="10"/>
        <v>99</v>
      </c>
      <c r="M38" s="22">
        <f t="shared" si="10"/>
        <v>680.5</v>
      </c>
      <c r="N38" s="192">
        <f t="shared" si="10"/>
        <v>97.214285714285708</v>
      </c>
      <c r="O38" s="22">
        <f>'12B Sem avr (NS) '!$H$14</f>
        <v>1</v>
      </c>
      <c r="P38" s="22">
        <f t="shared" si="10"/>
        <v>0</v>
      </c>
      <c r="Q38" s="22">
        <f t="shared" si="10"/>
        <v>0</v>
      </c>
      <c r="R38"/>
    </row>
    <row r="39" spans="1:18" ht="17.25" customHeight="1" thickBot="1" x14ac:dyDescent="0.3">
      <c r="A39" s="249">
        <v>12</v>
      </c>
      <c r="B39" s="271"/>
      <c r="C39" s="213">
        <v>17</v>
      </c>
      <c r="D39" s="215" t="s">
        <v>23</v>
      </c>
      <c r="E39" s="21" t="s">
        <v>21</v>
      </c>
      <c r="F39" s="22">
        <f>'12B Sem 1'!E15</f>
        <v>55</v>
      </c>
      <c r="G39" s="22">
        <f>'12B Sem 1'!F15</f>
        <v>52</v>
      </c>
      <c r="H39" s="22">
        <f>'12B Sem 1'!G15</f>
        <v>69</v>
      </c>
      <c r="I39" s="22">
        <f>'12B Sem 1'!H15</f>
        <v>57</v>
      </c>
      <c r="J39" s="22">
        <f>'12B Sem 1'!I15</f>
        <v>71</v>
      </c>
      <c r="K39" s="22">
        <f>'12B Sem 1'!J15</f>
        <v>76</v>
      </c>
      <c r="L39" s="22">
        <f>'12B Sem 1'!K15</f>
        <v>78</v>
      </c>
      <c r="M39" s="22">
        <f>'12B Sem 1'!L15</f>
        <v>458</v>
      </c>
      <c r="N39" s="192">
        <f>'12B Sem 1'!M15</f>
        <v>65.428571428571431</v>
      </c>
      <c r="O39" s="22">
        <f>'12B Sem 1'!N15</f>
        <v>25</v>
      </c>
      <c r="P39" s="36">
        <f>'12B Sem 1'!O15</f>
        <v>0</v>
      </c>
      <c r="Q39" s="36">
        <f>'12B Sem 1'!P15</f>
        <v>0</v>
      </c>
      <c r="R39"/>
    </row>
    <row r="40" spans="1:18" ht="17.25" customHeight="1" thickBot="1" x14ac:dyDescent="0.3">
      <c r="A40" s="249"/>
      <c r="B40" s="271"/>
      <c r="C40" s="213">
        <v>17</v>
      </c>
      <c r="D40" s="215" t="s">
        <v>23</v>
      </c>
      <c r="E40" s="21" t="s">
        <v>22</v>
      </c>
      <c r="F40" s="22">
        <f>'12B (NS)Sem 2'!E15</f>
        <v>72</v>
      </c>
      <c r="G40" s="22">
        <f>'12B (NS)Sem 2'!F15</f>
        <v>64</v>
      </c>
      <c r="H40" s="22">
        <f>'12B (NS)Sem 2'!G15</f>
        <v>71</v>
      </c>
      <c r="I40" s="22">
        <f>'12B (NS)Sem 2'!H15</f>
        <v>61</v>
      </c>
      <c r="J40" s="22">
        <f>'12B (NS)Sem 2'!I15</f>
        <v>75</v>
      </c>
      <c r="K40" s="22">
        <f>'12B (NS)Sem 2'!J15</f>
        <v>90</v>
      </c>
      <c r="L40" s="22">
        <f>'12B (NS)Sem 2'!K15</f>
        <v>87</v>
      </c>
      <c r="M40" s="22">
        <f>'12B (NS)Sem 2'!L15</f>
        <v>520</v>
      </c>
      <c r="N40" s="192">
        <f>'12B (NS)Sem 2'!M15</f>
        <v>74.285714285714292</v>
      </c>
      <c r="O40" s="22">
        <f>'12B (NS)Sem 2'!N15</f>
        <v>25</v>
      </c>
      <c r="P40" s="36">
        <f>'12B (NS)Sem 2'!O15</f>
        <v>0</v>
      </c>
      <c r="Q40" s="36">
        <f>'12B (NS)Sem 2'!P15</f>
        <v>0</v>
      </c>
      <c r="R40"/>
    </row>
    <row r="41" spans="1:18" ht="17.25" customHeight="1" thickBot="1" x14ac:dyDescent="0.3">
      <c r="A41" s="249"/>
      <c r="B41" s="271"/>
      <c r="C41" s="213">
        <v>17</v>
      </c>
      <c r="D41" s="215" t="s">
        <v>23</v>
      </c>
      <c r="E41" s="21" t="s">
        <v>16</v>
      </c>
      <c r="F41" s="22">
        <f>AVERAGE(F39:F40)</f>
        <v>63.5</v>
      </c>
      <c r="G41" s="22">
        <f t="shared" ref="G41:Q41" si="11">AVERAGE(G39:G40)</f>
        <v>58</v>
      </c>
      <c r="H41" s="22">
        <f t="shared" si="11"/>
        <v>70</v>
      </c>
      <c r="I41" s="22">
        <f t="shared" si="11"/>
        <v>59</v>
      </c>
      <c r="J41" s="22">
        <f t="shared" si="11"/>
        <v>73</v>
      </c>
      <c r="K41" s="22">
        <f t="shared" si="11"/>
        <v>83</v>
      </c>
      <c r="L41" s="22">
        <f t="shared" si="11"/>
        <v>82.5</v>
      </c>
      <c r="M41" s="22">
        <f t="shared" si="11"/>
        <v>489</v>
      </c>
      <c r="N41" s="192">
        <f t="shared" si="11"/>
        <v>69.857142857142861</v>
      </c>
      <c r="O41" s="22">
        <f>'12B Sem avr (NS) '!$H$15</f>
        <v>25</v>
      </c>
      <c r="P41" s="22">
        <f t="shared" si="11"/>
        <v>0</v>
      </c>
      <c r="Q41" s="22">
        <f t="shared" si="11"/>
        <v>0</v>
      </c>
      <c r="R41"/>
    </row>
    <row r="42" spans="1:18" ht="17.25" customHeight="1" thickBot="1" x14ac:dyDescent="0.3">
      <c r="A42" s="249">
        <v>13</v>
      </c>
      <c r="B42" s="271"/>
      <c r="C42" s="213">
        <v>17</v>
      </c>
      <c r="D42" s="215" t="s">
        <v>23</v>
      </c>
      <c r="E42" s="21" t="s">
        <v>21</v>
      </c>
      <c r="F42" s="22">
        <f>'12B Sem 1'!E16</f>
        <v>87</v>
      </c>
      <c r="G42" s="22">
        <f>'12B Sem 1'!F16</f>
        <v>78</v>
      </c>
      <c r="H42" s="22">
        <f>'12B Sem 1'!G16</f>
        <v>68</v>
      </c>
      <c r="I42" s="22">
        <f>'12B Sem 1'!H16</f>
        <v>70</v>
      </c>
      <c r="J42" s="22">
        <f>'12B Sem 1'!I16</f>
        <v>83</v>
      </c>
      <c r="K42" s="22">
        <f>'12B Sem 1'!J16</f>
        <v>85</v>
      </c>
      <c r="L42" s="22">
        <f>'12B Sem 1'!K16</f>
        <v>75</v>
      </c>
      <c r="M42" s="22">
        <f>'12B Sem 1'!L16</f>
        <v>546</v>
      </c>
      <c r="N42" s="22">
        <f>'12B Sem 1'!M16</f>
        <v>78</v>
      </c>
      <c r="O42" s="22">
        <f>'12B Sem 1'!N16</f>
        <v>11</v>
      </c>
      <c r="P42" s="36">
        <f>'12B Sem 1'!O16</f>
        <v>0</v>
      </c>
      <c r="Q42" s="36">
        <f>'12B Sem 1'!P16</f>
        <v>0</v>
      </c>
      <c r="R42"/>
    </row>
    <row r="43" spans="1:18" ht="17.25" customHeight="1" thickBot="1" x14ac:dyDescent="0.3">
      <c r="A43" s="249"/>
      <c r="B43" s="271"/>
      <c r="C43" s="213">
        <v>17</v>
      </c>
      <c r="D43" s="215" t="s">
        <v>23</v>
      </c>
      <c r="E43" s="21" t="s">
        <v>22</v>
      </c>
      <c r="F43" s="22">
        <f>'12B (NS)Sem 2'!E16</f>
        <v>86</v>
      </c>
      <c r="G43" s="22">
        <f>'12B (NS)Sem 2'!F16</f>
        <v>70</v>
      </c>
      <c r="H43" s="22">
        <f>'12B (NS)Sem 2'!G16</f>
        <v>87</v>
      </c>
      <c r="I43" s="22">
        <f>'12B (NS)Sem 2'!H16</f>
        <v>78</v>
      </c>
      <c r="J43" s="22">
        <f>'12B (NS)Sem 2'!I16</f>
        <v>90</v>
      </c>
      <c r="K43" s="22">
        <f>'12B (NS)Sem 2'!J16</f>
        <v>97</v>
      </c>
      <c r="L43" s="22">
        <f>'12B (NS)Sem 2'!K16</f>
        <v>93</v>
      </c>
      <c r="M43" s="22">
        <f>'12B (NS)Sem 2'!L16</f>
        <v>601</v>
      </c>
      <c r="N43" s="192">
        <f>'12B (NS)Sem 2'!M16</f>
        <v>85.857142857142861</v>
      </c>
      <c r="O43" s="22">
        <f>'12B (NS)Sem 2'!N16</f>
        <v>10</v>
      </c>
      <c r="P43" s="36">
        <f>'12B (NS)Sem 2'!O16</f>
        <v>0</v>
      </c>
      <c r="Q43" s="36">
        <f>'12B (NS)Sem 2'!P16</f>
        <v>0</v>
      </c>
      <c r="R43"/>
    </row>
    <row r="44" spans="1:18" ht="17.25" customHeight="1" thickBot="1" x14ac:dyDescent="0.3">
      <c r="A44" s="249"/>
      <c r="B44" s="271"/>
      <c r="C44" s="213">
        <v>17</v>
      </c>
      <c r="D44" s="215" t="s">
        <v>23</v>
      </c>
      <c r="E44" s="21" t="s">
        <v>16</v>
      </c>
      <c r="F44" s="22">
        <f>AVERAGE(F42:F43)</f>
        <v>86.5</v>
      </c>
      <c r="G44" s="22">
        <f t="shared" ref="G44:Q44" si="12">AVERAGE(G42:G43)</f>
        <v>74</v>
      </c>
      <c r="H44" s="22">
        <f t="shared" si="12"/>
        <v>77.5</v>
      </c>
      <c r="I44" s="22">
        <f t="shared" si="12"/>
        <v>74</v>
      </c>
      <c r="J44" s="22">
        <f t="shared" si="12"/>
        <v>86.5</v>
      </c>
      <c r="K44" s="22">
        <f t="shared" si="12"/>
        <v>91</v>
      </c>
      <c r="L44" s="22">
        <f t="shared" si="12"/>
        <v>84</v>
      </c>
      <c r="M44" s="22">
        <f t="shared" si="12"/>
        <v>573.5</v>
      </c>
      <c r="N44" s="192">
        <f t="shared" si="12"/>
        <v>81.928571428571431</v>
      </c>
      <c r="O44" s="22">
        <f>'12B Sem avr (NS) '!$H$16</f>
        <v>11</v>
      </c>
      <c r="P44" s="22">
        <f t="shared" si="12"/>
        <v>0</v>
      </c>
      <c r="Q44" s="22">
        <f t="shared" si="12"/>
        <v>0</v>
      </c>
      <c r="R44"/>
    </row>
    <row r="45" spans="1:18" ht="17.25" customHeight="1" thickBot="1" x14ac:dyDescent="0.3">
      <c r="A45" s="247">
        <v>14</v>
      </c>
      <c r="B45" s="271"/>
      <c r="C45" s="213">
        <v>16</v>
      </c>
      <c r="D45" s="215" t="s">
        <v>20</v>
      </c>
      <c r="E45" s="21" t="s">
        <v>21</v>
      </c>
      <c r="F45" s="22">
        <f>'12B Sem 1'!E17</f>
        <v>97</v>
      </c>
      <c r="G45" s="22">
        <f>'12B Sem 1'!F17</f>
        <v>92</v>
      </c>
      <c r="H45" s="22">
        <f>'12B Sem 1'!G17</f>
        <v>99</v>
      </c>
      <c r="I45" s="22">
        <f>'12B Sem 1'!H17</f>
        <v>92</v>
      </c>
      <c r="J45" s="22">
        <f>'12B Sem 1'!I17</f>
        <v>98</v>
      </c>
      <c r="K45" s="22">
        <f>'12B Sem 1'!J17</f>
        <v>99</v>
      </c>
      <c r="L45" s="22">
        <f>'12B Sem 1'!K17</f>
        <v>96</v>
      </c>
      <c r="M45" s="22">
        <f>'12B Sem 1'!L17</f>
        <v>673</v>
      </c>
      <c r="N45" s="192">
        <f>'12B Sem 1'!M17</f>
        <v>96.142857142857139</v>
      </c>
      <c r="O45" s="22">
        <f>'12B Sem 1'!N17</f>
        <v>2</v>
      </c>
      <c r="P45" s="36">
        <f>'12B Sem 1'!O17</f>
        <v>0</v>
      </c>
      <c r="Q45" s="36">
        <f>'12B Sem 1'!P17</f>
        <v>0</v>
      </c>
      <c r="R45"/>
    </row>
    <row r="46" spans="1:18" ht="17.25" customHeight="1" thickBot="1" x14ac:dyDescent="0.3">
      <c r="A46" s="247"/>
      <c r="B46" s="271"/>
      <c r="C46" s="213">
        <v>16</v>
      </c>
      <c r="D46" s="215" t="s">
        <v>20</v>
      </c>
      <c r="E46" s="21" t="s">
        <v>22</v>
      </c>
      <c r="F46" s="22">
        <f>'12B (NS)Sem 2'!E17</f>
        <v>95</v>
      </c>
      <c r="G46" s="22">
        <f>'12B (NS)Sem 2'!F17</f>
        <v>98</v>
      </c>
      <c r="H46" s="22">
        <f>'12B (NS)Sem 2'!G17</f>
        <v>99</v>
      </c>
      <c r="I46" s="22">
        <f>'12B (NS)Sem 2'!H17</f>
        <v>94</v>
      </c>
      <c r="J46" s="22">
        <f>'12B (NS)Sem 2'!I17</f>
        <v>100</v>
      </c>
      <c r="K46" s="22">
        <f>'12B (NS)Sem 2'!J17</f>
        <v>100</v>
      </c>
      <c r="L46" s="22">
        <f>'12B (NS)Sem 2'!K17</f>
        <v>100</v>
      </c>
      <c r="M46" s="22">
        <f>'12B (NS)Sem 2'!L17</f>
        <v>686</v>
      </c>
      <c r="N46" s="22">
        <f>'12B (NS)Sem 2'!M17</f>
        <v>98</v>
      </c>
      <c r="O46" s="22">
        <f>'12B (NS)Sem 2'!N17</f>
        <v>1</v>
      </c>
      <c r="P46" s="36">
        <f>'12B (NS)Sem 2'!O17</f>
        <v>0</v>
      </c>
      <c r="Q46" s="36">
        <f>'12B (NS)Sem 2'!P17</f>
        <v>0</v>
      </c>
      <c r="R46"/>
    </row>
    <row r="47" spans="1:18" ht="17.25" customHeight="1" thickBot="1" x14ac:dyDescent="0.3">
      <c r="A47" s="247"/>
      <c r="B47" s="271"/>
      <c r="C47" s="213">
        <v>16</v>
      </c>
      <c r="D47" s="215" t="s">
        <v>20</v>
      </c>
      <c r="E47" s="21" t="s">
        <v>16</v>
      </c>
      <c r="F47" s="22">
        <f>AVERAGE(F45:F46)</f>
        <v>96</v>
      </c>
      <c r="G47" s="22">
        <f t="shared" ref="G47:Q47" si="13">AVERAGE(G45:G46)</f>
        <v>95</v>
      </c>
      <c r="H47" s="22">
        <f t="shared" si="13"/>
        <v>99</v>
      </c>
      <c r="I47" s="22">
        <f t="shared" si="13"/>
        <v>93</v>
      </c>
      <c r="J47" s="22">
        <f t="shared" si="13"/>
        <v>99</v>
      </c>
      <c r="K47" s="22">
        <f t="shared" si="13"/>
        <v>99.5</v>
      </c>
      <c r="L47" s="22">
        <f t="shared" si="13"/>
        <v>98</v>
      </c>
      <c r="M47" s="22">
        <f t="shared" si="13"/>
        <v>679.5</v>
      </c>
      <c r="N47" s="192">
        <f t="shared" si="13"/>
        <v>97.071428571428569</v>
      </c>
      <c r="O47" s="22">
        <f>'12B Sem avr (NS) '!$H$17</f>
        <v>2</v>
      </c>
      <c r="P47" s="22">
        <f t="shared" si="13"/>
        <v>0</v>
      </c>
      <c r="Q47" s="22">
        <f t="shared" si="13"/>
        <v>0</v>
      </c>
      <c r="R47"/>
    </row>
    <row r="48" spans="1:18" ht="17.25" customHeight="1" thickBot="1" x14ac:dyDescent="0.3">
      <c r="A48" s="249">
        <v>15</v>
      </c>
      <c r="B48" s="271"/>
      <c r="C48" s="213">
        <v>17</v>
      </c>
      <c r="D48" s="215" t="s">
        <v>20</v>
      </c>
      <c r="E48" s="21" t="s">
        <v>21</v>
      </c>
      <c r="F48" s="22">
        <f>'12B Sem 1'!E18</f>
        <v>78</v>
      </c>
      <c r="G48" s="22">
        <f>'12B Sem 1'!F18</f>
        <v>63</v>
      </c>
      <c r="H48" s="23">
        <f>'12B Sem 1'!G18</f>
        <v>76</v>
      </c>
      <c r="I48" s="22">
        <f>'12B Sem 1'!H18</f>
        <v>70</v>
      </c>
      <c r="J48" s="22">
        <f>'12B Sem 1'!I18</f>
        <v>78</v>
      </c>
      <c r="K48" s="22">
        <f>'12B Sem 1'!J18</f>
        <v>97</v>
      </c>
      <c r="L48" s="22">
        <f>'12B Sem 1'!K18</f>
        <v>84</v>
      </c>
      <c r="M48" s="22">
        <f>'12B Sem 1'!L18</f>
        <v>546</v>
      </c>
      <c r="N48" s="22">
        <f>'12B Sem 1'!M18</f>
        <v>78</v>
      </c>
      <c r="O48" s="22">
        <f>'12B Sem 1'!N18</f>
        <v>11</v>
      </c>
      <c r="P48" s="36">
        <f>'12B Sem 1'!O18</f>
        <v>0</v>
      </c>
      <c r="Q48" s="36">
        <f>'12B Sem 1'!P18</f>
        <v>0</v>
      </c>
      <c r="R48"/>
    </row>
    <row r="49" spans="1:22" ht="17.25" customHeight="1" thickBot="1" x14ac:dyDescent="0.3">
      <c r="A49" s="249"/>
      <c r="B49" s="271"/>
      <c r="C49" s="213">
        <v>17</v>
      </c>
      <c r="D49" s="215" t="s">
        <v>20</v>
      </c>
      <c r="E49" s="21" t="s">
        <v>22</v>
      </c>
      <c r="F49" s="22">
        <f>'12B (NS)Sem 2'!E18</f>
        <v>73</v>
      </c>
      <c r="G49" s="22">
        <f>'12B (NS)Sem 2'!F18</f>
        <v>68</v>
      </c>
      <c r="H49" s="23">
        <f>'12B (NS)Sem 2'!G18</f>
        <v>87</v>
      </c>
      <c r="I49" s="22">
        <f>'12B (NS)Sem 2'!H18</f>
        <v>75</v>
      </c>
      <c r="J49" s="22">
        <f>'12B (NS)Sem 2'!I18</f>
        <v>85</v>
      </c>
      <c r="K49" s="22">
        <f>'12B (NS)Sem 2'!J18</f>
        <v>100</v>
      </c>
      <c r="L49" s="22">
        <f>'12B (NS)Sem 2'!K18</f>
        <v>85</v>
      </c>
      <c r="M49" s="22">
        <f>'12B (NS)Sem 2'!L18</f>
        <v>573</v>
      </c>
      <c r="N49" s="192">
        <f>'12B (NS)Sem 2'!M18</f>
        <v>81.857142857142861</v>
      </c>
      <c r="O49" s="22">
        <f>'12B (NS)Sem 2'!N18</f>
        <v>14</v>
      </c>
      <c r="P49" s="36">
        <f>'12B (NS)Sem 2'!O18</f>
        <v>0</v>
      </c>
      <c r="Q49" s="36">
        <f>'12B (NS)Sem 2'!P18</f>
        <v>0</v>
      </c>
      <c r="R49" s="5"/>
      <c r="S49" s="5"/>
      <c r="T49" s="5"/>
      <c r="U49" s="5"/>
      <c r="V49" s="5"/>
    </row>
    <row r="50" spans="1:22" ht="17.25" customHeight="1" thickBot="1" x14ac:dyDescent="0.3">
      <c r="A50" s="249"/>
      <c r="B50" s="271"/>
      <c r="C50" s="213">
        <v>17</v>
      </c>
      <c r="D50" s="215" t="s">
        <v>20</v>
      </c>
      <c r="E50" s="21" t="s">
        <v>16</v>
      </c>
      <c r="F50" s="22">
        <f>AVERAGE(F48:F49)</f>
        <v>75.5</v>
      </c>
      <c r="G50" s="22">
        <f t="shared" ref="G50:Q50" si="14">AVERAGE(G48:G49)</f>
        <v>65.5</v>
      </c>
      <c r="H50" s="22">
        <f t="shared" si="14"/>
        <v>81.5</v>
      </c>
      <c r="I50" s="22">
        <f t="shared" si="14"/>
        <v>72.5</v>
      </c>
      <c r="J50" s="22">
        <f t="shared" si="14"/>
        <v>81.5</v>
      </c>
      <c r="K50" s="22">
        <f t="shared" si="14"/>
        <v>98.5</v>
      </c>
      <c r="L50" s="22">
        <f t="shared" si="14"/>
        <v>84.5</v>
      </c>
      <c r="M50" s="22">
        <f t="shared" si="14"/>
        <v>559.5</v>
      </c>
      <c r="N50" s="192">
        <f t="shared" si="14"/>
        <v>79.928571428571431</v>
      </c>
      <c r="O50" s="22">
        <f>'12B Sem avr (NS) '!$H$18</f>
        <v>12</v>
      </c>
      <c r="P50" s="22">
        <f t="shared" si="14"/>
        <v>0</v>
      </c>
      <c r="Q50" s="22">
        <f t="shared" si="14"/>
        <v>0</v>
      </c>
      <c r="R50" s="5"/>
      <c r="S50" s="5"/>
      <c r="T50" s="5"/>
      <c r="U50" s="5"/>
      <c r="V50" s="5"/>
    </row>
    <row r="51" spans="1:22" ht="17.25" customHeight="1" thickBot="1" x14ac:dyDescent="0.3">
      <c r="A51" s="247">
        <v>16</v>
      </c>
      <c r="B51" s="271"/>
      <c r="C51" s="213">
        <v>17</v>
      </c>
      <c r="D51" s="215" t="s">
        <v>20</v>
      </c>
      <c r="E51" s="21" t="s">
        <v>21</v>
      </c>
      <c r="F51" s="22">
        <f>'12B Sem 1'!E19</f>
        <v>67</v>
      </c>
      <c r="G51" s="22">
        <f>'12B Sem 1'!F19</f>
        <v>58</v>
      </c>
      <c r="H51" s="22">
        <f>'12B Sem 1'!G19</f>
        <v>64</v>
      </c>
      <c r="I51" s="22">
        <f>'12B Sem 1'!H19</f>
        <v>73</v>
      </c>
      <c r="J51" s="22">
        <f>'12B Sem 1'!I19</f>
        <v>77</v>
      </c>
      <c r="K51" s="22">
        <f>'12B Sem 1'!J19</f>
        <v>80</v>
      </c>
      <c r="L51" s="22">
        <f>'12B Sem 1'!K19</f>
        <v>82</v>
      </c>
      <c r="M51" s="22">
        <f>'12B Sem 1'!L19</f>
        <v>501</v>
      </c>
      <c r="N51" s="192">
        <f>'12B Sem 1'!M19</f>
        <v>71.571428571428569</v>
      </c>
      <c r="O51" s="22">
        <f>'12B Sem 1'!N19</f>
        <v>17</v>
      </c>
      <c r="P51" s="36">
        <f>'12B Sem 1'!O19</f>
        <v>0</v>
      </c>
      <c r="Q51" s="36">
        <f>'12B Sem 1'!P19</f>
        <v>0</v>
      </c>
      <c r="R51" s="5"/>
      <c r="S51" s="5"/>
      <c r="T51" s="5"/>
      <c r="U51" s="5"/>
      <c r="V51" s="5"/>
    </row>
    <row r="52" spans="1:22" ht="17.25" customHeight="1" thickBot="1" x14ac:dyDescent="0.3">
      <c r="A52" s="247"/>
      <c r="B52" s="271"/>
      <c r="C52" s="213">
        <v>17</v>
      </c>
      <c r="D52" s="215" t="s">
        <v>20</v>
      </c>
      <c r="E52" s="21" t="s">
        <v>22</v>
      </c>
      <c r="F52" s="22">
        <f>'12B (NS)Sem 2'!E19</f>
        <v>77</v>
      </c>
      <c r="G52" s="22">
        <f>'12B (NS)Sem 2'!F19</f>
        <v>68</v>
      </c>
      <c r="H52" s="22">
        <f>'12B (NS)Sem 2'!G19</f>
        <v>81</v>
      </c>
      <c r="I52" s="22">
        <f>'12B (NS)Sem 2'!H19</f>
        <v>76</v>
      </c>
      <c r="J52" s="22">
        <f>'12B (NS)Sem 2'!I19</f>
        <v>80</v>
      </c>
      <c r="K52" s="22">
        <f>'12B (NS)Sem 2'!J19</f>
        <v>92</v>
      </c>
      <c r="L52" s="22">
        <f>'12B (NS)Sem 2'!K19</f>
        <v>83</v>
      </c>
      <c r="M52" s="22">
        <f>'12B (NS)Sem 2'!L19</f>
        <v>557</v>
      </c>
      <c r="N52" s="192">
        <f>'12B (NS)Sem 2'!M19</f>
        <v>79.571428571428569</v>
      </c>
      <c r="O52" s="22">
        <f>'12B (NS)Sem 2'!N19</f>
        <v>18</v>
      </c>
      <c r="P52" s="36">
        <f>'12B (NS)Sem 2'!O19</f>
        <v>0</v>
      </c>
      <c r="Q52" s="36">
        <f>'12B (NS)Sem 2'!P19</f>
        <v>0</v>
      </c>
      <c r="R52" s="5"/>
      <c r="S52" s="5"/>
      <c r="T52" s="5"/>
      <c r="U52" s="5"/>
      <c r="V52" s="5"/>
    </row>
    <row r="53" spans="1:22" ht="17.25" customHeight="1" thickBot="1" x14ac:dyDescent="0.3">
      <c r="A53" s="247"/>
      <c r="B53" s="271"/>
      <c r="C53" s="213">
        <v>17</v>
      </c>
      <c r="D53" s="215" t="s">
        <v>20</v>
      </c>
      <c r="E53" s="21" t="s">
        <v>16</v>
      </c>
      <c r="F53" s="22">
        <f>AVERAGE(F51:F52)</f>
        <v>72</v>
      </c>
      <c r="G53" s="22">
        <f t="shared" ref="G53:Q53" si="15">AVERAGE(G51:G52)</f>
        <v>63</v>
      </c>
      <c r="H53" s="22">
        <f t="shared" si="15"/>
        <v>72.5</v>
      </c>
      <c r="I53" s="22">
        <f t="shared" si="15"/>
        <v>74.5</v>
      </c>
      <c r="J53" s="22">
        <f t="shared" si="15"/>
        <v>78.5</v>
      </c>
      <c r="K53" s="22">
        <f t="shared" si="15"/>
        <v>86</v>
      </c>
      <c r="L53" s="22">
        <f t="shared" si="15"/>
        <v>82.5</v>
      </c>
      <c r="M53" s="22">
        <f t="shared" si="15"/>
        <v>529</v>
      </c>
      <c r="N53" s="192">
        <f t="shared" si="15"/>
        <v>75.571428571428569</v>
      </c>
      <c r="O53" s="22">
        <f>'12B Sem avr (NS) '!$H$19</f>
        <v>17</v>
      </c>
      <c r="P53" s="22">
        <f t="shared" si="15"/>
        <v>0</v>
      </c>
      <c r="Q53" s="22">
        <f t="shared" si="15"/>
        <v>0</v>
      </c>
      <c r="R53" s="5"/>
      <c r="S53" s="5"/>
      <c r="T53" s="5"/>
      <c r="U53" s="5"/>
      <c r="V53" s="5"/>
    </row>
    <row r="54" spans="1:22" ht="17.25" customHeight="1" thickBot="1" x14ac:dyDescent="0.3">
      <c r="A54" s="247">
        <v>17</v>
      </c>
      <c r="B54" s="271"/>
      <c r="C54" s="213">
        <v>17</v>
      </c>
      <c r="D54" s="215" t="s">
        <v>20</v>
      </c>
      <c r="E54" s="21" t="s">
        <v>21</v>
      </c>
      <c r="F54" s="22">
        <f>'12B Sem 1'!E20</f>
        <v>74</v>
      </c>
      <c r="G54" s="22">
        <f>'12B Sem 1'!F20</f>
        <v>67</v>
      </c>
      <c r="H54" s="22">
        <f>'12B Sem 1'!G20</f>
        <v>74</v>
      </c>
      <c r="I54" s="22">
        <f>'12B Sem 1'!H20</f>
        <v>73</v>
      </c>
      <c r="J54" s="22">
        <f>'12B Sem 1'!I20</f>
        <v>90</v>
      </c>
      <c r="K54" s="22">
        <f>'12B Sem 1'!J20</f>
        <v>90</v>
      </c>
      <c r="L54" s="22">
        <f>'12B Sem 1'!K20</f>
        <v>86</v>
      </c>
      <c r="M54" s="22">
        <f>'12B Sem 1'!L20</f>
        <v>554</v>
      </c>
      <c r="N54" s="192">
        <f>'12B Sem 1'!M20</f>
        <v>79.142857142857139</v>
      </c>
      <c r="O54" s="22">
        <f>'12B Sem 1'!N20</f>
        <v>10</v>
      </c>
      <c r="P54" s="36">
        <f>'12B Sem 1'!O20</f>
        <v>0</v>
      </c>
      <c r="Q54" s="36">
        <f>'12B Sem 1'!P20</f>
        <v>0</v>
      </c>
      <c r="R54" s="5"/>
      <c r="S54" s="5"/>
      <c r="T54" s="5"/>
      <c r="U54" s="5"/>
      <c r="V54" s="5"/>
    </row>
    <row r="55" spans="1:22" ht="17.25" customHeight="1" thickBot="1" x14ac:dyDescent="0.3">
      <c r="A55" s="247"/>
      <c r="B55" s="271"/>
      <c r="C55" s="213">
        <v>17</v>
      </c>
      <c r="D55" s="215" t="s">
        <v>20</v>
      </c>
      <c r="E55" s="21" t="s">
        <v>22</v>
      </c>
      <c r="F55" s="22">
        <f>'12B (NS)Sem 2'!E20</f>
        <v>80</v>
      </c>
      <c r="G55" s="22">
        <f>'12B (NS)Sem 2'!F20</f>
        <v>77</v>
      </c>
      <c r="H55" s="22">
        <f>'12B (NS)Sem 2'!G20</f>
        <v>89</v>
      </c>
      <c r="I55" s="22">
        <f>'12B (NS)Sem 2'!H20</f>
        <v>80</v>
      </c>
      <c r="J55" s="22">
        <f>'12B (NS)Sem 2'!I20</f>
        <v>94</v>
      </c>
      <c r="K55" s="22">
        <f>'12B (NS)Sem 2'!J20</f>
        <v>96</v>
      </c>
      <c r="L55" s="22">
        <f>'12B (NS)Sem 2'!K20</f>
        <v>93</v>
      </c>
      <c r="M55" s="22">
        <f>'12B (NS)Sem 2'!L20</f>
        <v>609</v>
      </c>
      <c r="N55" s="22">
        <f>'12B (NS)Sem 2'!M20</f>
        <v>87</v>
      </c>
      <c r="O55" s="22">
        <f>'12B (NS)Sem 2'!N20</f>
        <v>9</v>
      </c>
      <c r="P55" s="36">
        <f>'12B (NS)Sem 2'!O20</f>
        <v>0</v>
      </c>
      <c r="Q55" s="36">
        <f>'12B (NS)Sem 2'!P20</f>
        <v>0</v>
      </c>
      <c r="R55" s="5"/>
      <c r="S55" s="5"/>
      <c r="T55" s="5"/>
      <c r="U55" s="5"/>
      <c r="V55" s="5"/>
    </row>
    <row r="56" spans="1:22" ht="17.25" customHeight="1" thickBot="1" x14ac:dyDescent="0.3">
      <c r="A56" s="247"/>
      <c r="B56" s="271"/>
      <c r="C56" s="213">
        <v>17</v>
      </c>
      <c r="D56" s="215" t="s">
        <v>20</v>
      </c>
      <c r="E56" s="21" t="s">
        <v>16</v>
      </c>
      <c r="F56" s="22">
        <f>AVERAGE(F54:F55)</f>
        <v>77</v>
      </c>
      <c r="G56" s="22">
        <f t="shared" ref="G56:Q56" si="16">AVERAGE(G54:G55)</f>
        <v>72</v>
      </c>
      <c r="H56" s="22">
        <f t="shared" si="16"/>
        <v>81.5</v>
      </c>
      <c r="I56" s="22">
        <f t="shared" si="16"/>
        <v>76.5</v>
      </c>
      <c r="J56" s="22">
        <f t="shared" si="16"/>
        <v>92</v>
      </c>
      <c r="K56" s="22">
        <f t="shared" si="16"/>
        <v>93</v>
      </c>
      <c r="L56" s="22">
        <f t="shared" si="16"/>
        <v>89.5</v>
      </c>
      <c r="M56" s="22">
        <f t="shared" si="16"/>
        <v>581.5</v>
      </c>
      <c r="N56" s="192">
        <f t="shared" si="16"/>
        <v>83.071428571428569</v>
      </c>
      <c r="O56" s="22">
        <f>'12B Sem avr (NS) '!$H$20</f>
        <v>9</v>
      </c>
      <c r="P56" s="22">
        <f t="shared" si="16"/>
        <v>0</v>
      </c>
      <c r="Q56" s="22">
        <f t="shared" si="16"/>
        <v>0</v>
      </c>
      <c r="R56" s="5"/>
      <c r="S56" s="5"/>
      <c r="T56" s="5"/>
      <c r="U56" s="5"/>
      <c r="V56" s="5"/>
    </row>
    <row r="57" spans="1:22" ht="17.25" customHeight="1" thickBot="1" x14ac:dyDescent="0.3">
      <c r="A57" s="247">
        <v>18</v>
      </c>
      <c r="B57" s="271"/>
      <c r="C57" s="213">
        <v>17</v>
      </c>
      <c r="D57" s="231" t="s">
        <v>20</v>
      </c>
      <c r="E57" s="21" t="s">
        <v>21</v>
      </c>
      <c r="F57" s="22">
        <f>'12B Sem 1'!E21</f>
        <v>73</v>
      </c>
      <c r="G57" s="22">
        <f>'12B Sem 1'!F21</f>
        <v>64</v>
      </c>
      <c r="H57" s="23">
        <f>'12B Sem 1'!G21</f>
        <v>75</v>
      </c>
      <c r="I57" s="22">
        <f>'12B Sem 1'!H21</f>
        <v>62</v>
      </c>
      <c r="J57" s="22">
        <f>'12B Sem 1'!I21</f>
        <v>77</v>
      </c>
      <c r="K57" s="22">
        <f>'12B Sem 1'!J21</f>
        <v>84</v>
      </c>
      <c r="L57" s="22">
        <f>'12B Sem 1'!K21</f>
        <v>63</v>
      </c>
      <c r="M57" s="22">
        <f>'12B Sem 1'!L21</f>
        <v>498</v>
      </c>
      <c r="N57" s="192">
        <f>'12B Sem 1'!M21</f>
        <v>71.142857142857139</v>
      </c>
      <c r="O57" s="22">
        <f>'12B Sem 1'!N21</f>
        <v>18</v>
      </c>
      <c r="P57" s="36">
        <f>'12B Sem 1'!O21</f>
        <v>0</v>
      </c>
      <c r="Q57" s="36">
        <f>'12B Sem 1'!P21</f>
        <v>0</v>
      </c>
      <c r="R57" s="5"/>
      <c r="S57" s="5"/>
      <c r="T57" s="5"/>
      <c r="U57" s="5"/>
      <c r="V57" s="5"/>
    </row>
    <row r="58" spans="1:22" ht="18.75" customHeight="1" thickBot="1" x14ac:dyDescent="0.3">
      <c r="A58" s="247"/>
      <c r="B58" s="271"/>
      <c r="C58" s="213">
        <v>17</v>
      </c>
      <c r="D58" s="232" t="s">
        <v>20</v>
      </c>
      <c r="E58" s="21" t="s">
        <v>22</v>
      </c>
      <c r="F58" s="22">
        <f>'12B (NS)Sem 2'!E21</f>
        <v>75</v>
      </c>
      <c r="G58" s="22">
        <f>'12B (NS)Sem 2'!F21</f>
        <v>70</v>
      </c>
      <c r="H58" s="23">
        <f>'12B (NS)Sem 2'!G21</f>
        <v>80</v>
      </c>
      <c r="I58" s="22">
        <f>'12B (NS)Sem 2'!H21</f>
        <v>65</v>
      </c>
      <c r="J58" s="22">
        <f>'12B (NS)Sem 2'!I21</f>
        <v>80</v>
      </c>
      <c r="K58" s="22">
        <f>'12B (NS)Sem 2'!J21</f>
        <v>94</v>
      </c>
      <c r="L58" s="22">
        <f>'12B (NS)Sem 2'!K21</f>
        <v>70</v>
      </c>
      <c r="M58" s="22">
        <f>'12B (NS)Sem 2'!L21</f>
        <v>534</v>
      </c>
      <c r="N58" s="192">
        <f>'12B (NS)Sem 2'!M21</f>
        <v>76.285714285714292</v>
      </c>
      <c r="O58" s="22">
        <f>'12B (NS)Sem 2'!N21</f>
        <v>21</v>
      </c>
      <c r="P58" s="36">
        <f>'12B (NS)Sem 2'!O21</f>
        <v>0</v>
      </c>
      <c r="Q58" s="36">
        <f>'12B (NS)Sem 2'!P21</f>
        <v>0</v>
      </c>
      <c r="R58" s="5"/>
      <c r="S58" s="5"/>
      <c r="T58" s="5"/>
      <c r="U58" s="5"/>
      <c r="V58" s="5"/>
    </row>
    <row r="59" spans="1:22" ht="18.75" customHeight="1" thickBot="1" x14ac:dyDescent="0.3">
      <c r="A59" s="247"/>
      <c r="B59" s="271"/>
      <c r="C59" s="213">
        <v>17</v>
      </c>
      <c r="D59" s="233" t="s">
        <v>20</v>
      </c>
      <c r="E59" s="21" t="s">
        <v>16</v>
      </c>
      <c r="F59" s="22">
        <f>AVERAGE(F57:F58)</f>
        <v>74</v>
      </c>
      <c r="G59" s="22">
        <f t="shared" ref="G59:Q59" si="17">AVERAGE(G57:G58)</f>
        <v>67</v>
      </c>
      <c r="H59" s="22">
        <f t="shared" si="17"/>
        <v>77.5</v>
      </c>
      <c r="I59" s="22">
        <f t="shared" si="17"/>
        <v>63.5</v>
      </c>
      <c r="J59" s="22">
        <f t="shared" si="17"/>
        <v>78.5</v>
      </c>
      <c r="K59" s="22">
        <f t="shared" si="17"/>
        <v>89</v>
      </c>
      <c r="L59" s="22">
        <f t="shared" si="17"/>
        <v>66.5</v>
      </c>
      <c r="M59" s="22">
        <f t="shared" si="17"/>
        <v>516</v>
      </c>
      <c r="N59" s="192">
        <f t="shared" si="17"/>
        <v>73.714285714285722</v>
      </c>
      <c r="O59" s="22">
        <f>'12B Sem avr (NS) '!$H$21</f>
        <v>20</v>
      </c>
      <c r="P59" s="22">
        <f t="shared" si="17"/>
        <v>0</v>
      </c>
      <c r="Q59" s="22">
        <f t="shared" si="17"/>
        <v>0</v>
      </c>
      <c r="R59" s="5"/>
      <c r="S59" s="5"/>
      <c r="T59" s="5"/>
      <c r="U59" s="5"/>
      <c r="V59" s="5"/>
    </row>
    <row r="60" spans="1:22" ht="18.75" customHeight="1" thickBot="1" x14ac:dyDescent="0.3">
      <c r="A60" s="249">
        <v>19</v>
      </c>
      <c r="B60" s="271"/>
      <c r="C60" s="213">
        <v>18</v>
      </c>
      <c r="D60" s="215" t="s">
        <v>20</v>
      </c>
      <c r="E60" s="21" t="s">
        <v>21</v>
      </c>
      <c r="F60" s="22">
        <f>'12B Sem 1'!E22</f>
        <v>64</v>
      </c>
      <c r="G60" s="22">
        <f>'12B Sem 1'!F22</f>
        <v>52</v>
      </c>
      <c r="H60" s="22">
        <f>'12B Sem 1'!G22</f>
        <v>68</v>
      </c>
      <c r="I60" s="22">
        <f>'12B Sem 1'!H22</f>
        <v>61</v>
      </c>
      <c r="J60" s="22">
        <f>'12B Sem 1'!I22</f>
        <v>65</v>
      </c>
      <c r="K60" s="22">
        <f>'12B Sem 1'!J22</f>
        <v>90</v>
      </c>
      <c r="L60" s="22">
        <f>'12B Sem 1'!K22</f>
        <v>59</v>
      </c>
      <c r="M60" s="22">
        <f>'12B Sem 1'!L22</f>
        <v>459</v>
      </c>
      <c r="N60" s="192">
        <f>'12B Sem 1'!M22</f>
        <v>65.571428571428569</v>
      </c>
      <c r="O60" s="22">
        <f>'12B Sem 1'!N22</f>
        <v>24</v>
      </c>
      <c r="P60" s="36">
        <f>'12B Sem 1'!O22</f>
        <v>0</v>
      </c>
      <c r="Q60" s="36">
        <f>'12B Sem 1'!P22</f>
        <v>0</v>
      </c>
      <c r="R60" s="5"/>
      <c r="S60" s="5"/>
      <c r="T60" s="5"/>
      <c r="U60" s="5"/>
      <c r="V60" s="5"/>
    </row>
    <row r="61" spans="1:22" ht="18.75" customHeight="1" thickBot="1" x14ac:dyDescent="0.3">
      <c r="A61" s="249"/>
      <c r="B61" s="271"/>
      <c r="C61" s="213">
        <v>18</v>
      </c>
      <c r="D61" s="215" t="s">
        <v>20</v>
      </c>
      <c r="E61" s="21" t="s">
        <v>22</v>
      </c>
      <c r="F61" s="22">
        <f>'12B (NS)Sem 2'!E22</f>
        <v>68</v>
      </c>
      <c r="G61" s="22">
        <f>'12B (NS)Sem 2'!F22</f>
        <v>70</v>
      </c>
      <c r="H61" s="22">
        <f>'12B (NS)Sem 2'!G22</f>
        <v>73</v>
      </c>
      <c r="I61" s="22">
        <f>'12B (NS)Sem 2'!H22</f>
        <v>64</v>
      </c>
      <c r="J61" s="22">
        <f>'12B (NS)Sem 2'!I22</f>
        <v>68</v>
      </c>
      <c r="K61" s="22">
        <f>'12B (NS)Sem 2'!J22</f>
        <v>97</v>
      </c>
      <c r="L61" s="22">
        <f>'12B (NS)Sem 2'!K22</f>
        <v>82</v>
      </c>
      <c r="M61" s="22">
        <f>'12B (NS)Sem 2'!L22</f>
        <v>522</v>
      </c>
      <c r="N61" s="192">
        <f>'12B (NS)Sem 2'!M22</f>
        <v>74.571428571428569</v>
      </c>
      <c r="O61" s="22">
        <f>'12B (NS)Sem 2'!N22</f>
        <v>24</v>
      </c>
      <c r="P61" s="36">
        <f>'12B (NS)Sem 2'!O22</f>
        <v>0</v>
      </c>
      <c r="Q61" s="36">
        <f>'12B (NS)Sem 2'!P22</f>
        <v>0</v>
      </c>
      <c r="R61" s="5"/>
      <c r="S61" s="5"/>
      <c r="T61" s="5"/>
      <c r="U61" s="5"/>
      <c r="V61" s="5"/>
    </row>
    <row r="62" spans="1:22" ht="18.75" customHeight="1" thickBot="1" x14ac:dyDescent="0.3">
      <c r="A62" s="249"/>
      <c r="B62" s="271"/>
      <c r="C62" s="213">
        <v>18</v>
      </c>
      <c r="D62" s="215" t="s">
        <v>20</v>
      </c>
      <c r="E62" s="21" t="s">
        <v>16</v>
      </c>
      <c r="F62" s="22">
        <f>AVERAGE(F60:F61)</f>
        <v>66</v>
      </c>
      <c r="G62" s="22">
        <f t="shared" ref="G62:Q62" si="18">AVERAGE(G60:G61)</f>
        <v>61</v>
      </c>
      <c r="H62" s="22">
        <f t="shared" si="18"/>
        <v>70.5</v>
      </c>
      <c r="I62" s="22">
        <f t="shared" si="18"/>
        <v>62.5</v>
      </c>
      <c r="J62" s="22">
        <f t="shared" si="18"/>
        <v>66.5</v>
      </c>
      <c r="K62" s="22">
        <f t="shared" si="18"/>
        <v>93.5</v>
      </c>
      <c r="L62" s="22">
        <f t="shared" si="18"/>
        <v>70.5</v>
      </c>
      <c r="M62" s="22">
        <f t="shared" si="18"/>
        <v>490.5</v>
      </c>
      <c r="N62" s="192">
        <f t="shared" si="18"/>
        <v>70.071428571428569</v>
      </c>
      <c r="O62" s="22">
        <f>'12B Sem avr (NS) '!$H$22</f>
        <v>24</v>
      </c>
      <c r="P62" s="22">
        <f t="shared" si="18"/>
        <v>0</v>
      </c>
      <c r="Q62" s="22">
        <f t="shared" si="18"/>
        <v>0</v>
      </c>
      <c r="R62" s="5"/>
      <c r="S62" s="5"/>
      <c r="T62" s="5"/>
      <c r="U62" s="5"/>
      <c r="V62" s="5"/>
    </row>
    <row r="63" spans="1:22" ht="18.75" customHeight="1" thickBot="1" x14ac:dyDescent="0.3">
      <c r="A63" s="249">
        <v>20</v>
      </c>
      <c r="B63" s="271"/>
      <c r="C63" s="213">
        <v>17</v>
      </c>
      <c r="D63" s="215" t="s">
        <v>23</v>
      </c>
      <c r="E63" s="21" t="s">
        <v>21</v>
      </c>
      <c r="F63" s="22">
        <f>'12B Sem 1'!E23</f>
        <v>67</v>
      </c>
      <c r="G63" s="22">
        <f>'12B Sem 1'!F23</f>
        <v>59</v>
      </c>
      <c r="H63" s="22">
        <f>'12B Sem 1'!G23</f>
        <v>64</v>
      </c>
      <c r="I63" s="22">
        <f>'12B Sem 1'!H23</f>
        <v>61</v>
      </c>
      <c r="J63" s="22">
        <f>'12B Sem 1'!I23</f>
        <v>75</v>
      </c>
      <c r="K63" s="22">
        <f>'12B Sem 1'!J23</f>
        <v>87</v>
      </c>
      <c r="L63" s="22">
        <f>'12B Sem 1'!K23</f>
        <v>77</v>
      </c>
      <c r="M63" s="22">
        <f>'12B Sem 1'!L23</f>
        <v>490</v>
      </c>
      <c r="N63" s="22">
        <f>'12B Sem 1'!M23</f>
        <v>70</v>
      </c>
      <c r="O63" s="22">
        <f>'12B Sem 1'!N23</f>
        <v>19</v>
      </c>
      <c r="P63" s="36">
        <f>'12B Sem 1'!O23</f>
        <v>0</v>
      </c>
      <c r="Q63" s="36">
        <f>'12B Sem 1'!P23</f>
        <v>0</v>
      </c>
      <c r="R63" s="5"/>
      <c r="S63" s="5"/>
      <c r="T63" s="5"/>
      <c r="U63" s="5"/>
      <c r="V63" s="5"/>
    </row>
    <row r="64" spans="1:22" ht="18.75" customHeight="1" thickBot="1" x14ac:dyDescent="0.3">
      <c r="A64" s="249"/>
      <c r="B64" s="271"/>
      <c r="C64" s="213">
        <v>17</v>
      </c>
      <c r="D64" s="215" t="s">
        <v>23</v>
      </c>
      <c r="E64" s="21" t="s">
        <v>22</v>
      </c>
      <c r="F64" s="22">
        <f>'12B (NS)Sem 2'!E23</f>
        <v>73</v>
      </c>
      <c r="G64" s="22">
        <f>'12B (NS)Sem 2'!F23</f>
        <v>77</v>
      </c>
      <c r="H64" s="22">
        <f>'12B (NS)Sem 2'!G23</f>
        <v>75</v>
      </c>
      <c r="I64" s="22">
        <f>'12B (NS)Sem 2'!H23</f>
        <v>66</v>
      </c>
      <c r="J64" s="22">
        <f>'12B (NS)Sem 2'!I23</f>
        <v>80</v>
      </c>
      <c r="K64" s="22">
        <f>'12B (NS)Sem 2'!J23</f>
        <v>95</v>
      </c>
      <c r="L64" s="22">
        <f>'12B (NS)Sem 2'!K23</f>
        <v>82</v>
      </c>
      <c r="M64" s="22">
        <f>'12B (NS)Sem 2'!L23</f>
        <v>548</v>
      </c>
      <c r="N64" s="192">
        <f>'12B (NS)Sem 2'!M23</f>
        <v>78.285714285714292</v>
      </c>
      <c r="O64" s="22">
        <f>'12B (NS)Sem 2'!N23</f>
        <v>19</v>
      </c>
      <c r="P64" s="36">
        <f>'12B (NS)Sem 2'!O23</f>
        <v>0</v>
      </c>
      <c r="Q64" s="36">
        <f>'12B (NS)Sem 2'!P23</f>
        <v>0</v>
      </c>
      <c r="R64" s="5"/>
      <c r="S64" s="5"/>
      <c r="T64" s="5"/>
      <c r="U64" s="5"/>
      <c r="V64" s="5"/>
    </row>
    <row r="65" spans="1:22" ht="18.75" customHeight="1" thickBot="1" x14ac:dyDescent="0.3">
      <c r="A65" s="249"/>
      <c r="B65" s="271"/>
      <c r="C65" s="213">
        <v>17</v>
      </c>
      <c r="D65" s="215" t="s">
        <v>23</v>
      </c>
      <c r="E65" s="21" t="s">
        <v>16</v>
      </c>
      <c r="F65" s="22">
        <f>AVERAGE(F63:F64)</f>
        <v>70</v>
      </c>
      <c r="G65" s="22">
        <f t="shared" ref="G65:Q65" si="19">AVERAGE(G63:G64)</f>
        <v>68</v>
      </c>
      <c r="H65" s="22">
        <f t="shared" si="19"/>
        <v>69.5</v>
      </c>
      <c r="I65" s="22">
        <f t="shared" si="19"/>
        <v>63.5</v>
      </c>
      <c r="J65" s="22">
        <f t="shared" si="19"/>
        <v>77.5</v>
      </c>
      <c r="K65" s="22">
        <f t="shared" si="19"/>
        <v>91</v>
      </c>
      <c r="L65" s="22">
        <f t="shared" si="19"/>
        <v>79.5</v>
      </c>
      <c r="M65" s="22">
        <f t="shared" si="19"/>
        <v>519</v>
      </c>
      <c r="N65" s="192">
        <f t="shared" si="19"/>
        <v>74.142857142857139</v>
      </c>
      <c r="O65" s="22">
        <f>'12B Sem avr (NS) '!$H$23</f>
        <v>19</v>
      </c>
      <c r="P65" s="22">
        <f t="shared" si="19"/>
        <v>0</v>
      </c>
      <c r="Q65" s="22">
        <f t="shared" si="19"/>
        <v>0</v>
      </c>
      <c r="R65" s="5"/>
      <c r="S65" s="5"/>
      <c r="T65" s="5"/>
      <c r="U65" s="5"/>
      <c r="V65" s="5"/>
    </row>
    <row r="66" spans="1:22" ht="18.75" customHeight="1" thickBot="1" x14ac:dyDescent="0.3">
      <c r="A66" s="249">
        <v>21</v>
      </c>
      <c r="B66" s="271"/>
      <c r="C66" s="213">
        <v>19</v>
      </c>
      <c r="D66" s="215" t="s">
        <v>23</v>
      </c>
      <c r="E66" s="21" t="s">
        <v>21</v>
      </c>
      <c r="F66" s="22">
        <f>'12B Sem 1'!E24</f>
        <v>62</v>
      </c>
      <c r="G66" s="22">
        <f>'12B Sem 1'!F24</f>
        <v>58</v>
      </c>
      <c r="H66" s="22">
        <f>'12B Sem 1'!G24</f>
        <v>65</v>
      </c>
      <c r="I66" s="22">
        <f>'12B Sem 1'!H24</f>
        <v>61</v>
      </c>
      <c r="J66" s="22">
        <f>'12B Sem 1'!I24</f>
        <v>71</v>
      </c>
      <c r="K66" s="22">
        <f>'12B Sem 1'!J24</f>
        <v>81</v>
      </c>
      <c r="L66" s="22">
        <f>'12B Sem 1'!K24</f>
        <v>78</v>
      </c>
      <c r="M66" s="22">
        <f>'12B Sem 1'!L24</f>
        <v>476</v>
      </c>
      <c r="N66" s="22">
        <f>'12B Sem 1'!M24</f>
        <v>68</v>
      </c>
      <c r="O66" s="22">
        <f>'12B Sem 1'!N24</f>
        <v>23</v>
      </c>
      <c r="P66" s="36">
        <f>'12B Sem 1'!O24</f>
        <v>0</v>
      </c>
      <c r="Q66" s="36">
        <f>'12B Sem 1'!P24</f>
        <v>0</v>
      </c>
      <c r="R66" s="5"/>
      <c r="S66" s="5"/>
      <c r="T66" s="5"/>
      <c r="U66" s="5"/>
      <c r="V66" s="5"/>
    </row>
    <row r="67" spans="1:22" ht="18.75" customHeight="1" thickBot="1" x14ac:dyDescent="0.3">
      <c r="A67" s="249"/>
      <c r="B67" s="271"/>
      <c r="C67" s="213">
        <v>19</v>
      </c>
      <c r="D67" s="215" t="s">
        <v>23</v>
      </c>
      <c r="E67" s="21" t="s">
        <v>22</v>
      </c>
      <c r="F67" s="22">
        <f>'12B (NS)Sem 2'!E24</f>
        <v>69</v>
      </c>
      <c r="G67" s="22">
        <f>'12B (NS)Sem 2'!F24</f>
        <v>65</v>
      </c>
      <c r="H67" s="22">
        <f>'12B (NS)Sem 2'!G24</f>
        <v>75</v>
      </c>
      <c r="I67" s="22">
        <f>'12B (NS)Sem 2'!H24</f>
        <v>66</v>
      </c>
      <c r="J67" s="22">
        <f>'12B (NS)Sem 2'!I24</f>
        <v>75</v>
      </c>
      <c r="K67" s="22">
        <f>'12B (NS)Sem 2'!J24</f>
        <v>92</v>
      </c>
      <c r="L67" s="22">
        <f>'12B (NS)Sem 2'!K24</f>
        <v>90</v>
      </c>
      <c r="M67" s="22">
        <f>'12B (NS)Sem 2'!L24</f>
        <v>532</v>
      </c>
      <c r="N67" s="22">
        <f>'12B (NS)Sem 2'!M24</f>
        <v>76</v>
      </c>
      <c r="O67" s="22">
        <f>'12B (NS)Sem 2'!N24</f>
        <v>23</v>
      </c>
      <c r="P67" s="36">
        <f>'12B (NS)Sem 2'!O24</f>
        <v>0</v>
      </c>
      <c r="Q67" s="36">
        <f>'12B (NS)Sem 2'!P24</f>
        <v>0</v>
      </c>
      <c r="R67" s="5"/>
      <c r="S67" s="5"/>
      <c r="T67" s="5"/>
      <c r="U67" s="5"/>
      <c r="V67" s="5"/>
    </row>
    <row r="68" spans="1:22" ht="18.75" customHeight="1" thickBot="1" x14ac:dyDescent="0.3">
      <c r="A68" s="249"/>
      <c r="B68" s="271"/>
      <c r="C68" s="213">
        <v>19</v>
      </c>
      <c r="D68" s="215" t="s">
        <v>23</v>
      </c>
      <c r="E68" s="21" t="s">
        <v>16</v>
      </c>
      <c r="F68" s="22">
        <f>AVERAGE(F66:F67)</f>
        <v>65.5</v>
      </c>
      <c r="G68" s="22">
        <f t="shared" ref="G68:Q68" si="20">AVERAGE(G66:G67)</f>
        <v>61.5</v>
      </c>
      <c r="H68" s="22">
        <f t="shared" si="20"/>
        <v>70</v>
      </c>
      <c r="I68" s="22">
        <f t="shared" si="20"/>
        <v>63.5</v>
      </c>
      <c r="J68" s="22">
        <f t="shared" si="20"/>
        <v>73</v>
      </c>
      <c r="K68" s="22">
        <f t="shared" si="20"/>
        <v>86.5</v>
      </c>
      <c r="L68" s="22">
        <f t="shared" si="20"/>
        <v>84</v>
      </c>
      <c r="M68" s="22">
        <f t="shared" si="20"/>
        <v>504</v>
      </c>
      <c r="N68" s="22">
        <f t="shared" si="20"/>
        <v>72</v>
      </c>
      <c r="O68" s="22">
        <f>'12B Sem avr (NS) '!$H$24</f>
        <v>23</v>
      </c>
      <c r="P68" s="22">
        <f t="shared" si="20"/>
        <v>0</v>
      </c>
      <c r="Q68" s="22">
        <f t="shared" si="20"/>
        <v>0</v>
      </c>
      <c r="R68" s="5"/>
      <c r="S68" s="5"/>
      <c r="T68" s="5"/>
      <c r="U68" s="5"/>
      <c r="V68" s="5"/>
    </row>
    <row r="69" spans="1:22" ht="18.75" customHeight="1" thickBot="1" x14ac:dyDescent="0.3">
      <c r="A69" s="247">
        <v>22</v>
      </c>
      <c r="B69" s="271"/>
      <c r="C69" s="213">
        <v>18</v>
      </c>
      <c r="D69" s="215" t="s">
        <v>23</v>
      </c>
      <c r="E69" s="21" t="s">
        <v>21</v>
      </c>
      <c r="F69" s="22">
        <f>'12B Sem 1'!E25</f>
        <v>80</v>
      </c>
      <c r="G69" s="22">
        <f>'12B Sem 1'!F25</f>
        <v>55</v>
      </c>
      <c r="H69" s="22">
        <f>'12B Sem 1'!G25</f>
        <v>60</v>
      </c>
      <c r="I69" s="22">
        <f>'12B Sem 1'!H25</f>
        <v>66</v>
      </c>
      <c r="J69" s="22">
        <f>'12B Sem 1'!I25</f>
        <v>72</v>
      </c>
      <c r="K69" s="22">
        <f>'12B Sem 1'!J25</f>
        <v>98</v>
      </c>
      <c r="L69" s="22">
        <f>'12B Sem 1'!K25</f>
        <v>80</v>
      </c>
      <c r="M69" s="22">
        <f>'12B Sem 1'!L25</f>
        <v>511</v>
      </c>
      <c r="N69" s="22">
        <f>'12B Sem 1'!M25</f>
        <v>73</v>
      </c>
      <c r="O69" s="22">
        <f>'12B Sem 1'!N25</f>
        <v>16</v>
      </c>
      <c r="P69" s="36">
        <f>'12B Sem 1'!O25</f>
        <v>0</v>
      </c>
      <c r="Q69" s="36">
        <f>'12B Sem 1'!P25</f>
        <v>0</v>
      </c>
      <c r="R69" s="5"/>
      <c r="S69" s="5"/>
      <c r="T69" s="5"/>
      <c r="U69" s="5"/>
      <c r="V69" s="5"/>
    </row>
    <row r="70" spans="1:22" ht="18.75" customHeight="1" thickBot="1" x14ac:dyDescent="0.3">
      <c r="A70" s="247"/>
      <c r="B70" s="271"/>
      <c r="C70" s="213">
        <v>18</v>
      </c>
      <c r="D70" s="215" t="s">
        <v>23</v>
      </c>
      <c r="E70" s="21" t="s">
        <v>22</v>
      </c>
      <c r="F70" s="22">
        <f>'12B (NS)Sem 2'!E25</f>
        <v>83</v>
      </c>
      <c r="G70" s="22">
        <f>'12B (NS)Sem 2'!F25</f>
        <v>75</v>
      </c>
      <c r="H70" s="22">
        <f>'12B (NS)Sem 2'!G25</f>
        <v>70</v>
      </c>
      <c r="I70" s="22">
        <f>'12B (NS)Sem 2'!H25</f>
        <v>70</v>
      </c>
      <c r="J70" s="22">
        <f>'12B (NS)Sem 2'!I25</f>
        <v>80</v>
      </c>
      <c r="K70" s="22">
        <f>'12B (NS)Sem 2'!J25</f>
        <v>100</v>
      </c>
      <c r="L70" s="22">
        <f>'12B (NS)Sem 2'!K25</f>
        <v>87</v>
      </c>
      <c r="M70" s="22">
        <f>'12B (NS)Sem 2'!L25</f>
        <v>565</v>
      </c>
      <c r="N70" s="192">
        <f>'12B (NS)Sem 2'!M25</f>
        <v>80.714285714285708</v>
      </c>
      <c r="O70" s="22">
        <f>'12B (NS)Sem 2'!N25</f>
        <v>16</v>
      </c>
      <c r="P70" s="36">
        <f>'12B (NS)Sem 2'!O25</f>
        <v>0</v>
      </c>
      <c r="Q70" s="36">
        <f>'12B (NS)Sem 2'!P25</f>
        <v>0</v>
      </c>
      <c r="R70" s="5"/>
      <c r="S70" s="5"/>
      <c r="T70" s="5"/>
      <c r="U70" s="5"/>
      <c r="V70" s="5"/>
    </row>
    <row r="71" spans="1:22" ht="18.75" customHeight="1" thickBot="1" x14ac:dyDescent="0.3">
      <c r="A71" s="247"/>
      <c r="B71" s="271"/>
      <c r="C71" s="213">
        <v>18</v>
      </c>
      <c r="D71" s="215" t="s">
        <v>23</v>
      </c>
      <c r="E71" s="21" t="s">
        <v>16</v>
      </c>
      <c r="F71" s="22">
        <f>AVERAGE(F69:F70)</f>
        <v>81.5</v>
      </c>
      <c r="G71" s="22">
        <f t="shared" ref="G71:Q71" si="21">AVERAGE(G69:G70)</f>
        <v>65</v>
      </c>
      <c r="H71" s="22">
        <f t="shared" si="21"/>
        <v>65</v>
      </c>
      <c r="I71" s="22">
        <f t="shared" si="21"/>
        <v>68</v>
      </c>
      <c r="J71" s="22">
        <f t="shared" si="21"/>
        <v>76</v>
      </c>
      <c r="K71" s="22">
        <f t="shared" si="21"/>
        <v>99</v>
      </c>
      <c r="L71" s="22">
        <f t="shared" si="21"/>
        <v>83.5</v>
      </c>
      <c r="M71" s="22">
        <f t="shared" si="21"/>
        <v>538</v>
      </c>
      <c r="N71" s="192">
        <f t="shared" si="21"/>
        <v>76.857142857142861</v>
      </c>
      <c r="O71" s="22">
        <f>'12B Sem avr (NS) '!$H$25</f>
        <v>16</v>
      </c>
      <c r="P71" s="22">
        <f t="shared" si="21"/>
        <v>0</v>
      </c>
      <c r="Q71" s="22">
        <f t="shared" si="21"/>
        <v>0</v>
      </c>
      <c r="R71" s="5"/>
      <c r="S71" s="5"/>
      <c r="T71" s="5"/>
      <c r="U71" s="5"/>
      <c r="V71" s="5"/>
    </row>
    <row r="72" spans="1:22" ht="18.75" customHeight="1" thickBot="1" x14ac:dyDescent="0.3">
      <c r="A72" s="247">
        <v>23</v>
      </c>
      <c r="B72" s="271"/>
      <c r="C72" s="213">
        <v>17</v>
      </c>
      <c r="D72" s="215" t="s">
        <v>23</v>
      </c>
      <c r="E72" s="21" t="s">
        <v>21</v>
      </c>
      <c r="F72" s="22">
        <f>'12B Sem 1'!E26</f>
        <v>81</v>
      </c>
      <c r="G72" s="22">
        <f>'12B Sem 1'!F26</f>
        <v>58</v>
      </c>
      <c r="H72" s="22">
        <f>'12B Sem 1'!G26</f>
        <v>71</v>
      </c>
      <c r="I72" s="22">
        <f>'12B Sem 1'!H26</f>
        <v>64</v>
      </c>
      <c r="J72" s="22">
        <f>'12B Sem 1'!I26</f>
        <v>76</v>
      </c>
      <c r="K72" s="22">
        <f>'12B Sem 1'!J26</f>
        <v>86</v>
      </c>
      <c r="L72" s="22">
        <f>'12B Sem 1'!K26</f>
        <v>82</v>
      </c>
      <c r="M72" s="22">
        <f>'12B Sem 1'!L26</f>
        <v>518</v>
      </c>
      <c r="N72" s="22">
        <f>'12B Sem 1'!M26</f>
        <v>74</v>
      </c>
      <c r="O72" s="22">
        <f>'12B Sem 1'!N26</f>
        <v>15</v>
      </c>
      <c r="P72" s="36">
        <f>'12B Sem 1'!O26</f>
        <v>0</v>
      </c>
      <c r="Q72" s="36">
        <f>'12B Sem 1'!P26</f>
        <v>0</v>
      </c>
      <c r="R72" s="5"/>
      <c r="S72" s="5"/>
      <c r="T72" s="5"/>
      <c r="U72" s="5"/>
      <c r="V72" s="5"/>
    </row>
    <row r="73" spans="1:22" ht="18.75" customHeight="1" thickBot="1" x14ac:dyDescent="0.3">
      <c r="A73" s="247"/>
      <c r="B73" s="271"/>
      <c r="C73" s="213">
        <v>17</v>
      </c>
      <c r="D73" s="215" t="s">
        <v>23</v>
      </c>
      <c r="E73" s="21" t="s">
        <v>22</v>
      </c>
      <c r="F73" s="22">
        <f>'12B (NS)Sem 2'!E26</f>
        <v>83</v>
      </c>
      <c r="G73" s="22">
        <f>'12B (NS)Sem 2'!F26</f>
        <v>72</v>
      </c>
      <c r="H73" s="22">
        <f>'12B (NS)Sem 2'!G26</f>
        <v>87</v>
      </c>
      <c r="I73" s="22">
        <f>'12B (NS)Sem 2'!H26</f>
        <v>69</v>
      </c>
      <c r="J73" s="22">
        <f>'12B (NS)Sem 2'!I26</f>
        <v>80</v>
      </c>
      <c r="K73" s="22">
        <f>'12B (NS)Sem 2'!J26</f>
        <v>95</v>
      </c>
      <c r="L73" s="22">
        <f>'12B (NS)Sem 2'!K26</f>
        <v>90</v>
      </c>
      <c r="M73" s="22">
        <f>'12B (NS)Sem 2'!L26</f>
        <v>576</v>
      </c>
      <c r="N73" s="192">
        <f>'12B (NS)Sem 2'!M26</f>
        <v>82.285714285714292</v>
      </c>
      <c r="O73" s="22">
        <f>'12B (NS)Sem 2'!N26</f>
        <v>13</v>
      </c>
      <c r="P73" s="36">
        <f>'12B (NS)Sem 2'!O26</f>
        <v>0</v>
      </c>
      <c r="Q73" s="36">
        <f>'12B (NS)Sem 2'!P26</f>
        <v>0</v>
      </c>
      <c r="R73" s="5"/>
      <c r="S73" s="5"/>
      <c r="T73" s="5"/>
      <c r="U73" s="5"/>
      <c r="V73" s="5"/>
    </row>
    <row r="74" spans="1:22" ht="18.75" customHeight="1" thickBot="1" x14ac:dyDescent="0.3">
      <c r="A74" s="247"/>
      <c r="B74" s="271"/>
      <c r="C74" s="213">
        <v>17</v>
      </c>
      <c r="D74" s="215" t="s">
        <v>23</v>
      </c>
      <c r="E74" s="21" t="s">
        <v>16</v>
      </c>
      <c r="F74" s="22">
        <f>AVERAGE(F72:F73)</f>
        <v>82</v>
      </c>
      <c r="G74" s="22">
        <f t="shared" ref="G74:Q74" si="22">AVERAGE(G72:G73)</f>
        <v>65</v>
      </c>
      <c r="H74" s="22">
        <f t="shared" si="22"/>
        <v>79</v>
      </c>
      <c r="I74" s="22">
        <f t="shared" si="22"/>
        <v>66.5</v>
      </c>
      <c r="J74" s="22">
        <f t="shared" si="22"/>
        <v>78</v>
      </c>
      <c r="K74" s="22">
        <f t="shared" si="22"/>
        <v>90.5</v>
      </c>
      <c r="L74" s="22">
        <f t="shared" si="22"/>
        <v>86</v>
      </c>
      <c r="M74" s="22">
        <f t="shared" si="22"/>
        <v>547</v>
      </c>
      <c r="N74" s="192">
        <f t="shared" si="22"/>
        <v>78.142857142857139</v>
      </c>
      <c r="O74" s="22">
        <f>'12B Sem avr (NS) '!$H$26</f>
        <v>14</v>
      </c>
      <c r="P74" s="22">
        <f t="shared" si="22"/>
        <v>0</v>
      </c>
      <c r="Q74" s="22">
        <f t="shared" si="22"/>
        <v>0</v>
      </c>
      <c r="R74" s="5"/>
      <c r="S74" s="5"/>
      <c r="T74" s="5"/>
      <c r="U74" s="5"/>
      <c r="V74" s="5"/>
    </row>
    <row r="75" spans="1:22" ht="18.75" customHeight="1" thickBot="1" x14ac:dyDescent="0.3">
      <c r="A75" s="249">
        <v>24</v>
      </c>
      <c r="B75" s="271"/>
      <c r="C75" s="213">
        <v>17</v>
      </c>
      <c r="D75" s="215" t="s">
        <v>20</v>
      </c>
      <c r="E75" s="21" t="s">
        <v>21</v>
      </c>
      <c r="F75" s="22">
        <f>'12B Sem 1'!E27</f>
        <v>78</v>
      </c>
      <c r="G75" s="22">
        <f>'12B Sem 1'!F27</f>
        <v>61</v>
      </c>
      <c r="H75" s="23">
        <f>'12B Sem 1'!G27</f>
        <v>72</v>
      </c>
      <c r="I75" s="23">
        <f>'12B Sem 1'!H27</f>
        <v>69</v>
      </c>
      <c r="J75" s="22">
        <f>'12B Sem 1'!I27</f>
        <v>84</v>
      </c>
      <c r="K75" s="23">
        <f>'12B Sem 1'!J27</f>
        <v>82</v>
      </c>
      <c r="L75" s="22">
        <f>'12B Sem 1'!K27</f>
        <v>80</v>
      </c>
      <c r="M75" s="22">
        <f>'12B Sem 1'!L27</f>
        <v>526</v>
      </c>
      <c r="N75" s="192">
        <f>'12B Sem 1'!M27</f>
        <v>75.142857142857139</v>
      </c>
      <c r="O75" s="22">
        <f>'12B Sem 1'!N27</f>
        <v>13</v>
      </c>
      <c r="P75" s="36">
        <f>'12B Sem 1'!O27</f>
        <v>0</v>
      </c>
      <c r="Q75" s="36">
        <f>'12B Sem 1'!P27</f>
        <v>0</v>
      </c>
      <c r="R75" s="5"/>
      <c r="S75" s="5"/>
      <c r="T75" s="5"/>
      <c r="U75" s="5"/>
      <c r="V75" s="5"/>
    </row>
    <row r="76" spans="1:22" ht="18.75" customHeight="1" thickBot="1" x14ac:dyDescent="0.3">
      <c r="A76" s="249"/>
      <c r="B76" s="271"/>
      <c r="C76" s="213">
        <v>17</v>
      </c>
      <c r="D76" s="215" t="s">
        <v>20</v>
      </c>
      <c r="E76" s="21" t="s">
        <v>22</v>
      </c>
      <c r="F76" s="22">
        <f>'12B (NS)Sem 2'!E27</f>
        <v>80</v>
      </c>
      <c r="G76" s="22">
        <f>'12B (NS)Sem 2'!F27</f>
        <v>65</v>
      </c>
      <c r="H76" s="23">
        <f>'12B (NS)Sem 2'!G27</f>
        <v>86</v>
      </c>
      <c r="I76" s="23">
        <f>'12B (NS)Sem 2'!H27</f>
        <v>76</v>
      </c>
      <c r="J76" s="22">
        <f>'12B (NS)Sem 2'!I27</f>
        <v>90</v>
      </c>
      <c r="K76" s="23">
        <f>'12B (NS)Sem 2'!J27</f>
        <v>95</v>
      </c>
      <c r="L76" s="22">
        <f>'12B (NS)Sem 2'!K27</f>
        <v>93</v>
      </c>
      <c r="M76" s="22">
        <f>'12B (NS)Sem 2'!L27</f>
        <v>585</v>
      </c>
      <c r="N76" s="192">
        <f>'12B (NS)Sem 2'!M27</f>
        <v>83.571428571428569</v>
      </c>
      <c r="O76" s="22">
        <f>'12B (NS)Sem 2'!N27</f>
        <v>12</v>
      </c>
      <c r="P76" s="36">
        <f>'12B (NS)Sem 2'!O27</f>
        <v>0</v>
      </c>
      <c r="Q76" s="36">
        <f>'12B (NS)Sem 2'!P27</f>
        <v>0</v>
      </c>
      <c r="R76" s="5"/>
      <c r="S76" s="5"/>
      <c r="T76" s="5"/>
      <c r="U76" s="5"/>
      <c r="V76" s="5"/>
    </row>
    <row r="77" spans="1:22" ht="18.75" customHeight="1" thickBot="1" x14ac:dyDescent="0.3">
      <c r="A77" s="249"/>
      <c r="B77" s="271"/>
      <c r="C77" s="213">
        <v>17</v>
      </c>
      <c r="D77" s="215" t="s">
        <v>20</v>
      </c>
      <c r="E77" s="21" t="s">
        <v>16</v>
      </c>
      <c r="F77" s="22">
        <f>AVERAGE(F75:F76)</f>
        <v>79</v>
      </c>
      <c r="G77" s="22">
        <f t="shared" ref="G77:Q77" si="23">AVERAGE(G75:G76)</f>
        <v>63</v>
      </c>
      <c r="H77" s="22">
        <f t="shared" si="23"/>
        <v>79</v>
      </c>
      <c r="I77" s="22">
        <f t="shared" si="23"/>
        <v>72.5</v>
      </c>
      <c r="J77" s="22">
        <f t="shared" si="23"/>
        <v>87</v>
      </c>
      <c r="K77" s="22">
        <f t="shared" si="23"/>
        <v>88.5</v>
      </c>
      <c r="L77" s="22">
        <f t="shared" si="23"/>
        <v>86.5</v>
      </c>
      <c r="M77" s="22">
        <f t="shared" si="23"/>
        <v>555.5</v>
      </c>
      <c r="N77" s="192">
        <f t="shared" si="23"/>
        <v>79.357142857142861</v>
      </c>
      <c r="O77" s="22">
        <f>'12B Sem avr (NS) '!$H$27</f>
        <v>13</v>
      </c>
      <c r="P77" s="22">
        <f t="shared" si="23"/>
        <v>0</v>
      </c>
      <c r="Q77" s="22">
        <f t="shared" si="23"/>
        <v>0</v>
      </c>
      <c r="R77" s="5"/>
      <c r="S77" s="5"/>
      <c r="T77" s="5"/>
      <c r="U77" s="5"/>
      <c r="V77" s="5"/>
    </row>
    <row r="78" spans="1:22" ht="18.75" customHeight="1" thickBot="1" x14ac:dyDescent="0.3">
      <c r="A78" s="247">
        <v>25</v>
      </c>
      <c r="B78" s="271"/>
      <c r="C78" s="213">
        <v>19</v>
      </c>
      <c r="D78" s="215" t="s">
        <v>20</v>
      </c>
      <c r="E78" s="21" t="s">
        <v>21</v>
      </c>
      <c r="F78" s="22">
        <f>'12B Sem 1'!E28</f>
        <v>72</v>
      </c>
      <c r="G78" s="23">
        <f>'12B Sem 1'!F28</f>
        <v>65</v>
      </c>
      <c r="H78" s="23">
        <f>'12B Sem 1'!G28</f>
        <v>68</v>
      </c>
      <c r="I78" s="22">
        <f>'12B Sem 1'!H28</f>
        <v>69</v>
      </c>
      <c r="J78" s="23">
        <f>'12B Sem 1'!I28</f>
        <v>92</v>
      </c>
      <c r="K78" s="22">
        <f>'12B Sem 1'!J28</f>
        <v>99</v>
      </c>
      <c r="L78" s="22">
        <f>'12B Sem 1'!K28</f>
        <v>93</v>
      </c>
      <c r="M78" s="22">
        <f>'12B Sem 1'!L28</f>
        <v>558</v>
      </c>
      <c r="N78" s="192">
        <f>'12B Sem 1'!M28</f>
        <v>79.714285714285708</v>
      </c>
      <c r="O78" s="22">
        <f>'12B Sem 1'!N28</f>
        <v>9</v>
      </c>
      <c r="P78" s="36">
        <f>'12B Sem 1'!O28</f>
        <v>0</v>
      </c>
      <c r="Q78" s="36">
        <f>'12B Sem 1'!P28</f>
        <v>0</v>
      </c>
      <c r="R78" s="5"/>
      <c r="S78" s="5"/>
      <c r="T78" s="5"/>
      <c r="U78" s="5"/>
      <c r="V78" s="5"/>
    </row>
    <row r="79" spans="1:22" ht="18.75" customHeight="1" thickBot="1" x14ac:dyDescent="0.3">
      <c r="A79" s="247"/>
      <c r="B79" s="271"/>
      <c r="C79" s="213">
        <v>19</v>
      </c>
      <c r="D79" s="215" t="s">
        <v>20</v>
      </c>
      <c r="E79" s="21" t="s">
        <v>22</v>
      </c>
      <c r="F79" s="22">
        <f>'12B (NS)Sem 2'!E28</f>
        <v>73</v>
      </c>
      <c r="G79" s="23">
        <f>'12B (NS)Sem 2'!F28</f>
        <v>77</v>
      </c>
      <c r="H79" s="23">
        <f>'12B (NS)Sem 2'!G28</f>
        <v>82</v>
      </c>
      <c r="I79" s="22">
        <f>'12B (NS)Sem 2'!H28</f>
        <v>74</v>
      </c>
      <c r="J79" s="23">
        <f>'12B (NS)Sem 2'!I28</f>
        <v>93</v>
      </c>
      <c r="K79" s="22">
        <f>'12B (NS)Sem 2'!J28</f>
        <v>99</v>
      </c>
      <c r="L79" s="22">
        <f>'12B (NS)Sem 2'!K28</f>
        <v>97</v>
      </c>
      <c r="M79" s="22">
        <f>'12B (NS)Sem 2'!L28</f>
        <v>595</v>
      </c>
      <c r="N79" s="22">
        <f>'12B (NS)Sem 2'!M28</f>
        <v>85</v>
      </c>
      <c r="O79" s="22">
        <f>'12B (NS)Sem 2'!N28</f>
        <v>11</v>
      </c>
      <c r="P79" s="36">
        <f>'12B (NS)Sem 2'!O28</f>
        <v>0</v>
      </c>
      <c r="Q79" s="36">
        <f>'12B (NS)Sem 2'!P28</f>
        <v>0</v>
      </c>
      <c r="R79" s="5"/>
      <c r="S79" s="5"/>
      <c r="T79" s="5"/>
      <c r="U79" s="5"/>
      <c r="V79" s="5"/>
    </row>
    <row r="80" spans="1:22" ht="18.75" customHeight="1" thickBot="1" x14ac:dyDescent="0.3">
      <c r="A80" s="247"/>
      <c r="B80" s="271"/>
      <c r="C80" s="213">
        <v>19</v>
      </c>
      <c r="D80" s="215" t="s">
        <v>20</v>
      </c>
      <c r="E80" s="21" t="s">
        <v>16</v>
      </c>
      <c r="F80" s="22">
        <f>AVERAGE(F78:F79)</f>
        <v>72.5</v>
      </c>
      <c r="G80" s="22">
        <f t="shared" ref="G80:Q80" si="24">AVERAGE(G78:G79)</f>
        <v>71</v>
      </c>
      <c r="H80" s="22">
        <f t="shared" si="24"/>
        <v>75</v>
      </c>
      <c r="I80" s="22">
        <f t="shared" si="24"/>
        <v>71.5</v>
      </c>
      <c r="J80" s="22">
        <f t="shared" si="24"/>
        <v>92.5</v>
      </c>
      <c r="K80" s="22">
        <f t="shared" si="24"/>
        <v>99</v>
      </c>
      <c r="L80" s="22">
        <f t="shared" si="24"/>
        <v>95</v>
      </c>
      <c r="M80" s="22">
        <f t="shared" si="24"/>
        <v>576.5</v>
      </c>
      <c r="N80" s="192">
        <f t="shared" si="24"/>
        <v>82.357142857142861</v>
      </c>
      <c r="O80" s="22">
        <f>'12B Sem avr (NS) '!$H$28</f>
        <v>10</v>
      </c>
      <c r="P80" s="22">
        <f t="shared" si="24"/>
        <v>0</v>
      </c>
      <c r="Q80" s="22">
        <f t="shared" si="24"/>
        <v>0</v>
      </c>
      <c r="R80" s="5"/>
      <c r="S80" s="5"/>
      <c r="T80" s="5"/>
      <c r="U80" s="5"/>
      <c r="V80" s="5"/>
    </row>
    <row r="81" spans="1:23" ht="18.75" customHeight="1" thickBot="1" x14ac:dyDescent="0.3">
      <c r="A81" s="249">
        <v>26</v>
      </c>
      <c r="B81" s="271"/>
      <c r="C81" s="213">
        <v>17</v>
      </c>
      <c r="D81" s="215" t="s">
        <v>20</v>
      </c>
      <c r="E81" s="21" t="s">
        <v>21</v>
      </c>
      <c r="F81" s="22">
        <f>'12B Sem 1'!E29</f>
        <v>78</v>
      </c>
      <c r="G81" s="22">
        <f>'12B Sem 1'!F29</f>
        <v>91</v>
      </c>
      <c r="H81" s="22">
        <f>'12B Sem 1'!G29</f>
        <v>81</v>
      </c>
      <c r="I81" s="22">
        <f>'12B Sem 1'!H29</f>
        <v>88</v>
      </c>
      <c r="J81" s="22">
        <f>'12B Sem 1'!I29</f>
        <v>86</v>
      </c>
      <c r="K81" s="22">
        <f>'12B Sem 1'!J29</f>
        <v>94</v>
      </c>
      <c r="L81" s="22">
        <f>'12B Sem 1'!K29</f>
        <v>85</v>
      </c>
      <c r="M81" s="22">
        <f>'12B Sem 1'!L29</f>
        <v>603</v>
      </c>
      <c r="N81" s="192">
        <f>'12B Sem 1'!M29</f>
        <v>86.142857142857139</v>
      </c>
      <c r="O81" s="22">
        <f>'12B Sem 1'!N29</f>
        <v>6</v>
      </c>
      <c r="P81" s="36">
        <f>'12B Sem 1'!O29</f>
        <v>0</v>
      </c>
      <c r="Q81" s="36">
        <f>'12B Sem 1'!P29</f>
        <v>0</v>
      </c>
      <c r="R81" s="5"/>
      <c r="S81" s="5"/>
      <c r="T81" s="5"/>
      <c r="U81" s="5"/>
      <c r="V81" s="5"/>
    </row>
    <row r="82" spans="1:23" ht="18.75" customHeight="1" thickBot="1" x14ac:dyDescent="0.3">
      <c r="A82" s="249"/>
      <c r="B82" s="271"/>
      <c r="C82" s="213">
        <v>17</v>
      </c>
      <c r="D82" s="215" t="s">
        <v>20</v>
      </c>
      <c r="E82" s="21" t="s">
        <v>22</v>
      </c>
      <c r="F82" s="22">
        <f>'12B (NS)Sem 2'!E29</f>
        <v>85</v>
      </c>
      <c r="G82" s="22">
        <f>'12B (NS)Sem 2'!F29</f>
        <v>97</v>
      </c>
      <c r="H82" s="22">
        <f>'12B (NS)Sem 2'!G29</f>
        <v>93</v>
      </c>
      <c r="I82" s="22">
        <f>'12B (NS)Sem 2'!H29</f>
        <v>92</v>
      </c>
      <c r="J82" s="22">
        <f>'12B (NS)Sem 2'!I29</f>
        <v>94</v>
      </c>
      <c r="K82" s="22">
        <f>'12B (NS)Sem 2'!J29</f>
        <v>100</v>
      </c>
      <c r="L82" s="22">
        <f>'12B (NS)Sem 2'!K29</f>
        <v>93</v>
      </c>
      <c r="M82" s="22">
        <f>'12B (NS)Sem 2'!L29</f>
        <v>654</v>
      </c>
      <c r="N82" s="192">
        <f>'12B (NS)Sem 2'!M29</f>
        <v>93.428571428571431</v>
      </c>
      <c r="O82" s="22">
        <f>'12B (NS)Sem 2'!N29</f>
        <v>5</v>
      </c>
      <c r="P82" s="36">
        <f>'12B (NS)Sem 2'!O29</f>
        <v>0</v>
      </c>
      <c r="Q82" s="36">
        <f>'12B (NS)Sem 2'!P29</f>
        <v>0</v>
      </c>
      <c r="R82" s="5"/>
      <c r="S82" s="5"/>
      <c r="T82" s="5"/>
      <c r="U82" s="5"/>
      <c r="V82" s="5"/>
    </row>
    <row r="83" spans="1:23" ht="18.75" customHeight="1" thickBot="1" x14ac:dyDescent="0.3">
      <c r="A83" s="249"/>
      <c r="B83" s="272"/>
      <c r="C83" s="214">
        <v>17</v>
      </c>
      <c r="D83" s="216" t="s">
        <v>20</v>
      </c>
      <c r="E83" s="82" t="s">
        <v>16</v>
      </c>
      <c r="F83" s="83">
        <f>AVERAGE(F81:F82)</f>
        <v>81.5</v>
      </c>
      <c r="G83" s="83">
        <f t="shared" ref="G83:Q83" si="25">AVERAGE(G81:G82)</f>
        <v>94</v>
      </c>
      <c r="H83" s="83">
        <f t="shared" si="25"/>
        <v>87</v>
      </c>
      <c r="I83" s="83">
        <f t="shared" si="25"/>
        <v>90</v>
      </c>
      <c r="J83" s="83">
        <f t="shared" si="25"/>
        <v>90</v>
      </c>
      <c r="K83" s="83">
        <f t="shared" si="25"/>
        <v>97</v>
      </c>
      <c r="L83" s="83">
        <f t="shared" si="25"/>
        <v>89</v>
      </c>
      <c r="M83" s="83">
        <f t="shared" si="25"/>
        <v>628.5</v>
      </c>
      <c r="N83" s="207">
        <f t="shared" si="25"/>
        <v>89.785714285714278</v>
      </c>
      <c r="O83" s="83">
        <f>'12B Sem avr (NS) '!$H$29</f>
        <v>6</v>
      </c>
      <c r="P83" s="83">
        <f t="shared" si="25"/>
        <v>0</v>
      </c>
      <c r="Q83" s="83">
        <f t="shared" si="25"/>
        <v>0</v>
      </c>
      <c r="R83" s="5"/>
      <c r="S83" s="5"/>
      <c r="T83" s="5"/>
      <c r="U83" s="5"/>
      <c r="V83" s="5"/>
    </row>
    <row r="84" spans="1:23" ht="18.75" customHeight="1" thickBot="1" x14ac:dyDescent="0.3">
      <c r="A84" s="267">
        <v>27</v>
      </c>
      <c r="B84" s="271"/>
      <c r="C84" s="213">
        <v>18</v>
      </c>
      <c r="D84" s="215" t="s">
        <v>20</v>
      </c>
      <c r="E84" s="21" t="s">
        <v>21</v>
      </c>
      <c r="F84" s="11">
        <f>'12B Sem 1'!E30</f>
        <v>72</v>
      </c>
      <c r="G84" s="11">
        <f>'12B Sem 1'!F30</f>
        <v>45</v>
      </c>
      <c r="H84" s="11">
        <f>'12B Sem 1'!G30</f>
        <v>64</v>
      </c>
      <c r="I84" s="11">
        <f>'12B Sem 1'!H30</f>
        <v>51</v>
      </c>
      <c r="J84" s="11">
        <f>'12B Sem 1'!I30</f>
        <v>60</v>
      </c>
      <c r="K84" s="11">
        <f>'12B Sem 1'!J30</f>
        <v>74</v>
      </c>
      <c r="L84" s="11">
        <f>'12B Sem 1'!K30</f>
        <v>81</v>
      </c>
      <c r="M84" s="11">
        <f>'12B Sem 1'!L30</f>
        <v>447</v>
      </c>
      <c r="N84" s="25">
        <f>'12B Sem 1'!M30</f>
        <v>63.857142857142854</v>
      </c>
      <c r="O84" s="11">
        <f>'12B Sem 1'!N30</f>
        <v>27</v>
      </c>
      <c r="P84" s="11">
        <f>'12B Sem 1'!O30</f>
        <v>0</v>
      </c>
      <c r="Q84" s="29">
        <f>'12B Sem 1'!P30</f>
        <v>0</v>
      </c>
      <c r="R84" s="5"/>
      <c r="S84" s="5"/>
      <c r="T84" s="5"/>
      <c r="U84" s="5"/>
      <c r="V84" s="5"/>
    </row>
    <row r="85" spans="1:23" ht="18.75" customHeight="1" thickBot="1" x14ac:dyDescent="0.3">
      <c r="A85" s="267"/>
      <c r="B85" s="271"/>
      <c r="C85" s="213">
        <v>18</v>
      </c>
      <c r="D85" s="215" t="s">
        <v>20</v>
      </c>
      <c r="E85" s="21" t="s">
        <v>22</v>
      </c>
      <c r="F85" s="11">
        <f>'12B (NS)Sem 2'!E30</f>
        <v>71</v>
      </c>
      <c r="G85" s="11">
        <f>'12B (NS)Sem 2'!F30</f>
        <v>65</v>
      </c>
      <c r="H85" s="11">
        <f>'12B (NS)Sem 2'!G30</f>
        <v>68</v>
      </c>
      <c r="I85" s="11">
        <f>'12B (NS)Sem 2'!H30</f>
        <v>57</v>
      </c>
      <c r="J85" s="11">
        <f>'12B (NS)Sem 2'!I30</f>
        <v>64</v>
      </c>
      <c r="K85" s="11">
        <f>'12B (NS)Sem 2'!J30</f>
        <v>89</v>
      </c>
      <c r="L85" s="11">
        <f>'12B (NS)Sem 2'!K30</f>
        <v>92</v>
      </c>
      <c r="M85" s="11">
        <f>'12B (NS)Sem 2'!L30</f>
        <v>506</v>
      </c>
      <c r="N85" s="25">
        <f>'12B (NS)Sem 2'!M30</f>
        <v>72.285714285714292</v>
      </c>
      <c r="O85" s="11">
        <f>'12B (NS)Sem 2'!N30</f>
        <v>27</v>
      </c>
      <c r="P85" s="11">
        <f>'12B (NS)Sem 2'!O30</f>
        <v>0</v>
      </c>
      <c r="Q85" s="29">
        <f>'12B (NS)Sem 2'!P30</f>
        <v>0</v>
      </c>
      <c r="R85" s="5"/>
      <c r="S85" s="5"/>
      <c r="T85" s="5"/>
      <c r="U85" s="5"/>
      <c r="V85" s="5"/>
    </row>
    <row r="86" spans="1:23" ht="18.75" customHeight="1" thickBot="1" x14ac:dyDescent="0.3">
      <c r="A86" s="267"/>
      <c r="B86" s="271"/>
      <c r="C86" s="213">
        <v>18</v>
      </c>
      <c r="D86" s="215" t="s">
        <v>20</v>
      </c>
      <c r="E86" s="82" t="s">
        <v>16</v>
      </c>
      <c r="F86" s="11">
        <f>AVERAGE(F84:F85)</f>
        <v>71.5</v>
      </c>
      <c r="G86" s="11">
        <f t="shared" ref="G86:Q86" si="26">AVERAGE(G84:G85)</f>
        <v>55</v>
      </c>
      <c r="H86" s="11">
        <f t="shared" si="26"/>
        <v>66</v>
      </c>
      <c r="I86" s="11">
        <f t="shared" si="26"/>
        <v>54</v>
      </c>
      <c r="J86" s="11">
        <f t="shared" si="26"/>
        <v>62</v>
      </c>
      <c r="K86" s="11">
        <f t="shared" si="26"/>
        <v>81.5</v>
      </c>
      <c r="L86" s="11">
        <f t="shared" si="26"/>
        <v>86.5</v>
      </c>
      <c r="M86" s="11">
        <f t="shared" si="26"/>
        <v>476.5</v>
      </c>
      <c r="N86" s="25">
        <f t="shared" si="26"/>
        <v>68.071428571428569</v>
      </c>
      <c r="O86" s="11">
        <f>'12B Sem avr (NS) '!$H$30</f>
        <v>27</v>
      </c>
      <c r="P86" s="11">
        <f t="shared" si="26"/>
        <v>0</v>
      </c>
      <c r="Q86" s="11">
        <f t="shared" si="26"/>
        <v>0</v>
      </c>
      <c r="R86" s="5"/>
      <c r="S86" s="5"/>
      <c r="T86" s="5"/>
      <c r="U86" s="5"/>
      <c r="V86" s="5"/>
    </row>
    <row r="87" spans="1:23" ht="18.75" customHeight="1" thickBot="1" x14ac:dyDescent="0.3">
      <c r="A87" s="270">
        <v>28</v>
      </c>
      <c r="B87" s="271"/>
      <c r="C87" s="213">
        <v>17</v>
      </c>
      <c r="D87" s="215" t="s">
        <v>20</v>
      </c>
      <c r="E87" s="21" t="s">
        <v>21</v>
      </c>
      <c r="F87" s="11">
        <f>'12B Sem 1'!E31</f>
        <v>61</v>
      </c>
      <c r="G87" s="11">
        <f>'12B Sem 1'!F31</f>
        <v>52</v>
      </c>
      <c r="H87" s="11">
        <f>'12B Sem 1'!G31</f>
        <v>68</v>
      </c>
      <c r="I87" s="11">
        <f>'12B Sem 1'!H31</f>
        <v>59</v>
      </c>
      <c r="J87" s="11">
        <f>'12B Sem 1'!I31</f>
        <v>65</v>
      </c>
      <c r="K87" s="11">
        <f>'12B Sem 1'!J31</f>
        <v>81</v>
      </c>
      <c r="L87" s="11">
        <f>'12B Sem 1'!K31</f>
        <v>64</v>
      </c>
      <c r="M87" s="11">
        <f>'12B Sem 1'!L31</f>
        <v>450</v>
      </c>
      <c r="N87" s="25">
        <f>'12B Sem 1'!M31</f>
        <v>64.285714285714292</v>
      </c>
      <c r="O87" s="11">
        <f>'12B Sem 1'!N31</f>
        <v>26</v>
      </c>
      <c r="P87" s="11">
        <f>'12B Sem 1'!O31</f>
        <v>0</v>
      </c>
      <c r="Q87" s="29">
        <f>'12B Sem 1'!P31</f>
        <v>0</v>
      </c>
      <c r="R87" s="5"/>
      <c r="S87" s="5"/>
      <c r="T87" s="5"/>
      <c r="U87" s="5"/>
      <c r="V87" s="5"/>
    </row>
    <row r="88" spans="1:23" ht="18.75" customHeight="1" thickBot="1" x14ac:dyDescent="0.3">
      <c r="A88" s="270"/>
      <c r="B88" s="271"/>
      <c r="C88" s="213">
        <v>17</v>
      </c>
      <c r="D88" s="215" t="s">
        <v>20</v>
      </c>
      <c r="E88" s="21" t="s">
        <v>22</v>
      </c>
      <c r="F88" s="11">
        <f>'12B (NS)Sem 2'!E31</f>
        <v>73</v>
      </c>
      <c r="G88" s="11">
        <f>'12B (NS)Sem 2'!F31</f>
        <v>61</v>
      </c>
      <c r="H88" s="11">
        <f>'12B (NS)Sem 2'!G31</f>
        <v>70</v>
      </c>
      <c r="I88" s="11">
        <f>'12B (NS)Sem 2'!H31</f>
        <v>63</v>
      </c>
      <c r="J88" s="11">
        <f>'12B (NS)Sem 2'!I31</f>
        <v>69</v>
      </c>
      <c r="K88" s="11">
        <f>'12B (NS)Sem 2'!J31</f>
        <v>94</v>
      </c>
      <c r="L88" s="11">
        <f>'12B (NS)Sem 2'!K31</f>
        <v>78</v>
      </c>
      <c r="M88" s="11">
        <f>'12B (NS)Sem 2'!L31</f>
        <v>508</v>
      </c>
      <c r="N88" s="25">
        <f>'12B (NS)Sem 2'!M31</f>
        <v>72.571428571428569</v>
      </c>
      <c r="O88" s="11">
        <f>'12B (NS)Sem 2'!N31</f>
        <v>26</v>
      </c>
      <c r="P88" s="11">
        <f>'12B (NS)Sem 2'!O31</f>
        <v>0</v>
      </c>
      <c r="Q88" s="29">
        <f>'12B (NS)Sem 2'!P31</f>
        <v>0</v>
      </c>
      <c r="R88" s="5"/>
      <c r="S88" s="5"/>
      <c r="T88" s="5"/>
      <c r="U88" s="5"/>
      <c r="V88" s="5"/>
    </row>
    <row r="89" spans="1:23" ht="18.75" customHeight="1" thickBot="1" x14ac:dyDescent="0.3">
      <c r="A89" s="270"/>
      <c r="B89" s="271"/>
      <c r="C89" s="213">
        <v>17</v>
      </c>
      <c r="D89" s="215" t="s">
        <v>20</v>
      </c>
      <c r="E89" s="82" t="s">
        <v>16</v>
      </c>
      <c r="F89" s="11">
        <f>AVERAGE(F87:F88)</f>
        <v>67</v>
      </c>
      <c r="G89" s="11">
        <f t="shared" ref="G89:Q89" si="27">AVERAGE(G87:G88)</f>
        <v>56.5</v>
      </c>
      <c r="H89" s="11">
        <f t="shared" si="27"/>
        <v>69</v>
      </c>
      <c r="I89" s="11">
        <f t="shared" si="27"/>
        <v>61</v>
      </c>
      <c r="J89" s="11">
        <f t="shared" si="27"/>
        <v>67</v>
      </c>
      <c r="K89" s="11">
        <f t="shared" si="27"/>
        <v>87.5</v>
      </c>
      <c r="L89" s="11">
        <f t="shared" si="27"/>
        <v>71</v>
      </c>
      <c r="M89" s="11">
        <f t="shared" si="27"/>
        <v>479</v>
      </c>
      <c r="N89" s="25">
        <f t="shared" si="27"/>
        <v>68.428571428571431</v>
      </c>
      <c r="O89" s="11">
        <f>'12B Sem avr (NS) '!$H$31</f>
        <v>26</v>
      </c>
      <c r="P89" s="11">
        <f t="shared" si="27"/>
        <v>0</v>
      </c>
      <c r="Q89" s="11">
        <f t="shared" si="27"/>
        <v>0</v>
      </c>
      <c r="R89" s="5"/>
      <c r="S89" s="5"/>
      <c r="T89" s="5"/>
      <c r="U89" s="5"/>
      <c r="V89" s="5"/>
    </row>
    <row r="90" spans="1:23" ht="18.75" customHeight="1" thickBot="1" x14ac:dyDescent="0.3">
      <c r="A90" s="267">
        <v>29</v>
      </c>
      <c r="B90" s="271"/>
      <c r="C90" s="213">
        <v>18</v>
      </c>
      <c r="D90" s="215" t="s">
        <v>20</v>
      </c>
      <c r="E90" s="21" t="s">
        <v>21</v>
      </c>
      <c r="F90" s="11">
        <f>'12B Sem 1'!E32</f>
        <v>81</v>
      </c>
      <c r="G90" s="11">
        <f>'12B Sem 1'!F32</f>
        <v>78</v>
      </c>
      <c r="H90" s="11">
        <f>'12B Sem 1'!G32</f>
        <v>86</v>
      </c>
      <c r="I90" s="11">
        <f>'12B Sem 1'!H32</f>
        <v>81</v>
      </c>
      <c r="J90" s="11">
        <f>'12B Sem 1'!I32</f>
        <v>90</v>
      </c>
      <c r="K90" s="11">
        <f>'12B Sem 1'!J32</f>
        <v>95</v>
      </c>
      <c r="L90" s="11">
        <f>'12B Sem 1'!K32</f>
        <v>85</v>
      </c>
      <c r="M90" s="11">
        <f>'12B Sem 1'!L32</f>
        <v>596</v>
      </c>
      <c r="N90" s="25">
        <f>'12B Sem 1'!M32</f>
        <v>85.142857142857139</v>
      </c>
      <c r="O90" s="11">
        <f>'12B Sem 1'!N32</f>
        <v>8</v>
      </c>
      <c r="P90" s="11">
        <f>'12B Sem 1'!O32</f>
        <v>0</v>
      </c>
      <c r="Q90" s="29">
        <f>'12B Sem 1'!P32</f>
        <v>0</v>
      </c>
      <c r="S90" s="5"/>
      <c r="T90" s="5"/>
      <c r="U90" s="5"/>
      <c r="V90" s="5"/>
      <c r="W90" s="5"/>
    </row>
    <row r="91" spans="1:23" ht="18.75" customHeight="1" thickBot="1" x14ac:dyDescent="0.3">
      <c r="A91" s="267"/>
      <c r="B91" s="271"/>
      <c r="C91" s="213">
        <v>18</v>
      </c>
      <c r="D91" s="215" t="s">
        <v>20</v>
      </c>
      <c r="E91" s="21" t="s">
        <v>22</v>
      </c>
      <c r="F91" s="11">
        <f>'12B (NS)Sem 2'!E32</f>
        <v>85</v>
      </c>
      <c r="G91" s="11">
        <f>'12B (NS)Sem 2'!F32</f>
        <v>89</v>
      </c>
      <c r="H91" s="11">
        <f>'12B (NS)Sem 2'!G32</f>
        <v>94</v>
      </c>
      <c r="I91" s="11">
        <f>'12B (NS)Sem 2'!H32</f>
        <v>86</v>
      </c>
      <c r="J91" s="11">
        <f>'12B (NS)Sem 2'!I32</f>
        <v>94</v>
      </c>
      <c r="K91" s="11">
        <f>'12B (NS)Sem 2'!J32</f>
        <v>100</v>
      </c>
      <c r="L91" s="11">
        <f>'12B (NS)Sem 2'!K32</f>
        <v>92</v>
      </c>
      <c r="M91" s="11">
        <f>'12B (NS)Sem 2'!L32</f>
        <v>640</v>
      </c>
      <c r="N91" s="25">
        <f>'12B (NS)Sem 2'!M32</f>
        <v>91.428571428571431</v>
      </c>
      <c r="O91" s="11">
        <f>'12B (NS)Sem 2'!N32</f>
        <v>7</v>
      </c>
      <c r="P91" s="11">
        <f>'12B (NS)Sem 2'!O32</f>
        <v>0</v>
      </c>
      <c r="Q91" s="29">
        <f>'12B (NS)Sem 2'!P32</f>
        <v>0</v>
      </c>
      <c r="S91" s="5"/>
      <c r="T91" s="5"/>
      <c r="U91" s="5"/>
      <c r="V91" s="5"/>
      <c r="W91" s="5"/>
    </row>
    <row r="92" spans="1:23" ht="18.75" customHeight="1" thickBot="1" x14ac:dyDescent="0.3">
      <c r="A92" s="267"/>
      <c r="B92" s="271"/>
      <c r="C92" s="213">
        <v>18</v>
      </c>
      <c r="D92" s="215" t="s">
        <v>20</v>
      </c>
      <c r="E92" s="82" t="s">
        <v>16</v>
      </c>
      <c r="F92" s="11">
        <f>AVERAGE(F90:F91)</f>
        <v>83</v>
      </c>
      <c r="G92" s="11">
        <f t="shared" ref="G92:Q92" si="28">AVERAGE(G90:G91)</f>
        <v>83.5</v>
      </c>
      <c r="H92" s="11">
        <f t="shared" si="28"/>
        <v>90</v>
      </c>
      <c r="I92" s="11">
        <f t="shared" si="28"/>
        <v>83.5</v>
      </c>
      <c r="J92" s="11">
        <f t="shared" si="28"/>
        <v>92</v>
      </c>
      <c r="K92" s="11">
        <f t="shared" si="28"/>
        <v>97.5</v>
      </c>
      <c r="L92" s="11">
        <f t="shared" si="28"/>
        <v>88.5</v>
      </c>
      <c r="M92" s="11">
        <f t="shared" si="28"/>
        <v>618</v>
      </c>
      <c r="N92" s="25">
        <f t="shared" si="28"/>
        <v>88.285714285714278</v>
      </c>
      <c r="O92" s="11">
        <f>'12B Sem avr (NS) '!$H$32</f>
        <v>7</v>
      </c>
      <c r="P92" s="11">
        <f t="shared" si="28"/>
        <v>0</v>
      </c>
      <c r="Q92" s="11">
        <f t="shared" si="28"/>
        <v>0</v>
      </c>
      <c r="S92" s="5"/>
      <c r="T92" s="5"/>
      <c r="U92" s="5"/>
      <c r="V92" s="5"/>
      <c r="W92" s="5"/>
    </row>
    <row r="93" spans="1:23" ht="18.75" customHeight="1" thickBot="1" x14ac:dyDescent="0.3">
      <c r="A93" s="270">
        <v>30</v>
      </c>
      <c r="B93" s="271"/>
      <c r="C93" s="213"/>
      <c r="D93" s="215"/>
      <c r="E93" s="21" t="s">
        <v>21</v>
      </c>
      <c r="F93" s="11">
        <f>'12B Sem 1'!E33</f>
        <v>0</v>
      </c>
      <c r="G93" s="11">
        <f>'12B Sem 1'!F33</f>
        <v>0</v>
      </c>
      <c r="H93" s="11">
        <f>'12B Sem 1'!G33</f>
        <v>0</v>
      </c>
      <c r="I93" s="11">
        <f>'12B Sem 1'!H33</f>
        <v>0</v>
      </c>
      <c r="J93" s="11">
        <f>'12B Sem 1'!I33</f>
        <v>0</v>
      </c>
      <c r="K93" s="11">
        <f>'12B Sem 1'!J33</f>
        <v>0</v>
      </c>
      <c r="L93" s="11">
        <f>'12B Sem 1'!K33</f>
        <v>0</v>
      </c>
      <c r="M93" s="11">
        <f>'12B Sem 1'!L33</f>
        <v>0</v>
      </c>
      <c r="N93" s="11">
        <f>'12B Sem 1'!M33</f>
        <v>0</v>
      </c>
      <c r="O93" s="11">
        <f>'12B Sem 1'!N33</f>
        <v>0</v>
      </c>
      <c r="P93" s="11">
        <f>'12B Sem 1'!O33</f>
        <v>0</v>
      </c>
      <c r="Q93" s="29">
        <f>'12B Sem 1'!P33</f>
        <v>0</v>
      </c>
      <c r="S93" s="5"/>
      <c r="T93" s="5"/>
      <c r="U93" s="5"/>
      <c r="V93" s="5"/>
      <c r="W93" s="5"/>
    </row>
    <row r="94" spans="1:23" ht="18.75" customHeight="1" thickBot="1" x14ac:dyDescent="0.3">
      <c r="A94" s="270"/>
      <c r="B94" s="271"/>
      <c r="C94" s="213"/>
      <c r="D94" s="215"/>
      <c r="E94" s="21" t="s">
        <v>22</v>
      </c>
      <c r="F94" s="11">
        <f>'12B (NS)Sem 2'!E33</f>
        <v>0</v>
      </c>
      <c r="G94" s="11">
        <f>'12B (NS)Sem 2'!F33</f>
        <v>0</v>
      </c>
      <c r="H94" s="11">
        <f>'12B (NS)Sem 2'!G33</f>
        <v>0</v>
      </c>
      <c r="I94" s="11">
        <f>'12B (NS)Sem 2'!H33</f>
        <v>0</v>
      </c>
      <c r="J94" s="11">
        <f>'12B (NS)Sem 2'!I33</f>
        <v>0</v>
      </c>
      <c r="K94" s="11">
        <f>'12B (NS)Sem 2'!J33</f>
        <v>0</v>
      </c>
      <c r="L94" s="11">
        <f>'12B (NS)Sem 2'!K33</f>
        <v>0</v>
      </c>
      <c r="M94" s="11">
        <f>'12B (NS)Sem 2'!L33</f>
        <v>0</v>
      </c>
      <c r="N94" s="11">
        <f>'12B (NS)Sem 2'!M33</f>
        <v>0</v>
      </c>
      <c r="O94" s="11">
        <f>'12B (NS)Sem 2'!N33</f>
        <v>0</v>
      </c>
      <c r="P94" s="11">
        <f>'12B (NS)Sem 2'!O33</f>
        <v>0</v>
      </c>
      <c r="Q94" s="29">
        <f>'12B (NS)Sem 2'!P33</f>
        <v>0</v>
      </c>
      <c r="S94" s="5"/>
      <c r="T94" s="5"/>
      <c r="U94" s="5"/>
      <c r="V94" s="5"/>
      <c r="W94" s="5"/>
    </row>
    <row r="95" spans="1:23" ht="18.75" customHeight="1" thickBot="1" x14ac:dyDescent="0.3">
      <c r="A95" s="270"/>
      <c r="B95" s="271"/>
      <c r="C95" s="213"/>
      <c r="D95" s="215"/>
      <c r="E95" s="82" t="s">
        <v>16</v>
      </c>
      <c r="F95" s="11">
        <f>AVERAGE(F93:F94)</f>
        <v>0</v>
      </c>
      <c r="G95" s="11">
        <f t="shared" ref="G95:Q95" si="29">AVERAGE(G93:G94)</f>
        <v>0</v>
      </c>
      <c r="H95" s="11">
        <f t="shared" si="29"/>
        <v>0</v>
      </c>
      <c r="I95" s="11">
        <f t="shared" si="29"/>
        <v>0</v>
      </c>
      <c r="J95" s="11">
        <f t="shared" si="29"/>
        <v>0</v>
      </c>
      <c r="K95" s="11">
        <f t="shared" si="29"/>
        <v>0</v>
      </c>
      <c r="L95" s="11">
        <f t="shared" si="29"/>
        <v>0</v>
      </c>
      <c r="M95" s="11">
        <f t="shared" si="29"/>
        <v>0</v>
      </c>
      <c r="N95" s="11">
        <f t="shared" si="29"/>
        <v>0</v>
      </c>
      <c r="O95" s="11">
        <f>'12B Sem avr (NS) '!$H$33</f>
        <v>0</v>
      </c>
      <c r="P95" s="11">
        <f t="shared" si="29"/>
        <v>0</v>
      </c>
      <c r="Q95" s="11">
        <f t="shared" si="29"/>
        <v>0</v>
      </c>
      <c r="S95" s="5"/>
      <c r="T95" s="5"/>
      <c r="U95" s="5"/>
      <c r="V95" s="5"/>
      <c r="W95" s="5"/>
    </row>
    <row r="96" spans="1:23" ht="18.75" customHeight="1" thickBot="1" x14ac:dyDescent="0.3">
      <c r="A96" s="267">
        <v>31</v>
      </c>
      <c r="B96" s="271"/>
      <c r="C96" s="213"/>
      <c r="D96" s="215"/>
      <c r="E96" s="21" t="s">
        <v>21</v>
      </c>
      <c r="F96" s="11">
        <f>'12B Sem 1'!E34</f>
        <v>0</v>
      </c>
      <c r="G96" s="11">
        <f>'12B Sem 1'!F34</f>
        <v>0</v>
      </c>
      <c r="H96" s="11">
        <f>'12B Sem 1'!G34</f>
        <v>0</v>
      </c>
      <c r="I96" s="11">
        <f>'12B Sem 1'!H34</f>
        <v>0</v>
      </c>
      <c r="J96" s="11">
        <f>'12B Sem 1'!I34</f>
        <v>0</v>
      </c>
      <c r="K96" s="11">
        <f>'12B Sem 1'!J34</f>
        <v>0</v>
      </c>
      <c r="L96" s="11">
        <f>'12B Sem 1'!K34</f>
        <v>0</v>
      </c>
      <c r="M96" s="11">
        <f>'12B Sem 1'!L34</f>
        <v>0</v>
      </c>
      <c r="N96" s="11">
        <f>'12B Sem 1'!M34</f>
        <v>0</v>
      </c>
      <c r="O96" s="11">
        <f>'12B Sem 1'!N34</f>
        <v>0</v>
      </c>
      <c r="P96" s="11">
        <f>'12B Sem 1'!O34</f>
        <v>0</v>
      </c>
      <c r="Q96" s="29">
        <f>'12B Sem 1'!P34</f>
        <v>0</v>
      </c>
      <c r="S96" s="5"/>
      <c r="T96" s="5"/>
      <c r="U96" s="5"/>
      <c r="V96" s="5"/>
      <c r="W96" s="5"/>
    </row>
    <row r="97" spans="1:23" ht="18.75" customHeight="1" thickBot="1" x14ac:dyDescent="0.3">
      <c r="A97" s="267"/>
      <c r="B97" s="271"/>
      <c r="C97" s="213"/>
      <c r="D97" s="215"/>
      <c r="E97" s="21" t="s">
        <v>22</v>
      </c>
      <c r="F97" s="11">
        <f>'12B (NS)Sem 2'!E34</f>
        <v>0</v>
      </c>
      <c r="G97" s="11">
        <f>'12B (NS)Sem 2'!F34</f>
        <v>0</v>
      </c>
      <c r="H97" s="11">
        <f>'12B (NS)Sem 2'!G34</f>
        <v>0</v>
      </c>
      <c r="I97" s="11">
        <f>'12B (NS)Sem 2'!H34</f>
        <v>0</v>
      </c>
      <c r="J97" s="11">
        <f>'12B (NS)Sem 2'!I34</f>
        <v>0</v>
      </c>
      <c r="K97" s="11">
        <f>'12B (NS)Sem 2'!J34</f>
        <v>0</v>
      </c>
      <c r="L97" s="11">
        <f>'12B (NS)Sem 2'!K34</f>
        <v>0</v>
      </c>
      <c r="M97" s="11">
        <f>'12B (NS)Sem 2'!L34</f>
        <v>0</v>
      </c>
      <c r="N97" s="11">
        <f>'12B (NS)Sem 2'!M34</f>
        <v>0</v>
      </c>
      <c r="O97" s="11">
        <f>'12B (NS)Sem 2'!N34</f>
        <v>0</v>
      </c>
      <c r="P97" s="11">
        <f>'12B (NS)Sem 2'!O34</f>
        <v>0</v>
      </c>
      <c r="Q97" s="29">
        <f>'12B (NS)Sem 2'!P34</f>
        <v>0</v>
      </c>
      <c r="S97" s="5"/>
      <c r="T97" s="5"/>
      <c r="U97" s="5"/>
      <c r="V97" s="5"/>
      <c r="W97" s="5"/>
    </row>
    <row r="98" spans="1:23" ht="18.75" customHeight="1" thickBot="1" x14ac:dyDescent="0.3">
      <c r="A98" s="267"/>
      <c r="B98" s="271"/>
      <c r="C98" s="213"/>
      <c r="D98" s="215"/>
      <c r="E98" s="82" t="s">
        <v>16</v>
      </c>
      <c r="F98" s="11">
        <f>AVERAGE(F96:F97)</f>
        <v>0</v>
      </c>
      <c r="G98" s="11">
        <f t="shared" ref="G98:Q98" si="30">AVERAGE(G96:G97)</f>
        <v>0</v>
      </c>
      <c r="H98" s="11">
        <f t="shared" si="30"/>
        <v>0</v>
      </c>
      <c r="I98" s="11">
        <f t="shared" si="30"/>
        <v>0</v>
      </c>
      <c r="J98" s="11">
        <f t="shared" si="30"/>
        <v>0</v>
      </c>
      <c r="K98" s="11">
        <f t="shared" si="30"/>
        <v>0</v>
      </c>
      <c r="L98" s="11">
        <f t="shared" si="30"/>
        <v>0</v>
      </c>
      <c r="M98" s="11">
        <f t="shared" si="30"/>
        <v>0</v>
      </c>
      <c r="N98" s="11">
        <f t="shared" si="30"/>
        <v>0</v>
      </c>
      <c r="O98" s="11">
        <f>'12B Sem avr (NS) '!$H$34</f>
        <v>0</v>
      </c>
      <c r="P98" s="11">
        <f t="shared" si="30"/>
        <v>0</v>
      </c>
      <c r="Q98" s="11">
        <f t="shared" si="30"/>
        <v>0</v>
      </c>
      <c r="S98" s="5"/>
      <c r="T98" s="5"/>
      <c r="U98" s="5"/>
      <c r="V98" s="5"/>
      <c r="W98" s="5"/>
    </row>
    <row r="99" spans="1:23" ht="18.75" customHeight="1" thickBot="1" x14ac:dyDescent="0.3">
      <c r="A99" s="270">
        <v>32</v>
      </c>
      <c r="B99" s="271"/>
      <c r="C99" s="213"/>
      <c r="D99" s="215"/>
      <c r="E99" s="21" t="s">
        <v>21</v>
      </c>
      <c r="F99" s="11">
        <f>'12B Sem 1'!E35</f>
        <v>0</v>
      </c>
      <c r="G99" s="11">
        <f>'12B Sem 1'!F35</f>
        <v>0</v>
      </c>
      <c r="H99" s="11">
        <f>'12B Sem 1'!G35</f>
        <v>0</v>
      </c>
      <c r="I99" s="11">
        <f>'12B Sem 1'!H35</f>
        <v>0</v>
      </c>
      <c r="J99" s="11">
        <f>'12B Sem 1'!I35</f>
        <v>0</v>
      </c>
      <c r="K99" s="11">
        <f>'12B Sem 1'!J35</f>
        <v>0</v>
      </c>
      <c r="L99" s="11">
        <f>'12B Sem 1'!K35</f>
        <v>0</v>
      </c>
      <c r="M99" s="11">
        <f>'12B Sem 1'!L35</f>
        <v>0</v>
      </c>
      <c r="N99" s="11">
        <f>'12B Sem 1'!M35</f>
        <v>0</v>
      </c>
      <c r="O99" s="11">
        <f>'12B Sem 1'!N35</f>
        <v>0</v>
      </c>
      <c r="P99" s="11">
        <f>'12B Sem 1'!O35</f>
        <v>0</v>
      </c>
      <c r="Q99" s="29">
        <f>'12B Sem 1'!P35</f>
        <v>0</v>
      </c>
      <c r="S99" s="5"/>
      <c r="T99" s="5"/>
      <c r="U99" s="5"/>
      <c r="V99" s="5"/>
      <c r="W99" s="5"/>
    </row>
    <row r="100" spans="1:23" ht="17.25" customHeight="1" thickBot="1" x14ac:dyDescent="0.3">
      <c r="A100" s="270"/>
      <c r="B100" s="271"/>
      <c r="C100" s="213"/>
      <c r="D100" s="215"/>
      <c r="E100" s="21" t="s">
        <v>22</v>
      </c>
      <c r="F100" s="11">
        <f>'12B (NS)Sem 2'!E35</f>
        <v>0</v>
      </c>
      <c r="G100" s="11">
        <f>'12B (NS)Sem 2'!F35</f>
        <v>0</v>
      </c>
      <c r="H100" s="11">
        <f>'12B (NS)Sem 2'!G35</f>
        <v>0</v>
      </c>
      <c r="I100" s="11">
        <f>'12B (NS)Sem 2'!H35</f>
        <v>0</v>
      </c>
      <c r="J100" s="11">
        <f>'12B (NS)Sem 2'!I35</f>
        <v>0</v>
      </c>
      <c r="K100" s="11">
        <f>'12B (NS)Sem 2'!J35</f>
        <v>0</v>
      </c>
      <c r="L100" s="11">
        <f>'12B (NS)Sem 2'!K35</f>
        <v>0</v>
      </c>
      <c r="M100" s="11">
        <f>'12B (NS)Sem 2'!L35</f>
        <v>0</v>
      </c>
      <c r="N100" s="11">
        <f>'12B (NS)Sem 2'!M35</f>
        <v>0</v>
      </c>
      <c r="O100" s="11">
        <f>'12B (NS)Sem 2'!N35</f>
        <v>0</v>
      </c>
      <c r="P100" s="11">
        <f>'12B (NS)Sem 2'!O35</f>
        <v>0</v>
      </c>
      <c r="Q100" s="29">
        <f>'12B (NS)Sem 2'!P35</f>
        <v>0</v>
      </c>
      <c r="S100" s="5"/>
      <c r="T100" s="5"/>
      <c r="U100" s="5"/>
      <c r="V100" s="5"/>
      <c r="W100" s="5"/>
    </row>
    <row r="101" spans="1:23" ht="17.25" customHeight="1" thickBot="1" x14ac:dyDescent="0.3">
      <c r="A101" s="270"/>
      <c r="B101" s="271"/>
      <c r="C101" s="213"/>
      <c r="D101" s="215"/>
      <c r="E101" s="82" t="s">
        <v>16</v>
      </c>
      <c r="F101" s="11">
        <f>AVERAGE(F99:F100)</f>
        <v>0</v>
      </c>
      <c r="G101" s="11">
        <f t="shared" ref="G101:Q101" si="31">AVERAGE(G99:G100)</f>
        <v>0</v>
      </c>
      <c r="H101" s="11">
        <f t="shared" si="31"/>
        <v>0</v>
      </c>
      <c r="I101" s="11">
        <f t="shared" si="31"/>
        <v>0</v>
      </c>
      <c r="J101" s="11">
        <f t="shared" si="31"/>
        <v>0</v>
      </c>
      <c r="K101" s="11">
        <f t="shared" si="31"/>
        <v>0</v>
      </c>
      <c r="L101" s="11">
        <f t="shared" si="31"/>
        <v>0</v>
      </c>
      <c r="M101" s="11">
        <f t="shared" si="31"/>
        <v>0</v>
      </c>
      <c r="N101" s="11">
        <f t="shared" si="31"/>
        <v>0</v>
      </c>
      <c r="O101" s="11">
        <f>'12B Sem avr (NS) '!$H$35</f>
        <v>0</v>
      </c>
      <c r="P101" s="11">
        <f t="shared" si="31"/>
        <v>0</v>
      </c>
      <c r="Q101" s="11">
        <f t="shared" si="31"/>
        <v>0</v>
      </c>
      <c r="S101" s="5"/>
      <c r="T101" s="5"/>
      <c r="U101" s="5"/>
      <c r="V101" s="5"/>
      <c r="W101" s="5"/>
    </row>
    <row r="102" spans="1:23" ht="17.25" customHeight="1" thickBot="1" x14ac:dyDescent="0.3">
      <c r="A102" s="267">
        <v>33</v>
      </c>
      <c r="B102" s="271"/>
      <c r="C102" s="213"/>
      <c r="D102" s="215"/>
      <c r="E102" s="21" t="s">
        <v>21</v>
      </c>
      <c r="F102" s="11">
        <f>'12B Sem 1'!E36</f>
        <v>0</v>
      </c>
      <c r="G102" s="11">
        <f>'12B Sem 1'!F36</f>
        <v>0</v>
      </c>
      <c r="H102" s="11">
        <f>'12B Sem 1'!G36</f>
        <v>0</v>
      </c>
      <c r="I102" s="11">
        <f>'12B Sem 1'!H36</f>
        <v>0</v>
      </c>
      <c r="J102" s="11">
        <f>'12B Sem 1'!I36</f>
        <v>0</v>
      </c>
      <c r="K102" s="11">
        <f>'12B Sem 1'!J36</f>
        <v>0</v>
      </c>
      <c r="L102" s="11">
        <f>'12B Sem 1'!K36</f>
        <v>0</v>
      </c>
      <c r="M102" s="11">
        <f>'12B Sem 1'!L36</f>
        <v>0</v>
      </c>
      <c r="N102" s="11">
        <f>'12B Sem 1'!M36</f>
        <v>0</v>
      </c>
      <c r="O102" s="11">
        <f>'12B Sem 1'!N36</f>
        <v>0</v>
      </c>
      <c r="P102" s="11">
        <f>'12B Sem 1'!O36</f>
        <v>0</v>
      </c>
      <c r="Q102" s="29">
        <f>'12B Sem 1'!P36</f>
        <v>0</v>
      </c>
      <c r="S102" s="5"/>
      <c r="T102" s="5"/>
      <c r="U102" s="5"/>
      <c r="V102" s="5"/>
      <c r="W102" s="5"/>
    </row>
    <row r="103" spans="1:23" ht="17.25" customHeight="1" thickBot="1" x14ac:dyDescent="0.3">
      <c r="A103" s="267"/>
      <c r="B103" s="271"/>
      <c r="C103" s="213"/>
      <c r="D103" s="215"/>
      <c r="E103" s="21" t="s">
        <v>22</v>
      </c>
      <c r="F103" s="11">
        <f>'12B (NS)Sem 2'!E36</f>
        <v>0</v>
      </c>
      <c r="G103" s="11">
        <f>'12B (NS)Sem 2'!F36</f>
        <v>0</v>
      </c>
      <c r="H103" s="11">
        <f>'12B (NS)Sem 2'!G36</f>
        <v>0</v>
      </c>
      <c r="I103" s="11">
        <f>'12B (NS)Sem 2'!H36</f>
        <v>0</v>
      </c>
      <c r="J103" s="11">
        <f>'12B (NS)Sem 2'!I36</f>
        <v>0</v>
      </c>
      <c r="K103" s="11">
        <f>'12B (NS)Sem 2'!J36</f>
        <v>0</v>
      </c>
      <c r="L103" s="11">
        <f>'12B (NS)Sem 2'!K36</f>
        <v>0</v>
      </c>
      <c r="M103" s="11">
        <f>'12B (NS)Sem 2'!L36</f>
        <v>0</v>
      </c>
      <c r="N103" s="11">
        <f>'12B (NS)Sem 2'!M36</f>
        <v>0</v>
      </c>
      <c r="O103" s="11">
        <f>'12B (NS)Sem 2'!N36</f>
        <v>0</v>
      </c>
      <c r="P103" s="11">
        <f>'12B (NS)Sem 2'!O36</f>
        <v>0</v>
      </c>
      <c r="Q103" s="29">
        <f>'12B (NS)Sem 2'!P36</f>
        <v>0</v>
      </c>
      <c r="S103" s="5"/>
      <c r="T103" s="5"/>
      <c r="U103" s="5"/>
      <c r="V103" s="5"/>
      <c r="W103" s="5"/>
    </row>
    <row r="104" spans="1:23" ht="17.25" customHeight="1" thickBot="1" x14ac:dyDescent="0.3">
      <c r="A104" s="267"/>
      <c r="B104" s="271"/>
      <c r="C104" s="213"/>
      <c r="D104" s="215"/>
      <c r="E104" s="82" t="s">
        <v>16</v>
      </c>
      <c r="F104" s="11">
        <f>AVERAGE(F102:F103)</f>
        <v>0</v>
      </c>
      <c r="G104" s="11">
        <f t="shared" ref="G104:Q104" si="32">AVERAGE(G102:G103)</f>
        <v>0</v>
      </c>
      <c r="H104" s="11">
        <f t="shared" si="32"/>
        <v>0</v>
      </c>
      <c r="I104" s="11">
        <f t="shared" si="32"/>
        <v>0</v>
      </c>
      <c r="J104" s="11">
        <f t="shared" si="32"/>
        <v>0</v>
      </c>
      <c r="K104" s="11">
        <f t="shared" si="32"/>
        <v>0</v>
      </c>
      <c r="L104" s="11">
        <f t="shared" si="32"/>
        <v>0</v>
      </c>
      <c r="M104" s="11">
        <f t="shared" si="32"/>
        <v>0</v>
      </c>
      <c r="N104" s="11">
        <f t="shared" si="32"/>
        <v>0</v>
      </c>
      <c r="O104" s="11">
        <f>'12B Sem avr (NS) '!$H$36</f>
        <v>0</v>
      </c>
      <c r="P104" s="11">
        <f t="shared" si="32"/>
        <v>0</v>
      </c>
      <c r="Q104" s="11">
        <f t="shared" si="32"/>
        <v>0</v>
      </c>
      <c r="S104" s="5"/>
      <c r="T104" s="5"/>
      <c r="U104" s="5"/>
      <c r="V104" s="5"/>
      <c r="W104" s="5"/>
    </row>
    <row r="105" spans="1:23" ht="17.25" customHeight="1" thickBot="1" x14ac:dyDescent="0.3">
      <c r="A105" s="270">
        <v>34</v>
      </c>
      <c r="B105" s="271"/>
      <c r="C105" s="213"/>
      <c r="D105" s="215"/>
      <c r="E105" s="21" t="s">
        <v>21</v>
      </c>
      <c r="F105" s="11">
        <f>'12B Sem 1'!E37</f>
        <v>0</v>
      </c>
      <c r="G105" s="11">
        <f>'12B Sem 1'!F37</f>
        <v>0</v>
      </c>
      <c r="H105" s="11">
        <f>'12B Sem 1'!G37</f>
        <v>0</v>
      </c>
      <c r="I105" s="11">
        <f>'12B Sem 1'!H37</f>
        <v>0</v>
      </c>
      <c r="J105" s="11">
        <f>'12B Sem 1'!I37</f>
        <v>0</v>
      </c>
      <c r="K105" s="11">
        <f>'12B Sem 1'!J37</f>
        <v>0</v>
      </c>
      <c r="L105" s="11">
        <f>'12B Sem 1'!K37</f>
        <v>0</v>
      </c>
      <c r="M105" s="11">
        <f>'12B Sem 1'!L37</f>
        <v>0</v>
      </c>
      <c r="N105" s="11">
        <f>'12B Sem 1'!M37</f>
        <v>0</v>
      </c>
      <c r="O105" s="11">
        <f>'12B Sem 1'!N37</f>
        <v>0</v>
      </c>
      <c r="P105" s="11">
        <f>'12B Sem 1'!O37</f>
        <v>0</v>
      </c>
      <c r="Q105" s="29">
        <f>'12B Sem 1'!P37</f>
        <v>0</v>
      </c>
      <c r="S105" s="5"/>
      <c r="T105" s="5"/>
      <c r="U105" s="5"/>
      <c r="V105" s="5"/>
      <c r="W105" s="5"/>
    </row>
    <row r="106" spans="1:23" ht="17.25" customHeight="1" thickBot="1" x14ac:dyDescent="0.3">
      <c r="A106" s="270"/>
      <c r="B106" s="271"/>
      <c r="C106" s="213"/>
      <c r="D106" s="215"/>
      <c r="E106" s="21" t="s">
        <v>22</v>
      </c>
      <c r="F106" s="11">
        <f>'12B (NS)Sem 2'!E37</f>
        <v>0</v>
      </c>
      <c r="G106" s="11">
        <f>'12B (NS)Sem 2'!F37</f>
        <v>0</v>
      </c>
      <c r="H106" s="11">
        <f>'12B (NS)Sem 2'!G37</f>
        <v>0</v>
      </c>
      <c r="I106" s="11">
        <f>'12B (NS)Sem 2'!H37</f>
        <v>0</v>
      </c>
      <c r="J106" s="11">
        <f>'12B (NS)Sem 2'!I37</f>
        <v>0</v>
      </c>
      <c r="K106" s="11">
        <f>'12B (NS)Sem 2'!J37</f>
        <v>0</v>
      </c>
      <c r="L106" s="11">
        <f>'12B (NS)Sem 2'!K37</f>
        <v>0</v>
      </c>
      <c r="M106" s="11">
        <f>'12B (NS)Sem 2'!L37</f>
        <v>0</v>
      </c>
      <c r="N106" s="11">
        <f>'12B (NS)Sem 2'!M37</f>
        <v>0</v>
      </c>
      <c r="O106" s="11">
        <f>'12B (NS)Sem 2'!N37</f>
        <v>0</v>
      </c>
      <c r="P106" s="11">
        <f>'12B (NS)Sem 2'!O37</f>
        <v>0</v>
      </c>
      <c r="Q106" s="29">
        <f>'12B (NS)Sem 2'!P37</f>
        <v>0</v>
      </c>
      <c r="S106" s="5"/>
      <c r="T106" s="5"/>
      <c r="U106" s="5"/>
      <c r="V106" s="5"/>
      <c r="W106" s="5"/>
    </row>
    <row r="107" spans="1:23" ht="17.25" customHeight="1" thickBot="1" x14ac:dyDescent="0.3">
      <c r="A107" s="270"/>
      <c r="B107" s="271"/>
      <c r="C107" s="213"/>
      <c r="D107" s="215"/>
      <c r="E107" s="82" t="s">
        <v>16</v>
      </c>
      <c r="F107" s="11">
        <f>AVERAGE(F105:F106)</f>
        <v>0</v>
      </c>
      <c r="G107" s="11">
        <f t="shared" ref="G107:Q107" si="33">AVERAGE(G105:G106)</f>
        <v>0</v>
      </c>
      <c r="H107" s="11">
        <f t="shared" si="33"/>
        <v>0</v>
      </c>
      <c r="I107" s="11">
        <f t="shared" si="33"/>
        <v>0</v>
      </c>
      <c r="J107" s="11">
        <f t="shared" si="33"/>
        <v>0</v>
      </c>
      <c r="K107" s="11">
        <f t="shared" si="33"/>
        <v>0</v>
      </c>
      <c r="L107" s="11">
        <f t="shared" si="33"/>
        <v>0</v>
      </c>
      <c r="M107" s="11">
        <f t="shared" si="33"/>
        <v>0</v>
      </c>
      <c r="N107" s="11">
        <f t="shared" si="33"/>
        <v>0</v>
      </c>
      <c r="O107" s="11">
        <f>'12B Sem avr (NS) '!$H$37</f>
        <v>0</v>
      </c>
      <c r="P107" s="11">
        <f t="shared" si="33"/>
        <v>0</v>
      </c>
      <c r="Q107" s="11">
        <f t="shared" si="33"/>
        <v>0</v>
      </c>
      <c r="S107" s="5"/>
      <c r="T107" s="5"/>
      <c r="U107" s="5"/>
      <c r="V107" s="5"/>
      <c r="W107" s="5"/>
    </row>
    <row r="108" spans="1:23" ht="17.25" customHeight="1" thickBot="1" x14ac:dyDescent="0.3">
      <c r="A108" s="267">
        <v>35</v>
      </c>
      <c r="B108" s="271"/>
      <c r="C108" s="213"/>
      <c r="D108" s="215"/>
      <c r="E108" s="21" t="s">
        <v>21</v>
      </c>
      <c r="F108" s="11">
        <f>'12B Sem 1'!E38</f>
        <v>0</v>
      </c>
      <c r="G108" s="11">
        <f>'12B Sem 1'!F38</f>
        <v>0</v>
      </c>
      <c r="H108" s="11">
        <f>'12B Sem 1'!G38</f>
        <v>0</v>
      </c>
      <c r="I108" s="11">
        <f>'12B Sem 1'!H38</f>
        <v>0</v>
      </c>
      <c r="J108" s="11">
        <f>'12B Sem 1'!I38</f>
        <v>0</v>
      </c>
      <c r="K108" s="11">
        <f>'12B Sem 1'!J38</f>
        <v>0</v>
      </c>
      <c r="L108" s="11">
        <f>'12B Sem 1'!K38</f>
        <v>0</v>
      </c>
      <c r="M108" s="11">
        <f>'12B Sem 1'!L38</f>
        <v>0</v>
      </c>
      <c r="N108" s="11">
        <f>'12B Sem 1'!M38</f>
        <v>0</v>
      </c>
      <c r="O108" s="11">
        <f>'12B Sem 1'!N38</f>
        <v>0</v>
      </c>
      <c r="P108" s="11">
        <f>'12B Sem 1'!O38</f>
        <v>0</v>
      </c>
      <c r="Q108" s="29">
        <f>'12B Sem 1'!P38</f>
        <v>0</v>
      </c>
      <c r="S108" s="5"/>
      <c r="T108" s="5"/>
      <c r="U108" s="5"/>
      <c r="V108" s="5"/>
      <c r="W108" s="5"/>
    </row>
    <row r="109" spans="1:23" ht="17.25" customHeight="1" thickBot="1" x14ac:dyDescent="0.3">
      <c r="A109" s="267"/>
      <c r="B109" s="271"/>
      <c r="C109" s="213"/>
      <c r="D109" s="215"/>
      <c r="E109" s="21" t="s">
        <v>22</v>
      </c>
      <c r="F109" s="11">
        <f>'12B (NS)Sem 2'!E38</f>
        <v>0</v>
      </c>
      <c r="G109" s="11">
        <f>'12B (NS)Sem 2'!F38</f>
        <v>0</v>
      </c>
      <c r="H109" s="11">
        <f>'12B (NS)Sem 2'!G38</f>
        <v>0</v>
      </c>
      <c r="I109" s="11">
        <f>'12B (NS)Sem 2'!H38</f>
        <v>0</v>
      </c>
      <c r="J109" s="11">
        <f>'12B (NS)Sem 2'!I38</f>
        <v>0</v>
      </c>
      <c r="K109" s="11">
        <f>'12B (NS)Sem 2'!J38</f>
        <v>0</v>
      </c>
      <c r="L109" s="11">
        <f>'12B (NS)Sem 2'!K38</f>
        <v>0</v>
      </c>
      <c r="M109" s="11">
        <f>'12B (NS)Sem 2'!L38</f>
        <v>0</v>
      </c>
      <c r="N109" s="11">
        <f>'12B (NS)Sem 2'!M38</f>
        <v>0</v>
      </c>
      <c r="O109" s="11">
        <f>'12B (NS)Sem 2'!N38</f>
        <v>0</v>
      </c>
      <c r="P109" s="11">
        <f>'12B (NS)Sem 2'!O38</f>
        <v>0</v>
      </c>
      <c r="Q109" s="29">
        <f>'12B (NS)Sem 2'!P38</f>
        <v>0</v>
      </c>
      <c r="S109" s="5"/>
      <c r="T109" s="5"/>
      <c r="U109" s="5"/>
      <c r="V109" s="5"/>
      <c r="W109" s="5"/>
    </row>
    <row r="110" spans="1:23" ht="17.25" customHeight="1" thickBot="1" x14ac:dyDescent="0.3">
      <c r="A110" s="267"/>
      <c r="B110" s="271"/>
      <c r="C110" s="213"/>
      <c r="D110" s="215"/>
      <c r="E110" s="82" t="s">
        <v>16</v>
      </c>
      <c r="F110" s="11">
        <f>AVERAGE(F108:F109)</f>
        <v>0</v>
      </c>
      <c r="G110" s="11">
        <f t="shared" ref="G110:Q110" si="34">AVERAGE(G108:G109)</f>
        <v>0</v>
      </c>
      <c r="H110" s="11">
        <f t="shared" si="34"/>
        <v>0</v>
      </c>
      <c r="I110" s="11">
        <f t="shared" si="34"/>
        <v>0</v>
      </c>
      <c r="J110" s="11">
        <f t="shared" si="34"/>
        <v>0</v>
      </c>
      <c r="K110" s="11">
        <f t="shared" si="34"/>
        <v>0</v>
      </c>
      <c r="L110" s="11">
        <f t="shared" si="34"/>
        <v>0</v>
      </c>
      <c r="M110" s="11">
        <f t="shared" si="34"/>
        <v>0</v>
      </c>
      <c r="N110" s="11">
        <f t="shared" si="34"/>
        <v>0</v>
      </c>
      <c r="O110" s="11">
        <f>'12B Sem avr (NS) '!$H$38</f>
        <v>0</v>
      </c>
      <c r="P110" s="11">
        <f t="shared" si="34"/>
        <v>0</v>
      </c>
      <c r="Q110" s="11">
        <f t="shared" si="34"/>
        <v>0</v>
      </c>
      <c r="S110" s="5"/>
      <c r="T110" s="5"/>
      <c r="U110" s="5"/>
      <c r="V110" s="5"/>
      <c r="W110" s="5"/>
    </row>
    <row r="111" spans="1:23" ht="17.25" customHeight="1" thickBot="1" x14ac:dyDescent="0.3">
      <c r="A111" s="270">
        <v>36</v>
      </c>
      <c r="B111" s="271"/>
      <c r="C111" s="213"/>
      <c r="D111" s="215"/>
      <c r="E111" s="21" t="s">
        <v>21</v>
      </c>
      <c r="F111" s="11">
        <f>'12B Sem 1'!E39</f>
        <v>0</v>
      </c>
      <c r="G111" s="11">
        <f>'12B Sem 1'!F39</f>
        <v>0</v>
      </c>
      <c r="H111" s="11">
        <f>'12B Sem 1'!G39</f>
        <v>0</v>
      </c>
      <c r="I111" s="11">
        <f>'12B Sem 1'!H39</f>
        <v>0</v>
      </c>
      <c r="J111" s="11">
        <f>'12B Sem 1'!I39</f>
        <v>0</v>
      </c>
      <c r="K111" s="11">
        <f>'12B Sem 1'!J39</f>
        <v>0</v>
      </c>
      <c r="L111" s="11">
        <f>'12B Sem 1'!K39</f>
        <v>0</v>
      </c>
      <c r="M111" s="11">
        <f>'12B Sem 1'!L39</f>
        <v>0</v>
      </c>
      <c r="N111" s="11">
        <f>'12B Sem 1'!M39</f>
        <v>0</v>
      </c>
      <c r="O111" s="11">
        <f>'12B Sem 1'!N39</f>
        <v>0</v>
      </c>
      <c r="P111" s="11">
        <f>'12B Sem 1'!O39</f>
        <v>0</v>
      </c>
      <c r="Q111" s="29">
        <f>'12B Sem 1'!P39</f>
        <v>0</v>
      </c>
      <c r="S111" s="5"/>
      <c r="T111" s="5"/>
      <c r="U111" s="5"/>
      <c r="V111" s="5"/>
      <c r="W111" s="5"/>
    </row>
    <row r="112" spans="1:23" ht="17.25" customHeight="1" thickBot="1" x14ac:dyDescent="0.3">
      <c r="A112" s="270"/>
      <c r="B112" s="271"/>
      <c r="C112" s="213"/>
      <c r="D112" s="215"/>
      <c r="E112" s="21" t="s">
        <v>22</v>
      </c>
      <c r="F112" s="11">
        <f>'12B (NS)Sem 2'!E39</f>
        <v>0</v>
      </c>
      <c r="G112" s="11">
        <f>'12B (NS)Sem 2'!F39</f>
        <v>0</v>
      </c>
      <c r="H112" s="11">
        <f>'12B (NS)Sem 2'!G39</f>
        <v>0</v>
      </c>
      <c r="I112" s="11">
        <f>'12B (NS)Sem 2'!H39</f>
        <v>0</v>
      </c>
      <c r="J112" s="11">
        <f>'12B (NS)Sem 2'!I39</f>
        <v>0</v>
      </c>
      <c r="K112" s="11">
        <f>'12B (NS)Sem 2'!J39</f>
        <v>0</v>
      </c>
      <c r="L112" s="11">
        <f>'12B (NS)Sem 2'!K39</f>
        <v>0</v>
      </c>
      <c r="M112" s="11">
        <f>'12B (NS)Sem 2'!L39</f>
        <v>0</v>
      </c>
      <c r="N112" s="11">
        <f>'12B (NS)Sem 2'!M39</f>
        <v>0</v>
      </c>
      <c r="O112" s="11">
        <f>'12B (NS)Sem 2'!N39</f>
        <v>0</v>
      </c>
      <c r="P112" s="11">
        <f>'12B (NS)Sem 2'!O39</f>
        <v>0</v>
      </c>
      <c r="Q112" s="29">
        <f>'12B (NS)Sem 2'!P39</f>
        <v>0</v>
      </c>
      <c r="S112" s="5"/>
      <c r="T112" s="5"/>
      <c r="U112" s="5"/>
      <c r="V112" s="5"/>
      <c r="W112" s="5"/>
    </row>
    <row r="113" spans="1:23" ht="17.25" customHeight="1" thickBot="1" x14ac:dyDescent="0.3">
      <c r="A113" s="270"/>
      <c r="B113" s="271"/>
      <c r="C113" s="213"/>
      <c r="D113" s="215"/>
      <c r="E113" s="82" t="s">
        <v>16</v>
      </c>
      <c r="F113" s="11">
        <f>AVERAGE(F111:F112)</f>
        <v>0</v>
      </c>
      <c r="G113" s="11">
        <f t="shared" ref="G113:Q113" si="35">AVERAGE(G111:G112)</f>
        <v>0</v>
      </c>
      <c r="H113" s="11">
        <f t="shared" si="35"/>
        <v>0</v>
      </c>
      <c r="I113" s="11">
        <f t="shared" si="35"/>
        <v>0</v>
      </c>
      <c r="J113" s="11">
        <f t="shared" si="35"/>
        <v>0</v>
      </c>
      <c r="K113" s="11">
        <f t="shared" si="35"/>
        <v>0</v>
      </c>
      <c r="L113" s="11">
        <f t="shared" si="35"/>
        <v>0</v>
      </c>
      <c r="M113" s="11">
        <f t="shared" si="35"/>
        <v>0</v>
      </c>
      <c r="N113" s="11">
        <f t="shared" si="35"/>
        <v>0</v>
      </c>
      <c r="O113" s="11">
        <f>'12B Sem avr (NS) '!$H$39</f>
        <v>0</v>
      </c>
      <c r="P113" s="11">
        <f t="shared" si="35"/>
        <v>0</v>
      </c>
      <c r="Q113" s="11">
        <f t="shared" si="35"/>
        <v>0</v>
      </c>
      <c r="S113" s="5"/>
      <c r="T113" s="5"/>
      <c r="U113" s="5"/>
      <c r="V113" s="5"/>
      <c r="W113" s="5"/>
    </row>
    <row r="114" spans="1:23" ht="17.25" customHeight="1" thickBot="1" x14ac:dyDescent="0.3">
      <c r="A114" s="247">
        <v>37</v>
      </c>
      <c r="B114" s="268"/>
      <c r="C114" s="251"/>
      <c r="D114" s="252"/>
      <c r="E114" s="21" t="s">
        <v>21</v>
      </c>
      <c r="F114" s="11">
        <f>'12B Sem 1'!E40</f>
        <v>0</v>
      </c>
      <c r="G114" s="11">
        <f>'12B Sem 1'!F40</f>
        <v>0</v>
      </c>
      <c r="H114" s="11">
        <f>'12B Sem 1'!G40</f>
        <v>0</v>
      </c>
      <c r="I114" s="11">
        <f>'12B Sem 1'!H40</f>
        <v>0</v>
      </c>
      <c r="J114" s="11">
        <f>'12B Sem 1'!I40</f>
        <v>0</v>
      </c>
      <c r="K114" s="11">
        <f>'12B Sem 1'!J40</f>
        <v>0</v>
      </c>
      <c r="L114" s="11">
        <f>'12B Sem 1'!K40</f>
        <v>0</v>
      </c>
      <c r="M114" s="11">
        <f>'12B Sem 1'!L40</f>
        <v>0</v>
      </c>
      <c r="N114" s="11">
        <f>'12B Sem 1'!M40</f>
        <v>0</v>
      </c>
      <c r="O114" s="11">
        <f>'12B Sem 1'!N40</f>
        <v>0</v>
      </c>
      <c r="P114" s="11">
        <f>'12B Sem 1'!O40</f>
        <v>0</v>
      </c>
      <c r="Q114" s="29">
        <f>'12B Sem 1'!P40</f>
        <v>0</v>
      </c>
      <c r="S114" s="5"/>
      <c r="T114" s="5"/>
      <c r="U114" s="5"/>
      <c r="V114" s="5"/>
      <c r="W114" s="5"/>
    </row>
    <row r="115" spans="1:23" ht="17.25" customHeight="1" thickBot="1" x14ac:dyDescent="0.3">
      <c r="A115" s="247"/>
      <c r="B115" s="268"/>
      <c r="C115" s="251"/>
      <c r="D115" s="252"/>
      <c r="E115" s="21" t="s">
        <v>22</v>
      </c>
      <c r="F115" s="11">
        <f>'12B (NS)Sem 2'!E40</f>
        <v>0</v>
      </c>
      <c r="G115" s="11">
        <f>'12B (NS)Sem 2'!F40</f>
        <v>0</v>
      </c>
      <c r="H115" s="11">
        <f>'12B (NS)Sem 2'!G40</f>
        <v>0</v>
      </c>
      <c r="I115" s="11">
        <f>'12B (NS)Sem 2'!H40</f>
        <v>0</v>
      </c>
      <c r="J115" s="11">
        <f>'12B (NS)Sem 2'!I40</f>
        <v>0</v>
      </c>
      <c r="K115" s="11">
        <f>'12B (NS)Sem 2'!J40</f>
        <v>0</v>
      </c>
      <c r="L115" s="11">
        <f>'12B (NS)Sem 2'!K40</f>
        <v>0</v>
      </c>
      <c r="M115" s="11">
        <f>'12B (NS)Sem 2'!L40</f>
        <v>0</v>
      </c>
      <c r="N115" s="11">
        <f>'12B (NS)Sem 2'!M40</f>
        <v>0</v>
      </c>
      <c r="O115" s="11">
        <f>'12B (NS)Sem 2'!N40</f>
        <v>0</v>
      </c>
      <c r="P115" s="11">
        <f>'12B (NS)Sem 2'!O40</f>
        <v>0</v>
      </c>
      <c r="Q115" s="29">
        <f>'12B (NS)Sem 2'!P40</f>
        <v>0</v>
      </c>
      <c r="S115" s="5"/>
      <c r="T115" s="5"/>
      <c r="U115" s="5"/>
      <c r="V115" s="5"/>
      <c r="W115" s="5"/>
    </row>
    <row r="116" spans="1:23" ht="17.25" customHeight="1" thickBot="1" x14ac:dyDescent="0.3">
      <c r="A116" s="247"/>
      <c r="B116" s="268"/>
      <c r="C116" s="251"/>
      <c r="D116" s="252"/>
      <c r="E116" s="82" t="s">
        <v>16</v>
      </c>
      <c r="F116" s="11">
        <f>AVERAGE(F114:F115)</f>
        <v>0</v>
      </c>
      <c r="G116" s="11">
        <f t="shared" ref="G116:Q116" si="36">AVERAGE(G114:G115)</f>
        <v>0</v>
      </c>
      <c r="H116" s="11">
        <f t="shared" si="36"/>
        <v>0</v>
      </c>
      <c r="I116" s="11">
        <f t="shared" si="36"/>
        <v>0</v>
      </c>
      <c r="J116" s="11">
        <f t="shared" si="36"/>
        <v>0</v>
      </c>
      <c r="K116" s="11">
        <f t="shared" si="36"/>
        <v>0</v>
      </c>
      <c r="L116" s="11">
        <f t="shared" si="36"/>
        <v>0</v>
      </c>
      <c r="M116" s="11">
        <f t="shared" si="36"/>
        <v>0</v>
      </c>
      <c r="N116" s="11">
        <f t="shared" si="36"/>
        <v>0</v>
      </c>
      <c r="O116" s="11">
        <f>'12B Sem avr (NS) '!$H$40</f>
        <v>0</v>
      </c>
      <c r="P116" s="11">
        <f t="shared" si="36"/>
        <v>0</v>
      </c>
      <c r="Q116" s="11">
        <f t="shared" si="36"/>
        <v>0</v>
      </c>
      <c r="S116" s="5"/>
      <c r="T116" s="5"/>
      <c r="U116" s="5"/>
      <c r="V116" s="5"/>
      <c r="W116" s="5"/>
    </row>
    <row r="117" spans="1:23" ht="17.25" customHeight="1" thickBot="1" x14ac:dyDescent="0.3">
      <c r="A117" s="249">
        <v>38</v>
      </c>
      <c r="B117" s="268"/>
      <c r="C117" s="251"/>
      <c r="D117" s="252"/>
      <c r="E117" s="21" t="s">
        <v>21</v>
      </c>
      <c r="F117" s="11">
        <f>'12B Sem 1'!E41</f>
        <v>0</v>
      </c>
      <c r="G117" s="11">
        <f>'12B Sem 1'!F41</f>
        <v>0</v>
      </c>
      <c r="H117" s="11">
        <f>'12B Sem 1'!G41</f>
        <v>0</v>
      </c>
      <c r="I117" s="11">
        <f>'12B Sem 1'!H41</f>
        <v>0</v>
      </c>
      <c r="J117" s="11">
        <f>'12B Sem 1'!I41</f>
        <v>0</v>
      </c>
      <c r="K117" s="11">
        <f>'12B Sem 1'!J41</f>
        <v>0</v>
      </c>
      <c r="L117" s="11">
        <f>'12B Sem 1'!K41</f>
        <v>0</v>
      </c>
      <c r="M117" s="11">
        <f>'12B Sem 1'!L41</f>
        <v>0</v>
      </c>
      <c r="N117" s="11">
        <f>'12B Sem 1'!M41</f>
        <v>0</v>
      </c>
      <c r="O117" s="11">
        <f>'12B Sem 1'!N41</f>
        <v>0</v>
      </c>
      <c r="P117" s="11">
        <f>'12B Sem 1'!O41</f>
        <v>0</v>
      </c>
      <c r="Q117" s="29">
        <f>'12B Sem 1'!P41</f>
        <v>0</v>
      </c>
      <c r="S117" s="5"/>
      <c r="T117" s="5"/>
      <c r="U117" s="5"/>
      <c r="V117" s="5"/>
      <c r="W117" s="5"/>
    </row>
    <row r="118" spans="1:23" ht="17.25" customHeight="1" thickBot="1" x14ac:dyDescent="0.3">
      <c r="A118" s="249"/>
      <c r="B118" s="268"/>
      <c r="C118" s="251"/>
      <c r="D118" s="252"/>
      <c r="E118" s="21" t="s">
        <v>22</v>
      </c>
      <c r="F118" s="11">
        <f>'12B (NS)Sem 2'!E41</f>
        <v>0</v>
      </c>
      <c r="G118" s="11">
        <f>'12B (NS)Sem 2'!F41</f>
        <v>0</v>
      </c>
      <c r="H118" s="11">
        <f>'12B (NS)Sem 2'!G41</f>
        <v>0</v>
      </c>
      <c r="I118" s="11">
        <f>'12B (NS)Sem 2'!H41</f>
        <v>0</v>
      </c>
      <c r="J118" s="11">
        <f>'12B (NS)Sem 2'!I41</f>
        <v>0</v>
      </c>
      <c r="K118" s="11">
        <f>'12B (NS)Sem 2'!J41</f>
        <v>0</v>
      </c>
      <c r="L118" s="11">
        <f>'12B (NS)Sem 2'!K41</f>
        <v>0</v>
      </c>
      <c r="M118" s="11">
        <f>'12B (NS)Sem 2'!L41</f>
        <v>0</v>
      </c>
      <c r="N118" s="11">
        <f>'12B (NS)Sem 2'!M41</f>
        <v>0</v>
      </c>
      <c r="O118" s="11">
        <f>'12B (NS)Sem 2'!N41</f>
        <v>0</v>
      </c>
      <c r="P118" s="11">
        <f>'12B (NS)Sem 2'!O41</f>
        <v>0</v>
      </c>
      <c r="Q118" s="29">
        <f>'12B (NS)Sem 2'!P41</f>
        <v>0</v>
      </c>
      <c r="S118" s="5"/>
      <c r="T118" s="5"/>
      <c r="U118" s="5"/>
      <c r="V118" s="5"/>
      <c r="W118" s="5"/>
    </row>
    <row r="119" spans="1:23" ht="17.25" customHeight="1" thickBot="1" x14ac:dyDescent="0.3">
      <c r="A119" s="249"/>
      <c r="B119" s="268"/>
      <c r="C119" s="251"/>
      <c r="D119" s="252"/>
      <c r="E119" s="82" t="s">
        <v>16</v>
      </c>
      <c r="F119" s="11">
        <f>AVERAGE(F117:F118)</f>
        <v>0</v>
      </c>
      <c r="G119" s="11">
        <f t="shared" ref="G119:Q119" si="37">AVERAGE(G117:G118)</f>
        <v>0</v>
      </c>
      <c r="H119" s="11">
        <f t="shared" si="37"/>
        <v>0</v>
      </c>
      <c r="I119" s="11">
        <f t="shared" si="37"/>
        <v>0</v>
      </c>
      <c r="J119" s="11">
        <f t="shared" si="37"/>
        <v>0</v>
      </c>
      <c r="K119" s="11">
        <f t="shared" si="37"/>
        <v>0</v>
      </c>
      <c r="L119" s="11">
        <f t="shared" si="37"/>
        <v>0</v>
      </c>
      <c r="M119" s="11">
        <f t="shared" si="37"/>
        <v>0</v>
      </c>
      <c r="N119" s="11">
        <f t="shared" si="37"/>
        <v>0</v>
      </c>
      <c r="O119" s="11">
        <f>'12B Sem avr (NS) '!$H$41</f>
        <v>0</v>
      </c>
      <c r="P119" s="11">
        <f t="shared" si="37"/>
        <v>0</v>
      </c>
      <c r="Q119" s="11">
        <f t="shared" si="37"/>
        <v>0</v>
      </c>
      <c r="S119" s="5"/>
      <c r="T119" s="5"/>
      <c r="U119" s="5"/>
      <c r="V119" s="5"/>
      <c r="W119" s="5"/>
    </row>
    <row r="120" spans="1:23" ht="17.25" customHeight="1" thickBot="1" x14ac:dyDescent="0.3">
      <c r="A120" s="247">
        <v>39</v>
      </c>
      <c r="B120" s="268"/>
      <c r="C120" s="251"/>
      <c r="D120" s="252"/>
      <c r="E120" s="21" t="s">
        <v>21</v>
      </c>
      <c r="F120" s="11">
        <f>'12B Sem 1'!E42</f>
        <v>0</v>
      </c>
      <c r="G120" s="11">
        <f>'12B Sem 1'!F42</f>
        <v>0</v>
      </c>
      <c r="H120" s="11">
        <f>'12B Sem 1'!G42</f>
        <v>0</v>
      </c>
      <c r="I120" s="11">
        <f>'12B Sem 1'!H42</f>
        <v>0</v>
      </c>
      <c r="J120" s="11">
        <f>'12B Sem 1'!I42</f>
        <v>0</v>
      </c>
      <c r="K120" s="11">
        <f>'12B Sem 1'!J42</f>
        <v>0</v>
      </c>
      <c r="L120" s="11">
        <f>'12B Sem 1'!K42</f>
        <v>0</v>
      </c>
      <c r="M120" s="11">
        <f>'12B Sem 1'!L42</f>
        <v>0</v>
      </c>
      <c r="N120" s="11">
        <f>'12B Sem 1'!M42</f>
        <v>0</v>
      </c>
      <c r="O120" s="11">
        <f>'12B Sem 1'!N42</f>
        <v>0</v>
      </c>
      <c r="P120" s="11">
        <f>'12B Sem 1'!O42</f>
        <v>0</v>
      </c>
      <c r="Q120" s="29">
        <f>'12B Sem 1'!P42</f>
        <v>0</v>
      </c>
      <c r="S120" s="5"/>
      <c r="T120" s="5"/>
      <c r="U120" s="5"/>
      <c r="V120" s="5"/>
      <c r="W120" s="5"/>
    </row>
    <row r="121" spans="1:23" ht="17.25" customHeight="1" thickBot="1" x14ac:dyDescent="0.3">
      <c r="A121" s="247"/>
      <c r="B121" s="268"/>
      <c r="C121" s="251"/>
      <c r="D121" s="252"/>
      <c r="E121" s="21" t="s">
        <v>22</v>
      </c>
      <c r="F121" s="11">
        <f>'12B (NS)Sem 2'!E42</f>
        <v>0</v>
      </c>
      <c r="G121" s="11">
        <f>'12B (NS)Sem 2'!F42</f>
        <v>0</v>
      </c>
      <c r="H121" s="11">
        <f>'12B (NS)Sem 2'!G42</f>
        <v>0</v>
      </c>
      <c r="I121" s="11">
        <f>'12B (NS)Sem 2'!H42</f>
        <v>0</v>
      </c>
      <c r="J121" s="11">
        <f>'12B (NS)Sem 2'!I42</f>
        <v>0</v>
      </c>
      <c r="K121" s="11">
        <f>'12B (NS)Sem 2'!J42</f>
        <v>0</v>
      </c>
      <c r="L121" s="11">
        <f>'12B (NS)Sem 2'!K42</f>
        <v>0</v>
      </c>
      <c r="M121" s="11">
        <f>'12B (NS)Sem 2'!L42</f>
        <v>0</v>
      </c>
      <c r="N121" s="11">
        <f>'12B (NS)Sem 2'!M42</f>
        <v>0</v>
      </c>
      <c r="O121" s="11">
        <f>'12B (NS)Sem 2'!N42</f>
        <v>0</v>
      </c>
      <c r="P121" s="11">
        <f>'12B (NS)Sem 2'!O42</f>
        <v>0</v>
      </c>
      <c r="Q121" s="29">
        <f>'12B (NS)Sem 2'!P42</f>
        <v>0</v>
      </c>
      <c r="S121" s="5"/>
      <c r="T121" s="5"/>
      <c r="U121" s="5"/>
      <c r="V121" s="5"/>
      <c r="W121" s="5"/>
    </row>
    <row r="122" spans="1:23" ht="17.25" customHeight="1" thickBot="1" x14ac:dyDescent="0.3">
      <c r="A122" s="247"/>
      <c r="B122" s="268"/>
      <c r="C122" s="251"/>
      <c r="D122" s="252"/>
      <c r="E122" s="82" t="s">
        <v>16</v>
      </c>
      <c r="F122" s="11">
        <f>AVERAGE(F120:F121)</f>
        <v>0</v>
      </c>
      <c r="G122" s="11">
        <f t="shared" ref="G122:Q122" si="38">AVERAGE(G120:G121)</f>
        <v>0</v>
      </c>
      <c r="H122" s="11">
        <f t="shared" si="38"/>
        <v>0</v>
      </c>
      <c r="I122" s="11">
        <f t="shared" si="38"/>
        <v>0</v>
      </c>
      <c r="J122" s="11">
        <f t="shared" si="38"/>
        <v>0</v>
      </c>
      <c r="K122" s="11">
        <f t="shared" si="38"/>
        <v>0</v>
      </c>
      <c r="L122" s="11">
        <f t="shared" si="38"/>
        <v>0</v>
      </c>
      <c r="M122" s="11">
        <f t="shared" si="38"/>
        <v>0</v>
      </c>
      <c r="N122" s="11">
        <f t="shared" si="38"/>
        <v>0</v>
      </c>
      <c r="O122" s="11">
        <f>'12B Sem avr (NS) '!$H$42</f>
        <v>0</v>
      </c>
      <c r="P122" s="11">
        <f t="shared" si="38"/>
        <v>0</v>
      </c>
      <c r="Q122" s="11">
        <f t="shared" si="38"/>
        <v>0</v>
      </c>
      <c r="S122" s="5"/>
      <c r="T122" s="5"/>
      <c r="U122" s="5"/>
      <c r="V122" s="5"/>
      <c r="W122" s="5"/>
    </row>
    <row r="123" spans="1:23" ht="17.25" customHeight="1" thickBot="1" x14ac:dyDescent="0.3">
      <c r="A123" s="249">
        <v>40</v>
      </c>
      <c r="B123" s="268"/>
      <c r="C123" s="251"/>
      <c r="D123" s="252"/>
      <c r="E123" s="21" t="s">
        <v>21</v>
      </c>
      <c r="F123" s="11">
        <f>'12B Sem 1'!E43</f>
        <v>0</v>
      </c>
      <c r="G123" s="11">
        <f>'12B Sem 1'!F43</f>
        <v>0</v>
      </c>
      <c r="H123" s="11">
        <f>'12B Sem 1'!G43</f>
        <v>0</v>
      </c>
      <c r="I123" s="11">
        <f>'12B Sem 1'!H43</f>
        <v>0</v>
      </c>
      <c r="J123" s="11">
        <f>'12B Sem 1'!I43</f>
        <v>0</v>
      </c>
      <c r="K123" s="11">
        <f>'12B Sem 1'!J43</f>
        <v>0</v>
      </c>
      <c r="L123" s="11">
        <f>'12B Sem 1'!K43</f>
        <v>0</v>
      </c>
      <c r="M123" s="11">
        <f>'12B Sem 1'!L43</f>
        <v>0</v>
      </c>
      <c r="N123" s="11">
        <f>'12B Sem 1'!M43</f>
        <v>0</v>
      </c>
      <c r="O123" s="11">
        <f>'12B Sem 1'!N43</f>
        <v>0</v>
      </c>
      <c r="P123" s="11">
        <f>'12B Sem 1'!O43</f>
        <v>0</v>
      </c>
      <c r="Q123" s="29">
        <f>'12B Sem 1'!P43</f>
        <v>0</v>
      </c>
      <c r="S123" s="5"/>
      <c r="T123" s="5"/>
      <c r="U123" s="5"/>
      <c r="V123" s="5"/>
      <c r="W123" s="5"/>
    </row>
    <row r="124" spans="1:23" ht="17.25" customHeight="1" thickBot="1" x14ac:dyDescent="0.3">
      <c r="A124" s="249"/>
      <c r="B124" s="268"/>
      <c r="C124" s="251"/>
      <c r="D124" s="252"/>
      <c r="E124" s="21" t="s">
        <v>22</v>
      </c>
      <c r="F124" s="11">
        <f>'12B (NS)Sem 2'!E43</f>
        <v>0</v>
      </c>
      <c r="G124" s="11">
        <f>'12B (NS)Sem 2'!F43</f>
        <v>0</v>
      </c>
      <c r="H124" s="11">
        <f>'12B (NS)Sem 2'!G43</f>
        <v>0</v>
      </c>
      <c r="I124" s="11">
        <f>'12B (NS)Sem 2'!H43</f>
        <v>0</v>
      </c>
      <c r="J124" s="11">
        <f>'12B (NS)Sem 2'!I43</f>
        <v>0</v>
      </c>
      <c r="K124" s="11">
        <f>'12B (NS)Sem 2'!J43</f>
        <v>0</v>
      </c>
      <c r="L124" s="11">
        <f>'12B (NS)Sem 2'!K43</f>
        <v>0</v>
      </c>
      <c r="M124" s="11">
        <f>'12B (NS)Sem 2'!L43</f>
        <v>0</v>
      </c>
      <c r="N124" s="11">
        <f>'12B (NS)Sem 2'!M43</f>
        <v>0</v>
      </c>
      <c r="O124" s="11">
        <f>'12B (NS)Sem 2'!N43</f>
        <v>0</v>
      </c>
      <c r="P124" s="11">
        <f>'12B (NS)Sem 2'!O43</f>
        <v>0</v>
      </c>
      <c r="Q124" s="29">
        <f>'12B (NS)Sem 2'!P43</f>
        <v>0</v>
      </c>
      <c r="S124" s="5"/>
      <c r="T124" s="5"/>
      <c r="U124" s="5"/>
      <c r="V124" s="5"/>
      <c r="W124" s="5"/>
    </row>
    <row r="125" spans="1:23" ht="17.25" customHeight="1" thickBot="1" x14ac:dyDescent="0.3">
      <c r="A125" s="249"/>
      <c r="B125" s="268"/>
      <c r="C125" s="251"/>
      <c r="D125" s="252"/>
      <c r="E125" s="82" t="s">
        <v>16</v>
      </c>
      <c r="F125" s="11">
        <f>AVERAGE(F123:F124)</f>
        <v>0</v>
      </c>
      <c r="G125" s="11">
        <f t="shared" ref="G125:Q125" si="39">AVERAGE(G123:G124)</f>
        <v>0</v>
      </c>
      <c r="H125" s="11">
        <f t="shared" si="39"/>
        <v>0</v>
      </c>
      <c r="I125" s="11">
        <f t="shared" si="39"/>
        <v>0</v>
      </c>
      <c r="J125" s="11">
        <f t="shared" si="39"/>
        <v>0</v>
      </c>
      <c r="K125" s="11">
        <f t="shared" si="39"/>
        <v>0</v>
      </c>
      <c r="L125" s="11">
        <f t="shared" si="39"/>
        <v>0</v>
      </c>
      <c r="M125" s="11">
        <f t="shared" si="39"/>
        <v>0</v>
      </c>
      <c r="N125" s="11">
        <f t="shared" si="39"/>
        <v>0</v>
      </c>
      <c r="O125" s="11">
        <f>'12B Sem avr (NS) '!$H$43</f>
        <v>0</v>
      </c>
      <c r="P125" s="11">
        <f t="shared" si="39"/>
        <v>0</v>
      </c>
      <c r="Q125" s="11">
        <f t="shared" si="39"/>
        <v>0</v>
      </c>
      <c r="S125" s="5"/>
      <c r="T125" s="5"/>
      <c r="U125" s="5"/>
      <c r="V125" s="5"/>
      <c r="W125" s="5"/>
    </row>
    <row r="126" spans="1:23" ht="17.25" customHeight="1" thickBot="1" x14ac:dyDescent="0.3">
      <c r="A126" s="247">
        <v>41</v>
      </c>
      <c r="B126" s="268"/>
      <c r="C126" s="251"/>
      <c r="D126" s="252"/>
      <c r="E126" s="21" t="s">
        <v>21</v>
      </c>
      <c r="F126" s="11">
        <f>'12B Sem 1'!E44</f>
        <v>0</v>
      </c>
      <c r="G126" s="11">
        <f>'12B Sem 1'!F44</f>
        <v>0</v>
      </c>
      <c r="H126" s="11">
        <f>'12B Sem 1'!G44</f>
        <v>0</v>
      </c>
      <c r="I126" s="11">
        <f>'12B Sem 1'!H44</f>
        <v>0</v>
      </c>
      <c r="J126" s="11">
        <f>'12B Sem 1'!I44</f>
        <v>0</v>
      </c>
      <c r="K126" s="11">
        <f>'12B Sem 1'!J44</f>
        <v>0</v>
      </c>
      <c r="L126" s="11">
        <f>'12B Sem 1'!K44</f>
        <v>0</v>
      </c>
      <c r="M126" s="11">
        <f>'12B Sem 1'!L44</f>
        <v>0</v>
      </c>
      <c r="N126" s="11">
        <f>'12B Sem 1'!M44</f>
        <v>0</v>
      </c>
      <c r="O126" s="11">
        <f>'12B Sem 1'!N44</f>
        <v>0</v>
      </c>
      <c r="P126" s="11">
        <f>'12B Sem 1'!O44</f>
        <v>0</v>
      </c>
      <c r="Q126" s="29">
        <f>'12B Sem 1'!P44</f>
        <v>0</v>
      </c>
      <c r="S126" s="5"/>
      <c r="T126" s="5"/>
      <c r="U126" s="5"/>
      <c r="V126" s="5"/>
      <c r="W126" s="5"/>
    </row>
    <row r="127" spans="1:23" ht="17.25" customHeight="1" thickBot="1" x14ac:dyDescent="0.3">
      <c r="A127" s="247"/>
      <c r="B127" s="268"/>
      <c r="C127" s="251"/>
      <c r="D127" s="252"/>
      <c r="E127" s="21" t="s">
        <v>22</v>
      </c>
      <c r="F127" s="11">
        <f>'12B (NS)Sem 2'!E44</f>
        <v>0</v>
      </c>
      <c r="G127" s="11">
        <f>'12B (NS)Sem 2'!F44</f>
        <v>0</v>
      </c>
      <c r="H127" s="11">
        <f>'12B (NS)Sem 2'!G44</f>
        <v>0</v>
      </c>
      <c r="I127" s="11">
        <f>'12B (NS)Sem 2'!H44</f>
        <v>0</v>
      </c>
      <c r="J127" s="11">
        <f>'12B (NS)Sem 2'!I44</f>
        <v>0</v>
      </c>
      <c r="K127" s="11">
        <f>'12B (NS)Sem 2'!J44</f>
        <v>0</v>
      </c>
      <c r="L127" s="11">
        <f>'12B (NS)Sem 2'!K44</f>
        <v>0</v>
      </c>
      <c r="M127" s="11">
        <f>'12B (NS)Sem 2'!L44</f>
        <v>0</v>
      </c>
      <c r="N127" s="11">
        <f>'12B (NS)Sem 2'!M44</f>
        <v>0</v>
      </c>
      <c r="O127" s="11">
        <f>'12B (NS)Sem 2'!N44</f>
        <v>0</v>
      </c>
      <c r="P127" s="11">
        <f>'12B (NS)Sem 2'!O44</f>
        <v>0</v>
      </c>
      <c r="Q127" s="29">
        <f>'12B (NS)Sem 2'!P44</f>
        <v>0</v>
      </c>
      <c r="S127" s="5"/>
      <c r="T127" s="5"/>
      <c r="U127" s="5"/>
      <c r="V127" s="5"/>
      <c r="W127" s="5"/>
    </row>
    <row r="128" spans="1:23" ht="17.25" customHeight="1" thickBot="1" x14ac:dyDescent="0.3">
      <c r="A128" s="247"/>
      <c r="B128" s="268"/>
      <c r="C128" s="251"/>
      <c r="D128" s="252"/>
      <c r="E128" s="82" t="s">
        <v>16</v>
      </c>
      <c r="F128" s="11">
        <f>AVERAGE(F126:F127)</f>
        <v>0</v>
      </c>
      <c r="G128" s="11">
        <f t="shared" ref="G128:Q128" si="40">AVERAGE(G126:G127)</f>
        <v>0</v>
      </c>
      <c r="H128" s="11">
        <f t="shared" si="40"/>
        <v>0</v>
      </c>
      <c r="I128" s="11">
        <f t="shared" si="40"/>
        <v>0</v>
      </c>
      <c r="J128" s="11">
        <f t="shared" si="40"/>
        <v>0</v>
      </c>
      <c r="K128" s="11">
        <f t="shared" si="40"/>
        <v>0</v>
      </c>
      <c r="L128" s="11">
        <f t="shared" si="40"/>
        <v>0</v>
      </c>
      <c r="M128" s="11">
        <f t="shared" si="40"/>
        <v>0</v>
      </c>
      <c r="N128" s="11">
        <f t="shared" si="40"/>
        <v>0</v>
      </c>
      <c r="O128" s="11">
        <f>'12B Sem avr (NS) '!$H$44</f>
        <v>0</v>
      </c>
      <c r="P128" s="11">
        <f t="shared" si="40"/>
        <v>0</v>
      </c>
      <c r="Q128" s="11">
        <f t="shared" si="40"/>
        <v>0</v>
      </c>
      <c r="S128" s="5"/>
      <c r="T128" s="5"/>
      <c r="U128" s="5"/>
      <c r="V128" s="5"/>
      <c r="W128" s="5"/>
    </row>
    <row r="129" spans="1:23" ht="17.25" customHeight="1" thickBot="1" x14ac:dyDescent="0.3">
      <c r="A129" s="249">
        <v>42</v>
      </c>
      <c r="B129" s="268"/>
      <c r="C129" s="251"/>
      <c r="D129" s="252"/>
      <c r="E129" s="21" t="s">
        <v>21</v>
      </c>
      <c r="F129" s="11">
        <f>'12B Sem 1'!E45</f>
        <v>0</v>
      </c>
      <c r="G129" s="11">
        <f>'12B Sem 1'!F45</f>
        <v>0</v>
      </c>
      <c r="H129" s="11">
        <f>'12B Sem 1'!G45</f>
        <v>0</v>
      </c>
      <c r="I129" s="11">
        <f>'12B Sem 1'!H45</f>
        <v>0</v>
      </c>
      <c r="J129" s="11">
        <f>'12B Sem 1'!I45</f>
        <v>0</v>
      </c>
      <c r="K129" s="11">
        <f>'12B Sem 1'!J45</f>
        <v>0</v>
      </c>
      <c r="L129" s="11">
        <f>'12B Sem 1'!K45</f>
        <v>0</v>
      </c>
      <c r="M129" s="11">
        <f>'12B Sem 1'!L45</f>
        <v>0</v>
      </c>
      <c r="N129" s="11">
        <f>'12B Sem 1'!M45</f>
        <v>0</v>
      </c>
      <c r="O129" s="11">
        <f>'12B Sem 1'!N45</f>
        <v>0</v>
      </c>
      <c r="P129" s="11">
        <f>'12B Sem 1'!O45</f>
        <v>0</v>
      </c>
      <c r="Q129" s="29">
        <f>'12B Sem 1'!P45</f>
        <v>0</v>
      </c>
      <c r="S129" s="5"/>
      <c r="T129" s="5"/>
      <c r="U129" s="5"/>
      <c r="V129" s="5"/>
      <c r="W129" s="5"/>
    </row>
    <row r="130" spans="1:23" ht="17.25" customHeight="1" thickBot="1" x14ac:dyDescent="0.3">
      <c r="A130" s="249"/>
      <c r="B130" s="268"/>
      <c r="C130" s="251"/>
      <c r="D130" s="252"/>
      <c r="E130" s="21" t="s">
        <v>22</v>
      </c>
      <c r="F130" s="11">
        <f>'12B (NS)Sem 2'!E45</f>
        <v>0</v>
      </c>
      <c r="G130" s="11">
        <f>'12B (NS)Sem 2'!F45</f>
        <v>0</v>
      </c>
      <c r="H130" s="11">
        <f>'12B (NS)Sem 2'!G45</f>
        <v>0</v>
      </c>
      <c r="I130" s="11">
        <f>'12B (NS)Sem 2'!H45</f>
        <v>0</v>
      </c>
      <c r="J130" s="11">
        <f>'12B (NS)Sem 2'!I45</f>
        <v>0</v>
      </c>
      <c r="K130" s="11">
        <f>'12B (NS)Sem 2'!J45</f>
        <v>0</v>
      </c>
      <c r="L130" s="11">
        <f>'12B (NS)Sem 2'!K45</f>
        <v>0</v>
      </c>
      <c r="M130" s="11">
        <f>'12B (NS)Sem 2'!L45</f>
        <v>0</v>
      </c>
      <c r="N130" s="11">
        <f>'12B (NS)Sem 2'!M45</f>
        <v>0</v>
      </c>
      <c r="O130" s="11">
        <f>'12B (NS)Sem 2'!N45</f>
        <v>0</v>
      </c>
      <c r="P130" s="11">
        <f>'12B (NS)Sem 2'!O45</f>
        <v>0</v>
      </c>
      <c r="Q130" s="29">
        <f>'12B (NS)Sem 2'!P45</f>
        <v>0</v>
      </c>
      <c r="S130" s="5"/>
      <c r="T130" s="5"/>
      <c r="U130" s="5"/>
      <c r="V130" s="5"/>
      <c r="W130" s="5"/>
    </row>
    <row r="131" spans="1:23" ht="17.25" customHeight="1" thickBot="1" x14ac:dyDescent="0.3">
      <c r="A131" s="249"/>
      <c r="B131" s="268"/>
      <c r="C131" s="251"/>
      <c r="D131" s="252"/>
      <c r="E131" s="82" t="s">
        <v>16</v>
      </c>
      <c r="F131" s="11">
        <f>AVERAGE(F129:F130)</f>
        <v>0</v>
      </c>
      <c r="G131" s="11">
        <f t="shared" ref="G131:Q131" si="41">AVERAGE(G129:G130)</f>
        <v>0</v>
      </c>
      <c r="H131" s="11">
        <f t="shared" si="41"/>
        <v>0</v>
      </c>
      <c r="I131" s="11">
        <f t="shared" si="41"/>
        <v>0</v>
      </c>
      <c r="J131" s="11">
        <f t="shared" si="41"/>
        <v>0</v>
      </c>
      <c r="K131" s="11">
        <f t="shared" si="41"/>
        <v>0</v>
      </c>
      <c r="L131" s="11">
        <f t="shared" si="41"/>
        <v>0</v>
      </c>
      <c r="M131" s="11">
        <f t="shared" si="41"/>
        <v>0</v>
      </c>
      <c r="N131" s="11">
        <f t="shared" si="41"/>
        <v>0</v>
      </c>
      <c r="O131" s="11">
        <f>'12B Sem avr (NS) '!$H$45</f>
        <v>0</v>
      </c>
      <c r="P131" s="11">
        <f t="shared" si="41"/>
        <v>0</v>
      </c>
      <c r="Q131" s="11">
        <f t="shared" si="41"/>
        <v>0</v>
      </c>
      <c r="S131" s="5"/>
      <c r="T131" s="5"/>
      <c r="U131" s="5"/>
      <c r="V131" s="5"/>
      <c r="W131" s="5"/>
    </row>
    <row r="132" spans="1:23" ht="17.25" customHeight="1" thickBot="1" x14ac:dyDescent="0.3">
      <c r="A132" s="247">
        <v>43</v>
      </c>
      <c r="B132" s="268"/>
      <c r="C132" s="251"/>
      <c r="D132" s="252"/>
      <c r="E132" s="21" t="s">
        <v>21</v>
      </c>
      <c r="F132" s="11">
        <f>'12B Sem 1'!E46</f>
        <v>0</v>
      </c>
      <c r="G132" s="11">
        <f>'12B Sem 1'!F46</f>
        <v>0</v>
      </c>
      <c r="H132" s="11">
        <f>'12B Sem 1'!G46</f>
        <v>0</v>
      </c>
      <c r="I132" s="11">
        <f>'12B Sem 1'!H46</f>
        <v>0</v>
      </c>
      <c r="J132" s="11">
        <f>'12B Sem 1'!I46</f>
        <v>0</v>
      </c>
      <c r="K132" s="11">
        <f>'12B Sem 1'!J46</f>
        <v>0</v>
      </c>
      <c r="L132" s="11">
        <f>'12B Sem 1'!K46</f>
        <v>0</v>
      </c>
      <c r="M132" s="11">
        <f>'12B Sem 1'!L46</f>
        <v>0</v>
      </c>
      <c r="N132" s="11">
        <f>'12B Sem 1'!M46</f>
        <v>0</v>
      </c>
      <c r="O132" s="11">
        <f>'12B Sem 1'!N46</f>
        <v>0</v>
      </c>
      <c r="P132" s="11">
        <f>'12B Sem 1'!O46</f>
        <v>0</v>
      </c>
      <c r="Q132" s="29">
        <f>'12B Sem 1'!P46</f>
        <v>0</v>
      </c>
      <c r="S132" s="5"/>
      <c r="T132" s="5"/>
      <c r="U132" s="5"/>
      <c r="V132" s="5"/>
      <c r="W132" s="5"/>
    </row>
    <row r="133" spans="1:23" ht="17.25" customHeight="1" thickBot="1" x14ac:dyDescent="0.3">
      <c r="A133" s="247"/>
      <c r="B133" s="268"/>
      <c r="C133" s="251"/>
      <c r="D133" s="252"/>
      <c r="E133" s="21" t="s">
        <v>22</v>
      </c>
      <c r="F133" s="11">
        <f>'12B (NS)Sem 2'!E46</f>
        <v>0</v>
      </c>
      <c r="G133" s="11">
        <f>'12B (NS)Sem 2'!F46</f>
        <v>0</v>
      </c>
      <c r="H133" s="11">
        <f>'12B (NS)Sem 2'!G46</f>
        <v>0</v>
      </c>
      <c r="I133" s="11">
        <f>'12B (NS)Sem 2'!H46</f>
        <v>0</v>
      </c>
      <c r="J133" s="11">
        <f>'12B (NS)Sem 2'!I46</f>
        <v>0</v>
      </c>
      <c r="K133" s="11">
        <f>'12B (NS)Sem 2'!J46</f>
        <v>0</v>
      </c>
      <c r="L133" s="11">
        <f>'12B (NS)Sem 2'!K46</f>
        <v>0</v>
      </c>
      <c r="M133" s="11">
        <f>'12B (NS)Sem 2'!L46</f>
        <v>0</v>
      </c>
      <c r="N133" s="11">
        <f>'12B (NS)Sem 2'!M46</f>
        <v>0</v>
      </c>
      <c r="O133" s="11">
        <f>'12B (NS)Sem 2'!N46</f>
        <v>0</v>
      </c>
      <c r="P133" s="11">
        <f>'12B (NS)Sem 2'!O46</f>
        <v>0</v>
      </c>
      <c r="Q133" s="29">
        <f>'12B (NS)Sem 2'!P46</f>
        <v>0</v>
      </c>
      <c r="S133" s="5"/>
      <c r="T133" s="5"/>
      <c r="U133" s="5"/>
      <c r="V133" s="5"/>
      <c r="W133" s="5"/>
    </row>
    <row r="134" spans="1:23" ht="17.25" customHeight="1" thickBot="1" x14ac:dyDescent="0.3">
      <c r="A134" s="247"/>
      <c r="B134" s="268"/>
      <c r="C134" s="251"/>
      <c r="D134" s="252"/>
      <c r="E134" s="82" t="s">
        <v>16</v>
      </c>
      <c r="F134" s="11">
        <f>AVERAGE(F132:F133)</f>
        <v>0</v>
      </c>
      <c r="G134" s="11">
        <f t="shared" ref="G134:Q134" si="42">AVERAGE(G132:G133)</f>
        <v>0</v>
      </c>
      <c r="H134" s="11">
        <f t="shared" si="42"/>
        <v>0</v>
      </c>
      <c r="I134" s="11">
        <f t="shared" si="42"/>
        <v>0</v>
      </c>
      <c r="J134" s="11">
        <f t="shared" si="42"/>
        <v>0</v>
      </c>
      <c r="K134" s="11">
        <f t="shared" si="42"/>
        <v>0</v>
      </c>
      <c r="L134" s="11">
        <f t="shared" si="42"/>
        <v>0</v>
      </c>
      <c r="M134" s="11">
        <f t="shared" si="42"/>
        <v>0</v>
      </c>
      <c r="N134" s="11">
        <f t="shared" si="42"/>
        <v>0</v>
      </c>
      <c r="O134" s="11">
        <f>'12B Sem avr (NS) '!$H$46</f>
        <v>0</v>
      </c>
      <c r="P134" s="11">
        <f t="shared" si="42"/>
        <v>0</v>
      </c>
      <c r="Q134" s="11">
        <f t="shared" si="42"/>
        <v>0</v>
      </c>
      <c r="S134" s="5"/>
      <c r="T134" s="5"/>
      <c r="U134" s="5"/>
      <c r="V134" s="5"/>
      <c r="W134" s="5"/>
    </row>
    <row r="135" spans="1:23" ht="17.25" customHeight="1" thickBot="1" x14ac:dyDescent="0.3">
      <c r="A135" s="249">
        <v>44</v>
      </c>
      <c r="B135" s="268"/>
      <c r="C135" s="251"/>
      <c r="D135" s="252"/>
      <c r="E135" s="21" t="s">
        <v>21</v>
      </c>
      <c r="F135" s="11">
        <f>'12B Sem 1'!E47</f>
        <v>0</v>
      </c>
      <c r="G135" s="11">
        <f>'12B Sem 1'!F47</f>
        <v>0</v>
      </c>
      <c r="H135" s="11">
        <f>'12B Sem 1'!G47</f>
        <v>0</v>
      </c>
      <c r="I135" s="11">
        <f>'12B Sem 1'!H47</f>
        <v>0</v>
      </c>
      <c r="J135" s="11">
        <f>'12B Sem 1'!I47</f>
        <v>0</v>
      </c>
      <c r="K135" s="11">
        <f>'12B Sem 1'!J47</f>
        <v>0</v>
      </c>
      <c r="L135" s="11">
        <f>'12B Sem 1'!K47</f>
        <v>0</v>
      </c>
      <c r="M135" s="11">
        <f>'12B Sem 1'!L47</f>
        <v>0</v>
      </c>
      <c r="N135" s="11">
        <f>'12B Sem 1'!M47</f>
        <v>0</v>
      </c>
      <c r="O135" s="11">
        <f>'12B Sem 1'!N47</f>
        <v>0</v>
      </c>
      <c r="P135" s="11">
        <f>'12B Sem 1'!O47</f>
        <v>0</v>
      </c>
      <c r="Q135" s="29">
        <f>'12B Sem 1'!P47</f>
        <v>0</v>
      </c>
      <c r="S135" s="5"/>
      <c r="T135" s="5"/>
      <c r="U135" s="5"/>
      <c r="V135" s="5"/>
      <c r="W135" s="5"/>
    </row>
    <row r="136" spans="1:23" ht="17.25" customHeight="1" thickBot="1" x14ac:dyDescent="0.3">
      <c r="A136" s="249"/>
      <c r="B136" s="268"/>
      <c r="C136" s="251"/>
      <c r="D136" s="252"/>
      <c r="E136" s="21" t="s">
        <v>22</v>
      </c>
      <c r="F136" s="11">
        <f>'12B (NS)Sem 2'!E47</f>
        <v>0</v>
      </c>
      <c r="G136" s="11">
        <f>'12B (NS)Sem 2'!F47</f>
        <v>0</v>
      </c>
      <c r="H136" s="11">
        <f>'12B (NS)Sem 2'!G47</f>
        <v>0</v>
      </c>
      <c r="I136" s="11">
        <f>'12B (NS)Sem 2'!H47</f>
        <v>0</v>
      </c>
      <c r="J136" s="11">
        <f>'12B (NS)Sem 2'!I47</f>
        <v>0</v>
      </c>
      <c r="K136" s="11">
        <f>'12B (NS)Sem 2'!J47</f>
        <v>0</v>
      </c>
      <c r="L136" s="11">
        <f>'12B (NS)Sem 2'!K47</f>
        <v>0</v>
      </c>
      <c r="M136" s="11">
        <f>'12B (NS)Sem 2'!L47</f>
        <v>0</v>
      </c>
      <c r="N136" s="11">
        <f>'12B (NS)Sem 2'!M47</f>
        <v>0</v>
      </c>
      <c r="O136" s="11">
        <f>'12B (NS)Sem 2'!N47</f>
        <v>0</v>
      </c>
      <c r="P136" s="11">
        <f>'12B (NS)Sem 2'!O47</f>
        <v>0</v>
      </c>
      <c r="Q136" s="29">
        <f>'12B (NS)Sem 2'!P47</f>
        <v>0</v>
      </c>
      <c r="S136" s="5"/>
      <c r="T136" s="5"/>
      <c r="U136" s="5"/>
      <c r="V136" s="5"/>
      <c r="W136" s="5"/>
    </row>
    <row r="137" spans="1:23" ht="17.25" customHeight="1" thickBot="1" x14ac:dyDescent="0.3">
      <c r="A137" s="249"/>
      <c r="B137" s="268"/>
      <c r="C137" s="251"/>
      <c r="D137" s="252"/>
      <c r="E137" s="82" t="s">
        <v>16</v>
      </c>
      <c r="F137" s="11">
        <f>AVERAGE(F135:F136)</f>
        <v>0</v>
      </c>
      <c r="G137" s="11">
        <f t="shared" ref="G137:Q137" si="43">AVERAGE(G135:G136)</f>
        <v>0</v>
      </c>
      <c r="H137" s="11">
        <f t="shared" si="43"/>
        <v>0</v>
      </c>
      <c r="I137" s="11">
        <f t="shared" si="43"/>
        <v>0</v>
      </c>
      <c r="J137" s="11">
        <f t="shared" si="43"/>
        <v>0</v>
      </c>
      <c r="K137" s="11">
        <f t="shared" si="43"/>
        <v>0</v>
      </c>
      <c r="L137" s="11">
        <f t="shared" si="43"/>
        <v>0</v>
      </c>
      <c r="M137" s="11">
        <f t="shared" si="43"/>
        <v>0</v>
      </c>
      <c r="N137" s="11">
        <f t="shared" si="43"/>
        <v>0</v>
      </c>
      <c r="O137" s="11">
        <f>'12B Sem avr (NS) '!$H$47</f>
        <v>0</v>
      </c>
      <c r="P137" s="11">
        <f t="shared" si="43"/>
        <v>0</v>
      </c>
      <c r="Q137" s="11">
        <f t="shared" si="43"/>
        <v>0</v>
      </c>
      <c r="S137" s="5"/>
      <c r="T137" s="5"/>
      <c r="U137" s="5"/>
      <c r="V137" s="5"/>
      <c r="W137" s="5"/>
    </row>
    <row r="138" spans="1:23" ht="17.25" customHeight="1" thickBot="1" x14ac:dyDescent="0.3">
      <c r="A138" s="247">
        <v>45</v>
      </c>
      <c r="B138" s="269"/>
      <c r="C138" s="247"/>
      <c r="D138" s="248"/>
      <c r="E138" s="21" t="s">
        <v>21</v>
      </c>
      <c r="F138" s="11">
        <f>'12B Sem 1'!E48</f>
        <v>0</v>
      </c>
      <c r="G138" s="11">
        <f>'12B Sem 1'!F48</f>
        <v>0</v>
      </c>
      <c r="H138" s="11">
        <f>'12B Sem 1'!G48</f>
        <v>0</v>
      </c>
      <c r="I138" s="11">
        <f>'12B Sem 1'!H48</f>
        <v>0</v>
      </c>
      <c r="J138" s="11">
        <f>'12B Sem 1'!I48</f>
        <v>0</v>
      </c>
      <c r="K138" s="11">
        <f>'12B Sem 1'!J48</f>
        <v>0</v>
      </c>
      <c r="L138" s="11">
        <f>'12B Sem 1'!K48</f>
        <v>0</v>
      </c>
      <c r="M138" s="11">
        <f>'12B Sem 1'!L48</f>
        <v>0</v>
      </c>
      <c r="N138" s="11">
        <f>'12B Sem 1'!M48</f>
        <v>0</v>
      </c>
      <c r="O138" s="11">
        <f>'12B Sem 1'!N48</f>
        <v>0</v>
      </c>
      <c r="P138" s="11">
        <f>'12B Sem 1'!O48</f>
        <v>0</v>
      </c>
      <c r="Q138" s="29">
        <f>'12B Sem 1'!P48</f>
        <v>0</v>
      </c>
      <c r="S138" s="5"/>
      <c r="T138" s="5"/>
      <c r="U138" s="5"/>
      <c r="V138" s="5"/>
      <c r="W138" s="5"/>
    </row>
    <row r="139" spans="1:23" ht="18" customHeight="1" thickBot="1" x14ac:dyDescent="0.3">
      <c r="A139" s="247"/>
      <c r="B139" s="269"/>
      <c r="C139" s="247"/>
      <c r="D139" s="248"/>
      <c r="E139" s="21" t="s">
        <v>22</v>
      </c>
      <c r="F139" s="11">
        <f>'12B (NS)Sem 2'!E48</f>
        <v>0</v>
      </c>
      <c r="G139" s="11">
        <f>'12B (NS)Sem 2'!F48</f>
        <v>0</v>
      </c>
      <c r="H139" s="11">
        <f>'12B (NS)Sem 2'!G48</f>
        <v>0</v>
      </c>
      <c r="I139" s="11">
        <f>'12B (NS)Sem 2'!H48</f>
        <v>0</v>
      </c>
      <c r="J139" s="11">
        <f>'12B (NS)Sem 2'!I48</f>
        <v>0</v>
      </c>
      <c r="K139" s="11">
        <f>'12B (NS)Sem 2'!J48</f>
        <v>0</v>
      </c>
      <c r="L139" s="11">
        <f>'12B (NS)Sem 2'!K48</f>
        <v>0</v>
      </c>
      <c r="M139" s="11">
        <f>'12B (NS)Sem 2'!L48</f>
        <v>0</v>
      </c>
      <c r="N139" s="11">
        <f>'12B (NS)Sem 2'!M48</f>
        <v>0</v>
      </c>
      <c r="O139" s="11">
        <f>'12B (NS)Sem 2'!N48</f>
        <v>0</v>
      </c>
      <c r="P139" s="11">
        <f>'12B (NS)Sem 2'!O48</f>
        <v>0</v>
      </c>
      <c r="Q139" s="29">
        <f>'12B (NS)Sem 2'!P48</f>
        <v>0</v>
      </c>
    </row>
    <row r="140" spans="1:23" ht="18" customHeight="1" thickBot="1" x14ac:dyDescent="0.3">
      <c r="A140" s="247"/>
      <c r="B140" s="269"/>
      <c r="C140" s="247"/>
      <c r="D140" s="248"/>
      <c r="E140" s="82" t="s">
        <v>16</v>
      </c>
      <c r="F140" s="11">
        <f>AVERAGE(F138:F139)</f>
        <v>0</v>
      </c>
      <c r="G140" s="11">
        <f t="shared" ref="G140:Q140" si="44">AVERAGE(G138:G139)</f>
        <v>0</v>
      </c>
      <c r="H140" s="11">
        <f t="shared" si="44"/>
        <v>0</v>
      </c>
      <c r="I140" s="11">
        <f t="shared" si="44"/>
        <v>0</v>
      </c>
      <c r="J140" s="11">
        <f t="shared" si="44"/>
        <v>0</v>
      </c>
      <c r="K140" s="11">
        <f t="shared" si="44"/>
        <v>0</v>
      </c>
      <c r="L140" s="11">
        <f t="shared" si="44"/>
        <v>0</v>
      </c>
      <c r="M140" s="11">
        <f t="shared" si="44"/>
        <v>0</v>
      </c>
      <c r="N140" s="11">
        <f t="shared" si="44"/>
        <v>0</v>
      </c>
      <c r="O140" s="11">
        <f>'12B Sem avr (NS) '!$H$48</f>
        <v>0</v>
      </c>
      <c r="P140" s="11">
        <f t="shared" si="44"/>
        <v>0</v>
      </c>
      <c r="Q140" s="11">
        <f t="shared" si="44"/>
        <v>0</v>
      </c>
    </row>
    <row r="141" spans="1:23" ht="18" customHeight="1" thickBot="1" x14ac:dyDescent="0.3">
      <c r="A141" s="249">
        <v>46</v>
      </c>
      <c r="B141" s="269"/>
      <c r="C141" s="247"/>
      <c r="D141" s="248"/>
      <c r="E141" s="21" t="s">
        <v>21</v>
      </c>
      <c r="F141" s="11">
        <f>'12B Sem 1'!E49</f>
        <v>0</v>
      </c>
      <c r="G141" s="11">
        <f>'12B Sem 1'!F49</f>
        <v>0</v>
      </c>
      <c r="H141" s="11">
        <f>'12B Sem 1'!G49</f>
        <v>0</v>
      </c>
      <c r="I141" s="11">
        <f>'12B Sem 1'!H49</f>
        <v>0</v>
      </c>
      <c r="J141" s="11">
        <f>'12B Sem 1'!I49</f>
        <v>0</v>
      </c>
      <c r="K141" s="11">
        <f>'12B Sem 1'!J49</f>
        <v>0</v>
      </c>
      <c r="L141" s="11">
        <f>'12B Sem 1'!K49</f>
        <v>0</v>
      </c>
      <c r="M141" s="11">
        <f>'12B Sem 1'!L49</f>
        <v>0</v>
      </c>
      <c r="N141" s="11">
        <f>'12B Sem 1'!M49</f>
        <v>0</v>
      </c>
      <c r="O141" s="11">
        <f>'12B Sem 1'!N49</f>
        <v>0</v>
      </c>
      <c r="P141" s="11">
        <f>'12B Sem 1'!O49</f>
        <v>0</v>
      </c>
      <c r="Q141" s="29">
        <f>'12B Sem 1'!P49</f>
        <v>0</v>
      </c>
    </row>
    <row r="142" spans="1:23" ht="18" customHeight="1" thickBot="1" x14ac:dyDescent="0.3">
      <c r="A142" s="249"/>
      <c r="B142" s="269"/>
      <c r="C142" s="247"/>
      <c r="D142" s="248"/>
      <c r="E142" s="21" t="s">
        <v>22</v>
      </c>
      <c r="F142" s="11">
        <f>'12B (NS)Sem 2'!E49</f>
        <v>0</v>
      </c>
      <c r="G142" s="11">
        <f>'12B (NS)Sem 2'!F49</f>
        <v>0</v>
      </c>
      <c r="H142" s="11">
        <f>'12B (NS)Sem 2'!G49</f>
        <v>0</v>
      </c>
      <c r="I142" s="11">
        <f>'12B (NS)Sem 2'!H49</f>
        <v>0</v>
      </c>
      <c r="J142" s="11">
        <f>'12B (NS)Sem 2'!I49</f>
        <v>0</v>
      </c>
      <c r="K142" s="11">
        <f>'12B (NS)Sem 2'!J49</f>
        <v>0</v>
      </c>
      <c r="L142" s="11">
        <f>'12B (NS)Sem 2'!K49</f>
        <v>0</v>
      </c>
      <c r="M142" s="11">
        <f>'12B (NS)Sem 2'!L49</f>
        <v>0</v>
      </c>
      <c r="N142" s="11">
        <f>'12B (NS)Sem 2'!M49</f>
        <v>0</v>
      </c>
      <c r="O142" s="11">
        <f>'12B (NS)Sem 2'!N49</f>
        <v>0</v>
      </c>
      <c r="P142" s="11">
        <f>'12B (NS)Sem 2'!O49</f>
        <v>0</v>
      </c>
      <c r="Q142" s="29">
        <f>'12B (NS)Sem 2'!P49</f>
        <v>0</v>
      </c>
    </row>
    <row r="143" spans="1:23" ht="18" customHeight="1" thickBot="1" x14ac:dyDescent="0.3">
      <c r="A143" s="249"/>
      <c r="B143" s="269"/>
      <c r="C143" s="247"/>
      <c r="D143" s="248"/>
      <c r="E143" s="82" t="s">
        <v>16</v>
      </c>
      <c r="F143" s="11">
        <f>AVERAGE(F141:F142)</f>
        <v>0</v>
      </c>
      <c r="G143" s="11">
        <f t="shared" ref="G143:Q143" si="45">AVERAGE(G141:G142)</f>
        <v>0</v>
      </c>
      <c r="H143" s="11">
        <f t="shared" si="45"/>
        <v>0</v>
      </c>
      <c r="I143" s="11">
        <f t="shared" si="45"/>
        <v>0</v>
      </c>
      <c r="J143" s="11">
        <f t="shared" si="45"/>
        <v>0</v>
      </c>
      <c r="K143" s="11">
        <f t="shared" si="45"/>
        <v>0</v>
      </c>
      <c r="L143" s="11">
        <f t="shared" si="45"/>
        <v>0</v>
      </c>
      <c r="M143" s="11">
        <f t="shared" si="45"/>
        <v>0</v>
      </c>
      <c r="N143" s="11">
        <f t="shared" si="45"/>
        <v>0</v>
      </c>
      <c r="O143" s="11">
        <f>'12B Sem avr (NS) '!$H$49</f>
        <v>0</v>
      </c>
      <c r="P143" s="11">
        <f t="shared" si="45"/>
        <v>0</v>
      </c>
      <c r="Q143" s="11">
        <f t="shared" si="45"/>
        <v>0</v>
      </c>
    </row>
    <row r="144" spans="1:23" ht="18" customHeight="1" thickBot="1" x14ac:dyDescent="0.3">
      <c r="A144" s="247">
        <v>47</v>
      </c>
      <c r="B144" s="269"/>
      <c r="C144" s="247"/>
      <c r="D144" s="248"/>
      <c r="E144" s="21" t="s">
        <v>21</v>
      </c>
      <c r="F144" s="11">
        <f>'12B Sem 1'!E50</f>
        <v>0</v>
      </c>
      <c r="G144" s="11">
        <f>'12B Sem 1'!F50</f>
        <v>0</v>
      </c>
      <c r="H144" s="11">
        <f>'12B Sem 1'!G50</f>
        <v>0</v>
      </c>
      <c r="I144" s="11">
        <f>'12B Sem 1'!H50</f>
        <v>0</v>
      </c>
      <c r="J144" s="11">
        <f>'12B Sem 1'!I50</f>
        <v>0</v>
      </c>
      <c r="K144" s="11">
        <f>'12B Sem 1'!J50</f>
        <v>0</v>
      </c>
      <c r="L144" s="11">
        <f>'12B Sem 1'!K50</f>
        <v>0</v>
      </c>
      <c r="M144" s="11">
        <f>'12B Sem 1'!L50</f>
        <v>0</v>
      </c>
      <c r="N144" s="11">
        <f>'12B Sem 1'!M50</f>
        <v>0</v>
      </c>
      <c r="O144" s="11">
        <f>'12B Sem 1'!N50</f>
        <v>0</v>
      </c>
      <c r="P144" s="11">
        <f>'12B Sem 1'!O50</f>
        <v>0</v>
      </c>
      <c r="Q144" s="29">
        <f>'12B Sem 1'!P50</f>
        <v>0</v>
      </c>
    </row>
    <row r="145" spans="1:17" ht="18" customHeight="1" thickBot="1" x14ac:dyDescent="0.3">
      <c r="A145" s="247"/>
      <c r="B145" s="269"/>
      <c r="C145" s="247"/>
      <c r="D145" s="248"/>
      <c r="E145" s="21" t="s">
        <v>22</v>
      </c>
      <c r="F145" s="11">
        <f>'12B (NS)Sem 2'!E50</f>
        <v>0</v>
      </c>
      <c r="G145" s="11">
        <f>'12B (NS)Sem 2'!F50</f>
        <v>0</v>
      </c>
      <c r="H145" s="11">
        <f>'12B (NS)Sem 2'!G50</f>
        <v>0</v>
      </c>
      <c r="I145" s="11">
        <f>'12B (NS)Sem 2'!H50</f>
        <v>0</v>
      </c>
      <c r="J145" s="11">
        <f>'12B (NS)Sem 2'!I50</f>
        <v>0</v>
      </c>
      <c r="K145" s="11">
        <f>'12B (NS)Sem 2'!J50</f>
        <v>0</v>
      </c>
      <c r="L145" s="11">
        <f>'12B (NS)Sem 2'!K50</f>
        <v>0</v>
      </c>
      <c r="M145" s="11">
        <f>'12B (NS)Sem 2'!L50</f>
        <v>0</v>
      </c>
      <c r="N145" s="11">
        <f>'12B (NS)Sem 2'!M50</f>
        <v>0</v>
      </c>
      <c r="O145" s="11">
        <f>'12B (NS)Sem 2'!N50</f>
        <v>0</v>
      </c>
      <c r="P145" s="11">
        <f>'12B (NS)Sem 2'!O50</f>
        <v>0</v>
      </c>
      <c r="Q145" s="29">
        <f>'12B (NS)Sem 2'!P50</f>
        <v>0</v>
      </c>
    </row>
    <row r="146" spans="1:17" ht="18" customHeight="1" thickBot="1" x14ac:dyDescent="0.3">
      <c r="A146" s="247"/>
      <c r="B146" s="269"/>
      <c r="C146" s="247"/>
      <c r="D146" s="248"/>
      <c r="E146" s="82" t="s">
        <v>16</v>
      </c>
      <c r="F146" s="11">
        <f>AVERAGE(F144:F145)</f>
        <v>0</v>
      </c>
      <c r="G146" s="11">
        <f t="shared" ref="G146:Q146" si="46">AVERAGE(G144:G145)</f>
        <v>0</v>
      </c>
      <c r="H146" s="11">
        <f t="shared" si="46"/>
        <v>0</v>
      </c>
      <c r="I146" s="11">
        <f t="shared" si="46"/>
        <v>0</v>
      </c>
      <c r="J146" s="11">
        <f t="shared" si="46"/>
        <v>0</v>
      </c>
      <c r="K146" s="11">
        <f t="shared" si="46"/>
        <v>0</v>
      </c>
      <c r="L146" s="11">
        <f t="shared" si="46"/>
        <v>0</v>
      </c>
      <c r="M146" s="11">
        <f t="shared" si="46"/>
        <v>0</v>
      </c>
      <c r="N146" s="11">
        <f t="shared" si="46"/>
        <v>0</v>
      </c>
      <c r="O146" s="11">
        <f>'12B Sem avr (NS) '!$H$50</f>
        <v>0</v>
      </c>
      <c r="P146" s="11">
        <f t="shared" si="46"/>
        <v>0</v>
      </c>
      <c r="Q146" s="11">
        <f t="shared" si="46"/>
        <v>0</v>
      </c>
    </row>
    <row r="147" spans="1:17" ht="18" customHeight="1" thickBot="1" x14ac:dyDescent="0.3">
      <c r="A147" s="249">
        <v>48</v>
      </c>
      <c r="B147" s="269"/>
      <c r="C147" s="247"/>
      <c r="D147" s="248"/>
      <c r="E147" s="21" t="s">
        <v>21</v>
      </c>
      <c r="F147" s="11">
        <f>'12B Sem 1'!E51</f>
        <v>0</v>
      </c>
      <c r="G147" s="11">
        <f>'12B Sem 1'!F51</f>
        <v>0</v>
      </c>
      <c r="H147" s="11">
        <f>'12B Sem 1'!G51</f>
        <v>0</v>
      </c>
      <c r="I147" s="11">
        <f>'12B Sem 1'!H51</f>
        <v>0</v>
      </c>
      <c r="J147" s="11">
        <f>'12B Sem 1'!I51</f>
        <v>0</v>
      </c>
      <c r="K147" s="11">
        <f>'12B Sem 1'!J51</f>
        <v>0</v>
      </c>
      <c r="L147" s="11">
        <f>'12B Sem 1'!K51</f>
        <v>0</v>
      </c>
      <c r="M147" s="11">
        <f>'12B Sem 1'!L51</f>
        <v>0</v>
      </c>
      <c r="N147" s="11">
        <f>'12B Sem 1'!M51</f>
        <v>0</v>
      </c>
      <c r="O147" s="11">
        <f>'12B Sem 1'!N51</f>
        <v>0</v>
      </c>
      <c r="P147" s="11">
        <f>'12B Sem 1'!O51</f>
        <v>0</v>
      </c>
      <c r="Q147" s="29">
        <f>'12B Sem 1'!P51</f>
        <v>0</v>
      </c>
    </row>
    <row r="148" spans="1:17" ht="18" customHeight="1" thickBot="1" x14ac:dyDescent="0.3">
      <c r="A148" s="249"/>
      <c r="B148" s="269"/>
      <c r="C148" s="247"/>
      <c r="D148" s="248"/>
      <c r="E148" s="21" t="s">
        <v>22</v>
      </c>
      <c r="F148" s="11">
        <f>'12B (NS)Sem 2'!E51</f>
        <v>0</v>
      </c>
      <c r="G148" s="11">
        <f>'12B (NS)Sem 2'!F51</f>
        <v>0</v>
      </c>
      <c r="H148" s="11">
        <f>'12B (NS)Sem 2'!G51</f>
        <v>0</v>
      </c>
      <c r="I148" s="11">
        <f>'12B (NS)Sem 2'!H51</f>
        <v>0</v>
      </c>
      <c r="J148" s="11">
        <f>'12B (NS)Sem 2'!I51</f>
        <v>0</v>
      </c>
      <c r="K148" s="11">
        <f>'12B (NS)Sem 2'!J51</f>
        <v>0</v>
      </c>
      <c r="L148" s="11">
        <f>'12B (NS)Sem 2'!K51</f>
        <v>0</v>
      </c>
      <c r="M148" s="11">
        <f>'12B (NS)Sem 2'!L51</f>
        <v>0</v>
      </c>
      <c r="N148" s="11">
        <f>'12B (NS)Sem 2'!M51</f>
        <v>0</v>
      </c>
      <c r="O148" s="11">
        <f>'12B (NS)Sem 2'!N51</f>
        <v>0</v>
      </c>
      <c r="P148" s="11">
        <f>'12B (NS)Sem 2'!O51</f>
        <v>0</v>
      </c>
      <c r="Q148" s="29">
        <f>'12B (NS)Sem 2'!P51</f>
        <v>0</v>
      </c>
    </row>
    <row r="149" spans="1:17" ht="18" customHeight="1" thickBot="1" x14ac:dyDescent="0.3">
      <c r="A149" s="249"/>
      <c r="B149" s="269"/>
      <c r="C149" s="247"/>
      <c r="D149" s="248"/>
      <c r="E149" s="82" t="s">
        <v>16</v>
      </c>
      <c r="F149" s="11">
        <f>AVERAGE(F147:F148)</f>
        <v>0</v>
      </c>
      <c r="G149" s="11">
        <f t="shared" ref="G149:Q149" si="47">AVERAGE(G147:G148)</f>
        <v>0</v>
      </c>
      <c r="H149" s="11">
        <f t="shared" si="47"/>
        <v>0</v>
      </c>
      <c r="I149" s="11">
        <f t="shared" si="47"/>
        <v>0</v>
      </c>
      <c r="J149" s="11">
        <f t="shared" si="47"/>
        <v>0</v>
      </c>
      <c r="K149" s="11">
        <f t="shared" si="47"/>
        <v>0</v>
      </c>
      <c r="L149" s="11">
        <f t="shared" si="47"/>
        <v>0</v>
      </c>
      <c r="M149" s="11">
        <f t="shared" si="47"/>
        <v>0</v>
      </c>
      <c r="N149" s="11">
        <f t="shared" si="47"/>
        <v>0</v>
      </c>
      <c r="O149" s="11">
        <f>'12B Sem avr (NS) '!$H$51</f>
        <v>0</v>
      </c>
      <c r="P149" s="11">
        <f t="shared" si="47"/>
        <v>0</v>
      </c>
      <c r="Q149" s="11">
        <f t="shared" si="47"/>
        <v>0</v>
      </c>
    </row>
    <row r="150" spans="1:17" ht="18" customHeight="1" thickBot="1" x14ac:dyDescent="0.3">
      <c r="A150" s="247">
        <v>49</v>
      </c>
      <c r="B150" s="269"/>
      <c r="C150" s="247"/>
      <c r="D150" s="248"/>
      <c r="E150" s="21" t="s">
        <v>21</v>
      </c>
      <c r="F150" s="11">
        <f>'12B Sem 1'!E52</f>
        <v>0</v>
      </c>
      <c r="G150" s="11">
        <f>'12B Sem 1'!F52</f>
        <v>0</v>
      </c>
      <c r="H150" s="11">
        <f>'12B Sem 1'!G52</f>
        <v>0</v>
      </c>
      <c r="I150" s="11">
        <f>'12B Sem 1'!H52</f>
        <v>0</v>
      </c>
      <c r="J150" s="11">
        <f>'12B Sem 1'!I52</f>
        <v>0</v>
      </c>
      <c r="K150" s="11">
        <f>'12B Sem 1'!J52</f>
        <v>0</v>
      </c>
      <c r="L150" s="11">
        <f>'12B Sem 1'!K52</f>
        <v>0</v>
      </c>
      <c r="M150" s="11">
        <f>'12B Sem 1'!L52</f>
        <v>0</v>
      </c>
      <c r="N150" s="11">
        <f>'12B Sem 1'!M52</f>
        <v>0</v>
      </c>
      <c r="O150" s="11">
        <f>'12B Sem 1'!N52</f>
        <v>0</v>
      </c>
      <c r="P150" s="11">
        <f>'12B Sem 1'!O52</f>
        <v>0</v>
      </c>
      <c r="Q150" s="29">
        <f>'12B Sem 1'!P52</f>
        <v>0</v>
      </c>
    </row>
    <row r="151" spans="1:17" ht="18" customHeight="1" thickBot="1" x14ac:dyDescent="0.3">
      <c r="A151" s="247"/>
      <c r="B151" s="269"/>
      <c r="C151" s="247"/>
      <c r="D151" s="248"/>
      <c r="E151" s="21" t="s">
        <v>22</v>
      </c>
      <c r="F151" s="11">
        <f>'12B (NS)Sem 2'!E52</f>
        <v>0</v>
      </c>
      <c r="G151" s="11">
        <f>'12B (NS)Sem 2'!F52</f>
        <v>0</v>
      </c>
      <c r="H151" s="11">
        <f>'12B (NS)Sem 2'!G52</f>
        <v>0</v>
      </c>
      <c r="I151" s="11">
        <f>'12B (NS)Sem 2'!H52</f>
        <v>0</v>
      </c>
      <c r="J151" s="11">
        <f>'12B (NS)Sem 2'!I52</f>
        <v>0</v>
      </c>
      <c r="K151" s="11">
        <f>'12B (NS)Sem 2'!J52</f>
        <v>0</v>
      </c>
      <c r="L151" s="11">
        <f>'12B (NS)Sem 2'!K52</f>
        <v>0</v>
      </c>
      <c r="M151" s="11">
        <f>'12B (NS)Sem 2'!L52</f>
        <v>0</v>
      </c>
      <c r="N151" s="11">
        <f>'12B (NS)Sem 2'!M52</f>
        <v>0</v>
      </c>
      <c r="O151" s="11">
        <f>'12B (NS)Sem 2'!N52</f>
        <v>0</v>
      </c>
      <c r="P151" s="11">
        <f>'12B (NS)Sem 2'!O52</f>
        <v>0</v>
      </c>
      <c r="Q151" s="29">
        <f>'12B (NS)Sem 2'!P52</f>
        <v>0</v>
      </c>
    </row>
    <row r="152" spans="1:17" ht="18" customHeight="1" thickBot="1" x14ac:dyDescent="0.3">
      <c r="A152" s="247"/>
      <c r="B152" s="269"/>
      <c r="C152" s="247"/>
      <c r="D152" s="248"/>
      <c r="E152" s="82" t="s">
        <v>16</v>
      </c>
      <c r="F152" s="11">
        <f>AVERAGE(F150:F151)</f>
        <v>0</v>
      </c>
      <c r="G152" s="11">
        <f t="shared" ref="G152:Q152" si="48">AVERAGE(G150:G151)</f>
        <v>0</v>
      </c>
      <c r="H152" s="11">
        <f t="shared" si="48"/>
        <v>0</v>
      </c>
      <c r="I152" s="11">
        <f t="shared" si="48"/>
        <v>0</v>
      </c>
      <c r="J152" s="11">
        <f t="shared" si="48"/>
        <v>0</v>
      </c>
      <c r="K152" s="11">
        <f t="shared" si="48"/>
        <v>0</v>
      </c>
      <c r="L152" s="11">
        <f t="shared" si="48"/>
        <v>0</v>
      </c>
      <c r="M152" s="11">
        <f t="shared" si="48"/>
        <v>0</v>
      </c>
      <c r="N152" s="11">
        <f t="shared" si="48"/>
        <v>0</v>
      </c>
      <c r="O152" s="11">
        <f>'12B Sem avr (NS) '!$H$52</f>
        <v>0</v>
      </c>
      <c r="P152" s="11">
        <f t="shared" si="48"/>
        <v>0</v>
      </c>
      <c r="Q152" s="11">
        <f t="shared" si="48"/>
        <v>0</v>
      </c>
    </row>
    <row r="153" spans="1:17" ht="18" customHeight="1" thickBot="1" x14ac:dyDescent="0.3">
      <c r="A153" s="249">
        <v>50</v>
      </c>
      <c r="B153" s="269"/>
      <c r="C153" s="247"/>
      <c r="D153" s="248"/>
      <c r="E153" s="21" t="s">
        <v>21</v>
      </c>
      <c r="F153" s="11">
        <f>'12B Sem 1'!E53</f>
        <v>0</v>
      </c>
      <c r="G153" s="11">
        <f>'12B Sem 1'!F53</f>
        <v>0</v>
      </c>
      <c r="H153" s="11">
        <f>'12B Sem 1'!G53</f>
        <v>0</v>
      </c>
      <c r="I153" s="11">
        <f>'12B Sem 1'!H53</f>
        <v>0</v>
      </c>
      <c r="J153" s="11">
        <f>'12B Sem 1'!I53</f>
        <v>0</v>
      </c>
      <c r="K153" s="11">
        <f>'12B Sem 1'!J53</f>
        <v>0</v>
      </c>
      <c r="L153" s="11">
        <f>'12B Sem 1'!K53</f>
        <v>0</v>
      </c>
      <c r="M153" s="11">
        <f>'12B Sem 1'!L53</f>
        <v>0</v>
      </c>
      <c r="N153" s="11">
        <f>'12B Sem 1'!M53</f>
        <v>0</v>
      </c>
      <c r="O153" s="11">
        <f>'12B Sem 1'!N53</f>
        <v>0</v>
      </c>
      <c r="P153" s="11">
        <f>'12B Sem 1'!O53</f>
        <v>0</v>
      </c>
      <c r="Q153" s="29">
        <f>'12B Sem 1'!P53</f>
        <v>0</v>
      </c>
    </row>
    <row r="154" spans="1:17" ht="18" customHeight="1" thickBot="1" x14ac:dyDescent="0.3">
      <c r="A154" s="249"/>
      <c r="B154" s="269"/>
      <c r="C154" s="247"/>
      <c r="D154" s="248"/>
      <c r="E154" s="21" t="s">
        <v>22</v>
      </c>
      <c r="F154" s="11">
        <f>'12B (NS)Sem 2'!E53</f>
        <v>0</v>
      </c>
      <c r="G154" s="11">
        <f>'12B (NS)Sem 2'!F53</f>
        <v>0</v>
      </c>
      <c r="H154" s="11">
        <f>'12B (NS)Sem 2'!G53</f>
        <v>0</v>
      </c>
      <c r="I154" s="11">
        <f>'12B (NS)Sem 2'!H53</f>
        <v>0</v>
      </c>
      <c r="J154" s="11">
        <f>'12B (NS)Sem 2'!I53</f>
        <v>0</v>
      </c>
      <c r="K154" s="11">
        <f>'12B (NS)Sem 2'!J53</f>
        <v>0</v>
      </c>
      <c r="L154" s="11">
        <f>'12B (NS)Sem 2'!K53</f>
        <v>0</v>
      </c>
      <c r="M154" s="11">
        <f>'12B (NS)Sem 2'!L53</f>
        <v>0</v>
      </c>
      <c r="N154" s="11">
        <f>'12B (NS)Sem 2'!M53</f>
        <v>0</v>
      </c>
      <c r="O154" s="11">
        <f>'12B (NS)Sem 2'!N53</f>
        <v>0</v>
      </c>
      <c r="P154" s="11">
        <f>'12B (NS)Sem 2'!O53</f>
        <v>0</v>
      </c>
      <c r="Q154" s="29">
        <f>'12B (NS)Sem 2'!P53</f>
        <v>0</v>
      </c>
    </row>
    <row r="155" spans="1:17" ht="18" customHeight="1" thickBot="1" x14ac:dyDescent="0.3">
      <c r="A155" s="249"/>
      <c r="B155" s="269"/>
      <c r="C155" s="247"/>
      <c r="D155" s="248"/>
      <c r="E155" s="82" t="s">
        <v>16</v>
      </c>
      <c r="F155" s="11">
        <f>AVERAGE(F153:F154)</f>
        <v>0</v>
      </c>
      <c r="G155" s="11">
        <f t="shared" ref="G155:Q155" si="49">AVERAGE(G153:G154)</f>
        <v>0</v>
      </c>
      <c r="H155" s="11">
        <f t="shared" si="49"/>
        <v>0</v>
      </c>
      <c r="I155" s="11">
        <f t="shared" si="49"/>
        <v>0</v>
      </c>
      <c r="J155" s="11">
        <f t="shared" si="49"/>
        <v>0</v>
      </c>
      <c r="K155" s="11">
        <f t="shared" si="49"/>
        <v>0</v>
      </c>
      <c r="L155" s="11">
        <f t="shared" si="49"/>
        <v>0</v>
      </c>
      <c r="M155" s="11">
        <f t="shared" si="49"/>
        <v>0</v>
      </c>
      <c r="N155" s="11">
        <f t="shared" si="49"/>
        <v>0</v>
      </c>
      <c r="O155" s="11">
        <f>'12B Sem avr (NS) '!$H$53</f>
        <v>0</v>
      </c>
      <c r="P155" s="11">
        <f t="shared" si="49"/>
        <v>0</v>
      </c>
      <c r="Q155" s="11">
        <f t="shared" si="49"/>
        <v>0</v>
      </c>
    </row>
    <row r="156" spans="1:17" ht="18" customHeight="1" thickBot="1" x14ac:dyDescent="0.3">
      <c r="A156" s="247">
        <v>51</v>
      </c>
      <c r="B156" s="269"/>
      <c r="C156" s="247"/>
      <c r="D156" s="248"/>
      <c r="E156" s="21" t="s">
        <v>21</v>
      </c>
      <c r="F156" s="11">
        <f>'12B Sem 1'!E54</f>
        <v>0</v>
      </c>
      <c r="G156" s="11">
        <f>'12B Sem 1'!F54</f>
        <v>0</v>
      </c>
      <c r="H156" s="11">
        <f>'12B Sem 1'!G54</f>
        <v>0</v>
      </c>
      <c r="I156" s="11">
        <f>'12B Sem 1'!H54</f>
        <v>0</v>
      </c>
      <c r="J156" s="11">
        <f>'12B Sem 1'!I54</f>
        <v>0</v>
      </c>
      <c r="K156" s="11">
        <f>'12B Sem 1'!J54</f>
        <v>0</v>
      </c>
      <c r="L156" s="11">
        <f>'12B Sem 1'!K54</f>
        <v>0</v>
      </c>
      <c r="M156" s="11">
        <f>'12B Sem 1'!L54</f>
        <v>0</v>
      </c>
      <c r="N156" s="11">
        <f>'12B Sem 1'!M54</f>
        <v>0</v>
      </c>
      <c r="O156" s="11">
        <f>'12B Sem 1'!N54</f>
        <v>0</v>
      </c>
      <c r="P156" s="11">
        <f>'12B Sem 1'!O54</f>
        <v>0</v>
      </c>
      <c r="Q156" s="29">
        <f>'12B Sem 1'!P54</f>
        <v>0</v>
      </c>
    </row>
    <row r="157" spans="1:17" ht="18" customHeight="1" thickBot="1" x14ac:dyDescent="0.3">
      <c r="A157" s="247"/>
      <c r="B157" s="269"/>
      <c r="C157" s="247"/>
      <c r="D157" s="248"/>
      <c r="E157" s="21" t="s">
        <v>22</v>
      </c>
      <c r="F157" s="11">
        <f>'12B (NS)Sem 2'!E54</f>
        <v>0</v>
      </c>
      <c r="G157" s="11">
        <f>'12B (NS)Sem 2'!F54</f>
        <v>0</v>
      </c>
      <c r="H157" s="11">
        <f>'12B (NS)Sem 2'!G54</f>
        <v>0</v>
      </c>
      <c r="I157" s="11">
        <f>'12B (NS)Sem 2'!H54</f>
        <v>0</v>
      </c>
      <c r="J157" s="11">
        <f>'12B (NS)Sem 2'!I54</f>
        <v>0</v>
      </c>
      <c r="K157" s="11">
        <f>'12B (NS)Sem 2'!J54</f>
        <v>0</v>
      </c>
      <c r="L157" s="11">
        <f>'12B (NS)Sem 2'!K54</f>
        <v>0</v>
      </c>
      <c r="M157" s="11">
        <f>'12B (NS)Sem 2'!L54</f>
        <v>0</v>
      </c>
      <c r="N157" s="11">
        <f>'12B (NS)Sem 2'!M54</f>
        <v>0</v>
      </c>
      <c r="O157" s="11">
        <f>'12B (NS)Sem 2'!N54</f>
        <v>0</v>
      </c>
      <c r="P157" s="11">
        <f>'12B (NS)Sem 2'!O54</f>
        <v>0</v>
      </c>
      <c r="Q157" s="29">
        <f>'12B (NS)Sem 2'!P54</f>
        <v>0</v>
      </c>
    </row>
    <row r="158" spans="1:17" ht="18" customHeight="1" thickBot="1" x14ac:dyDescent="0.3">
      <c r="A158" s="247"/>
      <c r="B158" s="269"/>
      <c r="C158" s="247"/>
      <c r="D158" s="248"/>
      <c r="E158" s="82" t="s">
        <v>16</v>
      </c>
      <c r="F158" s="11">
        <f>AVERAGE(F156:F157)</f>
        <v>0</v>
      </c>
      <c r="G158" s="11">
        <f t="shared" ref="G158:Q158" si="50">AVERAGE(G156:G157)</f>
        <v>0</v>
      </c>
      <c r="H158" s="11">
        <f t="shared" si="50"/>
        <v>0</v>
      </c>
      <c r="I158" s="11">
        <f t="shared" si="50"/>
        <v>0</v>
      </c>
      <c r="J158" s="11">
        <f t="shared" si="50"/>
        <v>0</v>
      </c>
      <c r="K158" s="11">
        <f t="shared" si="50"/>
        <v>0</v>
      </c>
      <c r="L158" s="11">
        <f t="shared" si="50"/>
        <v>0</v>
      </c>
      <c r="M158" s="11">
        <f t="shared" si="50"/>
        <v>0</v>
      </c>
      <c r="N158" s="11">
        <f t="shared" si="50"/>
        <v>0</v>
      </c>
      <c r="O158" s="11">
        <f>'12B Sem avr (NS) '!$H$54</f>
        <v>0</v>
      </c>
      <c r="P158" s="11">
        <f t="shared" si="50"/>
        <v>0</v>
      </c>
      <c r="Q158" s="11">
        <f t="shared" si="50"/>
        <v>0</v>
      </c>
    </row>
    <row r="159" spans="1:17" ht="18" customHeight="1" thickBot="1" x14ac:dyDescent="0.3">
      <c r="A159" s="249">
        <v>52</v>
      </c>
      <c r="B159" s="269"/>
      <c r="C159" s="247"/>
      <c r="D159" s="248"/>
      <c r="E159" s="21" t="s">
        <v>21</v>
      </c>
      <c r="F159" s="11">
        <f>'12B Sem 1'!E55</f>
        <v>0</v>
      </c>
      <c r="G159" s="11">
        <f>'12B Sem 1'!F55</f>
        <v>0</v>
      </c>
      <c r="H159" s="11">
        <f>'12B Sem 1'!G55</f>
        <v>0</v>
      </c>
      <c r="I159" s="11">
        <f>'12B Sem 1'!H55</f>
        <v>0</v>
      </c>
      <c r="J159" s="11">
        <f>'12B Sem 1'!I55</f>
        <v>0</v>
      </c>
      <c r="K159" s="11">
        <f>'12B Sem 1'!J55</f>
        <v>0</v>
      </c>
      <c r="L159" s="11">
        <f>'12B Sem 1'!K55</f>
        <v>0</v>
      </c>
      <c r="M159" s="11">
        <f>'12B Sem 1'!L55</f>
        <v>0</v>
      </c>
      <c r="N159" s="11">
        <f>'12B Sem 1'!M55</f>
        <v>0</v>
      </c>
      <c r="O159" s="11">
        <f>'12B Sem 1'!N55</f>
        <v>0</v>
      </c>
      <c r="P159" s="11">
        <f>'12B Sem 1'!O55</f>
        <v>0</v>
      </c>
      <c r="Q159" s="29">
        <f>'12B Sem 1'!P55</f>
        <v>0</v>
      </c>
    </row>
    <row r="160" spans="1:17" ht="18" customHeight="1" thickBot="1" x14ac:dyDescent="0.3">
      <c r="A160" s="249"/>
      <c r="B160" s="269"/>
      <c r="C160" s="247"/>
      <c r="D160" s="248"/>
      <c r="E160" s="21" t="s">
        <v>22</v>
      </c>
      <c r="F160" s="11">
        <f>'12B (NS)Sem 2'!E55</f>
        <v>0</v>
      </c>
      <c r="G160" s="11">
        <f>'12B (NS)Sem 2'!F55</f>
        <v>0</v>
      </c>
      <c r="H160" s="11">
        <f>'12B (NS)Sem 2'!G55</f>
        <v>0</v>
      </c>
      <c r="I160" s="11">
        <f>'12B (NS)Sem 2'!H55</f>
        <v>0</v>
      </c>
      <c r="J160" s="11">
        <f>'12B (NS)Sem 2'!I55</f>
        <v>0</v>
      </c>
      <c r="K160" s="11">
        <f>'12B (NS)Sem 2'!J55</f>
        <v>0</v>
      </c>
      <c r="L160" s="11">
        <f>'12B (NS)Sem 2'!K55</f>
        <v>0</v>
      </c>
      <c r="M160" s="11">
        <f>'12B (NS)Sem 2'!L55</f>
        <v>0</v>
      </c>
      <c r="N160" s="11">
        <f>'12B (NS)Sem 2'!M55</f>
        <v>0</v>
      </c>
      <c r="O160" s="11">
        <f>'12B (NS)Sem 2'!N55</f>
        <v>0</v>
      </c>
      <c r="P160" s="11">
        <f>'12B (NS)Sem 2'!O55</f>
        <v>0</v>
      </c>
      <c r="Q160" s="29">
        <f>'12B (NS)Sem 2'!P55</f>
        <v>0</v>
      </c>
    </row>
    <row r="161" spans="1:17" ht="18" customHeight="1" thickBot="1" x14ac:dyDescent="0.3">
      <c r="A161" s="249"/>
      <c r="B161" s="269"/>
      <c r="C161" s="247"/>
      <c r="D161" s="248"/>
      <c r="E161" s="82" t="s">
        <v>16</v>
      </c>
      <c r="F161" s="11">
        <f>AVERAGE(F159:F160)</f>
        <v>0</v>
      </c>
      <c r="G161" s="11">
        <f t="shared" ref="G161:Q161" si="51">AVERAGE(G159:G160)</f>
        <v>0</v>
      </c>
      <c r="H161" s="11">
        <f t="shared" si="51"/>
        <v>0</v>
      </c>
      <c r="I161" s="11">
        <f t="shared" si="51"/>
        <v>0</v>
      </c>
      <c r="J161" s="11">
        <f t="shared" si="51"/>
        <v>0</v>
      </c>
      <c r="K161" s="11">
        <f t="shared" si="51"/>
        <v>0</v>
      </c>
      <c r="L161" s="11">
        <f t="shared" si="51"/>
        <v>0</v>
      </c>
      <c r="M161" s="11">
        <f t="shared" si="51"/>
        <v>0</v>
      </c>
      <c r="N161" s="11">
        <f t="shared" si="51"/>
        <v>0</v>
      </c>
      <c r="O161" s="11">
        <f>'12B Sem avr (NS) '!$H$55</f>
        <v>0</v>
      </c>
      <c r="P161" s="11">
        <f t="shared" si="51"/>
        <v>0</v>
      </c>
      <c r="Q161" s="11">
        <f t="shared" si="51"/>
        <v>0</v>
      </c>
    </row>
    <row r="162" spans="1:17" ht="18" customHeight="1" thickBot="1" x14ac:dyDescent="0.3">
      <c r="A162" s="247">
        <v>53</v>
      </c>
      <c r="B162" s="268"/>
      <c r="C162" s="251"/>
      <c r="D162" s="252"/>
      <c r="E162" s="21" t="s">
        <v>21</v>
      </c>
      <c r="F162" s="11">
        <f>'12B Sem 1'!E56</f>
        <v>0</v>
      </c>
      <c r="G162" s="11">
        <f>'12B Sem 1'!F56</f>
        <v>0</v>
      </c>
      <c r="H162" s="11">
        <f>'12B Sem 1'!G56</f>
        <v>0</v>
      </c>
      <c r="I162" s="11">
        <f>'12B Sem 1'!H56</f>
        <v>0</v>
      </c>
      <c r="J162" s="11">
        <f>'12B Sem 1'!I56</f>
        <v>0</v>
      </c>
      <c r="K162" s="11">
        <f>'12B Sem 1'!J56</f>
        <v>0</v>
      </c>
      <c r="L162" s="11">
        <f>'12B Sem 1'!K56</f>
        <v>0</v>
      </c>
      <c r="M162" s="11">
        <f>'12B Sem 1'!L56</f>
        <v>0</v>
      </c>
      <c r="N162" s="11">
        <f>'12B Sem 1'!M56</f>
        <v>0</v>
      </c>
      <c r="O162" s="11">
        <f>'12B Sem 1'!N56</f>
        <v>0</v>
      </c>
      <c r="P162" s="11">
        <f>'12B Sem 1'!O56</f>
        <v>0</v>
      </c>
      <c r="Q162" s="29">
        <f>'12B Sem 1'!P56</f>
        <v>0</v>
      </c>
    </row>
    <row r="163" spans="1:17" ht="18" customHeight="1" thickBot="1" x14ac:dyDescent="0.3">
      <c r="A163" s="247"/>
      <c r="B163" s="268"/>
      <c r="C163" s="251"/>
      <c r="D163" s="252"/>
      <c r="E163" s="21" t="s">
        <v>22</v>
      </c>
      <c r="F163" s="11">
        <f>'12B (NS)Sem 2'!E56</f>
        <v>0</v>
      </c>
      <c r="G163" s="11">
        <f>'12B (NS)Sem 2'!F56</f>
        <v>0</v>
      </c>
      <c r="H163" s="11">
        <f>'12B (NS)Sem 2'!G56</f>
        <v>0</v>
      </c>
      <c r="I163" s="11">
        <f>'12B (NS)Sem 2'!H56</f>
        <v>0</v>
      </c>
      <c r="J163" s="11">
        <f>'12B (NS)Sem 2'!I56</f>
        <v>0</v>
      </c>
      <c r="K163" s="11">
        <f>'12B (NS)Sem 2'!J56</f>
        <v>0</v>
      </c>
      <c r="L163" s="11">
        <f>'12B (NS)Sem 2'!K56</f>
        <v>0</v>
      </c>
      <c r="M163" s="11">
        <f>'12B (NS)Sem 2'!L56</f>
        <v>0</v>
      </c>
      <c r="N163" s="11">
        <f>'12B (NS)Sem 2'!M56</f>
        <v>0</v>
      </c>
      <c r="O163" s="11">
        <f>'12B (NS)Sem 2'!N56</f>
        <v>0</v>
      </c>
      <c r="P163" s="11">
        <f>'12B (NS)Sem 2'!O56</f>
        <v>0</v>
      </c>
      <c r="Q163" s="29">
        <f>'12B (NS)Sem 2'!P56</f>
        <v>0</v>
      </c>
    </row>
    <row r="164" spans="1:17" ht="18" customHeight="1" thickBot="1" x14ac:dyDescent="0.3">
      <c r="A164" s="247"/>
      <c r="B164" s="268"/>
      <c r="C164" s="251"/>
      <c r="D164" s="252"/>
      <c r="E164" s="82" t="s">
        <v>16</v>
      </c>
      <c r="F164" s="11">
        <f>AVERAGE(F162:F163)</f>
        <v>0</v>
      </c>
      <c r="G164" s="11">
        <f t="shared" ref="G164:Q164" si="52">AVERAGE(G162:G163)</f>
        <v>0</v>
      </c>
      <c r="H164" s="11">
        <f t="shared" si="52"/>
        <v>0</v>
      </c>
      <c r="I164" s="11">
        <f t="shared" si="52"/>
        <v>0</v>
      </c>
      <c r="J164" s="11">
        <f t="shared" si="52"/>
        <v>0</v>
      </c>
      <c r="K164" s="11">
        <f t="shared" si="52"/>
        <v>0</v>
      </c>
      <c r="L164" s="11">
        <f t="shared" si="52"/>
        <v>0</v>
      </c>
      <c r="M164" s="11">
        <f t="shared" si="52"/>
        <v>0</v>
      </c>
      <c r="N164" s="11">
        <f t="shared" si="52"/>
        <v>0</v>
      </c>
      <c r="O164" s="11">
        <f>'12B Sem avr (NS) '!$H$56</f>
        <v>0</v>
      </c>
      <c r="P164" s="11">
        <f t="shared" si="52"/>
        <v>0</v>
      </c>
      <c r="Q164" s="11">
        <f t="shared" si="52"/>
        <v>0</v>
      </c>
    </row>
    <row r="165" spans="1:17" ht="18" customHeight="1" thickBot="1" x14ac:dyDescent="0.3">
      <c r="A165" s="249">
        <v>54</v>
      </c>
      <c r="B165" s="268"/>
      <c r="C165" s="251"/>
      <c r="D165" s="252"/>
      <c r="E165" s="21" t="s">
        <v>21</v>
      </c>
      <c r="F165" s="11">
        <f>'12B Sem 1'!E57</f>
        <v>0</v>
      </c>
      <c r="G165" s="11">
        <f>'12B Sem 1'!F57</f>
        <v>0</v>
      </c>
      <c r="H165" s="11">
        <f>'12B Sem 1'!G57</f>
        <v>0</v>
      </c>
      <c r="I165" s="11">
        <f>'12B Sem 1'!H57</f>
        <v>0</v>
      </c>
      <c r="J165" s="11">
        <f>'12B Sem 1'!I57</f>
        <v>0</v>
      </c>
      <c r="K165" s="11">
        <f>'12B Sem 1'!J57</f>
        <v>0</v>
      </c>
      <c r="L165" s="11">
        <f>'12B Sem 1'!K57</f>
        <v>0</v>
      </c>
      <c r="M165" s="11">
        <f>'12B Sem 1'!L57</f>
        <v>0</v>
      </c>
      <c r="N165" s="11">
        <f>'12B Sem 1'!M57</f>
        <v>0</v>
      </c>
      <c r="O165" s="11">
        <f>'12B Sem 1'!N57</f>
        <v>0</v>
      </c>
      <c r="P165" s="11">
        <f>'12B Sem 1'!O57</f>
        <v>0</v>
      </c>
      <c r="Q165" s="29">
        <f>'12B Sem 1'!P57</f>
        <v>0</v>
      </c>
    </row>
    <row r="166" spans="1:17" ht="18" customHeight="1" thickBot="1" x14ac:dyDescent="0.3">
      <c r="A166" s="249"/>
      <c r="B166" s="268"/>
      <c r="C166" s="251"/>
      <c r="D166" s="252"/>
      <c r="E166" s="21" t="s">
        <v>22</v>
      </c>
      <c r="F166" s="11">
        <f>'12B (NS)Sem 2'!E57</f>
        <v>0</v>
      </c>
      <c r="G166" s="11">
        <f>'12B (NS)Sem 2'!F57</f>
        <v>0</v>
      </c>
      <c r="H166" s="11">
        <f>'12B (NS)Sem 2'!G57</f>
        <v>0</v>
      </c>
      <c r="I166" s="11">
        <f>'12B (NS)Sem 2'!H57</f>
        <v>0</v>
      </c>
      <c r="J166" s="11">
        <f>'12B (NS)Sem 2'!I57</f>
        <v>0</v>
      </c>
      <c r="K166" s="11">
        <f>'12B (NS)Sem 2'!J57</f>
        <v>0</v>
      </c>
      <c r="L166" s="11">
        <f>'12B (NS)Sem 2'!K57</f>
        <v>0</v>
      </c>
      <c r="M166" s="11">
        <f>'12B (NS)Sem 2'!L57</f>
        <v>0</v>
      </c>
      <c r="N166" s="11">
        <f>'12B (NS)Sem 2'!M57</f>
        <v>0</v>
      </c>
      <c r="O166" s="11">
        <f>'12B (NS)Sem 2'!N57</f>
        <v>0</v>
      </c>
      <c r="P166" s="11">
        <f>'12B (NS)Sem 2'!O57</f>
        <v>0</v>
      </c>
      <c r="Q166" s="29">
        <f>'12B (NS)Sem 2'!P57</f>
        <v>0</v>
      </c>
    </row>
    <row r="167" spans="1:17" ht="18" customHeight="1" thickBot="1" x14ac:dyDescent="0.3">
      <c r="A167" s="249"/>
      <c r="B167" s="268"/>
      <c r="C167" s="251"/>
      <c r="D167" s="252"/>
      <c r="E167" s="82" t="s">
        <v>16</v>
      </c>
      <c r="F167" s="11">
        <f>AVERAGE(F165:F166)</f>
        <v>0</v>
      </c>
      <c r="G167" s="11">
        <f t="shared" ref="G167:Q167" si="53">AVERAGE(G165:G166)</f>
        <v>0</v>
      </c>
      <c r="H167" s="11">
        <f t="shared" si="53"/>
        <v>0</v>
      </c>
      <c r="I167" s="11">
        <f t="shared" si="53"/>
        <v>0</v>
      </c>
      <c r="J167" s="11">
        <f t="shared" si="53"/>
        <v>0</v>
      </c>
      <c r="K167" s="11">
        <f t="shared" si="53"/>
        <v>0</v>
      </c>
      <c r="L167" s="11">
        <f t="shared" si="53"/>
        <v>0</v>
      </c>
      <c r="M167" s="11">
        <f t="shared" si="53"/>
        <v>0</v>
      </c>
      <c r="N167" s="11">
        <f t="shared" si="53"/>
        <v>0</v>
      </c>
      <c r="O167" s="11">
        <f>'12B Sem avr (NS) '!$H$57</f>
        <v>0</v>
      </c>
      <c r="P167" s="11">
        <f t="shared" si="53"/>
        <v>0</v>
      </c>
      <c r="Q167" s="11">
        <f t="shared" si="53"/>
        <v>0</v>
      </c>
    </row>
    <row r="168" spans="1:17" ht="18" customHeight="1" thickBot="1" x14ac:dyDescent="0.3">
      <c r="A168" s="247">
        <v>55</v>
      </c>
      <c r="B168" s="268"/>
      <c r="C168" s="251"/>
      <c r="D168" s="252"/>
      <c r="E168" s="21" t="s">
        <v>21</v>
      </c>
      <c r="F168" s="11">
        <f>'12B Sem 1'!E58</f>
        <v>0</v>
      </c>
      <c r="G168" s="11">
        <f>'12B Sem 1'!F58</f>
        <v>0</v>
      </c>
      <c r="H168" s="11">
        <f>'12B Sem 1'!G58</f>
        <v>0</v>
      </c>
      <c r="I168" s="11">
        <f>'12B Sem 1'!H58</f>
        <v>0</v>
      </c>
      <c r="J168" s="11">
        <f>'12B Sem 1'!I58</f>
        <v>0</v>
      </c>
      <c r="K168" s="11">
        <f>'12B Sem 1'!J58</f>
        <v>0</v>
      </c>
      <c r="L168" s="11">
        <f>'12B Sem 1'!K58</f>
        <v>0</v>
      </c>
      <c r="M168" s="11">
        <f>'12B Sem 1'!L58</f>
        <v>0</v>
      </c>
      <c r="N168" s="11">
        <f>'12B Sem 1'!M58</f>
        <v>0</v>
      </c>
      <c r="O168" s="11">
        <f>'12B Sem 1'!N58</f>
        <v>0</v>
      </c>
      <c r="P168" s="11">
        <f>'12B Sem 1'!O58</f>
        <v>0</v>
      </c>
      <c r="Q168" s="29">
        <f>'12B Sem 1'!P58</f>
        <v>0</v>
      </c>
    </row>
    <row r="169" spans="1:17" ht="18" customHeight="1" thickBot="1" x14ac:dyDescent="0.3">
      <c r="A169" s="247"/>
      <c r="B169" s="268"/>
      <c r="C169" s="251"/>
      <c r="D169" s="252"/>
      <c r="E169" s="21" t="s">
        <v>22</v>
      </c>
      <c r="F169" s="11">
        <f>'12B (NS)Sem 2'!E58</f>
        <v>0</v>
      </c>
      <c r="G169" s="11">
        <f>'12B (NS)Sem 2'!F58</f>
        <v>0</v>
      </c>
      <c r="H169" s="11">
        <f>'12B (NS)Sem 2'!G58</f>
        <v>0</v>
      </c>
      <c r="I169" s="11">
        <f>'12B (NS)Sem 2'!H58</f>
        <v>0</v>
      </c>
      <c r="J169" s="11">
        <f>'12B (NS)Sem 2'!I58</f>
        <v>0</v>
      </c>
      <c r="K169" s="11">
        <f>'12B (NS)Sem 2'!J58</f>
        <v>0</v>
      </c>
      <c r="L169" s="11">
        <f>'12B (NS)Sem 2'!K58</f>
        <v>0</v>
      </c>
      <c r="M169" s="11">
        <f>'12B (NS)Sem 2'!L58</f>
        <v>0</v>
      </c>
      <c r="N169" s="11">
        <f>'12B (NS)Sem 2'!M58</f>
        <v>0</v>
      </c>
      <c r="O169" s="11">
        <f>'12B (NS)Sem 2'!N58</f>
        <v>0</v>
      </c>
      <c r="P169" s="11">
        <f>'12B (NS)Sem 2'!O58</f>
        <v>0</v>
      </c>
      <c r="Q169" s="29">
        <f>'12B (NS)Sem 2'!P58</f>
        <v>0</v>
      </c>
    </row>
    <row r="170" spans="1:17" ht="18" customHeight="1" thickBot="1" x14ac:dyDescent="0.3">
      <c r="A170" s="247"/>
      <c r="B170" s="268"/>
      <c r="C170" s="251"/>
      <c r="D170" s="252"/>
      <c r="E170" s="21" t="s">
        <v>16</v>
      </c>
      <c r="F170" s="11">
        <f>AVERAGE(F168:F169)</f>
        <v>0</v>
      </c>
      <c r="G170" s="11">
        <f t="shared" ref="G170:Q170" si="54">AVERAGE(G168:G169)</f>
        <v>0</v>
      </c>
      <c r="H170" s="11">
        <f t="shared" si="54"/>
        <v>0</v>
      </c>
      <c r="I170" s="11">
        <f t="shared" si="54"/>
        <v>0</v>
      </c>
      <c r="J170" s="11">
        <f t="shared" si="54"/>
        <v>0</v>
      </c>
      <c r="K170" s="11">
        <f t="shared" si="54"/>
        <v>0</v>
      </c>
      <c r="L170" s="11">
        <f t="shared" si="54"/>
        <v>0</v>
      </c>
      <c r="M170" s="11">
        <f t="shared" si="54"/>
        <v>0</v>
      </c>
      <c r="N170" s="11">
        <f t="shared" si="54"/>
        <v>0</v>
      </c>
      <c r="O170" s="11">
        <f>'12B Sem avr (NS) '!$H$58</f>
        <v>0</v>
      </c>
      <c r="P170" s="11">
        <f t="shared" si="54"/>
        <v>0</v>
      </c>
      <c r="Q170" s="11">
        <f t="shared" si="54"/>
        <v>0</v>
      </c>
    </row>
    <row r="171" spans="1:17" ht="18" customHeight="1" x14ac:dyDescent="0.25">
      <c r="C171"/>
      <c r="D171"/>
    </row>
    <row r="172" spans="1:17" ht="18" customHeight="1" x14ac:dyDescent="0.25">
      <c r="C172"/>
      <c r="D172"/>
    </row>
    <row r="173" spans="1:17" ht="18" customHeight="1" x14ac:dyDescent="0.25">
      <c r="C173"/>
      <c r="D173"/>
    </row>
    <row r="174" spans="1:17" ht="18" customHeight="1" x14ac:dyDescent="0.25">
      <c r="C174"/>
      <c r="D174"/>
    </row>
    <row r="175" spans="1:17" ht="18" customHeight="1" x14ac:dyDescent="0.25">
      <c r="C175"/>
      <c r="D175"/>
    </row>
    <row r="176" spans="1:17" ht="19.5" customHeight="1" x14ac:dyDescent="0.25">
      <c r="C176"/>
      <c r="D176"/>
    </row>
    <row r="177" spans="3:4" ht="18.75" customHeight="1" x14ac:dyDescent="0.25">
      <c r="C177"/>
      <c r="D177"/>
    </row>
    <row r="178" spans="3:4" ht="18" customHeight="1" x14ac:dyDescent="0.25">
      <c r="C178"/>
      <c r="D178"/>
    </row>
    <row r="179" spans="3:4" ht="18" customHeight="1" x14ac:dyDescent="0.25">
      <c r="C179"/>
      <c r="D179"/>
    </row>
    <row r="180" spans="3:4" ht="18" customHeight="1" x14ac:dyDescent="0.25">
      <c r="C180"/>
      <c r="D180"/>
    </row>
    <row r="181" spans="3:4" ht="18" customHeight="1" x14ac:dyDescent="0.25">
      <c r="C181"/>
      <c r="D181"/>
    </row>
    <row r="182" spans="3:4" ht="18" customHeight="1" x14ac:dyDescent="0.25">
      <c r="C182"/>
      <c r="D182"/>
    </row>
    <row r="183" spans="3:4" ht="18" customHeight="1" x14ac:dyDescent="0.25">
      <c r="C183"/>
      <c r="D183"/>
    </row>
    <row r="184" spans="3:4" ht="18" customHeight="1" x14ac:dyDescent="0.25">
      <c r="C184"/>
      <c r="D184"/>
    </row>
    <row r="185" spans="3:4" ht="18" customHeight="1" x14ac:dyDescent="0.25">
      <c r="C185"/>
      <c r="D185"/>
    </row>
    <row r="186" spans="3:4" ht="18" customHeight="1" x14ac:dyDescent="0.25">
      <c r="C186"/>
      <c r="D186"/>
    </row>
    <row r="187" spans="3:4" ht="18" customHeight="1" x14ac:dyDescent="0.25">
      <c r="C187"/>
      <c r="D187"/>
    </row>
    <row r="188" spans="3:4" ht="18" customHeight="1" x14ac:dyDescent="0.25"/>
    <row r="189" spans="3:4" ht="18" customHeight="1" x14ac:dyDescent="0.25"/>
    <row r="190" spans="3:4" ht="18" customHeight="1" x14ac:dyDescent="0.25"/>
    <row r="191" spans="3:4" ht="18" customHeight="1" x14ac:dyDescent="0.25"/>
    <row r="192" spans="3:4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.75" customHeight="1" x14ac:dyDescent="0.25"/>
    <row r="205" ht="18.75" customHeight="1" x14ac:dyDescent="0.25"/>
    <row r="206" ht="18.75" customHeight="1" x14ac:dyDescent="0.25"/>
    <row r="207" ht="18.75" customHeight="1" x14ac:dyDescent="0.25"/>
    <row r="208" ht="18.75" customHeight="1" x14ac:dyDescent="0.25"/>
    <row r="209" ht="18.75" customHeight="1" x14ac:dyDescent="0.25"/>
    <row r="210" ht="18.75" customHeight="1" x14ac:dyDescent="0.25"/>
    <row r="211" ht="18.75" customHeight="1" x14ac:dyDescent="0.25"/>
    <row r="212" ht="18.75" customHeight="1" x14ac:dyDescent="0.25"/>
    <row r="213" ht="18.75" customHeight="1" x14ac:dyDescent="0.25"/>
    <row r="214" ht="18.75" customHeight="1" x14ac:dyDescent="0.25"/>
    <row r="215" ht="18.75" customHeight="1" x14ac:dyDescent="0.25"/>
    <row r="216" ht="18.75" customHeight="1" x14ac:dyDescent="0.25"/>
    <row r="217" ht="18.75" customHeight="1" x14ac:dyDescent="0.25"/>
    <row r="218" ht="18.75" customHeight="1" x14ac:dyDescent="0.25"/>
    <row r="219" ht="18.75" customHeight="1" x14ac:dyDescent="0.25"/>
    <row r="220" ht="18.75" customHeight="1" x14ac:dyDescent="0.25"/>
    <row r="221" ht="18.75" customHeight="1" x14ac:dyDescent="0.25"/>
    <row r="222" ht="18.75" customHeight="1" x14ac:dyDescent="0.25"/>
    <row r="223" ht="18.75" customHeight="1" x14ac:dyDescent="0.25"/>
    <row r="224" ht="18.75" customHeight="1" x14ac:dyDescent="0.25"/>
    <row r="225" ht="18.75" customHeight="1" x14ac:dyDescent="0.25"/>
    <row r="229" ht="19.5" customHeight="1" x14ac:dyDescent="0.25"/>
    <row r="232" ht="16.5" customHeight="1" x14ac:dyDescent="0.25"/>
    <row r="241" ht="17.25" customHeight="1" x14ac:dyDescent="0.25"/>
    <row r="244" ht="19.5" customHeight="1" x14ac:dyDescent="0.25"/>
  </sheetData>
  <mergeCells count="222">
    <mergeCell ref="D57:D59"/>
    <mergeCell ref="A1:R1"/>
    <mergeCell ref="A3:R3"/>
    <mergeCell ref="A6:A8"/>
    <mergeCell ref="B6:B8"/>
    <mergeCell ref="C6:C8"/>
    <mergeCell ref="D6:D8"/>
    <mergeCell ref="A15:A17"/>
    <mergeCell ref="B15:B17"/>
    <mergeCell ref="C15:C17"/>
    <mergeCell ref="D15:D17"/>
    <mergeCell ref="A18:A20"/>
    <mergeCell ref="B18:B20"/>
    <mergeCell ref="C18:C20"/>
    <mergeCell ref="D18:D20"/>
    <mergeCell ref="A9:A11"/>
    <mergeCell ref="B9:B11"/>
    <mergeCell ref="C9:C11"/>
    <mergeCell ref="D9:D11"/>
    <mergeCell ref="A12:A14"/>
    <mergeCell ref="B12:B14"/>
    <mergeCell ref="C12:C14"/>
    <mergeCell ref="D12:D14"/>
    <mergeCell ref="A27:A29"/>
    <mergeCell ref="B27:B29"/>
    <mergeCell ref="C27:C29"/>
    <mergeCell ref="D27:D29"/>
    <mergeCell ref="A30:A32"/>
    <mergeCell ref="B30:B32"/>
    <mergeCell ref="C30:C32"/>
    <mergeCell ref="D30:D32"/>
    <mergeCell ref="A21:A23"/>
    <mergeCell ref="B21:B23"/>
    <mergeCell ref="C21:C23"/>
    <mergeCell ref="D21:D23"/>
    <mergeCell ref="A24:A26"/>
    <mergeCell ref="B24:B26"/>
    <mergeCell ref="C24:C26"/>
    <mergeCell ref="D24:D26"/>
    <mergeCell ref="A39:A41"/>
    <mergeCell ref="B39:B41"/>
    <mergeCell ref="C39:C41"/>
    <mergeCell ref="D39:D41"/>
    <mergeCell ref="A42:A44"/>
    <mergeCell ref="B42:B44"/>
    <mergeCell ref="C42:C44"/>
    <mergeCell ref="D42:D44"/>
    <mergeCell ref="A33:A35"/>
    <mergeCell ref="B33:B35"/>
    <mergeCell ref="C33:C35"/>
    <mergeCell ref="D33:D35"/>
    <mergeCell ref="A36:A38"/>
    <mergeCell ref="B36:B38"/>
    <mergeCell ref="C36:C38"/>
    <mergeCell ref="D36:D38"/>
    <mergeCell ref="D51:D53"/>
    <mergeCell ref="A54:A56"/>
    <mergeCell ref="B54:B56"/>
    <mergeCell ref="C54:C56"/>
    <mergeCell ref="D54:D56"/>
    <mergeCell ref="A45:A47"/>
    <mergeCell ref="B45:B47"/>
    <mergeCell ref="C45:C47"/>
    <mergeCell ref="D45:D47"/>
    <mergeCell ref="A48:A50"/>
    <mergeCell ref="B48:B50"/>
    <mergeCell ref="C48:C50"/>
    <mergeCell ref="D48:D50"/>
    <mergeCell ref="A57:A59"/>
    <mergeCell ref="B57:B59"/>
    <mergeCell ref="C57:C59"/>
    <mergeCell ref="A60:A62"/>
    <mergeCell ref="B60:B62"/>
    <mergeCell ref="C60:C62"/>
    <mergeCell ref="A51:A53"/>
    <mergeCell ref="B51:B53"/>
    <mergeCell ref="C51:C53"/>
    <mergeCell ref="A69:A71"/>
    <mergeCell ref="B69:B71"/>
    <mergeCell ref="C69:C71"/>
    <mergeCell ref="D69:D71"/>
    <mergeCell ref="A72:A74"/>
    <mergeCell ref="B72:B74"/>
    <mergeCell ref="C72:C74"/>
    <mergeCell ref="D72:D74"/>
    <mergeCell ref="D60:D62"/>
    <mergeCell ref="A63:A65"/>
    <mergeCell ref="B63:B65"/>
    <mergeCell ref="C63:C65"/>
    <mergeCell ref="D63:D65"/>
    <mergeCell ref="A66:A68"/>
    <mergeCell ref="B66:B68"/>
    <mergeCell ref="C66:C68"/>
    <mergeCell ref="D66:D68"/>
    <mergeCell ref="A81:A83"/>
    <mergeCell ref="B81:B83"/>
    <mergeCell ref="C81:C83"/>
    <mergeCell ref="D81:D83"/>
    <mergeCell ref="A75:A77"/>
    <mergeCell ref="B75:B77"/>
    <mergeCell ref="C75:C77"/>
    <mergeCell ref="D75:D77"/>
    <mergeCell ref="A78:A80"/>
    <mergeCell ref="B78:B80"/>
    <mergeCell ref="C78:C80"/>
    <mergeCell ref="D78:D80"/>
    <mergeCell ref="A84:A86"/>
    <mergeCell ref="B84:B86"/>
    <mergeCell ref="C84:C86"/>
    <mergeCell ref="D84:D86"/>
    <mergeCell ref="A87:A89"/>
    <mergeCell ref="B87:B89"/>
    <mergeCell ref="C87:C89"/>
    <mergeCell ref="D87:D89"/>
    <mergeCell ref="A90:A92"/>
    <mergeCell ref="B90:B92"/>
    <mergeCell ref="C90:C92"/>
    <mergeCell ref="D90:D92"/>
    <mergeCell ref="A93:A95"/>
    <mergeCell ref="B93:B95"/>
    <mergeCell ref="C93:C95"/>
    <mergeCell ref="D93:D95"/>
    <mergeCell ref="A96:A98"/>
    <mergeCell ref="B96:B98"/>
    <mergeCell ref="C96:C98"/>
    <mergeCell ref="D96:D98"/>
    <mergeCell ref="A99:A101"/>
    <mergeCell ref="B99:B101"/>
    <mergeCell ref="C99:C101"/>
    <mergeCell ref="D99:D101"/>
    <mergeCell ref="A102:A104"/>
    <mergeCell ref="B102:B104"/>
    <mergeCell ref="C102:C104"/>
    <mergeCell ref="D102:D104"/>
    <mergeCell ref="A105:A107"/>
    <mergeCell ref="B105:B107"/>
    <mergeCell ref="C105:C107"/>
    <mergeCell ref="D105:D107"/>
    <mergeCell ref="A108:A110"/>
    <mergeCell ref="B108:B110"/>
    <mergeCell ref="C108:C110"/>
    <mergeCell ref="D108:D110"/>
    <mergeCell ref="A111:A113"/>
    <mergeCell ref="B111:B113"/>
    <mergeCell ref="C111:C113"/>
    <mergeCell ref="D111:D113"/>
    <mergeCell ref="A114:A116"/>
    <mergeCell ref="B114:B116"/>
    <mergeCell ref="C114:C116"/>
    <mergeCell ref="D114:D116"/>
    <mergeCell ref="A117:A119"/>
    <mergeCell ref="B117:B119"/>
    <mergeCell ref="C117:C119"/>
    <mergeCell ref="D117:D119"/>
    <mergeCell ref="A120:A122"/>
    <mergeCell ref="B120:B122"/>
    <mergeCell ref="C120:C122"/>
    <mergeCell ref="D120:D122"/>
    <mergeCell ref="A123:A125"/>
    <mergeCell ref="B123:B125"/>
    <mergeCell ref="C123:C125"/>
    <mergeCell ref="D123:D125"/>
    <mergeCell ref="A126:A128"/>
    <mergeCell ref="B126:B128"/>
    <mergeCell ref="C126:C128"/>
    <mergeCell ref="D126:D128"/>
    <mergeCell ref="A129:A131"/>
    <mergeCell ref="B129:B131"/>
    <mergeCell ref="C129:C131"/>
    <mergeCell ref="D129:D131"/>
    <mergeCell ref="A132:A134"/>
    <mergeCell ref="A135:A137"/>
    <mergeCell ref="B132:B134"/>
    <mergeCell ref="B135:B137"/>
    <mergeCell ref="C132:C134"/>
    <mergeCell ref="D132:D134"/>
    <mergeCell ref="C135:C137"/>
    <mergeCell ref="D135:D137"/>
    <mergeCell ref="A138:A140"/>
    <mergeCell ref="B138:B140"/>
    <mergeCell ref="C138:C140"/>
    <mergeCell ref="D138:D140"/>
    <mergeCell ref="A141:A143"/>
    <mergeCell ref="B141:B143"/>
    <mergeCell ref="C141:C143"/>
    <mergeCell ref="D141:D143"/>
    <mergeCell ref="A144:A146"/>
    <mergeCell ref="B144:B146"/>
    <mergeCell ref="C144:C146"/>
    <mergeCell ref="D144:D146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53:A155"/>
    <mergeCell ref="B153:B155"/>
    <mergeCell ref="C153:C155"/>
    <mergeCell ref="D153:D155"/>
    <mergeCell ref="A165:A167"/>
    <mergeCell ref="B165:B167"/>
    <mergeCell ref="C165:C167"/>
    <mergeCell ref="D165:D167"/>
    <mergeCell ref="A168:A170"/>
    <mergeCell ref="B168:B170"/>
    <mergeCell ref="C168:C170"/>
    <mergeCell ref="D168:D170"/>
    <mergeCell ref="A156:A158"/>
    <mergeCell ref="B156:B158"/>
    <mergeCell ref="C156:C158"/>
    <mergeCell ref="D156:D158"/>
    <mergeCell ref="A159:A161"/>
    <mergeCell ref="B159:B161"/>
    <mergeCell ref="C159:C161"/>
    <mergeCell ref="D159:D161"/>
    <mergeCell ref="A162:A164"/>
    <mergeCell ref="B162:B164"/>
    <mergeCell ref="C162:C164"/>
    <mergeCell ref="D162:D164"/>
  </mergeCells>
  <pageMargins left="0.7" right="0.7" top="0.75" bottom="0.75" header="0.3" footer="0.3"/>
  <pageSetup paperSize="9" scale="80" orientation="landscape" verticalDpi="4294967295" r:id="rId1"/>
  <rowBreaks count="1" manualBreakCount="1">
    <brk id="26" max="16383" man="1"/>
  </rowBreaks>
  <ignoredErrors>
    <ignoredError sqref="O8:O170" formula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8"/>
  <sheetViews>
    <sheetView zoomScaleNormal="100" workbookViewId="0">
      <selection activeCell="B4" sqref="B4:B32"/>
    </sheetView>
  </sheetViews>
  <sheetFormatPr defaultRowHeight="15" x14ac:dyDescent="0.25"/>
  <cols>
    <col min="1" max="1" width="6.7109375" style="10" customWidth="1"/>
    <col min="2" max="2" width="35.140625" bestFit="1" customWidth="1"/>
    <col min="3" max="3" width="4.7109375" customWidth="1"/>
    <col min="4" max="4" width="4.140625" customWidth="1"/>
    <col min="5" max="15" width="7.7109375" customWidth="1"/>
    <col min="16" max="17" width="7.7109375" style="10" customWidth="1"/>
  </cols>
  <sheetData>
    <row r="1" spans="1:17" ht="20.25" x14ac:dyDescent="0.25">
      <c r="A1" s="222" t="s">
        <v>63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4"/>
    </row>
    <row r="2" spans="1:17" ht="18" thickBot="1" x14ac:dyDescent="0.3">
      <c r="A2" s="225" t="s">
        <v>51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</row>
    <row r="3" spans="1:17" ht="67.5" customHeight="1" thickBot="1" x14ac:dyDescent="0.3">
      <c r="A3" s="13" t="s">
        <v>24</v>
      </c>
      <c r="B3" s="14" t="s">
        <v>1</v>
      </c>
      <c r="C3" s="15" t="s">
        <v>2</v>
      </c>
      <c r="D3" s="14" t="s">
        <v>3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13</v>
      </c>
      <c r="K3" s="19" t="s">
        <v>68</v>
      </c>
      <c r="L3" s="19" t="s">
        <v>15</v>
      </c>
      <c r="M3" s="17" t="s">
        <v>16</v>
      </c>
      <c r="N3" s="17" t="s">
        <v>17</v>
      </c>
      <c r="O3" s="17" t="s">
        <v>18</v>
      </c>
      <c r="P3" s="67" t="s">
        <v>19</v>
      </c>
      <c r="Q3"/>
    </row>
    <row r="4" spans="1:17" ht="20.100000000000001" customHeight="1" x14ac:dyDescent="0.25">
      <c r="A4" s="154">
        <v>1</v>
      </c>
      <c r="B4" s="141"/>
      <c r="C4" s="145">
        <v>19</v>
      </c>
      <c r="D4" s="145" t="s">
        <v>20</v>
      </c>
      <c r="E4" s="100">
        <v>53</v>
      </c>
      <c r="F4" s="22">
        <v>45</v>
      </c>
      <c r="G4" s="22">
        <v>58</v>
      </c>
      <c r="H4" s="22">
        <v>67</v>
      </c>
      <c r="I4" s="22">
        <v>53</v>
      </c>
      <c r="J4" s="22">
        <v>72</v>
      </c>
      <c r="K4" s="22">
        <v>51</v>
      </c>
      <c r="L4" s="22">
        <f>SUM(E4:K4)</f>
        <v>399</v>
      </c>
      <c r="M4" s="192">
        <f>AVERAGE(E4:K4)</f>
        <v>57</v>
      </c>
      <c r="N4" s="22">
        <f>RANK(M4,$M$4:$M$32)</f>
        <v>28</v>
      </c>
      <c r="O4" s="11"/>
      <c r="P4" s="126"/>
      <c r="Q4"/>
    </row>
    <row r="5" spans="1:17" ht="20.100000000000001" customHeight="1" x14ac:dyDescent="0.25">
      <c r="A5" s="155">
        <v>2</v>
      </c>
      <c r="B5" s="141"/>
      <c r="C5" s="145">
        <v>17</v>
      </c>
      <c r="D5" s="145" t="s">
        <v>20</v>
      </c>
      <c r="E5" s="100">
        <v>85</v>
      </c>
      <c r="F5" s="22">
        <v>98</v>
      </c>
      <c r="G5" s="22">
        <v>100</v>
      </c>
      <c r="H5" s="22">
        <v>89</v>
      </c>
      <c r="I5" s="22">
        <v>96</v>
      </c>
      <c r="J5" s="22">
        <v>97</v>
      </c>
      <c r="K5" s="22">
        <v>90</v>
      </c>
      <c r="L5" s="22">
        <f t="shared" ref="L5:L32" si="0">SUM(E5:K5)</f>
        <v>655</v>
      </c>
      <c r="M5" s="192">
        <f t="shared" ref="M5:M32" si="1">AVERAGE(E5:K5)</f>
        <v>93.571428571428569</v>
      </c>
      <c r="N5" s="22">
        <f t="shared" ref="N5:N32" si="2">RANK(M5,$M$4:$M$32)</f>
        <v>3</v>
      </c>
      <c r="O5" s="11"/>
      <c r="P5" s="25"/>
      <c r="Q5"/>
    </row>
    <row r="6" spans="1:17" ht="20.100000000000001" customHeight="1" x14ac:dyDescent="0.25">
      <c r="A6" s="156">
        <v>3</v>
      </c>
      <c r="B6" s="141"/>
      <c r="C6" s="145">
        <v>17</v>
      </c>
      <c r="D6" s="145" t="s">
        <v>20</v>
      </c>
      <c r="E6" s="100">
        <v>86</v>
      </c>
      <c r="F6" s="22">
        <v>85</v>
      </c>
      <c r="G6" s="22">
        <v>91</v>
      </c>
      <c r="H6" s="22">
        <v>90</v>
      </c>
      <c r="I6" s="22">
        <v>94</v>
      </c>
      <c r="J6" s="22">
        <v>96</v>
      </c>
      <c r="K6" s="22">
        <v>90</v>
      </c>
      <c r="L6" s="22">
        <f t="shared" si="0"/>
        <v>632</v>
      </c>
      <c r="M6" s="192">
        <f t="shared" si="1"/>
        <v>90.285714285714292</v>
      </c>
      <c r="N6" s="22">
        <f t="shared" si="2"/>
        <v>4</v>
      </c>
      <c r="O6" s="11"/>
      <c r="P6" s="25"/>
      <c r="Q6"/>
    </row>
    <row r="7" spans="1:17" ht="20.100000000000001" customHeight="1" x14ac:dyDescent="0.25">
      <c r="A7" s="155">
        <v>4</v>
      </c>
      <c r="B7" s="141"/>
      <c r="C7" s="145">
        <v>16</v>
      </c>
      <c r="D7" s="145" t="s">
        <v>20</v>
      </c>
      <c r="E7" s="100">
        <v>98</v>
      </c>
      <c r="F7" s="22">
        <v>82</v>
      </c>
      <c r="G7" s="22">
        <v>84</v>
      </c>
      <c r="H7" s="22">
        <v>85</v>
      </c>
      <c r="I7" s="22">
        <v>92</v>
      </c>
      <c r="J7" s="22">
        <v>96</v>
      </c>
      <c r="K7" s="22">
        <v>90</v>
      </c>
      <c r="L7" s="22">
        <f t="shared" si="0"/>
        <v>627</v>
      </c>
      <c r="M7" s="192">
        <f t="shared" si="1"/>
        <v>89.571428571428569</v>
      </c>
      <c r="N7" s="22">
        <f t="shared" si="2"/>
        <v>5</v>
      </c>
      <c r="O7" s="11"/>
      <c r="P7" s="25"/>
      <c r="Q7"/>
    </row>
    <row r="8" spans="1:17" ht="20.100000000000001" customHeight="1" x14ac:dyDescent="0.25">
      <c r="A8" s="155">
        <v>5</v>
      </c>
      <c r="B8" s="141"/>
      <c r="C8" s="145">
        <v>19</v>
      </c>
      <c r="D8" s="145" t="s">
        <v>23</v>
      </c>
      <c r="E8" s="100">
        <v>64</v>
      </c>
      <c r="F8" s="22">
        <v>58</v>
      </c>
      <c r="G8" s="22">
        <v>65</v>
      </c>
      <c r="H8" s="22">
        <v>61</v>
      </c>
      <c r="I8" s="22">
        <v>72</v>
      </c>
      <c r="J8" s="22">
        <v>78</v>
      </c>
      <c r="K8" s="22">
        <v>80</v>
      </c>
      <c r="L8" s="22">
        <f t="shared" si="0"/>
        <v>478</v>
      </c>
      <c r="M8" s="192">
        <f t="shared" si="1"/>
        <v>68.285714285714292</v>
      </c>
      <c r="N8" s="22">
        <f t="shared" si="2"/>
        <v>22</v>
      </c>
      <c r="O8" s="11"/>
      <c r="P8" s="25"/>
      <c r="Q8"/>
    </row>
    <row r="9" spans="1:17" ht="20.100000000000001" customHeight="1" x14ac:dyDescent="0.25">
      <c r="A9" s="156">
        <v>6</v>
      </c>
      <c r="B9" s="141"/>
      <c r="C9" s="145">
        <v>17</v>
      </c>
      <c r="D9" s="145" t="s">
        <v>23</v>
      </c>
      <c r="E9" s="100">
        <v>90</v>
      </c>
      <c r="F9" s="22">
        <v>49</v>
      </c>
      <c r="G9" s="22">
        <v>63</v>
      </c>
      <c r="H9" s="22">
        <v>53</v>
      </c>
      <c r="I9" s="22">
        <v>70</v>
      </c>
      <c r="J9" s="22">
        <v>98</v>
      </c>
      <c r="K9" s="22">
        <v>63</v>
      </c>
      <c r="L9" s="22">
        <f t="shared" si="0"/>
        <v>486</v>
      </c>
      <c r="M9" s="192">
        <f t="shared" si="1"/>
        <v>69.428571428571431</v>
      </c>
      <c r="N9" s="22">
        <f t="shared" si="2"/>
        <v>21</v>
      </c>
      <c r="O9" s="11"/>
      <c r="P9" s="25"/>
      <c r="Q9"/>
    </row>
    <row r="10" spans="1:17" ht="20.100000000000001" customHeight="1" x14ac:dyDescent="0.25">
      <c r="A10" s="155">
        <v>7</v>
      </c>
      <c r="B10" s="141"/>
      <c r="C10" s="145">
        <v>16</v>
      </c>
      <c r="D10" s="145" t="s">
        <v>23</v>
      </c>
      <c r="E10" s="100">
        <v>62</v>
      </c>
      <c r="F10" s="22">
        <v>61</v>
      </c>
      <c r="G10" s="22">
        <v>61</v>
      </c>
      <c r="H10" s="22">
        <v>63</v>
      </c>
      <c r="I10" s="22">
        <v>69</v>
      </c>
      <c r="J10" s="22">
        <v>86</v>
      </c>
      <c r="K10" s="22">
        <v>85</v>
      </c>
      <c r="L10" s="22">
        <f t="shared" si="0"/>
        <v>487</v>
      </c>
      <c r="M10" s="192">
        <f t="shared" si="1"/>
        <v>69.571428571428569</v>
      </c>
      <c r="N10" s="22">
        <f t="shared" si="2"/>
        <v>20</v>
      </c>
      <c r="O10" s="11"/>
      <c r="P10" s="25"/>
      <c r="Q10"/>
    </row>
    <row r="11" spans="1:17" ht="20.100000000000001" customHeight="1" x14ac:dyDescent="0.25">
      <c r="A11" s="155">
        <v>8</v>
      </c>
      <c r="B11" s="141"/>
      <c r="C11" s="145">
        <v>18</v>
      </c>
      <c r="D11" s="145" t="s">
        <v>23</v>
      </c>
      <c r="E11" s="100">
        <v>87</v>
      </c>
      <c r="F11" s="22">
        <v>77</v>
      </c>
      <c r="G11" s="22">
        <v>82</v>
      </c>
      <c r="H11" s="22">
        <v>79</v>
      </c>
      <c r="I11" s="22">
        <v>90</v>
      </c>
      <c r="J11" s="22">
        <v>96</v>
      </c>
      <c r="K11" s="22">
        <v>86</v>
      </c>
      <c r="L11" s="22">
        <f t="shared" si="0"/>
        <v>597</v>
      </c>
      <c r="M11" s="192">
        <f t="shared" si="1"/>
        <v>85.285714285714292</v>
      </c>
      <c r="N11" s="22">
        <f t="shared" si="2"/>
        <v>7</v>
      </c>
      <c r="O11" s="11"/>
      <c r="P11" s="25"/>
      <c r="Q11"/>
    </row>
    <row r="12" spans="1:17" ht="20.100000000000001" customHeight="1" x14ac:dyDescent="0.25">
      <c r="A12" s="156">
        <v>9</v>
      </c>
      <c r="B12" s="141"/>
      <c r="C12" s="145">
        <v>18</v>
      </c>
      <c r="D12" s="145" t="s">
        <v>20</v>
      </c>
      <c r="E12" s="100">
        <v>73</v>
      </c>
      <c r="F12" s="22">
        <v>66</v>
      </c>
      <c r="G12" s="22">
        <v>69</v>
      </c>
      <c r="H12" s="22">
        <v>66</v>
      </c>
      <c r="I12" s="22">
        <v>75</v>
      </c>
      <c r="J12" s="22">
        <v>86</v>
      </c>
      <c r="K12" s="22">
        <v>91</v>
      </c>
      <c r="L12" s="22">
        <f t="shared" si="0"/>
        <v>526</v>
      </c>
      <c r="M12" s="192">
        <f t="shared" si="1"/>
        <v>75.142857142857139</v>
      </c>
      <c r="N12" s="22">
        <f t="shared" si="2"/>
        <v>13</v>
      </c>
      <c r="O12" s="11"/>
      <c r="P12" s="25"/>
      <c r="Q12"/>
    </row>
    <row r="13" spans="1:17" ht="20.100000000000001" customHeight="1" x14ac:dyDescent="0.25">
      <c r="A13" s="155">
        <v>10</v>
      </c>
      <c r="B13" s="141"/>
      <c r="C13" s="145">
        <v>18</v>
      </c>
      <c r="D13" s="145" t="s">
        <v>20</v>
      </c>
      <c r="E13" s="100">
        <v>61</v>
      </c>
      <c r="F13" s="22">
        <v>40</v>
      </c>
      <c r="G13" s="22">
        <v>59</v>
      </c>
      <c r="H13" s="22">
        <v>45</v>
      </c>
      <c r="I13" s="22">
        <v>58</v>
      </c>
      <c r="J13" s="22">
        <v>72</v>
      </c>
      <c r="K13" s="22">
        <v>61</v>
      </c>
      <c r="L13" s="22">
        <f t="shared" si="0"/>
        <v>396</v>
      </c>
      <c r="M13" s="192">
        <f t="shared" si="1"/>
        <v>56.571428571428569</v>
      </c>
      <c r="N13" s="22">
        <f t="shared" si="2"/>
        <v>29</v>
      </c>
      <c r="O13" s="11"/>
      <c r="P13" s="25"/>
      <c r="Q13"/>
    </row>
    <row r="14" spans="1:17" ht="20.100000000000001" customHeight="1" x14ac:dyDescent="0.25">
      <c r="A14" s="156">
        <v>11</v>
      </c>
      <c r="B14" s="141"/>
      <c r="C14" s="145">
        <v>17</v>
      </c>
      <c r="D14" s="145" t="s">
        <v>23</v>
      </c>
      <c r="E14" s="100">
        <v>90</v>
      </c>
      <c r="F14" s="22">
        <v>95</v>
      </c>
      <c r="G14" s="22">
        <v>96</v>
      </c>
      <c r="H14" s="22">
        <v>98</v>
      </c>
      <c r="I14" s="22">
        <v>100</v>
      </c>
      <c r="J14" s="22">
        <v>100</v>
      </c>
      <c r="K14" s="22">
        <v>98</v>
      </c>
      <c r="L14" s="22">
        <f t="shared" si="0"/>
        <v>677</v>
      </c>
      <c r="M14" s="192">
        <f t="shared" si="1"/>
        <v>96.714285714285708</v>
      </c>
      <c r="N14" s="22">
        <f t="shared" si="2"/>
        <v>1</v>
      </c>
      <c r="O14" s="11"/>
      <c r="P14" s="25"/>
      <c r="Q14"/>
    </row>
    <row r="15" spans="1:17" ht="20.100000000000001" customHeight="1" x14ac:dyDescent="0.25">
      <c r="A15" s="156">
        <v>12</v>
      </c>
      <c r="B15" s="141"/>
      <c r="C15" s="145">
        <v>17</v>
      </c>
      <c r="D15" s="145" t="s">
        <v>23</v>
      </c>
      <c r="E15" s="100">
        <v>55</v>
      </c>
      <c r="F15" s="22">
        <v>52</v>
      </c>
      <c r="G15" s="22">
        <v>69</v>
      </c>
      <c r="H15" s="22">
        <v>57</v>
      </c>
      <c r="I15" s="22">
        <v>71</v>
      </c>
      <c r="J15" s="22">
        <v>76</v>
      </c>
      <c r="K15" s="22">
        <v>78</v>
      </c>
      <c r="L15" s="22">
        <f t="shared" si="0"/>
        <v>458</v>
      </c>
      <c r="M15" s="192">
        <f t="shared" si="1"/>
        <v>65.428571428571431</v>
      </c>
      <c r="N15" s="22">
        <f t="shared" si="2"/>
        <v>25</v>
      </c>
      <c r="O15" s="11"/>
      <c r="P15" s="25"/>
      <c r="Q15"/>
    </row>
    <row r="16" spans="1:17" ht="20.100000000000001" customHeight="1" x14ac:dyDescent="0.25">
      <c r="A16" s="156">
        <v>13</v>
      </c>
      <c r="B16" s="141"/>
      <c r="C16" s="145">
        <v>17</v>
      </c>
      <c r="D16" s="145" t="s">
        <v>23</v>
      </c>
      <c r="E16" s="100">
        <v>87</v>
      </c>
      <c r="F16" s="22">
        <v>78</v>
      </c>
      <c r="G16" s="22">
        <v>68</v>
      </c>
      <c r="H16" s="22">
        <v>70</v>
      </c>
      <c r="I16" s="22">
        <v>83</v>
      </c>
      <c r="J16" s="22">
        <v>85</v>
      </c>
      <c r="K16" s="22">
        <v>75</v>
      </c>
      <c r="L16" s="22">
        <f t="shared" si="0"/>
        <v>546</v>
      </c>
      <c r="M16" s="192">
        <f t="shared" si="1"/>
        <v>78</v>
      </c>
      <c r="N16" s="22">
        <f t="shared" si="2"/>
        <v>11</v>
      </c>
      <c r="O16" s="11"/>
      <c r="P16" s="25"/>
      <c r="Q16"/>
    </row>
    <row r="17" spans="1:17" ht="20.100000000000001" customHeight="1" x14ac:dyDescent="0.25">
      <c r="A17" s="155">
        <v>14</v>
      </c>
      <c r="B17" s="141"/>
      <c r="C17" s="145">
        <v>16</v>
      </c>
      <c r="D17" s="145" t="s">
        <v>20</v>
      </c>
      <c r="E17" s="100">
        <v>97</v>
      </c>
      <c r="F17" s="22">
        <v>92</v>
      </c>
      <c r="G17" s="22">
        <v>99</v>
      </c>
      <c r="H17" s="22">
        <v>92</v>
      </c>
      <c r="I17" s="22">
        <v>98</v>
      </c>
      <c r="J17" s="22">
        <v>99</v>
      </c>
      <c r="K17" s="22">
        <v>96</v>
      </c>
      <c r="L17" s="22">
        <f t="shared" si="0"/>
        <v>673</v>
      </c>
      <c r="M17" s="192">
        <f t="shared" si="1"/>
        <v>96.142857142857139</v>
      </c>
      <c r="N17" s="22">
        <f t="shared" si="2"/>
        <v>2</v>
      </c>
      <c r="O17" s="11"/>
      <c r="P17" s="25"/>
      <c r="Q17"/>
    </row>
    <row r="18" spans="1:17" ht="20.100000000000001" customHeight="1" x14ac:dyDescent="0.25">
      <c r="A18" s="156">
        <v>15</v>
      </c>
      <c r="B18" s="141"/>
      <c r="C18" s="145">
        <v>17</v>
      </c>
      <c r="D18" s="145" t="s">
        <v>20</v>
      </c>
      <c r="E18" s="100">
        <v>78</v>
      </c>
      <c r="F18" s="22">
        <v>63</v>
      </c>
      <c r="G18" s="23">
        <v>76</v>
      </c>
      <c r="H18" s="22">
        <v>70</v>
      </c>
      <c r="I18" s="22">
        <v>78</v>
      </c>
      <c r="J18" s="22">
        <v>97</v>
      </c>
      <c r="K18" s="22">
        <v>84</v>
      </c>
      <c r="L18" s="22">
        <f t="shared" si="0"/>
        <v>546</v>
      </c>
      <c r="M18" s="192">
        <f t="shared" si="1"/>
        <v>78</v>
      </c>
      <c r="N18" s="22">
        <f t="shared" si="2"/>
        <v>11</v>
      </c>
      <c r="O18" s="11"/>
      <c r="P18" s="25"/>
      <c r="Q18"/>
    </row>
    <row r="19" spans="1:17" ht="20.100000000000001" customHeight="1" x14ac:dyDescent="0.25">
      <c r="A19" s="155">
        <v>16</v>
      </c>
      <c r="B19" s="141"/>
      <c r="C19" s="145">
        <v>17</v>
      </c>
      <c r="D19" s="145" t="s">
        <v>20</v>
      </c>
      <c r="E19" s="100">
        <v>67</v>
      </c>
      <c r="F19" s="22">
        <v>58</v>
      </c>
      <c r="G19" s="22">
        <v>64</v>
      </c>
      <c r="H19" s="22">
        <v>73</v>
      </c>
      <c r="I19" s="22">
        <v>77</v>
      </c>
      <c r="J19" s="22">
        <v>80</v>
      </c>
      <c r="K19" s="22">
        <v>82</v>
      </c>
      <c r="L19" s="22">
        <f t="shared" si="0"/>
        <v>501</v>
      </c>
      <c r="M19" s="192">
        <f t="shared" si="1"/>
        <v>71.571428571428569</v>
      </c>
      <c r="N19" s="22">
        <f t="shared" si="2"/>
        <v>17</v>
      </c>
      <c r="O19" s="11"/>
      <c r="P19" s="25"/>
      <c r="Q19"/>
    </row>
    <row r="20" spans="1:17" ht="20.100000000000001" customHeight="1" x14ac:dyDescent="0.25">
      <c r="A20" s="155">
        <v>17</v>
      </c>
      <c r="B20" s="141"/>
      <c r="C20" s="145">
        <v>17</v>
      </c>
      <c r="D20" s="145" t="s">
        <v>20</v>
      </c>
      <c r="E20" s="100">
        <v>74</v>
      </c>
      <c r="F20" s="22">
        <v>67</v>
      </c>
      <c r="G20" s="22">
        <v>74</v>
      </c>
      <c r="H20" s="22">
        <v>73</v>
      </c>
      <c r="I20" s="22">
        <v>90</v>
      </c>
      <c r="J20" s="22">
        <v>90</v>
      </c>
      <c r="K20" s="22">
        <v>86</v>
      </c>
      <c r="L20" s="22">
        <f t="shared" si="0"/>
        <v>554</v>
      </c>
      <c r="M20" s="192">
        <f t="shared" si="1"/>
        <v>79.142857142857139</v>
      </c>
      <c r="N20" s="22">
        <f t="shared" si="2"/>
        <v>10</v>
      </c>
      <c r="O20" s="11"/>
      <c r="P20" s="25"/>
      <c r="Q20"/>
    </row>
    <row r="21" spans="1:17" ht="20.100000000000001" customHeight="1" x14ac:dyDescent="0.25">
      <c r="A21" s="155">
        <v>18</v>
      </c>
      <c r="B21" s="141"/>
      <c r="C21" s="145">
        <v>17</v>
      </c>
      <c r="D21" s="145" t="s">
        <v>20</v>
      </c>
      <c r="E21" s="100">
        <v>73</v>
      </c>
      <c r="F21" s="22">
        <v>64</v>
      </c>
      <c r="G21" s="23">
        <v>75</v>
      </c>
      <c r="H21" s="22">
        <v>62</v>
      </c>
      <c r="I21" s="22">
        <v>77</v>
      </c>
      <c r="J21" s="22">
        <v>84</v>
      </c>
      <c r="K21" s="22">
        <v>63</v>
      </c>
      <c r="L21" s="22">
        <f t="shared" si="0"/>
        <v>498</v>
      </c>
      <c r="M21" s="192">
        <f t="shared" si="1"/>
        <v>71.142857142857139</v>
      </c>
      <c r="N21" s="22">
        <f t="shared" si="2"/>
        <v>18</v>
      </c>
      <c r="O21" s="11"/>
      <c r="P21" s="25"/>
      <c r="Q21"/>
    </row>
    <row r="22" spans="1:17" ht="20.100000000000001" customHeight="1" x14ac:dyDescent="0.25">
      <c r="A22" s="156">
        <v>19</v>
      </c>
      <c r="B22" s="141"/>
      <c r="C22" s="145">
        <v>18</v>
      </c>
      <c r="D22" s="145" t="s">
        <v>20</v>
      </c>
      <c r="E22" s="100">
        <v>64</v>
      </c>
      <c r="F22" s="22">
        <v>52</v>
      </c>
      <c r="G22" s="22">
        <v>68</v>
      </c>
      <c r="H22" s="22">
        <v>61</v>
      </c>
      <c r="I22" s="22">
        <v>65</v>
      </c>
      <c r="J22" s="22">
        <v>90</v>
      </c>
      <c r="K22" s="22">
        <v>59</v>
      </c>
      <c r="L22" s="22">
        <f t="shared" si="0"/>
        <v>459</v>
      </c>
      <c r="M22" s="192">
        <f t="shared" si="1"/>
        <v>65.571428571428569</v>
      </c>
      <c r="N22" s="22">
        <f t="shared" si="2"/>
        <v>24</v>
      </c>
      <c r="O22" s="11"/>
      <c r="P22" s="25"/>
      <c r="Q22"/>
    </row>
    <row r="23" spans="1:17" ht="20.100000000000001" customHeight="1" x14ac:dyDescent="0.25">
      <c r="A23" s="156">
        <v>20</v>
      </c>
      <c r="B23" s="141"/>
      <c r="C23" s="145">
        <v>17</v>
      </c>
      <c r="D23" s="145" t="s">
        <v>23</v>
      </c>
      <c r="E23" s="100">
        <v>67</v>
      </c>
      <c r="F23" s="22">
        <v>59</v>
      </c>
      <c r="G23" s="22">
        <v>64</v>
      </c>
      <c r="H23" s="22">
        <v>61</v>
      </c>
      <c r="I23" s="22">
        <v>75</v>
      </c>
      <c r="J23" s="22">
        <v>87</v>
      </c>
      <c r="K23" s="22">
        <v>77</v>
      </c>
      <c r="L23" s="22">
        <f t="shared" si="0"/>
        <v>490</v>
      </c>
      <c r="M23" s="192">
        <f t="shared" si="1"/>
        <v>70</v>
      </c>
      <c r="N23" s="22">
        <f t="shared" si="2"/>
        <v>19</v>
      </c>
      <c r="O23" s="11"/>
      <c r="P23" s="25"/>
      <c r="Q23"/>
    </row>
    <row r="24" spans="1:17" ht="20.100000000000001" customHeight="1" x14ac:dyDescent="0.25">
      <c r="A24" s="156">
        <v>21</v>
      </c>
      <c r="B24" s="141"/>
      <c r="C24" s="145">
        <v>19</v>
      </c>
      <c r="D24" s="145" t="s">
        <v>23</v>
      </c>
      <c r="E24" s="100">
        <v>62</v>
      </c>
      <c r="F24" s="22">
        <v>58</v>
      </c>
      <c r="G24" s="22">
        <v>65</v>
      </c>
      <c r="H24" s="22">
        <v>61</v>
      </c>
      <c r="I24" s="22">
        <v>71</v>
      </c>
      <c r="J24" s="22">
        <v>81</v>
      </c>
      <c r="K24" s="22">
        <v>78</v>
      </c>
      <c r="L24" s="22">
        <f t="shared" si="0"/>
        <v>476</v>
      </c>
      <c r="M24" s="192">
        <f t="shared" si="1"/>
        <v>68</v>
      </c>
      <c r="N24" s="22">
        <f t="shared" si="2"/>
        <v>23</v>
      </c>
      <c r="O24" s="11"/>
      <c r="P24" s="25"/>
      <c r="Q24"/>
    </row>
    <row r="25" spans="1:17" ht="20.100000000000001" customHeight="1" x14ac:dyDescent="0.25">
      <c r="A25" s="155">
        <v>22</v>
      </c>
      <c r="B25" s="141"/>
      <c r="C25" s="145">
        <v>18</v>
      </c>
      <c r="D25" s="145" t="s">
        <v>23</v>
      </c>
      <c r="E25" s="100">
        <v>80</v>
      </c>
      <c r="F25" s="22">
        <v>55</v>
      </c>
      <c r="G25" s="22">
        <v>60</v>
      </c>
      <c r="H25" s="22">
        <v>66</v>
      </c>
      <c r="I25" s="22">
        <v>72</v>
      </c>
      <c r="J25" s="22">
        <v>98</v>
      </c>
      <c r="K25" s="22">
        <v>80</v>
      </c>
      <c r="L25" s="22">
        <f t="shared" si="0"/>
        <v>511</v>
      </c>
      <c r="M25" s="192">
        <f t="shared" si="1"/>
        <v>73</v>
      </c>
      <c r="N25" s="22">
        <f t="shared" si="2"/>
        <v>16</v>
      </c>
      <c r="O25" s="11"/>
      <c r="P25" s="25"/>
      <c r="Q25"/>
    </row>
    <row r="26" spans="1:17" ht="20.100000000000001" customHeight="1" x14ac:dyDescent="0.25">
      <c r="A26" s="155">
        <v>23</v>
      </c>
      <c r="B26" s="141"/>
      <c r="C26" s="145">
        <v>17</v>
      </c>
      <c r="D26" s="145" t="s">
        <v>23</v>
      </c>
      <c r="E26" s="100">
        <v>81</v>
      </c>
      <c r="F26" s="22">
        <v>58</v>
      </c>
      <c r="G26" s="22">
        <v>71</v>
      </c>
      <c r="H26" s="22">
        <v>64</v>
      </c>
      <c r="I26" s="22">
        <v>76</v>
      </c>
      <c r="J26" s="22">
        <v>86</v>
      </c>
      <c r="K26" s="22">
        <v>82</v>
      </c>
      <c r="L26" s="22">
        <f t="shared" si="0"/>
        <v>518</v>
      </c>
      <c r="M26" s="192">
        <f t="shared" si="1"/>
        <v>74</v>
      </c>
      <c r="N26" s="22">
        <f t="shared" si="2"/>
        <v>15</v>
      </c>
      <c r="O26" s="11"/>
      <c r="P26" s="25"/>
      <c r="Q26"/>
    </row>
    <row r="27" spans="1:17" ht="20.100000000000001" customHeight="1" x14ac:dyDescent="0.25">
      <c r="A27" s="156">
        <v>24</v>
      </c>
      <c r="B27" s="141"/>
      <c r="C27" s="145">
        <v>17</v>
      </c>
      <c r="D27" s="145" t="s">
        <v>20</v>
      </c>
      <c r="E27" s="100">
        <v>78</v>
      </c>
      <c r="F27" s="22">
        <v>61</v>
      </c>
      <c r="G27" s="23">
        <v>72</v>
      </c>
      <c r="H27" s="23">
        <v>69</v>
      </c>
      <c r="I27" s="22">
        <v>84</v>
      </c>
      <c r="J27" s="23">
        <v>82</v>
      </c>
      <c r="K27" s="22">
        <v>80</v>
      </c>
      <c r="L27" s="22">
        <f t="shared" si="0"/>
        <v>526</v>
      </c>
      <c r="M27" s="192">
        <f t="shared" si="1"/>
        <v>75.142857142857139</v>
      </c>
      <c r="N27" s="22">
        <f t="shared" si="2"/>
        <v>13</v>
      </c>
      <c r="O27" s="11"/>
      <c r="P27" s="25"/>
      <c r="Q27"/>
    </row>
    <row r="28" spans="1:17" ht="20.100000000000001" customHeight="1" x14ac:dyDescent="0.25">
      <c r="A28" s="155">
        <v>25</v>
      </c>
      <c r="B28" s="172"/>
      <c r="C28" s="150">
        <v>19</v>
      </c>
      <c r="D28" s="150" t="s">
        <v>20</v>
      </c>
      <c r="E28" s="100">
        <v>72</v>
      </c>
      <c r="F28" s="23">
        <v>65</v>
      </c>
      <c r="G28" s="23">
        <v>68</v>
      </c>
      <c r="H28" s="22">
        <v>69</v>
      </c>
      <c r="I28" s="23">
        <v>92</v>
      </c>
      <c r="J28" s="22">
        <v>99</v>
      </c>
      <c r="K28" s="22">
        <v>93</v>
      </c>
      <c r="L28" s="22">
        <f t="shared" si="0"/>
        <v>558</v>
      </c>
      <c r="M28" s="192">
        <f t="shared" si="1"/>
        <v>79.714285714285708</v>
      </c>
      <c r="N28" s="22">
        <f t="shared" si="2"/>
        <v>9</v>
      </c>
      <c r="O28" s="11"/>
      <c r="P28" s="25"/>
      <c r="Q28"/>
    </row>
    <row r="29" spans="1:17" ht="20.100000000000001" customHeight="1" x14ac:dyDescent="0.25">
      <c r="A29" s="156">
        <v>26</v>
      </c>
      <c r="B29" s="141"/>
      <c r="C29" s="145">
        <v>17</v>
      </c>
      <c r="D29" s="145" t="s">
        <v>20</v>
      </c>
      <c r="E29" s="100">
        <v>78</v>
      </c>
      <c r="F29" s="22">
        <v>91</v>
      </c>
      <c r="G29" s="22">
        <v>81</v>
      </c>
      <c r="H29" s="22">
        <v>88</v>
      </c>
      <c r="I29" s="22">
        <v>86</v>
      </c>
      <c r="J29" s="22">
        <v>94</v>
      </c>
      <c r="K29" s="22">
        <v>85</v>
      </c>
      <c r="L29" s="22">
        <f t="shared" si="0"/>
        <v>603</v>
      </c>
      <c r="M29" s="192">
        <f t="shared" si="1"/>
        <v>86.142857142857139</v>
      </c>
      <c r="N29" s="22">
        <f t="shared" si="2"/>
        <v>6</v>
      </c>
      <c r="O29" s="11"/>
      <c r="P29" s="25"/>
      <c r="Q29"/>
    </row>
    <row r="30" spans="1:17" ht="20.100000000000001" customHeight="1" x14ac:dyDescent="0.25">
      <c r="A30" s="155">
        <v>27</v>
      </c>
      <c r="B30" s="141"/>
      <c r="C30" s="145">
        <v>18</v>
      </c>
      <c r="D30" s="145" t="s">
        <v>20</v>
      </c>
      <c r="E30" s="45">
        <v>72</v>
      </c>
      <c r="F30" s="11">
        <v>45</v>
      </c>
      <c r="G30" s="11">
        <v>64</v>
      </c>
      <c r="H30" s="11">
        <v>51</v>
      </c>
      <c r="I30" s="11">
        <v>60</v>
      </c>
      <c r="J30" s="11">
        <v>74</v>
      </c>
      <c r="K30" s="11">
        <v>81</v>
      </c>
      <c r="L30" s="22">
        <f t="shared" si="0"/>
        <v>447</v>
      </c>
      <c r="M30" s="192">
        <f t="shared" si="1"/>
        <v>63.857142857142854</v>
      </c>
      <c r="N30" s="22">
        <f t="shared" si="2"/>
        <v>27</v>
      </c>
      <c r="O30" s="11"/>
      <c r="P30" s="25"/>
      <c r="Q30"/>
    </row>
    <row r="31" spans="1:17" ht="20.100000000000001" customHeight="1" x14ac:dyDescent="0.25">
      <c r="A31" s="156">
        <v>28</v>
      </c>
      <c r="B31" s="141"/>
      <c r="C31" s="145">
        <v>17</v>
      </c>
      <c r="D31" s="145" t="s">
        <v>20</v>
      </c>
      <c r="E31" s="45">
        <v>61</v>
      </c>
      <c r="F31" s="11">
        <v>52</v>
      </c>
      <c r="G31" s="11">
        <v>68</v>
      </c>
      <c r="H31" s="11">
        <v>59</v>
      </c>
      <c r="I31" s="11">
        <v>65</v>
      </c>
      <c r="J31" s="11">
        <v>81</v>
      </c>
      <c r="K31" s="11">
        <v>64</v>
      </c>
      <c r="L31" s="22">
        <f t="shared" si="0"/>
        <v>450</v>
      </c>
      <c r="M31" s="192">
        <f t="shared" si="1"/>
        <v>64.285714285714292</v>
      </c>
      <c r="N31" s="22">
        <f t="shared" si="2"/>
        <v>26</v>
      </c>
      <c r="O31" s="11"/>
      <c r="P31" s="25"/>
      <c r="Q31"/>
    </row>
    <row r="32" spans="1:17" ht="20.100000000000001" customHeight="1" x14ac:dyDescent="0.25">
      <c r="A32" s="155">
        <v>29</v>
      </c>
      <c r="B32" s="141"/>
      <c r="C32" s="145">
        <v>18</v>
      </c>
      <c r="D32" s="145" t="s">
        <v>20</v>
      </c>
      <c r="E32" s="45">
        <v>81</v>
      </c>
      <c r="F32" s="11">
        <v>78</v>
      </c>
      <c r="G32" s="11">
        <v>86</v>
      </c>
      <c r="H32" s="11">
        <v>81</v>
      </c>
      <c r="I32" s="11">
        <v>90</v>
      </c>
      <c r="J32" s="11">
        <v>95</v>
      </c>
      <c r="K32" s="11">
        <v>85</v>
      </c>
      <c r="L32" s="22">
        <f t="shared" si="0"/>
        <v>596</v>
      </c>
      <c r="M32" s="192">
        <f t="shared" si="1"/>
        <v>85.142857142857139</v>
      </c>
      <c r="N32" s="22">
        <f t="shared" si="2"/>
        <v>8</v>
      </c>
      <c r="O32" s="11"/>
      <c r="P32" s="25"/>
      <c r="Q32"/>
    </row>
    <row r="33" spans="1:17" ht="20.100000000000001" customHeight="1" x14ac:dyDescent="0.25">
      <c r="A33" s="156">
        <v>30</v>
      </c>
      <c r="B33" s="141"/>
      <c r="C33" s="145"/>
      <c r="D33" s="145"/>
      <c r="E33" s="45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25"/>
      <c r="Q33"/>
    </row>
    <row r="34" spans="1:17" ht="20.100000000000001" customHeight="1" x14ac:dyDescent="0.25">
      <c r="A34" s="155">
        <v>31</v>
      </c>
      <c r="B34" s="141"/>
      <c r="C34" s="145"/>
      <c r="D34" s="145"/>
      <c r="E34" s="45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25"/>
      <c r="Q34"/>
    </row>
    <row r="35" spans="1:17" ht="20.100000000000001" customHeight="1" x14ac:dyDescent="0.25">
      <c r="A35" s="156">
        <v>32</v>
      </c>
      <c r="B35" s="141"/>
      <c r="C35" s="145"/>
      <c r="D35" s="145"/>
      <c r="E35" s="45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25"/>
      <c r="Q35"/>
    </row>
    <row r="36" spans="1:17" ht="20.100000000000001" customHeight="1" x14ac:dyDescent="0.25">
      <c r="A36" s="155">
        <v>33</v>
      </c>
      <c r="B36" s="141"/>
      <c r="C36" s="145"/>
      <c r="D36" s="145"/>
      <c r="E36" s="45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25"/>
      <c r="Q36"/>
    </row>
    <row r="37" spans="1:17" ht="20.100000000000001" customHeight="1" x14ac:dyDescent="0.25">
      <c r="A37" s="156">
        <v>34</v>
      </c>
      <c r="B37" s="141"/>
      <c r="C37" s="145"/>
      <c r="D37" s="145"/>
      <c r="E37" s="45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25"/>
      <c r="Q37"/>
    </row>
    <row r="38" spans="1:17" ht="20.100000000000001" customHeight="1" x14ac:dyDescent="0.25">
      <c r="A38" s="155">
        <v>35</v>
      </c>
      <c r="B38" s="141"/>
      <c r="C38" s="145"/>
      <c r="D38" s="145"/>
      <c r="E38" s="45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25"/>
      <c r="Q38"/>
    </row>
    <row r="39" spans="1:17" ht="20.100000000000001" customHeight="1" x14ac:dyDescent="0.25">
      <c r="A39" s="156">
        <v>36</v>
      </c>
      <c r="B39" s="147"/>
      <c r="C39" s="158"/>
      <c r="D39" s="158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25"/>
      <c r="Q39"/>
    </row>
    <row r="40" spans="1:17" ht="20.100000000000001" customHeight="1" x14ac:dyDescent="0.25">
      <c r="A40" s="155">
        <v>37</v>
      </c>
      <c r="B40" s="153"/>
      <c r="C40" s="42"/>
      <c r="D40" s="42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25"/>
      <c r="Q40"/>
    </row>
    <row r="41" spans="1:17" ht="20.100000000000001" customHeight="1" x14ac:dyDescent="0.25">
      <c r="A41" s="156">
        <v>38</v>
      </c>
      <c r="B41" s="153"/>
      <c r="C41" s="42"/>
      <c r="D41" s="42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25"/>
      <c r="Q41"/>
    </row>
    <row r="42" spans="1:17" ht="20.100000000000001" customHeight="1" x14ac:dyDescent="0.25">
      <c r="A42" s="155">
        <v>39</v>
      </c>
      <c r="B42" s="153"/>
      <c r="C42" s="42"/>
      <c r="D42" s="42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25"/>
      <c r="Q42"/>
    </row>
    <row r="43" spans="1:17" ht="20.100000000000001" customHeight="1" x14ac:dyDescent="0.25">
      <c r="A43" s="156">
        <v>40</v>
      </c>
      <c r="B43" s="153"/>
      <c r="C43" s="42"/>
      <c r="D43" s="42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25"/>
      <c r="Q43"/>
    </row>
    <row r="44" spans="1:17" ht="20.100000000000001" customHeight="1" x14ac:dyDescent="0.25">
      <c r="A44" s="155">
        <v>41</v>
      </c>
      <c r="B44" s="153"/>
      <c r="C44" s="42"/>
      <c r="D44" s="42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25"/>
      <c r="Q44"/>
    </row>
    <row r="45" spans="1:17" ht="20.100000000000001" customHeight="1" x14ac:dyDescent="0.25">
      <c r="A45" s="156">
        <v>42</v>
      </c>
      <c r="B45" s="153"/>
      <c r="C45" s="42"/>
      <c r="D45" s="42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25"/>
      <c r="Q45"/>
    </row>
    <row r="46" spans="1:17" ht="20.100000000000001" customHeight="1" x14ac:dyDescent="0.25">
      <c r="A46" s="155">
        <v>43</v>
      </c>
      <c r="B46" s="153"/>
      <c r="C46" s="42"/>
      <c r="D46" s="42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25"/>
      <c r="Q46"/>
    </row>
    <row r="47" spans="1:17" ht="20.100000000000001" customHeight="1" x14ac:dyDescent="0.25">
      <c r="A47" s="156">
        <v>44</v>
      </c>
      <c r="B47" s="153"/>
      <c r="C47" s="42"/>
      <c r="D47" s="42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25"/>
      <c r="Q47"/>
    </row>
    <row r="48" spans="1:17" ht="20.100000000000001" customHeight="1" x14ac:dyDescent="0.25">
      <c r="A48" s="155">
        <v>45</v>
      </c>
      <c r="B48" s="153"/>
      <c r="C48" s="42"/>
      <c r="D48" s="42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25"/>
      <c r="Q48"/>
    </row>
    <row r="49" spans="1:17" ht="20.100000000000001" customHeight="1" x14ac:dyDescent="0.25">
      <c r="A49" s="156">
        <v>46</v>
      </c>
      <c r="B49" s="153"/>
      <c r="C49" s="42"/>
      <c r="D49" s="42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25"/>
      <c r="Q49"/>
    </row>
    <row r="50" spans="1:17" ht="20.100000000000001" customHeight="1" x14ac:dyDescent="0.25">
      <c r="A50" s="155">
        <v>47</v>
      </c>
      <c r="B50" s="153"/>
      <c r="C50" s="42"/>
      <c r="D50" s="42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25"/>
      <c r="Q50"/>
    </row>
    <row r="51" spans="1:17" ht="20.100000000000001" customHeight="1" x14ac:dyDescent="0.25">
      <c r="A51" s="156">
        <v>48</v>
      </c>
      <c r="B51" s="153"/>
      <c r="C51" s="42"/>
      <c r="D51" s="42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25"/>
      <c r="Q51"/>
    </row>
    <row r="52" spans="1:17" ht="20.100000000000001" customHeight="1" x14ac:dyDescent="0.25">
      <c r="A52" s="155">
        <v>49</v>
      </c>
      <c r="B52" s="153"/>
      <c r="C52" s="42"/>
      <c r="D52" s="42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25"/>
      <c r="Q52"/>
    </row>
    <row r="53" spans="1:17" ht="20.100000000000001" customHeight="1" x14ac:dyDescent="0.25">
      <c r="A53" s="156">
        <v>50</v>
      </c>
      <c r="B53" s="153"/>
      <c r="C53" s="42"/>
      <c r="D53" s="42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25"/>
      <c r="Q53"/>
    </row>
    <row r="54" spans="1:17" ht="20.100000000000001" customHeight="1" x14ac:dyDescent="0.25">
      <c r="A54" s="155">
        <v>51</v>
      </c>
      <c r="B54" s="153"/>
      <c r="C54" s="42"/>
      <c r="D54" s="42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25"/>
      <c r="Q54"/>
    </row>
    <row r="55" spans="1:17" ht="20.100000000000001" customHeight="1" x14ac:dyDescent="0.25">
      <c r="A55" s="156">
        <v>52</v>
      </c>
      <c r="B55" s="153"/>
      <c r="C55" s="42"/>
      <c r="D55" s="42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25"/>
    </row>
    <row r="56" spans="1:17" ht="20.100000000000001" customHeight="1" x14ac:dyDescent="0.25">
      <c r="A56" s="155">
        <v>53</v>
      </c>
      <c r="B56" s="153"/>
      <c r="C56" s="42"/>
      <c r="D56" s="42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25"/>
    </row>
    <row r="57" spans="1:17" ht="20.100000000000001" customHeight="1" x14ac:dyDescent="0.25">
      <c r="A57" s="156">
        <v>54</v>
      </c>
      <c r="B57" s="153"/>
      <c r="C57" s="42"/>
      <c r="D57" s="42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25"/>
    </row>
    <row r="58" spans="1:17" ht="20.100000000000001" customHeight="1" x14ac:dyDescent="0.25">
      <c r="A58" s="155">
        <v>55</v>
      </c>
      <c r="B58" s="153"/>
      <c r="C58" s="42"/>
      <c r="D58" s="42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25"/>
    </row>
  </sheetData>
  <mergeCells count="2">
    <mergeCell ref="A1:Q1"/>
    <mergeCell ref="A2:Q2"/>
  </mergeCells>
  <pageMargins left="0.7" right="0.7" top="0.75" bottom="0.75" header="0.3" footer="0.3"/>
  <pageSetup paperSize="9" scale="86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workbookViewId="0">
      <selection activeCell="B4" sqref="B4:B32"/>
    </sheetView>
  </sheetViews>
  <sheetFormatPr defaultRowHeight="15" x14ac:dyDescent="0.25"/>
  <cols>
    <col min="1" max="1" width="6.7109375" style="10" customWidth="1"/>
    <col min="2" max="2" width="35.140625" bestFit="1" customWidth="1"/>
    <col min="3" max="3" width="4.7109375" customWidth="1"/>
    <col min="4" max="4" width="4.140625" customWidth="1"/>
    <col min="5" max="12" width="7.7109375" customWidth="1"/>
    <col min="13" max="17" width="7.7109375" style="10" customWidth="1"/>
  </cols>
  <sheetData>
    <row r="1" spans="1:17" ht="20.25" x14ac:dyDescent="0.25">
      <c r="A1" s="222" t="s">
        <v>63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4"/>
    </row>
    <row r="2" spans="1:17" ht="18" thickBot="1" x14ac:dyDescent="0.3">
      <c r="A2" s="225" t="s">
        <v>52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</row>
    <row r="3" spans="1:17" ht="67.5" customHeight="1" thickBot="1" x14ac:dyDescent="0.3">
      <c r="A3" s="13" t="s">
        <v>24</v>
      </c>
      <c r="B3" s="14" t="s">
        <v>1</v>
      </c>
      <c r="C3" s="15" t="s">
        <v>2</v>
      </c>
      <c r="D3" s="14" t="s">
        <v>3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13</v>
      </c>
      <c r="K3" s="19" t="s">
        <v>68</v>
      </c>
      <c r="L3" s="19" t="s">
        <v>15</v>
      </c>
      <c r="M3" s="17" t="s">
        <v>16</v>
      </c>
      <c r="N3" s="17" t="s">
        <v>17</v>
      </c>
      <c r="O3" s="17" t="s">
        <v>18</v>
      </c>
      <c r="P3" s="67" t="s">
        <v>19</v>
      </c>
      <c r="Q3"/>
    </row>
    <row r="4" spans="1:17" ht="20.100000000000001" customHeight="1" x14ac:dyDescent="0.25">
      <c r="A4" s="154">
        <v>1</v>
      </c>
      <c r="B4" s="141"/>
      <c r="C4" s="145">
        <v>19</v>
      </c>
      <c r="D4" s="145" t="s">
        <v>20</v>
      </c>
      <c r="E4" s="22">
        <v>60</v>
      </c>
      <c r="F4" s="22">
        <v>77</v>
      </c>
      <c r="G4" s="22">
        <v>66</v>
      </c>
      <c r="H4" s="22">
        <v>70</v>
      </c>
      <c r="I4" s="22">
        <v>60</v>
      </c>
      <c r="J4" s="22">
        <v>90</v>
      </c>
      <c r="K4" s="22">
        <v>70</v>
      </c>
      <c r="L4" s="11">
        <f>SUM(E4:K4)</f>
        <v>493</v>
      </c>
      <c r="M4" s="25">
        <f>AVERAGE(E4:K4)</f>
        <v>70.428571428571431</v>
      </c>
      <c r="N4" s="11">
        <f>RANK(M4,$M$4:$M$32)</f>
        <v>28</v>
      </c>
      <c r="O4" s="11"/>
      <c r="P4" s="11"/>
      <c r="Q4"/>
    </row>
    <row r="5" spans="1:17" ht="20.100000000000001" customHeight="1" x14ac:dyDescent="0.25">
      <c r="A5" s="155">
        <v>2</v>
      </c>
      <c r="B5" s="141"/>
      <c r="C5" s="145">
        <v>17</v>
      </c>
      <c r="D5" s="145" t="s">
        <v>20</v>
      </c>
      <c r="E5" s="22">
        <v>90</v>
      </c>
      <c r="F5" s="22">
        <v>99</v>
      </c>
      <c r="G5" s="22">
        <v>100</v>
      </c>
      <c r="H5" s="22">
        <v>94</v>
      </c>
      <c r="I5" s="22">
        <v>98</v>
      </c>
      <c r="J5" s="22">
        <v>100</v>
      </c>
      <c r="K5" s="22">
        <v>100</v>
      </c>
      <c r="L5" s="11">
        <f t="shared" ref="L5:L32" si="0">SUM(E5:K5)</f>
        <v>681</v>
      </c>
      <c r="M5" s="25">
        <f t="shared" ref="M5:M32" si="1">AVERAGE(E5:K5)</f>
        <v>97.285714285714292</v>
      </c>
      <c r="N5" s="11">
        <f t="shared" ref="N5:N32" si="2">RANK(M5,$M$4:$M$32)</f>
        <v>3</v>
      </c>
      <c r="O5" s="11"/>
      <c r="P5" s="11"/>
      <c r="Q5"/>
    </row>
    <row r="6" spans="1:17" ht="20.100000000000001" customHeight="1" x14ac:dyDescent="0.25">
      <c r="A6" s="156">
        <v>3</v>
      </c>
      <c r="B6" s="141"/>
      <c r="C6" s="145">
        <v>17</v>
      </c>
      <c r="D6" s="145" t="s">
        <v>20</v>
      </c>
      <c r="E6" s="22">
        <v>90</v>
      </c>
      <c r="F6" s="22">
        <v>94</v>
      </c>
      <c r="G6" s="22">
        <v>94</v>
      </c>
      <c r="H6" s="22">
        <v>92</v>
      </c>
      <c r="I6" s="22">
        <v>96</v>
      </c>
      <c r="J6" s="22">
        <v>100</v>
      </c>
      <c r="K6" s="22">
        <v>92</v>
      </c>
      <c r="L6" s="11">
        <f t="shared" si="0"/>
        <v>658</v>
      </c>
      <c r="M6" s="25">
        <f t="shared" si="1"/>
        <v>94</v>
      </c>
      <c r="N6" s="11">
        <f t="shared" si="2"/>
        <v>4</v>
      </c>
      <c r="O6" s="11"/>
      <c r="P6" s="11"/>
      <c r="Q6"/>
    </row>
    <row r="7" spans="1:17" ht="20.100000000000001" customHeight="1" x14ac:dyDescent="0.25">
      <c r="A7" s="155">
        <v>4</v>
      </c>
      <c r="B7" s="141"/>
      <c r="C7" s="145">
        <v>16</v>
      </c>
      <c r="D7" s="145" t="s">
        <v>20</v>
      </c>
      <c r="E7" s="22">
        <v>95</v>
      </c>
      <c r="F7" s="22">
        <v>90</v>
      </c>
      <c r="G7" s="22">
        <v>89</v>
      </c>
      <c r="H7" s="22">
        <v>88</v>
      </c>
      <c r="I7" s="22">
        <v>95</v>
      </c>
      <c r="J7" s="22">
        <v>100</v>
      </c>
      <c r="K7" s="22">
        <v>87</v>
      </c>
      <c r="L7" s="11">
        <f t="shared" si="0"/>
        <v>644</v>
      </c>
      <c r="M7" s="25">
        <f t="shared" si="1"/>
        <v>92</v>
      </c>
      <c r="N7" s="11">
        <f t="shared" si="2"/>
        <v>6</v>
      </c>
      <c r="O7" s="11"/>
      <c r="P7" s="11"/>
      <c r="Q7"/>
    </row>
    <row r="8" spans="1:17" ht="20.100000000000001" customHeight="1" x14ac:dyDescent="0.25">
      <c r="A8" s="155">
        <v>5</v>
      </c>
      <c r="B8" s="141"/>
      <c r="C8" s="145">
        <v>19</v>
      </c>
      <c r="D8" s="145" t="s">
        <v>23</v>
      </c>
      <c r="E8" s="22">
        <v>73</v>
      </c>
      <c r="F8" s="22">
        <v>63</v>
      </c>
      <c r="G8" s="22">
        <v>73</v>
      </c>
      <c r="H8" s="22">
        <v>68</v>
      </c>
      <c r="I8" s="22">
        <v>76</v>
      </c>
      <c r="J8" s="22">
        <v>93</v>
      </c>
      <c r="K8" s="22">
        <v>95</v>
      </c>
      <c r="L8" s="11">
        <f t="shared" si="0"/>
        <v>541</v>
      </c>
      <c r="M8" s="25">
        <f t="shared" si="1"/>
        <v>77.285714285714292</v>
      </c>
      <c r="N8" s="11">
        <f t="shared" si="2"/>
        <v>20</v>
      </c>
      <c r="O8" s="11"/>
      <c r="P8" s="11"/>
      <c r="Q8"/>
    </row>
    <row r="9" spans="1:17" ht="20.100000000000001" customHeight="1" x14ac:dyDescent="0.25">
      <c r="A9" s="156">
        <v>6</v>
      </c>
      <c r="B9" s="141"/>
      <c r="C9" s="145">
        <v>17</v>
      </c>
      <c r="D9" s="145" t="s">
        <v>23</v>
      </c>
      <c r="E9" s="22">
        <v>91</v>
      </c>
      <c r="F9" s="22">
        <v>69</v>
      </c>
      <c r="G9" s="22">
        <v>70</v>
      </c>
      <c r="H9" s="22">
        <v>76</v>
      </c>
      <c r="I9" s="22">
        <v>72</v>
      </c>
      <c r="J9" s="22">
        <v>100</v>
      </c>
      <c r="K9" s="22">
        <v>88</v>
      </c>
      <c r="L9" s="11">
        <f t="shared" si="0"/>
        <v>566</v>
      </c>
      <c r="M9" s="25">
        <f t="shared" si="1"/>
        <v>80.857142857142861</v>
      </c>
      <c r="N9" s="11">
        <f t="shared" si="2"/>
        <v>15</v>
      </c>
      <c r="O9" s="11"/>
      <c r="P9" s="11"/>
      <c r="Q9"/>
    </row>
    <row r="10" spans="1:17" ht="20.100000000000001" customHeight="1" x14ac:dyDescent="0.25">
      <c r="A10" s="155">
        <v>7</v>
      </c>
      <c r="B10" s="141"/>
      <c r="C10" s="145">
        <v>16</v>
      </c>
      <c r="D10" s="145" t="s">
        <v>23</v>
      </c>
      <c r="E10" s="22">
        <v>74</v>
      </c>
      <c r="F10" s="22">
        <v>77</v>
      </c>
      <c r="G10" s="22">
        <v>70</v>
      </c>
      <c r="H10" s="22">
        <v>65</v>
      </c>
      <c r="I10" s="22">
        <v>75</v>
      </c>
      <c r="J10" s="22">
        <v>97</v>
      </c>
      <c r="K10" s="22">
        <v>75</v>
      </c>
      <c r="L10" s="11">
        <f t="shared" si="0"/>
        <v>533</v>
      </c>
      <c r="M10" s="25">
        <f t="shared" si="1"/>
        <v>76.142857142857139</v>
      </c>
      <c r="N10" s="11">
        <f t="shared" si="2"/>
        <v>22</v>
      </c>
      <c r="O10" s="11"/>
      <c r="P10" s="11"/>
      <c r="Q10"/>
    </row>
    <row r="11" spans="1:17" ht="20.100000000000001" customHeight="1" x14ac:dyDescent="0.25">
      <c r="A11" s="155">
        <v>8</v>
      </c>
      <c r="B11" s="141"/>
      <c r="C11" s="145">
        <v>18</v>
      </c>
      <c r="D11" s="145" t="s">
        <v>23</v>
      </c>
      <c r="E11" s="22">
        <v>86</v>
      </c>
      <c r="F11" s="22">
        <v>78</v>
      </c>
      <c r="G11" s="22">
        <v>89</v>
      </c>
      <c r="H11" s="22">
        <v>85</v>
      </c>
      <c r="I11" s="22">
        <v>94</v>
      </c>
      <c r="J11" s="22">
        <v>100</v>
      </c>
      <c r="K11" s="22">
        <v>88</v>
      </c>
      <c r="L11" s="11">
        <f t="shared" si="0"/>
        <v>620</v>
      </c>
      <c r="M11" s="25">
        <f t="shared" si="1"/>
        <v>88.571428571428569</v>
      </c>
      <c r="N11" s="11">
        <f t="shared" si="2"/>
        <v>8</v>
      </c>
      <c r="O11" s="11"/>
      <c r="P11" s="11"/>
      <c r="Q11"/>
    </row>
    <row r="12" spans="1:17" ht="20.100000000000001" customHeight="1" x14ac:dyDescent="0.25">
      <c r="A12" s="156">
        <v>9</v>
      </c>
      <c r="B12" s="141"/>
      <c r="C12" s="145">
        <v>18</v>
      </c>
      <c r="D12" s="145" t="s">
        <v>20</v>
      </c>
      <c r="E12" s="22">
        <v>77</v>
      </c>
      <c r="F12" s="22">
        <v>61</v>
      </c>
      <c r="G12" s="22">
        <v>80</v>
      </c>
      <c r="H12" s="22">
        <v>70</v>
      </c>
      <c r="I12" s="22">
        <v>80</v>
      </c>
      <c r="J12" s="22">
        <v>96</v>
      </c>
      <c r="K12" s="22">
        <v>97</v>
      </c>
      <c r="L12" s="11">
        <f t="shared" si="0"/>
        <v>561</v>
      </c>
      <c r="M12" s="25">
        <f t="shared" si="1"/>
        <v>80.142857142857139</v>
      </c>
      <c r="N12" s="11">
        <f t="shared" si="2"/>
        <v>17</v>
      </c>
      <c r="O12" s="11"/>
      <c r="P12" s="11"/>
      <c r="Q12"/>
    </row>
    <row r="13" spans="1:17" ht="20.100000000000001" customHeight="1" x14ac:dyDescent="0.25">
      <c r="A13" s="155">
        <v>10</v>
      </c>
      <c r="B13" s="141"/>
      <c r="C13" s="145">
        <v>18</v>
      </c>
      <c r="D13" s="145" t="s">
        <v>20</v>
      </c>
      <c r="E13" s="22">
        <v>62</v>
      </c>
      <c r="F13" s="22">
        <v>60</v>
      </c>
      <c r="G13" s="22">
        <v>66</v>
      </c>
      <c r="H13" s="22">
        <v>52</v>
      </c>
      <c r="I13" s="22">
        <v>60</v>
      </c>
      <c r="J13" s="22">
        <v>81</v>
      </c>
      <c r="K13" s="22">
        <v>73</v>
      </c>
      <c r="L13" s="11">
        <f t="shared" si="0"/>
        <v>454</v>
      </c>
      <c r="M13" s="25">
        <f t="shared" si="1"/>
        <v>64.857142857142861</v>
      </c>
      <c r="N13" s="11">
        <f t="shared" si="2"/>
        <v>29</v>
      </c>
      <c r="O13" s="11"/>
      <c r="P13" s="11"/>
      <c r="Q13"/>
    </row>
    <row r="14" spans="1:17" ht="20.100000000000001" customHeight="1" x14ac:dyDescent="0.25">
      <c r="A14" s="156">
        <v>11</v>
      </c>
      <c r="B14" s="141"/>
      <c r="C14" s="145">
        <v>17</v>
      </c>
      <c r="D14" s="145" t="s">
        <v>23</v>
      </c>
      <c r="E14" s="22">
        <v>91</v>
      </c>
      <c r="F14" s="22">
        <v>95</v>
      </c>
      <c r="G14" s="22">
        <v>99</v>
      </c>
      <c r="H14" s="22">
        <v>99</v>
      </c>
      <c r="I14" s="22">
        <v>100</v>
      </c>
      <c r="J14" s="22">
        <v>100</v>
      </c>
      <c r="K14" s="22">
        <v>100</v>
      </c>
      <c r="L14" s="11">
        <f t="shared" si="0"/>
        <v>684</v>
      </c>
      <c r="M14" s="25">
        <f t="shared" si="1"/>
        <v>97.714285714285708</v>
      </c>
      <c r="N14" s="11">
        <f t="shared" si="2"/>
        <v>2</v>
      </c>
      <c r="O14" s="11"/>
      <c r="P14" s="11"/>
      <c r="Q14"/>
    </row>
    <row r="15" spans="1:17" ht="20.100000000000001" customHeight="1" x14ac:dyDescent="0.25">
      <c r="A15" s="156">
        <v>12</v>
      </c>
      <c r="B15" s="141"/>
      <c r="C15" s="145">
        <v>17</v>
      </c>
      <c r="D15" s="145" t="s">
        <v>23</v>
      </c>
      <c r="E15" s="22">
        <v>72</v>
      </c>
      <c r="F15" s="22">
        <v>64</v>
      </c>
      <c r="G15" s="22">
        <v>71</v>
      </c>
      <c r="H15" s="22">
        <v>61</v>
      </c>
      <c r="I15" s="22">
        <v>75</v>
      </c>
      <c r="J15" s="22">
        <v>90</v>
      </c>
      <c r="K15" s="22">
        <v>87</v>
      </c>
      <c r="L15" s="11">
        <f t="shared" si="0"/>
        <v>520</v>
      </c>
      <c r="M15" s="25">
        <f t="shared" si="1"/>
        <v>74.285714285714292</v>
      </c>
      <c r="N15" s="11">
        <f t="shared" si="2"/>
        <v>25</v>
      </c>
      <c r="O15" s="11"/>
      <c r="P15" s="11"/>
      <c r="Q15"/>
    </row>
    <row r="16" spans="1:17" ht="20.100000000000001" customHeight="1" x14ac:dyDescent="0.25">
      <c r="A16" s="156">
        <v>13</v>
      </c>
      <c r="B16" s="141"/>
      <c r="C16" s="145">
        <v>17</v>
      </c>
      <c r="D16" s="145" t="s">
        <v>23</v>
      </c>
      <c r="E16" s="22">
        <v>86</v>
      </c>
      <c r="F16" s="22">
        <v>70</v>
      </c>
      <c r="G16" s="22">
        <v>87</v>
      </c>
      <c r="H16" s="22">
        <v>78</v>
      </c>
      <c r="I16" s="22">
        <v>90</v>
      </c>
      <c r="J16" s="22">
        <v>97</v>
      </c>
      <c r="K16" s="22">
        <v>93</v>
      </c>
      <c r="L16" s="11">
        <f t="shared" si="0"/>
        <v>601</v>
      </c>
      <c r="M16" s="25">
        <f t="shared" si="1"/>
        <v>85.857142857142861</v>
      </c>
      <c r="N16" s="11">
        <f t="shared" si="2"/>
        <v>10</v>
      </c>
      <c r="O16" s="11"/>
      <c r="P16" s="11"/>
      <c r="Q16"/>
    </row>
    <row r="17" spans="1:17" ht="20.100000000000001" customHeight="1" x14ac:dyDescent="0.25">
      <c r="A17" s="155">
        <v>14</v>
      </c>
      <c r="B17" s="141"/>
      <c r="C17" s="145">
        <v>16</v>
      </c>
      <c r="D17" s="145" t="s">
        <v>20</v>
      </c>
      <c r="E17" s="22">
        <v>95</v>
      </c>
      <c r="F17" s="22">
        <v>98</v>
      </c>
      <c r="G17" s="22">
        <v>99</v>
      </c>
      <c r="H17" s="22">
        <v>94</v>
      </c>
      <c r="I17" s="22">
        <v>100</v>
      </c>
      <c r="J17" s="22">
        <v>100</v>
      </c>
      <c r="K17" s="22">
        <v>100</v>
      </c>
      <c r="L17" s="11">
        <f t="shared" si="0"/>
        <v>686</v>
      </c>
      <c r="M17" s="25">
        <f t="shared" si="1"/>
        <v>98</v>
      </c>
      <c r="N17" s="11">
        <f t="shared" si="2"/>
        <v>1</v>
      </c>
      <c r="O17" s="11"/>
      <c r="P17" s="11"/>
      <c r="Q17"/>
    </row>
    <row r="18" spans="1:17" ht="20.100000000000001" customHeight="1" x14ac:dyDescent="0.25">
      <c r="A18" s="156">
        <v>15</v>
      </c>
      <c r="B18" s="141"/>
      <c r="C18" s="145">
        <v>17</v>
      </c>
      <c r="D18" s="145" t="s">
        <v>20</v>
      </c>
      <c r="E18" s="22">
        <v>73</v>
      </c>
      <c r="F18" s="22">
        <v>68</v>
      </c>
      <c r="G18" s="23">
        <v>87</v>
      </c>
      <c r="H18" s="22">
        <v>75</v>
      </c>
      <c r="I18" s="22">
        <v>85</v>
      </c>
      <c r="J18" s="22">
        <v>100</v>
      </c>
      <c r="K18" s="22">
        <v>85</v>
      </c>
      <c r="L18" s="11">
        <f t="shared" si="0"/>
        <v>573</v>
      </c>
      <c r="M18" s="25">
        <f t="shared" si="1"/>
        <v>81.857142857142861</v>
      </c>
      <c r="N18" s="11">
        <f t="shared" si="2"/>
        <v>14</v>
      </c>
      <c r="O18" s="11"/>
      <c r="P18" s="11"/>
      <c r="Q18"/>
    </row>
    <row r="19" spans="1:17" ht="20.100000000000001" customHeight="1" x14ac:dyDescent="0.25">
      <c r="A19" s="155">
        <v>16</v>
      </c>
      <c r="B19" s="141"/>
      <c r="C19" s="145">
        <v>17</v>
      </c>
      <c r="D19" s="145" t="s">
        <v>20</v>
      </c>
      <c r="E19" s="22">
        <v>77</v>
      </c>
      <c r="F19" s="22">
        <v>68</v>
      </c>
      <c r="G19" s="22">
        <v>81</v>
      </c>
      <c r="H19" s="22">
        <v>76</v>
      </c>
      <c r="I19" s="22">
        <v>80</v>
      </c>
      <c r="J19" s="22">
        <v>92</v>
      </c>
      <c r="K19" s="22">
        <v>83</v>
      </c>
      <c r="L19" s="11">
        <f t="shared" si="0"/>
        <v>557</v>
      </c>
      <c r="M19" s="25">
        <f t="shared" si="1"/>
        <v>79.571428571428569</v>
      </c>
      <c r="N19" s="11">
        <f t="shared" si="2"/>
        <v>18</v>
      </c>
      <c r="O19" s="11"/>
      <c r="P19" s="11"/>
      <c r="Q19"/>
    </row>
    <row r="20" spans="1:17" ht="20.100000000000001" customHeight="1" x14ac:dyDescent="0.25">
      <c r="A20" s="155">
        <v>17</v>
      </c>
      <c r="B20" s="141"/>
      <c r="C20" s="145">
        <v>17</v>
      </c>
      <c r="D20" s="145" t="s">
        <v>20</v>
      </c>
      <c r="E20" s="22">
        <v>80</v>
      </c>
      <c r="F20" s="22">
        <v>77</v>
      </c>
      <c r="G20" s="22">
        <v>89</v>
      </c>
      <c r="H20" s="22">
        <v>80</v>
      </c>
      <c r="I20" s="22">
        <v>94</v>
      </c>
      <c r="J20" s="22">
        <v>96</v>
      </c>
      <c r="K20" s="22">
        <v>93</v>
      </c>
      <c r="L20" s="11">
        <f t="shared" si="0"/>
        <v>609</v>
      </c>
      <c r="M20" s="25">
        <f t="shared" si="1"/>
        <v>87</v>
      </c>
      <c r="N20" s="11">
        <f t="shared" si="2"/>
        <v>9</v>
      </c>
      <c r="O20" s="11"/>
      <c r="P20" s="11"/>
      <c r="Q20"/>
    </row>
    <row r="21" spans="1:17" ht="20.100000000000001" customHeight="1" x14ac:dyDescent="0.25">
      <c r="A21" s="155">
        <v>18</v>
      </c>
      <c r="B21" s="141"/>
      <c r="C21" s="145">
        <v>17</v>
      </c>
      <c r="D21" s="145" t="s">
        <v>20</v>
      </c>
      <c r="E21" s="22">
        <v>75</v>
      </c>
      <c r="F21" s="22">
        <v>70</v>
      </c>
      <c r="G21" s="23">
        <v>80</v>
      </c>
      <c r="H21" s="22">
        <v>65</v>
      </c>
      <c r="I21" s="22">
        <v>80</v>
      </c>
      <c r="J21" s="22">
        <v>94</v>
      </c>
      <c r="K21" s="22">
        <v>70</v>
      </c>
      <c r="L21" s="11">
        <f t="shared" si="0"/>
        <v>534</v>
      </c>
      <c r="M21" s="25">
        <f t="shared" si="1"/>
        <v>76.285714285714292</v>
      </c>
      <c r="N21" s="11">
        <f t="shared" si="2"/>
        <v>21</v>
      </c>
      <c r="O21" s="11"/>
      <c r="P21" s="11"/>
      <c r="Q21"/>
    </row>
    <row r="22" spans="1:17" ht="20.100000000000001" customHeight="1" x14ac:dyDescent="0.25">
      <c r="A22" s="156">
        <v>19</v>
      </c>
      <c r="B22" s="141"/>
      <c r="C22" s="145">
        <v>18</v>
      </c>
      <c r="D22" s="145" t="s">
        <v>20</v>
      </c>
      <c r="E22" s="22">
        <v>68</v>
      </c>
      <c r="F22" s="22">
        <v>70</v>
      </c>
      <c r="G22" s="22">
        <v>73</v>
      </c>
      <c r="H22" s="22">
        <v>64</v>
      </c>
      <c r="I22" s="22">
        <v>68</v>
      </c>
      <c r="J22" s="22">
        <v>97</v>
      </c>
      <c r="K22" s="22">
        <v>82</v>
      </c>
      <c r="L22" s="11">
        <f t="shared" si="0"/>
        <v>522</v>
      </c>
      <c r="M22" s="25">
        <f t="shared" si="1"/>
        <v>74.571428571428569</v>
      </c>
      <c r="N22" s="11">
        <f t="shared" si="2"/>
        <v>24</v>
      </c>
      <c r="O22" s="11"/>
      <c r="P22" s="11"/>
      <c r="Q22"/>
    </row>
    <row r="23" spans="1:17" ht="20.100000000000001" customHeight="1" x14ac:dyDescent="0.25">
      <c r="A23" s="156">
        <v>20</v>
      </c>
      <c r="B23" s="141"/>
      <c r="C23" s="145">
        <v>17</v>
      </c>
      <c r="D23" s="145" t="s">
        <v>23</v>
      </c>
      <c r="E23" s="22">
        <v>73</v>
      </c>
      <c r="F23" s="22">
        <v>77</v>
      </c>
      <c r="G23" s="22">
        <v>75</v>
      </c>
      <c r="H23" s="22">
        <v>66</v>
      </c>
      <c r="I23" s="22">
        <v>80</v>
      </c>
      <c r="J23" s="22">
        <v>95</v>
      </c>
      <c r="K23" s="22">
        <v>82</v>
      </c>
      <c r="L23" s="11">
        <f t="shared" si="0"/>
        <v>548</v>
      </c>
      <c r="M23" s="25">
        <f t="shared" si="1"/>
        <v>78.285714285714292</v>
      </c>
      <c r="N23" s="11">
        <f t="shared" si="2"/>
        <v>19</v>
      </c>
      <c r="O23" s="11"/>
      <c r="P23" s="11"/>
      <c r="Q23"/>
    </row>
    <row r="24" spans="1:17" ht="20.100000000000001" customHeight="1" x14ac:dyDescent="0.25">
      <c r="A24" s="156">
        <v>21</v>
      </c>
      <c r="B24" s="141"/>
      <c r="C24" s="145">
        <v>19</v>
      </c>
      <c r="D24" s="145" t="s">
        <v>23</v>
      </c>
      <c r="E24" s="22">
        <v>69</v>
      </c>
      <c r="F24" s="22">
        <v>65</v>
      </c>
      <c r="G24" s="22">
        <v>75</v>
      </c>
      <c r="H24" s="22">
        <v>66</v>
      </c>
      <c r="I24" s="22">
        <v>75</v>
      </c>
      <c r="J24" s="22">
        <v>92</v>
      </c>
      <c r="K24" s="22">
        <v>90</v>
      </c>
      <c r="L24" s="11">
        <f t="shared" si="0"/>
        <v>532</v>
      </c>
      <c r="M24" s="25">
        <f t="shared" si="1"/>
        <v>76</v>
      </c>
      <c r="N24" s="11">
        <f t="shared" si="2"/>
        <v>23</v>
      </c>
      <c r="O24" s="11"/>
      <c r="P24" s="11"/>
      <c r="Q24"/>
    </row>
    <row r="25" spans="1:17" ht="20.100000000000001" customHeight="1" x14ac:dyDescent="0.25">
      <c r="A25" s="155">
        <v>22</v>
      </c>
      <c r="B25" s="141"/>
      <c r="C25" s="145">
        <v>18</v>
      </c>
      <c r="D25" s="145" t="s">
        <v>23</v>
      </c>
      <c r="E25" s="22">
        <v>83</v>
      </c>
      <c r="F25" s="22">
        <v>75</v>
      </c>
      <c r="G25" s="22">
        <v>70</v>
      </c>
      <c r="H25" s="22">
        <v>70</v>
      </c>
      <c r="I25" s="22">
        <v>80</v>
      </c>
      <c r="J25" s="22">
        <v>100</v>
      </c>
      <c r="K25" s="22">
        <v>87</v>
      </c>
      <c r="L25" s="11">
        <f t="shared" si="0"/>
        <v>565</v>
      </c>
      <c r="M25" s="25">
        <f t="shared" si="1"/>
        <v>80.714285714285708</v>
      </c>
      <c r="N25" s="11">
        <f t="shared" si="2"/>
        <v>16</v>
      </c>
      <c r="O25" s="11"/>
      <c r="P25" s="11"/>
      <c r="Q25"/>
    </row>
    <row r="26" spans="1:17" ht="20.100000000000001" customHeight="1" x14ac:dyDescent="0.25">
      <c r="A26" s="155">
        <v>23</v>
      </c>
      <c r="B26" s="141"/>
      <c r="C26" s="145">
        <v>17</v>
      </c>
      <c r="D26" s="145" t="s">
        <v>23</v>
      </c>
      <c r="E26" s="22">
        <v>83</v>
      </c>
      <c r="F26" s="22">
        <v>72</v>
      </c>
      <c r="G26" s="22">
        <v>87</v>
      </c>
      <c r="H26" s="22">
        <v>69</v>
      </c>
      <c r="I26" s="22">
        <v>80</v>
      </c>
      <c r="J26" s="22">
        <v>95</v>
      </c>
      <c r="K26" s="22">
        <v>90</v>
      </c>
      <c r="L26" s="11">
        <f t="shared" si="0"/>
        <v>576</v>
      </c>
      <c r="M26" s="25">
        <f t="shared" si="1"/>
        <v>82.285714285714292</v>
      </c>
      <c r="N26" s="11">
        <f t="shared" si="2"/>
        <v>13</v>
      </c>
      <c r="O26" s="11"/>
      <c r="P26" s="11"/>
      <c r="Q26"/>
    </row>
    <row r="27" spans="1:17" ht="20.100000000000001" customHeight="1" x14ac:dyDescent="0.25">
      <c r="A27" s="156">
        <v>24</v>
      </c>
      <c r="B27" s="141"/>
      <c r="C27" s="145">
        <v>17</v>
      </c>
      <c r="D27" s="145" t="s">
        <v>20</v>
      </c>
      <c r="E27" s="22">
        <v>80</v>
      </c>
      <c r="F27" s="22">
        <v>65</v>
      </c>
      <c r="G27" s="23">
        <v>86</v>
      </c>
      <c r="H27" s="23">
        <v>76</v>
      </c>
      <c r="I27" s="22">
        <v>90</v>
      </c>
      <c r="J27" s="23">
        <v>95</v>
      </c>
      <c r="K27" s="22">
        <v>93</v>
      </c>
      <c r="L27" s="11">
        <f t="shared" si="0"/>
        <v>585</v>
      </c>
      <c r="M27" s="25">
        <f t="shared" si="1"/>
        <v>83.571428571428569</v>
      </c>
      <c r="N27" s="11">
        <f t="shared" si="2"/>
        <v>12</v>
      </c>
      <c r="O27" s="11"/>
      <c r="P27" s="11"/>
      <c r="Q27"/>
    </row>
    <row r="28" spans="1:17" ht="20.100000000000001" customHeight="1" x14ac:dyDescent="0.25">
      <c r="A28" s="155">
        <v>25</v>
      </c>
      <c r="B28" s="172"/>
      <c r="C28" s="150">
        <v>19</v>
      </c>
      <c r="D28" s="150" t="s">
        <v>20</v>
      </c>
      <c r="E28" s="22">
        <v>73</v>
      </c>
      <c r="F28" s="23">
        <v>77</v>
      </c>
      <c r="G28" s="23">
        <v>82</v>
      </c>
      <c r="H28" s="22">
        <v>74</v>
      </c>
      <c r="I28" s="23">
        <v>93</v>
      </c>
      <c r="J28" s="22">
        <v>99</v>
      </c>
      <c r="K28" s="22">
        <v>97</v>
      </c>
      <c r="L28" s="11">
        <f t="shared" si="0"/>
        <v>595</v>
      </c>
      <c r="M28" s="25">
        <f t="shared" si="1"/>
        <v>85</v>
      </c>
      <c r="N28" s="11">
        <f t="shared" si="2"/>
        <v>11</v>
      </c>
      <c r="O28" s="11"/>
      <c r="P28" s="11"/>
      <c r="Q28"/>
    </row>
    <row r="29" spans="1:17" ht="20.100000000000001" customHeight="1" x14ac:dyDescent="0.25">
      <c r="A29" s="156">
        <v>26</v>
      </c>
      <c r="B29" s="141"/>
      <c r="C29" s="145">
        <v>17</v>
      </c>
      <c r="D29" s="145" t="s">
        <v>20</v>
      </c>
      <c r="E29" s="22">
        <v>85</v>
      </c>
      <c r="F29" s="22">
        <v>97</v>
      </c>
      <c r="G29" s="22">
        <v>93</v>
      </c>
      <c r="H29" s="22">
        <v>92</v>
      </c>
      <c r="I29" s="22">
        <v>94</v>
      </c>
      <c r="J29" s="22">
        <v>100</v>
      </c>
      <c r="K29" s="22">
        <v>93</v>
      </c>
      <c r="L29" s="11">
        <f t="shared" si="0"/>
        <v>654</v>
      </c>
      <c r="M29" s="25">
        <f t="shared" si="1"/>
        <v>93.428571428571431</v>
      </c>
      <c r="N29" s="11">
        <f t="shared" si="2"/>
        <v>5</v>
      </c>
      <c r="O29" s="11"/>
      <c r="P29" s="11"/>
      <c r="Q29"/>
    </row>
    <row r="30" spans="1:17" ht="20.100000000000001" customHeight="1" x14ac:dyDescent="0.25">
      <c r="A30" s="156">
        <v>27</v>
      </c>
      <c r="B30" s="141"/>
      <c r="C30" s="145">
        <v>18</v>
      </c>
      <c r="D30" s="145" t="s">
        <v>20</v>
      </c>
      <c r="E30" s="22">
        <v>71</v>
      </c>
      <c r="F30" s="22">
        <v>65</v>
      </c>
      <c r="G30" s="23">
        <v>68</v>
      </c>
      <c r="H30" s="22">
        <v>57</v>
      </c>
      <c r="I30" s="22">
        <v>64</v>
      </c>
      <c r="J30" s="22">
        <v>89</v>
      </c>
      <c r="K30" s="22">
        <v>92</v>
      </c>
      <c r="L30" s="11">
        <f t="shared" si="0"/>
        <v>506</v>
      </c>
      <c r="M30" s="25">
        <f t="shared" si="1"/>
        <v>72.285714285714292</v>
      </c>
      <c r="N30" s="11">
        <f t="shared" si="2"/>
        <v>27</v>
      </c>
      <c r="O30" s="11"/>
      <c r="P30" s="11"/>
      <c r="Q30"/>
    </row>
    <row r="31" spans="1:17" ht="20.100000000000001" customHeight="1" x14ac:dyDescent="0.25">
      <c r="A31" s="156">
        <v>28</v>
      </c>
      <c r="B31" s="141"/>
      <c r="C31" s="145">
        <v>17</v>
      </c>
      <c r="D31" s="145" t="s">
        <v>20</v>
      </c>
      <c r="E31" s="22">
        <v>73</v>
      </c>
      <c r="F31" s="22">
        <v>61</v>
      </c>
      <c r="G31" s="22">
        <v>70</v>
      </c>
      <c r="H31" s="22">
        <v>63</v>
      </c>
      <c r="I31" s="22">
        <v>69</v>
      </c>
      <c r="J31" s="22">
        <v>94</v>
      </c>
      <c r="K31" s="22">
        <v>78</v>
      </c>
      <c r="L31" s="11">
        <f t="shared" si="0"/>
        <v>508</v>
      </c>
      <c r="M31" s="25">
        <f t="shared" si="1"/>
        <v>72.571428571428569</v>
      </c>
      <c r="N31" s="11">
        <f t="shared" si="2"/>
        <v>26</v>
      </c>
      <c r="O31" s="11"/>
      <c r="P31" s="11"/>
      <c r="Q31"/>
    </row>
    <row r="32" spans="1:17" ht="20.100000000000001" customHeight="1" x14ac:dyDescent="0.25">
      <c r="A32" s="156">
        <v>29</v>
      </c>
      <c r="B32" s="141"/>
      <c r="C32" s="145">
        <v>18</v>
      </c>
      <c r="D32" s="145" t="s">
        <v>20</v>
      </c>
      <c r="E32" s="11">
        <v>85</v>
      </c>
      <c r="F32" s="11">
        <v>89</v>
      </c>
      <c r="G32" s="11">
        <v>94</v>
      </c>
      <c r="H32" s="11">
        <v>86</v>
      </c>
      <c r="I32" s="11">
        <v>94</v>
      </c>
      <c r="J32" s="11">
        <v>100</v>
      </c>
      <c r="K32" s="11">
        <v>92</v>
      </c>
      <c r="L32" s="11">
        <f t="shared" si="0"/>
        <v>640</v>
      </c>
      <c r="M32" s="25">
        <f t="shared" si="1"/>
        <v>91.428571428571431</v>
      </c>
      <c r="N32" s="11">
        <f t="shared" si="2"/>
        <v>7</v>
      </c>
      <c r="O32" s="11"/>
      <c r="P32" s="11"/>
      <c r="Q32"/>
    </row>
    <row r="33" spans="1:17" ht="20.100000000000001" customHeight="1" x14ac:dyDescent="0.25">
      <c r="A33" s="156">
        <v>30</v>
      </c>
      <c r="B33" s="178"/>
      <c r="C33" s="157"/>
      <c r="D33" s="157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/>
    </row>
    <row r="34" spans="1:17" ht="20.100000000000001" customHeight="1" x14ac:dyDescent="0.25">
      <c r="A34" s="156">
        <v>31</v>
      </c>
      <c r="B34" s="178"/>
      <c r="C34" s="157"/>
      <c r="D34" s="157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/>
    </row>
    <row r="35" spans="1:17" ht="20.100000000000001" customHeight="1" x14ac:dyDescent="0.25">
      <c r="A35" s="156">
        <v>32</v>
      </c>
      <c r="B35" s="178"/>
      <c r="C35" s="157"/>
      <c r="D35" s="157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/>
    </row>
    <row r="36" spans="1:17" ht="20.100000000000001" customHeight="1" x14ac:dyDescent="0.25">
      <c r="A36" s="156">
        <v>33</v>
      </c>
      <c r="B36" s="178"/>
      <c r="C36" s="157"/>
      <c r="D36" s="157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/>
    </row>
    <row r="37" spans="1:17" ht="20.100000000000001" customHeight="1" x14ac:dyDescent="0.25">
      <c r="A37" s="156">
        <v>34</v>
      </c>
      <c r="B37" s="178"/>
      <c r="C37" s="157"/>
      <c r="D37" s="157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/>
    </row>
    <row r="38" spans="1:17" ht="20.100000000000001" customHeight="1" x14ac:dyDescent="0.25">
      <c r="A38" s="156">
        <v>35</v>
      </c>
      <c r="B38" s="178"/>
      <c r="C38" s="157"/>
      <c r="D38" s="157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/>
    </row>
    <row r="39" spans="1:17" ht="20.100000000000001" customHeight="1" x14ac:dyDescent="0.25">
      <c r="A39" s="156">
        <v>36</v>
      </c>
      <c r="B39" s="153"/>
      <c r="C39" s="42"/>
      <c r="D39" s="42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/>
    </row>
    <row r="40" spans="1:17" ht="20.100000000000001" customHeight="1" x14ac:dyDescent="0.25">
      <c r="A40" s="156">
        <v>37</v>
      </c>
      <c r="B40" s="153"/>
      <c r="C40" s="42"/>
      <c r="D40" s="42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/>
    </row>
    <row r="41" spans="1:17" ht="20.100000000000001" customHeight="1" x14ac:dyDescent="0.25">
      <c r="A41" s="156">
        <v>38</v>
      </c>
      <c r="B41" s="153"/>
      <c r="C41" s="42"/>
      <c r="D41" s="42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/>
    </row>
    <row r="42" spans="1:17" ht="20.100000000000001" customHeight="1" x14ac:dyDescent="0.25">
      <c r="A42" s="156">
        <v>39</v>
      </c>
      <c r="B42" s="153"/>
      <c r="C42" s="42"/>
      <c r="D42" s="42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/>
    </row>
    <row r="43" spans="1:17" ht="20.100000000000001" customHeight="1" x14ac:dyDescent="0.25">
      <c r="A43" s="156">
        <v>40</v>
      </c>
      <c r="B43" s="153"/>
      <c r="C43" s="42"/>
      <c r="D43" s="42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/>
    </row>
    <row r="44" spans="1:17" ht="20.100000000000001" customHeight="1" x14ac:dyDescent="0.25">
      <c r="A44" s="156">
        <v>41</v>
      </c>
      <c r="B44" s="153"/>
      <c r="C44" s="42"/>
      <c r="D44" s="42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/>
    </row>
    <row r="45" spans="1:17" ht="20.100000000000001" customHeight="1" x14ac:dyDescent="0.25">
      <c r="A45" s="156">
        <v>42</v>
      </c>
      <c r="B45" s="153"/>
      <c r="C45" s="42"/>
      <c r="D45" s="42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/>
    </row>
    <row r="46" spans="1:17" ht="20.100000000000001" customHeight="1" x14ac:dyDescent="0.25">
      <c r="A46" s="156">
        <v>43</v>
      </c>
      <c r="B46" s="153"/>
      <c r="C46" s="42"/>
      <c r="D46" s="42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/>
    </row>
    <row r="47" spans="1:17" ht="20.100000000000001" customHeight="1" x14ac:dyDescent="0.25">
      <c r="A47" s="156">
        <v>44</v>
      </c>
      <c r="B47" s="153"/>
      <c r="C47" s="42"/>
      <c r="D47" s="42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/>
    </row>
    <row r="48" spans="1:17" ht="20.100000000000001" customHeight="1" x14ac:dyDescent="0.25">
      <c r="A48" s="156">
        <v>45</v>
      </c>
      <c r="B48" s="153"/>
      <c r="C48" s="42"/>
      <c r="D48" s="42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/>
    </row>
    <row r="49" spans="1:17" ht="20.100000000000001" customHeight="1" x14ac:dyDescent="0.25">
      <c r="A49" s="156">
        <v>46</v>
      </c>
      <c r="B49" s="153"/>
      <c r="C49" s="42"/>
      <c r="D49" s="42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/>
    </row>
    <row r="50" spans="1:17" ht="20.100000000000001" customHeight="1" x14ac:dyDescent="0.25">
      <c r="A50" s="156">
        <v>47</v>
      </c>
      <c r="B50" s="153"/>
      <c r="C50" s="42"/>
      <c r="D50" s="42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/>
    </row>
    <row r="51" spans="1:17" ht="20.100000000000001" customHeight="1" x14ac:dyDescent="0.25">
      <c r="A51" s="156">
        <v>48</v>
      </c>
      <c r="B51" s="153"/>
      <c r="C51" s="42"/>
      <c r="D51" s="42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/>
    </row>
    <row r="52" spans="1:17" ht="20.100000000000001" customHeight="1" x14ac:dyDescent="0.25">
      <c r="A52" s="156">
        <v>49</v>
      </c>
      <c r="B52" s="153"/>
      <c r="C52" s="42"/>
      <c r="D52" s="42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/>
    </row>
    <row r="53" spans="1:17" ht="20.100000000000001" customHeight="1" x14ac:dyDescent="0.25">
      <c r="A53" s="156">
        <v>50</v>
      </c>
      <c r="B53" s="153"/>
      <c r="C53" s="42"/>
      <c r="D53" s="42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/>
    </row>
    <row r="54" spans="1:17" ht="20.100000000000001" customHeight="1" x14ac:dyDescent="0.25">
      <c r="A54" s="157">
        <v>51</v>
      </c>
      <c r="B54" s="153"/>
      <c r="C54" s="42"/>
      <c r="D54" s="42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/>
    </row>
    <row r="55" spans="1:17" ht="20.100000000000001" customHeight="1" x14ac:dyDescent="0.25">
      <c r="A55" s="157">
        <v>52</v>
      </c>
      <c r="B55" s="153"/>
      <c r="C55" s="42"/>
      <c r="D55" s="42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1:17" ht="20.100000000000001" customHeight="1" x14ac:dyDescent="0.25">
      <c r="A56" s="157">
        <v>53</v>
      </c>
      <c r="B56" s="153"/>
      <c r="C56" s="42"/>
      <c r="D56" s="42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17" ht="20.100000000000001" customHeight="1" x14ac:dyDescent="0.25">
      <c r="A57" s="157">
        <v>54</v>
      </c>
      <c r="B57" s="153"/>
      <c r="C57" s="42"/>
      <c r="D57" s="42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spans="1:17" ht="20.100000000000001" customHeight="1" x14ac:dyDescent="0.25">
      <c r="A58" s="157">
        <v>55</v>
      </c>
      <c r="B58" s="153"/>
      <c r="C58" s="42"/>
      <c r="D58" s="42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</sheetData>
  <mergeCells count="2">
    <mergeCell ref="A1:Q1"/>
    <mergeCell ref="A2:Q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workbookViewId="0">
      <selection activeCell="I16" sqref="I16"/>
    </sheetView>
  </sheetViews>
  <sheetFormatPr defaultRowHeight="15" x14ac:dyDescent="0.25"/>
  <cols>
    <col min="1" max="1" width="6.7109375" style="10" customWidth="1"/>
    <col min="2" max="2" width="35.140625" bestFit="1" customWidth="1"/>
    <col min="3" max="3" width="4.7109375" customWidth="1"/>
    <col min="4" max="4" width="4.140625" customWidth="1"/>
    <col min="5" max="5" width="12" style="10" customWidth="1"/>
    <col min="6" max="7" width="10.5703125" style="10" customWidth="1"/>
  </cols>
  <sheetData>
    <row r="1" spans="1:8" ht="20.25" x14ac:dyDescent="0.25">
      <c r="A1" s="243" t="s">
        <v>63</v>
      </c>
      <c r="B1" s="244"/>
      <c r="C1" s="244"/>
      <c r="D1" s="244"/>
      <c r="E1" s="244"/>
      <c r="F1" s="244"/>
      <c r="G1" s="244"/>
    </row>
    <row r="2" spans="1:8" x14ac:dyDescent="0.25">
      <c r="A2" s="276" t="s">
        <v>53</v>
      </c>
      <c r="B2" s="277"/>
      <c r="C2" s="277"/>
      <c r="D2" s="277"/>
      <c r="E2" s="277"/>
      <c r="F2" s="277"/>
      <c r="G2" s="277"/>
      <c r="H2" s="277"/>
    </row>
    <row r="3" spans="1:8" ht="67.5" customHeight="1" thickBot="1" x14ac:dyDescent="0.3">
      <c r="A3" s="13" t="s">
        <v>24</v>
      </c>
      <c r="B3" s="14" t="s">
        <v>1</v>
      </c>
      <c r="C3" s="15" t="s">
        <v>2</v>
      </c>
      <c r="D3" s="14" t="s">
        <v>3</v>
      </c>
      <c r="E3" s="57" t="s">
        <v>26</v>
      </c>
      <c r="F3" s="57" t="s">
        <v>27</v>
      </c>
      <c r="G3" s="57" t="s">
        <v>16</v>
      </c>
      <c r="H3" s="91" t="s">
        <v>17</v>
      </c>
    </row>
    <row r="4" spans="1:8" ht="20.100000000000001" customHeight="1" x14ac:dyDescent="0.25">
      <c r="A4" s="154">
        <v>1</v>
      </c>
      <c r="B4" s="141"/>
      <c r="C4" s="145">
        <v>19</v>
      </c>
      <c r="D4" s="145" t="s">
        <v>20</v>
      </c>
      <c r="E4" s="25">
        <v>57</v>
      </c>
      <c r="F4" s="25">
        <f>'12B (NS)Sem 2'!M4</f>
        <v>70.428571428571431</v>
      </c>
      <c r="G4" s="25">
        <f>AVERAGE(E4:F4)</f>
        <v>63.714285714285715</v>
      </c>
      <c r="H4" s="99">
        <f>RANK(G4,$G$4:$G$32)</f>
        <v>28</v>
      </c>
    </row>
    <row r="5" spans="1:8" ht="20.100000000000001" customHeight="1" x14ac:dyDescent="0.25">
      <c r="A5" s="155">
        <v>2</v>
      </c>
      <c r="B5" s="141"/>
      <c r="C5" s="145">
        <v>17</v>
      </c>
      <c r="D5" s="145" t="s">
        <v>20</v>
      </c>
      <c r="E5" s="25">
        <v>93.57</v>
      </c>
      <c r="F5" s="25">
        <f>'12B (NS)Sem 2'!M5</f>
        <v>97.285714285714292</v>
      </c>
      <c r="G5" s="25">
        <f t="shared" ref="G5:G58" si="0">AVERAGE(E5:F5)</f>
        <v>95.427857142857135</v>
      </c>
      <c r="H5" s="99">
        <f t="shared" ref="H5:H32" si="1">RANK(G5,$G$4:$G$32)</f>
        <v>3</v>
      </c>
    </row>
    <row r="6" spans="1:8" ht="20.100000000000001" customHeight="1" x14ac:dyDescent="0.25">
      <c r="A6" s="156">
        <v>3</v>
      </c>
      <c r="B6" s="141"/>
      <c r="C6" s="145">
        <v>17</v>
      </c>
      <c r="D6" s="145" t="s">
        <v>20</v>
      </c>
      <c r="E6" s="25">
        <v>90.29</v>
      </c>
      <c r="F6" s="25">
        <f>'12B (NS)Sem 2'!M6</f>
        <v>94</v>
      </c>
      <c r="G6" s="25">
        <f t="shared" si="0"/>
        <v>92.14500000000001</v>
      </c>
      <c r="H6" s="99">
        <f t="shared" si="1"/>
        <v>4</v>
      </c>
    </row>
    <row r="7" spans="1:8" ht="20.100000000000001" customHeight="1" x14ac:dyDescent="0.25">
      <c r="A7" s="155">
        <v>4</v>
      </c>
      <c r="B7" s="141"/>
      <c r="C7" s="145">
        <v>16</v>
      </c>
      <c r="D7" s="145" t="s">
        <v>20</v>
      </c>
      <c r="E7" s="25">
        <v>89.57</v>
      </c>
      <c r="F7" s="25">
        <f>'12B (NS)Sem 2'!M7</f>
        <v>92</v>
      </c>
      <c r="G7" s="25">
        <f t="shared" si="0"/>
        <v>90.784999999999997</v>
      </c>
      <c r="H7" s="99">
        <f t="shared" si="1"/>
        <v>5</v>
      </c>
    </row>
    <row r="8" spans="1:8" ht="20.100000000000001" customHeight="1" x14ac:dyDescent="0.25">
      <c r="A8" s="155">
        <v>5</v>
      </c>
      <c r="B8" s="141"/>
      <c r="C8" s="145">
        <v>19</v>
      </c>
      <c r="D8" s="145" t="s">
        <v>23</v>
      </c>
      <c r="E8" s="25">
        <v>68.290000000000006</v>
      </c>
      <c r="F8" s="25">
        <f>'12B (NS)Sem 2'!M8</f>
        <v>77.285714285714292</v>
      </c>
      <c r="G8" s="25">
        <f t="shared" si="0"/>
        <v>72.787857142857149</v>
      </c>
      <c r="H8" s="99">
        <f t="shared" si="1"/>
        <v>22</v>
      </c>
    </row>
    <row r="9" spans="1:8" ht="20.100000000000001" customHeight="1" x14ac:dyDescent="0.25">
      <c r="A9" s="156">
        <v>6</v>
      </c>
      <c r="B9" s="141"/>
      <c r="C9" s="145">
        <v>17</v>
      </c>
      <c r="D9" s="145" t="s">
        <v>23</v>
      </c>
      <c r="E9" s="25">
        <v>69.430000000000007</v>
      </c>
      <c r="F9" s="25">
        <f>'12B (NS)Sem 2'!M9</f>
        <v>80.857142857142861</v>
      </c>
      <c r="G9" s="25">
        <f t="shared" si="0"/>
        <v>75.143571428571434</v>
      </c>
      <c r="H9" s="99">
        <f t="shared" si="1"/>
        <v>18</v>
      </c>
    </row>
    <row r="10" spans="1:8" ht="20.100000000000001" customHeight="1" x14ac:dyDescent="0.25">
      <c r="A10" s="155">
        <v>7</v>
      </c>
      <c r="B10" s="141"/>
      <c r="C10" s="145">
        <v>16</v>
      </c>
      <c r="D10" s="145" t="s">
        <v>23</v>
      </c>
      <c r="E10" s="25">
        <v>69.569999999999993</v>
      </c>
      <c r="F10" s="25">
        <f>'12B (NS)Sem 2'!M10</f>
        <v>76.142857142857139</v>
      </c>
      <c r="G10" s="25">
        <f t="shared" si="0"/>
        <v>72.856428571428566</v>
      </c>
      <c r="H10" s="99">
        <f t="shared" si="1"/>
        <v>21</v>
      </c>
    </row>
    <row r="11" spans="1:8" ht="20.100000000000001" customHeight="1" x14ac:dyDescent="0.25">
      <c r="A11" s="155">
        <v>8</v>
      </c>
      <c r="B11" s="141"/>
      <c r="C11" s="145">
        <v>18</v>
      </c>
      <c r="D11" s="145" t="s">
        <v>23</v>
      </c>
      <c r="E11" s="25">
        <v>85.29</v>
      </c>
      <c r="F11" s="25">
        <f>'12B (NS)Sem 2'!M11</f>
        <v>88.571428571428569</v>
      </c>
      <c r="G11" s="25">
        <f t="shared" si="0"/>
        <v>86.930714285714288</v>
      </c>
      <c r="H11" s="99">
        <f t="shared" si="1"/>
        <v>8</v>
      </c>
    </row>
    <row r="12" spans="1:8" ht="20.100000000000001" customHeight="1" x14ac:dyDescent="0.25">
      <c r="A12" s="156">
        <v>9</v>
      </c>
      <c r="B12" s="141"/>
      <c r="C12" s="145">
        <v>18</v>
      </c>
      <c r="D12" s="145" t="s">
        <v>20</v>
      </c>
      <c r="E12" s="25">
        <v>75.14</v>
      </c>
      <c r="F12" s="25">
        <f>'12B (NS)Sem 2'!M12</f>
        <v>80.142857142857139</v>
      </c>
      <c r="G12" s="25">
        <f t="shared" si="0"/>
        <v>77.641428571428577</v>
      </c>
      <c r="H12" s="99">
        <f t="shared" si="1"/>
        <v>15</v>
      </c>
    </row>
    <row r="13" spans="1:8" ht="20.100000000000001" customHeight="1" x14ac:dyDescent="0.25">
      <c r="A13" s="155">
        <v>10</v>
      </c>
      <c r="B13" s="141"/>
      <c r="C13" s="145">
        <v>18</v>
      </c>
      <c r="D13" s="145" t="s">
        <v>20</v>
      </c>
      <c r="E13" s="25">
        <v>56.57</v>
      </c>
      <c r="F13" s="25">
        <f>'12B (NS)Sem 2'!M13</f>
        <v>64.857142857142861</v>
      </c>
      <c r="G13" s="25">
        <f t="shared" si="0"/>
        <v>60.713571428571427</v>
      </c>
      <c r="H13" s="99">
        <f t="shared" si="1"/>
        <v>29</v>
      </c>
    </row>
    <row r="14" spans="1:8" ht="20.100000000000001" customHeight="1" x14ac:dyDescent="0.25">
      <c r="A14" s="156">
        <v>11</v>
      </c>
      <c r="B14" s="141"/>
      <c r="C14" s="145">
        <v>17</v>
      </c>
      <c r="D14" s="145" t="s">
        <v>23</v>
      </c>
      <c r="E14" s="25">
        <v>96.71</v>
      </c>
      <c r="F14" s="25">
        <f>'12B (NS)Sem 2'!M14</f>
        <v>97.714285714285708</v>
      </c>
      <c r="G14" s="25">
        <f t="shared" si="0"/>
        <v>97.212142857142851</v>
      </c>
      <c r="H14" s="99">
        <f t="shared" si="1"/>
        <v>1</v>
      </c>
    </row>
    <row r="15" spans="1:8" ht="20.100000000000001" customHeight="1" x14ac:dyDescent="0.25">
      <c r="A15" s="156">
        <v>12</v>
      </c>
      <c r="B15" s="141"/>
      <c r="C15" s="145">
        <v>17</v>
      </c>
      <c r="D15" s="145" t="s">
        <v>23</v>
      </c>
      <c r="E15" s="25">
        <v>65.430000000000007</v>
      </c>
      <c r="F15" s="25">
        <f>'12B (NS)Sem 2'!M15</f>
        <v>74.285714285714292</v>
      </c>
      <c r="G15" s="25">
        <f t="shared" si="0"/>
        <v>69.857857142857142</v>
      </c>
      <c r="H15" s="99">
        <f t="shared" si="1"/>
        <v>25</v>
      </c>
    </row>
    <row r="16" spans="1:8" ht="20.100000000000001" customHeight="1" x14ac:dyDescent="0.25">
      <c r="A16" s="156">
        <v>13</v>
      </c>
      <c r="B16" s="141"/>
      <c r="C16" s="145">
        <v>17</v>
      </c>
      <c r="D16" s="145" t="s">
        <v>23</v>
      </c>
      <c r="E16" s="25">
        <v>78</v>
      </c>
      <c r="F16" s="25">
        <f>'12B (NS)Sem 2'!M16</f>
        <v>85.857142857142861</v>
      </c>
      <c r="G16" s="25">
        <f t="shared" si="0"/>
        <v>81.928571428571431</v>
      </c>
      <c r="H16" s="99">
        <f t="shared" si="1"/>
        <v>11</v>
      </c>
    </row>
    <row r="17" spans="1:8" ht="20.100000000000001" customHeight="1" x14ac:dyDescent="0.25">
      <c r="A17" s="155">
        <v>14</v>
      </c>
      <c r="B17" s="141"/>
      <c r="C17" s="145">
        <v>16</v>
      </c>
      <c r="D17" s="145" t="s">
        <v>20</v>
      </c>
      <c r="E17" s="25">
        <v>96.14</v>
      </c>
      <c r="F17" s="25">
        <f>'12B (NS)Sem 2'!M17</f>
        <v>98</v>
      </c>
      <c r="G17" s="25">
        <f t="shared" si="0"/>
        <v>97.07</v>
      </c>
      <c r="H17" s="99">
        <f t="shared" si="1"/>
        <v>2</v>
      </c>
    </row>
    <row r="18" spans="1:8" ht="20.100000000000001" customHeight="1" x14ac:dyDescent="0.25">
      <c r="A18" s="156">
        <v>15</v>
      </c>
      <c r="B18" s="141"/>
      <c r="C18" s="145">
        <v>17</v>
      </c>
      <c r="D18" s="145" t="s">
        <v>20</v>
      </c>
      <c r="E18" s="25">
        <v>78</v>
      </c>
      <c r="F18" s="25">
        <f>'12B (NS)Sem 2'!M18</f>
        <v>81.857142857142861</v>
      </c>
      <c r="G18" s="25">
        <f t="shared" si="0"/>
        <v>79.928571428571431</v>
      </c>
      <c r="H18" s="99">
        <f t="shared" si="1"/>
        <v>12</v>
      </c>
    </row>
    <row r="19" spans="1:8" ht="20.100000000000001" customHeight="1" x14ac:dyDescent="0.25">
      <c r="A19" s="155">
        <v>16</v>
      </c>
      <c r="B19" s="141"/>
      <c r="C19" s="145">
        <v>17</v>
      </c>
      <c r="D19" s="145" t="s">
        <v>20</v>
      </c>
      <c r="E19" s="25">
        <v>71.569999999999993</v>
      </c>
      <c r="F19" s="25">
        <f>'12B (NS)Sem 2'!M19</f>
        <v>79.571428571428569</v>
      </c>
      <c r="G19" s="25">
        <f t="shared" si="0"/>
        <v>75.570714285714274</v>
      </c>
      <c r="H19" s="99">
        <f t="shared" si="1"/>
        <v>17</v>
      </c>
    </row>
    <row r="20" spans="1:8" ht="20.100000000000001" customHeight="1" x14ac:dyDescent="0.25">
      <c r="A20" s="155">
        <v>17</v>
      </c>
      <c r="B20" s="141"/>
      <c r="C20" s="145">
        <v>17</v>
      </c>
      <c r="D20" s="145" t="s">
        <v>20</v>
      </c>
      <c r="E20" s="25">
        <v>79.14</v>
      </c>
      <c r="F20" s="25">
        <f>'12B (NS)Sem 2'!M20</f>
        <v>87</v>
      </c>
      <c r="G20" s="25">
        <f t="shared" si="0"/>
        <v>83.07</v>
      </c>
      <c r="H20" s="99">
        <f t="shared" si="1"/>
        <v>9</v>
      </c>
    </row>
    <row r="21" spans="1:8" ht="20.100000000000001" customHeight="1" x14ac:dyDescent="0.25">
      <c r="A21" s="155">
        <v>18</v>
      </c>
      <c r="B21" s="141"/>
      <c r="C21" s="145">
        <v>17</v>
      </c>
      <c r="D21" s="145" t="s">
        <v>20</v>
      </c>
      <c r="E21" s="25">
        <v>71.14</v>
      </c>
      <c r="F21" s="25">
        <f>'12B (NS)Sem 2'!M21</f>
        <v>76.285714285714292</v>
      </c>
      <c r="G21" s="25">
        <f t="shared" si="0"/>
        <v>73.712857142857146</v>
      </c>
      <c r="H21" s="99">
        <f t="shared" si="1"/>
        <v>20</v>
      </c>
    </row>
    <row r="22" spans="1:8" ht="20.100000000000001" customHeight="1" x14ac:dyDescent="0.25">
      <c r="A22" s="156">
        <v>19</v>
      </c>
      <c r="B22" s="141"/>
      <c r="C22" s="145">
        <v>18</v>
      </c>
      <c r="D22" s="145" t="s">
        <v>20</v>
      </c>
      <c r="E22" s="25">
        <v>65.569999999999993</v>
      </c>
      <c r="F22" s="25">
        <f>'12B (NS)Sem 2'!M22</f>
        <v>74.571428571428569</v>
      </c>
      <c r="G22" s="25">
        <f t="shared" si="0"/>
        <v>70.070714285714274</v>
      </c>
      <c r="H22" s="99">
        <f t="shared" si="1"/>
        <v>24</v>
      </c>
    </row>
    <row r="23" spans="1:8" ht="20.100000000000001" customHeight="1" x14ac:dyDescent="0.25">
      <c r="A23" s="156">
        <v>20</v>
      </c>
      <c r="B23" s="141"/>
      <c r="C23" s="145">
        <v>17</v>
      </c>
      <c r="D23" s="145" t="s">
        <v>23</v>
      </c>
      <c r="E23" s="25">
        <v>70</v>
      </c>
      <c r="F23" s="25">
        <f>'12B (NS)Sem 2'!M23</f>
        <v>78.285714285714292</v>
      </c>
      <c r="G23" s="25">
        <f t="shared" si="0"/>
        <v>74.142857142857139</v>
      </c>
      <c r="H23" s="99">
        <f t="shared" si="1"/>
        <v>19</v>
      </c>
    </row>
    <row r="24" spans="1:8" ht="20.100000000000001" customHeight="1" x14ac:dyDescent="0.25">
      <c r="A24" s="156">
        <v>21</v>
      </c>
      <c r="B24" s="141"/>
      <c r="C24" s="145">
        <v>19</v>
      </c>
      <c r="D24" s="145" t="s">
        <v>23</v>
      </c>
      <c r="E24" s="25">
        <v>68</v>
      </c>
      <c r="F24" s="25">
        <f>'12B (NS)Sem 2'!M24</f>
        <v>76</v>
      </c>
      <c r="G24" s="25">
        <f t="shared" si="0"/>
        <v>72</v>
      </c>
      <c r="H24" s="99">
        <f t="shared" si="1"/>
        <v>23</v>
      </c>
    </row>
    <row r="25" spans="1:8" ht="20.100000000000001" customHeight="1" x14ac:dyDescent="0.25">
      <c r="A25" s="155">
        <v>22</v>
      </c>
      <c r="B25" s="141"/>
      <c r="C25" s="145">
        <v>18</v>
      </c>
      <c r="D25" s="145" t="s">
        <v>23</v>
      </c>
      <c r="E25" s="25">
        <v>73</v>
      </c>
      <c r="F25" s="25">
        <f>'12B (NS)Sem 2'!M25</f>
        <v>80.714285714285708</v>
      </c>
      <c r="G25" s="25">
        <f t="shared" si="0"/>
        <v>76.857142857142861</v>
      </c>
      <c r="H25" s="99">
        <f t="shared" si="1"/>
        <v>16</v>
      </c>
    </row>
    <row r="26" spans="1:8" ht="20.100000000000001" customHeight="1" x14ac:dyDescent="0.25">
      <c r="A26" s="155">
        <v>23</v>
      </c>
      <c r="B26" s="141"/>
      <c r="C26" s="145">
        <v>17</v>
      </c>
      <c r="D26" s="145" t="s">
        <v>23</v>
      </c>
      <c r="E26" s="25">
        <v>74</v>
      </c>
      <c r="F26" s="25">
        <f>'12B (NS)Sem 2'!M26</f>
        <v>82.285714285714292</v>
      </c>
      <c r="G26" s="25">
        <f t="shared" si="0"/>
        <v>78.142857142857139</v>
      </c>
      <c r="H26" s="99">
        <f t="shared" si="1"/>
        <v>14</v>
      </c>
    </row>
    <row r="27" spans="1:8" ht="20.100000000000001" customHeight="1" x14ac:dyDescent="0.25">
      <c r="A27" s="156">
        <v>24</v>
      </c>
      <c r="B27" s="141"/>
      <c r="C27" s="145">
        <v>17</v>
      </c>
      <c r="D27" s="145" t="s">
        <v>20</v>
      </c>
      <c r="E27" s="25">
        <v>75.14</v>
      </c>
      <c r="F27" s="25">
        <f>'12B (NS)Sem 2'!M27</f>
        <v>83.571428571428569</v>
      </c>
      <c r="G27" s="25">
        <f t="shared" si="0"/>
        <v>79.355714285714285</v>
      </c>
      <c r="H27" s="99">
        <f t="shared" si="1"/>
        <v>13</v>
      </c>
    </row>
    <row r="28" spans="1:8" ht="20.100000000000001" customHeight="1" x14ac:dyDescent="0.25">
      <c r="A28" s="155">
        <v>25</v>
      </c>
      <c r="B28" s="172"/>
      <c r="C28" s="150">
        <v>19</v>
      </c>
      <c r="D28" s="150" t="s">
        <v>20</v>
      </c>
      <c r="E28" s="25">
        <v>79.709999999999994</v>
      </c>
      <c r="F28" s="25">
        <f>'12B (NS)Sem 2'!M28</f>
        <v>85</v>
      </c>
      <c r="G28" s="25">
        <f t="shared" si="0"/>
        <v>82.35499999999999</v>
      </c>
      <c r="H28" s="99">
        <f t="shared" si="1"/>
        <v>10</v>
      </c>
    </row>
    <row r="29" spans="1:8" ht="20.100000000000001" customHeight="1" x14ac:dyDescent="0.25">
      <c r="A29" s="156">
        <v>26</v>
      </c>
      <c r="B29" s="141"/>
      <c r="C29" s="145">
        <v>17</v>
      </c>
      <c r="D29" s="145" t="s">
        <v>20</v>
      </c>
      <c r="E29" s="25">
        <v>86.14</v>
      </c>
      <c r="F29" s="25">
        <f>'12B (NS)Sem 2'!M29</f>
        <v>93.428571428571431</v>
      </c>
      <c r="G29" s="25">
        <f t="shared" si="0"/>
        <v>89.784285714285716</v>
      </c>
      <c r="H29" s="99">
        <f t="shared" si="1"/>
        <v>6</v>
      </c>
    </row>
    <row r="30" spans="1:8" ht="20.100000000000001" customHeight="1" x14ac:dyDescent="0.25">
      <c r="A30" s="156">
        <v>27</v>
      </c>
      <c r="B30" s="141"/>
      <c r="C30" s="145">
        <v>18</v>
      </c>
      <c r="D30" s="145" t="s">
        <v>20</v>
      </c>
      <c r="E30" s="25">
        <v>63.86</v>
      </c>
      <c r="F30" s="25">
        <f>'12B (NS)Sem 2'!M30</f>
        <v>72.285714285714292</v>
      </c>
      <c r="G30" s="25">
        <f t="shared" si="0"/>
        <v>68.072857142857146</v>
      </c>
      <c r="H30" s="99">
        <f t="shared" si="1"/>
        <v>27</v>
      </c>
    </row>
    <row r="31" spans="1:8" ht="20.100000000000001" customHeight="1" x14ac:dyDescent="0.25">
      <c r="A31" s="156">
        <v>28</v>
      </c>
      <c r="B31" s="141"/>
      <c r="C31" s="145">
        <v>17</v>
      </c>
      <c r="D31" s="145" t="s">
        <v>20</v>
      </c>
      <c r="E31" s="25">
        <v>64.290000000000006</v>
      </c>
      <c r="F31" s="25">
        <f>'12B (NS)Sem 2'!M31</f>
        <v>72.571428571428569</v>
      </c>
      <c r="G31" s="25">
        <f t="shared" si="0"/>
        <v>68.430714285714288</v>
      </c>
      <c r="H31" s="99">
        <f t="shared" si="1"/>
        <v>26</v>
      </c>
    </row>
    <row r="32" spans="1:8" ht="20.100000000000001" customHeight="1" x14ac:dyDescent="0.25">
      <c r="A32" s="156">
        <v>29</v>
      </c>
      <c r="B32" s="141"/>
      <c r="C32" s="145">
        <v>18</v>
      </c>
      <c r="D32" s="145" t="s">
        <v>20</v>
      </c>
      <c r="E32" s="25">
        <v>85.14</v>
      </c>
      <c r="F32" s="25">
        <f>'12B (NS)Sem 2'!M32</f>
        <v>91.428571428571431</v>
      </c>
      <c r="G32" s="25">
        <f t="shared" si="0"/>
        <v>88.284285714285716</v>
      </c>
      <c r="H32" s="99">
        <f t="shared" si="1"/>
        <v>7</v>
      </c>
    </row>
    <row r="33" spans="1:8" ht="20.100000000000001" customHeight="1" x14ac:dyDescent="0.25">
      <c r="A33" s="156">
        <v>30</v>
      </c>
      <c r="B33" s="178"/>
      <c r="C33" s="157"/>
      <c r="D33" s="157"/>
      <c r="E33" s="25">
        <f>'12B Sem 1'!P33</f>
        <v>0</v>
      </c>
      <c r="F33" s="25">
        <f>'12B (NS)Sem 2'!M33</f>
        <v>0</v>
      </c>
      <c r="G33" s="25">
        <f t="shared" si="0"/>
        <v>0</v>
      </c>
      <c r="H33" s="12"/>
    </row>
    <row r="34" spans="1:8" ht="20.100000000000001" customHeight="1" x14ac:dyDescent="0.25">
      <c r="A34" s="156">
        <v>31</v>
      </c>
      <c r="B34" s="178"/>
      <c r="C34" s="157"/>
      <c r="D34" s="157"/>
      <c r="E34" s="25">
        <f>'12B Sem 1'!P34</f>
        <v>0</v>
      </c>
      <c r="F34" s="25">
        <f>'12B (NS)Sem 2'!M34</f>
        <v>0</v>
      </c>
      <c r="G34" s="25">
        <f t="shared" si="0"/>
        <v>0</v>
      </c>
      <c r="H34" s="12"/>
    </row>
    <row r="35" spans="1:8" ht="20.100000000000001" customHeight="1" x14ac:dyDescent="0.25">
      <c r="A35" s="156">
        <v>32</v>
      </c>
      <c r="B35" s="178"/>
      <c r="C35" s="157"/>
      <c r="D35" s="157"/>
      <c r="E35" s="25">
        <f>'12B Sem 1'!P35</f>
        <v>0</v>
      </c>
      <c r="F35" s="25">
        <f>'12B (NS)Sem 2'!M35</f>
        <v>0</v>
      </c>
      <c r="G35" s="25">
        <f t="shared" si="0"/>
        <v>0</v>
      </c>
      <c r="H35" s="12"/>
    </row>
    <row r="36" spans="1:8" ht="20.100000000000001" customHeight="1" x14ac:dyDescent="0.25">
      <c r="A36" s="156">
        <v>33</v>
      </c>
      <c r="B36" s="178"/>
      <c r="C36" s="157"/>
      <c r="D36" s="157"/>
      <c r="E36" s="25">
        <f>'12B Sem 1'!P36</f>
        <v>0</v>
      </c>
      <c r="F36" s="25">
        <f>'12B (NS)Sem 2'!M36</f>
        <v>0</v>
      </c>
      <c r="G36" s="25">
        <f t="shared" si="0"/>
        <v>0</v>
      </c>
      <c r="H36" s="12"/>
    </row>
    <row r="37" spans="1:8" ht="20.100000000000001" customHeight="1" x14ac:dyDescent="0.25">
      <c r="A37" s="156">
        <v>34</v>
      </c>
      <c r="B37" s="178"/>
      <c r="C37" s="157"/>
      <c r="D37" s="157"/>
      <c r="E37" s="25">
        <f>'12B Sem 1'!P37</f>
        <v>0</v>
      </c>
      <c r="F37" s="25">
        <f>'12B (NS)Sem 2'!M37</f>
        <v>0</v>
      </c>
      <c r="G37" s="25">
        <f t="shared" si="0"/>
        <v>0</v>
      </c>
      <c r="H37" s="12"/>
    </row>
    <row r="38" spans="1:8" ht="20.100000000000001" customHeight="1" x14ac:dyDescent="0.25">
      <c r="A38" s="156">
        <v>35</v>
      </c>
      <c r="B38" s="178"/>
      <c r="C38" s="157"/>
      <c r="D38" s="157"/>
      <c r="E38" s="25">
        <f>'12B Sem 1'!P38</f>
        <v>0</v>
      </c>
      <c r="F38" s="25">
        <f>'12B (NS)Sem 2'!M38</f>
        <v>0</v>
      </c>
      <c r="G38" s="25">
        <f t="shared" si="0"/>
        <v>0</v>
      </c>
      <c r="H38" s="12"/>
    </row>
    <row r="39" spans="1:8" ht="20.100000000000001" customHeight="1" x14ac:dyDescent="0.25">
      <c r="A39" s="156">
        <v>36</v>
      </c>
      <c r="B39" s="139"/>
      <c r="C39" s="136"/>
      <c r="D39" s="136"/>
      <c r="E39" s="25">
        <f>'12B Sem 1'!P39</f>
        <v>0</v>
      </c>
      <c r="F39" s="25">
        <f>'12B (NS)Sem 2'!M39</f>
        <v>0</v>
      </c>
      <c r="G39" s="25">
        <f t="shared" si="0"/>
        <v>0</v>
      </c>
      <c r="H39" s="12"/>
    </row>
    <row r="40" spans="1:8" ht="20.100000000000001" customHeight="1" x14ac:dyDescent="0.25">
      <c r="A40" s="156">
        <v>37</v>
      </c>
      <c r="B40" s="139"/>
      <c r="C40" s="136"/>
      <c r="D40" s="136"/>
      <c r="E40" s="25">
        <f>'12B Sem 1'!P40</f>
        <v>0</v>
      </c>
      <c r="F40" s="25">
        <f>'12B (NS)Sem 2'!M40</f>
        <v>0</v>
      </c>
      <c r="G40" s="25">
        <f t="shared" si="0"/>
        <v>0</v>
      </c>
      <c r="H40" s="12"/>
    </row>
    <row r="41" spans="1:8" ht="20.100000000000001" customHeight="1" x14ac:dyDescent="0.25">
      <c r="A41" s="156">
        <v>38</v>
      </c>
      <c r="B41" s="139"/>
      <c r="C41" s="168"/>
      <c r="D41" s="168"/>
      <c r="E41" s="25">
        <f>'12B Sem 1'!P41</f>
        <v>0</v>
      </c>
      <c r="F41" s="25">
        <f>'12B (NS)Sem 2'!M41</f>
        <v>0</v>
      </c>
      <c r="G41" s="25">
        <f t="shared" si="0"/>
        <v>0</v>
      </c>
      <c r="H41" s="12"/>
    </row>
    <row r="42" spans="1:8" ht="20.100000000000001" customHeight="1" x14ac:dyDescent="0.25">
      <c r="A42" s="156">
        <v>39</v>
      </c>
      <c r="B42" s="139"/>
      <c r="C42" s="168"/>
      <c r="D42" s="168"/>
      <c r="E42" s="25">
        <f>'12B Sem 1'!P42</f>
        <v>0</v>
      </c>
      <c r="F42" s="25">
        <f>'12B (NS)Sem 2'!M42</f>
        <v>0</v>
      </c>
      <c r="G42" s="25">
        <f t="shared" si="0"/>
        <v>0</v>
      </c>
      <c r="H42" s="12"/>
    </row>
    <row r="43" spans="1:8" ht="20.100000000000001" customHeight="1" x14ac:dyDescent="0.25">
      <c r="A43" s="156">
        <v>40</v>
      </c>
      <c r="B43" s="139"/>
      <c r="C43" s="136"/>
      <c r="D43" s="136"/>
      <c r="E43" s="25">
        <f>'12B Sem 1'!P43</f>
        <v>0</v>
      </c>
      <c r="F43" s="25">
        <f>'12B (NS)Sem 2'!M43</f>
        <v>0</v>
      </c>
      <c r="G43" s="25">
        <f t="shared" si="0"/>
        <v>0</v>
      </c>
      <c r="H43" s="12"/>
    </row>
    <row r="44" spans="1:8" ht="20.100000000000001" customHeight="1" x14ac:dyDescent="0.25">
      <c r="A44" s="156">
        <v>41</v>
      </c>
      <c r="B44" s="139"/>
      <c r="C44" s="136"/>
      <c r="D44" s="136"/>
      <c r="E44" s="25">
        <f>'12B Sem 1'!P44</f>
        <v>0</v>
      </c>
      <c r="F44" s="25">
        <f>'12B (NS)Sem 2'!M44</f>
        <v>0</v>
      </c>
      <c r="G44" s="25">
        <f t="shared" si="0"/>
        <v>0</v>
      </c>
      <c r="H44" s="12"/>
    </row>
    <row r="45" spans="1:8" ht="20.100000000000001" customHeight="1" x14ac:dyDescent="0.25">
      <c r="A45" s="156">
        <v>42</v>
      </c>
      <c r="B45" s="181"/>
      <c r="C45" s="168"/>
      <c r="D45" s="168"/>
      <c r="E45" s="25">
        <f>'12B Sem 1'!P45</f>
        <v>0</v>
      </c>
      <c r="F45" s="25">
        <f>'12B (NS)Sem 2'!M45</f>
        <v>0</v>
      </c>
      <c r="G45" s="25">
        <f t="shared" si="0"/>
        <v>0</v>
      </c>
      <c r="H45" s="12"/>
    </row>
    <row r="46" spans="1:8" ht="20.100000000000001" customHeight="1" x14ac:dyDescent="0.25">
      <c r="A46" s="156">
        <v>43</v>
      </c>
      <c r="B46" s="139"/>
      <c r="C46" s="168"/>
      <c r="D46" s="168"/>
      <c r="E46" s="25">
        <f>'12B Sem 1'!P46</f>
        <v>0</v>
      </c>
      <c r="F46" s="25">
        <f>'12B (NS)Sem 2'!M46</f>
        <v>0</v>
      </c>
      <c r="G46" s="25">
        <f t="shared" si="0"/>
        <v>0</v>
      </c>
      <c r="H46" s="12"/>
    </row>
    <row r="47" spans="1:8" ht="20.100000000000001" customHeight="1" x14ac:dyDescent="0.25">
      <c r="A47" s="156">
        <v>44</v>
      </c>
      <c r="B47" s="139"/>
      <c r="C47" s="136"/>
      <c r="D47" s="136"/>
      <c r="E47" s="25">
        <f>'12B Sem 1'!P47</f>
        <v>0</v>
      </c>
      <c r="F47" s="25">
        <f>'12B (NS)Sem 2'!M47</f>
        <v>0</v>
      </c>
      <c r="G47" s="25">
        <f t="shared" si="0"/>
        <v>0</v>
      </c>
      <c r="H47" s="12"/>
    </row>
    <row r="48" spans="1:8" ht="20.100000000000001" customHeight="1" x14ac:dyDescent="0.25">
      <c r="A48" s="156">
        <v>45</v>
      </c>
      <c r="B48" s="139"/>
      <c r="C48" s="168"/>
      <c r="D48" s="136"/>
      <c r="E48" s="25">
        <f>'12B Sem 1'!P48</f>
        <v>0</v>
      </c>
      <c r="F48" s="25">
        <f>'12B (NS)Sem 2'!M48</f>
        <v>0</v>
      </c>
      <c r="G48" s="25">
        <f t="shared" si="0"/>
        <v>0</v>
      </c>
      <c r="H48" s="12"/>
    </row>
    <row r="49" spans="1:8" ht="20.100000000000001" customHeight="1" x14ac:dyDescent="0.25">
      <c r="A49" s="156">
        <v>46</v>
      </c>
      <c r="B49" s="139"/>
      <c r="C49" s="136"/>
      <c r="D49" s="136"/>
      <c r="E49" s="25">
        <f>'12B Sem 1'!P49</f>
        <v>0</v>
      </c>
      <c r="F49" s="25">
        <f>'12B (NS)Sem 2'!M49</f>
        <v>0</v>
      </c>
      <c r="G49" s="25">
        <f t="shared" si="0"/>
        <v>0</v>
      </c>
      <c r="H49" s="12"/>
    </row>
    <row r="50" spans="1:8" ht="20.100000000000001" customHeight="1" x14ac:dyDescent="0.25">
      <c r="A50" s="156">
        <v>47</v>
      </c>
      <c r="B50" s="139"/>
      <c r="C50" s="136"/>
      <c r="D50" s="136"/>
      <c r="E50" s="25">
        <f>'12B Sem 1'!P50</f>
        <v>0</v>
      </c>
      <c r="F50" s="25">
        <f>'12B (NS)Sem 2'!M50</f>
        <v>0</v>
      </c>
      <c r="G50" s="25">
        <f t="shared" si="0"/>
        <v>0</v>
      </c>
      <c r="H50" s="12"/>
    </row>
    <row r="51" spans="1:8" ht="20.100000000000001" customHeight="1" x14ac:dyDescent="0.25">
      <c r="A51" s="156">
        <v>48</v>
      </c>
      <c r="B51" s="139"/>
      <c r="C51" s="136"/>
      <c r="D51" s="136"/>
      <c r="E51" s="25">
        <f>'12B Sem 1'!P51</f>
        <v>0</v>
      </c>
      <c r="F51" s="25">
        <f>'12B (NS)Sem 2'!M51</f>
        <v>0</v>
      </c>
      <c r="G51" s="25">
        <f t="shared" si="0"/>
        <v>0</v>
      </c>
      <c r="H51" s="12"/>
    </row>
    <row r="52" spans="1:8" ht="20.100000000000001" customHeight="1" x14ac:dyDescent="0.25">
      <c r="A52" s="156">
        <v>49</v>
      </c>
      <c r="B52" s="139"/>
      <c r="C52" s="168"/>
      <c r="D52" s="168"/>
      <c r="E52" s="25">
        <f>'12B Sem 1'!P52</f>
        <v>0</v>
      </c>
      <c r="F52" s="25">
        <f>'12B (NS)Sem 2'!M52</f>
        <v>0</v>
      </c>
      <c r="G52" s="25">
        <f t="shared" si="0"/>
        <v>0</v>
      </c>
      <c r="H52" s="12"/>
    </row>
    <row r="53" spans="1:8" ht="20.100000000000001" customHeight="1" x14ac:dyDescent="0.25">
      <c r="A53" s="156">
        <v>50</v>
      </c>
      <c r="B53" s="153"/>
      <c r="C53" s="42"/>
      <c r="D53" s="42"/>
      <c r="E53" s="25">
        <f>'12B Sem 1'!P53</f>
        <v>0</v>
      </c>
      <c r="F53" s="25">
        <f>'12B (NS)Sem 2'!M53</f>
        <v>0</v>
      </c>
      <c r="G53" s="25">
        <f t="shared" si="0"/>
        <v>0</v>
      </c>
      <c r="H53" s="12"/>
    </row>
    <row r="54" spans="1:8" ht="20.100000000000001" customHeight="1" x14ac:dyDescent="0.25">
      <c r="A54" s="156">
        <v>51</v>
      </c>
      <c r="B54" s="153"/>
      <c r="C54" s="42"/>
      <c r="D54" s="42"/>
      <c r="E54" s="25">
        <f>'12B Sem 1'!P54</f>
        <v>0</v>
      </c>
      <c r="F54" s="25">
        <f>'12B (NS)Sem 2'!M54</f>
        <v>0</v>
      </c>
      <c r="G54" s="25">
        <f t="shared" si="0"/>
        <v>0</v>
      </c>
      <c r="H54" s="12"/>
    </row>
    <row r="55" spans="1:8" ht="20.100000000000001" customHeight="1" x14ac:dyDescent="0.25">
      <c r="A55" s="156">
        <v>52</v>
      </c>
      <c r="B55" s="153"/>
      <c r="C55" s="42"/>
      <c r="D55" s="42"/>
      <c r="E55" s="25">
        <f>'12B Sem 1'!P55</f>
        <v>0</v>
      </c>
      <c r="F55" s="25">
        <f>'12B (NS)Sem 2'!M55</f>
        <v>0</v>
      </c>
      <c r="G55" s="25">
        <f t="shared" si="0"/>
        <v>0</v>
      </c>
      <c r="H55" s="12"/>
    </row>
    <row r="56" spans="1:8" ht="20.100000000000001" customHeight="1" x14ac:dyDescent="0.25">
      <c r="A56" s="156">
        <v>53</v>
      </c>
      <c r="B56" s="153"/>
      <c r="C56" s="42"/>
      <c r="D56" s="42"/>
      <c r="E56" s="25">
        <f>'12B Sem 1'!P56</f>
        <v>0</v>
      </c>
      <c r="F56" s="25">
        <f>'12B (NS)Sem 2'!M56</f>
        <v>0</v>
      </c>
      <c r="G56" s="25">
        <f t="shared" si="0"/>
        <v>0</v>
      </c>
      <c r="H56" s="12"/>
    </row>
    <row r="57" spans="1:8" ht="20.100000000000001" customHeight="1" x14ac:dyDescent="0.25">
      <c r="A57" s="156">
        <v>54</v>
      </c>
      <c r="B57" s="153"/>
      <c r="C57" s="42"/>
      <c r="D57" s="42"/>
      <c r="E57" s="25">
        <f>'12B Sem 1'!P57</f>
        <v>0</v>
      </c>
      <c r="F57" s="25">
        <f>'12B (NS)Sem 2'!M57</f>
        <v>0</v>
      </c>
      <c r="G57" s="25">
        <f t="shared" si="0"/>
        <v>0</v>
      </c>
      <c r="H57" s="12"/>
    </row>
    <row r="58" spans="1:8" ht="20.100000000000001" customHeight="1" x14ac:dyDescent="0.25">
      <c r="A58" s="156">
        <v>55</v>
      </c>
      <c r="B58" s="153"/>
      <c r="C58" s="42"/>
      <c r="D58" s="42"/>
      <c r="E58" s="25">
        <f>'12B Sem 1'!P58</f>
        <v>0</v>
      </c>
      <c r="F58" s="25">
        <f>'12B (NS)Sem 2'!M58</f>
        <v>0</v>
      </c>
      <c r="G58" s="25">
        <f t="shared" si="0"/>
        <v>0</v>
      </c>
      <c r="H58" s="12"/>
    </row>
  </sheetData>
  <mergeCells count="2">
    <mergeCell ref="A1:G1"/>
    <mergeCell ref="A2:H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4"/>
  <sheetViews>
    <sheetView zoomScaleNormal="100" workbookViewId="0">
      <selection activeCell="B6" sqref="B6:B107"/>
    </sheetView>
  </sheetViews>
  <sheetFormatPr defaultRowHeight="15" x14ac:dyDescent="0.25"/>
  <cols>
    <col min="1" max="1" width="4" customWidth="1"/>
    <col min="2" max="2" width="35.28515625" customWidth="1"/>
    <col min="3" max="4" width="4.140625" style="9" customWidth="1"/>
    <col min="5" max="5" width="9.28515625" customWidth="1"/>
    <col min="6" max="12" width="7.7109375" customWidth="1"/>
    <col min="13" max="13" width="7.7109375" style="127" customWidth="1"/>
    <col min="14" max="15" width="7.7109375" customWidth="1"/>
    <col min="16" max="16" width="7.7109375" style="28" customWidth="1"/>
    <col min="17" max="17" width="4.7109375" customWidth="1"/>
    <col min="18" max="18" width="5.140625" customWidth="1"/>
    <col min="19" max="19" width="3.85546875" customWidth="1"/>
    <col min="20" max="20" width="3.7109375" customWidth="1"/>
    <col min="21" max="21" width="5" customWidth="1"/>
    <col min="22" max="22" width="5.42578125" customWidth="1"/>
  </cols>
  <sheetData>
    <row r="1" spans="1:19" ht="20.25" x14ac:dyDescent="0.25">
      <c r="A1" s="222" t="s">
        <v>76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</row>
    <row r="2" spans="1:19" ht="18.7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123"/>
      <c r="N2" s="73"/>
      <c r="O2" s="73"/>
      <c r="P2" s="26"/>
    </row>
    <row r="3" spans="1:19" x14ac:dyDescent="0.25">
      <c r="A3" s="225" t="s">
        <v>81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73"/>
      <c r="Q3" s="3"/>
      <c r="R3" s="3"/>
      <c r="S3" s="3"/>
    </row>
    <row r="4" spans="1:19" ht="15.75" thickBo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124"/>
      <c r="N4" s="4"/>
      <c r="O4" s="4"/>
      <c r="P4" s="4"/>
      <c r="Q4" s="3"/>
      <c r="R4" s="3"/>
      <c r="S4" s="3"/>
    </row>
    <row r="5" spans="1:19" ht="58.5" customHeight="1" thickBot="1" x14ac:dyDescent="0.3">
      <c r="A5" s="61" t="s">
        <v>28</v>
      </c>
      <c r="B5" s="61" t="s">
        <v>1</v>
      </c>
      <c r="C5" s="65" t="s">
        <v>2</v>
      </c>
      <c r="D5" s="65" t="s">
        <v>3</v>
      </c>
      <c r="E5" s="17" t="s">
        <v>25</v>
      </c>
      <c r="F5" s="121" t="s">
        <v>5</v>
      </c>
      <c r="G5" s="121" t="s">
        <v>6</v>
      </c>
      <c r="H5" s="121" t="s">
        <v>11</v>
      </c>
      <c r="I5" s="121" t="s">
        <v>10</v>
      </c>
      <c r="J5" s="121" t="s">
        <v>67</v>
      </c>
      <c r="K5" s="121" t="s">
        <v>65</v>
      </c>
      <c r="L5" s="121" t="s">
        <v>15</v>
      </c>
      <c r="M5" s="131" t="s">
        <v>16</v>
      </c>
      <c r="N5" s="121" t="s">
        <v>17</v>
      </c>
      <c r="O5" s="121" t="s">
        <v>18</v>
      </c>
      <c r="P5" s="77" t="s">
        <v>19</v>
      </c>
    </row>
    <row r="6" spans="1:19" ht="20.100000000000001" customHeight="1" thickBot="1" x14ac:dyDescent="0.3">
      <c r="A6" s="251">
        <v>1</v>
      </c>
      <c r="B6" s="218"/>
      <c r="C6" s="213">
        <v>19</v>
      </c>
      <c r="D6" s="215" t="s">
        <v>20</v>
      </c>
      <c r="E6" s="21" t="s">
        <v>21</v>
      </c>
      <c r="F6" s="22">
        <f>'12C (SS)Sem 1'!E4</f>
        <v>67</v>
      </c>
      <c r="G6" s="22">
        <f>'12C (SS)Sem 1'!F4</f>
        <v>64</v>
      </c>
      <c r="H6" s="22">
        <f>'12C (SS)Sem 1'!G4</f>
        <v>58</v>
      </c>
      <c r="I6" s="22">
        <f>'12C (SS)Sem 1'!H4</f>
        <v>66</v>
      </c>
      <c r="J6" s="22">
        <f>'12C (SS)Sem 1'!I4</f>
        <v>86</v>
      </c>
      <c r="K6" s="22">
        <f>'12C (SS)Sem 1'!J4</f>
        <v>55</v>
      </c>
      <c r="L6" s="22">
        <f>'12C (SS)Sem 1'!K4</f>
        <v>396</v>
      </c>
      <c r="M6" s="122">
        <f>'12C (SS)Sem 1'!L4</f>
        <v>66</v>
      </c>
      <c r="N6" s="80">
        <f>'12C (SS)Sem 1'!M4</f>
        <v>22</v>
      </c>
      <c r="O6" s="22">
        <f>'12C (SS)Sem 1'!N4</f>
        <v>0</v>
      </c>
      <c r="P6" s="132">
        <f>'12C (SS)Sem 1'!O4</f>
        <v>0</v>
      </c>
    </row>
    <row r="7" spans="1:19" ht="20.100000000000001" customHeight="1" thickBot="1" x14ac:dyDescent="0.3">
      <c r="A7" s="251"/>
      <c r="B7" s="218"/>
      <c r="C7" s="213">
        <v>19</v>
      </c>
      <c r="D7" s="215" t="s">
        <v>20</v>
      </c>
      <c r="E7" s="21" t="s">
        <v>22</v>
      </c>
      <c r="F7" s="29">
        <f>'12C (SS)Sem 2'!E4</f>
        <v>65</v>
      </c>
      <c r="G7" s="29">
        <f>'12C (SS)Sem 2'!F4</f>
        <v>77</v>
      </c>
      <c r="H7" s="29">
        <f>'12C (SS)Sem 2'!G4</f>
        <v>70</v>
      </c>
      <c r="I7" s="29">
        <f>'12C (SS)Sem 2'!H4</f>
        <v>74</v>
      </c>
      <c r="J7" s="29">
        <f>'12C (SS)Sem 2'!I4</f>
        <v>98</v>
      </c>
      <c r="K7" s="29">
        <f>'12C (SS)Sem 2'!J4</f>
        <v>59</v>
      </c>
      <c r="L7" s="22">
        <f>'12C (SS)Sem 2'!K4</f>
        <v>443</v>
      </c>
      <c r="M7" s="122">
        <f>'12C (SS)Sem 2'!L4</f>
        <v>73.833333333333329</v>
      </c>
      <c r="N7" s="80">
        <f>'12C (SS)Sem 2'!M4</f>
        <v>22</v>
      </c>
      <c r="O7" s="80">
        <f>'12C (SS)Sem 2'!N4</f>
        <v>0</v>
      </c>
      <c r="P7" s="80">
        <f>'12C (SS)Sem 2'!O4</f>
        <v>0</v>
      </c>
    </row>
    <row r="8" spans="1:19" ht="20.100000000000001" customHeight="1" thickBot="1" x14ac:dyDescent="0.3">
      <c r="A8" s="251"/>
      <c r="B8" s="218"/>
      <c r="C8" s="213">
        <v>19</v>
      </c>
      <c r="D8" s="215" t="s">
        <v>20</v>
      </c>
      <c r="E8" s="21" t="s">
        <v>16</v>
      </c>
      <c r="F8" s="22">
        <f>AVERAGE(F6:F7)</f>
        <v>66</v>
      </c>
      <c r="G8" s="22">
        <f t="shared" ref="G8:P8" si="0">AVERAGE(G6:G7)</f>
        <v>70.5</v>
      </c>
      <c r="H8" s="22">
        <f t="shared" si="0"/>
        <v>64</v>
      </c>
      <c r="I8" s="22">
        <f t="shared" si="0"/>
        <v>70</v>
      </c>
      <c r="J8" s="22">
        <f t="shared" si="0"/>
        <v>92</v>
      </c>
      <c r="K8" s="22">
        <f t="shared" si="0"/>
        <v>57</v>
      </c>
      <c r="L8" s="22">
        <f t="shared" si="0"/>
        <v>419.5</v>
      </c>
      <c r="M8" s="22">
        <f t="shared" si="0"/>
        <v>69.916666666666657</v>
      </c>
      <c r="N8" s="22">
        <f>'12C Sem avr (SS)'!$H$4</f>
        <v>23</v>
      </c>
      <c r="O8" s="22">
        <f t="shared" si="0"/>
        <v>0</v>
      </c>
      <c r="P8" s="22">
        <f t="shared" si="0"/>
        <v>0</v>
      </c>
    </row>
    <row r="9" spans="1:19" ht="20.100000000000001" customHeight="1" thickBot="1" x14ac:dyDescent="0.3">
      <c r="A9" s="247">
        <v>2</v>
      </c>
      <c r="B9" s="218"/>
      <c r="C9" s="213">
        <v>22</v>
      </c>
      <c r="D9" s="215" t="s">
        <v>20</v>
      </c>
      <c r="E9" s="21" t="s">
        <v>21</v>
      </c>
      <c r="F9" s="22">
        <f>'12C (SS)Sem 1'!E5</f>
        <v>64</v>
      </c>
      <c r="G9" s="22">
        <f>'12C (SS)Sem 1'!F5</f>
        <v>52</v>
      </c>
      <c r="H9" s="22">
        <f>'12C (SS)Sem 1'!G5</f>
        <v>71</v>
      </c>
      <c r="I9" s="22">
        <f>'12C (SS)Sem 1'!H5</f>
        <v>76</v>
      </c>
      <c r="J9" s="22">
        <f>'12C (SS)Sem 1'!I5</f>
        <v>72</v>
      </c>
      <c r="K9" s="22">
        <f>'12C (SS)Sem 1'!J5</f>
        <v>67</v>
      </c>
      <c r="L9" s="22">
        <f>'12C (SS)Sem 1'!K5</f>
        <v>402</v>
      </c>
      <c r="M9" s="122">
        <f>'12C (SS)Sem 1'!L5</f>
        <v>67</v>
      </c>
      <c r="N9" s="80">
        <f>'12C (SS)Sem 1'!M5</f>
        <v>20</v>
      </c>
      <c r="O9" s="22">
        <f>'12C (SS)Sem 1'!N5</f>
        <v>0</v>
      </c>
      <c r="P9" s="22">
        <f>'12C (SS)Sem 1'!O5</f>
        <v>0</v>
      </c>
    </row>
    <row r="10" spans="1:19" ht="20.100000000000001" customHeight="1" thickBot="1" x14ac:dyDescent="0.3">
      <c r="A10" s="247"/>
      <c r="B10" s="218"/>
      <c r="C10" s="213">
        <v>22</v>
      </c>
      <c r="D10" s="215" t="s">
        <v>20</v>
      </c>
      <c r="E10" s="21" t="s">
        <v>22</v>
      </c>
      <c r="F10" s="22">
        <f>'12C (SS)Sem 2'!E5</f>
        <v>67</v>
      </c>
      <c r="G10" s="22">
        <f>'12C (SS)Sem 2'!F5</f>
        <v>60</v>
      </c>
      <c r="H10" s="22">
        <f>'12C (SS)Sem 2'!G5</f>
        <v>78</v>
      </c>
      <c r="I10" s="22">
        <f>'12C (SS)Sem 2'!H5</f>
        <v>80</v>
      </c>
      <c r="J10" s="22">
        <f>'12C (SS)Sem 2'!I5</f>
        <v>89</v>
      </c>
      <c r="K10" s="22">
        <f>'12C (SS)Sem 2'!J5</f>
        <v>68</v>
      </c>
      <c r="L10" s="22">
        <f>'12C (SS)Sem 2'!K5</f>
        <v>442</v>
      </c>
      <c r="M10" s="122">
        <f>'12C (SS)Sem 2'!L5</f>
        <v>73.666666666666671</v>
      </c>
      <c r="N10" s="80">
        <f>'12C (SS)Sem 2'!M5</f>
        <v>23</v>
      </c>
      <c r="O10" s="80">
        <f>'12C (SS)Sem 2'!N5</f>
        <v>0</v>
      </c>
      <c r="P10" s="80">
        <f>'12C (SS)Sem 2'!O5</f>
        <v>0</v>
      </c>
    </row>
    <row r="11" spans="1:19" ht="20.100000000000001" customHeight="1" thickBot="1" x14ac:dyDescent="0.3">
      <c r="A11" s="247"/>
      <c r="B11" s="218"/>
      <c r="C11" s="213">
        <v>22</v>
      </c>
      <c r="D11" s="215" t="s">
        <v>20</v>
      </c>
      <c r="E11" s="21" t="s">
        <v>16</v>
      </c>
      <c r="F11" s="22">
        <f>AVERAGE(F9:F10)</f>
        <v>65.5</v>
      </c>
      <c r="G11" s="22">
        <f t="shared" ref="G11:P11" si="1">AVERAGE(G9:G10)</f>
        <v>56</v>
      </c>
      <c r="H11" s="22">
        <f t="shared" si="1"/>
        <v>74.5</v>
      </c>
      <c r="I11" s="22">
        <f t="shared" si="1"/>
        <v>78</v>
      </c>
      <c r="J11" s="22">
        <f t="shared" si="1"/>
        <v>80.5</v>
      </c>
      <c r="K11" s="22">
        <f t="shared" si="1"/>
        <v>67.5</v>
      </c>
      <c r="L11" s="22">
        <f t="shared" si="1"/>
        <v>422</v>
      </c>
      <c r="M11" s="22">
        <f t="shared" si="1"/>
        <v>70.333333333333343</v>
      </c>
      <c r="N11" s="22">
        <f>'12C Sem avr (SS)'!$H$5</f>
        <v>22</v>
      </c>
      <c r="O11" s="22">
        <f t="shared" si="1"/>
        <v>0</v>
      </c>
      <c r="P11" s="22">
        <f t="shared" si="1"/>
        <v>0</v>
      </c>
    </row>
    <row r="12" spans="1:19" ht="20.100000000000001" customHeight="1" thickBot="1" x14ac:dyDescent="0.3">
      <c r="A12" s="249">
        <v>3</v>
      </c>
      <c r="B12" s="218"/>
      <c r="C12" s="213">
        <v>18</v>
      </c>
      <c r="D12" s="215" t="s">
        <v>23</v>
      </c>
      <c r="E12" s="21" t="s">
        <v>21</v>
      </c>
      <c r="F12" s="22">
        <f>'12C (SS)Sem 1'!E6</f>
        <v>87</v>
      </c>
      <c r="G12" s="22">
        <f>'12C (SS)Sem 1'!F6</f>
        <v>48</v>
      </c>
      <c r="H12" s="22">
        <f>'12C (SS)Sem 1'!G6</f>
        <v>69</v>
      </c>
      <c r="I12" s="22">
        <f>'12C (SS)Sem 1'!H6</f>
        <v>79</v>
      </c>
      <c r="J12" s="22">
        <f>'12C (SS)Sem 1'!I6</f>
        <v>92</v>
      </c>
      <c r="K12" s="22">
        <f>'12C (SS)Sem 1'!J6</f>
        <v>69</v>
      </c>
      <c r="L12" s="22">
        <f>'12C (SS)Sem 1'!K6</f>
        <v>444</v>
      </c>
      <c r="M12" s="122">
        <f>'12C (SS)Sem 1'!L6</f>
        <v>74</v>
      </c>
      <c r="N12" s="80">
        <f>'12C (SS)Sem 1'!M6</f>
        <v>10</v>
      </c>
      <c r="O12" s="80">
        <f>'12C (SS)Sem 1'!N6</f>
        <v>0</v>
      </c>
      <c r="P12" s="80">
        <f>'12C (SS)Sem 1'!O6</f>
        <v>0</v>
      </c>
    </row>
    <row r="13" spans="1:19" ht="20.100000000000001" customHeight="1" thickBot="1" x14ac:dyDescent="0.3">
      <c r="A13" s="249"/>
      <c r="B13" s="218"/>
      <c r="C13" s="213">
        <v>18</v>
      </c>
      <c r="D13" s="215" t="s">
        <v>23</v>
      </c>
      <c r="E13" s="21" t="s">
        <v>22</v>
      </c>
      <c r="F13" s="22">
        <f>'12C (SS)Sem 2'!E6</f>
        <v>90</v>
      </c>
      <c r="G13" s="22">
        <f>'12C (SS)Sem 2'!F6</f>
        <v>62</v>
      </c>
      <c r="H13" s="22">
        <f>'12C (SS)Sem 2'!G6</f>
        <v>75</v>
      </c>
      <c r="I13" s="22">
        <f>'12C (SS)Sem 2'!H6</f>
        <v>84</v>
      </c>
      <c r="J13" s="22">
        <f>'12C (SS)Sem 2'!I6</f>
        <v>96</v>
      </c>
      <c r="K13" s="22">
        <f>'12C (SS)Sem 2'!J6</f>
        <v>79</v>
      </c>
      <c r="L13" s="22">
        <f>'12C (SS)Sem 2'!K6</f>
        <v>486</v>
      </c>
      <c r="M13" s="122">
        <f>'12C (SS)Sem 2'!L6</f>
        <v>81</v>
      </c>
      <c r="N13" s="80">
        <f>'12C (SS)Sem 2'!M6</f>
        <v>12</v>
      </c>
      <c r="O13" s="80">
        <f>'12C (SS)Sem 2'!N6</f>
        <v>0</v>
      </c>
      <c r="P13" s="80">
        <f>'12C (SS)Sem 2'!O6</f>
        <v>0</v>
      </c>
    </row>
    <row r="14" spans="1:19" ht="20.100000000000001" customHeight="1" thickBot="1" x14ac:dyDescent="0.3">
      <c r="A14" s="249"/>
      <c r="B14" s="218"/>
      <c r="C14" s="213">
        <v>18</v>
      </c>
      <c r="D14" s="215" t="s">
        <v>23</v>
      </c>
      <c r="E14" s="21" t="s">
        <v>16</v>
      </c>
      <c r="F14" s="22">
        <f>AVERAGE(F12:F13)</f>
        <v>88.5</v>
      </c>
      <c r="G14" s="22">
        <f t="shared" ref="G14:P14" si="2">AVERAGE(G12:G13)</f>
        <v>55</v>
      </c>
      <c r="H14" s="22">
        <f t="shared" si="2"/>
        <v>72</v>
      </c>
      <c r="I14" s="22">
        <f t="shared" si="2"/>
        <v>81.5</v>
      </c>
      <c r="J14" s="22">
        <f t="shared" si="2"/>
        <v>94</v>
      </c>
      <c r="K14" s="22">
        <f t="shared" si="2"/>
        <v>74</v>
      </c>
      <c r="L14" s="22">
        <f t="shared" si="2"/>
        <v>465</v>
      </c>
      <c r="M14" s="22">
        <f t="shared" si="2"/>
        <v>77.5</v>
      </c>
      <c r="N14" s="22">
        <f>'12C Sem avr (SS)'!$H$6</f>
        <v>12</v>
      </c>
      <c r="O14" s="22">
        <f t="shared" si="2"/>
        <v>0</v>
      </c>
      <c r="P14" s="22">
        <f t="shared" si="2"/>
        <v>0</v>
      </c>
    </row>
    <row r="15" spans="1:19" ht="20.100000000000001" customHeight="1" thickBot="1" x14ac:dyDescent="0.3">
      <c r="A15" s="247">
        <v>4</v>
      </c>
      <c r="B15" s="218"/>
      <c r="C15" s="247">
        <v>18</v>
      </c>
      <c r="D15" s="267" t="s">
        <v>20</v>
      </c>
      <c r="E15" s="21" t="s">
        <v>21</v>
      </c>
      <c r="F15" s="22">
        <f>'12C (SS)Sem 1'!E7</f>
        <v>58</v>
      </c>
      <c r="G15" s="22">
        <f>'12C (SS)Sem 1'!F7</f>
        <v>45</v>
      </c>
      <c r="H15" s="22">
        <f>'12C (SS)Sem 1'!G7</f>
        <v>58</v>
      </c>
      <c r="I15" s="22">
        <f>'12C (SS)Sem 1'!H7</f>
        <v>64</v>
      </c>
      <c r="J15" s="22">
        <f>'12C (SS)Sem 1'!I7</f>
        <v>69</v>
      </c>
      <c r="K15" s="22">
        <f>'12C (SS)Sem 1'!J7</f>
        <v>58</v>
      </c>
      <c r="L15" s="22">
        <f>'12C (SS)Sem 1'!K7</f>
        <v>352</v>
      </c>
      <c r="M15" s="122">
        <f>'12C (SS)Sem 1'!L7</f>
        <v>58.666666666666664</v>
      </c>
      <c r="N15" s="80">
        <f>'12C (SS)Sem 1'!M7</f>
        <v>26</v>
      </c>
      <c r="O15" s="80">
        <f>'12C (SS)Sem 1'!N7</f>
        <v>0</v>
      </c>
      <c r="P15" s="80">
        <f>'12C (SS)Sem 1'!O7</f>
        <v>0</v>
      </c>
    </row>
    <row r="16" spans="1:19" ht="20.100000000000001" customHeight="1" thickBot="1" x14ac:dyDescent="0.3">
      <c r="A16" s="247"/>
      <c r="B16" s="218"/>
      <c r="C16" s="247">
        <v>18</v>
      </c>
      <c r="D16" s="267" t="s">
        <v>20</v>
      </c>
      <c r="E16" s="21" t="s">
        <v>22</v>
      </c>
      <c r="F16" s="22">
        <f>'12C (SS)Sem 2'!E7</f>
        <v>68</v>
      </c>
      <c r="G16" s="22">
        <f>'12C (SS)Sem 2'!F7</f>
        <v>61</v>
      </c>
      <c r="H16" s="22">
        <f>'12C (SS)Sem 2'!G7</f>
        <v>68</v>
      </c>
      <c r="I16" s="22">
        <f>'12C (SS)Sem 2'!H7</f>
        <v>71</v>
      </c>
      <c r="J16" s="22">
        <f>'12C (SS)Sem 2'!I7</f>
        <v>90</v>
      </c>
      <c r="K16" s="22">
        <f>'12C (SS)Sem 2'!J7</f>
        <v>67</v>
      </c>
      <c r="L16" s="22">
        <f>'12C (SS)Sem 2'!K7</f>
        <v>425</v>
      </c>
      <c r="M16" s="122">
        <f>'12C (SS)Sem 2'!L7</f>
        <v>70.833333333333329</v>
      </c>
      <c r="N16" s="80">
        <f>'12C (SS)Sem 2'!M7</f>
        <v>25</v>
      </c>
      <c r="O16" s="80">
        <f>'12C (SS)Sem 2'!N7</f>
        <v>0</v>
      </c>
      <c r="P16" s="80">
        <f>'12C (SS)Sem 2'!O7</f>
        <v>0</v>
      </c>
    </row>
    <row r="17" spans="1:16" ht="20.100000000000001" customHeight="1" thickBot="1" x14ac:dyDescent="0.3">
      <c r="A17" s="247"/>
      <c r="B17" s="218"/>
      <c r="C17" s="247">
        <v>18</v>
      </c>
      <c r="D17" s="267" t="s">
        <v>20</v>
      </c>
      <c r="E17" s="21" t="s">
        <v>16</v>
      </c>
      <c r="F17" s="22">
        <f>AVERAGE(F15:F16)</f>
        <v>63</v>
      </c>
      <c r="G17" s="22">
        <f t="shared" ref="G17:P17" si="3">AVERAGE(G15:G16)</f>
        <v>53</v>
      </c>
      <c r="H17" s="22">
        <f t="shared" si="3"/>
        <v>63</v>
      </c>
      <c r="I17" s="22">
        <f t="shared" si="3"/>
        <v>67.5</v>
      </c>
      <c r="J17" s="22">
        <f t="shared" si="3"/>
        <v>79.5</v>
      </c>
      <c r="K17" s="22">
        <f t="shared" si="3"/>
        <v>62.5</v>
      </c>
      <c r="L17" s="22">
        <f t="shared" si="3"/>
        <v>388.5</v>
      </c>
      <c r="M17" s="22">
        <f t="shared" si="3"/>
        <v>64.75</v>
      </c>
      <c r="N17" s="22">
        <f>'12C Sem avr (SS)'!$H$7</f>
        <v>25</v>
      </c>
      <c r="O17" s="22">
        <f t="shared" si="3"/>
        <v>0</v>
      </c>
      <c r="P17" s="22">
        <f t="shared" si="3"/>
        <v>0</v>
      </c>
    </row>
    <row r="18" spans="1:16" ht="20.100000000000001" customHeight="1" thickBot="1" x14ac:dyDescent="0.3">
      <c r="A18" s="247">
        <v>5</v>
      </c>
      <c r="B18" s="218"/>
      <c r="C18" s="213">
        <v>17</v>
      </c>
      <c r="D18" s="215" t="s">
        <v>20</v>
      </c>
      <c r="E18" s="21" t="s">
        <v>21</v>
      </c>
      <c r="F18" s="22">
        <f>'12C (SS)Sem 1'!E8</f>
        <v>82</v>
      </c>
      <c r="G18" s="22">
        <f>'12C (SS)Sem 1'!F8</f>
        <v>67</v>
      </c>
      <c r="H18" s="22">
        <f>'12C (SS)Sem 1'!G8</f>
        <v>82</v>
      </c>
      <c r="I18" s="22">
        <f>'12C (SS)Sem 1'!H8</f>
        <v>91</v>
      </c>
      <c r="J18" s="22">
        <f>'12C (SS)Sem 1'!I8</f>
        <v>97</v>
      </c>
      <c r="K18" s="22">
        <f>'12C (SS)Sem 1'!J8</f>
        <v>77</v>
      </c>
      <c r="L18" s="22">
        <f>'12C (SS)Sem 1'!K8</f>
        <v>496</v>
      </c>
      <c r="M18" s="122">
        <f>'12C (SS)Sem 1'!L8</f>
        <v>82.666666666666671</v>
      </c>
      <c r="N18" s="80">
        <f>'12C (SS)Sem 1'!M8</f>
        <v>6</v>
      </c>
      <c r="O18" s="80">
        <f>'12C (SS)Sem 1'!N8</f>
        <v>0</v>
      </c>
      <c r="P18" s="80">
        <f>'12C (SS)Sem 1'!O8</f>
        <v>0</v>
      </c>
    </row>
    <row r="19" spans="1:16" ht="20.100000000000001" customHeight="1" thickBot="1" x14ac:dyDescent="0.3">
      <c r="A19" s="247"/>
      <c r="B19" s="218"/>
      <c r="C19" s="213">
        <v>17</v>
      </c>
      <c r="D19" s="215" t="s">
        <v>20</v>
      </c>
      <c r="E19" s="21" t="s">
        <v>22</v>
      </c>
      <c r="F19" s="22">
        <f>'12C (SS)Sem 2'!E8</f>
        <v>84</v>
      </c>
      <c r="G19" s="22">
        <f>'12C (SS)Sem 2'!F8</f>
        <v>73</v>
      </c>
      <c r="H19" s="22">
        <f>'12C (SS)Sem 2'!G8</f>
        <v>80</v>
      </c>
      <c r="I19" s="22">
        <f>'12C (SS)Sem 2'!H8</f>
        <v>90</v>
      </c>
      <c r="J19" s="22">
        <f>'12C (SS)Sem 2'!I8</f>
        <v>97</v>
      </c>
      <c r="K19" s="22">
        <f>'12C (SS)Sem 2'!J8</f>
        <v>83</v>
      </c>
      <c r="L19" s="22">
        <f>'12C (SS)Sem 2'!K8</f>
        <v>507</v>
      </c>
      <c r="M19" s="122">
        <f>'12C (SS)Sem 2'!L8</f>
        <v>84.5</v>
      </c>
      <c r="N19" s="80">
        <f>'12C (SS)Sem 2'!M8</f>
        <v>9</v>
      </c>
      <c r="O19" s="80">
        <f>'12C (SS)Sem 2'!N8</f>
        <v>0</v>
      </c>
      <c r="P19" s="80">
        <f>'12C (SS)Sem 2'!O8</f>
        <v>0</v>
      </c>
    </row>
    <row r="20" spans="1:16" ht="20.100000000000001" customHeight="1" thickBot="1" x14ac:dyDescent="0.3">
      <c r="A20" s="247"/>
      <c r="B20" s="218"/>
      <c r="C20" s="213">
        <v>17</v>
      </c>
      <c r="D20" s="215" t="s">
        <v>20</v>
      </c>
      <c r="E20" s="21" t="s">
        <v>16</v>
      </c>
      <c r="F20" s="22">
        <f>AVERAGE(F18:F19)</f>
        <v>83</v>
      </c>
      <c r="G20" s="22">
        <f t="shared" ref="G20:P20" si="4">AVERAGE(G18:G19)</f>
        <v>70</v>
      </c>
      <c r="H20" s="22">
        <f t="shared" si="4"/>
        <v>81</v>
      </c>
      <c r="I20" s="22">
        <f t="shared" si="4"/>
        <v>90.5</v>
      </c>
      <c r="J20" s="22">
        <f t="shared" si="4"/>
        <v>97</v>
      </c>
      <c r="K20" s="22">
        <f t="shared" si="4"/>
        <v>80</v>
      </c>
      <c r="L20" s="22">
        <f t="shared" si="4"/>
        <v>501.5</v>
      </c>
      <c r="M20" s="22">
        <f t="shared" si="4"/>
        <v>83.583333333333343</v>
      </c>
      <c r="N20" s="22">
        <f>'12C Sem avr (SS)'!$H$8</f>
        <v>7</v>
      </c>
      <c r="O20" s="22">
        <f t="shared" si="4"/>
        <v>0</v>
      </c>
      <c r="P20" s="22">
        <f t="shared" si="4"/>
        <v>0</v>
      </c>
    </row>
    <row r="21" spans="1:16" ht="20.100000000000001" customHeight="1" thickBot="1" x14ac:dyDescent="0.3">
      <c r="A21" s="249">
        <v>6</v>
      </c>
      <c r="B21" s="218"/>
      <c r="C21" s="213">
        <v>18</v>
      </c>
      <c r="D21" s="215" t="s">
        <v>23</v>
      </c>
      <c r="E21" s="21" t="s">
        <v>21</v>
      </c>
      <c r="F21" s="22">
        <f>'12C (SS)Sem 1'!E9</f>
        <v>62</v>
      </c>
      <c r="G21" s="22">
        <f>'12C (SS)Sem 1'!F9</f>
        <v>46</v>
      </c>
      <c r="H21" s="22">
        <f>'12C (SS)Sem 1'!G9</f>
        <v>77</v>
      </c>
      <c r="I21" s="22">
        <f>'12C (SS)Sem 1'!H9</f>
        <v>72</v>
      </c>
      <c r="J21" s="22">
        <f>'12C (SS)Sem 1'!I9</f>
        <v>80</v>
      </c>
      <c r="K21" s="22">
        <f>'12C (SS)Sem 1'!J9</f>
        <v>71</v>
      </c>
      <c r="L21" s="22">
        <f>'12C (SS)Sem 1'!K9</f>
        <v>408</v>
      </c>
      <c r="M21" s="122">
        <f>'12C (SS)Sem 1'!L9</f>
        <v>68</v>
      </c>
      <c r="N21" s="80">
        <f>'12C (SS)Sem 1'!M9</f>
        <v>17</v>
      </c>
      <c r="O21" s="80">
        <f>'12C (SS)Sem 1'!N9</f>
        <v>0</v>
      </c>
      <c r="P21" s="80">
        <f>'12C (SS)Sem 1'!O9</f>
        <v>0</v>
      </c>
    </row>
    <row r="22" spans="1:16" ht="20.100000000000001" customHeight="1" thickBot="1" x14ac:dyDescent="0.3">
      <c r="A22" s="249"/>
      <c r="B22" s="218"/>
      <c r="C22" s="213">
        <v>18</v>
      </c>
      <c r="D22" s="215" t="s">
        <v>23</v>
      </c>
      <c r="E22" s="21" t="s">
        <v>22</v>
      </c>
      <c r="F22" s="22">
        <f>'12C (SS)Sem 2'!E9</f>
        <v>69</v>
      </c>
      <c r="G22" s="22">
        <f>'12C (SS)Sem 2'!F9</f>
        <v>51</v>
      </c>
      <c r="H22" s="22">
        <f>'12C (SS)Sem 2'!G9</f>
        <v>82</v>
      </c>
      <c r="I22" s="22">
        <f>'12C (SS)Sem 2'!H9</f>
        <v>75</v>
      </c>
      <c r="J22" s="22">
        <f>'12C (SS)Sem 2'!I9</f>
        <v>96</v>
      </c>
      <c r="K22" s="22">
        <f>'12C (SS)Sem 2'!J9</f>
        <v>77</v>
      </c>
      <c r="L22" s="22">
        <f>'12C (SS)Sem 2'!K9</f>
        <v>450</v>
      </c>
      <c r="M22" s="122">
        <f>'12C (SS)Sem 2'!L9</f>
        <v>75</v>
      </c>
      <c r="N22" s="80">
        <f>'12C (SS)Sem 2'!M9</f>
        <v>17</v>
      </c>
      <c r="O22" s="80">
        <f>'12C (SS)Sem 2'!N9</f>
        <v>0</v>
      </c>
      <c r="P22" s="80">
        <f>'12C (SS)Sem 2'!O9</f>
        <v>0</v>
      </c>
    </row>
    <row r="23" spans="1:16" ht="20.100000000000001" customHeight="1" thickBot="1" x14ac:dyDescent="0.3">
      <c r="A23" s="249"/>
      <c r="B23" s="218"/>
      <c r="C23" s="213">
        <v>18</v>
      </c>
      <c r="D23" s="215" t="s">
        <v>23</v>
      </c>
      <c r="E23" s="21" t="s">
        <v>16</v>
      </c>
      <c r="F23" s="22">
        <f>AVERAGE(F21:F22)</f>
        <v>65.5</v>
      </c>
      <c r="G23" s="22">
        <f t="shared" ref="G23:P23" si="5">AVERAGE(G21:G22)</f>
        <v>48.5</v>
      </c>
      <c r="H23" s="22">
        <f t="shared" si="5"/>
        <v>79.5</v>
      </c>
      <c r="I23" s="22">
        <f t="shared" si="5"/>
        <v>73.5</v>
      </c>
      <c r="J23" s="22">
        <f t="shared" si="5"/>
        <v>88</v>
      </c>
      <c r="K23" s="22">
        <f t="shared" si="5"/>
        <v>74</v>
      </c>
      <c r="L23" s="22">
        <f t="shared" si="5"/>
        <v>429</v>
      </c>
      <c r="M23" s="22">
        <f t="shared" si="5"/>
        <v>71.5</v>
      </c>
      <c r="N23" s="22">
        <f>'12C Sem avr (SS)'!$H$9</f>
        <v>17</v>
      </c>
      <c r="O23" s="22">
        <f t="shared" si="5"/>
        <v>0</v>
      </c>
      <c r="P23" s="22">
        <f t="shared" si="5"/>
        <v>0</v>
      </c>
    </row>
    <row r="24" spans="1:16" ht="20.100000000000001" customHeight="1" thickBot="1" x14ac:dyDescent="0.3">
      <c r="A24" s="247">
        <v>7</v>
      </c>
      <c r="B24" s="218"/>
      <c r="C24" s="213">
        <v>18</v>
      </c>
      <c r="D24" s="215" t="s">
        <v>23</v>
      </c>
      <c r="E24" s="21" t="s">
        <v>21</v>
      </c>
      <c r="F24" s="22">
        <f>'12C (SS)Sem 1'!E10</f>
        <v>50</v>
      </c>
      <c r="G24" s="22">
        <f>'12C (SS)Sem 1'!F10</f>
        <v>43</v>
      </c>
      <c r="H24" s="22">
        <f>'12C (SS)Sem 1'!G10</f>
        <v>56</v>
      </c>
      <c r="I24" s="22">
        <f>'12C (SS)Sem 1'!H10</f>
        <v>54</v>
      </c>
      <c r="J24" s="22">
        <f>'12C (SS)Sem 1'!I10</f>
        <v>50</v>
      </c>
      <c r="K24" s="22">
        <f>'12C (SS)Sem 1'!J10</f>
        <v>38</v>
      </c>
      <c r="L24" s="22">
        <f>'12C (SS)Sem 1'!K10</f>
        <v>291</v>
      </c>
      <c r="M24" s="122">
        <f>'12C (SS)Sem 1'!L10</f>
        <v>48.5</v>
      </c>
      <c r="N24" s="80">
        <f>'12C (SS)Sem 1'!M10</f>
        <v>30</v>
      </c>
      <c r="O24" s="80">
        <f>'12C (SS)Sem 1'!N10</f>
        <v>0</v>
      </c>
      <c r="P24" s="80">
        <f>'12C (SS)Sem 1'!O10</f>
        <v>0</v>
      </c>
    </row>
    <row r="25" spans="1:16" ht="20.100000000000001" customHeight="1" thickBot="1" x14ac:dyDescent="0.3">
      <c r="A25" s="247"/>
      <c r="B25" s="218"/>
      <c r="C25" s="213">
        <v>18</v>
      </c>
      <c r="D25" s="215" t="s">
        <v>23</v>
      </c>
      <c r="E25" s="21" t="s">
        <v>22</v>
      </c>
      <c r="F25" s="22">
        <f>'12C (SS)Sem 2'!E10</f>
        <v>61</v>
      </c>
      <c r="G25" s="22">
        <f>'12C (SS)Sem 2'!F10</f>
        <v>64</v>
      </c>
      <c r="H25" s="22">
        <f>'12C (SS)Sem 2'!G10</f>
        <v>61</v>
      </c>
      <c r="I25" s="22">
        <f>'12C (SS)Sem 2'!H10</f>
        <v>69</v>
      </c>
      <c r="J25" s="22">
        <f>'12C (SS)Sem 2'!I10</f>
        <v>73</v>
      </c>
      <c r="K25" s="22">
        <f>'12C (SS)Sem 2'!J10</f>
        <v>53</v>
      </c>
      <c r="L25" s="22">
        <f>'12C (SS)Sem 2'!K10</f>
        <v>381</v>
      </c>
      <c r="M25" s="122">
        <f>'12C (SS)Sem 2'!L10</f>
        <v>63.5</v>
      </c>
      <c r="N25" s="80">
        <f>'12C (SS)Sem 2'!M10</f>
        <v>30</v>
      </c>
      <c r="O25" s="80">
        <f>'12C (SS)Sem 2'!N10</f>
        <v>0</v>
      </c>
      <c r="P25" s="80">
        <f>'12C (SS)Sem 2'!O10</f>
        <v>0</v>
      </c>
    </row>
    <row r="26" spans="1:16" ht="20.100000000000001" customHeight="1" thickBot="1" x14ac:dyDescent="0.3">
      <c r="A26" s="247"/>
      <c r="B26" s="218"/>
      <c r="C26" s="213">
        <v>18</v>
      </c>
      <c r="D26" s="215" t="s">
        <v>23</v>
      </c>
      <c r="E26" s="21" t="s">
        <v>16</v>
      </c>
      <c r="F26" s="22">
        <f>AVERAGE(F24:F25)</f>
        <v>55.5</v>
      </c>
      <c r="G26" s="22">
        <f t="shared" ref="G26:P26" si="6">AVERAGE(G24:G25)</f>
        <v>53.5</v>
      </c>
      <c r="H26" s="22">
        <f t="shared" si="6"/>
        <v>58.5</v>
      </c>
      <c r="I26" s="22">
        <f t="shared" si="6"/>
        <v>61.5</v>
      </c>
      <c r="J26" s="22">
        <f t="shared" si="6"/>
        <v>61.5</v>
      </c>
      <c r="K26" s="22">
        <f t="shared" si="6"/>
        <v>45.5</v>
      </c>
      <c r="L26" s="22">
        <f t="shared" si="6"/>
        <v>336</v>
      </c>
      <c r="M26" s="22">
        <f t="shared" si="6"/>
        <v>56</v>
      </c>
      <c r="N26" s="22">
        <f>'12C Sem avr (SS)'!$H$10</f>
        <v>30</v>
      </c>
      <c r="O26" s="22">
        <f t="shared" si="6"/>
        <v>0</v>
      </c>
      <c r="P26" s="22">
        <f t="shared" si="6"/>
        <v>0</v>
      </c>
    </row>
    <row r="27" spans="1:16" ht="20.100000000000001" customHeight="1" thickBot="1" x14ac:dyDescent="0.3">
      <c r="A27" s="247">
        <v>8</v>
      </c>
      <c r="B27" s="218"/>
      <c r="C27" s="213">
        <v>16</v>
      </c>
      <c r="D27" s="215" t="s">
        <v>23</v>
      </c>
      <c r="E27" s="21" t="s">
        <v>21</v>
      </c>
      <c r="F27" s="22">
        <f>'12C (SS)Sem 1'!E11</f>
        <v>68</v>
      </c>
      <c r="G27" s="22">
        <f>'12C (SS)Sem 1'!F11</f>
        <v>61</v>
      </c>
      <c r="H27" s="22">
        <f>'12C (SS)Sem 1'!G11</f>
        <v>62</v>
      </c>
      <c r="I27" s="22">
        <f>'12C (SS)Sem 1'!H11</f>
        <v>71</v>
      </c>
      <c r="J27" s="22">
        <f>'12C (SS)Sem 1'!I11</f>
        <v>76</v>
      </c>
      <c r="K27" s="22">
        <f>'12C (SS)Sem 1'!J11</f>
        <v>69</v>
      </c>
      <c r="L27" s="22">
        <f>'12C (SS)Sem 1'!K11</f>
        <v>407</v>
      </c>
      <c r="M27" s="122">
        <f>'12C (SS)Sem 1'!L11</f>
        <v>67.833333333333329</v>
      </c>
      <c r="N27" s="80">
        <f>'12C (SS)Sem 1'!M11</f>
        <v>18</v>
      </c>
      <c r="O27" s="80">
        <f>'12C (SS)Sem 1'!N11</f>
        <v>0</v>
      </c>
      <c r="P27" s="80">
        <f>'12C (SS)Sem 1'!O11</f>
        <v>0</v>
      </c>
    </row>
    <row r="28" spans="1:16" ht="20.100000000000001" customHeight="1" thickBot="1" x14ac:dyDescent="0.3">
      <c r="A28" s="247"/>
      <c r="B28" s="218"/>
      <c r="C28" s="213">
        <v>16</v>
      </c>
      <c r="D28" s="215" t="s">
        <v>23</v>
      </c>
      <c r="E28" s="21" t="s">
        <v>22</v>
      </c>
      <c r="F28" s="22">
        <f>'12C (SS)Sem 2'!E11</f>
        <v>76</v>
      </c>
      <c r="G28" s="22">
        <f>'12C (SS)Sem 2'!F11</f>
        <v>70</v>
      </c>
      <c r="H28" s="22">
        <f>'12C (SS)Sem 2'!G11</f>
        <v>71</v>
      </c>
      <c r="I28" s="22">
        <f>'12C (SS)Sem 2'!H11</f>
        <v>75</v>
      </c>
      <c r="J28" s="22">
        <f>'12C (SS)Sem 2'!I11</f>
        <v>94</v>
      </c>
      <c r="K28" s="22">
        <f>'12C (SS)Sem 2'!J11</f>
        <v>62</v>
      </c>
      <c r="L28" s="22">
        <f>'12C (SS)Sem 2'!K11</f>
        <v>448</v>
      </c>
      <c r="M28" s="122">
        <f>'12C (SS)Sem 2'!L11</f>
        <v>74.666666666666671</v>
      </c>
      <c r="N28" s="80">
        <f>'12C (SS)Sem 2'!M11</f>
        <v>19</v>
      </c>
      <c r="O28" s="80">
        <f>'12C (SS)Sem 2'!N11</f>
        <v>0</v>
      </c>
      <c r="P28" s="80">
        <f>'12C (SS)Sem 2'!O11</f>
        <v>0</v>
      </c>
    </row>
    <row r="29" spans="1:16" ht="20.100000000000001" customHeight="1" thickBot="1" x14ac:dyDescent="0.3">
      <c r="A29" s="247"/>
      <c r="B29" s="218"/>
      <c r="C29" s="213">
        <v>16</v>
      </c>
      <c r="D29" s="215" t="s">
        <v>23</v>
      </c>
      <c r="E29" s="21" t="s">
        <v>16</v>
      </c>
      <c r="F29" s="22">
        <f>AVERAGE(F27:F28)</f>
        <v>72</v>
      </c>
      <c r="G29" s="22">
        <f t="shared" ref="G29:P29" si="7">AVERAGE(G27:G28)</f>
        <v>65.5</v>
      </c>
      <c r="H29" s="22">
        <f t="shared" si="7"/>
        <v>66.5</v>
      </c>
      <c r="I29" s="22">
        <f t="shared" si="7"/>
        <v>73</v>
      </c>
      <c r="J29" s="22">
        <f t="shared" si="7"/>
        <v>85</v>
      </c>
      <c r="K29" s="22">
        <f t="shared" si="7"/>
        <v>65.5</v>
      </c>
      <c r="L29" s="22">
        <f t="shared" si="7"/>
        <v>427.5</v>
      </c>
      <c r="M29" s="22">
        <f t="shared" si="7"/>
        <v>71.25</v>
      </c>
      <c r="N29" s="22">
        <f>'12C Sem avr (SS)'!$H$11</f>
        <v>18</v>
      </c>
      <c r="O29" s="22">
        <f t="shared" si="7"/>
        <v>0</v>
      </c>
      <c r="P29" s="22">
        <f t="shared" si="7"/>
        <v>0</v>
      </c>
    </row>
    <row r="30" spans="1:16" ht="20.100000000000001" customHeight="1" thickBot="1" x14ac:dyDescent="0.3">
      <c r="A30" s="249">
        <v>9</v>
      </c>
      <c r="B30" s="218"/>
      <c r="C30" s="213">
        <v>18</v>
      </c>
      <c r="D30" s="215" t="s">
        <v>20</v>
      </c>
      <c r="E30" s="21" t="s">
        <v>21</v>
      </c>
      <c r="F30" s="22">
        <f>'12C (SS)Sem 1'!E12</f>
        <v>72</v>
      </c>
      <c r="G30" s="22">
        <f>'12C (SS)Sem 1'!F12</f>
        <v>54</v>
      </c>
      <c r="H30" s="22">
        <f>'12C (SS)Sem 1'!G12</f>
        <v>72</v>
      </c>
      <c r="I30" s="22">
        <f>'12C (SS)Sem 1'!H12</f>
        <v>70</v>
      </c>
      <c r="J30" s="22">
        <f>'12C (SS)Sem 1'!I12</f>
        <v>87</v>
      </c>
      <c r="K30" s="22">
        <f>'12C (SS)Sem 1'!J12</f>
        <v>64</v>
      </c>
      <c r="L30" s="22">
        <f>'12C (SS)Sem 1'!K12</f>
        <v>419</v>
      </c>
      <c r="M30" s="122">
        <f>'12C (SS)Sem 1'!L12</f>
        <v>69.833333333333329</v>
      </c>
      <c r="N30" s="80">
        <f>'12C (SS)Sem 1'!M12</f>
        <v>14</v>
      </c>
      <c r="O30" s="80">
        <f>'12C (SS)Sem 1'!N12</f>
        <v>0</v>
      </c>
      <c r="P30" s="80">
        <f>'12C (SS)Sem 1'!O12</f>
        <v>0</v>
      </c>
    </row>
    <row r="31" spans="1:16" ht="20.100000000000001" customHeight="1" thickBot="1" x14ac:dyDescent="0.3">
      <c r="A31" s="249"/>
      <c r="B31" s="218"/>
      <c r="C31" s="213">
        <v>18</v>
      </c>
      <c r="D31" s="215" t="s">
        <v>20</v>
      </c>
      <c r="E31" s="21" t="s">
        <v>22</v>
      </c>
      <c r="F31" s="22">
        <f>'12C (SS)Sem 2'!E12</f>
        <v>74</v>
      </c>
      <c r="G31" s="22">
        <f>'12C (SS)Sem 2'!F12</f>
        <v>64</v>
      </c>
      <c r="H31" s="22">
        <f>'12C (SS)Sem 2'!G12</f>
        <v>78</v>
      </c>
      <c r="I31" s="22">
        <f>'12C (SS)Sem 2'!H12</f>
        <v>74</v>
      </c>
      <c r="J31" s="22">
        <f>'12C (SS)Sem 2'!I12</f>
        <v>100</v>
      </c>
      <c r="K31" s="22">
        <f>'12C (SS)Sem 2'!J12</f>
        <v>72</v>
      </c>
      <c r="L31" s="22">
        <f>'12C (SS)Sem 2'!K12</f>
        <v>462</v>
      </c>
      <c r="M31" s="122">
        <f>'12C (SS)Sem 2'!L12</f>
        <v>77</v>
      </c>
      <c r="N31" s="80">
        <f>'12C (SS)Sem 2'!M12</f>
        <v>15</v>
      </c>
      <c r="O31" s="80">
        <f>'12C (SS)Sem 2'!N12</f>
        <v>0</v>
      </c>
      <c r="P31" s="80">
        <f>'12C (SS)Sem 2'!O12</f>
        <v>0</v>
      </c>
    </row>
    <row r="32" spans="1:16" ht="20.100000000000001" customHeight="1" thickBot="1" x14ac:dyDescent="0.3">
      <c r="A32" s="249"/>
      <c r="B32" s="218"/>
      <c r="C32" s="213">
        <v>18</v>
      </c>
      <c r="D32" s="215" t="s">
        <v>20</v>
      </c>
      <c r="E32" s="21" t="s">
        <v>16</v>
      </c>
      <c r="F32" s="22">
        <f>AVERAGE(F30:F31)</f>
        <v>73</v>
      </c>
      <c r="G32" s="22">
        <f t="shared" ref="G32:P32" si="8">AVERAGE(G30:G31)</f>
        <v>59</v>
      </c>
      <c r="H32" s="22">
        <f t="shared" si="8"/>
        <v>75</v>
      </c>
      <c r="I32" s="22">
        <f t="shared" si="8"/>
        <v>72</v>
      </c>
      <c r="J32" s="22">
        <f t="shared" si="8"/>
        <v>93.5</v>
      </c>
      <c r="K32" s="22">
        <f t="shared" si="8"/>
        <v>68</v>
      </c>
      <c r="L32" s="22">
        <f t="shared" si="8"/>
        <v>440.5</v>
      </c>
      <c r="M32" s="22">
        <f t="shared" si="8"/>
        <v>73.416666666666657</v>
      </c>
      <c r="N32" s="22">
        <f>'12C Sem avr (SS)'!$H$12</f>
        <v>15</v>
      </c>
      <c r="O32" s="22">
        <f t="shared" si="8"/>
        <v>0</v>
      </c>
      <c r="P32" s="22">
        <f t="shared" si="8"/>
        <v>0</v>
      </c>
    </row>
    <row r="33" spans="1:16" ht="20.100000000000001" customHeight="1" thickBot="1" x14ac:dyDescent="0.3">
      <c r="A33" s="247">
        <v>10</v>
      </c>
      <c r="B33" s="218"/>
      <c r="C33" s="213">
        <v>18</v>
      </c>
      <c r="D33" s="215" t="s">
        <v>23</v>
      </c>
      <c r="E33" s="21" t="s">
        <v>21</v>
      </c>
      <c r="F33" s="22">
        <f>'12C (SS)Sem 1'!E13</f>
        <v>93</v>
      </c>
      <c r="G33" s="22">
        <f>'12C (SS)Sem 1'!F13</f>
        <v>50</v>
      </c>
      <c r="H33" s="22">
        <f>'12C (SS)Sem 1'!G13</f>
        <v>86</v>
      </c>
      <c r="I33" s="22">
        <f>'12C (SS)Sem 1'!H13</f>
        <v>91</v>
      </c>
      <c r="J33" s="22">
        <f>'12C (SS)Sem 1'!I13</f>
        <v>91</v>
      </c>
      <c r="K33" s="22">
        <f>'12C (SS)Sem 1'!J13</f>
        <v>82</v>
      </c>
      <c r="L33" s="22">
        <f>'12C (SS)Sem 1'!K13</f>
        <v>493</v>
      </c>
      <c r="M33" s="122">
        <f>'12C (SS)Sem 1'!L13</f>
        <v>82.166666666666671</v>
      </c>
      <c r="N33" s="80">
        <f>'12C (SS)Sem 1'!M13</f>
        <v>7</v>
      </c>
      <c r="O33" s="80">
        <f>'12C (SS)Sem 1'!N13</f>
        <v>0</v>
      </c>
      <c r="P33" s="80">
        <f>'12C (SS)Sem 1'!O13</f>
        <v>0</v>
      </c>
    </row>
    <row r="34" spans="1:16" ht="20.100000000000001" customHeight="1" thickBot="1" x14ac:dyDescent="0.3">
      <c r="A34" s="247"/>
      <c r="B34" s="218"/>
      <c r="C34" s="213">
        <v>18</v>
      </c>
      <c r="D34" s="215" t="s">
        <v>23</v>
      </c>
      <c r="E34" s="21" t="s">
        <v>22</v>
      </c>
      <c r="F34" s="22">
        <f>'12C (SS)Sem 2'!E13</f>
        <v>94</v>
      </c>
      <c r="G34" s="22">
        <f>'12C (SS)Sem 2'!F13</f>
        <v>67</v>
      </c>
      <c r="H34" s="22">
        <f>'12C (SS)Sem 2'!G13</f>
        <v>88</v>
      </c>
      <c r="I34" s="22">
        <f>'12C (SS)Sem 2'!H13</f>
        <v>93</v>
      </c>
      <c r="J34" s="22">
        <f>'12C (SS)Sem 2'!I13</f>
        <v>94</v>
      </c>
      <c r="K34" s="22">
        <f>'12C (SS)Sem 2'!J13</f>
        <v>80</v>
      </c>
      <c r="L34" s="22">
        <f>'12C (SS)Sem 2'!K13</f>
        <v>516</v>
      </c>
      <c r="M34" s="122">
        <f>'12C (SS)Sem 2'!L13</f>
        <v>86</v>
      </c>
      <c r="N34" s="80">
        <f>'12C (SS)Sem 2'!M13</f>
        <v>8</v>
      </c>
      <c r="O34" s="80">
        <f>'12C (SS)Sem 2'!N13</f>
        <v>0</v>
      </c>
      <c r="P34" s="80">
        <f>'12C (SS)Sem 2'!O13</f>
        <v>0</v>
      </c>
    </row>
    <row r="35" spans="1:16" ht="20.100000000000001" customHeight="1" thickBot="1" x14ac:dyDescent="0.3">
      <c r="A35" s="247"/>
      <c r="B35" s="218"/>
      <c r="C35" s="213">
        <v>18</v>
      </c>
      <c r="D35" s="215" t="s">
        <v>23</v>
      </c>
      <c r="E35" s="21" t="s">
        <v>16</v>
      </c>
      <c r="F35" s="22">
        <f>AVERAGE(F33:F34)</f>
        <v>93.5</v>
      </c>
      <c r="G35" s="22">
        <f t="shared" ref="G35:P35" si="9">AVERAGE(G33:G34)</f>
        <v>58.5</v>
      </c>
      <c r="H35" s="22">
        <f t="shared" si="9"/>
        <v>87</v>
      </c>
      <c r="I35" s="22">
        <f t="shared" si="9"/>
        <v>92</v>
      </c>
      <c r="J35" s="22">
        <f t="shared" si="9"/>
        <v>92.5</v>
      </c>
      <c r="K35" s="22">
        <f t="shared" si="9"/>
        <v>81</v>
      </c>
      <c r="L35" s="22">
        <f t="shared" si="9"/>
        <v>504.5</v>
      </c>
      <c r="M35" s="22">
        <f t="shared" si="9"/>
        <v>84.083333333333343</v>
      </c>
      <c r="N35" s="22">
        <f>'12C Sem avr (SS)'!$H$13</f>
        <v>6</v>
      </c>
      <c r="O35" s="22">
        <f t="shared" si="9"/>
        <v>0</v>
      </c>
      <c r="P35" s="22">
        <f t="shared" si="9"/>
        <v>0</v>
      </c>
    </row>
    <row r="36" spans="1:16" ht="20.100000000000001" customHeight="1" thickBot="1" x14ac:dyDescent="0.3">
      <c r="A36" s="249">
        <v>11</v>
      </c>
      <c r="B36" s="218"/>
      <c r="C36" s="213">
        <v>18</v>
      </c>
      <c r="D36" s="215" t="s">
        <v>20</v>
      </c>
      <c r="E36" s="21" t="s">
        <v>21</v>
      </c>
      <c r="F36" s="22">
        <f>'12C (SS)Sem 1'!E14</f>
        <v>72</v>
      </c>
      <c r="G36" s="22">
        <f>'12C (SS)Sem 1'!F14</f>
        <v>59</v>
      </c>
      <c r="H36" s="22">
        <f>'12C (SS)Sem 1'!G14</f>
        <v>59</v>
      </c>
      <c r="I36" s="22">
        <f>'12C (SS)Sem 1'!H14</f>
        <v>60</v>
      </c>
      <c r="J36" s="22">
        <f>'12C (SS)Sem 1'!I14</f>
        <v>82</v>
      </c>
      <c r="K36" s="22">
        <f>'12C (SS)Sem 1'!J14</f>
        <v>57</v>
      </c>
      <c r="L36" s="22">
        <f>'12C (SS)Sem 1'!K14</f>
        <v>389</v>
      </c>
      <c r="M36" s="122">
        <f>'12C (SS)Sem 1'!L14</f>
        <v>64.833333333333329</v>
      </c>
      <c r="N36" s="80">
        <f>'12C (SS)Sem 1'!M14</f>
        <v>24</v>
      </c>
      <c r="O36" s="80">
        <f>'12C (SS)Sem 1'!N14</f>
        <v>0</v>
      </c>
      <c r="P36" s="80">
        <f>'12C (SS)Sem 1'!O14</f>
        <v>0</v>
      </c>
    </row>
    <row r="37" spans="1:16" ht="20.100000000000001" customHeight="1" thickBot="1" x14ac:dyDescent="0.3">
      <c r="A37" s="249"/>
      <c r="B37" s="218"/>
      <c r="C37" s="213">
        <v>18</v>
      </c>
      <c r="D37" s="215" t="s">
        <v>20</v>
      </c>
      <c r="E37" s="21" t="s">
        <v>22</v>
      </c>
      <c r="F37" s="22">
        <f>'12C (SS)Sem 2'!E14</f>
        <v>78</v>
      </c>
      <c r="G37" s="22">
        <f>'12C (SS)Sem 2'!F14</f>
        <v>67</v>
      </c>
      <c r="H37" s="22">
        <f>'12C (SS)Sem 2'!G14</f>
        <v>67</v>
      </c>
      <c r="I37" s="22">
        <f>'12C (SS)Sem 2'!H14</f>
        <v>67</v>
      </c>
      <c r="J37" s="22">
        <f>'12C (SS)Sem 2'!I14</f>
        <v>96</v>
      </c>
      <c r="K37" s="22">
        <f>'12C (SS)Sem 2'!J14</f>
        <v>67</v>
      </c>
      <c r="L37" s="22">
        <f>'12C (SS)Sem 2'!K14</f>
        <v>442</v>
      </c>
      <c r="M37" s="122">
        <f>'12C (SS)Sem 2'!L14</f>
        <v>73.666666666666671</v>
      </c>
      <c r="N37" s="80">
        <f>'12C (SS)Sem 2'!M14</f>
        <v>23</v>
      </c>
      <c r="O37" s="80">
        <f>'12C (SS)Sem 2'!N14</f>
        <v>0</v>
      </c>
      <c r="P37" s="80">
        <f>'12C (SS)Sem 2'!O14</f>
        <v>0</v>
      </c>
    </row>
    <row r="38" spans="1:16" ht="20.100000000000001" customHeight="1" thickBot="1" x14ac:dyDescent="0.3">
      <c r="A38" s="249"/>
      <c r="B38" s="218"/>
      <c r="C38" s="213">
        <v>18</v>
      </c>
      <c r="D38" s="215" t="s">
        <v>20</v>
      </c>
      <c r="E38" s="21" t="s">
        <v>16</v>
      </c>
      <c r="F38" s="22">
        <f>AVERAGE(F36:F37)</f>
        <v>75</v>
      </c>
      <c r="G38" s="22">
        <f t="shared" ref="G38:P38" si="10">AVERAGE(G36:G37)</f>
        <v>63</v>
      </c>
      <c r="H38" s="22">
        <f t="shared" si="10"/>
        <v>63</v>
      </c>
      <c r="I38" s="22">
        <f t="shared" si="10"/>
        <v>63.5</v>
      </c>
      <c r="J38" s="22">
        <f t="shared" si="10"/>
        <v>89</v>
      </c>
      <c r="K38" s="22">
        <f t="shared" si="10"/>
        <v>62</v>
      </c>
      <c r="L38" s="22">
        <f t="shared" si="10"/>
        <v>415.5</v>
      </c>
      <c r="M38" s="22">
        <f t="shared" si="10"/>
        <v>69.25</v>
      </c>
      <c r="N38" s="22">
        <f>'12C Sem avr (SS)'!$H$14</f>
        <v>24</v>
      </c>
      <c r="O38" s="22">
        <f t="shared" si="10"/>
        <v>0</v>
      </c>
      <c r="P38" s="22">
        <f t="shared" si="10"/>
        <v>0</v>
      </c>
    </row>
    <row r="39" spans="1:16" ht="20.100000000000001" customHeight="1" thickBot="1" x14ac:dyDescent="0.3">
      <c r="A39" s="249">
        <v>12</v>
      </c>
      <c r="B39" s="218"/>
      <c r="C39" s="213">
        <v>18</v>
      </c>
      <c r="D39" s="215" t="s">
        <v>23</v>
      </c>
      <c r="E39" s="21" t="s">
        <v>21</v>
      </c>
      <c r="F39" s="22">
        <f>'12C (SS)Sem 1'!E15</f>
        <v>53</v>
      </c>
      <c r="G39" s="22">
        <f>'12C (SS)Sem 1'!F15</f>
        <v>43</v>
      </c>
      <c r="H39" s="22">
        <f>'12C (SS)Sem 1'!G15</f>
        <v>57</v>
      </c>
      <c r="I39" s="22">
        <f>'12C (SS)Sem 1'!H15</f>
        <v>57</v>
      </c>
      <c r="J39" s="22">
        <f>'12C (SS)Sem 1'!I15</f>
        <v>61</v>
      </c>
      <c r="K39" s="22">
        <f>'12C (SS)Sem 1'!J15</f>
        <v>46</v>
      </c>
      <c r="L39" s="22">
        <f>'12C (SS)Sem 1'!K15</f>
        <v>317</v>
      </c>
      <c r="M39" s="122">
        <f>'12C (SS)Sem 1'!L15</f>
        <v>52.833333333333336</v>
      </c>
      <c r="N39" s="80">
        <f>'12C (SS)Sem 1'!M15</f>
        <v>28</v>
      </c>
      <c r="O39" s="80">
        <f>'12C (SS)Sem 1'!N15</f>
        <v>0</v>
      </c>
      <c r="P39" s="80">
        <f>'12C (SS)Sem 1'!O15</f>
        <v>0</v>
      </c>
    </row>
    <row r="40" spans="1:16" ht="20.100000000000001" customHeight="1" thickBot="1" x14ac:dyDescent="0.3">
      <c r="A40" s="249"/>
      <c r="B40" s="218"/>
      <c r="C40" s="213">
        <v>18</v>
      </c>
      <c r="D40" s="215" t="s">
        <v>23</v>
      </c>
      <c r="E40" s="21" t="s">
        <v>22</v>
      </c>
      <c r="F40" s="22">
        <f>'12C (SS)Sem 2'!E15</f>
        <v>63</v>
      </c>
      <c r="G40" s="22">
        <f>'12C (SS)Sem 2'!F15</f>
        <v>63</v>
      </c>
      <c r="H40" s="22">
        <f>'12C (SS)Sem 2'!G15</f>
        <v>66</v>
      </c>
      <c r="I40" s="22">
        <f>'12C (SS)Sem 2'!H15</f>
        <v>62</v>
      </c>
      <c r="J40" s="22">
        <f>'12C (SS)Sem 2'!I15</f>
        <v>85</v>
      </c>
      <c r="K40" s="22">
        <f>'12C (SS)Sem 2'!J15</f>
        <v>63</v>
      </c>
      <c r="L40" s="22">
        <f>'12C (SS)Sem 2'!K15</f>
        <v>402</v>
      </c>
      <c r="M40" s="122">
        <f>'12C (SS)Sem 2'!L15</f>
        <v>67</v>
      </c>
      <c r="N40" s="80">
        <f>'12C (SS)Sem 2'!M15</f>
        <v>28</v>
      </c>
      <c r="O40" s="80">
        <f>'12C (SS)Sem 2'!N15</f>
        <v>0</v>
      </c>
      <c r="P40" s="80">
        <f>'12C (SS)Sem 2'!O15</f>
        <v>0</v>
      </c>
    </row>
    <row r="41" spans="1:16" ht="20.100000000000001" customHeight="1" thickBot="1" x14ac:dyDescent="0.3">
      <c r="A41" s="249"/>
      <c r="B41" s="218"/>
      <c r="C41" s="213">
        <v>18</v>
      </c>
      <c r="D41" s="215" t="s">
        <v>23</v>
      </c>
      <c r="E41" s="21" t="s">
        <v>16</v>
      </c>
      <c r="F41" s="22">
        <f>AVERAGE(F39:F40)</f>
        <v>58</v>
      </c>
      <c r="G41" s="22">
        <f t="shared" ref="G41:P41" si="11">AVERAGE(G39:G40)</f>
        <v>53</v>
      </c>
      <c r="H41" s="22">
        <f t="shared" si="11"/>
        <v>61.5</v>
      </c>
      <c r="I41" s="22">
        <f t="shared" si="11"/>
        <v>59.5</v>
      </c>
      <c r="J41" s="22">
        <f t="shared" si="11"/>
        <v>73</v>
      </c>
      <c r="K41" s="22">
        <f t="shared" si="11"/>
        <v>54.5</v>
      </c>
      <c r="L41" s="22">
        <f t="shared" si="11"/>
        <v>359.5</v>
      </c>
      <c r="M41" s="22">
        <f t="shared" si="11"/>
        <v>59.916666666666671</v>
      </c>
      <c r="N41" s="22">
        <f>'12C Sem avr (SS)'!$H$15</f>
        <v>28</v>
      </c>
      <c r="O41" s="22">
        <f t="shared" si="11"/>
        <v>0</v>
      </c>
      <c r="P41" s="22">
        <f t="shared" si="11"/>
        <v>0</v>
      </c>
    </row>
    <row r="42" spans="1:16" ht="20.100000000000001" customHeight="1" thickBot="1" x14ac:dyDescent="0.3">
      <c r="A42" s="249">
        <v>13</v>
      </c>
      <c r="B42" s="218"/>
      <c r="C42" s="213">
        <v>17</v>
      </c>
      <c r="D42" s="215" t="s">
        <v>23</v>
      </c>
      <c r="E42" s="21" t="s">
        <v>21</v>
      </c>
      <c r="F42" s="22">
        <f>'12C (SS)Sem 1'!E16</f>
        <v>90</v>
      </c>
      <c r="G42" s="22">
        <f>'12C (SS)Sem 1'!F16</f>
        <v>74</v>
      </c>
      <c r="H42" s="22">
        <f>'12C (SS)Sem 1'!G16</f>
        <v>96</v>
      </c>
      <c r="I42" s="22">
        <f>'12C (SS)Sem 1'!H16</f>
        <v>94</v>
      </c>
      <c r="J42" s="22">
        <f>'12C (SS)Sem 1'!I16</f>
        <v>94</v>
      </c>
      <c r="K42" s="22">
        <f>'12C (SS)Sem 1'!J16</f>
        <v>94</v>
      </c>
      <c r="L42" s="22">
        <f>'12C (SS)Sem 1'!K16</f>
        <v>542</v>
      </c>
      <c r="M42" s="122">
        <f>'12C (SS)Sem 1'!L16</f>
        <v>90.333333333333329</v>
      </c>
      <c r="N42" s="80">
        <f>'12C (SS)Sem 1'!M16</f>
        <v>2</v>
      </c>
      <c r="O42" s="80">
        <f>'12C (SS)Sem 1'!N16</f>
        <v>0</v>
      </c>
      <c r="P42" s="80">
        <f>'12C (SS)Sem 1'!O16</f>
        <v>0</v>
      </c>
    </row>
    <row r="43" spans="1:16" ht="20.100000000000001" customHeight="1" thickBot="1" x14ac:dyDescent="0.3">
      <c r="A43" s="249"/>
      <c r="B43" s="218"/>
      <c r="C43" s="213">
        <v>17</v>
      </c>
      <c r="D43" s="215" t="s">
        <v>23</v>
      </c>
      <c r="E43" s="21" t="s">
        <v>22</v>
      </c>
      <c r="F43" s="22">
        <f>'12C (SS)Sem 2'!E16</f>
        <v>96</v>
      </c>
      <c r="G43" s="22">
        <f>'12C (SS)Sem 2'!F16</f>
        <v>83</v>
      </c>
      <c r="H43" s="22">
        <f>'12C (SS)Sem 2'!G16</f>
        <v>96</v>
      </c>
      <c r="I43" s="22">
        <f>'12C (SS)Sem 2'!H16</f>
        <v>95</v>
      </c>
      <c r="J43" s="22">
        <f>'12C (SS)Sem 2'!I16</f>
        <v>100</v>
      </c>
      <c r="K43" s="22">
        <f>'12C (SS)Sem 2'!J16</f>
        <v>93</v>
      </c>
      <c r="L43" s="22">
        <f>'12C (SS)Sem 2'!K16</f>
        <v>563</v>
      </c>
      <c r="M43" s="122">
        <f>'12C (SS)Sem 2'!L16</f>
        <v>93.833333333333329</v>
      </c>
      <c r="N43" s="80">
        <f>'12C (SS)Sem 2'!M16</f>
        <v>3</v>
      </c>
      <c r="O43" s="80">
        <f>'12C (SS)Sem 2'!N16</f>
        <v>0</v>
      </c>
      <c r="P43" s="80">
        <f>'12C (SS)Sem 2'!O16</f>
        <v>0</v>
      </c>
    </row>
    <row r="44" spans="1:16" ht="20.100000000000001" customHeight="1" thickBot="1" x14ac:dyDescent="0.3">
      <c r="A44" s="249"/>
      <c r="B44" s="218"/>
      <c r="C44" s="213">
        <v>17</v>
      </c>
      <c r="D44" s="215" t="s">
        <v>23</v>
      </c>
      <c r="E44" s="21" t="s">
        <v>16</v>
      </c>
      <c r="F44" s="22">
        <f>AVERAGE(F42:F43)</f>
        <v>93</v>
      </c>
      <c r="G44" s="22">
        <f t="shared" ref="G44:P44" si="12">AVERAGE(G42:G43)</f>
        <v>78.5</v>
      </c>
      <c r="H44" s="22">
        <f t="shared" si="12"/>
        <v>96</v>
      </c>
      <c r="I44" s="22">
        <f t="shared" si="12"/>
        <v>94.5</v>
      </c>
      <c r="J44" s="22">
        <f t="shared" si="12"/>
        <v>97</v>
      </c>
      <c r="K44" s="22">
        <f t="shared" si="12"/>
        <v>93.5</v>
      </c>
      <c r="L44" s="22">
        <f t="shared" si="12"/>
        <v>552.5</v>
      </c>
      <c r="M44" s="22">
        <f t="shared" si="12"/>
        <v>92.083333333333329</v>
      </c>
      <c r="N44" s="22">
        <f>'12C Sem avr (SS)'!$H$16</f>
        <v>2</v>
      </c>
      <c r="O44" s="22">
        <f t="shared" si="12"/>
        <v>0</v>
      </c>
      <c r="P44" s="22">
        <f t="shared" si="12"/>
        <v>0</v>
      </c>
    </row>
    <row r="45" spans="1:16" ht="20.100000000000001" customHeight="1" thickBot="1" x14ac:dyDescent="0.3">
      <c r="A45" s="247">
        <v>14</v>
      </c>
      <c r="B45" s="218"/>
      <c r="C45" s="213">
        <v>18</v>
      </c>
      <c r="D45" s="215" t="s">
        <v>23</v>
      </c>
      <c r="E45" s="21" t="s">
        <v>21</v>
      </c>
      <c r="F45" s="22">
        <f>'12C (SS)Sem 1'!E17</f>
        <v>60</v>
      </c>
      <c r="G45" s="22">
        <f>'12C (SS)Sem 1'!F17</f>
        <v>50</v>
      </c>
      <c r="H45" s="22">
        <f>'12C (SS)Sem 1'!G17</f>
        <v>56</v>
      </c>
      <c r="I45" s="22">
        <f>'12C (SS)Sem 1'!H17</f>
        <v>64</v>
      </c>
      <c r="J45" s="22">
        <f>'12C (SS)Sem 1'!I17</f>
        <v>72</v>
      </c>
      <c r="K45" s="22">
        <f>'12C (SS)Sem 1'!J17</f>
        <v>52</v>
      </c>
      <c r="L45" s="22">
        <f>'12C (SS)Sem 1'!K17</f>
        <v>354</v>
      </c>
      <c r="M45" s="122">
        <f>'12C (SS)Sem 1'!L17</f>
        <v>59</v>
      </c>
      <c r="N45" s="80">
        <f>'12C (SS)Sem 1'!M17</f>
        <v>25</v>
      </c>
      <c r="O45" s="80">
        <f>'12C (SS)Sem 1'!N17</f>
        <v>0</v>
      </c>
      <c r="P45" s="80">
        <f>'12C (SS)Sem 1'!O17</f>
        <v>0</v>
      </c>
    </row>
    <row r="46" spans="1:16" ht="20.100000000000001" customHeight="1" thickBot="1" x14ac:dyDescent="0.3">
      <c r="A46" s="247"/>
      <c r="B46" s="218"/>
      <c r="C46" s="213">
        <v>18</v>
      </c>
      <c r="D46" s="215" t="s">
        <v>23</v>
      </c>
      <c r="E46" s="21" t="s">
        <v>22</v>
      </c>
      <c r="F46" s="22">
        <f>'12C (SS)Sem 2'!E17</f>
        <v>66</v>
      </c>
      <c r="G46" s="22">
        <f>'12C (SS)Sem 2'!F17</f>
        <v>64</v>
      </c>
      <c r="H46" s="22">
        <f>'12C (SS)Sem 2'!G17</f>
        <v>68</v>
      </c>
      <c r="I46" s="22">
        <f>'12C (SS)Sem 2'!H17</f>
        <v>70</v>
      </c>
      <c r="J46" s="22">
        <f>'12C (SS)Sem 2'!I17</f>
        <v>90</v>
      </c>
      <c r="K46" s="22">
        <f>'12C (SS)Sem 2'!J17</f>
        <v>64</v>
      </c>
      <c r="L46" s="22">
        <f>'12C (SS)Sem 2'!K17</f>
        <v>422</v>
      </c>
      <c r="M46" s="122">
        <f>'12C (SS)Sem 2'!L17</f>
        <v>70.333333333333329</v>
      </c>
      <c r="N46" s="80">
        <f>'12C (SS)Sem 2'!M17</f>
        <v>27</v>
      </c>
      <c r="O46" s="80">
        <f>'12C (SS)Sem 2'!N17</f>
        <v>0</v>
      </c>
      <c r="P46" s="80">
        <f>'12C (SS)Sem 2'!O17</f>
        <v>0</v>
      </c>
    </row>
    <row r="47" spans="1:16" ht="20.100000000000001" customHeight="1" thickBot="1" x14ac:dyDescent="0.3">
      <c r="A47" s="247"/>
      <c r="B47" s="218"/>
      <c r="C47" s="213">
        <v>18</v>
      </c>
      <c r="D47" s="215" t="s">
        <v>23</v>
      </c>
      <c r="E47" s="21" t="s">
        <v>16</v>
      </c>
      <c r="F47" s="22">
        <f>AVERAGE(F45:F46)</f>
        <v>63</v>
      </c>
      <c r="G47" s="22">
        <f t="shared" ref="G47:P47" si="13">AVERAGE(G45:G46)</f>
        <v>57</v>
      </c>
      <c r="H47" s="22">
        <f t="shared" si="13"/>
        <v>62</v>
      </c>
      <c r="I47" s="22">
        <f t="shared" si="13"/>
        <v>67</v>
      </c>
      <c r="J47" s="22">
        <f t="shared" si="13"/>
        <v>81</v>
      </c>
      <c r="K47" s="22">
        <f t="shared" si="13"/>
        <v>58</v>
      </c>
      <c r="L47" s="22">
        <f t="shared" si="13"/>
        <v>388</v>
      </c>
      <c r="M47" s="22">
        <f t="shared" si="13"/>
        <v>64.666666666666657</v>
      </c>
      <c r="N47" s="22">
        <f>'12C Sem avr (SS)'!$H$17</f>
        <v>26</v>
      </c>
      <c r="O47" s="22">
        <f t="shared" si="13"/>
        <v>0</v>
      </c>
      <c r="P47" s="22">
        <f t="shared" si="13"/>
        <v>0</v>
      </c>
    </row>
    <row r="48" spans="1:16" ht="20.100000000000001" customHeight="1" thickBot="1" x14ac:dyDescent="0.3">
      <c r="A48" s="249">
        <v>15</v>
      </c>
      <c r="B48" s="218"/>
      <c r="C48" s="213">
        <v>17</v>
      </c>
      <c r="D48" s="215" t="s">
        <v>20</v>
      </c>
      <c r="E48" s="21" t="s">
        <v>21</v>
      </c>
      <c r="F48" s="22">
        <f>'12C (SS)Sem 1'!E18</f>
        <v>85</v>
      </c>
      <c r="G48" s="22">
        <f>'12C (SS)Sem 1'!F18</f>
        <v>84</v>
      </c>
      <c r="H48" s="23">
        <f>'12C (SS)Sem 1'!G18</f>
        <v>91</v>
      </c>
      <c r="I48" s="22">
        <f>'12C (SS)Sem 1'!H18</f>
        <v>90</v>
      </c>
      <c r="J48" s="22">
        <f>'12C (SS)Sem 1'!I18</f>
        <v>85</v>
      </c>
      <c r="K48" s="22">
        <f>'12C (SS)Sem 1'!J18</f>
        <v>86</v>
      </c>
      <c r="L48" s="22">
        <f>'12C (SS)Sem 1'!K18</f>
        <v>521</v>
      </c>
      <c r="M48" s="122">
        <f>'12C (SS)Sem 1'!L18</f>
        <v>86.833333333333329</v>
      </c>
      <c r="N48" s="80">
        <f>'12C (SS)Sem 1'!M18</f>
        <v>3</v>
      </c>
      <c r="O48" s="80">
        <f>'12C (SS)Sem 1'!N18</f>
        <v>0</v>
      </c>
      <c r="P48" s="80">
        <f>'12C (SS)Sem 1'!O18</f>
        <v>0</v>
      </c>
    </row>
    <row r="49" spans="1:21" ht="20.100000000000001" customHeight="1" thickBot="1" x14ac:dyDescent="0.3">
      <c r="A49" s="249"/>
      <c r="B49" s="218"/>
      <c r="C49" s="213">
        <v>17</v>
      </c>
      <c r="D49" s="215" t="s">
        <v>20</v>
      </c>
      <c r="E49" s="21" t="s">
        <v>22</v>
      </c>
      <c r="F49" s="22">
        <f>'12C (SS)Sem 2'!E18</f>
        <v>90</v>
      </c>
      <c r="G49" s="22">
        <f>'12C (SS)Sem 2'!F18</f>
        <v>97</v>
      </c>
      <c r="H49" s="23">
        <f>'12C (SS)Sem 2'!G18</f>
        <v>93</v>
      </c>
      <c r="I49" s="22">
        <f>'12C (SS)Sem 2'!H18</f>
        <v>94</v>
      </c>
      <c r="J49" s="22">
        <f>'12C (SS)Sem 2'!I18</f>
        <v>100</v>
      </c>
      <c r="K49" s="22">
        <f>'12C (SS)Sem 2'!J18</f>
        <v>91</v>
      </c>
      <c r="L49" s="22">
        <f>'12C (SS)Sem 2'!K18</f>
        <v>565</v>
      </c>
      <c r="M49" s="122">
        <f>'12C (SS)Sem 2'!L18</f>
        <v>94.166666666666671</v>
      </c>
      <c r="N49" s="80">
        <f>'12C (SS)Sem 2'!M18</f>
        <v>2</v>
      </c>
      <c r="O49" s="80">
        <f>'12C (SS)Sem 2'!N18</f>
        <v>0</v>
      </c>
      <c r="P49" s="80">
        <f>'12C (SS)Sem 2'!O18</f>
        <v>0</v>
      </c>
      <c r="Q49" s="5"/>
      <c r="R49" s="5"/>
      <c r="S49" s="5"/>
      <c r="T49" s="5"/>
      <c r="U49" s="5"/>
    </row>
    <row r="50" spans="1:21" ht="20.100000000000001" customHeight="1" thickBot="1" x14ac:dyDescent="0.3">
      <c r="A50" s="249"/>
      <c r="B50" s="218"/>
      <c r="C50" s="213">
        <v>17</v>
      </c>
      <c r="D50" s="215" t="s">
        <v>20</v>
      </c>
      <c r="E50" s="21" t="s">
        <v>16</v>
      </c>
      <c r="F50" s="22">
        <f>AVERAGE(F48:F49)</f>
        <v>87.5</v>
      </c>
      <c r="G50" s="22">
        <f t="shared" ref="G50:P50" si="14">AVERAGE(G48:G49)</f>
        <v>90.5</v>
      </c>
      <c r="H50" s="22">
        <f t="shared" si="14"/>
        <v>92</v>
      </c>
      <c r="I50" s="22">
        <f t="shared" si="14"/>
        <v>92</v>
      </c>
      <c r="J50" s="22">
        <f t="shared" si="14"/>
        <v>92.5</v>
      </c>
      <c r="K50" s="22">
        <f t="shared" si="14"/>
        <v>88.5</v>
      </c>
      <c r="L50" s="22">
        <f t="shared" si="14"/>
        <v>543</v>
      </c>
      <c r="M50" s="22">
        <f t="shared" si="14"/>
        <v>90.5</v>
      </c>
      <c r="N50" s="22">
        <f>'12C Sem avr (SS)'!$H$18</f>
        <v>3</v>
      </c>
      <c r="O50" s="22">
        <f t="shared" si="14"/>
        <v>0</v>
      </c>
      <c r="P50" s="22">
        <f t="shared" si="14"/>
        <v>0</v>
      </c>
      <c r="Q50" s="5"/>
      <c r="R50" s="5"/>
      <c r="S50" s="5"/>
      <c r="T50" s="5"/>
      <c r="U50" s="5"/>
    </row>
    <row r="51" spans="1:21" ht="20.100000000000001" customHeight="1" thickBot="1" x14ac:dyDescent="0.3">
      <c r="A51" s="247">
        <v>16</v>
      </c>
      <c r="B51" s="218"/>
      <c r="C51" s="213">
        <v>17</v>
      </c>
      <c r="D51" s="215" t="s">
        <v>23</v>
      </c>
      <c r="E51" s="21" t="s">
        <v>21</v>
      </c>
      <c r="F51" s="22">
        <f>'12C (SS)Sem 1'!E19</f>
        <v>76</v>
      </c>
      <c r="G51" s="22">
        <f>'12C (SS)Sem 1'!F19</f>
        <v>57</v>
      </c>
      <c r="H51" s="22">
        <f>'12C (SS)Sem 1'!G19</f>
        <v>64</v>
      </c>
      <c r="I51" s="22">
        <f>'12C (SS)Sem 1'!H19</f>
        <v>73</v>
      </c>
      <c r="J51" s="22">
        <f>'12C (SS)Sem 1'!I19</f>
        <v>73</v>
      </c>
      <c r="K51" s="22">
        <f>'12C (SS)Sem 1'!J19</f>
        <v>66</v>
      </c>
      <c r="L51" s="22">
        <f>'12C (SS)Sem 1'!K19</f>
        <v>409</v>
      </c>
      <c r="M51" s="122">
        <f>'12C (SS)Sem 1'!L19</f>
        <v>68.166666666666671</v>
      </c>
      <c r="N51" s="80">
        <f>'12C (SS)Sem 1'!M19</f>
        <v>16</v>
      </c>
      <c r="O51" s="80">
        <f>'12C (SS)Sem 1'!N19</f>
        <v>0</v>
      </c>
      <c r="P51" s="80">
        <f>'12C (SS)Sem 1'!O19</f>
        <v>0</v>
      </c>
      <c r="Q51" s="5"/>
      <c r="R51" s="5"/>
      <c r="S51" s="5"/>
      <c r="T51" s="5"/>
      <c r="U51" s="5"/>
    </row>
    <row r="52" spans="1:21" ht="20.100000000000001" customHeight="1" thickBot="1" x14ac:dyDescent="0.3">
      <c r="A52" s="247"/>
      <c r="B52" s="218"/>
      <c r="C52" s="213">
        <v>17</v>
      </c>
      <c r="D52" s="215" t="s">
        <v>23</v>
      </c>
      <c r="E52" s="21" t="s">
        <v>22</v>
      </c>
      <c r="F52" s="22">
        <f>'12C (SS)Sem 2'!E19</f>
        <v>75</v>
      </c>
      <c r="G52" s="22">
        <f>'12C (SS)Sem 2'!F19</f>
        <v>73</v>
      </c>
      <c r="H52" s="22">
        <f>'12C (SS)Sem 2'!G19</f>
        <v>71</v>
      </c>
      <c r="I52" s="22">
        <f>'12C (SS)Sem 2'!H19</f>
        <v>78</v>
      </c>
      <c r="J52" s="22">
        <f>'12C (SS)Sem 2'!I19</f>
        <v>96</v>
      </c>
      <c r="K52" s="22">
        <f>'12C (SS)Sem 2'!J19</f>
        <v>80</v>
      </c>
      <c r="L52" s="22">
        <f>'12C (SS)Sem 2'!K19</f>
        <v>473</v>
      </c>
      <c r="M52" s="122">
        <f>'12C (SS)Sem 2'!L19</f>
        <v>78.833333333333329</v>
      </c>
      <c r="N52" s="80">
        <f>'12C (SS)Sem 2'!M19</f>
        <v>14</v>
      </c>
      <c r="O52" s="80">
        <f>'12C (SS)Sem 2'!N19</f>
        <v>0</v>
      </c>
      <c r="P52" s="80">
        <f>'12C (SS)Sem 2'!O19</f>
        <v>0</v>
      </c>
      <c r="Q52" s="5"/>
      <c r="R52" s="5"/>
      <c r="S52" s="5"/>
      <c r="T52" s="5"/>
      <c r="U52" s="5"/>
    </row>
    <row r="53" spans="1:21" ht="20.100000000000001" customHeight="1" thickBot="1" x14ac:dyDescent="0.3">
      <c r="A53" s="247"/>
      <c r="B53" s="218"/>
      <c r="C53" s="213">
        <v>17</v>
      </c>
      <c r="D53" s="215" t="s">
        <v>23</v>
      </c>
      <c r="E53" s="21" t="s">
        <v>16</v>
      </c>
      <c r="F53" s="22">
        <f>AVERAGE(F51:F52)</f>
        <v>75.5</v>
      </c>
      <c r="G53" s="22">
        <f t="shared" ref="G53:P53" si="15">AVERAGE(G51:G52)</f>
        <v>65</v>
      </c>
      <c r="H53" s="22">
        <f t="shared" si="15"/>
        <v>67.5</v>
      </c>
      <c r="I53" s="22">
        <f t="shared" si="15"/>
        <v>75.5</v>
      </c>
      <c r="J53" s="22">
        <f t="shared" si="15"/>
        <v>84.5</v>
      </c>
      <c r="K53" s="22">
        <f t="shared" si="15"/>
        <v>73</v>
      </c>
      <c r="L53" s="22">
        <f t="shared" si="15"/>
        <v>441</v>
      </c>
      <c r="M53" s="22">
        <f t="shared" si="15"/>
        <v>73.5</v>
      </c>
      <c r="N53" s="22">
        <f>'12C Sem avr (SS)'!$H$19</f>
        <v>14</v>
      </c>
      <c r="O53" s="22">
        <f t="shared" si="15"/>
        <v>0</v>
      </c>
      <c r="P53" s="22">
        <f t="shared" si="15"/>
        <v>0</v>
      </c>
      <c r="Q53" s="5"/>
      <c r="R53" s="5"/>
      <c r="S53" s="5"/>
      <c r="T53" s="5"/>
      <c r="U53" s="5"/>
    </row>
    <row r="54" spans="1:21" ht="20.100000000000001" customHeight="1" thickBot="1" x14ac:dyDescent="0.3">
      <c r="A54" s="247">
        <v>17</v>
      </c>
      <c r="B54" s="218"/>
      <c r="C54" s="213">
        <v>17</v>
      </c>
      <c r="D54" s="215" t="s">
        <v>23</v>
      </c>
      <c r="E54" s="21" t="s">
        <v>21</v>
      </c>
      <c r="F54" s="22">
        <f>'12C (SS)Sem 1'!E20</f>
        <v>86</v>
      </c>
      <c r="G54" s="22">
        <f>'12C (SS)Sem 1'!F20</f>
        <v>85</v>
      </c>
      <c r="H54" s="22">
        <f>'12C (SS)Sem 1'!G20</f>
        <v>83</v>
      </c>
      <c r="I54" s="22">
        <f>'12C (SS)Sem 1'!H20</f>
        <v>84</v>
      </c>
      <c r="J54" s="22">
        <f>'12C (SS)Sem 1'!I20</f>
        <v>97</v>
      </c>
      <c r="K54" s="22">
        <f>'12C (SS)Sem 1'!J20</f>
        <v>80</v>
      </c>
      <c r="L54" s="22">
        <f>'12C (SS)Sem 1'!K20</f>
        <v>515</v>
      </c>
      <c r="M54" s="122">
        <f>'12C (SS)Sem 1'!L20</f>
        <v>85.833333333333329</v>
      </c>
      <c r="N54" s="80">
        <f>'12C (SS)Sem 1'!M20</f>
        <v>4</v>
      </c>
      <c r="O54" s="80">
        <f>'12C (SS)Sem 1'!N20</f>
        <v>0</v>
      </c>
      <c r="P54" s="80">
        <f>'12C (SS)Sem 1'!O20</f>
        <v>0</v>
      </c>
      <c r="Q54" s="5"/>
      <c r="R54" s="5"/>
      <c r="S54" s="5"/>
      <c r="T54" s="5"/>
      <c r="U54" s="5"/>
    </row>
    <row r="55" spans="1:21" ht="20.100000000000001" customHeight="1" thickBot="1" x14ac:dyDescent="0.3">
      <c r="A55" s="247"/>
      <c r="B55" s="218"/>
      <c r="C55" s="213">
        <v>17</v>
      </c>
      <c r="D55" s="215" t="s">
        <v>23</v>
      </c>
      <c r="E55" s="21" t="s">
        <v>22</v>
      </c>
      <c r="F55" s="22">
        <f>'12C (SS)Sem 2'!E20</f>
        <v>88</v>
      </c>
      <c r="G55" s="22">
        <f>'12C (SS)Sem 2'!F20</f>
        <v>73</v>
      </c>
      <c r="H55" s="22">
        <f>'12C (SS)Sem 2'!G20</f>
        <v>88</v>
      </c>
      <c r="I55" s="22">
        <f>'12C (SS)Sem 2'!H20</f>
        <v>86</v>
      </c>
      <c r="J55" s="22">
        <f>'12C (SS)Sem 2'!I20</f>
        <v>100</v>
      </c>
      <c r="K55" s="22">
        <f>'12C (SS)Sem 2'!J20</f>
        <v>84</v>
      </c>
      <c r="L55" s="22">
        <f>'12C (SS)Sem 2'!K20</f>
        <v>519</v>
      </c>
      <c r="M55" s="122">
        <f>'12C (SS)Sem 2'!L20</f>
        <v>86.5</v>
      </c>
      <c r="N55" s="80">
        <f>'12C (SS)Sem 2'!M20</f>
        <v>5</v>
      </c>
      <c r="O55" s="80">
        <f>'12C (SS)Sem 2'!N20</f>
        <v>0</v>
      </c>
      <c r="P55" s="80">
        <f>'12C (SS)Sem 2'!O20</f>
        <v>0</v>
      </c>
      <c r="Q55" s="5"/>
      <c r="R55" s="5"/>
      <c r="S55" s="5"/>
      <c r="T55" s="5"/>
      <c r="U55" s="5"/>
    </row>
    <row r="56" spans="1:21" ht="20.100000000000001" customHeight="1" thickBot="1" x14ac:dyDescent="0.3">
      <c r="A56" s="247"/>
      <c r="B56" s="218"/>
      <c r="C56" s="213">
        <v>17</v>
      </c>
      <c r="D56" s="215" t="s">
        <v>23</v>
      </c>
      <c r="E56" s="21" t="s">
        <v>16</v>
      </c>
      <c r="F56" s="22">
        <f>AVERAGE(F54:F55)</f>
        <v>87</v>
      </c>
      <c r="G56" s="22">
        <f t="shared" ref="G56:P56" si="16">AVERAGE(G54:G55)</f>
        <v>79</v>
      </c>
      <c r="H56" s="22">
        <f t="shared" si="16"/>
        <v>85.5</v>
      </c>
      <c r="I56" s="22">
        <f t="shared" si="16"/>
        <v>85</v>
      </c>
      <c r="J56" s="22">
        <f t="shared" si="16"/>
        <v>98.5</v>
      </c>
      <c r="K56" s="22">
        <f t="shared" si="16"/>
        <v>82</v>
      </c>
      <c r="L56" s="22">
        <f t="shared" si="16"/>
        <v>517</v>
      </c>
      <c r="M56" s="22">
        <f t="shared" si="16"/>
        <v>86.166666666666657</v>
      </c>
      <c r="N56" s="22">
        <f>'12C Sem avr (SS)'!$H$20</f>
        <v>5</v>
      </c>
      <c r="O56" s="22">
        <f t="shared" si="16"/>
        <v>0</v>
      </c>
      <c r="P56" s="22">
        <f t="shared" si="16"/>
        <v>0</v>
      </c>
      <c r="Q56" s="5"/>
      <c r="R56" s="5"/>
      <c r="S56" s="5"/>
      <c r="T56" s="5"/>
      <c r="U56" s="5"/>
    </row>
    <row r="57" spans="1:21" ht="20.100000000000001" customHeight="1" thickBot="1" x14ac:dyDescent="0.3">
      <c r="A57" s="247">
        <v>18</v>
      </c>
      <c r="B57" s="218"/>
      <c r="C57" s="213">
        <v>18</v>
      </c>
      <c r="D57" s="231" t="s">
        <v>23</v>
      </c>
      <c r="E57" s="21" t="s">
        <v>21</v>
      </c>
      <c r="F57" s="22">
        <f>'12C (SS)Sem 1'!E21</f>
        <v>46</v>
      </c>
      <c r="G57" s="22">
        <f>'12C (SS)Sem 1'!F21</f>
        <v>44</v>
      </c>
      <c r="H57" s="23">
        <f>'12C (SS)Sem 1'!G21</f>
        <v>65</v>
      </c>
      <c r="I57" s="22">
        <f>'12C (SS)Sem 1'!H21</f>
        <v>50</v>
      </c>
      <c r="J57" s="22">
        <f>'12C (SS)Sem 1'!I21</f>
        <v>51</v>
      </c>
      <c r="K57" s="22">
        <f>'12C (SS)Sem 1'!J21</f>
        <v>40</v>
      </c>
      <c r="L57" s="22">
        <f>'12C (SS)Sem 1'!K21</f>
        <v>296</v>
      </c>
      <c r="M57" s="122">
        <f>'12C (SS)Sem 1'!L21</f>
        <v>49.333333333333336</v>
      </c>
      <c r="N57" s="80">
        <f>'12C (SS)Sem 1'!M21</f>
        <v>29</v>
      </c>
      <c r="O57" s="80">
        <f>'12C (SS)Sem 1'!N21</f>
        <v>0</v>
      </c>
      <c r="P57" s="80">
        <f>'12C (SS)Sem 1'!O21</f>
        <v>0</v>
      </c>
      <c r="Q57" s="5"/>
      <c r="R57" s="5"/>
      <c r="S57" s="5"/>
      <c r="T57" s="5"/>
      <c r="U57" s="5"/>
    </row>
    <row r="58" spans="1:21" ht="20.100000000000001" customHeight="1" thickBot="1" x14ac:dyDescent="0.3">
      <c r="A58" s="247"/>
      <c r="B58" s="218"/>
      <c r="C58" s="213">
        <v>18</v>
      </c>
      <c r="D58" s="232" t="s">
        <v>23</v>
      </c>
      <c r="E58" s="21" t="s">
        <v>22</v>
      </c>
      <c r="F58" s="22">
        <f>'12C (SS)Sem 2'!E21</f>
        <v>57</v>
      </c>
      <c r="G58" s="22">
        <f>'12C (SS)Sem 2'!F21</f>
        <v>68</v>
      </c>
      <c r="H58" s="23">
        <f>'12C (SS)Sem 2'!G21</f>
        <v>69</v>
      </c>
      <c r="I58" s="22">
        <f>'12C (SS)Sem 2'!H21</f>
        <v>59</v>
      </c>
      <c r="J58" s="22">
        <f>'12C (SS)Sem 2'!I21</f>
        <v>79</v>
      </c>
      <c r="K58" s="22">
        <f>'12C (SS)Sem 2'!J21</f>
        <v>55</v>
      </c>
      <c r="L58" s="22">
        <f>'12C (SS)Sem 2'!K21</f>
        <v>387</v>
      </c>
      <c r="M58" s="122">
        <f>'12C (SS)Sem 2'!L21</f>
        <v>64.5</v>
      </c>
      <c r="N58" s="80">
        <f>'12C (SS)Sem 2'!M21</f>
        <v>29</v>
      </c>
      <c r="O58" s="80">
        <f>'12C (SS)Sem 2'!N21</f>
        <v>0</v>
      </c>
      <c r="P58" s="80">
        <f>'12C (SS)Sem 2'!O21</f>
        <v>0</v>
      </c>
      <c r="Q58" s="5"/>
      <c r="R58" s="5"/>
      <c r="S58" s="5"/>
      <c r="T58" s="5"/>
      <c r="U58" s="5"/>
    </row>
    <row r="59" spans="1:21" ht="20.100000000000001" customHeight="1" thickBot="1" x14ac:dyDescent="0.3">
      <c r="A59" s="247"/>
      <c r="B59" s="218"/>
      <c r="C59" s="213">
        <v>18</v>
      </c>
      <c r="D59" s="233" t="s">
        <v>23</v>
      </c>
      <c r="E59" s="21" t="s">
        <v>16</v>
      </c>
      <c r="F59" s="22">
        <f>AVERAGE(F57:F58)</f>
        <v>51.5</v>
      </c>
      <c r="G59" s="22">
        <f t="shared" ref="G59:P59" si="17">AVERAGE(G57:G58)</f>
        <v>56</v>
      </c>
      <c r="H59" s="22">
        <f t="shared" si="17"/>
        <v>67</v>
      </c>
      <c r="I59" s="22">
        <f t="shared" si="17"/>
        <v>54.5</v>
      </c>
      <c r="J59" s="22">
        <f t="shared" si="17"/>
        <v>65</v>
      </c>
      <c r="K59" s="22">
        <f t="shared" si="17"/>
        <v>47.5</v>
      </c>
      <c r="L59" s="22">
        <f t="shared" si="17"/>
        <v>341.5</v>
      </c>
      <c r="M59" s="22">
        <f t="shared" si="17"/>
        <v>56.916666666666671</v>
      </c>
      <c r="N59" s="22">
        <f>'12C Sem avr (SS)'!$H$21</f>
        <v>29</v>
      </c>
      <c r="O59" s="22">
        <f t="shared" si="17"/>
        <v>0</v>
      </c>
      <c r="P59" s="22">
        <f t="shared" si="17"/>
        <v>0</v>
      </c>
      <c r="Q59" s="5"/>
      <c r="R59" s="5"/>
      <c r="S59" s="5"/>
      <c r="T59" s="5"/>
      <c r="U59" s="5"/>
    </row>
    <row r="60" spans="1:21" ht="20.100000000000001" customHeight="1" thickBot="1" x14ac:dyDescent="0.3">
      <c r="A60" s="249">
        <v>19</v>
      </c>
      <c r="B60" s="218"/>
      <c r="C60" s="213">
        <v>18</v>
      </c>
      <c r="D60" s="215" t="s">
        <v>20</v>
      </c>
      <c r="E60" s="21" t="s">
        <v>21</v>
      </c>
      <c r="F60" s="22">
        <f>'12C (SS)Sem 1'!E22</f>
        <v>78</v>
      </c>
      <c r="G60" s="22">
        <f>'12C (SS)Sem 1'!F22</f>
        <v>56</v>
      </c>
      <c r="H60" s="22">
        <f>'12C (SS)Sem 1'!G22</f>
        <v>78</v>
      </c>
      <c r="I60" s="22">
        <f>'12C (SS)Sem 1'!H22</f>
        <v>79</v>
      </c>
      <c r="J60" s="22">
        <f>'12C (SS)Sem 1'!I22</f>
        <v>85</v>
      </c>
      <c r="K60" s="22">
        <f>'12C (SS)Sem 1'!J22</f>
        <v>66</v>
      </c>
      <c r="L60" s="22">
        <f>'12C (SS)Sem 1'!K22</f>
        <v>442</v>
      </c>
      <c r="M60" s="122">
        <f>'12C (SS)Sem 1'!L22</f>
        <v>73.666666666666671</v>
      </c>
      <c r="N60" s="80">
        <f>'12C (SS)Sem 1'!M22</f>
        <v>11</v>
      </c>
      <c r="O60" s="80">
        <f>'12C (SS)Sem 1'!N22</f>
        <v>0</v>
      </c>
      <c r="P60" s="80">
        <f>'12C (SS)Sem 1'!O22</f>
        <v>0</v>
      </c>
      <c r="Q60" s="5"/>
      <c r="R60" s="5"/>
      <c r="S60" s="5"/>
      <c r="T60" s="5"/>
      <c r="U60" s="5"/>
    </row>
    <row r="61" spans="1:21" ht="20.100000000000001" customHeight="1" thickBot="1" x14ac:dyDescent="0.3">
      <c r="A61" s="249"/>
      <c r="B61" s="218"/>
      <c r="C61" s="213">
        <v>18</v>
      </c>
      <c r="D61" s="215" t="s">
        <v>20</v>
      </c>
      <c r="E61" s="21" t="s">
        <v>22</v>
      </c>
      <c r="F61" s="22">
        <f>'12C (SS)Sem 2'!E22</f>
        <v>0</v>
      </c>
      <c r="G61" s="22">
        <f>'12C (SS)Sem 2'!F22</f>
        <v>69</v>
      </c>
      <c r="H61" s="22">
        <f>'12C (SS)Sem 2'!G22</f>
        <v>81</v>
      </c>
      <c r="I61" s="22">
        <f>'12C (SS)Sem 2'!H22</f>
        <v>0</v>
      </c>
      <c r="J61" s="22">
        <f>'12C (SS)Sem 2'!I22</f>
        <v>97</v>
      </c>
      <c r="K61" s="22">
        <f>'12C (SS)Sem 2'!J22</f>
        <v>0</v>
      </c>
      <c r="L61" s="22">
        <f>'12C (SS)Sem 2'!K22</f>
        <v>247</v>
      </c>
      <c r="M61" s="122">
        <f>'12C (SS)Sem 2'!L22</f>
        <v>82.333333333333329</v>
      </c>
      <c r="N61" s="80">
        <f>'12C (SS)Sem 2'!M22</f>
        <v>11</v>
      </c>
      <c r="O61" s="80">
        <f>'12C (SS)Sem 2'!N22</f>
        <v>0</v>
      </c>
      <c r="P61" s="80">
        <f>'12C (SS)Sem 2'!O22</f>
        <v>0</v>
      </c>
      <c r="Q61" s="5"/>
      <c r="R61" s="5"/>
      <c r="S61" s="5"/>
      <c r="T61" s="5"/>
      <c r="U61" s="5"/>
    </row>
    <row r="62" spans="1:21" ht="20.100000000000001" customHeight="1" thickBot="1" x14ac:dyDescent="0.3">
      <c r="A62" s="249"/>
      <c r="B62" s="218"/>
      <c r="C62" s="213">
        <v>18</v>
      </c>
      <c r="D62" s="215" t="s">
        <v>20</v>
      </c>
      <c r="E62" s="21" t="s">
        <v>16</v>
      </c>
      <c r="F62" s="22">
        <f>AVERAGE(F60:F61)</f>
        <v>39</v>
      </c>
      <c r="G62" s="22">
        <f t="shared" ref="G62:P62" si="18">AVERAGE(G60:G61)</f>
        <v>62.5</v>
      </c>
      <c r="H62" s="22">
        <f t="shared" si="18"/>
        <v>79.5</v>
      </c>
      <c r="I62" s="22">
        <f t="shared" si="18"/>
        <v>39.5</v>
      </c>
      <c r="J62" s="22">
        <f t="shared" si="18"/>
        <v>91</v>
      </c>
      <c r="K62" s="22">
        <f t="shared" si="18"/>
        <v>33</v>
      </c>
      <c r="L62" s="22">
        <f t="shared" si="18"/>
        <v>344.5</v>
      </c>
      <c r="M62" s="22">
        <f t="shared" si="18"/>
        <v>78</v>
      </c>
      <c r="N62" s="22">
        <f>'12C Sem avr (SS)'!$H$22</f>
        <v>11</v>
      </c>
      <c r="O62" s="22">
        <f t="shared" si="18"/>
        <v>0</v>
      </c>
      <c r="P62" s="22">
        <f t="shared" si="18"/>
        <v>0</v>
      </c>
      <c r="Q62" s="5"/>
      <c r="R62" s="5"/>
      <c r="S62" s="5"/>
      <c r="T62" s="5"/>
      <c r="U62" s="5"/>
    </row>
    <row r="63" spans="1:21" ht="20.100000000000001" customHeight="1" thickBot="1" x14ac:dyDescent="0.3">
      <c r="A63" s="249">
        <v>20</v>
      </c>
      <c r="B63" s="218"/>
      <c r="C63" s="213">
        <v>17</v>
      </c>
      <c r="D63" s="215" t="s">
        <v>23</v>
      </c>
      <c r="E63" s="21" t="s">
        <v>21</v>
      </c>
      <c r="F63" s="22">
        <f>'12C (SS)Sem 1'!E23</f>
        <v>90</v>
      </c>
      <c r="G63" s="22">
        <f>'12C (SS)Sem 1'!F23</f>
        <v>91</v>
      </c>
      <c r="H63" s="22">
        <f>'12C (SS)Sem 1'!G23</f>
        <v>90</v>
      </c>
      <c r="I63" s="22">
        <f>'12C (SS)Sem 1'!H23</f>
        <v>93</v>
      </c>
      <c r="J63" s="22">
        <f>'12C (SS)Sem 1'!I23</f>
        <v>97</v>
      </c>
      <c r="K63" s="22">
        <f>'12C (SS)Sem 1'!J23</f>
        <v>95</v>
      </c>
      <c r="L63" s="22">
        <f>'12C (SS)Sem 1'!K23</f>
        <v>556</v>
      </c>
      <c r="M63" s="122">
        <f>'12C (SS)Sem 1'!L23</f>
        <v>92.666666666666671</v>
      </c>
      <c r="N63" s="80">
        <f>'12C (SS)Sem 1'!M23</f>
        <v>1</v>
      </c>
      <c r="O63" s="80">
        <f>'12C (SS)Sem 1'!N23</f>
        <v>0</v>
      </c>
      <c r="P63" s="80">
        <f>'12C (SS)Sem 1'!O23</f>
        <v>0</v>
      </c>
      <c r="Q63" s="5"/>
      <c r="R63" s="5"/>
      <c r="S63" s="5"/>
      <c r="T63" s="5"/>
      <c r="U63" s="5"/>
    </row>
    <row r="64" spans="1:21" ht="20.100000000000001" customHeight="1" thickBot="1" x14ac:dyDescent="0.3">
      <c r="A64" s="249"/>
      <c r="B64" s="218"/>
      <c r="C64" s="213">
        <v>17</v>
      </c>
      <c r="D64" s="215" t="s">
        <v>23</v>
      </c>
      <c r="E64" s="21" t="s">
        <v>22</v>
      </c>
      <c r="F64" s="22">
        <f>'12C (SS)Sem 2'!E23</f>
        <v>97</v>
      </c>
      <c r="G64" s="22">
        <f>'12C (SS)Sem 2'!F23</f>
        <v>98</v>
      </c>
      <c r="H64" s="22">
        <f>'12C (SS)Sem 2'!G23</f>
        <v>90</v>
      </c>
      <c r="I64" s="22">
        <f>'12C (SS)Sem 2'!H23</f>
        <v>97</v>
      </c>
      <c r="J64" s="22">
        <f>'12C (SS)Sem 2'!I23</f>
        <v>100</v>
      </c>
      <c r="K64" s="22">
        <f>'12C (SS)Sem 2'!J23</f>
        <v>93</v>
      </c>
      <c r="L64" s="22">
        <f>'12C (SS)Sem 2'!K23</f>
        <v>575</v>
      </c>
      <c r="M64" s="122">
        <f>'12C (SS)Sem 2'!L23</f>
        <v>95.833333333333329</v>
      </c>
      <c r="N64" s="80">
        <f>'12C (SS)Sem 2'!M23</f>
        <v>1</v>
      </c>
      <c r="O64" s="80">
        <f>'12C (SS)Sem 2'!N23</f>
        <v>0</v>
      </c>
      <c r="P64" s="80">
        <f>'12C (SS)Sem 2'!O23</f>
        <v>0</v>
      </c>
      <c r="Q64" s="5"/>
      <c r="R64" s="5"/>
      <c r="S64" s="5"/>
      <c r="T64" s="5"/>
      <c r="U64" s="5"/>
    </row>
    <row r="65" spans="1:21" ht="20.100000000000001" customHeight="1" thickBot="1" x14ac:dyDescent="0.3">
      <c r="A65" s="249"/>
      <c r="B65" s="218"/>
      <c r="C65" s="213">
        <v>17</v>
      </c>
      <c r="D65" s="215" t="s">
        <v>23</v>
      </c>
      <c r="E65" s="21" t="s">
        <v>16</v>
      </c>
      <c r="F65" s="22">
        <f>AVERAGE(F63:F64)</f>
        <v>93.5</v>
      </c>
      <c r="G65" s="22">
        <f t="shared" ref="G65:P65" si="19">AVERAGE(G63:G64)</f>
        <v>94.5</v>
      </c>
      <c r="H65" s="22">
        <f t="shared" si="19"/>
        <v>90</v>
      </c>
      <c r="I65" s="22">
        <f t="shared" si="19"/>
        <v>95</v>
      </c>
      <c r="J65" s="22">
        <f t="shared" si="19"/>
        <v>98.5</v>
      </c>
      <c r="K65" s="22">
        <f t="shared" si="19"/>
        <v>94</v>
      </c>
      <c r="L65" s="22">
        <f t="shared" si="19"/>
        <v>565.5</v>
      </c>
      <c r="M65" s="22">
        <f t="shared" si="19"/>
        <v>94.25</v>
      </c>
      <c r="N65" s="22">
        <f>'12C Sem avr (SS)'!$H$23</f>
        <v>1</v>
      </c>
      <c r="O65" s="22">
        <f t="shared" si="19"/>
        <v>0</v>
      </c>
      <c r="P65" s="22">
        <f t="shared" si="19"/>
        <v>0</v>
      </c>
      <c r="Q65" s="5"/>
      <c r="R65" s="5"/>
      <c r="S65" s="5"/>
      <c r="T65" s="5"/>
      <c r="U65" s="5"/>
    </row>
    <row r="66" spans="1:21" ht="20.100000000000001" customHeight="1" thickBot="1" x14ac:dyDescent="0.3">
      <c r="A66" s="249">
        <v>21</v>
      </c>
      <c r="B66" s="218"/>
      <c r="C66" s="213">
        <v>17</v>
      </c>
      <c r="D66" s="215" t="s">
        <v>23</v>
      </c>
      <c r="E66" s="21" t="s">
        <v>21</v>
      </c>
      <c r="F66" s="22">
        <f>'12C (SS)Sem 1'!E24</f>
        <v>62</v>
      </c>
      <c r="G66" s="22">
        <f>'12C (SS)Sem 1'!F24</f>
        <v>54</v>
      </c>
      <c r="H66" s="22">
        <f>'12C (SS)Sem 1'!G24</f>
        <v>53</v>
      </c>
      <c r="I66" s="22">
        <f>'12C (SS)Sem 1'!H24</f>
        <v>60</v>
      </c>
      <c r="J66" s="22">
        <f>'12C (SS)Sem 1'!I24</f>
        <v>62</v>
      </c>
      <c r="K66" s="22">
        <f>'12C (SS)Sem 1'!J24</f>
        <v>58</v>
      </c>
      <c r="L66" s="22">
        <f>'12C (SS)Sem 1'!K24</f>
        <v>349</v>
      </c>
      <c r="M66" s="122">
        <f>'12C (SS)Sem 1'!L24</f>
        <v>58.166666666666664</v>
      </c>
      <c r="N66" s="80">
        <f>'12C (SS)Sem 1'!M24</f>
        <v>27</v>
      </c>
      <c r="O66" s="80">
        <f>'12C (SS)Sem 1'!N24</f>
        <v>0</v>
      </c>
      <c r="P66" s="80">
        <f>'12C (SS)Sem 1'!O24</f>
        <v>0</v>
      </c>
      <c r="Q66" s="5"/>
      <c r="R66" s="5"/>
      <c r="S66" s="5"/>
      <c r="T66" s="5"/>
      <c r="U66" s="5"/>
    </row>
    <row r="67" spans="1:21" ht="20.100000000000001" customHeight="1" thickBot="1" x14ac:dyDescent="0.3">
      <c r="A67" s="249"/>
      <c r="B67" s="218"/>
      <c r="C67" s="213">
        <v>17</v>
      </c>
      <c r="D67" s="215" t="s">
        <v>23</v>
      </c>
      <c r="E67" s="21" t="s">
        <v>22</v>
      </c>
      <c r="F67" s="22">
        <f>'12C (SS)Sem 2'!E24</f>
        <v>64</v>
      </c>
      <c r="G67" s="22">
        <f>'12C (SS)Sem 2'!F24</f>
        <v>64</v>
      </c>
      <c r="H67" s="22">
        <f>'12C (SS)Sem 2'!G24</f>
        <v>70</v>
      </c>
      <c r="I67" s="22">
        <f>'12C (SS)Sem 2'!H24</f>
        <v>74</v>
      </c>
      <c r="J67" s="22">
        <f>'12C (SS)Sem 2'!I24</f>
        <v>86</v>
      </c>
      <c r="K67" s="22">
        <f>'12C (SS)Sem 2'!J24</f>
        <v>66</v>
      </c>
      <c r="L67" s="22">
        <f>'12C (SS)Sem 2'!K24</f>
        <v>424</v>
      </c>
      <c r="M67" s="122">
        <f>'12C (SS)Sem 2'!L24</f>
        <v>70.666666666666671</v>
      </c>
      <c r="N67" s="80">
        <f>'12C (SS)Sem 2'!M24</f>
        <v>26</v>
      </c>
      <c r="O67" s="80">
        <f>'12C (SS)Sem 2'!N24</f>
        <v>0</v>
      </c>
      <c r="P67" s="80">
        <f>'12C (SS)Sem 2'!O24</f>
        <v>0</v>
      </c>
      <c r="Q67" s="5"/>
      <c r="R67" s="5"/>
      <c r="S67" s="5"/>
      <c r="T67" s="5"/>
      <c r="U67" s="5"/>
    </row>
    <row r="68" spans="1:21" ht="20.100000000000001" customHeight="1" thickBot="1" x14ac:dyDescent="0.3">
      <c r="A68" s="249"/>
      <c r="B68" s="218"/>
      <c r="C68" s="213">
        <v>17</v>
      </c>
      <c r="D68" s="215" t="s">
        <v>23</v>
      </c>
      <c r="E68" s="21" t="s">
        <v>16</v>
      </c>
      <c r="F68" s="22">
        <f>AVERAGE(F66:F67)</f>
        <v>63</v>
      </c>
      <c r="G68" s="22">
        <f t="shared" ref="G68:P68" si="20">AVERAGE(G66:G67)</f>
        <v>59</v>
      </c>
      <c r="H68" s="22">
        <f t="shared" si="20"/>
        <v>61.5</v>
      </c>
      <c r="I68" s="22">
        <f t="shared" si="20"/>
        <v>67</v>
      </c>
      <c r="J68" s="22">
        <f t="shared" si="20"/>
        <v>74</v>
      </c>
      <c r="K68" s="22">
        <f t="shared" si="20"/>
        <v>62</v>
      </c>
      <c r="L68" s="22">
        <f t="shared" si="20"/>
        <v>386.5</v>
      </c>
      <c r="M68" s="22">
        <f t="shared" si="20"/>
        <v>64.416666666666671</v>
      </c>
      <c r="N68" s="22">
        <f>'12C Sem avr (SS)'!$H$24</f>
        <v>27</v>
      </c>
      <c r="O68" s="22">
        <f t="shared" si="20"/>
        <v>0</v>
      </c>
      <c r="P68" s="22">
        <f t="shared" si="20"/>
        <v>0</v>
      </c>
      <c r="Q68" s="5"/>
      <c r="R68" s="5"/>
      <c r="S68" s="5"/>
      <c r="T68" s="5"/>
      <c r="U68" s="5"/>
    </row>
    <row r="69" spans="1:21" ht="20.100000000000001" customHeight="1" thickBot="1" x14ac:dyDescent="0.3">
      <c r="A69" s="247">
        <v>22</v>
      </c>
      <c r="B69" s="218"/>
      <c r="C69" s="213">
        <v>18</v>
      </c>
      <c r="D69" s="215" t="s">
        <v>23</v>
      </c>
      <c r="E69" s="21" t="s">
        <v>21</v>
      </c>
      <c r="F69" s="22">
        <f>'12C (SS)Sem 1'!E25</f>
        <v>73</v>
      </c>
      <c r="G69" s="22">
        <f>'12C (SS)Sem 1'!F25</f>
        <v>57</v>
      </c>
      <c r="H69" s="22">
        <f>'12C (SS)Sem 1'!G25</f>
        <v>68</v>
      </c>
      <c r="I69" s="22">
        <f>'12C (SS)Sem 1'!H25</f>
        <v>69</v>
      </c>
      <c r="J69" s="22">
        <f>'12C (SS)Sem 1'!I25</f>
        <v>76</v>
      </c>
      <c r="K69" s="22">
        <f>'12C (SS)Sem 1'!J25</f>
        <v>62</v>
      </c>
      <c r="L69" s="22">
        <f>'12C (SS)Sem 1'!K25</f>
        <v>405</v>
      </c>
      <c r="M69" s="122">
        <f>'12C (SS)Sem 1'!L25</f>
        <v>67.5</v>
      </c>
      <c r="N69" s="80">
        <f>'12C (SS)Sem 1'!M25</f>
        <v>19</v>
      </c>
      <c r="O69" s="80">
        <f>'12C (SS)Sem 1'!N25</f>
        <v>0</v>
      </c>
      <c r="P69" s="80">
        <f>'12C (SS)Sem 1'!O25</f>
        <v>0</v>
      </c>
      <c r="Q69" s="5"/>
      <c r="R69" s="5"/>
      <c r="S69" s="5"/>
      <c r="T69" s="5"/>
      <c r="U69" s="5"/>
    </row>
    <row r="70" spans="1:21" ht="20.100000000000001" customHeight="1" thickBot="1" x14ac:dyDescent="0.3">
      <c r="A70" s="247"/>
      <c r="B70" s="218"/>
      <c r="C70" s="213">
        <v>18</v>
      </c>
      <c r="D70" s="215" t="s">
        <v>23</v>
      </c>
      <c r="E70" s="21" t="s">
        <v>22</v>
      </c>
      <c r="F70" s="22">
        <f>'12C (SS)Sem 2'!E25</f>
        <v>76</v>
      </c>
      <c r="G70" s="22">
        <f>'12C (SS)Sem 2'!F25</f>
        <v>66</v>
      </c>
      <c r="H70" s="22">
        <f>'12C (SS)Sem 2'!G25</f>
        <v>70</v>
      </c>
      <c r="I70" s="22">
        <f>'12C (SS)Sem 2'!H25</f>
        <v>73</v>
      </c>
      <c r="J70" s="22">
        <f>'12C (SS)Sem 2'!I25</f>
        <v>94</v>
      </c>
      <c r="K70" s="22">
        <f>'12C (SS)Sem 2'!J25</f>
        <v>69</v>
      </c>
      <c r="L70" s="22">
        <f>'12C (SS)Sem 2'!K25</f>
        <v>448</v>
      </c>
      <c r="M70" s="122">
        <f>'12C (SS)Sem 2'!L25</f>
        <v>74.666666666666671</v>
      </c>
      <c r="N70" s="80">
        <f>'12C (SS)Sem 2'!M25</f>
        <v>19</v>
      </c>
      <c r="O70" s="80">
        <f>'12C (SS)Sem 2'!N25</f>
        <v>0</v>
      </c>
      <c r="P70" s="80">
        <f>'12C (SS)Sem 2'!O25</f>
        <v>0</v>
      </c>
      <c r="Q70" s="5"/>
      <c r="R70" s="5"/>
      <c r="S70" s="5"/>
      <c r="T70" s="5"/>
      <c r="U70" s="5"/>
    </row>
    <row r="71" spans="1:21" ht="20.100000000000001" customHeight="1" thickBot="1" x14ac:dyDescent="0.3">
      <c r="A71" s="247"/>
      <c r="B71" s="218"/>
      <c r="C71" s="213">
        <v>18</v>
      </c>
      <c r="D71" s="215" t="s">
        <v>23</v>
      </c>
      <c r="E71" s="21" t="s">
        <v>16</v>
      </c>
      <c r="F71" s="22">
        <f>AVERAGE(F69:F70)</f>
        <v>74.5</v>
      </c>
      <c r="G71" s="22">
        <f t="shared" ref="G71:P71" si="21">AVERAGE(G69:G70)</f>
        <v>61.5</v>
      </c>
      <c r="H71" s="22">
        <f t="shared" si="21"/>
        <v>69</v>
      </c>
      <c r="I71" s="22">
        <f t="shared" si="21"/>
        <v>71</v>
      </c>
      <c r="J71" s="22">
        <f t="shared" si="21"/>
        <v>85</v>
      </c>
      <c r="K71" s="22">
        <f t="shared" si="21"/>
        <v>65.5</v>
      </c>
      <c r="L71" s="22">
        <f t="shared" si="21"/>
        <v>426.5</v>
      </c>
      <c r="M71" s="22">
        <f t="shared" si="21"/>
        <v>71.083333333333343</v>
      </c>
      <c r="N71" s="22">
        <f>'12C Sem avr (SS)'!$H$25</f>
        <v>19</v>
      </c>
      <c r="O71" s="22">
        <f t="shared" si="21"/>
        <v>0</v>
      </c>
      <c r="P71" s="22">
        <f t="shared" si="21"/>
        <v>0</v>
      </c>
      <c r="Q71" s="5"/>
      <c r="R71" s="5"/>
      <c r="S71" s="5"/>
      <c r="T71" s="5"/>
      <c r="U71" s="5"/>
    </row>
    <row r="72" spans="1:21" ht="20.100000000000001" customHeight="1" thickBot="1" x14ac:dyDescent="0.3">
      <c r="A72" s="247">
        <v>23</v>
      </c>
      <c r="B72" s="218"/>
      <c r="C72" s="213">
        <v>17</v>
      </c>
      <c r="D72" s="215" t="s">
        <v>20</v>
      </c>
      <c r="E72" s="21" t="s">
        <v>21</v>
      </c>
      <c r="F72" s="22">
        <f>'12C (SS)Sem 1'!E26</f>
        <v>73</v>
      </c>
      <c r="G72" s="22">
        <f>'12C (SS)Sem 1'!F26</f>
        <v>57</v>
      </c>
      <c r="H72" s="22">
        <f>'12C (SS)Sem 1'!G26</f>
        <v>87</v>
      </c>
      <c r="I72" s="22">
        <f>'12C (SS)Sem 1'!H26</f>
        <v>82</v>
      </c>
      <c r="J72" s="22">
        <f>'12C (SS)Sem 1'!I26</f>
        <v>90</v>
      </c>
      <c r="K72" s="22">
        <f>'12C (SS)Sem 1'!J26</f>
        <v>80</v>
      </c>
      <c r="L72" s="22">
        <f>'12C (SS)Sem 1'!K26</f>
        <v>469</v>
      </c>
      <c r="M72" s="122">
        <f>'12C (SS)Sem 1'!L26</f>
        <v>78.166666666666671</v>
      </c>
      <c r="N72" s="80">
        <f>'12C (SS)Sem 1'!M26</f>
        <v>9</v>
      </c>
      <c r="O72" s="80">
        <f>'12C (SS)Sem 1'!N26</f>
        <v>0</v>
      </c>
      <c r="P72" s="80">
        <f>'12C (SS)Sem 1'!O26</f>
        <v>0</v>
      </c>
      <c r="Q72" s="5"/>
      <c r="R72" s="5"/>
      <c r="S72" s="5"/>
      <c r="T72" s="5"/>
      <c r="U72" s="5"/>
    </row>
    <row r="73" spans="1:21" ht="20.100000000000001" customHeight="1" thickBot="1" x14ac:dyDescent="0.3">
      <c r="A73" s="247"/>
      <c r="B73" s="218"/>
      <c r="C73" s="213">
        <v>17</v>
      </c>
      <c r="D73" s="215" t="s">
        <v>20</v>
      </c>
      <c r="E73" s="21" t="s">
        <v>22</v>
      </c>
      <c r="F73" s="22">
        <f>'12C (SS)Sem 2'!E26</f>
        <v>77</v>
      </c>
      <c r="G73" s="22">
        <f>'12C (SS)Sem 2'!F26</f>
        <v>83</v>
      </c>
      <c r="H73" s="22">
        <f>'12C (SS)Sem 2'!G26</f>
        <v>88</v>
      </c>
      <c r="I73" s="22">
        <f>'12C (SS)Sem 2'!H26</f>
        <v>87</v>
      </c>
      <c r="J73" s="22">
        <f>'12C (SS)Sem 2'!I26</f>
        <v>100</v>
      </c>
      <c r="K73" s="22">
        <f>'12C (SS)Sem 2'!J26</f>
        <v>83</v>
      </c>
      <c r="L73" s="22">
        <f>'12C (SS)Sem 2'!K26</f>
        <v>518</v>
      </c>
      <c r="M73" s="122">
        <f>'12C (SS)Sem 2'!L26</f>
        <v>86.333333333333329</v>
      </c>
      <c r="N73" s="80">
        <f>'12C (SS)Sem 2'!M26</f>
        <v>6</v>
      </c>
      <c r="O73" s="80">
        <f>'12C (SS)Sem 2'!N26</f>
        <v>0</v>
      </c>
      <c r="P73" s="80">
        <f>'12C (SS)Sem 2'!O26</f>
        <v>0</v>
      </c>
      <c r="Q73" s="5"/>
      <c r="R73" s="5"/>
      <c r="S73" s="5"/>
      <c r="T73" s="5"/>
      <c r="U73" s="5"/>
    </row>
    <row r="74" spans="1:21" ht="20.100000000000001" customHeight="1" thickBot="1" x14ac:dyDescent="0.3">
      <c r="A74" s="247"/>
      <c r="B74" s="218"/>
      <c r="C74" s="213">
        <v>17</v>
      </c>
      <c r="D74" s="215" t="s">
        <v>20</v>
      </c>
      <c r="E74" s="21" t="s">
        <v>16</v>
      </c>
      <c r="F74" s="22">
        <f>AVERAGE(F72:F73)</f>
        <v>75</v>
      </c>
      <c r="G74" s="22">
        <f t="shared" ref="G74:P74" si="22">AVERAGE(G72:G73)</f>
        <v>70</v>
      </c>
      <c r="H74" s="22">
        <f t="shared" si="22"/>
        <v>87.5</v>
      </c>
      <c r="I74" s="22">
        <f t="shared" si="22"/>
        <v>84.5</v>
      </c>
      <c r="J74" s="22">
        <f t="shared" si="22"/>
        <v>95</v>
      </c>
      <c r="K74" s="22">
        <f t="shared" si="22"/>
        <v>81.5</v>
      </c>
      <c r="L74" s="22">
        <f t="shared" si="22"/>
        <v>493.5</v>
      </c>
      <c r="M74" s="22">
        <f t="shared" si="22"/>
        <v>82.25</v>
      </c>
      <c r="N74" s="22">
        <f>'12C Sem avr (SS)'!$H$26</f>
        <v>9</v>
      </c>
      <c r="O74" s="22">
        <f t="shared" si="22"/>
        <v>0</v>
      </c>
      <c r="P74" s="22">
        <f t="shared" si="22"/>
        <v>0</v>
      </c>
      <c r="Q74" s="5"/>
      <c r="R74" s="5"/>
      <c r="S74" s="5"/>
      <c r="T74" s="5"/>
      <c r="U74" s="5"/>
    </row>
    <row r="75" spans="1:21" ht="20.100000000000001" customHeight="1" thickBot="1" x14ac:dyDescent="0.3">
      <c r="A75" s="249">
        <v>24</v>
      </c>
      <c r="B75" s="218"/>
      <c r="C75" s="213">
        <v>18</v>
      </c>
      <c r="D75" s="215" t="s">
        <v>23</v>
      </c>
      <c r="E75" s="21" t="s">
        <v>21</v>
      </c>
      <c r="F75" s="22">
        <f>'12C (SS)Sem 1'!E27</f>
        <v>72</v>
      </c>
      <c r="G75" s="22">
        <f>'12C (SS)Sem 1'!F27</f>
        <v>61</v>
      </c>
      <c r="H75" s="23">
        <f>'12C (SS)Sem 1'!G27</f>
        <v>60</v>
      </c>
      <c r="I75" s="23">
        <f>'12C (SS)Sem 1'!H27</f>
        <v>70</v>
      </c>
      <c r="J75" s="22">
        <f>'12C (SS)Sem 1'!I27</f>
        <v>88</v>
      </c>
      <c r="K75" s="23">
        <f>'12C (SS)Sem 1'!J27</f>
        <v>62</v>
      </c>
      <c r="L75" s="22">
        <f>'12C (SS)Sem 1'!K27</f>
        <v>413</v>
      </c>
      <c r="M75" s="122">
        <f>'12C (SS)Sem 1'!L27</f>
        <v>68.833333333333329</v>
      </c>
      <c r="N75" s="80">
        <f>'12C (SS)Sem 1'!M27</f>
        <v>15</v>
      </c>
      <c r="O75" s="80">
        <f>'12C (SS)Sem 1'!N27</f>
        <v>0</v>
      </c>
      <c r="P75" s="80">
        <f>'12C (SS)Sem 1'!O27</f>
        <v>0</v>
      </c>
      <c r="Q75" s="5"/>
      <c r="R75" s="5"/>
      <c r="S75" s="5"/>
      <c r="T75" s="5"/>
      <c r="U75" s="5"/>
    </row>
    <row r="76" spans="1:21" ht="20.100000000000001" customHeight="1" thickBot="1" x14ac:dyDescent="0.3">
      <c r="A76" s="249"/>
      <c r="B76" s="218"/>
      <c r="C76" s="213">
        <v>18</v>
      </c>
      <c r="D76" s="215" t="s">
        <v>23</v>
      </c>
      <c r="E76" s="21" t="s">
        <v>22</v>
      </c>
      <c r="F76" s="22">
        <f>'12C (SS)Sem 2'!E27</f>
        <v>71</v>
      </c>
      <c r="G76" s="22">
        <f>'12C (SS)Sem 2'!F27</f>
        <v>69</v>
      </c>
      <c r="H76" s="23">
        <f>'12C (SS)Sem 2'!G27</f>
        <v>70</v>
      </c>
      <c r="I76" s="23">
        <f>'12C (SS)Sem 2'!H27</f>
        <v>74</v>
      </c>
      <c r="J76" s="22">
        <f>'12C (SS)Sem 2'!I27</f>
        <v>96</v>
      </c>
      <c r="K76" s="23">
        <f>'12C (SS)Sem 2'!J27</f>
        <v>69</v>
      </c>
      <c r="L76" s="22">
        <f>'12C (SS)Sem 2'!K27</f>
        <v>449</v>
      </c>
      <c r="M76" s="122">
        <f>'12C (SS)Sem 2'!L27</f>
        <v>74.833333333333329</v>
      </c>
      <c r="N76" s="80">
        <f>'12C (SS)Sem 2'!M27</f>
        <v>18</v>
      </c>
      <c r="O76" s="80">
        <f>'12C (SS)Sem 2'!N27</f>
        <v>0</v>
      </c>
      <c r="P76" s="80">
        <f>'12C (SS)Sem 2'!O27</f>
        <v>0</v>
      </c>
      <c r="Q76" s="5"/>
      <c r="R76" s="5"/>
      <c r="S76" s="5"/>
      <c r="T76" s="5"/>
      <c r="U76" s="5"/>
    </row>
    <row r="77" spans="1:21" ht="20.100000000000001" customHeight="1" thickBot="1" x14ac:dyDescent="0.3">
      <c r="A77" s="249"/>
      <c r="B77" s="218"/>
      <c r="C77" s="213">
        <v>18</v>
      </c>
      <c r="D77" s="215" t="s">
        <v>23</v>
      </c>
      <c r="E77" s="21" t="s">
        <v>16</v>
      </c>
      <c r="F77" s="22">
        <f>AVERAGE(F75:F76)</f>
        <v>71.5</v>
      </c>
      <c r="G77" s="22">
        <f t="shared" ref="G77:P77" si="23">AVERAGE(G75:G76)</f>
        <v>65</v>
      </c>
      <c r="H77" s="22">
        <f t="shared" si="23"/>
        <v>65</v>
      </c>
      <c r="I77" s="22">
        <f t="shared" si="23"/>
        <v>72</v>
      </c>
      <c r="J77" s="22">
        <f t="shared" si="23"/>
        <v>92</v>
      </c>
      <c r="K77" s="22">
        <f t="shared" si="23"/>
        <v>65.5</v>
      </c>
      <c r="L77" s="22">
        <f t="shared" si="23"/>
        <v>431</v>
      </c>
      <c r="M77" s="22">
        <f t="shared" si="23"/>
        <v>71.833333333333329</v>
      </c>
      <c r="N77" s="22">
        <f>'12C Sem avr (SS)'!$H$27</f>
        <v>16</v>
      </c>
      <c r="O77" s="22">
        <f t="shared" si="23"/>
        <v>0</v>
      </c>
      <c r="P77" s="22">
        <f t="shared" si="23"/>
        <v>0</v>
      </c>
      <c r="Q77" s="5"/>
      <c r="R77" s="5"/>
      <c r="S77" s="5"/>
      <c r="T77" s="5"/>
      <c r="U77" s="5"/>
    </row>
    <row r="78" spans="1:21" ht="20.100000000000001" customHeight="1" thickBot="1" x14ac:dyDescent="0.3">
      <c r="A78" s="247">
        <v>25</v>
      </c>
      <c r="B78" s="218"/>
      <c r="C78" s="213">
        <v>17</v>
      </c>
      <c r="D78" s="215" t="s">
        <v>23</v>
      </c>
      <c r="E78" s="21" t="s">
        <v>21</v>
      </c>
      <c r="F78" s="22">
        <f>'12C (SS)Sem 1'!E28</f>
        <v>71</v>
      </c>
      <c r="G78" s="23">
        <f>'12C (SS)Sem 1'!F28</f>
        <v>50</v>
      </c>
      <c r="H78" s="23">
        <f>'12C (SS)Sem 1'!G28</f>
        <v>73</v>
      </c>
      <c r="I78" s="22">
        <f>'12C (SS)Sem 1'!H28</f>
        <v>63</v>
      </c>
      <c r="J78" s="23">
        <f>'12C (SS)Sem 1'!I28</f>
        <v>83</v>
      </c>
      <c r="K78" s="22">
        <f>'12C (SS)Sem 1'!J28</f>
        <v>62</v>
      </c>
      <c r="L78" s="22">
        <f>'12C (SS)Sem 1'!K28</f>
        <v>402</v>
      </c>
      <c r="M78" s="122">
        <f>'12C (SS)Sem 1'!L28</f>
        <v>67</v>
      </c>
      <c r="N78" s="80">
        <f>'12C (SS)Sem 1'!M28</f>
        <v>20</v>
      </c>
      <c r="O78" s="80">
        <f>'12C (SS)Sem 1'!N28</f>
        <v>0</v>
      </c>
      <c r="P78" s="80">
        <f>'12C (SS)Sem 1'!O28</f>
        <v>0</v>
      </c>
      <c r="Q78" s="5"/>
      <c r="R78" s="5"/>
      <c r="S78" s="5"/>
      <c r="T78" s="5"/>
      <c r="U78" s="5"/>
    </row>
    <row r="79" spans="1:21" ht="20.100000000000001" customHeight="1" thickBot="1" x14ac:dyDescent="0.3">
      <c r="A79" s="247"/>
      <c r="B79" s="218"/>
      <c r="C79" s="213">
        <v>17</v>
      </c>
      <c r="D79" s="215" t="s">
        <v>23</v>
      </c>
      <c r="E79" s="21" t="s">
        <v>22</v>
      </c>
      <c r="F79" s="22">
        <f>'12C (SS)Sem 2'!E28</f>
        <v>72</v>
      </c>
      <c r="G79" s="23">
        <f>'12C (SS)Sem 2'!F28</f>
        <v>65</v>
      </c>
      <c r="H79" s="23">
        <f>'12C (SS)Sem 2'!G28</f>
        <v>78</v>
      </c>
      <c r="I79" s="22">
        <f>'12C (SS)Sem 2'!H28</f>
        <v>70</v>
      </c>
      <c r="J79" s="23">
        <f>'12C (SS)Sem 2'!I28</f>
        <v>97</v>
      </c>
      <c r="K79" s="22">
        <f>'12C (SS)Sem 2'!J28</f>
        <v>64</v>
      </c>
      <c r="L79" s="22">
        <f>'12C (SS)Sem 2'!K28</f>
        <v>446</v>
      </c>
      <c r="M79" s="122">
        <f>'12C (SS)Sem 2'!L28</f>
        <v>74.333333333333329</v>
      </c>
      <c r="N79" s="80">
        <f>'12C (SS)Sem 2'!M28</f>
        <v>21</v>
      </c>
      <c r="O79" s="80">
        <f>'12C (SS)Sem 2'!N28</f>
        <v>0</v>
      </c>
      <c r="P79" s="80">
        <f>'12C (SS)Sem 2'!O28</f>
        <v>0</v>
      </c>
      <c r="Q79" s="5"/>
      <c r="R79" s="5"/>
      <c r="S79" s="5"/>
      <c r="T79" s="5"/>
      <c r="U79" s="5"/>
    </row>
    <row r="80" spans="1:21" ht="20.100000000000001" customHeight="1" thickBot="1" x14ac:dyDescent="0.3">
      <c r="A80" s="247"/>
      <c r="B80" s="218"/>
      <c r="C80" s="213">
        <v>17</v>
      </c>
      <c r="D80" s="215" t="s">
        <v>23</v>
      </c>
      <c r="E80" s="21" t="s">
        <v>16</v>
      </c>
      <c r="F80" s="22">
        <f>AVERAGE(F78:F79)</f>
        <v>71.5</v>
      </c>
      <c r="G80" s="22">
        <f t="shared" ref="G80:P80" si="24">AVERAGE(G78:G79)</f>
        <v>57.5</v>
      </c>
      <c r="H80" s="22">
        <f t="shared" si="24"/>
        <v>75.5</v>
      </c>
      <c r="I80" s="22">
        <f t="shared" si="24"/>
        <v>66.5</v>
      </c>
      <c r="J80" s="22">
        <f t="shared" si="24"/>
        <v>90</v>
      </c>
      <c r="K80" s="22">
        <f t="shared" si="24"/>
        <v>63</v>
      </c>
      <c r="L80" s="22">
        <f t="shared" si="24"/>
        <v>424</v>
      </c>
      <c r="M80" s="22">
        <f t="shared" si="24"/>
        <v>70.666666666666657</v>
      </c>
      <c r="N80" s="22">
        <f>'12C Sem avr (SS)'!$H$28</f>
        <v>21</v>
      </c>
      <c r="O80" s="22">
        <f t="shared" si="24"/>
        <v>0</v>
      </c>
      <c r="P80" s="22">
        <f t="shared" si="24"/>
        <v>0</v>
      </c>
      <c r="Q80" s="5"/>
      <c r="R80" s="5"/>
      <c r="S80" s="5"/>
      <c r="T80" s="5"/>
      <c r="U80" s="5"/>
    </row>
    <row r="81" spans="1:21" ht="20.100000000000001" customHeight="1" thickBot="1" x14ac:dyDescent="0.3">
      <c r="A81" s="249">
        <v>26</v>
      </c>
      <c r="B81" s="218"/>
      <c r="C81" s="213">
        <v>17</v>
      </c>
      <c r="D81" s="215" t="s">
        <v>23</v>
      </c>
      <c r="E81" s="21" t="s">
        <v>21</v>
      </c>
      <c r="F81" s="22">
        <f>'12C (SS)Sem 1'!E29</f>
        <v>59</v>
      </c>
      <c r="G81" s="22">
        <f>'12C (SS)Sem 1'!F29</f>
        <v>51</v>
      </c>
      <c r="H81" s="22">
        <f>'12C (SS)Sem 1'!G29</f>
        <v>71</v>
      </c>
      <c r="I81" s="22">
        <f>'12C (SS)Sem 1'!H29</f>
        <v>74</v>
      </c>
      <c r="J81" s="22">
        <f>'12C (SS)Sem 1'!I29</f>
        <v>76</v>
      </c>
      <c r="K81" s="22">
        <f>'12C (SS)Sem 1'!J29</f>
        <v>65</v>
      </c>
      <c r="L81" s="22">
        <f>'12C (SS)Sem 1'!K29</f>
        <v>396</v>
      </c>
      <c r="M81" s="122">
        <f>'12C (SS)Sem 1'!L29</f>
        <v>66</v>
      </c>
      <c r="N81" s="80">
        <f>'12C (SS)Sem 1'!M29</f>
        <v>22</v>
      </c>
      <c r="O81" s="80">
        <f>'12C (SS)Sem 1'!N29</f>
        <v>0</v>
      </c>
      <c r="P81" s="80">
        <f>'12C (SS)Sem 1'!O29</f>
        <v>0</v>
      </c>
      <c r="Q81" s="5"/>
      <c r="R81" s="5"/>
      <c r="S81" s="5"/>
      <c r="T81" s="5"/>
      <c r="U81" s="5"/>
    </row>
    <row r="82" spans="1:21" ht="20.100000000000001" customHeight="1" thickBot="1" x14ac:dyDescent="0.3">
      <c r="A82" s="249"/>
      <c r="B82" s="218"/>
      <c r="C82" s="213">
        <v>17</v>
      </c>
      <c r="D82" s="215" t="s">
        <v>23</v>
      </c>
      <c r="E82" s="21" t="s">
        <v>22</v>
      </c>
      <c r="F82" s="22">
        <f>'12C (SS)Sem 2'!E29</f>
        <v>69</v>
      </c>
      <c r="G82" s="22">
        <f>'12C (SS)Sem 2'!F29</f>
        <v>69</v>
      </c>
      <c r="H82" s="22">
        <f>'12C (SS)Sem 2'!G29</f>
        <v>80</v>
      </c>
      <c r="I82" s="22">
        <f>'12C (SS)Sem 2'!H29</f>
        <v>80</v>
      </c>
      <c r="J82" s="22">
        <f>'12C (SS)Sem 2'!I29</f>
        <v>88</v>
      </c>
      <c r="K82" s="22">
        <f>'12C (SS)Sem 2'!J29</f>
        <v>69</v>
      </c>
      <c r="L82" s="22">
        <f>'12C (SS)Sem 2'!K29</f>
        <v>455</v>
      </c>
      <c r="M82" s="122">
        <f>'12C (SS)Sem 2'!L29</f>
        <v>75.833333333333329</v>
      </c>
      <c r="N82" s="80">
        <f>'12C (SS)Sem 2'!M29</f>
        <v>16</v>
      </c>
      <c r="O82" s="80">
        <f>'12C (SS)Sem 2'!N29</f>
        <v>0</v>
      </c>
      <c r="P82" s="80">
        <f>'12C (SS)Sem 2'!O29</f>
        <v>0</v>
      </c>
      <c r="Q82" s="5"/>
      <c r="R82" s="5"/>
      <c r="S82" s="5"/>
      <c r="T82" s="5"/>
      <c r="U82" s="5"/>
    </row>
    <row r="83" spans="1:21" ht="20.100000000000001" customHeight="1" thickBot="1" x14ac:dyDescent="0.3">
      <c r="A83" s="249"/>
      <c r="B83" s="218"/>
      <c r="C83" s="213">
        <v>17</v>
      </c>
      <c r="D83" s="215" t="s">
        <v>23</v>
      </c>
      <c r="E83" s="21" t="s">
        <v>16</v>
      </c>
      <c r="F83" s="22">
        <f>AVERAGE(F81:F82)</f>
        <v>64</v>
      </c>
      <c r="G83" s="22">
        <f t="shared" ref="G83:P83" si="25">AVERAGE(G81:G82)</f>
        <v>60</v>
      </c>
      <c r="H83" s="22">
        <f t="shared" si="25"/>
        <v>75.5</v>
      </c>
      <c r="I83" s="22">
        <f t="shared" si="25"/>
        <v>77</v>
      </c>
      <c r="J83" s="22">
        <f t="shared" si="25"/>
        <v>82</v>
      </c>
      <c r="K83" s="22">
        <f t="shared" si="25"/>
        <v>67</v>
      </c>
      <c r="L83" s="22">
        <f t="shared" si="25"/>
        <v>425.5</v>
      </c>
      <c r="M83" s="22">
        <f t="shared" si="25"/>
        <v>70.916666666666657</v>
      </c>
      <c r="N83" s="22">
        <f>'12C Sem avr (SS)'!$H$29</f>
        <v>20</v>
      </c>
      <c r="O83" s="22">
        <f t="shared" si="25"/>
        <v>0</v>
      </c>
      <c r="P83" s="22">
        <f t="shared" si="25"/>
        <v>0</v>
      </c>
      <c r="Q83" s="5"/>
      <c r="R83" s="5"/>
      <c r="S83" s="5"/>
      <c r="T83" s="5"/>
      <c r="U83" s="5"/>
    </row>
    <row r="84" spans="1:21" ht="20.100000000000001" customHeight="1" thickBot="1" x14ac:dyDescent="0.3">
      <c r="A84" s="249">
        <v>27</v>
      </c>
      <c r="B84" s="218"/>
      <c r="C84" s="213">
        <v>17</v>
      </c>
      <c r="D84" s="215" t="s">
        <v>23</v>
      </c>
      <c r="E84" s="21" t="s">
        <v>21</v>
      </c>
      <c r="F84" s="22">
        <f>'12C (SS)Sem 1'!E30</f>
        <v>86</v>
      </c>
      <c r="G84" s="22">
        <f>'12C (SS)Sem 1'!F30</f>
        <v>76</v>
      </c>
      <c r="H84" s="23">
        <f>'12C (SS)Sem 1'!G30</f>
        <v>85</v>
      </c>
      <c r="I84" s="22">
        <f>'12C (SS)Sem 1'!H30</f>
        <v>88</v>
      </c>
      <c r="J84" s="22">
        <f>'12C (SS)Sem 1'!I30</f>
        <v>91</v>
      </c>
      <c r="K84" s="22">
        <f>'12C (SS)Sem 1'!J30</f>
        <v>85</v>
      </c>
      <c r="L84" s="22">
        <f>'12C (SS)Sem 1'!K30</f>
        <v>511</v>
      </c>
      <c r="M84" s="122">
        <f>'12C (SS)Sem 1'!L30</f>
        <v>85.166666666666671</v>
      </c>
      <c r="N84" s="80">
        <f>'12C (SS)Sem 1'!M30</f>
        <v>5</v>
      </c>
      <c r="O84" s="80">
        <f>'12C (SS)Sem 1'!N30</f>
        <v>0</v>
      </c>
      <c r="P84" s="80">
        <f>'12C (SS)Sem 1'!O30</f>
        <v>0</v>
      </c>
      <c r="Q84" s="5"/>
      <c r="R84" s="5"/>
      <c r="S84" s="5"/>
      <c r="T84" s="5"/>
      <c r="U84" s="5"/>
    </row>
    <row r="85" spans="1:21" ht="20.100000000000001" customHeight="1" thickBot="1" x14ac:dyDescent="0.3">
      <c r="A85" s="249"/>
      <c r="B85" s="218"/>
      <c r="C85" s="213">
        <v>17</v>
      </c>
      <c r="D85" s="215" t="s">
        <v>23</v>
      </c>
      <c r="E85" s="21" t="s">
        <v>22</v>
      </c>
      <c r="F85" s="22">
        <f>'12C (SS)Sem 2'!E30</f>
        <v>93</v>
      </c>
      <c r="G85" s="22">
        <f>'12C (SS)Sem 2'!F30</f>
        <v>88</v>
      </c>
      <c r="H85" s="23">
        <f>'12C (SS)Sem 2'!G30</f>
        <v>86</v>
      </c>
      <c r="I85" s="22">
        <f>'12C (SS)Sem 2'!H30</f>
        <v>90</v>
      </c>
      <c r="J85" s="22">
        <f>'12C (SS)Sem 2'!I30</f>
        <v>100</v>
      </c>
      <c r="K85" s="22">
        <f>'12C (SS)Sem 2'!J30</f>
        <v>86</v>
      </c>
      <c r="L85" s="22">
        <f>'12C (SS)Sem 2'!K30</f>
        <v>543</v>
      </c>
      <c r="M85" s="122">
        <f>'12C (SS)Sem 2'!L30</f>
        <v>90.5</v>
      </c>
      <c r="N85" s="80">
        <f>'12C (SS)Sem 2'!M30</f>
        <v>4</v>
      </c>
      <c r="O85" s="80">
        <f>'12C (SS)Sem 2'!N30</f>
        <v>0</v>
      </c>
      <c r="P85" s="80">
        <f>'12C (SS)Sem 2'!O30</f>
        <v>0</v>
      </c>
      <c r="Q85" s="5"/>
      <c r="R85" s="5"/>
      <c r="S85" s="5"/>
      <c r="T85" s="5"/>
      <c r="U85" s="5"/>
    </row>
    <row r="86" spans="1:21" ht="20.100000000000001" customHeight="1" thickBot="1" x14ac:dyDescent="0.3">
      <c r="A86" s="249"/>
      <c r="B86" s="218"/>
      <c r="C86" s="213">
        <v>17</v>
      </c>
      <c r="D86" s="215" t="s">
        <v>23</v>
      </c>
      <c r="E86" s="21" t="s">
        <v>16</v>
      </c>
      <c r="F86" s="22">
        <f>AVERAGE(F84:F85)</f>
        <v>89.5</v>
      </c>
      <c r="G86" s="22">
        <f t="shared" ref="G86:P86" si="26">AVERAGE(G84:G85)</f>
        <v>82</v>
      </c>
      <c r="H86" s="22">
        <f t="shared" si="26"/>
        <v>85.5</v>
      </c>
      <c r="I86" s="22">
        <f t="shared" si="26"/>
        <v>89</v>
      </c>
      <c r="J86" s="22">
        <f t="shared" si="26"/>
        <v>95.5</v>
      </c>
      <c r="K86" s="22">
        <f t="shared" si="26"/>
        <v>85.5</v>
      </c>
      <c r="L86" s="22">
        <f t="shared" si="26"/>
        <v>527</v>
      </c>
      <c r="M86" s="22">
        <f t="shared" si="26"/>
        <v>87.833333333333343</v>
      </c>
      <c r="N86" s="22">
        <f>'12C Sem avr (SS)'!$H$30</f>
        <v>4</v>
      </c>
      <c r="O86" s="22">
        <f t="shared" si="26"/>
        <v>0</v>
      </c>
      <c r="P86" s="22">
        <f t="shared" si="26"/>
        <v>0</v>
      </c>
      <c r="Q86" s="5"/>
      <c r="R86" s="5"/>
      <c r="S86" s="5"/>
      <c r="T86" s="5"/>
      <c r="U86" s="5"/>
    </row>
    <row r="87" spans="1:21" ht="20.100000000000001" customHeight="1" thickBot="1" x14ac:dyDescent="0.3">
      <c r="A87" s="249">
        <v>28</v>
      </c>
      <c r="B87" s="218"/>
      <c r="C87" s="213">
        <v>17</v>
      </c>
      <c r="D87" s="215" t="s">
        <v>23</v>
      </c>
      <c r="E87" s="21" t="s">
        <v>21</v>
      </c>
      <c r="F87" s="22">
        <f>'12C (SS)Sem 1'!E31</f>
        <v>76</v>
      </c>
      <c r="G87" s="22">
        <f>'12C (SS)Sem 1'!F31</f>
        <v>46</v>
      </c>
      <c r="H87" s="22">
        <f>'12C (SS)Sem 1'!G31</f>
        <v>97</v>
      </c>
      <c r="I87" s="22">
        <f>'12C (SS)Sem 1'!H31</f>
        <v>75</v>
      </c>
      <c r="J87" s="22">
        <f>'12C (SS)Sem 1'!I31</f>
        <v>80</v>
      </c>
      <c r="K87" s="22">
        <f>'12C (SS)Sem 1'!J31</f>
        <v>68</v>
      </c>
      <c r="L87" s="22">
        <f>'12C (SS)Sem 1'!K31</f>
        <v>442</v>
      </c>
      <c r="M87" s="122">
        <f>'12C (SS)Sem 1'!L31</f>
        <v>73.666666666666671</v>
      </c>
      <c r="N87" s="80">
        <f>'12C (SS)Sem 1'!M31</f>
        <v>11</v>
      </c>
      <c r="O87" s="80">
        <f>'12C (SS)Sem 1'!N31</f>
        <v>0</v>
      </c>
      <c r="P87" s="80">
        <f>'12C (SS)Sem 1'!O31</f>
        <v>0</v>
      </c>
      <c r="Q87" s="5"/>
      <c r="R87" s="5"/>
      <c r="S87" s="5"/>
      <c r="T87" s="5"/>
      <c r="U87" s="5"/>
    </row>
    <row r="88" spans="1:21" ht="20.100000000000001" customHeight="1" thickBot="1" x14ac:dyDescent="0.3">
      <c r="A88" s="249"/>
      <c r="B88" s="218"/>
      <c r="C88" s="213">
        <v>17</v>
      </c>
      <c r="D88" s="215" t="s">
        <v>23</v>
      </c>
      <c r="E88" s="21" t="s">
        <v>22</v>
      </c>
      <c r="F88" s="22">
        <f>'12C (SS)Sem 2'!E31</f>
        <v>80</v>
      </c>
      <c r="G88" s="22">
        <f>'12C (SS)Sem 2'!F31</f>
        <v>75</v>
      </c>
      <c r="H88" s="22">
        <f>'12C (SS)Sem 2'!G31</f>
        <v>90</v>
      </c>
      <c r="I88" s="22">
        <f>'12C (SS)Sem 2'!H31</f>
        <v>81</v>
      </c>
      <c r="J88" s="22">
        <f>'12C (SS)Sem 2'!I31</f>
        <v>98</v>
      </c>
      <c r="K88" s="22">
        <f>'12C (SS)Sem 2'!J31</f>
        <v>79</v>
      </c>
      <c r="L88" s="22">
        <f>'12C (SS)Sem 2'!K31</f>
        <v>503</v>
      </c>
      <c r="M88" s="122">
        <f>'12C (SS)Sem 2'!L31</f>
        <v>83.833333333333329</v>
      </c>
      <c r="N88" s="80">
        <f>'12C (SS)Sem 2'!M31</f>
        <v>10</v>
      </c>
      <c r="O88" s="80">
        <f>'12C (SS)Sem 2'!N31</f>
        <v>0</v>
      </c>
      <c r="P88" s="80">
        <f>'12C (SS)Sem 2'!O31</f>
        <v>0</v>
      </c>
      <c r="Q88" s="5"/>
      <c r="R88" s="5"/>
      <c r="S88" s="5"/>
      <c r="T88" s="5"/>
      <c r="U88" s="5"/>
    </row>
    <row r="89" spans="1:21" ht="20.100000000000001" customHeight="1" thickBot="1" x14ac:dyDescent="0.3">
      <c r="A89" s="249"/>
      <c r="B89" s="218"/>
      <c r="C89" s="213">
        <v>17</v>
      </c>
      <c r="D89" s="215" t="s">
        <v>23</v>
      </c>
      <c r="E89" s="21" t="s">
        <v>16</v>
      </c>
      <c r="F89" s="22">
        <f>AVERAGE(F87:F88)</f>
        <v>78</v>
      </c>
      <c r="G89" s="22">
        <f t="shared" ref="G89:P89" si="27">AVERAGE(G87:G88)</f>
        <v>60.5</v>
      </c>
      <c r="H89" s="22">
        <f t="shared" si="27"/>
        <v>93.5</v>
      </c>
      <c r="I89" s="22">
        <f t="shared" si="27"/>
        <v>78</v>
      </c>
      <c r="J89" s="22">
        <f t="shared" si="27"/>
        <v>89</v>
      </c>
      <c r="K89" s="22">
        <f t="shared" si="27"/>
        <v>73.5</v>
      </c>
      <c r="L89" s="22">
        <f t="shared" si="27"/>
        <v>472.5</v>
      </c>
      <c r="M89" s="22">
        <f t="shared" si="27"/>
        <v>78.75</v>
      </c>
      <c r="N89" s="22">
        <f>'12C Sem avr (SS)'!$H$31</f>
        <v>10</v>
      </c>
      <c r="O89" s="22">
        <f t="shared" si="27"/>
        <v>0</v>
      </c>
      <c r="P89" s="22">
        <f t="shared" si="27"/>
        <v>0</v>
      </c>
      <c r="Q89" s="5"/>
      <c r="R89" s="5"/>
      <c r="S89" s="5"/>
      <c r="T89" s="5"/>
      <c r="U89" s="5"/>
    </row>
    <row r="90" spans="1:21" ht="20.100000000000001" customHeight="1" thickBot="1" x14ac:dyDescent="0.3">
      <c r="A90" s="247">
        <v>29</v>
      </c>
      <c r="B90" s="218"/>
      <c r="C90" s="213">
        <v>18</v>
      </c>
      <c r="D90" s="215" t="s">
        <v>23</v>
      </c>
      <c r="E90" s="21" t="s">
        <v>21</v>
      </c>
      <c r="F90" s="22">
        <f>'12C (SS)Sem 1'!E32</f>
        <v>87</v>
      </c>
      <c r="G90" s="22">
        <f>'12C (SS)Sem 1'!F32</f>
        <v>61</v>
      </c>
      <c r="H90" s="22">
        <f>'12C (SS)Sem 1'!G32</f>
        <v>85</v>
      </c>
      <c r="I90" s="22">
        <f>'12C (SS)Sem 1'!H32</f>
        <v>85</v>
      </c>
      <c r="J90" s="22">
        <f>'12C (SS)Sem 1'!I32</f>
        <v>90</v>
      </c>
      <c r="K90" s="22">
        <f>'12C (SS)Sem 1'!J32</f>
        <v>75</v>
      </c>
      <c r="L90" s="22">
        <f>'12C (SS)Sem 1'!K32</f>
        <v>483</v>
      </c>
      <c r="M90" s="122">
        <f>'12C (SS)Sem 1'!L32</f>
        <v>80.5</v>
      </c>
      <c r="N90" s="80">
        <f>'12C (SS)Sem 1'!M32</f>
        <v>8</v>
      </c>
      <c r="O90" s="80">
        <f>'12C (SS)Sem 1'!N32</f>
        <v>0</v>
      </c>
      <c r="P90" s="80">
        <f>'12C (SS)Sem 1'!O32</f>
        <v>0</v>
      </c>
      <c r="Q90" s="5"/>
      <c r="R90" s="5"/>
      <c r="S90" s="5"/>
      <c r="T90" s="5"/>
      <c r="U90" s="5"/>
    </row>
    <row r="91" spans="1:21" ht="20.100000000000001" customHeight="1" thickBot="1" x14ac:dyDescent="0.3">
      <c r="A91" s="247"/>
      <c r="B91" s="218"/>
      <c r="C91" s="213">
        <v>18</v>
      </c>
      <c r="D91" s="215" t="s">
        <v>23</v>
      </c>
      <c r="E91" s="21" t="s">
        <v>22</v>
      </c>
      <c r="F91" s="22">
        <f>'12C (SS)Sem 2'!E32</f>
        <v>88</v>
      </c>
      <c r="G91" s="22">
        <f>'12C (SS)Sem 2'!F32</f>
        <v>74</v>
      </c>
      <c r="H91" s="22">
        <f>'12C (SS)Sem 2'!G32</f>
        <v>88</v>
      </c>
      <c r="I91" s="22">
        <f>'12C (SS)Sem 2'!H32</f>
        <v>89</v>
      </c>
      <c r="J91" s="22">
        <f>'12C (SS)Sem 2'!I32</f>
        <v>98</v>
      </c>
      <c r="K91" s="22">
        <f>'12C (SS)Sem 2'!J32</f>
        <v>81</v>
      </c>
      <c r="L91" s="22">
        <f>'12C (SS)Sem 2'!K32</f>
        <v>518</v>
      </c>
      <c r="M91" s="122">
        <f>'12C (SS)Sem 2'!L32</f>
        <v>86.333333333333329</v>
      </c>
      <c r="N91" s="80">
        <f>'12C (SS)Sem 2'!M32</f>
        <v>6</v>
      </c>
      <c r="O91" s="80">
        <f>'12C (SS)Sem 2'!N32</f>
        <v>0</v>
      </c>
      <c r="P91" s="80">
        <f>'12C (SS)Sem 2'!O32</f>
        <v>0</v>
      </c>
      <c r="Q91" s="5"/>
      <c r="R91" s="5"/>
      <c r="S91" s="5"/>
      <c r="T91" s="5"/>
      <c r="U91" s="5"/>
    </row>
    <row r="92" spans="1:21" ht="20.100000000000001" customHeight="1" thickBot="1" x14ac:dyDescent="0.3">
      <c r="A92" s="247"/>
      <c r="B92" s="218"/>
      <c r="C92" s="213">
        <v>18</v>
      </c>
      <c r="D92" s="215" t="s">
        <v>23</v>
      </c>
      <c r="E92" s="21" t="s">
        <v>16</v>
      </c>
      <c r="F92" s="22">
        <f>AVERAGE(F90:F91)</f>
        <v>87.5</v>
      </c>
      <c r="G92" s="22">
        <f t="shared" ref="G92:P92" si="28">AVERAGE(G90:G91)</f>
        <v>67.5</v>
      </c>
      <c r="H92" s="22">
        <f t="shared" si="28"/>
        <v>86.5</v>
      </c>
      <c r="I92" s="22">
        <f t="shared" si="28"/>
        <v>87</v>
      </c>
      <c r="J92" s="22">
        <f t="shared" si="28"/>
        <v>94</v>
      </c>
      <c r="K92" s="22">
        <f t="shared" si="28"/>
        <v>78</v>
      </c>
      <c r="L92" s="22">
        <f t="shared" si="28"/>
        <v>500.5</v>
      </c>
      <c r="M92" s="22">
        <f t="shared" si="28"/>
        <v>83.416666666666657</v>
      </c>
      <c r="N92" s="22">
        <f>'12C Sem avr (SS)'!$H$32</f>
        <v>8</v>
      </c>
      <c r="O92" s="22">
        <f t="shared" si="28"/>
        <v>0</v>
      </c>
      <c r="P92" s="22">
        <f t="shared" si="28"/>
        <v>0</v>
      </c>
      <c r="Q92" s="5"/>
      <c r="R92" s="5"/>
      <c r="S92" s="5"/>
      <c r="T92" s="5"/>
      <c r="U92" s="5"/>
    </row>
    <row r="93" spans="1:21" ht="20.100000000000001" customHeight="1" thickBot="1" x14ac:dyDescent="0.3">
      <c r="A93" s="249">
        <v>30</v>
      </c>
      <c r="B93" s="218"/>
      <c r="C93" s="213">
        <v>18</v>
      </c>
      <c r="D93" s="215" t="s">
        <v>20</v>
      </c>
      <c r="E93" s="21" t="s">
        <v>21</v>
      </c>
      <c r="F93" s="22">
        <f>'12C (SS)Sem 1'!E33</f>
        <v>0</v>
      </c>
      <c r="G93" s="23">
        <f>'12C (SS)Sem 1'!F33</f>
        <v>0</v>
      </c>
      <c r="H93" s="23">
        <f>'12C (SS)Sem 1'!G33</f>
        <v>0</v>
      </c>
      <c r="I93" s="23">
        <f>'12C (SS)Sem 1'!H33</f>
        <v>0</v>
      </c>
      <c r="J93" s="22">
        <f>'12C (SS)Sem 1'!I33</f>
        <v>0</v>
      </c>
      <c r="K93" s="22">
        <f>'12C (SS)Sem 1'!J33</f>
        <v>0</v>
      </c>
      <c r="L93" s="22">
        <f>'12C (SS)Sem 1'!K33</f>
        <v>0</v>
      </c>
      <c r="M93" s="122">
        <f>'12C (SS)Sem 1'!L33</f>
        <v>0</v>
      </c>
      <c r="N93" s="80">
        <f>'12C (SS)Sem 1'!M33</f>
        <v>31</v>
      </c>
      <c r="O93" s="80">
        <f>'12C (SS)Sem 1'!N33</f>
        <v>0</v>
      </c>
      <c r="P93" s="80">
        <f>'12C (SS)Sem 1'!O33</f>
        <v>0</v>
      </c>
      <c r="Q93" s="5"/>
      <c r="R93" s="5"/>
      <c r="S93" s="5"/>
      <c r="T93" s="5"/>
      <c r="U93" s="5"/>
    </row>
    <row r="94" spans="1:21" ht="20.100000000000001" customHeight="1" thickBot="1" x14ac:dyDescent="0.3">
      <c r="A94" s="249"/>
      <c r="B94" s="218"/>
      <c r="C94" s="213">
        <v>18</v>
      </c>
      <c r="D94" s="215" t="s">
        <v>20</v>
      </c>
      <c r="E94" s="21" t="s">
        <v>22</v>
      </c>
      <c r="F94" s="22">
        <f>'12C (SS)Sem 2'!E33</f>
        <v>0</v>
      </c>
      <c r="G94" s="23">
        <f>'12C (SS)Sem 2'!F33</f>
        <v>0</v>
      </c>
      <c r="H94" s="23">
        <f>'12C (SS)Sem 2'!G33</f>
        <v>0</v>
      </c>
      <c r="I94" s="23">
        <f>'12C (SS)Sem 2'!H33</f>
        <v>0</v>
      </c>
      <c r="J94" s="22">
        <f>'12C (SS)Sem 2'!I33</f>
        <v>0</v>
      </c>
      <c r="K94" s="22">
        <f>'12C (SS)Sem 2'!J33</f>
        <v>0</v>
      </c>
      <c r="L94" s="22">
        <f>'12C (SS)Sem 2'!K33</f>
        <v>0</v>
      </c>
      <c r="M94" s="122">
        <f>'12C (SS)Sem 2'!L33</f>
        <v>0</v>
      </c>
      <c r="N94" s="80">
        <f>'12C (SS)Sem 2'!M33</f>
        <v>31</v>
      </c>
      <c r="O94" s="80">
        <f>'12C (SS)Sem 2'!N33</f>
        <v>0</v>
      </c>
      <c r="P94" s="80">
        <f>'12C (SS)Sem 2'!O33</f>
        <v>0</v>
      </c>
      <c r="Q94" s="5"/>
      <c r="R94" s="5"/>
      <c r="S94" s="5"/>
      <c r="T94" s="5"/>
      <c r="U94" s="5"/>
    </row>
    <row r="95" spans="1:21" ht="20.100000000000001" customHeight="1" thickBot="1" x14ac:dyDescent="0.3">
      <c r="A95" s="249"/>
      <c r="B95" s="218"/>
      <c r="C95" s="213">
        <v>18</v>
      </c>
      <c r="D95" s="215" t="s">
        <v>20</v>
      </c>
      <c r="E95" s="21" t="s">
        <v>16</v>
      </c>
      <c r="F95" s="22">
        <f>AVERAGE(F93:F94)</f>
        <v>0</v>
      </c>
      <c r="G95" s="22">
        <f t="shared" ref="G95:P95" si="29">AVERAGE(G93:G94)</f>
        <v>0</v>
      </c>
      <c r="H95" s="22">
        <f t="shared" si="29"/>
        <v>0</v>
      </c>
      <c r="I95" s="22">
        <f t="shared" si="29"/>
        <v>0</v>
      </c>
      <c r="J95" s="22">
        <f t="shared" si="29"/>
        <v>0</v>
      </c>
      <c r="K95" s="22">
        <f t="shared" si="29"/>
        <v>0</v>
      </c>
      <c r="L95" s="22">
        <f t="shared" si="29"/>
        <v>0</v>
      </c>
      <c r="M95" s="22">
        <f t="shared" si="29"/>
        <v>0</v>
      </c>
      <c r="N95" s="22">
        <f>'12C Sem avr (SS)'!$H$33</f>
        <v>31</v>
      </c>
      <c r="O95" s="22">
        <f t="shared" si="29"/>
        <v>0</v>
      </c>
      <c r="P95" s="22">
        <f t="shared" si="29"/>
        <v>0</v>
      </c>
      <c r="Q95" s="5"/>
      <c r="R95" s="5"/>
      <c r="S95" s="5"/>
      <c r="T95" s="5"/>
      <c r="U95" s="5"/>
    </row>
    <row r="96" spans="1:21" ht="20.100000000000001" customHeight="1" thickBot="1" x14ac:dyDescent="0.3">
      <c r="A96" s="247">
        <v>31</v>
      </c>
      <c r="B96" s="218"/>
      <c r="C96" s="213">
        <v>17</v>
      </c>
      <c r="D96" s="215" t="s">
        <v>20</v>
      </c>
      <c r="E96" s="21" t="s">
        <v>21</v>
      </c>
      <c r="F96" s="22">
        <f>'12C (SS)Sem 1'!E34</f>
        <v>69</v>
      </c>
      <c r="G96" s="22">
        <f>'12C (SS)Sem 1'!F34</f>
        <v>56</v>
      </c>
      <c r="H96" s="23">
        <f>'12C (SS)Sem 1'!G34</f>
        <v>78</v>
      </c>
      <c r="I96" s="22">
        <f>'12C (SS)Sem 1'!H34</f>
        <v>70</v>
      </c>
      <c r="J96" s="22">
        <f>'12C (SS)Sem 1'!I34</f>
        <v>77</v>
      </c>
      <c r="K96" s="22">
        <f>'12C (SS)Sem 1'!J34</f>
        <v>70</v>
      </c>
      <c r="L96" s="22">
        <f>'12C (SS)Sem 1'!K34</f>
        <v>420</v>
      </c>
      <c r="M96" s="122">
        <f>'12C (SS)Sem 1'!L34</f>
        <v>70</v>
      </c>
      <c r="N96" s="80">
        <f>'12C (SS)Sem 1'!M34</f>
        <v>13</v>
      </c>
      <c r="O96" s="80">
        <f>'12C (SS)Sem 1'!N34</f>
        <v>0</v>
      </c>
      <c r="P96" s="80">
        <f>'12C (SS)Sem 1'!O34</f>
        <v>0</v>
      </c>
      <c r="Q96" s="5"/>
      <c r="R96" s="5"/>
      <c r="S96" s="5"/>
      <c r="T96" s="5"/>
      <c r="U96" s="5"/>
    </row>
    <row r="97" spans="1:21" ht="20.100000000000001" customHeight="1" thickBot="1" x14ac:dyDescent="0.3">
      <c r="A97" s="247"/>
      <c r="B97" s="218"/>
      <c r="C97" s="213">
        <v>17</v>
      </c>
      <c r="D97" s="215" t="s">
        <v>20</v>
      </c>
      <c r="E97" s="21" t="s">
        <v>22</v>
      </c>
      <c r="F97" s="22">
        <f>'12C (SS)Sem 2'!E34</f>
        <v>69</v>
      </c>
      <c r="G97" s="22">
        <f>'12C (SS)Sem 2'!F34</f>
        <v>70</v>
      </c>
      <c r="H97" s="23">
        <f>'12C (SS)Sem 2'!G34</f>
        <v>85</v>
      </c>
      <c r="I97" s="22">
        <f>'12C (SS)Sem 2'!H34</f>
        <v>80</v>
      </c>
      <c r="J97" s="22">
        <f>'12C (SS)Sem 2'!I34</f>
        <v>92</v>
      </c>
      <c r="K97" s="22">
        <f>'12C (SS)Sem 2'!J34</f>
        <v>80</v>
      </c>
      <c r="L97" s="22">
        <f>'12C (SS)Sem 2'!K34</f>
        <v>476</v>
      </c>
      <c r="M97" s="122">
        <f>'12C (SS)Sem 2'!L34</f>
        <v>79.333333333333329</v>
      </c>
      <c r="N97" s="80">
        <f>'12C (SS)Sem 2'!M34</f>
        <v>13</v>
      </c>
      <c r="O97" s="80">
        <f>'12C (SS)Sem 2'!N34</f>
        <v>0</v>
      </c>
      <c r="P97" s="80">
        <f>'12C (SS)Sem 2'!O34</f>
        <v>0</v>
      </c>
      <c r="Q97" s="5"/>
      <c r="R97" s="5"/>
      <c r="S97" s="5"/>
      <c r="T97" s="5"/>
      <c r="U97" s="5"/>
    </row>
    <row r="98" spans="1:21" ht="20.100000000000001" customHeight="1" thickBot="1" x14ac:dyDescent="0.3">
      <c r="A98" s="247"/>
      <c r="B98" s="218"/>
      <c r="C98" s="213">
        <v>17</v>
      </c>
      <c r="D98" s="215" t="s">
        <v>20</v>
      </c>
      <c r="E98" s="21" t="s">
        <v>16</v>
      </c>
      <c r="F98" s="22">
        <f>AVERAGE(F96:F97)</f>
        <v>69</v>
      </c>
      <c r="G98" s="22">
        <f t="shared" ref="G98:P98" si="30">AVERAGE(G96:G97)</f>
        <v>63</v>
      </c>
      <c r="H98" s="22">
        <f t="shared" si="30"/>
        <v>81.5</v>
      </c>
      <c r="I98" s="22">
        <f t="shared" si="30"/>
        <v>75</v>
      </c>
      <c r="J98" s="22">
        <f t="shared" si="30"/>
        <v>84.5</v>
      </c>
      <c r="K98" s="22">
        <f t="shared" si="30"/>
        <v>75</v>
      </c>
      <c r="L98" s="22">
        <f t="shared" si="30"/>
        <v>448</v>
      </c>
      <c r="M98" s="22">
        <f t="shared" si="30"/>
        <v>74.666666666666657</v>
      </c>
      <c r="N98" s="22">
        <f>'12C Sem avr (SS)'!$H$34</f>
        <v>13</v>
      </c>
      <c r="O98" s="22">
        <f t="shared" si="30"/>
        <v>0</v>
      </c>
      <c r="P98" s="22">
        <f t="shared" si="30"/>
        <v>0</v>
      </c>
      <c r="Q98" s="5"/>
      <c r="R98" s="5"/>
      <c r="S98" s="5"/>
      <c r="T98" s="5"/>
      <c r="U98" s="5"/>
    </row>
    <row r="99" spans="1:21" ht="20.100000000000001" customHeight="1" thickBot="1" x14ac:dyDescent="0.3">
      <c r="A99" s="247">
        <v>32</v>
      </c>
      <c r="B99" s="218"/>
      <c r="C99" s="213"/>
      <c r="D99" s="215"/>
      <c r="E99" s="21" t="s">
        <v>21</v>
      </c>
      <c r="F99" s="22">
        <f>'12C (SS)Sem 1'!E35</f>
        <v>0</v>
      </c>
      <c r="G99" s="22">
        <f>'12C (SS)Sem 1'!F35</f>
        <v>0</v>
      </c>
      <c r="H99" s="22">
        <f>'12C (SS)Sem 1'!G35</f>
        <v>0</v>
      </c>
      <c r="I99" s="22">
        <f>'12C (SS)Sem 1'!H35</f>
        <v>0</v>
      </c>
      <c r="J99" s="22">
        <f>'12C (SS)Sem 1'!I35</f>
        <v>0</v>
      </c>
      <c r="K99" s="22">
        <f>'12C (SS)Sem 1'!J35</f>
        <v>0</v>
      </c>
      <c r="L99" s="22">
        <f>'12C (SS)Sem 1'!K35</f>
        <v>0</v>
      </c>
      <c r="M99" s="122">
        <f>'12C (SS)Sem 1'!L35</f>
        <v>0</v>
      </c>
      <c r="N99" s="80">
        <f>'12C (SS)Sem 1'!M35</f>
        <v>0</v>
      </c>
      <c r="O99" s="80">
        <f>'12C (SS)Sem 1'!N35</f>
        <v>0</v>
      </c>
      <c r="P99" s="80">
        <f>'12C (SS)Sem 1'!O35</f>
        <v>0</v>
      </c>
      <c r="Q99" s="5"/>
      <c r="R99" s="5"/>
      <c r="S99" s="5"/>
      <c r="T99" s="5"/>
      <c r="U99" s="5"/>
    </row>
    <row r="100" spans="1:21" ht="20.100000000000001" customHeight="1" thickBot="1" x14ac:dyDescent="0.3">
      <c r="A100" s="247"/>
      <c r="B100" s="218"/>
      <c r="C100" s="213"/>
      <c r="D100" s="215"/>
      <c r="E100" s="21" t="s">
        <v>22</v>
      </c>
      <c r="F100" s="22">
        <f>'12C (SS)Sem 2'!E35</f>
        <v>0</v>
      </c>
      <c r="G100" s="22">
        <f>'12C (SS)Sem 2'!F35</f>
        <v>0</v>
      </c>
      <c r="H100" s="22">
        <f>'12C (SS)Sem 2'!G35</f>
        <v>0</v>
      </c>
      <c r="I100" s="22">
        <f>'12C (SS)Sem 2'!H35</f>
        <v>0</v>
      </c>
      <c r="J100" s="22">
        <f>'12C (SS)Sem 2'!I35</f>
        <v>0</v>
      </c>
      <c r="K100" s="22">
        <f>'12C (SS)Sem 2'!J35</f>
        <v>0</v>
      </c>
      <c r="L100" s="22">
        <f>'12C (SS)Sem 2'!K35</f>
        <v>0</v>
      </c>
      <c r="M100" s="122">
        <f>'12C (SS)Sem 2'!L35</f>
        <v>0</v>
      </c>
      <c r="N100" s="80">
        <f>'12C (SS)Sem 2'!M35</f>
        <v>0</v>
      </c>
      <c r="O100" s="80">
        <f>'12C (SS)Sem 2'!N35</f>
        <v>0</v>
      </c>
      <c r="P100" s="80">
        <f>'12C (SS)Sem 2'!O35</f>
        <v>0</v>
      </c>
      <c r="Q100" s="5"/>
      <c r="R100" s="5"/>
      <c r="S100" s="5"/>
      <c r="T100" s="5"/>
      <c r="U100" s="5"/>
    </row>
    <row r="101" spans="1:21" ht="20.100000000000001" customHeight="1" thickBot="1" x14ac:dyDescent="0.3">
      <c r="A101" s="247"/>
      <c r="B101" s="218"/>
      <c r="C101" s="213"/>
      <c r="D101" s="215"/>
      <c r="E101" s="21" t="s">
        <v>16</v>
      </c>
      <c r="F101" s="22">
        <f>AVERAGE(F99:F100)</f>
        <v>0</v>
      </c>
      <c r="G101" s="22">
        <f t="shared" ref="G101:P101" si="31">AVERAGE(G99:G100)</f>
        <v>0</v>
      </c>
      <c r="H101" s="22">
        <f t="shared" si="31"/>
        <v>0</v>
      </c>
      <c r="I101" s="22">
        <f t="shared" si="31"/>
        <v>0</v>
      </c>
      <c r="J101" s="22">
        <f t="shared" si="31"/>
        <v>0</v>
      </c>
      <c r="K101" s="22">
        <f t="shared" si="31"/>
        <v>0</v>
      </c>
      <c r="L101" s="22">
        <f t="shared" si="31"/>
        <v>0</v>
      </c>
      <c r="M101" s="22">
        <f t="shared" si="31"/>
        <v>0</v>
      </c>
      <c r="N101" s="22">
        <f>'12C Sem avr (SS)'!$H$35</f>
        <v>0</v>
      </c>
      <c r="O101" s="22">
        <f t="shared" si="31"/>
        <v>0</v>
      </c>
      <c r="P101" s="22">
        <f t="shared" si="31"/>
        <v>0</v>
      </c>
      <c r="Q101" s="5"/>
      <c r="R101" s="5"/>
      <c r="S101" s="5"/>
      <c r="T101" s="5"/>
      <c r="U101" s="5"/>
    </row>
    <row r="102" spans="1:21" ht="20.100000000000001" customHeight="1" thickBot="1" x14ac:dyDescent="0.3">
      <c r="A102" s="247">
        <v>33</v>
      </c>
      <c r="B102" s="218"/>
      <c r="C102" s="213"/>
      <c r="D102" s="215"/>
      <c r="E102" s="21" t="s">
        <v>21</v>
      </c>
      <c r="F102" s="22">
        <f>'12C (SS)Sem 1'!E36</f>
        <v>0</v>
      </c>
      <c r="G102" s="22">
        <f>'12C (SS)Sem 1'!F36</f>
        <v>0</v>
      </c>
      <c r="H102" s="23">
        <f>'12C (SS)Sem 1'!G36</f>
        <v>0</v>
      </c>
      <c r="I102" s="22">
        <f>'12C (SS)Sem 1'!H36</f>
        <v>0</v>
      </c>
      <c r="J102" s="22">
        <f>'12C (SS)Sem 1'!I36</f>
        <v>0</v>
      </c>
      <c r="K102" s="22">
        <f>'12C (SS)Sem 1'!J36</f>
        <v>0</v>
      </c>
      <c r="L102" s="22">
        <f>'12C (SS)Sem 1'!K36</f>
        <v>0</v>
      </c>
      <c r="M102" s="122">
        <f>'12C (SS)Sem 1'!L36</f>
        <v>0</v>
      </c>
      <c r="N102" s="80">
        <f>'12C (SS)Sem 1'!M36</f>
        <v>0</v>
      </c>
      <c r="O102" s="80">
        <f>'12C (SS)Sem 1'!N36</f>
        <v>0</v>
      </c>
      <c r="P102" s="80">
        <f>'12C (SS)Sem 1'!O36</f>
        <v>0</v>
      </c>
      <c r="Q102" s="5"/>
      <c r="R102" s="5"/>
      <c r="S102" s="5"/>
      <c r="T102" s="5"/>
      <c r="U102" s="5"/>
    </row>
    <row r="103" spans="1:21" ht="20.100000000000001" customHeight="1" thickBot="1" x14ac:dyDescent="0.3">
      <c r="A103" s="247"/>
      <c r="B103" s="218"/>
      <c r="C103" s="213"/>
      <c r="D103" s="215"/>
      <c r="E103" s="21" t="s">
        <v>22</v>
      </c>
      <c r="F103" s="22">
        <f>'12C (SS)Sem 2'!E36</f>
        <v>0</v>
      </c>
      <c r="G103" s="22">
        <f>'12C (SS)Sem 2'!F36</f>
        <v>0</v>
      </c>
      <c r="H103" s="23">
        <f>'12C (SS)Sem 2'!G36</f>
        <v>0</v>
      </c>
      <c r="I103" s="22">
        <f>'12C (SS)Sem 2'!H36</f>
        <v>0</v>
      </c>
      <c r="J103" s="22">
        <f>'12C (SS)Sem 2'!I36</f>
        <v>0</v>
      </c>
      <c r="K103" s="22">
        <f>'12C (SS)Sem 2'!J36</f>
        <v>0</v>
      </c>
      <c r="L103" s="22">
        <f>'12C (SS)Sem 2'!K36</f>
        <v>0</v>
      </c>
      <c r="M103" s="122">
        <f>'12C (SS)Sem 2'!L36</f>
        <v>0</v>
      </c>
      <c r="N103" s="80">
        <f>'12C (SS)Sem 2'!M36</f>
        <v>0</v>
      </c>
      <c r="O103" s="80">
        <f>'12C (SS)Sem 2'!N36</f>
        <v>0</v>
      </c>
      <c r="P103" s="80">
        <f>'12C (SS)Sem 2'!O36</f>
        <v>0</v>
      </c>
      <c r="Q103" s="5"/>
      <c r="R103" s="5"/>
      <c r="S103" s="5"/>
      <c r="T103" s="5"/>
      <c r="U103" s="5"/>
    </row>
    <row r="104" spans="1:21" ht="20.100000000000001" customHeight="1" thickBot="1" x14ac:dyDescent="0.3">
      <c r="A104" s="247"/>
      <c r="B104" s="218"/>
      <c r="C104" s="213"/>
      <c r="D104" s="215"/>
      <c r="E104" s="21" t="s">
        <v>16</v>
      </c>
      <c r="F104" s="22">
        <f>AVERAGE(F102:F103)</f>
        <v>0</v>
      </c>
      <c r="G104" s="22">
        <f t="shared" ref="G104:P104" si="32">AVERAGE(G102:G103)</f>
        <v>0</v>
      </c>
      <c r="H104" s="22">
        <f t="shared" si="32"/>
        <v>0</v>
      </c>
      <c r="I104" s="22">
        <f t="shared" si="32"/>
        <v>0</v>
      </c>
      <c r="J104" s="22">
        <f t="shared" si="32"/>
        <v>0</v>
      </c>
      <c r="K104" s="22">
        <f t="shared" si="32"/>
        <v>0</v>
      </c>
      <c r="L104" s="22">
        <f t="shared" si="32"/>
        <v>0</v>
      </c>
      <c r="M104" s="22">
        <f t="shared" si="32"/>
        <v>0</v>
      </c>
      <c r="N104" s="22">
        <f>'12C Sem avr (SS)'!$H$36</f>
        <v>0</v>
      </c>
      <c r="O104" s="22">
        <f t="shared" si="32"/>
        <v>0</v>
      </c>
      <c r="P104" s="22">
        <f t="shared" si="32"/>
        <v>0</v>
      </c>
      <c r="Q104" s="5"/>
      <c r="R104" s="5"/>
      <c r="S104" s="5"/>
      <c r="T104" s="5"/>
      <c r="U104" s="5"/>
    </row>
    <row r="105" spans="1:21" ht="20.100000000000001" customHeight="1" thickBot="1" x14ac:dyDescent="0.3">
      <c r="A105" s="249">
        <v>34</v>
      </c>
      <c r="B105" s="218"/>
      <c r="C105" s="213"/>
      <c r="D105" s="215"/>
      <c r="E105" s="21" t="s">
        <v>21</v>
      </c>
      <c r="F105" s="22">
        <f>'12C (SS)Sem 1'!E37</f>
        <v>0</v>
      </c>
      <c r="G105" s="22">
        <f>'12C (SS)Sem 1'!F37</f>
        <v>0</v>
      </c>
      <c r="H105" s="22">
        <f>'12C (SS)Sem 1'!G37</f>
        <v>0</v>
      </c>
      <c r="I105" s="22">
        <f>'12C (SS)Sem 1'!H37</f>
        <v>0</v>
      </c>
      <c r="J105" s="22">
        <f>'12C (SS)Sem 1'!I37</f>
        <v>0</v>
      </c>
      <c r="K105" s="22">
        <f>'12C (SS)Sem 1'!J37</f>
        <v>0</v>
      </c>
      <c r="L105" s="22">
        <f>'12C (SS)Sem 1'!K37</f>
        <v>0</v>
      </c>
      <c r="M105" s="122">
        <f>'12C (SS)Sem 1'!L37</f>
        <v>0</v>
      </c>
      <c r="N105" s="80">
        <f>'12C (SS)Sem 1'!M37</f>
        <v>0</v>
      </c>
      <c r="O105" s="80">
        <f>'12C (SS)Sem 1'!N37</f>
        <v>0</v>
      </c>
      <c r="P105" s="80">
        <f>'12C (SS)Sem 1'!O37</f>
        <v>0</v>
      </c>
      <c r="Q105" s="5"/>
      <c r="R105" s="5"/>
      <c r="S105" s="5"/>
      <c r="T105" s="5"/>
      <c r="U105" s="5"/>
    </row>
    <row r="106" spans="1:21" ht="20.100000000000001" customHeight="1" thickBot="1" x14ac:dyDescent="0.3">
      <c r="A106" s="249"/>
      <c r="B106" s="218"/>
      <c r="C106" s="213"/>
      <c r="D106" s="215"/>
      <c r="E106" s="21" t="s">
        <v>22</v>
      </c>
      <c r="F106" s="22">
        <f>'12C (SS)Sem 2'!E37</f>
        <v>0</v>
      </c>
      <c r="G106" s="22">
        <f>'12C (SS)Sem 2'!F37</f>
        <v>0</v>
      </c>
      <c r="H106" s="22">
        <f>'12C (SS)Sem 2'!G37</f>
        <v>0</v>
      </c>
      <c r="I106" s="22">
        <f>'12C (SS)Sem 2'!H37</f>
        <v>0</v>
      </c>
      <c r="J106" s="22">
        <f>'12C (SS)Sem 2'!I37</f>
        <v>0</v>
      </c>
      <c r="K106" s="22">
        <f>'12C (SS)Sem 2'!J37</f>
        <v>0</v>
      </c>
      <c r="L106" s="22">
        <f>'12C (SS)Sem 2'!K37</f>
        <v>0</v>
      </c>
      <c r="M106" s="122">
        <f>'12C (SS)Sem 2'!L37</f>
        <v>0</v>
      </c>
      <c r="N106" s="80">
        <f>'12C (SS)Sem 2'!M37</f>
        <v>0</v>
      </c>
      <c r="O106" s="80">
        <f>'12C (SS)Sem 2'!N37</f>
        <v>0</v>
      </c>
      <c r="P106" s="80">
        <f>'12C (SS)Sem 2'!O37</f>
        <v>0</v>
      </c>
      <c r="Q106" s="5"/>
      <c r="R106" s="5"/>
      <c r="S106" s="5"/>
      <c r="T106" s="5"/>
      <c r="U106" s="5"/>
    </row>
    <row r="107" spans="1:21" ht="20.100000000000001" customHeight="1" thickBot="1" x14ac:dyDescent="0.3">
      <c r="A107" s="249"/>
      <c r="B107" s="218"/>
      <c r="C107" s="213"/>
      <c r="D107" s="215"/>
      <c r="E107" s="21" t="s">
        <v>16</v>
      </c>
      <c r="F107" s="22">
        <f>AVERAGE(F105:F106)</f>
        <v>0</v>
      </c>
      <c r="G107" s="22">
        <f t="shared" ref="G107:P107" si="33">AVERAGE(G105:G106)</f>
        <v>0</v>
      </c>
      <c r="H107" s="22">
        <f t="shared" si="33"/>
        <v>0</v>
      </c>
      <c r="I107" s="22">
        <f t="shared" si="33"/>
        <v>0</v>
      </c>
      <c r="J107" s="22">
        <f t="shared" si="33"/>
        <v>0</v>
      </c>
      <c r="K107" s="22">
        <f t="shared" si="33"/>
        <v>0</v>
      </c>
      <c r="L107" s="22">
        <f t="shared" si="33"/>
        <v>0</v>
      </c>
      <c r="M107" s="22">
        <f t="shared" si="33"/>
        <v>0</v>
      </c>
      <c r="N107" s="22">
        <f>'12C Sem avr (SS)'!$H$37</f>
        <v>0</v>
      </c>
      <c r="O107" s="22">
        <f t="shared" si="33"/>
        <v>0</v>
      </c>
      <c r="P107" s="22">
        <f t="shared" si="33"/>
        <v>0</v>
      </c>
      <c r="Q107" s="5"/>
      <c r="R107" s="5"/>
      <c r="S107" s="5"/>
      <c r="T107" s="5"/>
      <c r="U107" s="5"/>
    </row>
    <row r="108" spans="1:21" ht="20.100000000000001" customHeight="1" thickBot="1" x14ac:dyDescent="0.3">
      <c r="A108" s="249">
        <v>35</v>
      </c>
      <c r="B108" s="218"/>
      <c r="C108" s="213"/>
      <c r="D108" s="215"/>
      <c r="E108" s="21" t="s">
        <v>21</v>
      </c>
      <c r="F108" s="22">
        <f>'12C (SS)Sem 1'!E38</f>
        <v>0</v>
      </c>
      <c r="G108" s="22">
        <f>'12C (SS)Sem 1'!F38</f>
        <v>0</v>
      </c>
      <c r="H108" s="22">
        <f>'12C (SS)Sem 1'!G38</f>
        <v>0</v>
      </c>
      <c r="I108" s="22">
        <f>'12C (SS)Sem 1'!H38</f>
        <v>0</v>
      </c>
      <c r="J108" s="22">
        <f>'12C (SS)Sem 1'!I38</f>
        <v>0</v>
      </c>
      <c r="K108" s="22">
        <f>'12C (SS)Sem 1'!J38</f>
        <v>0</v>
      </c>
      <c r="L108" s="22">
        <f>'12C (SS)Sem 1'!K38</f>
        <v>0</v>
      </c>
      <c r="M108" s="122">
        <f>'12C (SS)Sem 1'!L38</f>
        <v>0</v>
      </c>
      <c r="N108" s="80">
        <f>'12C (SS)Sem 1'!M38</f>
        <v>0</v>
      </c>
      <c r="O108" s="80">
        <f>'12C (SS)Sem 1'!N38</f>
        <v>0</v>
      </c>
      <c r="P108" s="80">
        <f>'12C (SS)Sem 1'!O38</f>
        <v>0</v>
      </c>
      <c r="Q108" s="5"/>
      <c r="R108" s="5"/>
      <c r="S108" s="5"/>
      <c r="T108" s="5"/>
      <c r="U108" s="5"/>
    </row>
    <row r="109" spans="1:21" ht="20.100000000000001" customHeight="1" thickBot="1" x14ac:dyDescent="0.3">
      <c r="A109" s="249"/>
      <c r="B109" s="218"/>
      <c r="C109" s="213"/>
      <c r="D109" s="215"/>
      <c r="E109" s="21" t="s">
        <v>22</v>
      </c>
      <c r="F109" s="22">
        <f>'12C (SS)Sem 2'!E38</f>
        <v>0</v>
      </c>
      <c r="G109" s="22">
        <f>'12C (SS)Sem 2'!F38</f>
        <v>0</v>
      </c>
      <c r="H109" s="22">
        <f>'12C (SS)Sem 2'!G38</f>
        <v>0</v>
      </c>
      <c r="I109" s="22">
        <f>'12C (SS)Sem 2'!H38</f>
        <v>0</v>
      </c>
      <c r="J109" s="22">
        <f>'12C (SS)Sem 2'!I38</f>
        <v>0</v>
      </c>
      <c r="K109" s="22">
        <f>'12C (SS)Sem 2'!J38</f>
        <v>0</v>
      </c>
      <c r="L109" s="22">
        <f>'12C (SS)Sem 2'!K38</f>
        <v>0</v>
      </c>
      <c r="M109" s="122">
        <f>'12C (SS)Sem 2'!L38</f>
        <v>0</v>
      </c>
      <c r="N109" s="80">
        <f>'12C (SS)Sem 2'!M38</f>
        <v>0</v>
      </c>
      <c r="O109" s="80">
        <f>'12C (SS)Sem 2'!N38</f>
        <v>0</v>
      </c>
      <c r="P109" s="80">
        <f>'12C (SS)Sem 2'!O38</f>
        <v>0</v>
      </c>
      <c r="Q109" s="5"/>
      <c r="R109" s="5"/>
      <c r="S109" s="5"/>
      <c r="T109" s="5"/>
      <c r="U109" s="5"/>
    </row>
    <row r="110" spans="1:21" ht="20.100000000000001" customHeight="1" thickBot="1" x14ac:dyDescent="0.3">
      <c r="A110" s="249"/>
      <c r="B110" s="218"/>
      <c r="C110" s="213"/>
      <c r="D110" s="215"/>
      <c r="E110" s="21" t="s">
        <v>16</v>
      </c>
      <c r="F110" s="22">
        <f>AVERAGE(F108:F109)</f>
        <v>0</v>
      </c>
      <c r="G110" s="22">
        <f t="shared" ref="G110:P110" si="34">AVERAGE(G108:G109)</f>
        <v>0</v>
      </c>
      <c r="H110" s="22">
        <f t="shared" si="34"/>
        <v>0</v>
      </c>
      <c r="I110" s="22">
        <f t="shared" si="34"/>
        <v>0</v>
      </c>
      <c r="J110" s="22">
        <f t="shared" si="34"/>
        <v>0</v>
      </c>
      <c r="K110" s="22">
        <f t="shared" si="34"/>
        <v>0</v>
      </c>
      <c r="L110" s="22">
        <f t="shared" si="34"/>
        <v>0</v>
      </c>
      <c r="M110" s="22">
        <f t="shared" si="34"/>
        <v>0</v>
      </c>
      <c r="N110" s="22">
        <f>'12C Sem avr (SS)'!$H$38</f>
        <v>0</v>
      </c>
      <c r="O110" s="22">
        <f t="shared" si="34"/>
        <v>0</v>
      </c>
      <c r="P110" s="22">
        <f t="shared" si="34"/>
        <v>0</v>
      </c>
      <c r="Q110" s="5"/>
      <c r="R110" s="5"/>
      <c r="S110" s="5"/>
      <c r="T110" s="5"/>
      <c r="U110" s="5"/>
    </row>
    <row r="111" spans="1:21" ht="20.100000000000001" customHeight="1" thickBot="1" x14ac:dyDescent="0.3">
      <c r="A111" s="249">
        <v>36</v>
      </c>
      <c r="B111" s="218"/>
      <c r="C111" s="213"/>
      <c r="D111" s="215"/>
      <c r="E111" s="21" t="s">
        <v>21</v>
      </c>
      <c r="F111" s="22">
        <f>'12C (SS)Sem 1'!E39</f>
        <v>0</v>
      </c>
      <c r="G111" s="22">
        <f>'12C (SS)Sem 1'!F39</f>
        <v>0</v>
      </c>
      <c r="H111" s="23">
        <f>'12C (SS)Sem 1'!G39</f>
        <v>0</v>
      </c>
      <c r="I111" s="22">
        <f>'12C (SS)Sem 1'!H39</f>
        <v>0</v>
      </c>
      <c r="J111" s="22">
        <f>'12C (SS)Sem 1'!I39</f>
        <v>0</v>
      </c>
      <c r="K111" s="22">
        <f>'12C (SS)Sem 1'!J39</f>
        <v>0</v>
      </c>
      <c r="L111" s="22">
        <f>'12C (SS)Sem 1'!K39</f>
        <v>0</v>
      </c>
      <c r="M111" s="122">
        <f>'12C (SS)Sem 1'!L39</f>
        <v>0</v>
      </c>
      <c r="N111" s="80">
        <f>'12C (SS)Sem 1'!M39</f>
        <v>0</v>
      </c>
      <c r="O111" s="80">
        <f>'12C (SS)Sem 1'!N39</f>
        <v>0</v>
      </c>
      <c r="P111" s="80">
        <f>'12C (SS)Sem 1'!O39</f>
        <v>0</v>
      </c>
      <c r="Q111" s="5"/>
      <c r="R111" s="5"/>
      <c r="S111" s="5"/>
      <c r="T111" s="5"/>
      <c r="U111" s="5"/>
    </row>
    <row r="112" spans="1:21" ht="20.100000000000001" customHeight="1" thickBot="1" x14ac:dyDescent="0.3">
      <c r="A112" s="249"/>
      <c r="B112" s="218"/>
      <c r="C112" s="213"/>
      <c r="D112" s="215"/>
      <c r="E112" s="21" t="s">
        <v>22</v>
      </c>
      <c r="F112" s="22">
        <f>'12C (SS)Sem 2'!E39</f>
        <v>0</v>
      </c>
      <c r="G112" s="22">
        <f>'12C (SS)Sem 2'!F39</f>
        <v>0</v>
      </c>
      <c r="H112" s="23">
        <f>'12C (SS)Sem 2'!G39</f>
        <v>0</v>
      </c>
      <c r="I112" s="22">
        <f>'12C (SS)Sem 2'!H39</f>
        <v>0</v>
      </c>
      <c r="J112" s="22">
        <f>'12C (SS)Sem 2'!I39</f>
        <v>0</v>
      </c>
      <c r="K112" s="22">
        <f>'12C (SS)Sem 2'!J39</f>
        <v>0</v>
      </c>
      <c r="L112" s="22">
        <f>'12C (SS)Sem 2'!K39</f>
        <v>0</v>
      </c>
      <c r="M112" s="122">
        <f>'12C (SS)Sem 2'!L39</f>
        <v>0</v>
      </c>
      <c r="N112" s="80">
        <f>'12C (SS)Sem 2'!M39</f>
        <v>0</v>
      </c>
      <c r="O112" s="80">
        <f>'12C (SS)Sem 2'!N39</f>
        <v>0</v>
      </c>
      <c r="P112" s="80">
        <f>'12C (SS)Sem 2'!O39</f>
        <v>0</v>
      </c>
      <c r="Q112" s="5"/>
      <c r="R112" s="5"/>
      <c r="S112" s="5"/>
      <c r="T112" s="5"/>
      <c r="U112" s="5"/>
    </row>
    <row r="113" spans="1:21" ht="20.100000000000001" customHeight="1" thickBot="1" x14ac:dyDescent="0.3">
      <c r="A113" s="249"/>
      <c r="B113" s="218"/>
      <c r="C113" s="213"/>
      <c r="D113" s="215"/>
      <c r="E113" s="21" t="s">
        <v>16</v>
      </c>
      <c r="F113" s="22">
        <f>AVERAGE(F111:F112)</f>
        <v>0</v>
      </c>
      <c r="G113" s="22">
        <f t="shared" ref="G113:P113" si="35">AVERAGE(G111:G112)</f>
        <v>0</v>
      </c>
      <c r="H113" s="22">
        <f t="shared" si="35"/>
        <v>0</v>
      </c>
      <c r="I113" s="22">
        <f t="shared" si="35"/>
        <v>0</v>
      </c>
      <c r="J113" s="22">
        <f t="shared" si="35"/>
        <v>0</v>
      </c>
      <c r="K113" s="22">
        <f t="shared" si="35"/>
        <v>0</v>
      </c>
      <c r="L113" s="22">
        <f t="shared" si="35"/>
        <v>0</v>
      </c>
      <c r="M113" s="22">
        <f t="shared" si="35"/>
        <v>0</v>
      </c>
      <c r="N113" s="22">
        <f>'12C Sem avr (SS)'!$H$39</f>
        <v>0</v>
      </c>
      <c r="O113" s="22">
        <f t="shared" si="35"/>
        <v>0</v>
      </c>
      <c r="P113" s="22">
        <f t="shared" si="35"/>
        <v>0</v>
      </c>
      <c r="Q113" s="5"/>
      <c r="R113" s="5"/>
      <c r="S113" s="5"/>
      <c r="T113" s="5"/>
      <c r="U113" s="5"/>
    </row>
    <row r="114" spans="1:21" ht="20.100000000000001" customHeight="1" thickBot="1" x14ac:dyDescent="0.3">
      <c r="A114" s="247">
        <v>37</v>
      </c>
      <c r="B114" s="218"/>
      <c r="C114" s="213"/>
      <c r="D114" s="215"/>
      <c r="E114" s="21" t="s">
        <v>21</v>
      </c>
      <c r="F114" s="22">
        <f>'12C (SS)Sem 1'!E40</f>
        <v>0</v>
      </c>
      <c r="G114" s="22">
        <f>'12C (SS)Sem 1'!F40</f>
        <v>0</v>
      </c>
      <c r="H114" s="22">
        <f>'12C (SS)Sem 1'!G40</f>
        <v>0</v>
      </c>
      <c r="I114" s="22">
        <f>'12C (SS)Sem 1'!H40</f>
        <v>0</v>
      </c>
      <c r="J114" s="22">
        <f>'12C (SS)Sem 1'!I40</f>
        <v>0</v>
      </c>
      <c r="K114" s="22">
        <f>'12C (SS)Sem 1'!J40</f>
        <v>0</v>
      </c>
      <c r="L114" s="22">
        <f>'12C (SS)Sem 1'!K40</f>
        <v>0</v>
      </c>
      <c r="M114" s="122">
        <f>'12C (SS)Sem 1'!L40</f>
        <v>0</v>
      </c>
      <c r="N114" s="80">
        <f>'12C (SS)Sem 1'!M40</f>
        <v>0</v>
      </c>
      <c r="O114" s="80">
        <f>'12C (SS)Sem 1'!N40</f>
        <v>0</v>
      </c>
      <c r="P114" s="80">
        <f>'12C (SS)Sem 1'!O40</f>
        <v>0</v>
      </c>
      <c r="Q114" s="5"/>
      <c r="R114" s="5"/>
      <c r="S114" s="5"/>
      <c r="T114" s="5"/>
      <c r="U114" s="5"/>
    </row>
    <row r="115" spans="1:21" ht="20.100000000000001" customHeight="1" thickBot="1" x14ac:dyDescent="0.3">
      <c r="A115" s="247"/>
      <c r="B115" s="218"/>
      <c r="C115" s="213"/>
      <c r="D115" s="215"/>
      <c r="E115" s="21" t="s">
        <v>22</v>
      </c>
      <c r="F115" s="22">
        <f>'12C (SS)Sem 2'!E40</f>
        <v>0</v>
      </c>
      <c r="G115" s="22">
        <f>'12C (SS)Sem 2'!F40</f>
        <v>0</v>
      </c>
      <c r="H115" s="22">
        <f>'12C (SS)Sem 2'!G40</f>
        <v>0</v>
      </c>
      <c r="I115" s="22">
        <f>'12C (SS)Sem 2'!H40</f>
        <v>0</v>
      </c>
      <c r="J115" s="22">
        <f>'12C (SS)Sem 2'!I40</f>
        <v>0</v>
      </c>
      <c r="K115" s="22">
        <f>'12C (SS)Sem 2'!J40</f>
        <v>0</v>
      </c>
      <c r="L115" s="22">
        <f>'12C (SS)Sem 2'!K40</f>
        <v>0</v>
      </c>
      <c r="M115" s="122">
        <f>'12C (SS)Sem 2'!L40</f>
        <v>0</v>
      </c>
      <c r="N115" s="80">
        <f>'12C (SS)Sem 2'!M40</f>
        <v>0</v>
      </c>
      <c r="O115" s="80">
        <f>'12C (SS)Sem 2'!N40</f>
        <v>0</v>
      </c>
      <c r="P115" s="80">
        <f>'12C (SS)Sem 2'!O40</f>
        <v>0</v>
      </c>
      <c r="Q115" s="5"/>
      <c r="R115" s="5"/>
      <c r="S115" s="5"/>
      <c r="T115" s="5"/>
      <c r="U115" s="5"/>
    </row>
    <row r="116" spans="1:21" ht="20.100000000000001" customHeight="1" thickBot="1" x14ac:dyDescent="0.3">
      <c r="A116" s="247"/>
      <c r="B116" s="218"/>
      <c r="C116" s="213"/>
      <c r="D116" s="215"/>
      <c r="E116" s="21" t="s">
        <v>16</v>
      </c>
      <c r="F116" s="22">
        <f>AVERAGE(F114:F115)</f>
        <v>0</v>
      </c>
      <c r="G116" s="22">
        <f t="shared" ref="G116:P116" si="36">AVERAGE(G114:G115)</f>
        <v>0</v>
      </c>
      <c r="H116" s="22">
        <f t="shared" si="36"/>
        <v>0</v>
      </c>
      <c r="I116" s="22">
        <f t="shared" si="36"/>
        <v>0</v>
      </c>
      <c r="J116" s="22">
        <f t="shared" si="36"/>
        <v>0</v>
      </c>
      <c r="K116" s="22">
        <f t="shared" si="36"/>
        <v>0</v>
      </c>
      <c r="L116" s="22">
        <f t="shared" si="36"/>
        <v>0</v>
      </c>
      <c r="M116" s="22">
        <f t="shared" si="36"/>
        <v>0</v>
      </c>
      <c r="N116" s="22">
        <f>'12C Sem avr (SS)'!$H$40</f>
        <v>0</v>
      </c>
      <c r="O116" s="22">
        <f t="shared" si="36"/>
        <v>0</v>
      </c>
      <c r="P116" s="22">
        <f t="shared" si="36"/>
        <v>0</v>
      </c>
      <c r="Q116" s="5"/>
      <c r="R116" s="5"/>
      <c r="S116" s="5"/>
      <c r="T116" s="5"/>
      <c r="U116" s="5"/>
    </row>
    <row r="117" spans="1:21" ht="20.100000000000001" customHeight="1" thickBot="1" x14ac:dyDescent="0.3">
      <c r="A117" s="247">
        <v>38</v>
      </c>
      <c r="B117" s="218"/>
      <c r="C117" s="213"/>
      <c r="D117" s="215"/>
      <c r="E117" s="21" t="s">
        <v>21</v>
      </c>
      <c r="F117" s="22">
        <f>'12C (SS)Sem 1'!E41</f>
        <v>0</v>
      </c>
      <c r="G117" s="22">
        <f>'12C (SS)Sem 1'!F41</f>
        <v>0</v>
      </c>
      <c r="H117" s="22">
        <f>'12C (SS)Sem 1'!G41</f>
        <v>0</v>
      </c>
      <c r="I117" s="22">
        <f>'12C (SS)Sem 1'!H41</f>
        <v>0</v>
      </c>
      <c r="J117" s="22">
        <f>'12C (SS)Sem 1'!I41</f>
        <v>0</v>
      </c>
      <c r="K117" s="22">
        <f>'12C (SS)Sem 1'!J41</f>
        <v>0</v>
      </c>
      <c r="L117" s="22">
        <f>'12C (SS)Sem 1'!K41</f>
        <v>0</v>
      </c>
      <c r="M117" s="122">
        <f>'12C (SS)Sem 1'!L41</f>
        <v>0</v>
      </c>
      <c r="N117" s="80">
        <f>'12C (SS)Sem 1'!M41</f>
        <v>0</v>
      </c>
      <c r="O117" s="80">
        <f>'12C (SS)Sem 1'!N41</f>
        <v>0</v>
      </c>
      <c r="P117" s="80">
        <f>'12C (SS)Sem 1'!O41</f>
        <v>0</v>
      </c>
      <c r="Q117" s="5"/>
      <c r="R117" s="5"/>
      <c r="S117" s="5"/>
      <c r="T117" s="5"/>
      <c r="U117" s="5"/>
    </row>
    <row r="118" spans="1:21" ht="20.100000000000001" customHeight="1" thickBot="1" x14ac:dyDescent="0.3">
      <c r="A118" s="247"/>
      <c r="B118" s="218"/>
      <c r="C118" s="213"/>
      <c r="D118" s="215"/>
      <c r="E118" s="21" t="s">
        <v>22</v>
      </c>
      <c r="F118" s="22">
        <f>'12C (SS)Sem 2'!E41</f>
        <v>0</v>
      </c>
      <c r="G118" s="22">
        <f>'12C (SS)Sem 2'!F41</f>
        <v>0</v>
      </c>
      <c r="H118" s="22">
        <f>'12C (SS)Sem 2'!G41</f>
        <v>0</v>
      </c>
      <c r="I118" s="22">
        <f>'12C (SS)Sem 2'!H41</f>
        <v>0</v>
      </c>
      <c r="J118" s="22">
        <f>'12C (SS)Sem 2'!I41</f>
        <v>0</v>
      </c>
      <c r="K118" s="22">
        <f>'12C (SS)Sem 2'!J41</f>
        <v>0</v>
      </c>
      <c r="L118" s="22">
        <f>'12C (SS)Sem 2'!K41</f>
        <v>0</v>
      </c>
      <c r="M118" s="122">
        <f>'12C (SS)Sem 2'!L41</f>
        <v>0</v>
      </c>
      <c r="N118" s="80">
        <f>'12C (SS)Sem 2'!M41</f>
        <v>0</v>
      </c>
      <c r="O118" s="80">
        <f>'12C (SS)Sem 2'!N41</f>
        <v>0</v>
      </c>
      <c r="P118" s="80">
        <f>'12C (SS)Sem 2'!O41</f>
        <v>0</v>
      </c>
      <c r="Q118" s="5"/>
      <c r="R118" s="5"/>
      <c r="S118" s="5"/>
      <c r="T118" s="5"/>
      <c r="U118" s="5"/>
    </row>
    <row r="119" spans="1:21" ht="20.100000000000001" customHeight="1" x14ac:dyDescent="0.25">
      <c r="A119" s="235"/>
      <c r="B119" s="219"/>
      <c r="C119" s="214"/>
      <c r="D119" s="216"/>
      <c r="E119" s="82" t="s">
        <v>16</v>
      </c>
      <c r="F119" s="83">
        <f>AVERAGE(F117:F118)</f>
        <v>0</v>
      </c>
      <c r="G119" s="83">
        <f t="shared" ref="G119:P119" si="37">AVERAGE(G117:G118)</f>
        <v>0</v>
      </c>
      <c r="H119" s="83">
        <f t="shared" si="37"/>
        <v>0</v>
      </c>
      <c r="I119" s="83">
        <f t="shared" si="37"/>
        <v>0</v>
      </c>
      <c r="J119" s="83">
        <f t="shared" si="37"/>
        <v>0</v>
      </c>
      <c r="K119" s="83">
        <f t="shared" si="37"/>
        <v>0</v>
      </c>
      <c r="L119" s="83">
        <f t="shared" si="37"/>
        <v>0</v>
      </c>
      <c r="M119" s="83">
        <f t="shared" si="37"/>
        <v>0</v>
      </c>
      <c r="N119" s="83">
        <f>'12C Sem avr (SS)'!$H$41</f>
        <v>0</v>
      </c>
      <c r="O119" s="83">
        <f t="shared" si="37"/>
        <v>0</v>
      </c>
      <c r="P119" s="83">
        <f t="shared" si="37"/>
        <v>0</v>
      </c>
      <c r="Q119" s="5"/>
      <c r="R119" s="5"/>
      <c r="S119" s="5"/>
      <c r="T119" s="5"/>
      <c r="U119" s="5"/>
    </row>
    <row r="120" spans="1:21" ht="20.100000000000001" customHeight="1" x14ac:dyDescent="0.25">
      <c r="A120" s="278">
        <v>39</v>
      </c>
      <c r="B120" s="279"/>
      <c r="C120" s="278"/>
      <c r="D120" s="278"/>
      <c r="E120" s="21" t="s">
        <v>21</v>
      </c>
      <c r="F120" s="11">
        <f>'12C (SS)Sem 1'!E42</f>
        <v>0</v>
      </c>
      <c r="G120" s="11">
        <f>'12C (SS)Sem 1'!F42</f>
        <v>0</v>
      </c>
      <c r="H120" s="11">
        <f>'12C (SS)Sem 1'!G42</f>
        <v>0</v>
      </c>
      <c r="I120" s="11">
        <f>'12C (SS)Sem 1'!H42</f>
        <v>0</v>
      </c>
      <c r="J120" s="11">
        <f>'12C (SS)Sem 1'!I42</f>
        <v>0</v>
      </c>
      <c r="K120" s="11">
        <f>'12C (SS)Sem 1'!J42</f>
        <v>0</v>
      </c>
      <c r="L120" s="11">
        <f>'12C (SS)Sem 1'!K42</f>
        <v>0</v>
      </c>
      <c r="M120" s="126">
        <f>'12C (SS)Sem 1'!L42</f>
        <v>0</v>
      </c>
      <c r="N120" s="11">
        <f>'12C (SS)Sem 1'!M42</f>
        <v>0</v>
      </c>
      <c r="O120" s="11">
        <f>'12C (SS)Sem 1'!N42</f>
        <v>0</v>
      </c>
      <c r="P120" s="11">
        <f>'12C (SS)Sem 1'!O42</f>
        <v>0</v>
      </c>
      <c r="Q120" s="5"/>
      <c r="R120" s="5"/>
      <c r="S120" s="5"/>
      <c r="T120" s="5"/>
      <c r="U120" s="5"/>
    </row>
    <row r="121" spans="1:21" ht="20.100000000000001" customHeight="1" x14ac:dyDescent="0.25">
      <c r="A121" s="278"/>
      <c r="B121" s="279"/>
      <c r="C121" s="278"/>
      <c r="D121" s="278"/>
      <c r="E121" s="21" t="s">
        <v>22</v>
      </c>
      <c r="F121" s="11">
        <f>'12C (SS)Sem 2'!E42</f>
        <v>0</v>
      </c>
      <c r="G121" s="11">
        <f>'12C (SS)Sem 2'!F42</f>
        <v>0</v>
      </c>
      <c r="H121" s="11">
        <f>'12C (SS)Sem 2'!G42</f>
        <v>0</v>
      </c>
      <c r="I121" s="11">
        <f>'12C (SS)Sem 2'!H42</f>
        <v>0</v>
      </c>
      <c r="J121" s="11">
        <f>'12C (SS)Sem 2'!I42</f>
        <v>0</v>
      </c>
      <c r="K121" s="11">
        <f>'12C (SS)Sem 2'!J42</f>
        <v>0</v>
      </c>
      <c r="L121" s="11">
        <f>'12C (SS)Sem 2'!K42</f>
        <v>0</v>
      </c>
      <c r="M121" s="126">
        <f>'12C (SS)Sem 2'!L42</f>
        <v>0</v>
      </c>
      <c r="N121" s="11">
        <f>'12C (SS)Sem 2'!M42</f>
        <v>0</v>
      </c>
      <c r="O121" s="11">
        <f>'12C (SS)Sem 2'!N42</f>
        <v>0</v>
      </c>
      <c r="P121" s="11">
        <f>'12C (SS)Sem 2'!O42</f>
        <v>0</v>
      </c>
      <c r="Q121" s="5"/>
      <c r="R121" s="5"/>
      <c r="S121" s="5"/>
      <c r="T121" s="5"/>
      <c r="U121" s="5"/>
    </row>
    <row r="122" spans="1:21" ht="20.100000000000001" customHeight="1" x14ac:dyDescent="0.25">
      <c r="A122" s="278"/>
      <c r="B122" s="279"/>
      <c r="C122" s="278"/>
      <c r="D122" s="278"/>
      <c r="E122" s="82" t="s">
        <v>16</v>
      </c>
      <c r="F122" s="11">
        <f>AVERAGE(F120:F121)</f>
        <v>0</v>
      </c>
      <c r="G122" s="11">
        <f t="shared" ref="G122:P122" si="38">AVERAGE(G120:G121)</f>
        <v>0</v>
      </c>
      <c r="H122" s="11">
        <f t="shared" si="38"/>
        <v>0</v>
      </c>
      <c r="I122" s="11">
        <f t="shared" si="38"/>
        <v>0</v>
      </c>
      <c r="J122" s="11">
        <f t="shared" si="38"/>
        <v>0</v>
      </c>
      <c r="K122" s="11">
        <f t="shared" si="38"/>
        <v>0</v>
      </c>
      <c r="L122" s="11">
        <f t="shared" si="38"/>
        <v>0</v>
      </c>
      <c r="M122" s="11">
        <f t="shared" si="38"/>
        <v>0</v>
      </c>
      <c r="N122" s="11">
        <f>'12C Sem avr (SS)'!$H$42</f>
        <v>0</v>
      </c>
      <c r="O122" s="11">
        <f t="shared" si="38"/>
        <v>0</v>
      </c>
      <c r="P122" s="11">
        <f t="shared" si="38"/>
        <v>0</v>
      </c>
      <c r="Q122" s="5"/>
      <c r="R122" s="5"/>
      <c r="S122" s="5"/>
      <c r="T122" s="5"/>
      <c r="U122" s="5"/>
    </row>
    <row r="123" spans="1:21" ht="20.100000000000001" customHeight="1" x14ac:dyDescent="0.25">
      <c r="A123" s="278">
        <v>40</v>
      </c>
      <c r="B123" s="281"/>
      <c r="C123" s="278"/>
      <c r="D123" s="278"/>
      <c r="E123" s="21" t="s">
        <v>21</v>
      </c>
      <c r="F123" s="11">
        <f>'12C (SS)Sem 1'!E43</f>
        <v>0</v>
      </c>
      <c r="G123" s="11">
        <f>'12C (SS)Sem 1'!F43</f>
        <v>0</v>
      </c>
      <c r="H123" s="11">
        <f>'12C (SS)Sem 1'!G43</f>
        <v>0</v>
      </c>
      <c r="I123" s="11">
        <f>'12C (SS)Sem 1'!H43</f>
        <v>0</v>
      </c>
      <c r="J123" s="11">
        <f>'12C (SS)Sem 1'!I43</f>
        <v>0</v>
      </c>
      <c r="K123" s="11">
        <f>'12C (SS)Sem 1'!J43</f>
        <v>0</v>
      </c>
      <c r="L123" s="11">
        <f>'12C (SS)Sem 1'!K43</f>
        <v>0</v>
      </c>
      <c r="M123" s="126">
        <f>'12C (SS)Sem 1'!L43</f>
        <v>0</v>
      </c>
      <c r="N123" s="11">
        <f>'12C (SS)Sem 1'!M43</f>
        <v>0</v>
      </c>
      <c r="O123" s="11">
        <f>'12C (SS)Sem 1'!N43</f>
        <v>0</v>
      </c>
      <c r="P123" s="11">
        <f>'12C (SS)Sem 1'!O43</f>
        <v>0</v>
      </c>
      <c r="Q123" s="5"/>
      <c r="R123" s="5"/>
      <c r="S123" s="5"/>
      <c r="T123" s="5"/>
      <c r="U123" s="5"/>
    </row>
    <row r="124" spans="1:21" ht="20.100000000000001" customHeight="1" x14ac:dyDescent="0.25">
      <c r="A124" s="278"/>
      <c r="B124" s="281"/>
      <c r="C124" s="278"/>
      <c r="D124" s="278"/>
      <c r="E124" s="21" t="s">
        <v>22</v>
      </c>
      <c r="F124" s="11">
        <f>'12C (SS)Sem 2'!E43</f>
        <v>0</v>
      </c>
      <c r="G124" s="11">
        <f>'12C (SS)Sem 2'!F43</f>
        <v>0</v>
      </c>
      <c r="H124" s="11">
        <f>'12C (SS)Sem 2'!G43</f>
        <v>0</v>
      </c>
      <c r="I124" s="11">
        <f>'12C (SS)Sem 2'!H43</f>
        <v>0</v>
      </c>
      <c r="J124" s="11">
        <f>'12C (SS)Sem 2'!I43</f>
        <v>0</v>
      </c>
      <c r="K124" s="11">
        <f>'12C (SS)Sem 2'!J43</f>
        <v>0</v>
      </c>
      <c r="L124" s="11">
        <f>'12C (SS)Sem 2'!K43</f>
        <v>0</v>
      </c>
      <c r="M124" s="126">
        <f>'12C (SS)Sem 2'!L43</f>
        <v>0</v>
      </c>
      <c r="N124" s="11">
        <f>'12C (SS)Sem 2'!M43</f>
        <v>0</v>
      </c>
      <c r="O124" s="11">
        <f>'12C (SS)Sem 2'!N43</f>
        <v>0</v>
      </c>
      <c r="P124" s="11">
        <f>'12C (SS)Sem 2'!O43</f>
        <v>0</v>
      </c>
      <c r="Q124" s="5"/>
      <c r="R124" s="5"/>
      <c r="S124" s="5"/>
      <c r="T124" s="5"/>
      <c r="U124" s="5"/>
    </row>
    <row r="125" spans="1:21" ht="20.100000000000001" customHeight="1" x14ac:dyDescent="0.25">
      <c r="A125" s="278"/>
      <c r="B125" s="281"/>
      <c r="C125" s="278"/>
      <c r="D125" s="278"/>
      <c r="E125" s="82" t="s">
        <v>16</v>
      </c>
      <c r="F125" s="11">
        <f>AVERAGE(F123:F124)</f>
        <v>0</v>
      </c>
      <c r="G125" s="11">
        <f t="shared" ref="G125:P125" si="39">AVERAGE(G123:G124)</f>
        <v>0</v>
      </c>
      <c r="H125" s="11">
        <f t="shared" si="39"/>
        <v>0</v>
      </c>
      <c r="I125" s="11">
        <f t="shared" si="39"/>
        <v>0</v>
      </c>
      <c r="J125" s="11">
        <f t="shared" si="39"/>
        <v>0</v>
      </c>
      <c r="K125" s="11">
        <f t="shared" si="39"/>
        <v>0</v>
      </c>
      <c r="L125" s="11">
        <f t="shared" si="39"/>
        <v>0</v>
      </c>
      <c r="M125" s="11">
        <f t="shared" si="39"/>
        <v>0</v>
      </c>
      <c r="N125" s="11">
        <f>'12C Sem avr (SS)'!$H$43</f>
        <v>0</v>
      </c>
      <c r="O125" s="11">
        <f t="shared" si="39"/>
        <v>0</v>
      </c>
      <c r="P125" s="11">
        <f t="shared" si="39"/>
        <v>0</v>
      </c>
      <c r="Q125" s="5"/>
      <c r="R125" s="5"/>
      <c r="S125" s="5"/>
      <c r="T125" s="5"/>
      <c r="U125" s="5"/>
    </row>
    <row r="126" spans="1:21" ht="20.100000000000001" customHeight="1" x14ac:dyDescent="0.25">
      <c r="A126" s="278">
        <v>41</v>
      </c>
      <c r="B126" s="281"/>
      <c r="C126" s="278"/>
      <c r="D126" s="278"/>
      <c r="E126" s="21" t="s">
        <v>21</v>
      </c>
      <c r="F126" s="11">
        <f>'12C (SS)Sem 1'!E44</f>
        <v>0</v>
      </c>
      <c r="G126" s="11">
        <f>'12C (SS)Sem 1'!F44</f>
        <v>0</v>
      </c>
      <c r="H126" s="11">
        <f>'12C (SS)Sem 1'!G44</f>
        <v>0</v>
      </c>
      <c r="I126" s="11">
        <f>'12C (SS)Sem 1'!H44</f>
        <v>0</v>
      </c>
      <c r="J126" s="11">
        <f>'12C (SS)Sem 1'!I44</f>
        <v>0</v>
      </c>
      <c r="K126" s="11">
        <f>'12C (SS)Sem 1'!J44</f>
        <v>0</v>
      </c>
      <c r="L126" s="11">
        <f>'12C (SS)Sem 1'!K44</f>
        <v>0</v>
      </c>
      <c r="M126" s="126">
        <f>'12C (SS)Sem 1'!L44</f>
        <v>0</v>
      </c>
      <c r="N126" s="11">
        <f>'12C (SS)Sem 1'!M44</f>
        <v>0</v>
      </c>
      <c r="O126" s="11">
        <f>'12C (SS)Sem 1'!N44</f>
        <v>0</v>
      </c>
      <c r="P126" s="11">
        <f>'12C (SS)Sem 1'!O44</f>
        <v>0</v>
      </c>
      <c r="Q126" s="5"/>
      <c r="R126" s="5"/>
      <c r="S126" s="5"/>
      <c r="T126" s="5"/>
      <c r="U126" s="5"/>
    </row>
    <row r="127" spans="1:21" ht="20.100000000000001" customHeight="1" x14ac:dyDescent="0.25">
      <c r="A127" s="278"/>
      <c r="B127" s="281"/>
      <c r="C127" s="278"/>
      <c r="D127" s="278"/>
      <c r="E127" s="21" t="s">
        <v>22</v>
      </c>
      <c r="F127" s="11">
        <f>'12C (SS)Sem 2'!E44</f>
        <v>0</v>
      </c>
      <c r="G127" s="11">
        <f>'12C (SS)Sem 2'!F44</f>
        <v>0</v>
      </c>
      <c r="H127" s="11">
        <f>'12C (SS)Sem 2'!G44</f>
        <v>0</v>
      </c>
      <c r="I127" s="11">
        <f>'12C (SS)Sem 2'!H44</f>
        <v>0</v>
      </c>
      <c r="J127" s="11">
        <f>'12C (SS)Sem 2'!I44</f>
        <v>0</v>
      </c>
      <c r="K127" s="11">
        <f>'12C (SS)Sem 2'!J44</f>
        <v>0</v>
      </c>
      <c r="L127" s="11">
        <f>'12C (SS)Sem 2'!K44</f>
        <v>0</v>
      </c>
      <c r="M127" s="126">
        <f>'12C (SS)Sem 2'!L44</f>
        <v>0</v>
      </c>
      <c r="N127" s="11">
        <f>'12C (SS)Sem 2'!M44</f>
        <v>0</v>
      </c>
      <c r="O127" s="11">
        <f>'12C (SS)Sem 2'!N44</f>
        <v>0</v>
      </c>
      <c r="P127" s="11">
        <f>'12C (SS)Sem 2'!O44</f>
        <v>0</v>
      </c>
      <c r="Q127" s="5"/>
      <c r="R127" s="5"/>
      <c r="S127" s="5"/>
      <c r="T127" s="5"/>
      <c r="U127" s="5"/>
    </row>
    <row r="128" spans="1:21" ht="20.100000000000001" customHeight="1" x14ac:dyDescent="0.25">
      <c r="A128" s="278"/>
      <c r="B128" s="281"/>
      <c r="C128" s="278"/>
      <c r="D128" s="278"/>
      <c r="E128" s="82" t="s">
        <v>16</v>
      </c>
      <c r="F128" s="11">
        <f>AVERAGE(F126:F127)</f>
        <v>0</v>
      </c>
      <c r="G128" s="11">
        <f t="shared" ref="G128:P128" si="40">AVERAGE(G126:G127)</f>
        <v>0</v>
      </c>
      <c r="H128" s="11">
        <f t="shared" si="40"/>
        <v>0</v>
      </c>
      <c r="I128" s="11">
        <f t="shared" si="40"/>
        <v>0</v>
      </c>
      <c r="J128" s="11">
        <f t="shared" si="40"/>
        <v>0</v>
      </c>
      <c r="K128" s="11">
        <f t="shared" si="40"/>
        <v>0</v>
      </c>
      <c r="L128" s="11">
        <f t="shared" si="40"/>
        <v>0</v>
      </c>
      <c r="M128" s="11">
        <f t="shared" si="40"/>
        <v>0</v>
      </c>
      <c r="N128" s="11">
        <f>'12C Sem avr (SS)'!$H$44</f>
        <v>0</v>
      </c>
      <c r="O128" s="11">
        <f t="shared" si="40"/>
        <v>0</v>
      </c>
      <c r="P128" s="11">
        <f t="shared" si="40"/>
        <v>0</v>
      </c>
      <c r="Q128" s="5"/>
      <c r="R128" s="5"/>
      <c r="S128" s="5"/>
      <c r="T128" s="5"/>
      <c r="U128" s="5"/>
    </row>
    <row r="129" spans="1:21" ht="20.100000000000001" customHeight="1" x14ac:dyDescent="0.25">
      <c r="A129" s="278">
        <v>42</v>
      </c>
      <c r="B129" s="281"/>
      <c r="C129" s="278"/>
      <c r="D129" s="278"/>
      <c r="E129" s="21" t="s">
        <v>21</v>
      </c>
      <c r="F129" s="11">
        <f>'12C (SS)Sem 1'!E45</f>
        <v>0</v>
      </c>
      <c r="G129" s="11">
        <f>'12C (SS)Sem 1'!F45</f>
        <v>0</v>
      </c>
      <c r="H129" s="11">
        <f>'12C (SS)Sem 1'!G45</f>
        <v>0</v>
      </c>
      <c r="I129" s="11">
        <f>'12C (SS)Sem 1'!H45</f>
        <v>0</v>
      </c>
      <c r="J129" s="11">
        <f>'12C (SS)Sem 1'!I45</f>
        <v>0</v>
      </c>
      <c r="K129" s="11">
        <f>'12C (SS)Sem 1'!J45</f>
        <v>0</v>
      </c>
      <c r="L129" s="11">
        <f>'12C (SS)Sem 1'!K45</f>
        <v>0</v>
      </c>
      <c r="M129" s="126">
        <f>'12C (SS)Sem 1'!L45</f>
        <v>0</v>
      </c>
      <c r="N129" s="11">
        <f>'12C (SS)Sem 1'!M45</f>
        <v>0</v>
      </c>
      <c r="O129" s="11">
        <f>'12C (SS)Sem 1'!N45</f>
        <v>0</v>
      </c>
      <c r="P129" s="11">
        <f>'12C (SS)Sem 1'!O45</f>
        <v>0</v>
      </c>
      <c r="Q129" s="5"/>
      <c r="R129" s="5"/>
      <c r="S129" s="5"/>
      <c r="T129" s="5"/>
      <c r="U129" s="5"/>
    </row>
    <row r="130" spans="1:21" ht="20.100000000000001" customHeight="1" x14ac:dyDescent="0.25">
      <c r="A130" s="278"/>
      <c r="B130" s="281"/>
      <c r="C130" s="278"/>
      <c r="D130" s="278"/>
      <c r="E130" s="21" t="s">
        <v>22</v>
      </c>
      <c r="F130" s="11">
        <f>'12C (SS)Sem 2'!E45</f>
        <v>0</v>
      </c>
      <c r="G130" s="11">
        <f>'12C (SS)Sem 2'!F45</f>
        <v>0</v>
      </c>
      <c r="H130" s="11">
        <f>'12C (SS)Sem 2'!G45</f>
        <v>0</v>
      </c>
      <c r="I130" s="11">
        <f>'12C (SS)Sem 2'!H45</f>
        <v>0</v>
      </c>
      <c r="J130" s="11">
        <f>'12C (SS)Sem 2'!I45</f>
        <v>0</v>
      </c>
      <c r="K130" s="11">
        <f>'12C (SS)Sem 2'!J45</f>
        <v>0</v>
      </c>
      <c r="L130" s="11">
        <f>'12C (SS)Sem 2'!K45</f>
        <v>0</v>
      </c>
      <c r="M130" s="126">
        <f>'12C (SS)Sem 2'!L45</f>
        <v>0</v>
      </c>
      <c r="N130" s="11">
        <f>'12C (SS)Sem 2'!M45</f>
        <v>0</v>
      </c>
      <c r="O130" s="11">
        <f>'12C (SS)Sem 2'!N45</f>
        <v>0</v>
      </c>
      <c r="P130" s="11">
        <f>'12C (SS)Sem 2'!O45</f>
        <v>0</v>
      </c>
      <c r="Q130" s="5"/>
      <c r="R130" s="5"/>
      <c r="S130" s="5"/>
      <c r="T130" s="5"/>
      <c r="U130" s="5"/>
    </row>
    <row r="131" spans="1:21" ht="20.100000000000001" customHeight="1" x14ac:dyDescent="0.25">
      <c r="A131" s="278"/>
      <c r="B131" s="281"/>
      <c r="C131" s="278"/>
      <c r="D131" s="278"/>
      <c r="E131" s="82" t="s">
        <v>16</v>
      </c>
      <c r="F131" s="11">
        <f>AVERAGE(F129:F130)</f>
        <v>0</v>
      </c>
      <c r="G131" s="11">
        <f t="shared" ref="G131:P131" si="41">AVERAGE(G129:G130)</f>
        <v>0</v>
      </c>
      <c r="H131" s="11">
        <f t="shared" si="41"/>
        <v>0</v>
      </c>
      <c r="I131" s="11">
        <f t="shared" si="41"/>
        <v>0</v>
      </c>
      <c r="J131" s="11">
        <f t="shared" si="41"/>
        <v>0</v>
      </c>
      <c r="K131" s="11">
        <f t="shared" si="41"/>
        <v>0</v>
      </c>
      <c r="L131" s="11">
        <f t="shared" si="41"/>
        <v>0</v>
      </c>
      <c r="M131" s="11">
        <f t="shared" si="41"/>
        <v>0</v>
      </c>
      <c r="N131" s="11">
        <f>'12C Sem avr (SS)'!$H$45</f>
        <v>0</v>
      </c>
      <c r="O131" s="11">
        <f t="shared" si="41"/>
        <v>0</v>
      </c>
      <c r="P131" s="11">
        <f t="shared" si="41"/>
        <v>0</v>
      </c>
      <c r="Q131" s="5"/>
      <c r="R131" s="5"/>
      <c r="S131" s="5"/>
      <c r="T131" s="5"/>
      <c r="U131" s="5"/>
    </row>
    <row r="132" spans="1:21" ht="20.100000000000001" customHeight="1" x14ac:dyDescent="0.25">
      <c r="A132" s="278">
        <v>43</v>
      </c>
      <c r="B132" s="281"/>
      <c r="C132" s="280"/>
      <c r="D132" s="280"/>
      <c r="E132" s="21" t="s">
        <v>21</v>
      </c>
      <c r="F132" s="11">
        <f>'12C (SS)Sem 1'!E46</f>
        <v>0</v>
      </c>
      <c r="G132" s="11">
        <f>'12C (SS)Sem 1'!F46</f>
        <v>0</v>
      </c>
      <c r="H132" s="11">
        <f>'12C (SS)Sem 1'!G46</f>
        <v>0</v>
      </c>
      <c r="I132" s="11">
        <f>'12C (SS)Sem 1'!H46</f>
        <v>0</v>
      </c>
      <c r="J132" s="11">
        <f>'12C (SS)Sem 1'!I46</f>
        <v>0</v>
      </c>
      <c r="K132" s="11">
        <f>'12C (SS)Sem 1'!J46</f>
        <v>0</v>
      </c>
      <c r="L132" s="11">
        <f>'12C (SS)Sem 1'!K46</f>
        <v>0</v>
      </c>
      <c r="M132" s="126">
        <f>'12C (SS)Sem 1'!L46</f>
        <v>0</v>
      </c>
      <c r="N132" s="11">
        <f>'12C (SS)Sem 1'!M46</f>
        <v>0</v>
      </c>
      <c r="O132" s="11">
        <f>'12C (SS)Sem 1'!N46</f>
        <v>0</v>
      </c>
      <c r="P132" s="11">
        <f>'12C (SS)Sem 1'!O46</f>
        <v>0</v>
      </c>
      <c r="Q132" s="5"/>
      <c r="R132" s="5"/>
      <c r="S132" s="5"/>
      <c r="T132" s="5"/>
      <c r="U132" s="5"/>
    </row>
    <row r="133" spans="1:21" ht="20.100000000000001" customHeight="1" x14ac:dyDescent="0.25">
      <c r="A133" s="278"/>
      <c r="B133" s="281"/>
      <c r="C133" s="280"/>
      <c r="D133" s="280"/>
      <c r="E133" s="21" t="s">
        <v>22</v>
      </c>
      <c r="F133" s="11">
        <f>'12C (SS)Sem 2'!E46</f>
        <v>0</v>
      </c>
      <c r="G133" s="11">
        <f>'12C (SS)Sem 2'!F46</f>
        <v>0</v>
      </c>
      <c r="H133" s="11">
        <f>'12C (SS)Sem 2'!G46</f>
        <v>0</v>
      </c>
      <c r="I133" s="11">
        <f>'12C (SS)Sem 2'!H46</f>
        <v>0</v>
      </c>
      <c r="J133" s="11">
        <f>'12C (SS)Sem 2'!I46</f>
        <v>0</v>
      </c>
      <c r="K133" s="11">
        <f>'12C (SS)Sem 2'!J46</f>
        <v>0</v>
      </c>
      <c r="L133" s="11">
        <f>'12C (SS)Sem 2'!K46</f>
        <v>0</v>
      </c>
      <c r="M133" s="126">
        <f>'12C (SS)Sem 2'!L46</f>
        <v>0</v>
      </c>
      <c r="N133" s="11">
        <f>'12C (SS)Sem 2'!M46</f>
        <v>0</v>
      </c>
      <c r="O133" s="11">
        <f>'12C (SS)Sem 2'!N46</f>
        <v>0</v>
      </c>
      <c r="P133" s="11">
        <f>'12C (SS)Sem 2'!O46</f>
        <v>0</v>
      </c>
      <c r="Q133" s="5"/>
      <c r="R133" s="5"/>
      <c r="S133" s="5"/>
      <c r="T133" s="5"/>
      <c r="U133" s="5"/>
    </row>
    <row r="134" spans="1:21" ht="20.100000000000001" customHeight="1" x14ac:dyDescent="0.25">
      <c r="A134" s="278"/>
      <c r="B134" s="281"/>
      <c r="C134" s="280"/>
      <c r="D134" s="280"/>
      <c r="E134" s="82" t="s">
        <v>16</v>
      </c>
      <c r="F134" s="11">
        <f>AVERAGE(F132:F133)</f>
        <v>0</v>
      </c>
      <c r="G134" s="11">
        <f t="shared" ref="G134:P134" si="42">AVERAGE(G132:G133)</f>
        <v>0</v>
      </c>
      <c r="H134" s="11">
        <f t="shared" si="42"/>
        <v>0</v>
      </c>
      <c r="I134" s="11">
        <f t="shared" si="42"/>
        <v>0</v>
      </c>
      <c r="J134" s="11">
        <f t="shared" si="42"/>
        <v>0</v>
      </c>
      <c r="K134" s="11">
        <f t="shared" si="42"/>
        <v>0</v>
      </c>
      <c r="L134" s="11">
        <f t="shared" si="42"/>
        <v>0</v>
      </c>
      <c r="M134" s="11">
        <f t="shared" si="42"/>
        <v>0</v>
      </c>
      <c r="N134" s="11">
        <f>'12C Sem avr (SS)'!$H$46</f>
        <v>0</v>
      </c>
      <c r="O134" s="11">
        <f t="shared" si="42"/>
        <v>0</v>
      </c>
      <c r="P134" s="11">
        <f t="shared" si="42"/>
        <v>0</v>
      </c>
      <c r="Q134" s="5"/>
      <c r="R134" s="5"/>
      <c r="S134" s="5"/>
      <c r="T134" s="5"/>
      <c r="U134" s="5"/>
    </row>
    <row r="135" spans="1:21" ht="20.100000000000001" customHeight="1" x14ac:dyDescent="0.25">
      <c r="A135" s="278">
        <v>44</v>
      </c>
      <c r="B135" s="279"/>
      <c r="C135" s="280"/>
      <c r="D135" s="280"/>
      <c r="E135" s="21" t="s">
        <v>21</v>
      </c>
      <c r="F135" s="11">
        <f>'12C (SS)Sem 1'!E47</f>
        <v>0</v>
      </c>
      <c r="G135" s="11">
        <f>'12C (SS)Sem 1'!F47</f>
        <v>0</v>
      </c>
      <c r="H135" s="11">
        <f>'12C (SS)Sem 1'!G47</f>
        <v>0</v>
      </c>
      <c r="I135" s="11">
        <f>'12C (SS)Sem 1'!H47</f>
        <v>0</v>
      </c>
      <c r="J135" s="11">
        <f>'12C (SS)Sem 1'!I47</f>
        <v>0</v>
      </c>
      <c r="K135" s="11">
        <f>'12C (SS)Sem 1'!J47</f>
        <v>0</v>
      </c>
      <c r="L135" s="11">
        <f>'12C (SS)Sem 1'!K47</f>
        <v>0</v>
      </c>
      <c r="M135" s="126">
        <f>'12C (SS)Sem 1'!L47</f>
        <v>0</v>
      </c>
      <c r="N135" s="11">
        <f>'12C (SS)Sem 1'!M47</f>
        <v>0</v>
      </c>
      <c r="O135" s="11">
        <f>'12C (SS)Sem 1'!N47</f>
        <v>0</v>
      </c>
      <c r="P135" s="11">
        <f>'12C (SS)Sem 1'!O47</f>
        <v>0</v>
      </c>
      <c r="Q135" s="5"/>
      <c r="R135" s="5"/>
      <c r="S135" s="5"/>
      <c r="T135" s="5"/>
      <c r="U135" s="5"/>
    </row>
    <row r="136" spans="1:21" ht="20.100000000000001" customHeight="1" x14ac:dyDescent="0.25">
      <c r="A136" s="278"/>
      <c r="B136" s="279"/>
      <c r="C136" s="280"/>
      <c r="D136" s="280"/>
      <c r="E136" s="21" t="s">
        <v>22</v>
      </c>
      <c r="F136" s="11">
        <f>'12C (SS)Sem 2'!E47</f>
        <v>0</v>
      </c>
      <c r="G136" s="11">
        <f>'12C (SS)Sem 2'!F47</f>
        <v>0</v>
      </c>
      <c r="H136" s="11">
        <f>'12C (SS)Sem 2'!G47</f>
        <v>0</v>
      </c>
      <c r="I136" s="11">
        <f>'12C (SS)Sem 2'!H47</f>
        <v>0</v>
      </c>
      <c r="J136" s="11">
        <f>'12C (SS)Sem 2'!I47</f>
        <v>0</v>
      </c>
      <c r="K136" s="11">
        <f>'12C (SS)Sem 2'!J47</f>
        <v>0</v>
      </c>
      <c r="L136" s="11">
        <f>'12C (SS)Sem 2'!K47</f>
        <v>0</v>
      </c>
      <c r="M136" s="126">
        <f>'12C (SS)Sem 2'!L47</f>
        <v>0</v>
      </c>
      <c r="N136" s="11">
        <f>'12C (SS)Sem 2'!M47</f>
        <v>0</v>
      </c>
      <c r="O136" s="11">
        <f>'12C (SS)Sem 2'!N47</f>
        <v>0</v>
      </c>
      <c r="P136" s="11">
        <f>'12C (SS)Sem 2'!O47</f>
        <v>0</v>
      </c>
      <c r="Q136" s="5"/>
      <c r="R136" s="5"/>
      <c r="S136" s="5"/>
      <c r="T136" s="5"/>
      <c r="U136" s="5"/>
    </row>
    <row r="137" spans="1:21" ht="20.100000000000001" customHeight="1" x14ac:dyDescent="0.25">
      <c r="A137" s="278"/>
      <c r="B137" s="279"/>
      <c r="C137" s="280"/>
      <c r="D137" s="280"/>
      <c r="E137" s="82" t="s">
        <v>16</v>
      </c>
      <c r="F137" s="11">
        <f>AVERAGE(F135:F136)</f>
        <v>0</v>
      </c>
      <c r="G137" s="11">
        <f t="shared" ref="G137:P137" si="43">AVERAGE(G135:G136)</f>
        <v>0</v>
      </c>
      <c r="H137" s="11">
        <f t="shared" si="43"/>
        <v>0</v>
      </c>
      <c r="I137" s="11">
        <f t="shared" si="43"/>
        <v>0</v>
      </c>
      <c r="J137" s="11">
        <f t="shared" si="43"/>
        <v>0</v>
      </c>
      <c r="K137" s="11">
        <f t="shared" si="43"/>
        <v>0</v>
      </c>
      <c r="L137" s="11">
        <f t="shared" si="43"/>
        <v>0</v>
      </c>
      <c r="M137" s="11">
        <f t="shared" si="43"/>
        <v>0</v>
      </c>
      <c r="N137" s="11">
        <f>'12C Sem avr (SS)'!$H$47</f>
        <v>0</v>
      </c>
      <c r="O137" s="11">
        <f t="shared" si="43"/>
        <v>0</v>
      </c>
      <c r="P137" s="11">
        <f t="shared" si="43"/>
        <v>0</v>
      </c>
      <c r="Q137" s="5"/>
      <c r="R137" s="5"/>
      <c r="S137" s="5"/>
      <c r="T137" s="5"/>
      <c r="U137" s="5"/>
    </row>
    <row r="138" spans="1:21" ht="20.100000000000001" customHeight="1" x14ac:dyDescent="0.25">
      <c r="A138" s="278">
        <v>45</v>
      </c>
      <c r="B138" s="279"/>
      <c r="C138" s="280"/>
      <c r="D138" s="280"/>
      <c r="E138" s="21" t="s">
        <v>21</v>
      </c>
      <c r="F138" s="11">
        <f>'12C (SS)Sem 1'!E48</f>
        <v>0</v>
      </c>
      <c r="G138" s="11">
        <f>'12C (SS)Sem 1'!F48</f>
        <v>0</v>
      </c>
      <c r="H138" s="11">
        <f>'12C (SS)Sem 1'!G48</f>
        <v>0</v>
      </c>
      <c r="I138" s="11">
        <f>'12C (SS)Sem 1'!H48</f>
        <v>0</v>
      </c>
      <c r="J138" s="11">
        <f>'12C (SS)Sem 1'!I48</f>
        <v>0</v>
      </c>
      <c r="K138" s="11">
        <f>'12C (SS)Sem 1'!J48</f>
        <v>0</v>
      </c>
      <c r="L138" s="11">
        <f>'12C (SS)Sem 1'!K48</f>
        <v>0</v>
      </c>
      <c r="M138" s="126">
        <f>'12C (SS)Sem 1'!L48</f>
        <v>0</v>
      </c>
      <c r="N138" s="11">
        <f>'12C (SS)Sem 1'!M48</f>
        <v>0</v>
      </c>
      <c r="O138" s="11">
        <f>'12C (SS)Sem 1'!N48</f>
        <v>0</v>
      </c>
      <c r="P138" s="11">
        <f>'12C (SS)Sem 1'!O48</f>
        <v>0</v>
      </c>
      <c r="Q138" s="5"/>
      <c r="R138" s="5"/>
      <c r="S138" s="5"/>
      <c r="T138" s="5"/>
      <c r="U138" s="5"/>
    </row>
    <row r="139" spans="1:21" ht="20.100000000000001" customHeight="1" x14ac:dyDescent="0.25">
      <c r="A139" s="278"/>
      <c r="B139" s="279"/>
      <c r="C139" s="280"/>
      <c r="D139" s="280"/>
      <c r="E139" s="21" t="s">
        <v>22</v>
      </c>
      <c r="F139" s="11">
        <f>'12C (SS)Sem 2'!E48</f>
        <v>0</v>
      </c>
      <c r="G139" s="11">
        <f>'12C (SS)Sem 2'!F48</f>
        <v>0</v>
      </c>
      <c r="H139" s="11">
        <f>'12C (SS)Sem 2'!G48</f>
        <v>0</v>
      </c>
      <c r="I139" s="11">
        <f>'12C (SS)Sem 2'!H48</f>
        <v>0</v>
      </c>
      <c r="J139" s="11">
        <f>'12C (SS)Sem 2'!I48</f>
        <v>0</v>
      </c>
      <c r="K139" s="11">
        <f>'12C (SS)Sem 2'!J48</f>
        <v>0</v>
      </c>
      <c r="L139" s="11">
        <f>'12C (SS)Sem 2'!K48</f>
        <v>0</v>
      </c>
      <c r="M139" s="126">
        <f>'12C (SS)Sem 2'!L48</f>
        <v>0</v>
      </c>
      <c r="N139" s="11">
        <f>'12C (SS)Sem 2'!M48</f>
        <v>0</v>
      </c>
      <c r="O139" s="11">
        <f>'12C (SS)Sem 2'!N48</f>
        <v>0</v>
      </c>
      <c r="P139" s="11">
        <f>'12C (SS)Sem 2'!O48</f>
        <v>0</v>
      </c>
    </row>
    <row r="140" spans="1:21" ht="20.100000000000001" customHeight="1" x14ac:dyDescent="0.25">
      <c r="A140" s="278"/>
      <c r="B140" s="279"/>
      <c r="C140" s="280"/>
      <c r="D140" s="280"/>
      <c r="E140" s="82" t="s">
        <v>16</v>
      </c>
      <c r="F140" s="11">
        <f>AVERAGE(F138:F139)</f>
        <v>0</v>
      </c>
      <c r="G140" s="11">
        <f t="shared" ref="G140:P140" si="44">AVERAGE(G138:G139)</f>
        <v>0</v>
      </c>
      <c r="H140" s="11">
        <f t="shared" si="44"/>
        <v>0</v>
      </c>
      <c r="I140" s="11">
        <f t="shared" si="44"/>
        <v>0</v>
      </c>
      <c r="J140" s="11">
        <f t="shared" si="44"/>
        <v>0</v>
      </c>
      <c r="K140" s="11">
        <f t="shared" si="44"/>
        <v>0</v>
      </c>
      <c r="L140" s="11">
        <f t="shared" si="44"/>
        <v>0</v>
      </c>
      <c r="M140" s="11">
        <f t="shared" si="44"/>
        <v>0</v>
      </c>
      <c r="N140" s="11">
        <f>'12C Sem avr (SS)'!$H$48</f>
        <v>0</v>
      </c>
      <c r="O140" s="11">
        <f t="shared" si="44"/>
        <v>0</v>
      </c>
      <c r="P140" s="11">
        <f t="shared" si="44"/>
        <v>0</v>
      </c>
    </row>
    <row r="141" spans="1:21" ht="20.100000000000001" customHeight="1" x14ac:dyDescent="0.25">
      <c r="A141" s="278">
        <v>46</v>
      </c>
      <c r="B141" s="279"/>
      <c r="C141" s="280"/>
      <c r="D141" s="280"/>
      <c r="E141" s="21" t="s">
        <v>21</v>
      </c>
      <c r="F141" s="11">
        <f>'12C (SS)Sem 1'!E49</f>
        <v>0</v>
      </c>
      <c r="G141" s="11">
        <f>'12C (SS)Sem 1'!F49</f>
        <v>0</v>
      </c>
      <c r="H141" s="11">
        <f>'12C (SS)Sem 1'!G49</f>
        <v>0</v>
      </c>
      <c r="I141" s="11">
        <f>'12C (SS)Sem 1'!H49</f>
        <v>0</v>
      </c>
      <c r="J141" s="11">
        <f>'12C (SS)Sem 1'!I49</f>
        <v>0</v>
      </c>
      <c r="K141" s="11">
        <f>'12C (SS)Sem 1'!J49</f>
        <v>0</v>
      </c>
      <c r="L141" s="11">
        <f>'12C (SS)Sem 1'!K49</f>
        <v>0</v>
      </c>
      <c r="M141" s="126">
        <f>'12C (SS)Sem 1'!L49</f>
        <v>0</v>
      </c>
      <c r="N141" s="11">
        <f>'12C (SS)Sem 1'!M49</f>
        <v>0</v>
      </c>
      <c r="O141" s="11">
        <f>'12C (SS)Sem 1'!N49</f>
        <v>0</v>
      </c>
      <c r="P141" s="11">
        <f>'12C (SS)Sem 1'!O49</f>
        <v>0</v>
      </c>
    </row>
    <row r="142" spans="1:21" ht="20.100000000000001" customHeight="1" x14ac:dyDescent="0.25">
      <c r="A142" s="278"/>
      <c r="B142" s="279"/>
      <c r="C142" s="280"/>
      <c r="D142" s="280"/>
      <c r="E142" s="21" t="s">
        <v>22</v>
      </c>
      <c r="F142" s="11">
        <f>'12C (SS)Sem 2'!E49</f>
        <v>0</v>
      </c>
      <c r="G142" s="11">
        <f>'12C (SS)Sem 2'!F49</f>
        <v>0</v>
      </c>
      <c r="H142" s="11">
        <f>'12C (SS)Sem 2'!G49</f>
        <v>0</v>
      </c>
      <c r="I142" s="11">
        <f>'12C (SS)Sem 2'!H49</f>
        <v>0</v>
      </c>
      <c r="J142" s="11">
        <f>'12C (SS)Sem 2'!I49</f>
        <v>0</v>
      </c>
      <c r="K142" s="11">
        <f>'12C (SS)Sem 2'!J49</f>
        <v>0</v>
      </c>
      <c r="L142" s="11">
        <f>'12C (SS)Sem 2'!K49</f>
        <v>0</v>
      </c>
      <c r="M142" s="126">
        <f>'12C (SS)Sem 2'!L49</f>
        <v>0</v>
      </c>
      <c r="N142" s="11">
        <f>'12C (SS)Sem 2'!M49</f>
        <v>0</v>
      </c>
      <c r="O142" s="11">
        <f>'12C (SS)Sem 2'!N49</f>
        <v>0</v>
      </c>
      <c r="P142" s="11">
        <f>'12C (SS)Sem 2'!O49</f>
        <v>0</v>
      </c>
    </row>
    <row r="143" spans="1:21" ht="20.100000000000001" customHeight="1" x14ac:dyDescent="0.25">
      <c r="A143" s="278"/>
      <c r="B143" s="279"/>
      <c r="C143" s="280"/>
      <c r="D143" s="280"/>
      <c r="E143" s="82" t="s">
        <v>16</v>
      </c>
      <c r="F143" s="11">
        <f>AVERAGE(F141:F142)</f>
        <v>0</v>
      </c>
      <c r="G143" s="11">
        <f t="shared" ref="G143:P143" si="45">AVERAGE(G141:G142)</f>
        <v>0</v>
      </c>
      <c r="H143" s="11">
        <f t="shared" si="45"/>
        <v>0</v>
      </c>
      <c r="I143" s="11">
        <f t="shared" si="45"/>
        <v>0</v>
      </c>
      <c r="J143" s="11">
        <f t="shared" si="45"/>
        <v>0</v>
      </c>
      <c r="K143" s="11">
        <f t="shared" si="45"/>
        <v>0</v>
      </c>
      <c r="L143" s="11">
        <f t="shared" si="45"/>
        <v>0</v>
      </c>
      <c r="M143" s="11">
        <f t="shared" si="45"/>
        <v>0</v>
      </c>
      <c r="N143" s="11">
        <f>'12C Sem avr (SS)'!$H$49</f>
        <v>0</v>
      </c>
      <c r="O143" s="11">
        <f t="shared" si="45"/>
        <v>0</v>
      </c>
      <c r="P143" s="11">
        <f t="shared" si="45"/>
        <v>0</v>
      </c>
    </row>
    <row r="144" spans="1:21" ht="20.100000000000001" customHeight="1" x14ac:dyDescent="0.25">
      <c r="A144" s="278">
        <v>47</v>
      </c>
      <c r="B144" s="279"/>
      <c r="C144" s="280"/>
      <c r="D144" s="280"/>
      <c r="E144" s="21" t="s">
        <v>21</v>
      </c>
      <c r="F144" s="11">
        <f>'12C (SS)Sem 1'!E50</f>
        <v>0</v>
      </c>
      <c r="G144" s="11">
        <f>'12C (SS)Sem 1'!F50</f>
        <v>0</v>
      </c>
      <c r="H144" s="11">
        <f>'12C (SS)Sem 1'!G50</f>
        <v>0</v>
      </c>
      <c r="I144" s="11">
        <f>'12C (SS)Sem 1'!H50</f>
        <v>0</v>
      </c>
      <c r="J144" s="11">
        <f>'12C (SS)Sem 1'!I50</f>
        <v>0</v>
      </c>
      <c r="K144" s="11">
        <f>'12C (SS)Sem 1'!J50</f>
        <v>0</v>
      </c>
      <c r="L144" s="11">
        <f>'12C (SS)Sem 1'!K50</f>
        <v>0</v>
      </c>
      <c r="M144" s="126">
        <f>'12C (SS)Sem 1'!L50</f>
        <v>0</v>
      </c>
      <c r="N144" s="11">
        <f>'12C (SS)Sem 1'!M50</f>
        <v>0</v>
      </c>
      <c r="O144" s="11">
        <f>'12C (SS)Sem 1'!N50</f>
        <v>0</v>
      </c>
      <c r="P144" s="11">
        <f>'12C (SS)Sem 1'!O50</f>
        <v>0</v>
      </c>
    </row>
    <row r="145" spans="1:16" ht="20.100000000000001" customHeight="1" x14ac:dyDescent="0.25">
      <c r="A145" s="278"/>
      <c r="B145" s="279"/>
      <c r="C145" s="280"/>
      <c r="D145" s="280"/>
      <c r="E145" s="21" t="s">
        <v>22</v>
      </c>
      <c r="F145" s="11">
        <f>'12C (SS)Sem 2'!E50</f>
        <v>0</v>
      </c>
      <c r="G145" s="11">
        <f>'12C (SS)Sem 2'!F50</f>
        <v>0</v>
      </c>
      <c r="H145" s="11">
        <f>'12C (SS)Sem 2'!G50</f>
        <v>0</v>
      </c>
      <c r="I145" s="11">
        <f>'12C (SS)Sem 2'!H50</f>
        <v>0</v>
      </c>
      <c r="J145" s="11">
        <f>'12C (SS)Sem 2'!I50</f>
        <v>0</v>
      </c>
      <c r="K145" s="11">
        <f>'12C (SS)Sem 2'!J50</f>
        <v>0</v>
      </c>
      <c r="L145" s="11">
        <f>'12C (SS)Sem 2'!K50</f>
        <v>0</v>
      </c>
      <c r="M145" s="126">
        <f>'12C (SS)Sem 2'!L50</f>
        <v>0</v>
      </c>
      <c r="N145" s="11">
        <f>'12C (SS)Sem 2'!M50</f>
        <v>0</v>
      </c>
      <c r="O145" s="11">
        <f>'12C (SS)Sem 2'!N50</f>
        <v>0</v>
      </c>
      <c r="P145" s="11">
        <f>'12C (SS)Sem 2'!O50</f>
        <v>0</v>
      </c>
    </row>
    <row r="146" spans="1:16" ht="20.100000000000001" customHeight="1" x14ac:dyDescent="0.25">
      <c r="A146" s="278"/>
      <c r="B146" s="279"/>
      <c r="C146" s="280"/>
      <c r="D146" s="280"/>
      <c r="E146" s="82" t="s">
        <v>16</v>
      </c>
      <c r="F146" s="11">
        <f>AVERAGE(F144:F145)</f>
        <v>0</v>
      </c>
      <c r="G146" s="11">
        <f t="shared" ref="G146:P146" si="46">AVERAGE(G144:G145)</f>
        <v>0</v>
      </c>
      <c r="H146" s="11">
        <f t="shared" si="46"/>
        <v>0</v>
      </c>
      <c r="I146" s="11">
        <f t="shared" si="46"/>
        <v>0</v>
      </c>
      <c r="J146" s="11">
        <f t="shared" si="46"/>
        <v>0</v>
      </c>
      <c r="K146" s="11">
        <f t="shared" si="46"/>
        <v>0</v>
      </c>
      <c r="L146" s="11">
        <f t="shared" si="46"/>
        <v>0</v>
      </c>
      <c r="M146" s="11">
        <f t="shared" si="46"/>
        <v>0</v>
      </c>
      <c r="N146" s="11">
        <f>'12C Sem avr (SS)'!$H$50</f>
        <v>0</v>
      </c>
      <c r="O146" s="11">
        <f t="shared" si="46"/>
        <v>0</v>
      </c>
      <c r="P146" s="11">
        <f t="shared" si="46"/>
        <v>0</v>
      </c>
    </row>
    <row r="147" spans="1:16" ht="20.100000000000001" customHeight="1" x14ac:dyDescent="0.25">
      <c r="A147" s="278">
        <v>48</v>
      </c>
      <c r="B147" s="279"/>
      <c r="C147" s="280"/>
      <c r="D147" s="280"/>
      <c r="E147" s="21" t="s">
        <v>21</v>
      </c>
      <c r="F147" s="11">
        <f>'12C (SS)Sem 1'!E51</f>
        <v>0</v>
      </c>
      <c r="G147" s="11">
        <f>'12C (SS)Sem 1'!F51</f>
        <v>0</v>
      </c>
      <c r="H147" s="11">
        <f>'12C (SS)Sem 1'!G51</f>
        <v>0</v>
      </c>
      <c r="I147" s="11">
        <f>'12C (SS)Sem 1'!H51</f>
        <v>0</v>
      </c>
      <c r="J147" s="11">
        <f>'12C (SS)Sem 1'!I51</f>
        <v>0</v>
      </c>
      <c r="K147" s="11">
        <f>'12C (SS)Sem 1'!J51</f>
        <v>0</v>
      </c>
      <c r="L147" s="11">
        <f>'12C (SS)Sem 1'!K51</f>
        <v>0</v>
      </c>
      <c r="M147" s="126">
        <f>'12C (SS)Sem 1'!L51</f>
        <v>0</v>
      </c>
      <c r="N147" s="11">
        <f>'12C (SS)Sem 1'!M51</f>
        <v>0</v>
      </c>
      <c r="O147" s="11">
        <f>'12C (SS)Sem 1'!N51</f>
        <v>0</v>
      </c>
      <c r="P147" s="11">
        <f>'12C (SS)Sem 1'!O51</f>
        <v>0</v>
      </c>
    </row>
    <row r="148" spans="1:16" ht="20.100000000000001" customHeight="1" x14ac:dyDescent="0.25">
      <c r="A148" s="278"/>
      <c r="B148" s="279"/>
      <c r="C148" s="280"/>
      <c r="D148" s="280"/>
      <c r="E148" s="21" t="s">
        <v>22</v>
      </c>
      <c r="F148" s="11">
        <f>'12C (SS)Sem 2'!E51</f>
        <v>0</v>
      </c>
      <c r="G148" s="11">
        <f>'12C (SS)Sem 2'!F51</f>
        <v>0</v>
      </c>
      <c r="H148" s="11">
        <f>'12C (SS)Sem 2'!G51</f>
        <v>0</v>
      </c>
      <c r="I148" s="11">
        <f>'12C (SS)Sem 2'!H51</f>
        <v>0</v>
      </c>
      <c r="J148" s="11">
        <f>'12C (SS)Sem 2'!I51</f>
        <v>0</v>
      </c>
      <c r="K148" s="11">
        <f>'12C (SS)Sem 2'!J51</f>
        <v>0</v>
      </c>
      <c r="L148" s="11">
        <f>'12C (SS)Sem 2'!K51</f>
        <v>0</v>
      </c>
      <c r="M148" s="126">
        <f>'12C (SS)Sem 2'!L51</f>
        <v>0</v>
      </c>
      <c r="N148" s="11">
        <f>'12C (SS)Sem 2'!M51</f>
        <v>0</v>
      </c>
      <c r="O148" s="11">
        <f>'12C (SS)Sem 2'!N51</f>
        <v>0</v>
      </c>
      <c r="P148" s="11">
        <f>'12C (SS)Sem 2'!O51</f>
        <v>0</v>
      </c>
    </row>
    <row r="149" spans="1:16" ht="20.100000000000001" customHeight="1" x14ac:dyDescent="0.25">
      <c r="A149" s="278"/>
      <c r="B149" s="279"/>
      <c r="C149" s="280"/>
      <c r="D149" s="280"/>
      <c r="E149" s="82" t="s">
        <v>16</v>
      </c>
      <c r="F149" s="11">
        <f>AVERAGE(F147:F148)</f>
        <v>0</v>
      </c>
      <c r="G149" s="11">
        <f t="shared" ref="G149:P149" si="47">AVERAGE(G147:G148)</f>
        <v>0</v>
      </c>
      <c r="H149" s="11">
        <f t="shared" si="47"/>
        <v>0</v>
      </c>
      <c r="I149" s="11">
        <f t="shared" si="47"/>
        <v>0</v>
      </c>
      <c r="J149" s="11">
        <f t="shared" si="47"/>
        <v>0</v>
      </c>
      <c r="K149" s="11">
        <f t="shared" si="47"/>
        <v>0</v>
      </c>
      <c r="L149" s="11">
        <f t="shared" si="47"/>
        <v>0</v>
      </c>
      <c r="M149" s="11">
        <f t="shared" si="47"/>
        <v>0</v>
      </c>
      <c r="N149" s="11">
        <f>'12C Sem avr (SS)'!$H$51</f>
        <v>0</v>
      </c>
      <c r="O149" s="11">
        <f t="shared" si="47"/>
        <v>0</v>
      </c>
      <c r="P149" s="11">
        <f t="shared" si="47"/>
        <v>0</v>
      </c>
    </row>
    <row r="150" spans="1:16" ht="20.100000000000001" customHeight="1" x14ac:dyDescent="0.25">
      <c r="A150" s="278">
        <v>49</v>
      </c>
      <c r="B150" s="279"/>
      <c r="C150" s="280"/>
      <c r="D150" s="280"/>
      <c r="E150" s="21" t="s">
        <v>21</v>
      </c>
      <c r="F150" s="11">
        <f>'12C (SS)Sem 1'!E52</f>
        <v>0</v>
      </c>
      <c r="G150" s="11">
        <f>'12C (SS)Sem 1'!F52</f>
        <v>0</v>
      </c>
      <c r="H150" s="11">
        <f>'12C (SS)Sem 1'!G52</f>
        <v>0</v>
      </c>
      <c r="I150" s="11">
        <f>'12C (SS)Sem 1'!H52</f>
        <v>0</v>
      </c>
      <c r="J150" s="11">
        <f>'12C (SS)Sem 1'!I52</f>
        <v>0</v>
      </c>
      <c r="K150" s="11">
        <f>'12C (SS)Sem 1'!J52</f>
        <v>0</v>
      </c>
      <c r="L150" s="11">
        <f>'12C (SS)Sem 1'!K52</f>
        <v>0</v>
      </c>
      <c r="M150" s="126">
        <f>'12C (SS)Sem 1'!L52</f>
        <v>0</v>
      </c>
      <c r="N150" s="11">
        <f>'12C (SS)Sem 1'!M52</f>
        <v>0</v>
      </c>
      <c r="O150" s="11">
        <f>'12C (SS)Sem 1'!N52</f>
        <v>0</v>
      </c>
      <c r="P150" s="11">
        <f>'12C (SS)Sem 1'!O52</f>
        <v>0</v>
      </c>
    </row>
    <row r="151" spans="1:16" ht="20.100000000000001" customHeight="1" x14ac:dyDescent="0.25">
      <c r="A151" s="278"/>
      <c r="B151" s="279"/>
      <c r="C151" s="280"/>
      <c r="D151" s="280"/>
      <c r="E151" s="21" t="s">
        <v>22</v>
      </c>
      <c r="F151" s="11">
        <f>'12C (SS)Sem 2'!E52</f>
        <v>0</v>
      </c>
      <c r="G151" s="11">
        <f>'12C (SS)Sem 2'!F52</f>
        <v>0</v>
      </c>
      <c r="H151" s="11">
        <f>'12C (SS)Sem 2'!G52</f>
        <v>0</v>
      </c>
      <c r="I151" s="11">
        <f>'12C (SS)Sem 2'!H52</f>
        <v>0</v>
      </c>
      <c r="J151" s="11">
        <f>'12C (SS)Sem 2'!I52</f>
        <v>0</v>
      </c>
      <c r="K151" s="11">
        <f>'12C (SS)Sem 2'!J52</f>
        <v>0</v>
      </c>
      <c r="L151" s="11">
        <f>'12C (SS)Sem 2'!K52</f>
        <v>0</v>
      </c>
      <c r="M151" s="126">
        <f>'12C (SS)Sem 2'!L52</f>
        <v>0</v>
      </c>
      <c r="N151" s="11">
        <f>'12C (SS)Sem 2'!M52</f>
        <v>0</v>
      </c>
      <c r="O151" s="11">
        <f>'12C (SS)Sem 2'!N52</f>
        <v>0</v>
      </c>
      <c r="P151" s="11">
        <f>'12C (SS)Sem 2'!O52</f>
        <v>0</v>
      </c>
    </row>
    <row r="152" spans="1:16" ht="20.100000000000001" customHeight="1" x14ac:dyDescent="0.25">
      <c r="A152" s="278"/>
      <c r="B152" s="279"/>
      <c r="C152" s="280"/>
      <c r="D152" s="280"/>
      <c r="E152" s="82" t="s">
        <v>16</v>
      </c>
      <c r="F152" s="11">
        <f>AVERAGE(F150:F151)</f>
        <v>0</v>
      </c>
      <c r="G152" s="11">
        <f t="shared" ref="G152:P152" si="48">AVERAGE(G150:G151)</f>
        <v>0</v>
      </c>
      <c r="H152" s="11">
        <f t="shared" si="48"/>
        <v>0</v>
      </c>
      <c r="I152" s="11">
        <f t="shared" si="48"/>
        <v>0</v>
      </c>
      <c r="J152" s="11">
        <f t="shared" si="48"/>
        <v>0</v>
      </c>
      <c r="K152" s="11">
        <f t="shared" si="48"/>
        <v>0</v>
      </c>
      <c r="L152" s="11">
        <f t="shared" si="48"/>
        <v>0</v>
      </c>
      <c r="M152" s="11">
        <f t="shared" si="48"/>
        <v>0</v>
      </c>
      <c r="N152" s="11">
        <f>'12C Sem avr (SS)'!$H$52</f>
        <v>0</v>
      </c>
      <c r="O152" s="11">
        <f t="shared" si="48"/>
        <v>0</v>
      </c>
      <c r="P152" s="11">
        <f t="shared" si="48"/>
        <v>0</v>
      </c>
    </row>
    <row r="153" spans="1:16" ht="20.100000000000001" customHeight="1" x14ac:dyDescent="0.25">
      <c r="A153" s="278">
        <v>50</v>
      </c>
      <c r="B153" s="279"/>
      <c r="C153" s="280"/>
      <c r="D153" s="280"/>
      <c r="E153" s="21" t="s">
        <v>21</v>
      </c>
      <c r="F153" s="11">
        <f>'12C (SS)Sem 1'!E53</f>
        <v>0</v>
      </c>
      <c r="G153" s="11">
        <f>'12C (SS)Sem 1'!F53</f>
        <v>0</v>
      </c>
      <c r="H153" s="11">
        <f>'12C (SS)Sem 1'!G53</f>
        <v>0</v>
      </c>
      <c r="I153" s="11">
        <f>'12C (SS)Sem 1'!H53</f>
        <v>0</v>
      </c>
      <c r="J153" s="11">
        <f>'12C (SS)Sem 1'!I53</f>
        <v>0</v>
      </c>
      <c r="K153" s="11">
        <f>'12C (SS)Sem 1'!J53</f>
        <v>0</v>
      </c>
      <c r="L153" s="11">
        <f>'12C (SS)Sem 1'!K53</f>
        <v>0</v>
      </c>
      <c r="M153" s="126">
        <f>'12C (SS)Sem 1'!L53</f>
        <v>0</v>
      </c>
      <c r="N153" s="11">
        <f>'12C (SS)Sem 1'!M53</f>
        <v>0</v>
      </c>
      <c r="O153" s="11">
        <f>'12C (SS)Sem 1'!N53</f>
        <v>0</v>
      </c>
      <c r="P153" s="11">
        <f>'12C (SS)Sem 1'!O53</f>
        <v>0</v>
      </c>
    </row>
    <row r="154" spans="1:16" ht="20.100000000000001" customHeight="1" x14ac:dyDescent="0.25">
      <c r="A154" s="278"/>
      <c r="B154" s="279"/>
      <c r="C154" s="280"/>
      <c r="D154" s="280"/>
      <c r="E154" s="21" t="s">
        <v>22</v>
      </c>
      <c r="F154" s="11">
        <f>'12C (SS)Sem 2'!E53</f>
        <v>0</v>
      </c>
      <c r="G154" s="11">
        <f>'12C (SS)Sem 2'!F53</f>
        <v>0</v>
      </c>
      <c r="H154" s="11">
        <f>'12C (SS)Sem 2'!G53</f>
        <v>0</v>
      </c>
      <c r="I154" s="11">
        <f>'12C (SS)Sem 2'!H53</f>
        <v>0</v>
      </c>
      <c r="J154" s="11">
        <f>'12C (SS)Sem 2'!I53</f>
        <v>0</v>
      </c>
      <c r="K154" s="11">
        <f>'12C (SS)Sem 2'!J53</f>
        <v>0</v>
      </c>
      <c r="L154" s="11">
        <f>'12C (SS)Sem 2'!K53</f>
        <v>0</v>
      </c>
      <c r="M154" s="126">
        <f>'12C (SS)Sem 2'!L53</f>
        <v>0</v>
      </c>
      <c r="N154" s="11">
        <f>'12C (SS)Sem 2'!M53</f>
        <v>0</v>
      </c>
      <c r="O154" s="11">
        <f>'12C (SS)Sem 2'!N53</f>
        <v>0</v>
      </c>
      <c r="P154" s="11">
        <f>'12C (SS)Sem 2'!O53</f>
        <v>0</v>
      </c>
    </row>
    <row r="155" spans="1:16" ht="20.100000000000001" customHeight="1" x14ac:dyDescent="0.25">
      <c r="A155" s="278"/>
      <c r="B155" s="279"/>
      <c r="C155" s="280"/>
      <c r="D155" s="280"/>
      <c r="E155" s="82" t="s">
        <v>16</v>
      </c>
      <c r="F155" s="11">
        <f>AVERAGE(F153:F154)</f>
        <v>0</v>
      </c>
      <c r="G155" s="11">
        <f t="shared" ref="G155:P155" si="49">AVERAGE(G153:G154)</f>
        <v>0</v>
      </c>
      <c r="H155" s="11">
        <f t="shared" si="49"/>
        <v>0</v>
      </c>
      <c r="I155" s="11">
        <f t="shared" si="49"/>
        <v>0</v>
      </c>
      <c r="J155" s="11">
        <f t="shared" si="49"/>
        <v>0</v>
      </c>
      <c r="K155" s="11">
        <f t="shared" si="49"/>
        <v>0</v>
      </c>
      <c r="L155" s="11">
        <f t="shared" si="49"/>
        <v>0</v>
      </c>
      <c r="M155" s="11">
        <f t="shared" si="49"/>
        <v>0</v>
      </c>
      <c r="N155" s="11">
        <f>'12C Sem avr (SS)'!$H$53</f>
        <v>0</v>
      </c>
      <c r="O155" s="11">
        <f t="shared" si="49"/>
        <v>0</v>
      </c>
      <c r="P155" s="11">
        <f t="shared" si="49"/>
        <v>0</v>
      </c>
    </row>
    <row r="156" spans="1:16" ht="20.100000000000001" customHeight="1" x14ac:dyDescent="0.25">
      <c r="A156" s="278">
        <v>51</v>
      </c>
      <c r="B156" s="279"/>
      <c r="C156" s="280"/>
      <c r="D156" s="280"/>
      <c r="E156" s="21" t="s">
        <v>21</v>
      </c>
      <c r="F156" s="11">
        <f>'12C (SS)Sem 1'!E54</f>
        <v>0</v>
      </c>
      <c r="G156" s="11">
        <f>'12C (SS)Sem 1'!F54</f>
        <v>0</v>
      </c>
      <c r="H156" s="11">
        <f>'12C (SS)Sem 1'!G54</f>
        <v>0</v>
      </c>
      <c r="I156" s="11">
        <f>'12C (SS)Sem 1'!H54</f>
        <v>0</v>
      </c>
      <c r="J156" s="11">
        <f>'12C (SS)Sem 1'!I54</f>
        <v>0</v>
      </c>
      <c r="K156" s="11">
        <f>'12C (SS)Sem 1'!J54</f>
        <v>0</v>
      </c>
      <c r="L156" s="11">
        <f>'12C (SS)Sem 1'!K54</f>
        <v>0</v>
      </c>
      <c r="M156" s="126">
        <f>'12C (SS)Sem 1'!L54</f>
        <v>0</v>
      </c>
      <c r="N156" s="11">
        <f>'12C (SS)Sem 1'!M54</f>
        <v>0</v>
      </c>
      <c r="O156" s="11">
        <f>'12C (SS)Sem 1'!N54</f>
        <v>0</v>
      </c>
      <c r="P156" s="11">
        <f>'12C (SS)Sem 1'!O54</f>
        <v>0</v>
      </c>
    </row>
    <row r="157" spans="1:16" ht="20.100000000000001" customHeight="1" x14ac:dyDescent="0.25">
      <c r="A157" s="278"/>
      <c r="B157" s="279"/>
      <c r="C157" s="280"/>
      <c r="D157" s="280"/>
      <c r="E157" s="21" t="s">
        <v>22</v>
      </c>
      <c r="F157" s="11">
        <f>'12C (SS)Sem 2'!E54</f>
        <v>0</v>
      </c>
      <c r="G157" s="11">
        <f>'12C (SS)Sem 2'!F54</f>
        <v>0</v>
      </c>
      <c r="H157" s="11">
        <f>'12C (SS)Sem 2'!G54</f>
        <v>0</v>
      </c>
      <c r="I157" s="11">
        <f>'12C (SS)Sem 2'!H54</f>
        <v>0</v>
      </c>
      <c r="J157" s="11">
        <f>'12C (SS)Sem 2'!I54</f>
        <v>0</v>
      </c>
      <c r="K157" s="11">
        <f>'12C (SS)Sem 2'!J54</f>
        <v>0</v>
      </c>
      <c r="L157" s="11">
        <f>'12C (SS)Sem 2'!K54</f>
        <v>0</v>
      </c>
      <c r="M157" s="126">
        <f>'12C (SS)Sem 2'!L54</f>
        <v>0</v>
      </c>
      <c r="N157" s="11">
        <f>'12C (SS)Sem 2'!M54</f>
        <v>0</v>
      </c>
      <c r="O157" s="11">
        <f>'12C (SS)Sem 2'!N54</f>
        <v>0</v>
      </c>
      <c r="P157" s="11">
        <f>'12C (SS)Sem 2'!O54</f>
        <v>0</v>
      </c>
    </row>
    <row r="158" spans="1:16" ht="20.100000000000001" customHeight="1" x14ac:dyDescent="0.25">
      <c r="A158" s="278"/>
      <c r="B158" s="279"/>
      <c r="C158" s="280"/>
      <c r="D158" s="280"/>
      <c r="E158" s="82" t="s">
        <v>16</v>
      </c>
      <c r="F158" s="11">
        <f>AVERAGE(F156:F157)</f>
        <v>0</v>
      </c>
      <c r="G158" s="11">
        <f t="shared" ref="G158:P158" si="50">AVERAGE(G156:G157)</f>
        <v>0</v>
      </c>
      <c r="H158" s="11">
        <f t="shared" si="50"/>
        <v>0</v>
      </c>
      <c r="I158" s="11">
        <f t="shared" si="50"/>
        <v>0</v>
      </c>
      <c r="J158" s="11">
        <f t="shared" si="50"/>
        <v>0</v>
      </c>
      <c r="K158" s="11">
        <f t="shared" si="50"/>
        <v>0</v>
      </c>
      <c r="L158" s="11">
        <f t="shared" si="50"/>
        <v>0</v>
      </c>
      <c r="M158" s="11">
        <f t="shared" si="50"/>
        <v>0</v>
      </c>
      <c r="N158" s="11">
        <f>'12C Sem avr (SS)'!$H$54</f>
        <v>0</v>
      </c>
      <c r="O158" s="11">
        <f t="shared" si="50"/>
        <v>0</v>
      </c>
      <c r="P158" s="11">
        <f t="shared" si="50"/>
        <v>0</v>
      </c>
    </row>
    <row r="159" spans="1:16" ht="20.100000000000001" customHeight="1" x14ac:dyDescent="0.25">
      <c r="A159" s="278">
        <v>52</v>
      </c>
      <c r="B159" s="279"/>
      <c r="C159" s="280"/>
      <c r="D159" s="280"/>
      <c r="E159" s="21" t="s">
        <v>21</v>
      </c>
      <c r="F159" s="11">
        <f>'12C (SS)Sem 1'!E55</f>
        <v>0</v>
      </c>
      <c r="G159" s="11">
        <f>'12C (SS)Sem 1'!F55</f>
        <v>0</v>
      </c>
      <c r="H159" s="11">
        <f>'12C (SS)Sem 1'!G55</f>
        <v>0</v>
      </c>
      <c r="I159" s="11">
        <f>'12C (SS)Sem 1'!H55</f>
        <v>0</v>
      </c>
      <c r="J159" s="11">
        <f>'12C (SS)Sem 1'!I55</f>
        <v>0</v>
      </c>
      <c r="K159" s="11">
        <f>'12C (SS)Sem 1'!J55</f>
        <v>0</v>
      </c>
      <c r="L159" s="11">
        <f>'12C (SS)Sem 1'!K55</f>
        <v>0</v>
      </c>
      <c r="M159" s="126">
        <f>'12C (SS)Sem 1'!L55</f>
        <v>0</v>
      </c>
      <c r="N159" s="11">
        <f>'12C (SS)Sem 1'!M55</f>
        <v>0</v>
      </c>
      <c r="O159" s="11">
        <f>'12C (SS)Sem 1'!N55</f>
        <v>0</v>
      </c>
      <c r="P159" s="11">
        <f>'12C (SS)Sem 1'!O55</f>
        <v>0</v>
      </c>
    </row>
    <row r="160" spans="1:16" ht="20.100000000000001" customHeight="1" x14ac:dyDescent="0.25">
      <c r="A160" s="278"/>
      <c r="B160" s="279"/>
      <c r="C160" s="280"/>
      <c r="D160" s="280"/>
      <c r="E160" s="21" t="s">
        <v>22</v>
      </c>
      <c r="F160" s="11">
        <f>'12C (SS)Sem 2'!E55</f>
        <v>0</v>
      </c>
      <c r="G160" s="11">
        <f>'12C (SS)Sem 2'!F55</f>
        <v>0</v>
      </c>
      <c r="H160" s="11">
        <f>'12C (SS)Sem 2'!G55</f>
        <v>0</v>
      </c>
      <c r="I160" s="11">
        <f>'12C (SS)Sem 2'!H55</f>
        <v>0</v>
      </c>
      <c r="J160" s="11">
        <f>'12C (SS)Sem 2'!I55</f>
        <v>0</v>
      </c>
      <c r="K160" s="11">
        <f>'12C (SS)Sem 2'!J55</f>
        <v>0</v>
      </c>
      <c r="L160" s="11">
        <f>'12C (SS)Sem 2'!K55</f>
        <v>0</v>
      </c>
      <c r="M160" s="126">
        <f>'12C (SS)Sem 2'!L55</f>
        <v>0</v>
      </c>
      <c r="N160" s="11">
        <f>'12C (SS)Sem 2'!M55</f>
        <v>0</v>
      </c>
      <c r="O160" s="11">
        <f>'12C (SS)Sem 2'!N55</f>
        <v>0</v>
      </c>
      <c r="P160" s="11">
        <f>'12C (SS)Sem 2'!O55</f>
        <v>0</v>
      </c>
    </row>
    <row r="161" spans="1:16" ht="20.100000000000001" customHeight="1" x14ac:dyDescent="0.25">
      <c r="A161" s="278"/>
      <c r="B161" s="279"/>
      <c r="C161" s="280"/>
      <c r="D161" s="280"/>
      <c r="E161" s="82" t="s">
        <v>16</v>
      </c>
      <c r="F161" s="11">
        <f>AVERAGE(F159:F160)</f>
        <v>0</v>
      </c>
      <c r="G161" s="11">
        <f t="shared" ref="G161:P161" si="51">AVERAGE(G159:G160)</f>
        <v>0</v>
      </c>
      <c r="H161" s="11">
        <f t="shared" si="51"/>
        <v>0</v>
      </c>
      <c r="I161" s="11">
        <f t="shared" si="51"/>
        <v>0</v>
      </c>
      <c r="J161" s="11">
        <f t="shared" si="51"/>
        <v>0</v>
      </c>
      <c r="K161" s="11">
        <f t="shared" si="51"/>
        <v>0</v>
      </c>
      <c r="L161" s="11">
        <f t="shared" si="51"/>
        <v>0</v>
      </c>
      <c r="M161" s="11">
        <f t="shared" si="51"/>
        <v>0</v>
      </c>
      <c r="N161" s="11">
        <f>'12C Sem avr (SS)'!$H$55</f>
        <v>0</v>
      </c>
      <c r="O161" s="11">
        <f t="shared" si="51"/>
        <v>0</v>
      </c>
      <c r="P161" s="11">
        <f t="shared" si="51"/>
        <v>0</v>
      </c>
    </row>
    <row r="162" spans="1:16" ht="20.100000000000001" customHeight="1" x14ac:dyDescent="0.25">
      <c r="A162" s="278">
        <v>53</v>
      </c>
      <c r="B162" s="279"/>
      <c r="C162" s="280"/>
      <c r="D162" s="280"/>
      <c r="E162" s="21" t="s">
        <v>21</v>
      </c>
      <c r="F162" s="11">
        <f>'12C (SS)Sem 1'!E56</f>
        <v>0</v>
      </c>
      <c r="G162" s="11">
        <f>'12C (SS)Sem 1'!F56</f>
        <v>0</v>
      </c>
      <c r="H162" s="11">
        <f>'12C (SS)Sem 1'!G56</f>
        <v>0</v>
      </c>
      <c r="I162" s="11">
        <f>'12C (SS)Sem 1'!H56</f>
        <v>0</v>
      </c>
      <c r="J162" s="11">
        <f>'12C (SS)Sem 1'!I56</f>
        <v>0</v>
      </c>
      <c r="K162" s="11">
        <f>'12C (SS)Sem 1'!J56</f>
        <v>0</v>
      </c>
      <c r="L162" s="11">
        <f>'12C (SS)Sem 1'!K56</f>
        <v>0</v>
      </c>
      <c r="M162" s="126">
        <f>'12C (SS)Sem 1'!L56</f>
        <v>0</v>
      </c>
      <c r="N162" s="11">
        <f>'12C (SS)Sem 1'!M56</f>
        <v>0</v>
      </c>
      <c r="O162" s="11">
        <f>'12C (SS)Sem 1'!N56</f>
        <v>0</v>
      </c>
      <c r="P162" s="11">
        <f>'12C (SS)Sem 1'!O56</f>
        <v>0</v>
      </c>
    </row>
    <row r="163" spans="1:16" ht="20.100000000000001" customHeight="1" x14ac:dyDescent="0.25">
      <c r="A163" s="278"/>
      <c r="B163" s="279"/>
      <c r="C163" s="280"/>
      <c r="D163" s="280"/>
      <c r="E163" s="21" t="s">
        <v>22</v>
      </c>
      <c r="F163" s="11">
        <f>'12C (SS)Sem 2'!E56</f>
        <v>0</v>
      </c>
      <c r="G163" s="11">
        <f>'12C (SS)Sem 2'!F56</f>
        <v>0</v>
      </c>
      <c r="H163" s="11">
        <f>'12C (SS)Sem 2'!G56</f>
        <v>0</v>
      </c>
      <c r="I163" s="11">
        <f>'12C (SS)Sem 2'!H56</f>
        <v>0</v>
      </c>
      <c r="J163" s="11">
        <f>'12C (SS)Sem 2'!I56</f>
        <v>0</v>
      </c>
      <c r="K163" s="11">
        <f>'12C (SS)Sem 2'!J56</f>
        <v>0</v>
      </c>
      <c r="L163" s="11">
        <f>'12C (SS)Sem 2'!K56</f>
        <v>0</v>
      </c>
      <c r="M163" s="126">
        <f>'12C (SS)Sem 2'!L56</f>
        <v>0</v>
      </c>
      <c r="N163" s="11">
        <f>'12C (SS)Sem 2'!M56</f>
        <v>0</v>
      </c>
      <c r="O163" s="11">
        <f>'12C (SS)Sem 2'!N56</f>
        <v>0</v>
      </c>
      <c r="P163" s="11">
        <f>'12C (SS)Sem 2'!O56</f>
        <v>0</v>
      </c>
    </row>
    <row r="164" spans="1:16" ht="20.100000000000001" customHeight="1" x14ac:dyDescent="0.25">
      <c r="A164" s="278"/>
      <c r="B164" s="279"/>
      <c r="C164" s="280"/>
      <c r="D164" s="280"/>
      <c r="E164" s="82" t="s">
        <v>16</v>
      </c>
      <c r="F164" s="11">
        <f>AVERAGE(F162:F163)</f>
        <v>0</v>
      </c>
      <c r="G164" s="11">
        <f t="shared" ref="G164:P164" si="52">AVERAGE(G162:G163)</f>
        <v>0</v>
      </c>
      <c r="H164" s="11">
        <f t="shared" si="52"/>
        <v>0</v>
      </c>
      <c r="I164" s="11">
        <f t="shared" si="52"/>
        <v>0</v>
      </c>
      <c r="J164" s="11">
        <f t="shared" si="52"/>
        <v>0</v>
      </c>
      <c r="K164" s="11">
        <f t="shared" si="52"/>
        <v>0</v>
      </c>
      <c r="L164" s="11">
        <f t="shared" si="52"/>
        <v>0</v>
      </c>
      <c r="M164" s="11">
        <f t="shared" si="52"/>
        <v>0</v>
      </c>
      <c r="N164" s="11">
        <f>'12C Sem avr (SS)'!$H$56</f>
        <v>0</v>
      </c>
      <c r="O164" s="11">
        <f t="shared" si="52"/>
        <v>0</v>
      </c>
      <c r="P164" s="11">
        <f t="shared" si="52"/>
        <v>0</v>
      </c>
    </row>
    <row r="165" spans="1:16" ht="20.100000000000001" customHeight="1" x14ac:dyDescent="0.25">
      <c r="A165" s="278">
        <v>54</v>
      </c>
      <c r="B165" s="279"/>
      <c r="C165" s="280"/>
      <c r="D165" s="280"/>
      <c r="E165" s="21" t="s">
        <v>21</v>
      </c>
      <c r="F165" s="11">
        <f>'12C (SS)Sem 1'!E57</f>
        <v>0</v>
      </c>
      <c r="G165" s="11">
        <f>'12C (SS)Sem 1'!F57</f>
        <v>0</v>
      </c>
      <c r="H165" s="11">
        <f>'12C (SS)Sem 1'!G57</f>
        <v>0</v>
      </c>
      <c r="I165" s="11">
        <f>'12C (SS)Sem 1'!H57</f>
        <v>0</v>
      </c>
      <c r="J165" s="11">
        <f>'12C (SS)Sem 1'!I57</f>
        <v>0</v>
      </c>
      <c r="K165" s="11">
        <f>'12C (SS)Sem 1'!J57</f>
        <v>0</v>
      </c>
      <c r="L165" s="11">
        <f>'12C (SS)Sem 1'!K57</f>
        <v>0</v>
      </c>
      <c r="M165" s="126">
        <f>'12C (SS)Sem 1'!L57</f>
        <v>0</v>
      </c>
      <c r="N165" s="11">
        <f>'12C (SS)Sem 1'!M57</f>
        <v>0</v>
      </c>
      <c r="O165" s="11">
        <f>'12C (SS)Sem 1'!N57</f>
        <v>0</v>
      </c>
      <c r="P165" s="11">
        <f>'12C (SS)Sem 1'!O57</f>
        <v>0</v>
      </c>
    </row>
    <row r="166" spans="1:16" ht="20.100000000000001" customHeight="1" x14ac:dyDescent="0.25">
      <c r="A166" s="278"/>
      <c r="B166" s="279"/>
      <c r="C166" s="280"/>
      <c r="D166" s="280"/>
      <c r="E166" s="21" t="s">
        <v>22</v>
      </c>
      <c r="F166" s="11">
        <f>'12C (SS)Sem 2'!E57</f>
        <v>0</v>
      </c>
      <c r="G166" s="11">
        <f>'12C (SS)Sem 2'!F57</f>
        <v>0</v>
      </c>
      <c r="H166" s="11">
        <f>'12C (SS)Sem 2'!G57</f>
        <v>0</v>
      </c>
      <c r="I166" s="11">
        <f>'12C (SS)Sem 2'!H57</f>
        <v>0</v>
      </c>
      <c r="J166" s="11">
        <f>'12C (SS)Sem 2'!I57</f>
        <v>0</v>
      </c>
      <c r="K166" s="11">
        <f>'12C (SS)Sem 2'!J57</f>
        <v>0</v>
      </c>
      <c r="L166" s="11">
        <f>'12C (SS)Sem 2'!K57</f>
        <v>0</v>
      </c>
      <c r="M166" s="126">
        <f>'12C (SS)Sem 2'!L57</f>
        <v>0</v>
      </c>
      <c r="N166" s="11">
        <f>'12C (SS)Sem 2'!M57</f>
        <v>0</v>
      </c>
      <c r="O166" s="11">
        <f>'12C (SS)Sem 2'!N57</f>
        <v>0</v>
      </c>
      <c r="P166" s="11">
        <f>'12C (SS)Sem 2'!O57</f>
        <v>0</v>
      </c>
    </row>
    <row r="167" spans="1:16" ht="20.100000000000001" customHeight="1" x14ac:dyDescent="0.25">
      <c r="A167" s="278"/>
      <c r="B167" s="279"/>
      <c r="C167" s="280"/>
      <c r="D167" s="280"/>
      <c r="E167" s="82" t="s">
        <v>16</v>
      </c>
      <c r="F167" s="11">
        <f>AVERAGE(F165:F166)</f>
        <v>0</v>
      </c>
      <c r="G167" s="11">
        <f t="shared" ref="G167:P167" si="53">AVERAGE(G165:G166)</f>
        <v>0</v>
      </c>
      <c r="H167" s="11">
        <f t="shared" si="53"/>
        <v>0</v>
      </c>
      <c r="I167" s="11">
        <f t="shared" si="53"/>
        <v>0</v>
      </c>
      <c r="J167" s="11">
        <f t="shared" si="53"/>
        <v>0</v>
      </c>
      <c r="K167" s="11">
        <f t="shared" si="53"/>
        <v>0</v>
      </c>
      <c r="L167" s="11">
        <f t="shared" si="53"/>
        <v>0</v>
      </c>
      <c r="M167" s="11">
        <f t="shared" si="53"/>
        <v>0</v>
      </c>
      <c r="N167" s="11">
        <f>'12C Sem avr (SS)'!$H$57</f>
        <v>0</v>
      </c>
      <c r="O167" s="11">
        <f t="shared" si="53"/>
        <v>0</v>
      </c>
      <c r="P167" s="11">
        <f t="shared" si="53"/>
        <v>0</v>
      </c>
    </row>
    <row r="168" spans="1:16" ht="20.100000000000001" customHeight="1" x14ac:dyDescent="0.25">
      <c r="A168" s="278">
        <v>55</v>
      </c>
      <c r="B168" s="279"/>
      <c r="C168" s="280"/>
      <c r="D168" s="280"/>
      <c r="E168" s="21" t="s">
        <v>21</v>
      </c>
      <c r="F168" s="11">
        <f>'12C (SS)Sem 1'!E58</f>
        <v>0</v>
      </c>
      <c r="G168" s="11">
        <f>'12C (SS)Sem 1'!F58</f>
        <v>0</v>
      </c>
      <c r="H168" s="11">
        <f>'12C (SS)Sem 1'!G58</f>
        <v>0</v>
      </c>
      <c r="I168" s="11">
        <f>'12C (SS)Sem 1'!H58</f>
        <v>0</v>
      </c>
      <c r="J168" s="11">
        <f>'12C (SS)Sem 1'!I58</f>
        <v>0</v>
      </c>
      <c r="K168" s="11">
        <f>'12C (SS)Sem 1'!J58</f>
        <v>0</v>
      </c>
      <c r="L168" s="11">
        <f>'12C (SS)Sem 1'!K58</f>
        <v>0</v>
      </c>
      <c r="M168" s="126">
        <f>'12C (SS)Sem 1'!L58</f>
        <v>0</v>
      </c>
      <c r="N168" s="11">
        <f>'12C (SS)Sem 1'!M58</f>
        <v>0</v>
      </c>
      <c r="O168" s="11">
        <f>'12C (SS)Sem 1'!N58</f>
        <v>0</v>
      </c>
      <c r="P168" s="11">
        <f>'12C (SS)Sem 1'!O58</f>
        <v>0</v>
      </c>
    </row>
    <row r="169" spans="1:16" ht="20.100000000000001" customHeight="1" x14ac:dyDescent="0.25">
      <c r="A169" s="278"/>
      <c r="B169" s="279"/>
      <c r="C169" s="280"/>
      <c r="D169" s="280"/>
      <c r="E169" s="21" t="s">
        <v>22</v>
      </c>
      <c r="F169" s="11">
        <f>'12C (SS)Sem 2'!E58</f>
        <v>0</v>
      </c>
      <c r="G169" s="11">
        <f>'12C (SS)Sem 2'!F58</f>
        <v>0</v>
      </c>
      <c r="H169" s="11">
        <f>'12C (SS)Sem 2'!G58</f>
        <v>0</v>
      </c>
      <c r="I169" s="11">
        <f>'12C (SS)Sem 2'!H58</f>
        <v>0</v>
      </c>
      <c r="J169" s="11">
        <f>'12C (SS)Sem 2'!I58</f>
        <v>0</v>
      </c>
      <c r="K169" s="11">
        <f>'12C (SS)Sem 2'!J58</f>
        <v>0</v>
      </c>
      <c r="L169" s="11">
        <f>'12C (SS)Sem 2'!K58</f>
        <v>0</v>
      </c>
      <c r="M169" s="126">
        <f>'12C (SS)Sem 2'!L58</f>
        <v>0</v>
      </c>
      <c r="N169" s="11">
        <f>'12C (SS)Sem 2'!M58</f>
        <v>0</v>
      </c>
      <c r="O169" s="11">
        <f>'12C (SS)Sem 2'!N58</f>
        <v>0</v>
      </c>
      <c r="P169" s="11">
        <f>'12C (SS)Sem 2'!O58</f>
        <v>0</v>
      </c>
    </row>
    <row r="170" spans="1:16" ht="20.100000000000001" customHeight="1" x14ac:dyDescent="0.25">
      <c r="A170" s="278"/>
      <c r="B170" s="279"/>
      <c r="C170" s="280"/>
      <c r="D170" s="280"/>
      <c r="E170" s="21" t="s">
        <v>16</v>
      </c>
      <c r="F170" s="11">
        <f>AVERAGE(F168:F169)</f>
        <v>0</v>
      </c>
      <c r="G170" s="11">
        <f t="shared" ref="G170:P170" si="54">AVERAGE(G168:G169)</f>
        <v>0</v>
      </c>
      <c r="H170" s="11">
        <f t="shared" si="54"/>
        <v>0</v>
      </c>
      <c r="I170" s="11">
        <f t="shared" si="54"/>
        <v>0</v>
      </c>
      <c r="J170" s="11">
        <f t="shared" si="54"/>
        <v>0</v>
      </c>
      <c r="K170" s="11">
        <f t="shared" si="54"/>
        <v>0</v>
      </c>
      <c r="L170" s="11">
        <f t="shared" si="54"/>
        <v>0</v>
      </c>
      <c r="M170" s="11">
        <f t="shared" si="54"/>
        <v>0</v>
      </c>
      <c r="N170" s="11">
        <f>'12C Sem avr (SS)'!$H$58</f>
        <v>0</v>
      </c>
      <c r="O170" s="11">
        <f t="shared" si="54"/>
        <v>0</v>
      </c>
      <c r="P170" s="11">
        <f t="shared" si="54"/>
        <v>0</v>
      </c>
    </row>
    <row r="171" spans="1:16" ht="18" customHeight="1" x14ac:dyDescent="0.25">
      <c r="A171" s="6"/>
      <c r="B171" s="8"/>
      <c r="C171"/>
      <c r="D171"/>
    </row>
    <row r="172" spans="1:16" ht="18" customHeight="1" x14ac:dyDescent="0.25">
      <c r="A172" s="6"/>
      <c r="C172"/>
      <c r="D172"/>
    </row>
    <row r="173" spans="1:16" ht="18" customHeight="1" x14ac:dyDescent="0.25">
      <c r="A173" s="6"/>
      <c r="C173" s="5"/>
      <c r="D173" s="5"/>
      <c r="E173" s="5"/>
    </row>
    <row r="174" spans="1:16" ht="18" customHeight="1" x14ac:dyDescent="0.25">
      <c r="A174" s="6"/>
      <c r="B174" s="5"/>
      <c r="C174" s="5"/>
      <c r="D174" s="5"/>
      <c r="E174" s="5"/>
    </row>
    <row r="175" spans="1:16" ht="18" customHeight="1" x14ac:dyDescent="0.25">
      <c r="A175" s="6"/>
      <c r="B175" s="5"/>
      <c r="C175" s="5"/>
      <c r="D175" s="5"/>
      <c r="E175" s="5"/>
    </row>
    <row r="176" spans="1:16" ht="19.5" customHeight="1" x14ac:dyDescent="0.25">
      <c r="A176" s="6"/>
      <c r="B176" s="5"/>
      <c r="C176" s="5"/>
      <c r="D176" s="5"/>
      <c r="E176" s="5"/>
    </row>
    <row r="177" spans="1:5" ht="18.75" customHeight="1" x14ac:dyDescent="0.25">
      <c r="A177" s="6"/>
      <c r="B177" s="5"/>
      <c r="C177" s="5"/>
      <c r="D177" s="5"/>
      <c r="E177" s="5"/>
    </row>
    <row r="178" spans="1:5" ht="18" customHeight="1" x14ac:dyDescent="0.25">
      <c r="A178" s="6"/>
      <c r="B178" s="5"/>
      <c r="C178" s="5"/>
      <c r="D178" s="5"/>
      <c r="E178" s="5"/>
    </row>
    <row r="179" spans="1:5" ht="18" customHeight="1" x14ac:dyDescent="0.25">
      <c r="A179" s="6"/>
      <c r="B179" s="5"/>
      <c r="C179" s="5"/>
      <c r="D179" s="5"/>
      <c r="E179" s="5"/>
    </row>
    <row r="180" spans="1:5" ht="18" customHeight="1" x14ac:dyDescent="0.25">
      <c r="A180" s="6"/>
      <c r="B180" s="5"/>
      <c r="C180" s="5"/>
      <c r="D180" s="5"/>
      <c r="E180" s="5"/>
    </row>
    <row r="181" spans="1:5" ht="18" customHeight="1" x14ac:dyDescent="0.25">
      <c r="A181" s="6"/>
      <c r="B181" s="5"/>
      <c r="C181" s="5"/>
      <c r="D181" s="5"/>
      <c r="E181" s="5"/>
    </row>
    <row r="182" spans="1:5" ht="18" customHeight="1" x14ac:dyDescent="0.25">
      <c r="A182" s="6"/>
      <c r="B182" s="5"/>
      <c r="C182" s="5"/>
      <c r="D182" s="5"/>
      <c r="E182" s="5"/>
    </row>
    <row r="183" spans="1:5" ht="18" customHeight="1" x14ac:dyDescent="0.25">
      <c r="A183" s="6"/>
      <c r="B183" s="5"/>
      <c r="C183" s="5"/>
      <c r="D183" s="5"/>
      <c r="E183" s="5"/>
    </row>
    <row r="184" spans="1:5" ht="18" customHeight="1" x14ac:dyDescent="0.25">
      <c r="A184" s="6"/>
      <c r="B184" s="5"/>
      <c r="C184" s="5"/>
      <c r="D184" s="5"/>
      <c r="E184" s="5"/>
    </row>
    <row r="185" spans="1:5" ht="18" customHeight="1" x14ac:dyDescent="0.25">
      <c r="A185" s="6"/>
      <c r="B185" s="5"/>
      <c r="C185" s="5"/>
      <c r="D185" s="5"/>
      <c r="E185" s="5"/>
    </row>
    <row r="186" spans="1:5" ht="18" customHeight="1" x14ac:dyDescent="0.25">
      <c r="A186" s="6"/>
      <c r="B186" s="5"/>
      <c r="C186" s="5"/>
      <c r="D186" s="5"/>
      <c r="E186" s="5"/>
    </row>
    <row r="187" spans="1:5" ht="18" customHeight="1" x14ac:dyDescent="0.25">
      <c r="A187" s="6"/>
      <c r="B187" s="5"/>
      <c r="C187" s="5"/>
      <c r="D187" s="5"/>
      <c r="E187" s="5"/>
    </row>
    <row r="188" spans="1:5" ht="18" customHeight="1" x14ac:dyDescent="0.25">
      <c r="A188" s="6"/>
      <c r="B188" s="5"/>
      <c r="C188" s="5"/>
      <c r="D188" s="5"/>
      <c r="E188" s="5"/>
    </row>
    <row r="189" spans="1:5" ht="18" customHeight="1" x14ac:dyDescent="0.25">
      <c r="A189" s="6"/>
      <c r="B189" s="5"/>
      <c r="C189" s="5"/>
      <c r="D189" s="5"/>
      <c r="E189" s="5"/>
    </row>
    <row r="190" spans="1:5" ht="18" customHeight="1" x14ac:dyDescent="0.25">
      <c r="A190" s="6"/>
      <c r="B190" s="5"/>
      <c r="C190" s="5"/>
      <c r="D190" s="5"/>
      <c r="E190" s="5"/>
    </row>
    <row r="191" spans="1:5" ht="18" customHeight="1" x14ac:dyDescent="0.25">
      <c r="A191" s="6"/>
      <c r="B191" s="5"/>
      <c r="C191" s="5"/>
      <c r="D191" s="5"/>
      <c r="E191" s="5"/>
    </row>
    <row r="192" spans="1:5" ht="18" customHeight="1" x14ac:dyDescent="0.25">
      <c r="A192" s="6"/>
      <c r="B192" s="5"/>
      <c r="C192" s="5"/>
      <c r="D192" s="5"/>
      <c r="E192" s="5"/>
    </row>
    <row r="193" spans="1:5" ht="18" customHeight="1" x14ac:dyDescent="0.25">
      <c r="A193" s="6"/>
      <c r="B193" s="5"/>
      <c r="C193" s="5"/>
      <c r="D193" s="5"/>
      <c r="E193" s="5"/>
    </row>
    <row r="194" spans="1:5" ht="18" customHeight="1" x14ac:dyDescent="0.25">
      <c r="A194" s="6"/>
      <c r="B194" s="5"/>
      <c r="C194" s="5"/>
      <c r="D194" s="5"/>
      <c r="E194" s="5"/>
    </row>
    <row r="195" spans="1:5" ht="18" customHeight="1" x14ac:dyDescent="0.25">
      <c r="B195" s="5"/>
      <c r="C195" s="5"/>
      <c r="D195" s="5"/>
      <c r="E195" s="5"/>
    </row>
    <row r="196" spans="1:5" ht="18" customHeight="1" x14ac:dyDescent="0.25">
      <c r="B196" s="5"/>
      <c r="C196" s="5"/>
      <c r="D196" s="5"/>
      <c r="E196" s="5"/>
    </row>
    <row r="197" spans="1:5" ht="18" customHeight="1" x14ac:dyDescent="0.25">
      <c r="B197" s="5"/>
      <c r="C197" s="5"/>
      <c r="D197" s="5"/>
      <c r="E197" s="5"/>
    </row>
    <row r="198" spans="1:5" ht="18" customHeight="1" x14ac:dyDescent="0.25">
      <c r="B198" s="5"/>
      <c r="C198"/>
      <c r="D198"/>
    </row>
    <row r="199" spans="1:5" ht="18" customHeight="1" x14ac:dyDescent="0.25">
      <c r="C199"/>
      <c r="D199"/>
    </row>
    <row r="200" spans="1:5" ht="18" customHeight="1" x14ac:dyDescent="0.25">
      <c r="C200"/>
      <c r="D200"/>
    </row>
    <row r="201" spans="1:5" ht="18" customHeight="1" x14ac:dyDescent="0.25">
      <c r="C201"/>
      <c r="D201"/>
    </row>
    <row r="202" spans="1:5" ht="18" customHeight="1" x14ac:dyDescent="0.25">
      <c r="C202"/>
      <c r="D202"/>
    </row>
    <row r="203" spans="1:5" ht="18" customHeight="1" x14ac:dyDescent="0.25">
      <c r="C203"/>
      <c r="D203"/>
    </row>
    <row r="204" spans="1:5" ht="18.75" customHeight="1" x14ac:dyDescent="0.25">
      <c r="C204"/>
      <c r="D204"/>
    </row>
    <row r="205" spans="1:5" ht="18.75" customHeight="1" x14ac:dyDescent="0.25">
      <c r="C205"/>
      <c r="D205"/>
    </row>
    <row r="206" spans="1:5" ht="18.75" customHeight="1" x14ac:dyDescent="0.25">
      <c r="C206"/>
      <c r="D206"/>
    </row>
    <row r="207" spans="1:5" ht="18.75" customHeight="1" x14ac:dyDescent="0.25">
      <c r="C207"/>
      <c r="D207"/>
    </row>
    <row r="208" spans="1:5" ht="18.75" customHeight="1" x14ac:dyDescent="0.25">
      <c r="C208"/>
      <c r="D208"/>
    </row>
    <row r="209" spans="3:4" ht="18.75" customHeight="1" x14ac:dyDescent="0.25">
      <c r="C209"/>
      <c r="D209"/>
    </row>
    <row r="210" spans="3:4" ht="18.75" customHeight="1" x14ac:dyDescent="0.25">
      <c r="C210"/>
      <c r="D210"/>
    </row>
    <row r="211" spans="3:4" ht="18.75" customHeight="1" x14ac:dyDescent="0.25">
      <c r="C211"/>
      <c r="D211"/>
    </row>
    <row r="212" spans="3:4" ht="18.75" customHeight="1" x14ac:dyDescent="0.25">
      <c r="C212"/>
      <c r="D212"/>
    </row>
    <row r="213" spans="3:4" ht="18.75" customHeight="1" x14ac:dyDescent="0.25">
      <c r="C213"/>
      <c r="D213"/>
    </row>
    <row r="214" spans="3:4" ht="18.75" customHeight="1" x14ac:dyDescent="0.25">
      <c r="C214"/>
      <c r="D214"/>
    </row>
    <row r="215" spans="3:4" ht="18.75" customHeight="1" x14ac:dyDescent="0.25">
      <c r="C215"/>
      <c r="D215"/>
    </row>
    <row r="216" spans="3:4" ht="18.75" customHeight="1" x14ac:dyDescent="0.25">
      <c r="C216"/>
      <c r="D216"/>
    </row>
    <row r="217" spans="3:4" ht="18.75" customHeight="1" x14ac:dyDescent="0.25">
      <c r="C217"/>
      <c r="D217"/>
    </row>
    <row r="218" spans="3:4" ht="18.75" customHeight="1" x14ac:dyDescent="0.25">
      <c r="C218"/>
      <c r="D218"/>
    </row>
    <row r="219" spans="3:4" ht="18.75" customHeight="1" x14ac:dyDescent="0.25">
      <c r="C219"/>
      <c r="D219"/>
    </row>
    <row r="220" spans="3:4" ht="18.75" customHeight="1" x14ac:dyDescent="0.25">
      <c r="C220"/>
      <c r="D220"/>
    </row>
    <row r="221" spans="3:4" ht="18.75" customHeight="1" x14ac:dyDescent="0.25">
      <c r="C221"/>
      <c r="D221"/>
    </row>
    <row r="222" spans="3:4" ht="18.75" customHeight="1" x14ac:dyDescent="0.25">
      <c r="C222"/>
      <c r="D222"/>
    </row>
    <row r="223" spans="3:4" ht="18.75" customHeight="1" x14ac:dyDescent="0.25">
      <c r="C223"/>
      <c r="D223"/>
    </row>
    <row r="224" spans="3:4" ht="18.75" customHeight="1" x14ac:dyDescent="0.25">
      <c r="C224"/>
      <c r="D224"/>
    </row>
    <row r="225" ht="18.75" customHeight="1" x14ac:dyDescent="0.25"/>
    <row r="229" ht="19.5" customHeight="1" x14ac:dyDescent="0.25"/>
    <row r="232" ht="16.5" customHeight="1" x14ac:dyDescent="0.25"/>
    <row r="241" ht="17.25" customHeight="1" x14ac:dyDescent="0.25"/>
    <row r="244" ht="19.5" customHeight="1" x14ac:dyDescent="0.25"/>
  </sheetData>
  <mergeCells count="222">
    <mergeCell ref="D57:D59"/>
    <mergeCell ref="A1:P1"/>
    <mergeCell ref="A3:P3"/>
    <mergeCell ref="A6:A8"/>
    <mergeCell ref="B6:B8"/>
    <mergeCell ref="C6:C8"/>
    <mergeCell ref="D6:D8"/>
    <mergeCell ref="A15:A17"/>
    <mergeCell ref="B15:B17"/>
    <mergeCell ref="C15:C17"/>
    <mergeCell ref="D15:D17"/>
    <mergeCell ref="A18:A20"/>
    <mergeCell ref="B18:B20"/>
    <mergeCell ref="C18:C20"/>
    <mergeCell ref="D18:D20"/>
    <mergeCell ref="A9:A11"/>
    <mergeCell ref="B9:B11"/>
    <mergeCell ref="C9:C11"/>
    <mergeCell ref="D9:D11"/>
    <mergeCell ref="A12:A14"/>
    <mergeCell ref="B12:B14"/>
    <mergeCell ref="C12:C14"/>
    <mergeCell ref="D12:D14"/>
    <mergeCell ref="A27:A29"/>
    <mergeCell ref="B27:B29"/>
    <mergeCell ref="C27:C29"/>
    <mergeCell ref="D27:D29"/>
    <mergeCell ref="A30:A32"/>
    <mergeCell ref="B30:B32"/>
    <mergeCell ref="C30:C32"/>
    <mergeCell ref="D30:D32"/>
    <mergeCell ref="A21:A23"/>
    <mergeCell ref="B21:B23"/>
    <mergeCell ref="C21:C23"/>
    <mergeCell ref="D21:D23"/>
    <mergeCell ref="A24:A26"/>
    <mergeCell ref="B24:B26"/>
    <mergeCell ref="C24:C26"/>
    <mergeCell ref="D24:D26"/>
    <mergeCell ref="A39:A41"/>
    <mergeCell ref="B39:B41"/>
    <mergeCell ref="C39:C41"/>
    <mergeCell ref="D39:D41"/>
    <mergeCell ref="A42:A44"/>
    <mergeCell ref="B42:B44"/>
    <mergeCell ref="C42:C44"/>
    <mergeCell ref="D42:D44"/>
    <mergeCell ref="A33:A35"/>
    <mergeCell ref="B33:B35"/>
    <mergeCell ref="C33:C35"/>
    <mergeCell ref="D33:D35"/>
    <mergeCell ref="A36:A38"/>
    <mergeCell ref="B36:B38"/>
    <mergeCell ref="C36:C38"/>
    <mergeCell ref="D36:D38"/>
    <mergeCell ref="D51:D53"/>
    <mergeCell ref="A54:A56"/>
    <mergeCell ref="B54:B56"/>
    <mergeCell ref="C54:C56"/>
    <mergeCell ref="D54:D56"/>
    <mergeCell ref="A45:A47"/>
    <mergeCell ref="B45:B47"/>
    <mergeCell ref="C45:C47"/>
    <mergeCell ref="D45:D47"/>
    <mergeCell ref="A48:A50"/>
    <mergeCell ref="B48:B50"/>
    <mergeCell ref="C48:C50"/>
    <mergeCell ref="D48:D50"/>
    <mergeCell ref="A57:A59"/>
    <mergeCell ref="B57:B59"/>
    <mergeCell ref="C57:C59"/>
    <mergeCell ref="A60:A62"/>
    <mergeCell ref="B60:B62"/>
    <mergeCell ref="C60:C62"/>
    <mergeCell ref="A51:A53"/>
    <mergeCell ref="B51:B53"/>
    <mergeCell ref="C51:C53"/>
    <mergeCell ref="A69:A71"/>
    <mergeCell ref="B69:B71"/>
    <mergeCell ref="C69:C71"/>
    <mergeCell ref="D69:D71"/>
    <mergeCell ref="A72:A74"/>
    <mergeCell ref="B72:B74"/>
    <mergeCell ref="C72:C74"/>
    <mergeCell ref="D72:D74"/>
    <mergeCell ref="D60:D62"/>
    <mergeCell ref="A63:A65"/>
    <mergeCell ref="B63:B65"/>
    <mergeCell ref="C63:C65"/>
    <mergeCell ref="D63:D65"/>
    <mergeCell ref="A66:A68"/>
    <mergeCell ref="B66:B68"/>
    <mergeCell ref="C66:C68"/>
    <mergeCell ref="D66:D68"/>
    <mergeCell ref="A81:A83"/>
    <mergeCell ref="B81:B83"/>
    <mergeCell ref="C81:C83"/>
    <mergeCell ref="D81:D83"/>
    <mergeCell ref="A84:A86"/>
    <mergeCell ref="B84:B86"/>
    <mergeCell ref="C84:C86"/>
    <mergeCell ref="D84:D86"/>
    <mergeCell ref="A75:A77"/>
    <mergeCell ref="B75:B77"/>
    <mergeCell ref="C75:C77"/>
    <mergeCell ref="D75:D77"/>
    <mergeCell ref="A78:A80"/>
    <mergeCell ref="B78:B80"/>
    <mergeCell ref="C78:C80"/>
    <mergeCell ref="D78:D80"/>
    <mergeCell ref="A93:A95"/>
    <mergeCell ref="B93:B95"/>
    <mergeCell ref="C93:C95"/>
    <mergeCell ref="D93:D95"/>
    <mergeCell ref="A96:A98"/>
    <mergeCell ref="B96:B98"/>
    <mergeCell ref="C96:C98"/>
    <mergeCell ref="D96:D98"/>
    <mergeCell ref="A87:A89"/>
    <mergeCell ref="B87:B89"/>
    <mergeCell ref="C87:C89"/>
    <mergeCell ref="D87:D89"/>
    <mergeCell ref="A90:A92"/>
    <mergeCell ref="B90:B92"/>
    <mergeCell ref="C90:C92"/>
    <mergeCell ref="D90:D92"/>
    <mergeCell ref="A105:A107"/>
    <mergeCell ref="B105:B107"/>
    <mergeCell ref="C105:C107"/>
    <mergeCell ref="D105:D107"/>
    <mergeCell ref="A108:A110"/>
    <mergeCell ref="B108:B110"/>
    <mergeCell ref="C108:C110"/>
    <mergeCell ref="D108:D110"/>
    <mergeCell ref="A99:A101"/>
    <mergeCell ref="B99:B101"/>
    <mergeCell ref="C99:C101"/>
    <mergeCell ref="D99:D101"/>
    <mergeCell ref="A102:A104"/>
    <mergeCell ref="B102:B104"/>
    <mergeCell ref="C102:C104"/>
    <mergeCell ref="D102:D104"/>
    <mergeCell ref="A117:A119"/>
    <mergeCell ref="B117:B119"/>
    <mergeCell ref="C117:C119"/>
    <mergeCell ref="D117:D119"/>
    <mergeCell ref="A111:A113"/>
    <mergeCell ref="B111:B113"/>
    <mergeCell ref="C111:C113"/>
    <mergeCell ref="D111:D113"/>
    <mergeCell ref="A114:A116"/>
    <mergeCell ref="B114:B116"/>
    <mergeCell ref="C114:C116"/>
    <mergeCell ref="D114:D116"/>
    <mergeCell ref="A120:A122"/>
    <mergeCell ref="B120:B122"/>
    <mergeCell ref="C120:C122"/>
    <mergeCell ref="D120:D122"/>
    <mergeCell ref="A123:A125"/>
    <mergeCell ref="B123:B125"/>
    <mergeCell ref="C123:C125"/>
    <mergeCell ref="D123:D125"/>
    <mergeCell ref="A126:A128"/>
    <mergeCell ref="B126:B128"/>
    <mergeCell ref="C126:C128"/>
    <mergeCell ref="D126:D128"/>
    <mergeCell ref="A129:A131"/>
    <mergeCell ref="B129:B131"/>
    <mergeCell ref="C129:C131"/>
    <mergeCell ref="D129:D131"/>
    <mergeCell ref="A132:A134"/>
    <mergeCell ref="B132:B134"/>
    <mergeCell ref="C132:C134"/>
    <mergeCell ref="D132:D134"/>
    <mergeCell ref="A135:A137"/>
    <mergeCell ref="B135:B137"/>
    <mergeCell ref="C135:C137"/>
    <mergeCell ref="D135:D137"/>
    <mergeCell ref="A138:A140"/>
    <mergeCell ref="B138:B140"/>
    <mergeCell ref="C138:C140"/>
    <mergeCell ref="D138:D140"/>
    <mergeCell ref="A141:A143"/>
    <mergeCell ref="B141:B143"/>
    <mergeCell ref="C141:C143"/>
    <mergeCell ref="D141:D143"/>
    <mergeCell ref="A144:A146"/>
    <mergeCell ref="B144:B146"/>
    <mergeCell ref="C144:C146"/>
    <mergeCell ref="D144:D146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53:A155"/>
    <mergeCell ref="B153:B155"/>
    <mergeCell ref="C153:C155"/>
    <mergeCell ref="D153:D155"/>
    <mergeCell ref="A165:A167"/>
    <mergeCell ref="B165:B167"/>
    <mergeCell ref="C165:C167"/>
    <mergeCell ref="D165:D167"/>
    <mergeCell ref="A168:A170"/>
    <mergeCell ref="B168:B170"/>
    <mergeCell ref="C168:C170"/>
    <mergeCell ref="D168:D170"/>
    <mergeCell ref="A156:A158"/>
    <mergeCell ref="B156:B158"/>
    <mergeCell ref="C156:C158"/>
    <mergeCell ref="D156:D158"/>
    <mergeCell ref="A159:A161"/>
    <mergeCell ref="B159:B161"/>
    <mergeCell ref="C159:C161"/>
    <mergeCell ref="D159:D161"/>
    <mergeCell ref="A162:A164"/>
    <mergeCell ref="B162:B164"/>
    <mergeCell ref="C162:C164"/>
    <mergeCell ref="D162:D164"/>
  </mergeCells>
  <pageMargins left="0.7" right="0.7" top="0.75" bottom="0.75" header="0.3" footer="0.3"/>
  <pageSetup paperSize="9" scale="80" orientation="landscape" verticalDpi="4294967295" r:id="rId1"/>
  <rowBreaks count="3" manualBreakCount="3">
    <brk id="26" max="16383" man="1"/>
    <brk id="83" max="16383" man="1"/>
    <brk id="110" max="16383" man="1"/>
  </rowBreaks>
  <ignoredErrors>
    <ignoredError sqref="N8:N170" formula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topLeftCell="A25" zoomScaleNormal="100" workbookViewId="0">
      <selection activeCell="B34" sqref="B4:B34"/>
    </sheetView>
  </sheetViews>
  <sheetFormatPr defaultRowHeight="15" x14ac:dyDescent="0.25"/>
  <cols>
    <col min="1" max="1" width="6.7109375" style="10" customWidth="1"/>
    <col min="2" max="2" width="35.140625" bestFit="1" customWidth="1"/>
    <col min="3" max="3" width="4.7109375" customWidth="1"/>
    <col min="4" max="4" width="4.140625" customWidth="1"/>
    <col min="5" max="11" width="7.7109375" customWidth="1"/>
    <col min="12" max="15" width="7.7109375" style="10" customWidth="1"/>
  </cols>
  <sheetData>
    <row r="1" spans="1:15" ht="20.25" x14ac:dyDescent="0.25">
      <c r="A1" s="222" t="s">
        <v>76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</row>
    <row r="2" spans="1:15" ht="15.75" thickBot="1" x14ac:dyDescent="0.3">
      <c r="A2" s="225" t="s">
        <v>77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</row>
    <row r="3" spans="1:15" ht="67.5" customHeight="1" thickBot="1" x14ac:dyDescent="0.3">
      <c r="A3" s="13" t="s">
        <v>24</v>
      </c>
      <c r="B3" s="14" t="s">
        <v>1</v>
      </c>
      <c r="C3" s="15" t="s">
        <v>2</v>
      </c>
      <c r="D3" s="14" t="s">
        <v>3</v>
      </c>
      <c r="E3" s="121" t="s">
        <v>5</v>
      </c>
      <c r="F3" s="121" t="s">
        <v>6</v>
      </c>
      <c r="G3" s="121" t="s">
        <v>11</v>
      </c>
      <c r="H3" s="121" t="s">
        <v>10</v>
      </c>
      <c r="I3" s="121" t="s">
        <v>67</v>
      </c>
      <c r="J3" s="121" t="s">
        <v>65</v>
      </c>
      <c r="K3" s="121" t="s">
        <v>15</v>
      </c>
      <c r="L3" s="121" t="s">
        <v>16</v>
      </c>
      <c r="M3" s="121" t="s">
        <v>17</v>
      </c>
      <c r="N3" s="121" t="s">
        <v>18</v>
      </c>
      <c r="O3" s="77" t="s">
        <v>19</v>
      </c>
    </row>
    <row r="4" spans="1:15" ht="20.100000000000001" customHeight="1" x14ac:dyDescent="0.25">
      <c r="A4" s="154">
        <v>1</v>
      </c>
      <c r="B4" s="141"/>
      <c r="C4" s="145">
        <v>19</v>
      </c>
      <c r="D4" s="145" t="s">
        <v>20</v>
      </c>
      <c r="E4" s="100">
        <v>67</v>
      </c>
      <c r="F4" s="22">
        <v>64</v>
      </c>
      <c r="G4" s="22">
        <v>58</v>
      </c>
      <c r="H4" s="22">
        <v>66</v>
      </c>
      <c r="I4" s="22">
        <v>86</v>
      </c>
      <c r="J4" s="22">
        <v>55</v>
      </c>
      <c r="K4" s="22">
        <f>SUM(E4:J4)</f>
        <v>396</v>
      </c>
      <c r="L4" s="25">
        <f>AVERAGE(E4:J4)</f>
        <v>66</v>
      </c>
      <c r="M4" s="81">
        <f>RANK(L4,$L$4:$L$34)</f>
        <v>22</v>
      </c>
      <c r="N4" s="11"/>
      <c r="O4" s="11"/>
    </row>
    <row r="5" spans="1:15" ht="20.100000000000001" customHeight="1" x14ac:dyDescent="0.25">
      <c r="A5" s="155">
        <v>2</v>
      </c>
      <c r="B5" s="141"/>
      <c r="C5" s="145">
        <v>22</v>
      </c>
      <c r="D5" s="145" t="s">
        <v>20</v>
      </c>
      <c r="E5" s="100">
        <v>64</v>
      </c>
      <c r="F5" s="22">
        <v>52</v>
      </c>
      <c r="G5" s="22">
        <v>71</v>
      </c>
      <c r="H5" s="22">
        <v>76</v>
      </c>
      <c r="I5" s="22">
        <v>72</v>
      </c>
      <c r="J5" s="22">
        <v>67</v>
      </c>
      <c r="K5" s="22">
        <f t="shared" ref="K5:K34" si="0">SUM(E5:J5)</f>
        <v>402</v>
      </c>
      <c r="L5" s="25">
        <f t="shared" ref="L5:L34" si="1">AVERAGE(E5:J5)</f>
        <v>67</v>
      </c>
      <c r="M5" s="81">
        <f t="shared" ref="M5:M34" si="2">RANK(L5,$L$4:$L$34)</f>
        <v>20</v>
      </c>
      <c r="N5" s="11"/>
      <c r="O5" s="11"/>
    </row>
    <row r="6" spans="1:15" ht="20.100000000000001" customHeight="1" x14ac:dyDescent="0.25">
      <c r="A6" s="156">
        <v>3</v>
      </c>
      <c r="B6" s="141"/>
      <c r="C6" s="145">
        <v>18</v>
      </c>
      <c r="D6" s="145" t="s">
        <v>23</v>
      </c>
      <c r="E6" s="100">
        <v>87</v>
      </c>
      <c r="F6" s="22">
        <v>48</v>
      </c>
      <c r="G6" s="22">
        <v>69</v>
      </c>
      <c r="H6" s="22">
        <v>79</v>
      </c>
      <c r="I6" s="22">
        <v>92</v>
      </c>
      <c r="J6" s="22">
        <v>69</v>
      </c>
      <c r="K6" s="22">
        <f t="shared" si="0"/>
        <v>444</v>
      </c>
      <c r="L6" s="25">
        <f t="shared" si="1"/>
        <v>74</v>
      </c>
      <c r="M6" s="81">
        <f t="shared" si="2"/>
        <v>10</v>
      </c>
      <c r="N6" s="11"/>
      <c r="O6" s="11"/>
    </row>
    <row r="7" spans="1:15" ht="20.100000000000001" customHeight="1" x14ac:dyDescent="0.25">
      <c r="A7" s="155">
        <v>4</v>
      </c>
      <c r="B7" s="141"/>
      <c r="C7" s="145">
        <v>18</v>
      </c>
      <c r="D7" s="145" t="s">
        <v>20</v>
      </c>
      <c r="E7" s="100">
        <v>58</v>
      </c>
      <c r="F7" s="22">
        <v>45</v>
      </c>
      <c r="G7" s="22">
        <v>58</v>
      </c>
      <c r="H7" s="22">
        <v>64</v>
      </c>
      <c r="I7" s="22">
        <v>69</v>
      </c>
      <c r="J7" s="22">
        <v>58</v>
      </c>
      <c r="K7" s="22">
        <f t="shared" si="0"/>
        <v>352</v>
      </c>
      <c r="L7" s="25">
        <f t="shared" si="1"/>
        <v>58.666666666666664</v>
      </c>
      <c r="M7" s="81">
        <f t="shared" si="2"/>
        <v>26</v>
      </c>
      <c r="N7" s="11"/>
      <c r="O7" s="11"/>
    </row>
    <row r="8" spans="1:15" ht="20.100000000000001" customHeight="1" x14ac:dyDescent="0.25">
      <c r="A8" s="155">
        <v>5</v>
      </c>
      <c r="B8" s="141"/>
      <c r="C8" s="145">
        <v>17</v>
      </c>
      <c r="D8" s="145" t="s">
        <v>20</v>
      </c>
      <c r="E8" s="100">
        <v>82</v>
      </c>
      <c r="F8" s="22">
        <v>67</v>
      </c>
      <c r="G8" s="22">
        <v>82</v>
      </c>
      <c r="H8" s="22">
        <v>91</v>
      </c>
      <c r="I8" s="22">
        <v>97</v>
      </c>
      <c r="J8" s="22">
        <v>77</v>
      </c>
      <c r="K8" s="22">
        <f t="shared" si="0"/>
        <v>496</v>
      </c>
      <c r="L8" s="25">
        <f t="shared" si="1"/>
        <v>82.666666666666671</v>
      </c>
      <c r="M8" s="81">
        <f t="shared" si="2"/>
        <v>6</v>
      </c>
      <c r="N8" s="11"/>
      <c r="O8" s="11"/>
    </row>
    <row r="9" spans="1:15" ht="20.100000000000001" customHeight="1" x14ac:dyDescent="0.25">
      <c r="A9" s="156">
        <v>6</v>
      </c>
      <c r="B9" s="141"/>
      <c r="C9" s="145">
        <v>18</v>
      </c>
      <c r="D9" s="145" t="s">
        <v>23</v>
      </c>
      <c r="E9" s="100">
        <v>62</v>
      </c>
      <c r="F9" s="22">
        <v>46</v>
      </c>
      <c r="G9" s="22">
        <v>77</v>
      </c>
      <c r="H9" s="22">
        <v>72</v>
      </c>
      <c r="I9" s="22">
        <v>80</v>
      </c>
      <c r="J9" s="22">
        <v>71</v>
      </c>
      <c r="K9" s="22">
        <f t="shared" si="0"/>
        <v>408</v>
      </c>
      <c r="L9" s="25">
        <f t="shared" si="1"/>
        <v>68</v>
      </c>
      <c r="M9" s="81">
        <f t="shared" si="2"/>
        <v>17</v>
      </c>
      <c r="N9" s="11"/>
      <c r="O9" s="11"/>
    </row>
    <row r="10" spans="1:15" ht="20.100000000000001" customHeight="1" x14ac:dyDescent="0.25">
      <c r="A10" s="155">
        <v>7</v>
      </c>
      <c r="B10" s="141"/>
      <c r="C10" s="145">
        <v>18</v>
      </c>
      <c r="D10" s="145" t="s">
        <v>23</v>
      </c>
      <c r="E10" s="100">
        <v>50</v>
      </c>
      <c r="F10" s="22">
        <v>43</v>
      </c>
      <c r="G10" s="22">
        <v>56</v>
      </c>
      <c r="H10" s="22">
        <v>54</v>
      </c>
      <c r="I10" s="22">
        <v>50</v>
      </c>
      <c r="J10" s="22">
        <v>38</v>
      </c>
      <c r="K10" s="22">
        <f t="shared" si="0"/>
        <v>291</v>
      </c>
      <c r="L10" s="25">
        <f t="shared" si="1"/>
        <v>48.5</v>
      </c>
      <c r="M10" s="81">
        <f t="shared" si="2"/>
        <v>30</v>
      </c>
      <c r="N10" s="11"/>
      <c r="O10" s="11"/>
    </row>
    <row r="11" spans="1:15" ht="20.100000000000001" customHeight="1" x14ac:dyDescent="0.25">
      <c r="A11" s="155">
        <v>8</v>
      </c>
      <c r="B11" s="141"/>
      <c r="C11" s="145">
        <v>16</v>
      </c>
      <c r="D11" s="145" t="s">
        <v>23</v>
      </c>
      <c r="E11" s="100">
        <v>68</v>
      </c>
      <c r="F11" s="22">
        <v>61</v>
      </c>
      <c r="G11" s="22">
        <v>62</v>
      </c>
      <c r="H11" s="22">
        <v>71</v>
      </c>
      <c r="I11" s="22">
        <v>76</v>
      </c>
      <c r="J11" s="22">
        <v>69</v>
      </c>
      <c r="K11" s="22">
        <f t="shared" si="0"/>
        <v>407</v>
      </c>
      <c r="L11" s="25">
        <f t="shared" si="1"/>
        <v>67.833333333333329</v>
      </c>
      <c r="M11" s="81">
        <f t="shared" si="2"/>
        <v>18</v>
      </c>
      <c r="N11" s="11"/>
      <c r="O11" s="11"/>
    </row>
    <row r="12" spans="1:15" ht="20.100000000000001" customHeight="1" x14ac:dyDescent="0.25">
      <c r="A12" s="156">
        <v>9</v>
      </c>
      <c r="B12" s="141"/>
      <c r="C12" s="145">
        <v>18</v>
      </c>
      <c r="D12" s="145" t="s">
        <v>20</v>
      </c>
      <c r="E12" s="100">
        <v>72</v>
      </c>
      <c r="F12" s="22">
        <v>54</v>
      </c>
      <c r="G12" s="22">
        <v>72</v>
      </c>
      <c r="H12" s="22">
        <v>70</v>
      </c>
      <c r="I12" s="22">
        <v>87</v>
      </c>
      <c r="J12" s="22">
        <v>64</v>
      </c>
      <c r="K12" s="22">
        <f t="shared" si="0"/>
        <v>419</v>
      </c>
      <c r="L12" s="25">
        <f t="shared" si="1"/>
        <v>69.833333333333329</v>
      </c>
      <c r="M12" s="81">
        <f t="shared" si="2"/>
        <v>14</v>
      </c>
      <c r="N12" s="11"/>
      <c r="O12" s="11"/>
    </row>
    <row r="13" spans="1:15" ht="20.100000000000001" customHeight="1" x14ac:dyDescent="0.25">
      <c r="A13" s="155">
        <v>10</v>
      </c>
      <c r="B13" s="141"/>
      <c r="C13" s="145">
        <v>18</v>
      </c>
      <c r="D13" s="145" t="s">
        <v>23</v>
      </c>
      <c r="E13" s="100">
        <v>93</v>
      </c>
      <c r="F13" s="22">
        <v>50</v>
      </c>
      <c r="G13" s="22">
        <v>86</v>
      </c>
      <c r="H13" s="22">
        <v>91</v>
      </c>
      <c r="I13" s="22">
        <v>91</v>
      </c>
      <c r="J13" s="22">
        <v>82</v>
      </c>
      <c r="K13" s="22">
        <f t="shared" si="0"/>
        <v>493</v>
      </c>
      <c r="L13" s="25">
        <f t="shared" si="1"/>
        <v>82.166666666666671</v>
      </c>
      <c r="M13" s="81">
        <f t="shared" si="2"/>
        <v>7</v>
      </c>
      <c r="N13" s="11"/>
      <c r="O13" s="11"/>
    </row>
    <row r="14" spans="1:15" ht="20.100000000000001" customHeight="1" x14ac:dyDescent="0.25">
      <c r="A14" s="156">
        <v>11</v>
      </c>
      <c r="B14" s="141"/>
      <c r="C14" s="145">
        <v>18</v>
      </c>
      <c r="D14" s="145" t="s">
        <v>20</v>
      </c>
      <c r="E14" s="100">
        <v>72</v>
      </c>
      <c r="F14" s="22">
        <v>59</v>
      </c>
      <c r="G14" s="22">
        <v>59</v>
      </c>
      <c r="H14" s="22">
        <v>60</v>
      </c>
      <c r="I14" s="22">
        <v>82</v>
      </c>
      <c r="J14" s="22">
        <v>57</v>
      </c>
      <c r="K14" s="22">
        <f t="shared" si="0"/>
        <v>389</v>
      </c>
      <c r="L14" s="25">
        <f t="shared" si="1"/>
        <v>64.833333333333329</v>
      </c>
      <c r="M14" s="81">
        <f t="shared" si="2"/>
        <v>24</v>
      </c>
      <c r="N14" s="11"/>
      <c r="O14" s="11"/>
    </row>
    <row r="15" spans="1:15" ht="20.100000000000001" customHeight="1" x14ac:dyDescent="0.25">
      <c r="A15" s="156">
        <v>12</v>
      </c>
      <c r="B15" s="141"/>
      <c r="C15" s="145">
        <v>18</v>
      </c>
      <c r="D15" s="145" t="s">
        <v>23</v>
      </c>
      <c r="E15" s="100">
        <v>53</v>
      </c>
      <c r="F15" s="22">
        <v>43</v>
      </c>
      <c r="G15" s="22">
        <v>57</v>
      </c>
      <c r="H15" s="22">
        <v>57</v>
      </c>
      <c r="I15" s="22">
        <v>61</v>
      </c>
      <c r="J15" s="22">
        <v>46</v>
      </c>
      <c r="K15" s="22">
        <f t="shared" si="0"/>
        <v>317</v>
      </c>
      <c r="L15" s="25">
        <f t="shared" si="1"/>
        <v>52.833333333333336</v>
      </c>
      <c r="M15" s="81">
        <f t="shared" si="2"/>
        <v>28</v>
      </c>
      <c r="N15" s="11"/>
      <c r="O15" s="11"/>
    </row>
    <row r="16" spans="1:15" ht="20.100000000000001" customHeight="1" x14ac:dyDescent="0.25">
      <c r="A16" s="156">
        <v>13</v>
      </c>
      <c r="B16" s="141"/>
      <c r="C16" s="145">
        <v>17</v>
      </c>
      <c r="D16" s="145" t="s">
        <v>23</v>
      </c>
      <c r="E16" s="100">
        <v>90</v>
      </c>
      <c r="F16" s="22">
        <v>74</v>
      </c>
      <c r="G16" s="22">
        <v>96</v>
      </c>
      <c r="H16" s="22">
        <v>94</v>
      </c>
      <c r="I16" s="22">
        <v>94</v>
      </c>
      <c r="J16" s="22">
        <v>94</v>
      </c>
      <c r="K16" s="22">
        <f t="shared" si="0"/>
        <v>542</v>
      </c>
      <c r="L16" s="25">
        <f t="shared" si="1"/>
        <v>90.333333333333329</v>
      </c>
      <c r="M16" s="81">
        <f t="shared" si="2"/>
        <v>2</v>
      </c>
      <c r="N16" s="11"/>
      <c r="O16" s="11"/>
    </row>
    <row r="17" spans="1:15" ht="20.100000000000001" customHeight="1" x14ac:dyDescent="0.25">
      <c r="A17" s="155">
        <v>14</v>
      </c>
      <c r="B17" s="141"/>
      <c r="C17" s="145">
        <v>18</v>
      </c>
      <c r="D17" s="145" t="s">
        <v>23</v>
      </c>
      <c r="E17" s="100">
        <v>60</v>
      </c>
      <c r="F17" s="22">
        <v>50</v>
      </c>
      <c r="G17" s="22">
        <v>56</v>
      </c>
      <c r="H17" s="22">
        <v>64</v>
      </c>
      <c r="I17" s="22">
        <v>72</v>
      </c>
      <c r="J17" s="22">
        <v>52</v>
      </c>
      <c r="K17" s="22">
        <f t="shared" si="0"/>
        <v>354</v>
      </c>
      <c r="L17" s="25">
        <f t="shared" si="1"/>
        <v>59</v>
      </c>
      <c r="M17" s="81">
        <f t="shared" si="2"/>
        <v>25</v>
      </c>
      <c r="N17" s="11"/>
      <c r="O17" s="11"/>
    </row>
    <row r="18" spans="1:15" ht="20.100000000000001" customHeight="1" x14ac:dyDescent="0.25">
      <c r="A18" s="156">
        <v>15</v>
      </c>
      <c r="B18" s="141"/>
      <c r="C18" s="145">
        <v>17</v>
      </c>
      <c r="D18" s="145" t="s">
        <v>20</v>
      </c>
      <c r="E18" s="100">
        <v>85</v>
      </c>
      <c r="F18" s="22">
        <v>84</v>
      </c>
      <c r="G18" s="23">
        <v>91</v>
      </c>
      <c r="H18" s="22">
        <v>90</v>
      </c>
      <c r="I18" s="22">
        <v>85</v>
      </c>
      <c r="J18" s="22">
        <v>86</v>
      </c>
      <c r="K18" s="22">
        <f t="shared" si="0"/>
        <v>521</v>
      </c>
      <c r="L18" s="25">
        <f t="shared" si="1"/>
        <v>86.833333333333329</v>
      </c>
      <c r="M18" s="81">
        <f t="shared" si="2"/>
        <v>3</v>
      </c>
      <c r="N18" s="11"/>
      <c r="O18" s="11"/>
    </row>
    <row r="19" spans="1:15" ht="20.100000000000001" customHeight="1" x14ac:dyDescent="0.25">
      <c r="A19" s="155">
        <v>16</v>
      </c>
      <c r="B19" s="141"/>
      <c r="C19" s="145">
        <v>17</v>
      </c>
      <c r="D19" s="145" t="s">
        <v>23</v>
      </c>
      <c r="E19" s="100">
        <v>76</v>
      </c>
      <c r="F19" s="22">
        <v>57</v>
      </c>
      <c r="G19" s="22">
        <v>64</v>
      </c>
      <c r="H19" s="22">
        <v>73</v>
      </c>
      <c r="I19" s="22">
        <v>73</v>
      </c>
      <c r="J19" s="22">
        <v>66</v>
      </c>
      <c r="K19" s="22">
        <f t="shared" si="0"/>
        <v>409</v>
      </c>
      <c r="L19" s="25">
        <f t="shared" si="1"/>
        <v>68.166666666666671</v>
      </c>
      <c r="M19" s="81">
        <f t="shared" si="2"/>
        <v>16</v>
      </c>
      <c r="N19" s="11"/>
      <c r="O19" s="11"/>
    </row>
    <row r="20" spans="1:15" ht="20.100000000000001" customHeight="1" x14ac:dyDescent="0.25">
      <c r="A20" s="155">
        <v>17</v>
      </c>
      <c r="B20" s="141"/>
      <c r="C20" s="145">
        <v>17</v>
      </c>
      <c r="D20" s="145" t="s">
        <v>23</v>
      </c>
      <c r="E20" s="100">
        <v>86</v>
      </c>
      <c r="F20" s="22">
        <v>85</v>
      </c>
      <c r="G20" s="22">
        <v>83</v>
      </c>
      <c r="H20" s="22">
        <v>84</v>
      </c>
      <c r="I20" s="22">
        <v>97</v>
      </c>
      <c r="J20" s="22">
        <v>80</v>
      </c>
      <c r="K20" s="22">
        <f t="shared" si="0"/>
        <v>515</v>
      </c>
      <c r="L20" s="25">
        <f t="shared" si="1"/>
        <v>85.833333333333329</v>
      </c>
      <c r="M20" s="81">
        <f t="shared" si="2"/>
        <v>4</v>
      </c>
      <c r="N20" s="11"/>
      <c r="O20" s="11"/>
    </row>
    <row r="21" spans="1:15" ht="20.100000000000001" customHeight="1" x14ac:dyDescent="0.25">
      <c r="A21" s="155">
        <v>18</v>
      </c>
      <c r="B21" s="141"/>
      <c r="C21" s="145">
        <v>18</v>
      </c>
      <c r="D21" s="145" t="s">
        <v>23</v>
      </c>
      <c r="E21" s="100">
        <v>46</v>
      </c>
      <c r="F21" s="22">
        <v>44</v>
      </c>
      <c r="G21" s="23">
        <v>65</v>
      </c>
      <c r="H21" s="22">
        <v>50</v>
      </c>
      <c r="I21" s="22">
        <v>51</v>
      </c>
      <c r="J21" s="22">
        <v>40</v>
      </c>
      <c r="K21" s="22">
        <f t="shared" si="0"/>
        <v>296</v>
      </c>
      <c r="L21" s="25">
        <f t="shared" si="1"/>
        <v>49.333333333333336</v>
      </c>
      <c r="M21" s="81">
        <f t="shared" si="2"/>
        <v>29</v>
      </c>
      <c r="N21" s="11"/>
      <c r="O21" s="11"/>
    </row>
    <row r="22" spans="1:15" ht="20.100000000000001" customHeight="1" x14ac:dyDescent="0.25">
      <c r="A22" s="156">
        <v>19</v>
      </c>
      <c r="B22" s="141"/>
      <c r="C22" s="145">
        <v>18</v>
      </c>
      <c r="D22" s="145" t="s">
        <v>20</v>
      </c>
      <c r="E22" s="100">
        <v>78</v>
      </c>
      <c r="F22" s="22">
        <v>56</v>
      </c>
      <c r="G22" s="22">
        <v>78</v>
      </c>
      <c r="H22" s="22">
        <v>79</v>
      </c>
      <c r="I22" s="22">
        <v>85</v>
      </c>
      <c r="J22" s="22">
        <v>66</v>
      </c>
      <c r="K22" s="22">
        <f t="shared" si="0"/>
        <v>442</v>
      </c>
      <c r="L22" s="25">
        <f t="shared" si="1"/>
        <v>73.666666666666671</v>
      </c>
      <c r="M22" s="81">
        <f t="shared" si="2"/>
        <v>11</v>
      </c>
      <c r="N22" s="11"/>
      <c r="O22" s="11"/>
    </row>
    <row r="23" spans="1:15" ht="20.100000000000001" customHeight="1" x14ac:dyDescent="0.25">
      <c r="A23" s="156">
        <v>20</v>
      </c>
      <c r="B23" s="141"/>
      <c r="C23" s="145">
        <v>17</v>
      </c>
      <c r="D23" s="145" t="s">
        <v>23</v>
      </c>
      <c r="E23" s="100">
        <v>90</v>
      </c>
      <c r="F23" s="22">
        <v>91</v>
      </c>
      <c r="G23" s="22">
        <v>90</v>
      </c>
      <c r="H23" s="22">
        <v>93</v>
      </c>
      <c r="I23" s="22">
        <v>97</v>
      </c>
      <c r="J23" s="22">
        <v>95</v>
      </c>
      <c r="K23" s="22">
        <f t="shared" si="0"/>
        <v>556</v>
      </c>
      <c r="L23" s="25">
        <f t="shared" si="1"/>
        <v>92.666666666666671</v>
      </c>
      <c r="M23" s="81">
        <f t="shared" si="2"/>
        <v>1</v>
      </c>
      <c r="N23" s="11"/>
      <c r="O23" s="11"/>
    </row>
    <row r="24" spans="1:15" ht="20.100000000000001" customHeight="1" x14ac:dyDescent="0.25">
      <c r="A24" s="156">
        <v>21</v>
      </c>
      <c r="B24" s="141"/>
      <c r="C24" s="145">
        <v>17</v>
      </c>
      <c r="D24" s="145" t="s">
        <v>23</v>
      </c>
      <c r="E24" s="100">
        <v>62</v>
      </c>
      <c r="F24" s="22">
        <v>54</v>
      </c>
      <c r="G24" s="22">
        <v>53</v>
      </c>
      <c r="H24" s="22">
        <v>60</v>
      </c>
      <c r="I24" s="22">
        <v>62</v>
      </c>
      <c r="J24" s="22">
        <v>58</v>
      </c>
      <c r="K24" s="22">
        <f t="shared" si="0"/>
        <v>349</v>
      </c>
      <c r="L24" s="25">
        <f t="shared" si="1"/>
        <v>58.166666666666664</v>
      </c>
      <c r="M24" s="81">
        <f t="shared" si="2"/>
        <v>27</v>
      </c>
      <c r="N24" s="11"/>
      <c r="O24" s="11"/>
    </row>
    <row r="25" spans="1:15" ht="20.100000000000001" customHeight="1" x14ac:dyDescent="0.25">
      <c r="A25" s="155">
        <v>22</v>
      </c>
      <c r="B25" s="141"/>
      <c r="C25" s="145">
        <v>18</v>
      </c>
      <c r="D25" s="145" t="s">
        <v>23</v>
      </c>
      <c r="E25" s="100">
        <v>73</v>
      </c>
      <c r="F25" s="22">
        <v>57</v>
      </c>
      <c r="G25" s="22">
        <v>68</v>
      </c>
      <c r="H25" s="22">
        <v>69</v>
      </c>
      <c r="I25" s="22">
        <v>76</v>
      </c>
      <c r="J25" s="22">
        <v>62</v>
      </c>
      <c r="K25" s="22">
        <f t="shared" si="0"/>
        <v>405</v>
      </c>
      <c r="L25" s="25">
        <f t="shared" si="1"/>
        <v>67.5</v>
      </c>
      <c r="M25" s="81">
        <f t="shared" si="2"/>
        <v>19</v>
      </c>
      <c r="N25" s="11"/>
      <c r="O25" s="11"/>
    </row>
    <row r="26" spans="1:15" ht="20.100000000000001" customHeight="1" x14ac:dyDescent="0.25">
      <c r="A26" s="155">
        <v>23</v>
      </c>
      <c r="B26" s="141"/>
      <c r="C26" s="145">
        <v>17</v>
      </c>
      <c r="D26" s="145" t="s">
        <v>20</v>
      </c>
      <c r="E26" s="100">
        <v>73</v>
      </c>
      <c r="F26" s="22">
        <v>57</v>
      </c>
      <c r="G26" s="22">
        <v>87</v>
      </c>
      <c r="H26" s="22">
        <v>82</v>
      </c>
      <c r="I26" s="22">
        <v>90</v>
      </c>
      <c r="J26" s="22">
        <v>80</v>
      </c>
      <c r="K26" s="22">
        <f t="shared" si="0"/>
        <v>469</v>
      </c>
      <c r="L26" s="25">
        <f t="shared" si="1"/>
        <v>78.166666666666671</v>
      </c>
      <c r="M26" s="81">
        <f t="shared" si="2"/>
        <v>9</v>
      </c>
      <c r="N26" s="11"/>
      <c r="O26" s="11"/>
    </row>
    <row r="27" spans="1:15" ht="20.100000000000001" customHeight="1" x14ac:dyDescent="0.25">
      <c r="A27" s="156">
        <v>24</v>
      </c>
      <c r="B27" s="141"/>
      <c r="C27" s="145">
        <v>18</v>
      </c>
      <c r="D27" s="145" t="s">
        <v>23</v>
      </c>
      <c r="E27" s="100">
        <v>72</v>
      </c>
      <c r="F27" s="22">
        <v>61</v>
      </c>
      <c r="G27" s="23">
        <v>60</v>
      </c>
      <c r="H27" s="23">
        <v>70</v>
      </c>
      <c r="I27" s="22">
        <v>88</v>
      </c>
      <c r="J27" s="23">
        <v>62</v>
      </c>
      <c r="K27" s="22">
        <f t="shared" si="0"/>
        <v>413</v>
      </c>
      <c r="L27" s="25">
        <f t="shared" si="1"/>
        <v>68.833333333333329</v>
      </c>
      <c r="M27" s="81">
        <f t="shared" si="2"/>
        <v>15</v>
      </c>
      <c r="N27" s="11"/>
      <c r="O27" s="11"/>
    </row>
    <row r="28" spans="1:15" ht="20.100000000000001" customHeight="1" x14ac:dyDescent="0.25">
      <c r="A28" s="155">
        <v>25</v>
      </c>
      <c r="B28" s="141"/>
      <c r="C28" s="145">
        <v>17</v>
      </c>
      <c r="D28" s="145" t="s">
        <v>23</v>
      </c>
      <c r="E28" s="100">
        <v>71</v>
      </c>
      <c r="F28" s="23">
        <v>50</v>
      </c>
      <c r="G28" s="23">
        <v>73</v>
      </c>
      <c r="H28" s="22">
        <v>63</v>
      </c>
      <c r="I28" s="23">
        <v>83</v>
      </c>
      <c r="J28" s="22">
        <v>62</v>
      </c>
      <c r="K28" s="22">
        <f t="shared" si="0"/>
        <v>402</v>
      </c>
      <c r="L28" s="25">
        <f t="shared" si="1"/>
        <v>67</v>
      </c>
      <c r="M28" s="81">
        <f t="shared" si="2"/>
        <v>20</v>
      </c>
      <c r="N28" s="11"/>
      <c r="O28" s="11"/>
    </row>
    <row r="29" spans="1:15" ht="20.100000000000001" customHeight="1" x14ac:dyDescent="0.25">
      <c r="A29" s="156">
        <v>26</v>
      </c>
      <c r="B29" s="141"/>
      <c r="C29" s="145">
        <v>17</v>
      </c>
      <c r="D29" s="145" t="s">
        <v>23</v>
      </c>
      <c r="E29" s="100">
        <v>59</v>
      </c>
      <c r="F29" s="22">
        <v>51</v>
      </c>
      <c r="G29" s="22">
        <v>71</v>
      </c>
      <c r="H29" s="22">
        <v>74</v>
      </c>
      <c r="I29" s="22">
        <v>76</v>
      </c>
      <c r="J29" s="22">
        <v>65</v>
      </c>
      <c r="K29" s="22">
        <f t="shared" si="0"/>
        <v>396</v>
      </c>
      <c r="L29" s="25">
        <f t="shared" si="1"/>
        <v>66</v>
      </c>
      <c r="M29" s="81">
        <f t="shared" si="2"/>
        <v>22</v>
      </c>
      <c r="N29" s="11"/>
      <c r="O29" s="11"/>
    </row>
    <row r="30" spans="1:15" ht="20.100000000000001" customHeight="1" x14ac:dyDescent="0.25">
      <c r="A30" s="156">
        <v>27</v>
      </c>
      <c r="B30" s="141"/>
      <c r="C30" s="145">
        <v>17</v>
      </c>
      <c r="D30" s="145" t="s">
        <v>23</v>
      </c>
      <c r="E30" s="100">
        <v>86</v>
      </c>
      <c r="F30" s="22">
        <v>76</v>
      </c>
      <c r="G30" s="23">
        <v>85</v>
      </c>
      <c r="H30" s="22">
        <v>88</v>
      </c>
      <c r="I30" s="22">
        <v>91</v>
      </c>
      <c r="J30" s="22">
        <v>85</v>
      </c>
      <c r="K30" s="22">
        <f t="shared" si="0"/>
        <v>511</v>
      </c>
      <c r="L30" s="25">
        <f t="shared" si="1"/>
        <v>85.166666666666671</v>
      </c>
      <c r="M30" s="81">
        <f t="shared" si="2"/>
        <v>5</v>
      </c>
      <c r="N30" s="11"/>
      <c r="O30" s="11"/>
    </row>
    <row r="31" spans="1:15" ht="20.100000000000001" customHeight="1" x14ac:dyDescent="0.25">
      <c r="A31" s="156">
        <v>28</v>
      </c>
      <c r="B31" s="141"/>
      <c r="C31" s="145">
        <v>17</v>
      </c>
      <c r="D31" s="145" t="s">
        <v>23</v>
      </c>
      <c r="E31" s="100">
        <v>76</v>
      </c>
      <c r="F31" s="22">
        <v>46</v>
      </c>
      <c r="G31" s="22">
        <v>97</v>
      </c>
      <c r="H31" s="22">
        <v>75</v>
      </c>
      <c r="I31" s="22">
        <v>80</v>
      </c>
      <c r="J31" s="22">
        <v>68</v>
      </c>
      <c r="K31" s="22">
        <f t="shared" si="0"/>
        <v>442</v>
      </c>
      <c r="L31" s="25">
        <f t="shared" si="1"/>
        <v>73.666666666666671</v>
      </c>
      <c r="M31" s="81">
        <f t="shared" si="2"/>
        <v>11</v>
      </c>
      <c r="N31" s="11"/>
      <c r="O31" s="11"/>
    </row>
    <row r="32" spans="1:15" ht="20.100000000000001" customHeight="1" x14ac:dyDescent="0.25">
      <c r="A32" s="155">
        <v>29</v>
      </c>
      <c r="B32" s="141"/>
      <c r="C32" s="145">
        <v>18</v>
      </c>
      <c r="D32" s="145" t="s">
        <v>23</v>
      </c>
      <c r="E32" s="100">
        <v>87</v>
      </c>
      <c r="F32" s="22">
        <v>61</v>
      </c>
      <c r="G32" s="22">
        <v>85</v>
      </c>
      <c r="H32" s="22">
        <v>85</v>
      </c>
      <c r="I32" s="22">
        <v>90</v>
      </c>
      <c r="J32" s="22">
        <v>75</v>
      </c>
      <c r="K32" s="22">
        <f t="shared" si="0"/>
        <v>483</v>
      </c>
      <c r="L32" s="25">
        <f t="shared" si="1"/>
        <v>80.5</v>
      </c>
      <c r="M32" s="81">
        <f t="shared" si="2"/>
        <v>8</v>
      </c>
      <c r="N32" s="11"/>
      <c r="O32" s="11"/>
    </row>
    <row r="33" spans="1:15" ht="20.100000000000001" customHeight="1" x14ac:dyDescent="0.25">
      <c r="A33" s="156">
        <v>30</v>
      </c>
      <c r="B33" s="141"/>
      <c r="C33" s="145">
        <v>18</v>
      </c>
      <c r="D33" s="145" t="s">
        <v>20</v>
      </c>
      <c r="E33" s="100">
        <v>0</v>
      </c>
      <c r="F33" s="23">
        <v>0</v>
      </c>
      <c r="G33" s="23">
        <v>0</v>
      </c>
      <c r="H33" s="23">
        <v>0</v>
      </c>
      <c r="I33" s="22">
        <v>0</v>
      </c>
      <c r="J33" s="22">
        <v>0</v>
      </c>
      <c r="K33" s="22">
        <f t="shared" si="0"/>
        <v>0</v>
      </c>
      <c r="L33" s="25">
        <f t="shared" si="1"/>
        <v>0</v>
      </c>
      <c r="M33" s="81">
        <f t="shared" si="2"/>
        <v>31</v>
      </c>
      <c r="N33" s="11"/>
      <c r="O33" s="11"/>
    </row>
    <row r="34" spans="1:15" ht="20.100000000000001" customHeight="1" x14ac:dyDescent="0.25">
      <c r="A34" s="155">
        <v>31</v>
      </c>
      <c r="B34" s="138"/>
      <c r="C34" s="144">
        <v>17</v>
      </c>
      <c r="D34" s="144" t="s">
        <v>20</v>
      </c>
      <c r="E34" s="22">
        <v>69</v>
      </c>
      <c r="F34" s="22">
        <v>56</v>
      </c>
      <c r="G34" s="23">
        <v>78</v>
      </c>
      <c r="H34" s="22">
        <v>70</v>
      </c>
      <c r="I34" s="22">
        <v>77</v>
      </c>
      <c r="J34" s="22">
        <v>70</v>
      </c>
      <c r="K34" s="22">
        <f t="shared" si="0"/>
        <v>420</v>
      </c>
      <c r="L34" s="25">
        <f t="shared" si="1"/>
        <v>70</v>
      </c>
      <c r="M34" s="81">
        <f t="shared" si="2"/>
        <v>13</v>
      </c>
      <c r="N34" s="11"/>
      <c r="O34" s="11"/>
    </row>
    <row r="35" spans="1:15" ht="20.100000000000001" customHeight="1" x14ac:dyDescent="0.25">
      <c r="A35" s="155">
        <v>32</v>
      </c>
      <c r="B35" s="139"/>
      <c r="C35" s="136"/>
      <c r="D35" s="136"/>
      <c r="E35" s="22"/>
      <c r="F35" s="22"/>
      <c r="G35" s="22"/>
      <c r="H35" s="22"/>
      <c r="I35" s="22"/>
      <c r="J35" s="22"/>
      <c r="K35" s="22"/>
      <c r="L35" s="25"/>
      <c r="M35" s="81"/>
      <c r="N35" s="11"/>
      <c r="O35" s="11"/>
    </row>
    <row r="36" spans="1:15" ht="20.100000000000001" customHeight="1" x14ac:dyDescent="0.25">
      <c r="A36" s="155">
        <v>33</v>
      </c>
      <c r="B36" s="139"/>
      <c r="C36" s="136"/>
      <c r="D36" s="136"/>
      <c r="E36" s="22"/>
      <c r="F36" s="22"/>
      <c r="G36" s="23"/>
      <c r="H36" s="22"/>
      <c r="I36" s="22"/>
      <c r="J36" s="22"/>
      <c r="K36" s="22"/>
      <c r="L36" s="25"/>
      <c r="M36" s="81"/>
      <c r="N36" s="11"/>
      <c r="O36" s="11"/>
    </row>
    <row r="37" spans="1:15" ht="20.100000000000001" customHeight="1" x14ac:dyDescent="0.25">
      <c r="A37" s="156">
        <v>34</v>
      </c>
      <c r="B37" s="139"/>
      <c r="C37" s="136"/>
      <c r="D37" s="136"/>
      <c r="E37" s="22"/>
      <c r="F37" s="22"/>
      <c r="G37" s="22"/>
      <c r="H37" s="22"/>
      <c r="I37" s="22"/>
      <c r="J37" s="22"/>
      <c r="K37" s="22"/>
      <c r="L37" s="25"/>
      <c r="M37" s="81"/>
      <c r="N37" s="11"/>
      <c r="O37" s="11"/>
    </row>
    <row r="38" spans="1:15" ht="20.100000000000001" customHeight="1" x14ac:dyDescent="0.25">
      <c r="A38" s="156">
        <v>35</v>
      </c>
      <c r="B38" s="139"/>
      <c r="C38" s="136"/>
      <c r="D38" s="136"/>
      <c r="E38" s="22"/>
      <c r="F38" s="22"/>
      <c r="G38" s="22"/>
      <c r="H38" s="22"/>
      <c r="I38" s="22"/>
      <c r="J38" s="22"/>
      <c r="K38" s="22"/>
      <c r="L38" s="25"/>
      <c r="M38" s="81"/>
      <c r="N38" s="11"/>
      <c r="O38" s="11"/>
    </row>
    <row r="39" spans="1:15" ht="20.100000000000001" customHeight="1" x14ac:dyDescent="0.25">
      <c r="A39" s="156">
        <v>36</v>
      </c>
      <c r="B39" s="139"/>
      <c r="C39" s="136"/>
      <c r="D39" s="136"/>
      <c r="E39" s="22"/>
      <c r="F39" s="22"/>
      <c r="G39" s="23"/>
      <c r="H39" s="22"/>
      <c r="I39" s="22"/>
      <c r="J39" s="22"/>
      <c r="K39" s="22"/>
      <c r="L39" s="25"/>
      <c r="M39" s="81"/>
      <c r="N39" s="11"/>
      <c r="O39" s="11"/>
    </row>
    <row r="40" spans="1:15" ht="20.100000000000001" customHeight="1" x14ac:dyDescent="0.25">
      <c r="A40" s="155">
        <v>37</v>
      </c>
      <c r="B40" s="139"/>
      <c r="C40" s="136"/>
      <c r="D40" s="136"/>
      <c r="E40" s="22"/>
      <c r="F40" s="22"/>
      <c r="G40" s="22"/>
      <c r="H40" s="22"/>
      <c r="I40" s="22"/>
      <c r="J40" s="22"/>
      <c r="K40" s="22"/>
      <c r="L40" s="25"/>
      <c r="M40" s="81"/>
      <c r="N40" s="11"/>
      <c r="O40" s="11"/>
    </row>
    <row r="41" spans="1:15" ht="20.100000000000001" customHeight="1" x14ac:dyDescent="0.25">
      <c r="A41" s="155">
        <v>38</v>
      </c>
      <c r="B41" s="139"/>
      <c r="C41" s="136"/>
      <c r="D41" s="136"/>
      <c r="E41" s="22"/>
      <c r="F41" s="22"/>
      <c r="G41" s="22"/>
      <c r="H41" s="22"/>
      <c r="I41" s="22"/>
      <c r="J41" s="22"/>
      <c r="K41" s="22"/>
      <c r="L41" s="25"/>
      <c r="M41" s="81"/>
      <c r="N41" s="11"/>
      <c r="O41" s="11"/>
    </row>
    <row r="42" spans="1:15" ht="20.100000000000001" customHeight="1" x14ac:dyDescent="0.25">
      <c r="A42" s="156">
        <v>39</v>
      </c>
      <c r="B42" s="139"/>
      <c r="C42" s="136"/>
      <c r="D42" s="136"/>
      <c r="E42" s="22"/>
      <c r="F42" s="22"/>
      <c r="G42" s="23"/>
      <c r="H42" s="22"/>
      <c r="I42" s="22"/>
      <c r="J42" s="22"/>
      <c r="K42" s="22"/>
      <c r="L42" s="11"/>
      <c r="M42" s="25"/>
      <c r="N42" s="11"/>
      <c r="O42" s="11"/>
    </row>
    <row r="43" spans="1:15" ht="20.100000000000001" customHeight="1" x14ac:dyDescent="0.25">
      <c r="A43" s="155">
        <v>40</v>
      </c>
      <c r="B43" s="139"/>
      <c r="C43" s="136"/>
      <c r="D43" s="136"/>
      <c r="E43" s="22"/>
      <c r="F43" s="22"/>
      <c r="G43" s="22"/>
      <c r="H43" s="22"/>
      <c r="I43" s="22"/>
      <c r="J43" s="22"/>
      <c r="K43" s="22"/>
      <c r="L43" s="11"/>
      <c r="M43" s="25"/>
      <c r="N43" s="11"/>
      <c r="O43" s="11"/>
    </row>
    <row r="44" spans="1:15" ht="20.100000000000001" customHeight="1" x14ac:dyDescent="0.25">
      <c r="A44" s="156">
        <v>41</v>
      </c>
      <c r="B44" s="153"/>
      <c r="C44" s="42"/>
      <c r="D44" s="42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spans="1:15" ht="20.100000000000001" customHeight="1" x14ac:dyDescent="0.25">
      <c r="A45" s="155">
        <v>42</v>
      </c>
      <c r="B45" s="153"/>
      <c r="C45" s="42"/>
      <c r="D45" s="42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 ht="20.100000000000001" customHeight="1" x14ac:dyDescent="0.25">
      <c r="A46" s="156">
        <v>43</v>
      </c>
      <c r="B46" s="153"/>
      <c r="C46" s="42"/>
      <c r="D46" s="42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 ht="20.100000000000001" customHeight="1" x14ac:dyDescent="0.25">
      <c r="A47" s="155">
        <v>44</v>
      </c>
      <c r="B47" s="153"/>
      <c r="C47" s="42"/>
      <c r="D47" s="42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15" ht="20.100000000000001" customHeight="1" x14ac:dyDescent="0.25">
      <c r="A48" s="156">
        <v>45</v>
      </c>
      <c r="B48" s="153"/>
      <c r="C48" s="42"/>
      <c r="D48" s="42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1:15" ht="20.100000000000001" customHeight="1" x14ac:dyDescent="0.25">
      <c r="A49" s="155">
        <v>46</v>
      </c>
      <c r="B49" s="153"/>
      <c r="C49" s="42"/>
      <c r="D49" s="42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1:15" ht="20.100000000000001" customHeight="1" x14ac:dyDescent="0.25">
      <c r="A50" s="156">
        <v>47</v>
      </c>
      <c r="B50" s="153"/>
      <c r="C50" s="42"/>
      <c r="D50" s="42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ht="20.100000000000001" customHeight="1" x14ac:dyDescent="0.25">
      <c r="A51" s="155">
        <v>48</v>
      </c>
      <c r="B51" s="153"/>
      <c r="C51" s="42"/>
      <c r="D51" s="42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 ht="20.100000000000001" customHeight="1" x14ac:dyDescent="0.25">
      <c r="A52" s="156">
        <v>49</v>
      </c>
      <c r="B52" s="153"/>
      <c r="C52" s="42"/>
      <c r="D52" s="42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1:15" ht="20.100000000000001" customHeight="1" x14ac:dyDescent="0.25">
      <c r="A53" s="155">
        <v>50</v>
      </c>
      <c r="B53" s="153"/>
      <c r="C53" s="42"/>
      <c r="D53" s="42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1:15" ht="20.100000000000001" customHeight="1" x14ac:dyDescent="0.25">
      <c r="A54" s="157">
        <v>51</v>
      </c>
      <c r="B54" s="153"/>
      <c r="C54" s="42"/>
      <c r="D54" s="42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 ht="20.100000000000001" customHeight="1" x14ac:dyDescent="0.25">
      <c r="A55" s="145">
        <v>52</v>
      </c>
      <c r="B55" s="153"/>
      <c r="C55" s="42"/>
      <c r="D55" s="42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spans="1:15" ht="20.100000000000001" customHeight="1" x14ac:dyDescent="0.25">
      <c r="A56" s="157">
        <v>53</v>
      </c>
      <c r="B56" s="153"/>
      <c r="C56" s="42"/>
      <c r="D56" s="42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 ht="20.100000000000001" customHeight="1" x14ac:dyDescent="0.25">
      <c r="A57" s="145">
        <v>54</v>
      </c>
      <c r="B57" s="153"/>
      <c r="C57" s="42"/>
      <c r="D57" s="42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spans="1:15" ht="20.100000000000001" customHeight="1" x14ac:dyDescent="0.25">
      <c r="A58" s="157">
        <v>55</v>
      </c>
      <c r="B58" s="153"/>
      <c r="C58" s="42"/>
      <c r="D58" s="42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</sheetData>
  <mergeCells count="2">
    <mergeCell ref="A1:O1"/>
    <mergeCell ref="A2:O2"/>
  </mergeCells>
  <pageMargins left="0.7" right="0.7" top="0.75" bottom="0.75" header="0.3" footer="0.3"/>
  <pageSetup paperSize="9" scale="96" fitToHeight="0" orientation="landscape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B4" sqref="B4:B40"/>
    </sheetView>
  </sheetViews>
  <sheetFormatPr defaultRowHeight="15" x14ac:dyDescent="0.25"/>
  <cols>
    <col min="1" max="1" width="6.7109375" style="10" customWidth="1"/>
    <col min="2" max="2" width="35.140625" bestFit="1" customWidth="1"/>
    <col min="3" max="3" width="4.7109375" customWidth="1"/>
    <col min="4" max="4" width="4.140625" customWidth="1"/>
    <col min="5" max="11" width="7.7109375" customWidth="1"/>
    <col min="12" max="15" width="7.7109375" style="10" customWidth="1"/>
  </cols>
  <sheetData>
    <row r="1" spans="1:15" ht="20.25" x14ac:dyDescent="0.25">
      <c r="A1" s="222" t="s">
        <v>64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</row>
    <row r="2" spans="1:15" ht="15.75" thickBot="1" x14ac:dyDescent="0.3">
      <c r="A2" s="225" t="s">
        <v>79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</row>
    <row r="3" spans="1:15" ht="67.5" customHeight="1" thickBot="1" x14ac:dyDescent="0.3">
      <c r="A3" s="13" t="s">
        <v>24</v>
      </c>
      <c r="B3" s="14" t="s">
        <v>1</v>
      </c>
      <c r="C3" s="15" t="s">
        <v>2</v>
      </c>
      <c r="D3" s="14" t="s">
        <v>3</v>
      </c>
      <c r="E3" s="121" t="s">
        <v>5</v>
      </c>
      <c r="F3" s="121" t="s">
        <v>6</v>
      </c>
      <c r="G3" s="121" t="s">
        <v>11</v>
      </c>
      <c r="H3" s="121" t="s">
        <v>10</v>
      </c>
      <c r="I3" s="121" t="s">
        <v>67</v>
      </c>
      <c r="J3" s="121" t="s">
        <v>65</v>
      </c>
      <c r="K3" s="121" t="s">
        <v>15</v>
      </c>
      <c r="L3" s="121" t="s">
        <v>16</v>
      </c>
      <c r="M3" s="121" t="s">
        <v>17</v>
      </c>
      <c r="N3" s="121" t="s">
        <v>18</v>
      </c>
      <c r="O3" s="77" t="s">
        <v>19</v>
      </c>
    </row>
    <row r="4" spans="1:15" ht="20.100000000000001" customHeight="1" x14ac:dyDescent="0.25">
      <c r="A4" s="154">
        <v>1</v>
      </c>
      <c r="B4" s="141"/>
      <c r="C4" s="145">
        <v>19</v>
      </c>
      <c r="D4" s="145" t="s">
        <v>20</v>
      </c>
      <c r="E4" s="100">
        <v>65</v>
      </c>
      <c r="F4" s="22">
        <v>77</v>
      </c>
      <c r="G4" s="22">
        <v>70</v>
      </c>
      <c r="H4" s="22">
        <v>74</v>
      </c>
      <c r="I4" s="22">
        <v>98</v>
      </c>
      <c r="J4" s="22">
        <v>59</v>
      </c>
      <c r="K4" s="22">
        <f>SUM(E4:J4)</f>
        <v>443</v>
      </c>
      <c r="L4" s="25">
        <f>AVERAGE(E4:J4)</f>
        <v>73.833333333333329</v>
      </c>
      <c r="M4" s="81">
        <f>RANK(L4,$L$4:$L$34)</f>
        <v>22</v>
      </c>
      <c r="N4" s="11"/>
      <c r="O4" s="16"/>
    </row>
    <row r="5" spans="1:15" ht="20.100000000000001" customHeight="1" x14ac:dyDescent="0.25">
      <c r="A5" s="155">
        <v>2</v>
      </c>
      <c r="B5" s="141"/>
      <c r="C5" s="145">
        <v>22</v>
      </c>
      <c r="D5" s="145" t="s">
        <v>20</v>
      </c>
      <c r="E5" s="100">
        <v>67</v>
      </c>
      <c r="F5" s="22">
        <v>60</v>
      </c>
      <c r="G5" s="22">
        <v>78</v>
      </c>
      <c r="H5" s="22">
        <v>80</v>
      </c>
      <c r="I5" s="22">
        <v>89</v>
      </c>
      <c r="J5" s="22">
        <v>68</v>
      </c>
      <c r="K5" s="22">
        <f t="shared" ref="K5:K34" si="0">SUM(E5:J5)</f>
        <v>442</v>
      </c>
      <c r="L5" s="25">
        <f t="shared" ref="L5:L34" si="1">AVERAGE(E5:J5)</f>
        <v>73.666666666666671</v>
      </c>
      <c r="M5" s="81">
        <f t="shared" ref="M5:M34" si="2">RANK(L5,$L$4:$L$34)</f>
        <v>23</v>
      </c>
      <c r="N5" s="11"/>
      <c r="O5" s="11"/>
    </row>
    <row r="6" spans="1:15" ht="20.100000000000001" customHeight="1" x14ac:dyDescent="0.25">
      <c r="A6" s="156">
        <v>3</v>
      </c>
      <c r="B6" s="141"/>
      <c r="C6" s="145">
        <v>18</v>
      </c>
      <c r="D6" s="145" t="s">
        <v>23</v>
      </c>
      <c r="E6" s="100">
        <v>90</v>
      </c>
      <c r="F6" s="22">
        <v>62</v>
      </c>
      <c r="G6" s="22">
        <v>75</v>
      </c>
      <c r="H6" s="22">
        <v>84</v>
      </c>
      <c r="I6" s="22">
        <v>96</v>
      </c>
      <c r="J6" s="22">
        <v>79</v>
      </c>
      <c r="K6" s="22">
        <f t="shared" si="0"/>
        <v>486</v>
      </c>
      <c r="L6" s="25">
        <f t="shared" si="1"/>
        <v>81</v>
      </c>
      <c r="M6" s="81">
        <f t="shared" si="2"/>
        <v>12</v>
      </c>
      <c r="N6" s="11"/>
      <c r="O6" s="11"/>
    </row>
    <row r="7" spans="1:15" ht="20.100000000000001" customHeight="1" x14ac:dyDescent="0.25">
      <c r="A7" s="155">
        <v>4</v>
      </c>
      <c r="B7" s="141"/>
      <c r="C7" s="145">
        <v>18</v>
      </c>
      <c r="D7" s="145" t="s">
        <v>20</v>
      </c>
      <c r="E7" s="100">
        <v>68</v>
      </c>
      <c r="F7" s="22">
        <v>61</v>
      </c>
      <c r="G7" s="22">
        <v>68</v>
      </c>
      <c r="H7" s="22">
        <v>71</v>
      </c>
      <c r="I7" s="22">
        <v>90</v>
      </c>
      <c r="J7" s="22">
        <v>67</v>
      </c>
      <c r="K7" s="22">
        <f t="shared" si="0"/>
        <v>425</v>
      </c>
      <c r="L7" s="25">
        <f t="shared" si="1"/>
        <v>70.833333333333329</v>
      </c>
      <c r="M7" s="81">
        <f t="shared" si="2"/>
        <v>25</v>
      </c>
      <c r="N7" s="11"/>
      <c r="O7" s="11"/>
    </row>
    <row r="8" spans="1:15" ht="20.100000000000001" customHeight="1" x14ac:dyDescent="0.25">
      <c r="A8" s="155">
        <v>5</v>
      </c>
      <c r="B8" s="141"/>
      <c r="C8" s="145">
        <v>17</v>
      </c>
      <c r="D8" s="145" t="s">
        <v>20</v>
      </c>
      <c r="E8" s="100">
        <v>84</v>
      </c>
      <c r="F8" s="22">
        <v>73</v>
      </c>
      <c r="G8" s="22">
        <v>80</v>
      </c>
      <c r="H8" s="22">
        <v>90</v>
      </c>
      <c r="I8" s="22">
        <v>97</v>
      </c>
      <c r="J8" s="22">
        <v>83</v>
      </c>
      <c r="K8" s="22">
        <f t="shared" si="0"/>
        <v>507</v>
      </c>
      <c r="L8" s="25">
        <f t="shared" si="1"/>
        <v>84.5</v>
      </c>
      <c r="M8" s="81">
        <f t="shared" si="2"/>
        <v>9</v>
      </c>
      <c r="N8" s="11"/>
      <c r="O8" s="11"/>
    </row>
    <row r="9" spans="1:15" ht="20.100000000000001" customHeight="1" x14ac:dyDescent="0.25">
      <c r="A9" s="156">
        <v>6</v>
      </c>
      <c r="B9" s="141"/>
      <c r="C9" s="145">
        <v>18</v>
      </c>
      <c r="D9" s="145" t="s">
        <v>23</v>
      </c>
      <c r="E9" s="100">
        <v>69</v>
      </c>
      <c r="F9" s="22">
        <v>51</v>
      </c>
      <c r="G9" s="22">
        <v>82</v>
      </c>
      <c r="H9" s="22">
        <v>75</v>
      </c>
      <c r="I9" s="22">
        <v>96</v>
      </c>
      <c r="J9" s="22">
        <v>77</v>
      </c>
      <c r="K9" s="22">
        <f t="shared" si="0"/>
        <v>450</v>
      </c>
      <c r="L9" s="25">
        <f t="shared" si="1"/>
        <v>75</v>
      </c>
      <c r="M9" s="81">
        <f t="shared" si="2"/>
        <v>17</v>
      </c>
      <c r="N9" s="11"/>
      <c r="O9" s="11"/>
    </row>
    <row r="10" spans="1:15" ht="20.100000000000001" customHeight="1" x14ac:dyDescent="0.25">
      <c r="A10" s="155">
        <v>7</v>
      </c>
      <c r="B10" s="141"/>
      <c r="C10" s="145">
        <v>18</v>
      </c>
      <c r="D10" s="145" t="s">
        <v>23</v>
      </c>
      <c r="E10" s="100">
        <v>61</v>
      </c>
      <c r="F10" s="22">
        <v>64</v>
      </c>
      <c r="G10" s="22">
        <v>61</v>
      </c>
      <c r="H10" s="22">
        <v>69</v>
      </c>
      <c r="I10" s="22">
        <v>73</v>
      </c>
      <c r="J10" s="22">
        <v>53</v>
      </c>
      <c r="K10" s="22">
        <f t="shared" si="0"/>
        <v>381</v>
      </c>
      <c r="L10" s="25">
        <f t="shared" si="1"/>
        <v>63.5</v>
      </c>
      <c r="M10" s="81">
        <f t="shared" si="2"/>
        <v>30</v>
      </c>
      <c r="N10" s="11"/>
      <c r="O10" s="11"/>
    </row>
    <row r="11" spans="1:15" ht="20.100000000000001" customHeight="1" x14ac:dyDescent="0.25">
      <c r="A11" s="155">
        <v>8</v>
      </c>
      <c r="B11" s="141"/>
      <c r="C11" s="145">
        <v>16</v>
      </c>
      <c r="D11" s="145" t="s">
        <v>23</v>
      </c>
      <c r="E11" s="100">
        <v>76</v>
      </c>
      <c r="F11" s="22">
        <v>70</v>
      </c>
      <c r="G11" s="22">
        <v>71</v>
      </c>
      <c r="H11" s="22">
        <v>75</v>
      </c>
      <c r="I11" s="22">
        <v>94</v>
      </c>
      <c r="J11" s="22">
        <v>62</v>
      </c>
      <c r="K11" s="22">
        <f t="shared" si="0"/>
        <v>448</v>
      </c>
      <c r="L11" s="25">
        <f t="shared" si="1"/>
        <v>74.666666666666671</v>
      </c>
      <c r="M11" s="81">
        <f t="shared" si="2"/>
        <v>19</v>
      </c>
      <c r="N11" s="11"/>
      <c r="O11" s="11"/>
    </row>
    <row r="12" spans="1:15" ht="20.100000000000001" customHeight="1" x14ac:dyDescent="0.25">
      <c r="A12" s="156">
        <v>9</v>
      </c>
      <c r="B12" s="141"/>
      <c r="C12" s="145">
        <v>18</v>
      </c>
      <c r="D12" s="145" t="s">
        <v>20</v>
      </c>
      <c r="E12" s="100">
        <v>74</v>
      </c>
      <c r="F12" s="22">
        <v>64</v>
      </c>
      <c r="G12" s="22">
        <v>78</v>
      </c>
      <c r="H12" s="22">
        <v>74</v>
      </c>
      <c r="I12" s="22">
        <v>100</v>
      </c>
      <c r="J12" s="22">
        <v>72</v>
      </c>
      <c r="K12" s="22">
        <f t="shared" si="0"/>
        <v>462</v>
      </c>
      <c r="L12" s="25">
        <f t="shared" si="1"/>
        <v>77</v>
      </c>
      <c r="M12" s="81">
        <f t="shared" si="2"/>
        <v>15</v>
      </c>
      <c r="N12" s="11"/>
      <c r="O12" s="11"/>
    </row>
    <row r="13" spans="1:15" ht="20.100000000000001" customHeight="1" x14ac:dyDescent="0.25">
      <c r="A13" s="155">
        <v>10</v>
      </c>
      <c r="B13" s="141"/>
      <c r="C13" s="145">
        <v>18</v>
      </c>
      <c r="D13" s="145" t="s">
        <v>23</v>
      </c>
      <c r="E13" s="100">
        <v>94</v>
      </c>
      <c r="F13" s="22">
        <v>67</v>
      </c>
      <c r="G13" s="22">
        <v>88</v>
      </c>
      <c r="H13" s="22">
        <v>93</v>
      </c>
      <c r="I13" s="22">
        <v>94</v>
      </c>
      <c r="J13" s="22">
        <v>80</v>
      </c>
      <c r="K13" s="22">
        <f t="shared" si="0"/>
        <v>516</v>
      </c>
      <c r="L13" s="25">
        <f t="shared" si="1"/>
        <v>86</v>
      </c>
      <c r="M13" s="81">
        <f t="shared" si="2"/>
        <v>8</v>
      </c>
      <c r="N13" s="11"/>
      <c r="O13" s="11"/>
    </row>
    <row r="14" spans="1:15" ht="20.100000000000001" customHeight="1" x14ac:dyDescent="0.25">
      <c r="A14" s="156">
        <v>11</v>
      </c>
      <c r="B14" s="141"/>
      <c r="C14" s="145">
        <v>18</v>
      </c>
      <c r="D14" s="145" t="s">
        <v>20</v>
      </c>
      <c r="E14" s="100">
        <v>78</v>
      </c>
      <c r="F14" s="22">
        <v>67</v>
      </c>
      <c r="G14" s="22">
        <v>67</v>
      </c>
      <c r="H14" s="22">
        <v>67</v>
      </c>
      <c r="I14" s="22">
        <v>96</v>
      </c>
      <c r="J14" s="22">
        <v>67</v>
      </c>
      <c r="K14" s="22">
        <f t="shared" si="0"/>
        <v>442</v>
      </c>
      <c r="L14" s="25">
        <f t="shared" si="1"/>
        <v>73.666666666666671</v>
      </c>
      <c r="M14" s="81">
        <f t="shared" si="2"/>
        <v>23</v>
      </c>
      <c r="N14" s="11"/>
      <c r="O14" s="11"/>
    </row>
    <row r="15" spans="1:15" ht="20.100000000000001" customHeight="1" x14ac:dyDescent="0.25">
      <c r="A15" s="156">
        <v>12</v>
      </c>
      <c r="B15" s="141"/>
      <c r="C15" s="145">
        <v>18</v>
      </c>
      <c r="D15" s="145" t="s">
        <v>23</v>
      </c>
      <c r="E15" s="100">
        <v>63</v>
      </c>
      <c r="F15" s="22">
        <v>63</v>
      </c>
      <c r="G15" s="22">
        <v>66</v>
      </c>
      <c r="H15" s="22">
        <v>62</v>
      </c>
      <c r="I15" s="22">
        <v>85</v>
      </c>
      <c r="J15" s="22">
        <v>63</v>
      </c>
      <c r="K15" s="22">
        <f t="shared" si="0"/>
        <v>402</v>
      </c>
      <c r="L15" s="25">
        <f t="shared" si="1"/>
        <v>67</v>
      </c>
      <c r="M15" s="81">
        <f t="shared" si="2"/>
        <v>28</v>
      </c>
      <c r="N15" s="11"/>
      <c r="O15" s="11"/>
    </row>
    <row r="16" spans="1:15" ht="20.100000000000001" customHeight="1" x14ac:dyDescent="0.25">
      <c r="A16" s="156">
        <v>13</v>
      </c>
      <c r="B16" s="141"/>
      <c r="C16" s="145">
        <v>17</v>
      </c>
      <c r="D16" s="145" t="s">
        <v>23</v>
      </c>
      <c r="E16" s="100">
        <v>96</v>
      </c>
      <c r="F16" s="22">
        <v>83</v>
      </c>
      <c r="G16" s="22">
        <v>96</v>
      </c>
      <c r="H16" s="22">
        <v>95</v>
      </c>
      <c r="I16" s="22">
        <v>100</v>
      </c>
      <c r="J16" s="22">
        <v>93</v>
      </c>
      <c r="K16" s="22">
        <f t="shared" si="0"/>
        <v>563</v>
      </c>
      <c r="L16" s="25">
        <f t="shared" si="1"/>
        <v>93.833333333333329</v>
      </c>
      <c r="M16" s="81">
        <f t="shared" si="2"/>
        <v>3</v>
      </c>
      <c r="N16" s="11"/>
      <c r="O16" s="11"/>
    </row>
    <row r="17" spans="1:15" ht="20.100000000000001" customHeight="1" x14ac:dyDescent="0.25">
      <c r="A17" s="155">
        <v>14</v>
      </c>
      <c r="B17" s="141"/>
      <c r="C17" s="145">
        <v>18</v>
      </c>
      <c r="D17" s="145" t="s">
        <v>23</v>
      </c>
      <c r="E17" s="100">
        <v>66</v>
      </c>
      <c r="F17" s="22">
        <v>64</v>
      </c>
      <c r="G17" s="22">
        <v>68</v>
      </c>
      <c r="H17" s="22">
        <v>70</v>
      </c>
      <c r="I17" s="22">
        <v>90</v>
      </c>
      <c r="J17" s="22">
        <v>64</v>
      </c>
      <c r="K17" s="22">
        <f t="shared" si="0"/>
        <v>422</v>
      </c>
      <c r="L17" s="25">
        <f t="shared" si="1"/>
        <v>70.333333333333329</v>
      </c>
      <c r="M17" s="81">
        <f t="shared" si="2"/>
        <v>27</v>
      </c>
      <c r="N17" s="11"/>
      <c r="O17" s="11"/>
    </row>
    <row r="18" spans="1:15" ht="20.100000000000001" customHeight="1" x14ac:dyDescent="0.25">
      <c r="A18" s="156">
        <v>15</v>
      </c>
      <c r="B18" s="141"/>
      <c r="C18" s="145">
        <v>17</v>
      </c>
      <c r="D18" s="145" t="s">
        <v>20</v>
      </c>
      <c r="E18" s="100">
        <v>90</v>
      </c>
      <c r="F18" s="22">
        <v>97</v>
      </c>
      <c r="G18" s="23">
        <v>93</v>
      </c>
      <c r="H18" s="22">
        <v>94</v>
      </c>
      <c r="I18" s="22">
        <v>100</v>
      </c>
      <c r="J18" s="22">
        <v>91</v>
      </c>
      <c r="K18" s="22">
        <f t="shared" si="0"/>
        <v>565</v>
      </c>
      <c r="L18" s="25">
        <f t="shared" si="1"/>
        <v>94.166666666666671</v>
      </c>
      <c r="M18" s="81">
        <f t="shared" si="2"/>
        <v>2</v>
      </c>
      <c r="N18" s="11"/>
      <c r="O18" s="11"/>
    </row>
    <row r="19" spans="1:15" ht="20.100000000000001" customHeight="1" x14ac:dyDescent="0.25">
      <c r="A19" s="155">
        <v>16</v>
      </c>
      <c r="B19" s="141"/>
      <c r="C19" s="145">
        <v>17</v>
      </c>
      <c r="D19" s="145" t="s">
        <v>23</v>
      </c>
      <c r="E19" s="100">
        <v>75</v>
      </c>
      <c r="F19" s="22">
        <v>73</v>
      </c>
      <c r="G19" s="22">
        <v>71</v>
      </c>
      <c r="H19" s="22">
        <v>78</v>
      </c>
      <c r="I19" s="22">
        <v>96</v>
      </c>
      <c r="J19" s="22">
        <v>80</v>
      </c>
      <c r="K19" s="22">
        <f t="shared" si="0"/>
        <v>473</v>
      </c>
      <c r="L19" s="25">
        <f t="shared" si="1"/>
        <v>78.833333333333329</v>
      </c>
      <c r="M19" s="81">
        <f t="shared" si="2"/>
        <v>14</v>
      </c>
      <c r="N19" s="11"/>
      <c r="O19" s="11"/>
    </row>
    <row r="20" spans="1:15" ht="20.100000000000001" customHeight="1" x14ac:dyDescent="0.25">
      <c r="A20" s="155">
        <v>17</v>
      </c>
      <c r="B20" s="141"/>
      <c r="C20" s="145">
        <v>17</v>
      </c>
      <c r="D20" s="145" t="s">
        <v>23</v>
      </c>
      <c r="E20" s="100">
        <v>88</v>
      </c>
      <c r="F20" s="22">
        <v>73</v>
      </c>
      <c r="G20" s="22">
        <v>88</v>
      </c>
      <c r="H20" s="22">
        <v>86</v>
      </c>
      <c r="I20" s="22">
        <v>100</v>
      </c>
      <c r="J20" s="22">
        <v>84</v>
      </c>
      <c r="K20" s="22">
        <f t="shared" si="0"/>
        <v>519</v>
      </c>
      <c r="L20" s="25">
        <f t="shared" si="1"/>
        <v>86.5</v>
      </c>
      <c r="M20" s="81">
        <f t="shared" si="2"/>
        <v>5</v>
      </c>
      <c r="N20" s="11"/>
      <c r="O20" s="11"/>
    </row>
    <row r="21" spans="1:15" ht="20.100000000000001" customHeight="1" x14ac:dyDescent="0.25">
      <c r="A21" s="155">
        <v>18</v>
      </c>
      <c r="B21" s="141"/>
      <c r="C21" s="145">
        <v>18</v>
      </c>
      <c r="D21" s="145" t="s">
        <v>23</v>
      </c>
      <c r="E21" s="100">
        <v>57</v>
      </c>
      <c r="F21" s="22">
        <v>68</v>
      </c>
      <c r="G21" s="23">
        <v>69</v>
      </c>
      <c r="H21" s="22">
        <v>59</v>
      </c>
      <c r="I21" s="22">
        <v>79</v>
      </c>
      <c r="J21" s="22">
        <v>55</v>
      </c>
      <c r="K21" s="22">
        <f t="shared" si="0"/>
        <v>387</v>
      </c>
      <c r="L21" s="25">
        <f t="shared" si="1"/>
        <v>64.5</v>
      </c>
      <c r="M21" s="81">
        <f t="shared" si="2"/>
        <v>29</v>
      </c>
      <c r="N21" s="11"/>
      <c r="O21" s="11"/>
    </row>
    <row r="22" spans="1:15" ht="20.100000000000001" customHeight="1" x14ac:dyDescent="0.25">
      <c r="A22" s="156">
        <v>19</v>
      </c>
      <c r="B22" s="141"/>
      <c r="C22" s="145">
        <v>18</v>
      </c>
      <c r="D22" s="145" t="s">
        <v>20</v>
      </c>
      <c r="E22" s="100"/>
      <c r="F22" s="22">
        <v>69</v>
      </c>
      <c r="G22" s="22">
        <v>81</v>
      </c>
      <c r="H22" s="22"/>
      <c r="I22" s="22">
        <v>97</v>
      </c>
      <c r="J22" s="22"/>
      <c r="K22" s="22">
        <f t="shared" si="0"/>
        <v>247</v>
      </c>
      <c r="L22" s="25">
        <f t="shared" si="1"/>
        <v>82.333333333333329</v>
      </c>
      <c r="M22" s="81">
        <f t="shared" si="2"/>
        <v>11</v>
      </c>
      <c r="N22" s="11"/>
      <c r="O22" s="11"/>
    </row>
    <row r="23" spans="1:15" ht="20.100000000000001" customHeight="1" x14ac:dyDescent="0.25">
      <c r="A23" s="156">
        <v>20</v>
      </c>
      <c r="B23" s="141"/>
      <c r="C23" s="145">
        <v>17</v>
      </c>
      <c r="D23" s="145" t="s">
        <v>23</v>
      </c>
      <c r="E23" s="100">
        <v>97</v>
      </c>
      <c r="F23" s="22">
        <v>98</v>
      </c>
      <c r="G23" s="22">
        <v>90</v>
      </c>
      <c r="H23" s="22">
        <v>97</v>
      </c>
      <c r="I23" s="22">
        <v>100</v>
      </c>
      <c r="J23" s="22">
        <v>93</v>
      </c>
      <c r="K23" s="22">
        <f t="shared" si="0"/>
        <v>575</v>
      </c>
      <c r="L23" s="25">
        <f t="shared" si="1"/>
        <v>95.833333333333329</v>
      </c>
      <c r="M23" s="81">
        <f t="shared" si="2"/>
        <v>1</v>
      </c>
      <c r="N23" s="11"/>
      <c r="O23" s="11"/>
    </row>
    <row r="24" spans="1:15" ht="20.100000000000001" customHeight="1" x14ac:dyDescent="0.25">
      <c r="A24" s="156">
        <v>21</v>
      </c>
      <c r="B24" s="141"/>
      <c r="C24" s="145">
        <v>17</v>
      </c>
      <c r="D24" s="145" t="s">
        <v>23</v>
      </c>
      <c r="E24" s="100">
        <v>64</v>
      </c>
      <c r="F24" s="22">
        <v>64</v>
      </c>
      <c r="G24" s="22">
        <v>70</v>
      </c>
      <c r="H24" s="22">
        <v>74</v>
      </c>
      <c r="I24" s="22">
        <v>86</v>
      </c>
      <c r="J24" s="22">
        <v>66</v>
      </c>
      <c r="K24" s="22">
        <f t="shared" si="0"/>
        <v>424</v>
      </c>
      <c r="L24" s="25">
        <f t="shared" si="1"/>
        <v>70.666666666666671</v>
      </c>
      <c r="M24" s="81">
        <f t="shared" si="2"/>
        <v>26</v>
      </c>
      <c r="N24" s="11"/>
      <c r="O24" s="11"/>
    </row>
    <row r="25" spans="1:15" ht="20.100000000000001" customHeight="1" x14ac:dyDescent="0.25">
      <c r="A25" s="155">
        <v>22</v>
      </c>
      <c r="B25" s="141"/>
      <c r="C25" s="145">
        <v>18</v>
      </c>
      <c r="D25" s="145" t="s">
        <v>23</v>
      </c>
      <c r="E25" s="100">
        <v>76</v>
      </c>
      <c r="F25" s="22">
        <v>66</v>
      </c>
      <c r="G25" s="22">
        <v>70</v>
      </c>
      <c r="H25" s="22">
        <v>73</v>
      </c>
      <c r="I25" s="22">
        <v>94</v>
      </c>
      <c r="J25" s="22">
        <v>69</v>
      </c>
      <c r="K25" s="22">
        <f t="shared" si="0"/>
        <v>448</v>
      </c>
      <c r="L25" s="25">
        <f t="shared" si="1"/>
        <v>74.666666666666671</v>
      </c>
      <c r="M25" s="81">
        <f t="shared" si="2"/>
        <v>19</v>
      </c>
      <c r="N25" s="11"/>
      <c r="O25" s="11"/>
    </row>
    <row r="26" spans="1:15" ht="20.100000000000001" customHeight="1" x14ac:dyDescent="0.25">
      <c r="A26" s="155">
        <v>23</v>
      </c>
      <c r="B26" s="141"/>
      <c r="C26" s="145">
        <v>17</v>
      </c>
      <c r="D26" s="145" t="s">
        <v>20</v>
      </c>
      <c r="E26" s="100">
        <v>77</v>
      </c>
      <c r="F26" s="22">
        <v>83</v>
      </c>
      <c r="G26" s="22">
        <v>88</v>
      </c>
      <c r="H26" s="22">
        <v>87</v>
      </c>
      <c r="I26" s="22">
        <v>100</v>
      </c>
      <c r="J26" s="22">
        <v>83</v>
      </c>
      <c r="K26" s="22">
        <f t="shared" si="0"/>
        <v>518</v>
      </c>
      <c r="L26" s="25">
        <f t="shared" si="1"/>
        <v>86.333333333333329</v>
      </c>
      <c r="M26" s="81">
        <f t="shared" si="2"/>
        <v>6</v>
      </c>
      <c r="N26" s="11"/>
      <c r="O26" s="11"/>
    </row>
    <row r="27" spans="1:15" ht="20.100000000000001" customHeight="1" x14ac:dyDescent="0.25">
      <c r="A27" s="156">
        <v>24</v>
      </c>
      <c r="B27" s="141"/>
      <c r="C27" s="145">
        <v>18</v>
      </c>
      <c r="D27" s="145" t="s">
        <v>23</v>
      </c>
      <c r="E27" s="100">
        <v>71</v>
      </c>
      <c r="F27" s="22">
        <v>69</v>
      </c>
      <c r="G27" s="23">
        <v>70</v>
      </c>
      <c r="H27" s="23">
        <v>74</v>
      </c>
      <c r="I27" s="22">
        <v>96</v>
      </c>
      <c r="J27" s="23">
        <v>69</v>
      </c>
      <c r="K27" s="22">
        <f t="shared" si="0"/>
        <v>449</v>
      </c>
      <c r="L27" s="25">
        <f t="shared" si="1"/>
        <v>74.833333333333329</v>
      </c>
      <c r="M27" s="81">
        <f t="shared" si="2"/>
        <v>18</v>
      </c>
      <c r="N27" s="11"/>
      <c r="O27" s="11"/>
    </row>
    <row r="28" spans="1:15" ht="20.100000000000001" customHeight="1" x14ac:dyDescent="0.25">
      <c r="A28" s="155">
        <v>25</v>
      </c>
      <c r="B28" s="141"/>
      <c r="C28" s="145">
        <v>17</v>
      </c>
      <c r="D28" s="145" t="s">
        <v>23</v>
      </c>
      <c r="E28" s="100">
        <v>72</v>
      </c>
      <c r="F28" s="23">
        <v>65</v>
      </c>
      <c r="G28" s="23">
        <v>78</v>
      </c>
      <c r="H28" s="22">
        <v>70</v>
      </c>
      <c r="I28" s="23">
        <v>97</v>
      </c>
      <c r="J28" s="22">
        <v>64</v>
      </c>
      <c r="K28" s="22">
        <f t="shared" si="0"/>
        <v>446</v>
      </c>
      <c r="L28" s="25">
        <f t="shared" si="1"/>
        <v>74.333333333333329</v>
      </c>
      <c r="M28" s="81">
        <f t="shared" si="2"/>
        <v>21</v>
      </c>
      <c r="N28" s="11"/>
      <c r="O28" s="11"/>
    </row>
    <row r="29" spans="1:15" ht="20.100000000000001" customHeight="1" x14ac:dyDescent="0.25">
      <c r="A29" s="156">
        <v>26</v>
      </c>
      <c r="B29" s="141"/>
      <c r="C29" s="145">
        <v>17</v>
      </c>
      <c r="D29" s="145" t="s">
        <v>23</v>
      </c>
      <c r="E29" s="100">
        <v>69</v>
      </c>
      <c r="F29" s="22">
        <v>69</v>
      </c>
      <c r="G29" s="22">
        <v>80</v>
      </c>
      <c r="H29" s="22">
        <v>80</v>
      </c>
      <c r="I29" s="22">
        <v>88</v>
      </c>
      <c r="J29" s="22">
        <v>69</v>
      </c>
      <c r="K29" s="22">
        <f t="shared" si="0"/>
        <v>455</v>
      </c>
      <c r="L29" s="25">
        <f t="shared" si="1"/>
        <v>75.833333333333329</v>
      </c>
      <c r="M29" s="81">
        <f t="shared" si="2"/>
        <v>16</v>
      </c>
      <c r="N29" s="11"/>
      <c r="O29" s="11"/>
    </row>
    <row r="30" spans="1:15" ht="20.100000000000001" customHeight="1" x14ac:dyDescent="0.25">
      <c r="A30" s="156">
        <v>27</v>
      </c>
      <c r="B30" s="141"/>
      <c r="C30" s="145">
        <v>17</v>
      </c>
      <c r="D30" s="145" t="s">
        <v>23</v>
      </c>
      <c r="E30" s="100">
        <v>93</v>
      </c>
      <c r="F30" s="22">
        <v>88</v>
      </c>
      <c r="G30" s="23">
        <v>86</v>
      </c>
      <c r="H30" s="22">
        <v>90</v>
      </c>
      <c r="I30" s="22">
        <v>100</v>
      </c>
      <c r="J30" s="22">
        <v>86</v>
      </c>
      <c r="K30" s="22">
        <f t="shared" si="0"/>
        <v>543</v>
      </c>
      <c r="L30" s="25">
        <f t="shared" si="1"/>
        <v>90.5</v>
      </c>
      <c r="M30" s="81">
        <f t="shared" si="2"/>
        <v>4</v>
      </c>
      <c r="N30" s="11"/>
      <c r="O30" s="11"/>
    </row>
    <row r="31" spans="1:15" ht="20.100000000000001" customHeight="1" x14ac:dyDescent="0.25">
      <c r="A31" s="156">
        <v>28</v>
      </c>
      <c r="B31" s="141"/>
      <c r="C31" s="145">
        <v>17</v>
      </c>
      <c r="D31" s="145" t="s">
        <v>23</v>
      </c>
      <c r="E31" s="100">
        <v>80</v>
      </c>
      <c r="F31" s="22">
        <v>75</v>
      </c>
      <c r="G31" s="22">
        <v>90</v>
      </c>
      <c r="H31" s="22">
        <v>81</v>
      </c>
      <c r="I31" s="22">
        <v>98</v>
      </c>
      <c r="J31" s="22">
        <v>79</v>
      </c>
      <c r="K31" s="22">
        <f t="shared" si="0"/>
        <v>503</v>
      </c>
      <c r="L31" s="25">
        <f t="shared" si="1"/>
        <v>83.833333333333329</v>
      </c>
      <c r="M31" s="81">
        <f t="shared" si="2"/>
        <v>10</v>
      </c>
      <c r="N31" s="11"/>
      <c r="O31" s="11"/>
    </row>
    <row r="32" spans="1:15" ht="20.100000000000001" customHeight="1" x14ac:dyDescent="0.25">
      <c r="A32" s="155">
        <v>29</v>
      </c>
      <c r="B32" s="141"/>
      <c r="C32" s="145">
        <v>18</v>
      </c>
      <c r="D32" s="145" t="s">
        <v>23</v>
      </c>
      <c r="E32" s="100">
        <v>88</v>
      </c>
      <c r="F32" s="22">
        <v>74</v>
      </c>
      <c r="G32" s="22">
        <v>88</v>
      </c>
      <c r="H32" s="22">
        <v>89</v>
      </c>
      <c r="I32" s="22">
        <v>98</v>
      </c>
      <c r="J32" s="22">
        <v>81</v>
      </c>
      <c r="K32" s="22">
        <f t="shared" si="0"/>
        <v>518</v>
      </c>
      <c r="L32" s="25">
        <f t="shared" si="1"/>
        <v>86.333333333333329</v>
      </c>
      <c r="M32" s="81">
        <f t="shared" si="2"/>
        <v>6</v>
      </c>
      <c r="N32" s="11"/>
      <c r="O32" s="11"/>
    </row>
    <row r="33" spans="1:15" ht="20.100000000000001" customHeight="1" x14ac:dyDescent="0.25">
      <c r="A33" s="156">
        <v>30</v>
      </c>
      <c r="B33" s="141"/>
      <c r="C33" s="145">
        <v>18</v>
      </c>
      <c r="D33" s="145" t="s">
        <v>20</v>
      </c>
      <c r="E33" s="100">
        <v>0</v>
      </c>
      <c r="F33" s="23">
        <v>0</v>
      </c>
      <c r="G33" s="23">
        <v>0</v>
      </c>
      <c r="H33" s="23">
        <v>0</v>
      </c>
      <c r="I33" s="22">
        <v>0</v>
      </c>
      <c r="J33" s="22">
        <v>0</v>
      </c>
      <c r="K33" s="22">
        <f t="shared" si="0"/>
        <v>0</v>
      </c>
      <c r="L33" s="25">
        <f t="shared" si="1"/>
        <v>0</v>
      </c>
      <c r="M33" s="81">
        <f t="shared" si="2"/>
        <v>31</v>
      </c>
      <c r="N33" s="11"/>
      <c r="O33" s="11"/>
    </row>
    <row r="34" spans="1:15" ht="20.100000000000001" customHeight="1" x14ac:dyDescent="0.25">
      <c r="A34" s="155">
        <v>31</v>
      </c>
      <c r="B34" s="138"/>
      <c r="C34" s="144">
        <v>17</v>
      </c>
      <c r="D34" s="144" t="s">
        <v>20</v>
      </c>
      <c r="E34" s="100">
        <v>69</v>
      </c>
      <c r="F34" s="22">
        <v>70</v>
      </c>
      <c r="G34" s="23">
        <v>85</v>
      </c>
      <c r="H34" s="22">
        <v>80</v>
      </c>
      <c r="I34" s="22">
        <v>92</v>
      </c>
      <c r="J34" s="22">
        <v>80</v>
      </c>
      <c r="K34" s="22">
        <f t="shared" si="0"/>
        <v>476</v>
      </c>
      <c r="L34" s="25">
        <f t="shared" si="1"/>
        <v>79.333333333333329</v>
      </c>
      <c r="M34" s="81">
        <f t="shared" si="2"/>
        <v>13</v>
      </c>
      <c r="N34" s="11"/>
      <c r="O34" s="11"/>
    </row>
    <row r="35" spans="1:15" ht="20.100000000000001" customHeight="1" x14ac:dyDescent="0.25">
      <c r="A35" s="155">
        <v>32</v>
      </c>
      <c r="B35" s="139"/>
      <c r="C35" s="136"/>
      <c r="D35" s="136"/>
      <c r="E35" s="100"/>
      <c r="F35" s="22"/>
      <c r="G35" s="22"/>
      <c r="H35" s="22"/>
      <c r="I35" s="22"/>
      <c r="J35" s="22"/>
      <c r="K35" s="22"/>
      <c r="L35" s="11"/>
      <c r="M35" s="25"/>
      <c r="N35" s="11"/>
      <c r="O35" s="11"/>
    </row>
    <row r="36" spans="1:15" ht="20.100000000000001" customHeight="1" x14ac:dyDescent="0.25">
      <c r="A36" s="155">
        <v>33</v>
      </c>
      <c r="B36" s="139"/>
      <c r="C36" s="136"/>
      <c r="D36" s="136"/>
      <c r="E36" s="100"/>
      <c r="F36" s="22"/>
      <c r="G36" s="23"/>
      <c r="H36" s="22"/>
      <c r="I36" s="22"/>
      <c r="J36" s="22"/>
      <c r="K36" s="22"/>
      <c r="L36" s="11"/>
      <c r="M36" s="25"/>
      <c r="N36" s="11"/>
      <c r="O36" s="11"/>
    </row>
    <row r="37" spans="1:15" ht="20.100000000000001" customHeight="1" x14ac:dyDescent="0.25">
      <c r="A37" s="156">
        <v>34</v>
      </c>
      <c r="B37" s="139"/>
      <c r="C37" s="136"/>
      <c r="D37" s="136"/>
      <c r="E37" s="100"/>
      <c r="F37" s="22"/>
      <c r="G37" s="22"/>
      <c r="H37" s="22"/>
      <c r="I37" s="22"/>
      <c r="J37" s="22"/>
      <c r="K37" s="22"/>
      <c r="L37" s="11"/>
      <c r="M37" s="25"/>
      <c r="N37" s="11"/>
      <c r="O37" s="11"/>
    </row>
    <row r="38" spans="1:15" ht="20.100000000000001" customHeight="1" x14ac:dyDescent="0.25">
      <c r="A38" s="156">
        <v>35</v>
      </c>
      <c r="B38" s="139"/>
      <c r="C38" s="136"/>
      <c r="D38" s="136"/>
      <c r="E38" s="100"/>
      <c r="F38" s="22"/>
      <c r="G38" s="22"/>
      <c r="H38" s="22"/>
      <c r="I38" s="22"/>
      <c r="J38" s="22"/>
      <c r="K38" s="22"/>
      <c r="L38" s="11"/>
      <c r="M38" s="25"/>
      <c r="N38" s="11"/>
      <c r="O38" s="11"/>
    </row>
    <row r="39" spans="1:15" ht="20.100000000000001" customHeight="1" x14ac:dyDescent="0.25">
      <c r="A39" s="156">
        <v>36</v>
      </c>
      <c r="B39" s="139"/>
      <c r="C39" s="136"/>
      <c r="D39" s="136"/>
      <c r="E39" s="100"/>
      <c r="F39" s="22"/>
      <c r="G39" s="23"/>
      <c r="H39" s="22"/>
      <c r="I39" s="22"/>
      <c r="J39" s="22"/>
      <c r="K39" s="22"/>
      <c r="L39" s="11"/>
      <c r="M39" s="25"/>
      <c r="N39" s="11"/>
      <c r="O39" s="11"/>
    </row>
    <row r="40" spans="1:15" ht="20.100000000000001" customHeight="1" x14ac:dyDescent="0.25">
      <c r="A40" s="155">
        <v>37</v>
      </c>
      <c r="B40" s="139"/>
      <c r="C40" s="136"/>
      <c r="D40" s="136"/>
      <c r="E40" s="100"/>
      <c r="F40" s="22"/>
      <c r="G40" s="22"/>
      <c r="H40" s="22"/>
      <c r="I40" s="22"/>
      <c r="J40" s="22"/>
      <c r="K40" s="22"/>
      <c r="L40" s="11"/>
      <c r="M40" s="25"/>
      <c r="N40" s="11"/>
      <c r="O40" s="11"/>
    </row>
    <row r="41" spans="1:15" ht="20.100000000000001" customHeight="1" x14ac:dyDescent="0.25">
      <c r="A41" s="155">
        <v>38</v>
      </c>
      <c r="B41" s="139"/>
      <c r="C41" s="136"/>
      <c r="D41" s="136"/>
      <c r="E41" s="100"/>
      <c r="F41" s="22"/>
      <c r="G41" s="22"/>
      <c r="H41" s="22"/>
      <c r="I41" s="22"/>
      <c r="J41" s="22"/>
      <c r="K41" s="22"/>
      <c r="L41" s="11"/>
      <c r="M41" s="25"/>
      <c r="N41" s="11"/>
      <c r="O41" s="11"/>
    </row>
    <row r="42" spans="1:15" ht="20.100000000000001" customHeight="1" x14ac:dyDescent="0.25">
      <c r="A42" s="156">
        <v>39</v>
      </c>
      <c r="B42" s="139"/>
      <c r="C42" s="136"/>
      <c r="D42" s="136"/>
      <c r="E42" s="100"/>
      <c r="F42" s="22"/>
      <c r="G42" s="23"/>
      <c r="H42" s="22"/>
      <c r="I42" s="22"/>
      <c r="J42" s="22"/>
      <c r="K42" s="22"/>
      <c r="L42" s="11"/>
      <c r="M42" s="25"/>
      <c r="N42" s="11"/>
      <c r="O42" s="11"/>
    </row>
    <row r="43" spans="1:15" ht="20.100000000000001" customHeight="1" x14ac:dyDescent="0.25">
      <c r="A43" s="155">
        <v>40</v>
      </c>
      <c r="B43" s="139"/>
      <c r="C43" s="136"/>
      <c r="D43" s="136"/>
      <c r="E43" s="100"/>
      <c r="F43" s="22"/>
      <c r="G43" s="22"/>
      <c r="H43" s="22"/>
      <c r="I43" s="22"/>
      <c r="J43" s="22"/>
      <c r="K43" s="22"/>
      <c r="L43" s="11"/>
      <c r="M43" s="25"/>
      <c r="N43" s="11"/>
      <c r="O43" s="11"/>
    </row>
    <row r="44" spans="1:15" ht="20.100000000000001" customHeight="1" x14ac:dyDescent="0.25">
      <c r="A44" s="156">
        <v>41</v>
      </c>
      <c r="B44" s="153"/>
      <c r="C44" s="42"/>
      <c r="D44" s="42"/>
      <c r="E44" s="45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spans="1:15" ht="20.100000000000001" customHeight="1" x14ac:dyDescent="0.25">
      <c r="A45" s="155">
        <v>42</v>
      </c>
      <c r="B45" s="153"/>
      <c r="C45" s="42"/>
      <c r="D45" s="42"/>
      <c r="E45" s="45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 ht="20.100000000000001" customHeight="1" x14ac:dyDescent="0.25">
      <c r="A46" s="157">
        <v>43</v>
      </c>
      <c r="B46" s="153"/>
      <c r="C46" s="42"/>
      <c r="D46" s="42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 ht="20.100000000000001" customHeight="1" x14ac:dyDescent="0.25">
      <c r="A47" s="145">
        <v>44</v>
      </c>
      <c r="B47" s="153"/>
      <c r="C47" s="42"/>
      <c r="D47" s="42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15" ht="20.100000000000001" customHeight="1" x14ac:dyDescent="0.25">
      <c r="A48" s="157">
        <v>45</v>
      </c>
      <c r="B48" s="153"/>
      <c r="C48" s="42"/>
      <c r="D48" s="42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1:15" ht="20.100000000000001" customHeight="1" x14ac:dyDescent="0.25">
      <c r="A49" s="145">
        <v>46</v>
      </c>
      <c r="B49" s="153"/>
      <c r="C49" s="42"/>
      <c r="D49" s="42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1:15" ht="20.100000000000001" customHeight="1" x14ac:dyDescent="0.25">
      <c r="A50" s="157">
        <v>47</v>
      </c>
      <c r="B50" s="153"/>
      <c r="C50" s="42"/>
      <c r="D50" s="42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ht="20.100000000000001" customHeight="1" x14ac:dyDescent="0.25">
      <c r="A51" s="145">
        <v>48</v>
      </c>
      <c r="B51" s="153"/>
      <c r="C51" s="42"/>
      <c r="D51" s="42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 ht="20.100000000000001" customHeight="1" x14ac:dyDescent="0.25">
      <c r="A52" s="157">
        <v>49</v>
      </c>
      <c r="B52" s="153"/>
      <c r="C52" s="42"/>
      <c r="D52" s="42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1:15" ht="20.100000000000001" customHeight="1" x14ac:dyDescent="0.25">
      <c r="A53" s="145">
        <v>50</v>
      </c>
      <c r="B53" s="153"/>
      <c r="C53" s="42"/>
      <c r="D53" s="42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1:15" ht="20.100000000000001" customHeight="1" x14ac:dyDescent="0.25">
      <c r="A54" s="157">
        <v>51</v>
      </c>
      <c r="B54" s="153"/>
      <c r="C54" s="42"/>
      <c r="D54" s="42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 ht="20.100000000000001" customHeight="1" x14ac:dyDescent="0.25">
      <c r="A55" s="145">
        <v>52</v>
      </c>
      <c r="B55" s="153"/>
      <c r="C55" s="42"/>
      <c r="D55" s="42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spans="1:15" ht="20.100000000000001" customHeight="1" x14ac:dyDescent="0.25">
      <c r="A56" s="157">
        <v>53</v>
      </c>
      <c r="B56" s="153"/>
      <c r="C56" s="42"/>
      <c r="D56" s="42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 ht="20.100000000000001" customHeight="1" x14ac:dyDescent="0.25">
      <c r="A57" s="145">
        <v>54</v>
      </c>
      <c r="B57" s="153"/>
      <c r="C57" s="42"/>
      <c r="D57" s="42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spans="1:15" ht="20.100000000000001" customHeight="1" x14ac:dyDescent="0.25">
      <c r="A58" s="157">
        <v>55</v>
      </c>
      <c r="B58" s="153"/>
      <c r="C58" s="42"/>
      <c r="D58" s="42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</sheetData>
  <mergeCells count="2">
    <mergeCell ref="A1:O1"/>
    <mergeCell ref="A2:O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tabSelected="1" workbookViewId="0">
      <selection activeCell="B9" sqref="B9"/>
    </sheetView>
  </sheetViews>
  <sheetFormatPr defaultRowHeight="15" x14ac:dyDescent="0.25"/>
  <cols>
    <col min="1" max="1" width="6.7109375" style="10" customWidth="1"/>
    <col min="2" max="2" width="35.140625" bestFit="1" customWidth="1"/>
    <col min="3" max="3" width="4.7109375" customWidth="1"/>
    <col min="4" max="4" width="4.140625" customWidth="1"/>
    <col min="5" max="5" width="12" style="10" customWidth="1"/>
    <col min="6" max="7" width="10.5703125" style="10" customWidth="1"/>
  </cols>
  <sheetData>
    <row r="1" spans="1:9" ht="20.25" x14ac:dyDescent="0.25">
      <c r="A1" s="243" t="s">
        <v>64</v>
      </c>
      <c r="B1" s="244"/>
      <c r="C1" s="244"/>
      <c r="D1" s="244"/>
      <c r="E1" s="244"/>
      <c r="F1" s="244"/>
      <c r="G1" s="244"/>
      <c r="H1" s="244"/>
      <c r="I1" s="244"/>
    </row>
    <row r="2" spans="1:9" x14ac:dyDescent="0.25">
      <c r="A2" s="245" t="s">
        <v>80</v>
      </c>
      <c r="B2" s="246"/>
      <c r="C2" s="246"/>
      <c r="D2" s="246"/>
      <c r="E2" s="246"/>
      <c r="F2" s="246"/>
      <c r="G2" s="246"/>
      <c r="H2" s="246"/>
    </row>
    <row r="3" spans="1:9" ht="67.5" customHeight="1" thickBot="1" x14ac:dyDescent="0.3">
      <c r="A3" s="13" t="s">
        <v>24</v>
      </c>
      <c r="B3" s="14" t="s">
        <v>1</v>
      </c>
      <c r="C3" s="15" t="s">
        <v>2</v>
      </c>
      <c r="D3" s="14" t="s">
        <v>3</v>
      </c>
      <c r="E3" s="57" t="s">
        <v>26</v>
      </c>
      <c r="F3" s="57" t="s">
        <v>27</v>
      </c>
      <c r="G3" s="57" t="s">
        <v>16</v>
      </c>
      <c r="H3" s="91" t="s">
        <v>17</v>
      </c>
    </row>
    <row r="4" spans="1:9" ht="20.100000000000001" customHeight="1" x14ac:dyDescent="0.25">
      <c r="A4" s="154">
        <v>1</v>
      </c>
      <c r="B4" s="141"/>
      <c r="C4" s="145">
        <v>19</v>
      </c>
      <c r="D4" s="145" t="s">
        <v>20</v>
      </c>
      <c r="E4" s="25">
        <f>'12C (SS)Sem 1'!L4</f>
        <v>66</v>
      </c>
      <c r="F4" s="25">
        <f>'12C (SS)Sem 2'!L4</f>
        <v>73.833333333333329</v>
      </c>
      <c r="G4" s="25">
        <f>AVERAGE(E4:F4)</f>
        <v>69.916666666666657</v>
      </c>
      <c r="H4" s="99">
        <f>RANK(G4,$G$4:$G$34)</f>
        <v>23</v>
      </c>
    </row>
    <row r="5" spans="1:9" ht="20.100000000000001" customHeight="1" x14ac:dyDescent="0.25">
      <c r="A5" s="155">
        <v>2</v>
      </c>
      <c r="B5" s="141"/>
      <c r="C5" s="145">
        <v>22</v>
      </c>
      <c r="D5" s="145" t="s">
        <v>20</v>
      </c>
      <c r="E5" s="25">
        <f>'12C (SS)Sem 1'!L5</f>
        <v>67</v>
      </c>
      <c r="F5" s="25">
        <f>'12C (SS)Sem 2'!L5</f>
        <v>73.666666666666671</v>
      </c>
      <c r="G5" s="25">
        <f t="shared" ref="G5:G58" si="0">AVERAGE(E5:F5)</f>
        <v>70.333333333333343</v>
      </c>
      <c r="H5" s="99">
        <f t="shared" ref="H5:H34" si="1">RANK(G5,$G$4:$G$34)</f>
        <v>22</v>
      </c>
    </row>
    <row r="6" spans="1:9" ht="20.100000000000001" customHeight="1" x14ac:dyDescent="0.25">
      <c r="A6" s="156">
        <v>3</v>
      </c>
      <c r="B6" s="141"/>
      <c r="C6" s="145">
        <v>18</v>
      </c>
      <c r="D6" s="145" t="s">
        <v>23</v>
      </c>
      <c r="E6" s="25">
        <f>'12C (SS)Sem 1'!L6</f>
        <v>74</v>
      </c>
      <c r="F6" s="25">
        <f>'12C (SS)Sem 2'!L6</f>
        <v>81</v>
      </c>
      <c r="G6" s="25">
        <f t="shared" si="0"/>
        <v>77.5</v>
      </c>
      <c r="H6" s="99">
        <f t="shared" si="1"/>
        <v>12</v>
      </c>
    </row>
    <row r="7" spans="1:9" ht="20.100000000000001" customHeight="1" x14ac:dyDescent="0.25">
      <c r="A7" s="155">
        <v>4</v>
      </c>
      <c r="B7" s="141"/>
      <c r="C7" s="145">
        <v>18</v>
      </c>
      <c r="D7" s="145" t="s">
        <v>20</v>
      </c>
      <c r="E7" s="25">
        <f>'12C (SS)Sem 1'!L7</f>
        <v>58.666666666666664</v>
      </c>
      <c r="F7" s="25">
        <f>'12C (SS)Sem 2'!L7</f>
        <v>70.833333333333329</v>
      </c>
      <c r="G7" s="25">
        <f t="shared" si="0"/>
        <v>64.75</v>
      </c>
      <c r="H7" s="99">
        <f t="shared" si="1"/>
        <v>25</v>
      </c>
    </row>
    <row r="8" spans="1:9" ht="20.100000000000001" customHeight="1" x14ac:dyDescent="0.25">
      <c r="A8" s="155">
        <v>5</v>
      </c>
      <c r="B8" s="141"/>
      <c r="C8" s="145">
        <v>17</v>
      </c>
      <c r="D8" s="145" t="s">
        <v>20</v>
      </c>
      <c r="E8" s="25">
        <f>'12C (SS)Sem 1'!L8</f>
        <v>82.666666666666671</v>
      </c>
      <c r="F8" s="25">
        <f>'12C (SS)Sem 2'!L8</f>
        <v>84.5</v>
      </c>
      <c r="G8" s="25">
        <f t="shared" si="0"/>
        <v>83.583333333333343</v>
      </c>
      <c r="H8" s="99">
        <f t="shared" si="1"/>
        <v>7</v>
      </c>
    </row>
    <row r="9" spans="1:9" ht="20.100000000000001" customHeight="1" x14ac:dyDescent="0.25">
      <c r="A9" s="156">
        <v>6</v>
      </c>
      <c r="B9" s="141"/>
      <c r="C9" s="145">
        <v>18</v>
      </c>
      <c r="D9" s="145" t="s">
        <v>23</v>
      </c>
      <c r="E9" s="25">
        <f>'12C (SS)Sem 1'!L9</f>
        <v>68</v>
      </c>
      <c r="F9" s="25">
        <f>'12C (SS)Sem 2'!L9</f>
        <v>75</v>
      </c>
      <c r="G9" s="25">
        <f t="shared" si="0"/>
        <v>71.5</v>
      </c>
      <c r="H9" s="99">
        <f t="shared" si="1"/>
        <v>17</v>
      </c>
    </row>
    <row r="10" spans="1:9" ht="20.100000000000001" customHeight="1" x14ac:dyDescent="0.25">
      <c r="A10" s="155">
        <v>7</v>
      </c>
      <c r="B10" s="141"/>
      <c r="C10" s="145">
        <v>18</v>
      </c>
      <c r="D10" s="145" t="s">
        <v>23</v>
      </c>
      <c r="E10" s="25">
        <f>'12C (SS)Sem 1'!L10</f>
        <v>48.5</v>
      </c>
      <c r="F10" s="25">
        <f>'12C (SS)Sem 2'!L10</f>
        <v>63.5</v>
      </c>
      <c r="G10" s="25">
        <f t="shared" si="0"/>
        <v>56</v>
      </c>
      <c r="H10" s="99">
        <f t="shared" si="1"/>
        <v>30</v>
      </c>
    </row>
    <row r="11" spans="1:9" ht="20.100000000000001" customHeight="1" x14ac:dyDescent="0.25">
      <c r="A11" s="155">
        <v>8</v>
      </c>
      <c r="B11" s="141"/>
      <c r="C11" s="145">
        <v>16</v>
      </c>
      <c r="D11" s="145" t="s">
        <v>23</v>
      </c>
      <c r="E11" s="25">
        <f>'12C (SS)Sem 1'!L11</f>
        <v>67.833333333333329</v>
      </c>
      <c r="F11" s="25">
        <f>'12C (SS)Sem 2'!L11</f>
        <v>74.666666666666671</v>
      </c>
      <c r="G11" s="25">
        <f t="shared" si="0"/>
        <v>71.25</v>
      </c>
      <c r="H11" s="99">
        <f t="shared" si="1"/>
        <v>18</v>
      </c>
    </row>
    <row r="12" spans="1:9" ht="20.100000000000001" customHeight="1" x14ac:dyDescent="0.25">
      <c r="A12" s="156">
        <v>9</v>
      </c>
      <c r="B12" s="141"/>
      <c r="C12" s="145">
        <v>18</v>
      </c>
      <c r="D12" s="145" t="s">
        <v>20</v>
      </c>
      <c r="E12" s="25">
        <f>'12C (SS)Sem 1'!L12</f>
        <v>69.833333333333329</v>
      </c>
      <c r="F12" s="25">
        <f>'12C (SS)Sem 2'!L12</f>
        <v>77</v>
      </c>
      <c r="G12" s="25">
        <f t="shared" si="0"/>
        <v>73.416666666666657</v>
      </c>
      <c r="H12" s="99">
        <f t="shared" si="1"/>
        <v>15</v>
      </c>
    </row>
    <row r="13" spans="1:9" ht="20.100000000000001" customHeight="1" x14ac:dyDescent="0.25">
      <c r="A13" s="155">
        <v>10</v>
      </c>
      <c r="B13" s="141"/>
      <c r="C13" s="145">
        <v>18</v>
      </c>
      <c r="D13" s="145" t="s">
        <v>23</v>
      </c>
      <c r="E13" s="25">
        <f>'12C (SS)Sem 1'!L13</f>
        <v>82.166666666666671</v>
      </c>
      <c r="F13" s="25">
        <f>'12C (SS)Sem 2'!L13</f>
        <v>86</v>
      </c>
      <c r="G13" s="25">
        <f t="shared" si="0"/>
        <v>84.083333333333343</v>
      </c>
      <c r="H13" s="99">
        <f t="shared" si="1"/>
        <v>6</v>
      </c>
    </row>
    <row r="14" spans="1:9" ht="20.100000000000001" customHeight="1" x14ac:dyDescent="0.25">
      <c r="A14" s="156">
        <v>11</v>
      </c>
      <c r="B14" s="141"/>
      <c r="C14" s="145">
        <v>18</v>
      </c>
      <c r="D14" s="145" t="s">
        <v>20</v>
      </c>
      <c r="E14" s="25">
        <f>'12C (SS)Sem 1'!L14</f>
        <v>64.833333333333329</v>
      </c>
      <c r="F14" s="25">
        <f>'12C (SS)Sem 2'!L14</f>
        <v>73.666666666666671</v>
      </c>
      <c r="G14" s="25">
        <f t="shared" si="0"/>
        <v>69.25</v>
      </c>
      <c r="H14" s="99">
        <f t="shared" si="1"/>
        <v>24</v>
      </c>
    </row>
    <row r="15" spans="1:9" ht="20.100000000000001" customHeight="1" x14ac:dyDescent="0.25">
      <c r="A15" s="156">
        <v>12</v>
      </c>
      <c r="B15" s="141"/>
      <c r="C15" s="145">
        <v>18</v>
      </c>
      <c r="D15" s="145" t="s">
        <v>23</v>
      </c>
      <c r="E15" s="25">
        <f>'12C (SS)Sem 1'!L15</f>
        <v>52.833333333333336</v>
      </c>
      <c r="F15" s="25">
        <f>'12C (SS)Sem 2'!L15</f>
        <v>67</v>
      </c>
      <c r="G15" s="25">
        <f t="shared" si="0"/>
        <v>59.916666666666671</v>
      </c>
      <c r="H15" s="99">
        <f t="shared" si="1"/>
        <v>28</v>
      </c>
    </row>
    <row r="16" spans="1:9" ht="20.100000000000001" customHeight="1" x14ac:dyDescent="0.25">
      <c r="A16" s="156">
        <v>13</v>
      </c>
      <c r="B16" s="141"/>
      <c r="C16" s="145">
        <v>17</v>
      </c>
      <c r="D16" s="145" t="s">
        <v>23</v>
      </c>
      <c r="E16" s="25">
        <f>'12C (SS)Sem 1'!L16</f>
        <v>90.333333333333329</v>
      </c>
      <c r="F16" s="25">
        <f>'12C (SS)Sem 2'!L16</f>
        <v>93.833333333333329</v>
      </c>
      <c r="G16" s="25">
        <f t="shared" si="0"/>
        <v>92.083333333333329</v>
      </c>
      <c r="H16" s="99">
        <f t="shared" si="1"/>
        <v>2</v>
      </c>
    </row>
    <row r="17" spans="1:8" ht="20.100000000000001" customHeight="1" x14ac:dyDescent="0.25">
      <c r="A17" s="155">
        <v>14</v>
      </c>
      <c r="B17" s="141"/>
      <c r="C17" s="145">
        <v>18</v>
      </c>
      <c r="D17" s="145" t="s">
        <v>23</v>
      </c>
      <c r="E17" s="25">
        <f>'12C (SS)Sem 1'!L17</f>
        <v>59</v>
      </c>
      <c r="F17" s="25">
        <f>'12C (SS)Sem 2'!L17</f>
        <v>70.333333333333329</v>
      </c>
      <c r="G17" s="25">
        <f t="shared" si="0"/>
        <v>64.666666666666657</v>
      </c>
      <c r="H17" s="99">
        <f t="shared" si="1"/>
        <v>26</v>
      </c>
    </row>
    <row r="18" spans="1:8" ht="20.100000000000001" customHeight="1" x14ac:dyDescent="0.25">
      <c r="A18" s="156">
        <v>15</v>
      </c>
      <c r="B18" s="141"/>
      <c r="C18" s="145">
        <v>17</v>
      </c>
      <c r="D18" s="145" t="s">
        <v>20</v>
      </c>
      <c r="E18" s="25">
        <f>'12C (SS)Sem 1'!L18</f>
        <v>86.833333333333329</v>
      </c>
      <c r="F18" s="25">
        <f>'12C (SS)Sem 2'!L18</f>
        <v>94.166666666666671</v>
      </c>
      <c r="G18" s="25">
        <f t="shared" si="0"/>
        <v>90.5</v>
      </c>
      <c r="H18" s="99">
        <f t="shared" si="1"/>
        <v>3</v>
      </c>
    </row>
    <row r="19" spans="1:8" ht="20.100000000000001" customHeight="1" x14ac:dyDescent="0.25">
      <c r="A19" s="155">
        <v>16</v>
      </c>
      <c r="B19" s="141"/>
      <c r="C19" s="145">
        <v>17</v>
      </c>
      <c r="D19" s="145" t="s">
        <v>23</v>
      </c>
      <c r="E19" s="25">
        <f>'12C (SS)Sem 1'!L19</f>
        <v>68.166666666666671</v>
      </c>
      <c r="F19" s="25">
        <f>'12C (SS)Sem 2'!L19</f>
        <v>78.833333333333329</v>
      </c>
      <c r="G19" s="25">
        <f t="shared" si="0"/>
        <v>73.5</v>
      </c>
      <c r="H19" s="99">
        <f t="shared" si="1"/>
        <v>14</v>
      </c>
    </row>
    <row r="20" spans="1:8" ht="20.100000000000001" customHeight="1" x14ac:dyDescent="0.25">
      <c r="A20" s="155">
        <v>17</v>
      </c>
      <c r="B20" s="141"/>
      <c r="C20" s="145">
        <v>17</v>
      </c>
      <c r="D20" s="145" t="s">
        <v>23</v>
      </c>
      <c r="E20" s="25">
        <f>'12C (SS)Sem 1'!L20</f>
        <v>85.833333333333329</v>
      </c>
      <c r="F20" s="25">
        <f>'12C (SS)Sem 2'!L20</f>
        <v>86.5</v>
      </c>
      <c r="G20" s="25">
        <f t="shared" si="0"/>
        <v>86.166666666666657</v>
      </c>
      <c r="H20" s="99">
        <f t="shared" si="1"/>
        <v>5</v>
      </c>
    </row>
    <row r="21" spans="1:8" ht="20.100000000000001" customHeight="1" x14ac:dyDescent="0.25">
      <c r="A21" s="155">
        <v>18</v>
      </c>
      <c r="B21" s="141"/>
      <c r="C21" s="145">
        <v>18</v>
      </c>
      <c r="D21" s="145" t="s">
        <v>23</v>
      </c>
      <c r="E21" s="25">
        <f>'12C (SS)Sem 1'!L21</f>
        <v>49.333333333333336</v>
      </c>
      <c r="F21" s="25">
        <f>'12C (SS)Sem 2'!L21</f>
        <v>64.5</v>
      </c>
      <c r="G21" s="25">
        <f t="shared" si="0"/>
        <v>56.916666666666671</v>
      </c>
      <c r="H21" s="99">
        <f t="shared" si="1"/>
        <v>29</v>
      </c>
    </row>
    <row r="22" spans="1:8" ht="20.100000000000001" customHeight="1" x14ac:dyDescent="0.25">
      <c r="A22" s="156">
        <v>19</v>
      </c>
      <c r="B22" s="141"/>
      <c r="C22" s="145">
        <v>18</v>
      </c>
      <c r="D22" s="145" t="s">
        <v>20</v>
      </c>
      <c r="E22" s="25">
        <f>'12C (SS)Sem 1'!L22</f>
        <v>73.666666666666671</v>
      </c>
      <c r="F22" s="25">
        <f>'12C (SS)Sem 2'!L22</f>
        <v>82.333333333333329</v>
      </c>
      <c r="G22" s="25">
        <f t="shared" si="0"/>
        <v>78</v>
      </c>
      <c r="H22" s="99">
        <f t="shared" si="1"/>
        <v>11</v>
      </c>
    </row>
    <row r="23" spans="1:8" ht="20.100000000000001" customHeight="1" x14ac:dyDescent="0.25">
      <c r="A23" s="156">
        <v>20</v>
      </c>
      <c r="B23" s="141"/>
      <c r="C23" s="145">
        <v>17</v>
      </c>
      <c r="D23" s="145" t="s">
        <v>23</v>
      </c>
      <c r="E23" s="25">
        <f>'12C (SS)Sem 1'!L23</f>
        <v>92.666666666666671</v>
      </c>
      <c r="F23" s="25">
        <f>'12C (SS)Sem 2'!L23</f>
        <v>95.833333333333329</v>
      </c>
      <c r="G23" s="25">
        <f t="shared" si="0"/>
        <v>94.25</v>
      </c>
      <c r="H23" s="99">
        <f t="shared" si="1"/>
        <v>1</v>
      </c>
    </row>
    <row r="24" spans="1:8" ht="20.100000000000001" customHeight="1" x14ac:dyDescent="0.25">
      <c r="A24" s="156">
        <v>21</v>
      </c>
      <c r="B24" s="141"/>
      <c r="C24" s="145">
        <v>17</v>
      </c>
      <c r="D24" s="145" t="s">
        <v>23</v>
      </c>
      <c r="E24" s="25">
        <f>'12C (SS)Sem 1'!L24</f>
        <v>58.166666666666664</v>
      </c>
      <c r="F24" s="25">
        <f>'12C (SS)Sem 2'!L24</f>
        <v>70.666666666666671</v>
      </c>
      <c r="G24" s="25">
        <f t="shared" si="0"/>
        <v>64.416666666666671</v>
      </c>
      <c r="H24" s="99">
        <f t="shared" si="1"/>
        <v>27</v>
      </c>
    </row>
    <row r="25" spans="1:8" ht="20.100000000000001" customHeight="1" x14ac:dyDescent="0.25">
      <c r="A25" s="155">
        <v>22</v>
      </c>
      <c r="B25" s="141"/>
      <c r="C25" s="145">
        <v>18</v>
      </c>
      <c r="D25" s="145" t="s">
        <v>23</v>
      </c>
      <c r="E25" s="25">
        <f>'12C (SS)Sem 1'!L25</f>
        <v>67.5</v>
      </c>
      <c r="F25" s="25">
        <f>'12C (SS)Sem 2'!L25</f>
        <v>74.666666666666671</v>
      </c>
      <c r="G25" s="25">
        <f t="shared" si="0"/>
        <v>71.083333333333343</v>
      </c>
      <c r="H25" s="99">
        <f t="shared" si="1"/>
        <v>19</v>
      </c>
    </row>
    <row r="26" spans="1:8" ht="20.100000000000001" customHeight="1" x14ac:dyDescent="0.25">
      <c r="A26" s="155">
        <v>23</v>
      </c>
      <c r="B26" s="141"/>
      <c r="C26" s="145">
        <v>17</v>
      </c>
      <c r="D26" s="145" t="s">
        <v>20</v>
      </c>
      <c r="E26" s="25">
        <f>'12C (SS)Sem 1'!L26</f>
        <v>78.166666666666671</v>
      </c>
      <c r="F26" s="25">
        <f>'12C (SS)Sem 2'!L26</f>
        <v>86.333333333333329</v>
      </c>
      <c r="G26" s="25">
        <f t="shared" si="0"/>
        <v>82.25</v>
      </c>
      <c r="H26" s="99">
        <f t="shared" si="1"/>
        <v>9</v>
      </c>
    </row>
    <row r="27" spans="1:8" ht="20.100000000000001" customHeight="1" x14ac:dyDescent="0.25">
      <c r="A27" s="156">
        <v>24</v>
      </c>
      <c r="B27" s="141"/>
      <c r="C27" s="145">
        <v>18</v>
      </c>
      <c r="D27" s="145" t="s">
        <v>23</v>
      </c>
      <c r="E27" s="25">
        <f>'12C (SS)Sem 1'!L27</f>
        <v>68.833333333333329</v>
      </c>
      <c r="F27" s="25">
        <f>'12C (SS)Sem 2'!L27</f>
        <v>74.833333333333329</v>
      </c>
      <c r="G27" s="25">
        <f t="shared" si="0"/>
        <v>71.833333333333329</v>
      </c>
      <c r="H27" s="99">
        <f t="shared" si="1"/>
        <v>16</v>
      </c>
    </row>
    <row r="28" spans="1:8" ht="20.100000000000001" customHeight="1" x14ac:dyDescent="0.25">
      <c r="A28" s="155">
        <v>25</v>
      </c>
      <c r="B28" s="141"/>
      <c r="C28" s="145">
        <v>17</v>
      </c>
      <c r="D28" s="145" t="s">
        <v>23</v>
      </c>
      <c r="E28" s="25">
        <f>'12C (SS)Sem 1'!L28</f>
        <v>67</v>
      </c>
      <c r="F28" s="25">
        <f>'12C (SS)Sem 2'!L28</f>
        <v>74.333333333333329</v>
      </c>
      <c r="G28" s="25">
        <f t="shared" si="0"/>
        <v>70.666666666666657</v>
      </c>
      <c r="H28" s="99">
        <f t="shared" si="1"/>
        <v>21</v>
      </c>
    </row>
    <row r="29" spans="1:8" ht="20.100000000000001" customHeight="1" x14ac:dyDescent="0.25">
      <c r="A29" s="156">
        <v>26</v>
      </c>
      <c r="B29" s="141"/>
      <c r="C29" s="145">
        <v>17</v>
      </c>
      <c r="D29" s="145" t="s">
        <v>23</v>
      </c>
      <c r="E29" s="25">
        <f>'12C (SS)Sem 1'!L29</f>
        <v>66</v>
      </c>
      <c r="F29" s="25">
        <f>'12C (SS)Sem 2'!L29</f>
        <v>75.833333333333329</v>
      </c>
      <c r="G29" s="25">
        <f t="shared" si="0"/>
        <v>70.916666666666657</v>
      </c>
      <c r="H29" s="99">
        <f t="shared" si="1"/>
        <v>20</v>
      </c>
    </row>
    <row r="30" spans="1:8" ht="20.100000000000001" customHeight="1" x14ac:dyDescent="0.25">
      <c r="A30" s="156">
        <v>27</v>
      </c>
      <c r="B30" s="141"/>
      <c r="C30" s="145">
        <v>17</v>
      </c>
      <c r="D30" s="145" t="s">
        <v>23</v>
      </c>
      <c r="E30" s="25">
        <f>'12C (SS)Sem 1'!L30</f>
        <v>85.166666666666671</v>
      </c>
      <c r="F30" s="25">
        <f>'12C (SS)Sem 2'!L30</f>
        <v>90.5</v>
      </c>
      <c r="G30" s="25">
        <f t="shared" si="0"/>
        <v>87.833333333333343</v>
      </c>
      <c r="H30" s="99">
        <f t="shared" si="1"/>
        <v>4</v>
      </c>
    </row>
    <row r="31" spans="1:8" ht="20.100000000000001" customHeight="1" x14ac:dyDescent="0.25">
      <c r="A31" s="156">
        <v>28</v>
      </c>
      <c r="B31" s="141"/>
      <c r="C31" s="145">
        <v>17</v>
      </c>
      <c r="D31" s="145" t="s">
        <v>23</v>
      </c>
      <c r="E31" s="25">
        <f>'12C (SS)Sem 1'!L31</f>
        <v>73.666666666666671</v>
      </c>
      <c r="F31" s="25">
        <f>'12C (SS)Sem 2'!L31</f>
        <v>83.833333333333329</v>
      </c>
      <c r="G31" s="25">
        <f t="shared" si="0"/>
        <v>78.75</v>
      </c>
      <c r="H31" s="99">
        <f t="shared" si="1"/>
        <v>10</v>
      </c>
    </row>
    <row r="32" spans="1:8" ht="20.100000000000001" customHeight="1" x14ac:dyDescent="0.25">
      <c r="A32" s="155">
        <v>29</v>
      </c>
      <c r="B32" s="141"/>
      <c r="C32" s="145">
        <v>18</v>
      </c>
      <c r="D32" s="145" t="s">
        <v>23</v>
      </c>
      <c r="E32" s="25">
        <f>'12C (SS)Sem 1'!L32</f>
        <v>80.5</v>
      </c>
      <c r="F32" s="25">
        <f>'12C (SS)Sem 2'!L32</f>
        <v>86.333333333333329</v>
      </c>
      <c r="G32" s="25">
        <f t="shared" si="0"/>
        <v>83.416666666666657</v>
      </c>
      <c r="H32" s="99">
        <f t="shared" si="1"/>
        <v>8</v>
      </c>
    </row>
    <row r="33" spans="1:8" ht="20.100000000000001" customHeight="1" x14ac:dyDescent="0.25">
      <c r="A33" s="156">
        <v>30</v>
      </c>
      <c r="B33" s="141"/>
      <c r="C33" s="145">
        <v>18</v>
      </c>
      <c r="D33" s="145" t="s">
        <v>20</v>
      </c>
      <c r="E33" s="25">
        <f>'12C (SS)Sem 1'!L33</f>
        <v>0</v>
      </c>
      <c r="F33" s="25">
        <f>'12C (SS)Sem 2'!L33</f>
        <v>0</v>
      </c>
      <c r="G33" s="25">
        <f t="shared" si="0"/>
        <v>0</v>
      </c>
      <c r="H33" s="99">
        <f t="shared" si="1"/>
        <v>31</v>
      </c>
    </row>
    <row r="34" spans="1:8" ht="20.100000000000001" customHeight="1" x14ac:dyDescent="0.25">
      <c r="A34" s="155">
        <v>31</v>
      </c>
      <c r="B34" s="138"/>
      <c r="C34" s="144">
        <v>17</v>
      </c>
      <c r="D34" s="144" t="s">
        <v>20</v>
      </c>
      <c r="E34" s="25">
        <f>'12C (SS)Sem 1'!L34</f>
        <v>70</v>
      </c>
      <c r="F34" s="25">
        <f>'12C (SS)Sem 2'!L34</f>
        <v>79.333333333333329</v>
      </c>
      <c r="G34" s="25">
        <f t="shared" si="0"/>
        <v>74.666666666666657</v>
      </c>
      <c r="H34" s="99">
        <f t="shared" si="1"/>
        <v>13</v>
      </c>
    </row>
    <row r="35" spans="1:8" ht="20.100000000000001" customHeight="1" x14ac:dyDescent="0.25">
      <c r="A35" s="155">
        <v>32</v>
      </c>
      <c r="B35" s="139"/>
      <c r="C35" s="136"/>
      <c r="D35" s="136"/>
      <c r="E35" s="25">
        <f>'12C (SS)Sem 1'!L35</f>
        <v>0</v>
      </c>
      <c r="F35" s="25">
        <f>'12C (SS)Sem 2'!L35</f>
        <v>0</v>
      </c>
      <c r="G35" s="25">
        <f t="shared" si="0"/>
        <v>0</v>
      </c>
      <c r="H35" s="12"/>
    </row>
    <row r="36" spans="1:8" ht="20.100000000000001" customHeight="1" x14ac:dyDescent="0.25">
      <c r="A36" s="155">
        <v>33</v>
      </c>
      <c r="B36" s="139"/>
      <c r="C36" s="136"/>
      <c r="D36" s="136"/>
      <c r="E36" s="25">
        <f>'12C (SS)Sem 1'!L36</f>
        <v>0</v>
      </c>
      <c r="F36" s="25">
        <f>'12C (SS)Sem 2'!L36</f>
        <v>0</v>
      </c>
      <c r="G36" s="25">
        <f t="shared" si="0"/>
        <v>0</v>
      </c>
      <c r="H36" s="12"/>
    </row>
    <row r="37" spans="1:8" ht="20.100000000000001" customHeight="1" x14ac:dyDescent="0.25">
      <c r="A37" s="156">
        <v>34</v>
      </c>
      <c r="B37" s="139"/>
      <c r="C37" s="136"/>
      <c r="D37" s="136"/>
      <c r="E37" s="25">
        <f>'12C (SS)Sem 1'!L37</f>
        <v>0</v>
      </c>
      <c r="F37" s="25">
        <f>'12C (SS)Sem 2'!L37</f>
        <v>0</v>
      </c>
      <c r="G37" s="25">
        <f t="shared" si="0"/>
        <v>0</v>
      </c>
      <c r="H37" s="12"/>
    </row>
    <row r="38" spans="1:8" ht="20.100000000000001" customHeight="1" x14ac:dyDescent="0.25">
      <c r="A38" s="156">
        <v>35</v>
      </c>
      <c r="B38" s="139"/>
      <c r="C38" s="136"/>
      <c r="D38" s="136"/>
      <c r="E38" s="25">
        <f>'12C (SS)Sem 1'!L38</f>
        <v>0</v>
      </c>
      <c r="F38" s="25">
        <f>'12C (SS)Sem 2'!L38</f>
        <v>0</v>
      </c>
      <c r="G38" s="25">
        <f t="shared" si="0"/>
        <v>0</v>
      </c>
      <c r="H38" s="12"/>
    </row>
    <row r="39" spans="1:8" ht="20.100000000000001" customHeight="1" x14ac:dyDescent="0.25">
      <c r="A39" s="156">
        <v>36</v>
      </c>
      <c r="B39" s="139"/>
      <c r="C39" s="136"/>
      <c r="D39" s="136"/>
      <c r="E39" s="25">
        <f>'12C (SS)Sem 1'!L39</f>
        <v>0</v>
      </c>
      <c r="F39" s="25">
        <f>'12C (SS)Sem 2'!L39</f>
        <v>0</v>
      </c>
      <c r="G39" s="25">
        <f t="shared" si="0"/>
        <v>0</v>
      </c>
      <c r="H39" s="12"/>
    </row>
    <row r="40" spans="1:8" ht="20.100000000000001" customHeight="1" x14ac:dyDescent="0.25">
      <c r="A40" s="155">
        <v>37</v>
      </c>
      <c r="B40" s="139"/>
      <c r="C40" s="136"/>
      <c r="D40" s="136"/>
      <c r="E40" s="25">
        <f>'12C (SS)Sem 1'!L40</f>
        <v>0</v>
      </c>
      <c r="F40" s="25">
        <f>'12C (SS)Sem 2'!L40</f>
        <v>0</v>
      </c>
      <c r="G40" s="25">
        <f t="shared" si="0"/>
        <v>0</v>
      </c>
      <c r="H40" s="12"/>
    </row>
    <row r="41" spans="1:8" ht="20.100000000000001" customHeight="1" x14ac:dyDescent="0.25">
      <c r="A41" s="182">
        <v>38</v>
      </c>
      <c r="B41" s="139"/>
      <c r="C41" s="136"/>
      <c r="D41" s="136"/>
      <c r="E41" s="25">
        <f>'12C (SS)Sem 1'!L41</f>
        <v>0</v>
      </c>
      <c r="F41" s="25">
        <f>'12C (SS)Sem 2'!L41</f>
        <v>0</v>
      </c>
      <c r="G41" s="25">
        <f t="shared" si="0"/>
        <v>0</v>
      </c>
      <c r="H41" s="12"/>
    </row>
    <row r="42" spans="1:8" ht="20.100000000000001" customHeight="1" x14ac:dyDescent="0.25">
      <c r="A42" s="155">
        <v>39</v>
      </c>
      <c r="B42" s="153"/>
      <c r="C42" s="42"/>
      <c r="D42" s="42"/>
      <c r="E42" s="25">
        <f>'12C (SS)Sem 1'!L42</f>
        <v>0</v>
      </c>
      <c r="F42" s="11">
        <f>'12C (SS)Sem 2'!L42</f>
        <v>0</v>
      </c>
      <c r="G42" s="25">
        <f t="shared" si="0"/>
        <v>0</v>
      </c>
      <c r="H42" s="11"/>
    </row>
    <row r="43" spans="1:8" ht="20.100000000000001" customHeight="1" x14ac:dyDescent="0.25">
      <c r="A43" s="155">
        <v>40</v>
      </c>
      <c r="B43" s="153"/>
      <c r="C43" s="42"/>
      <c r="D43" s="42"/>
      <c r="E43" s="25">
        <f>'12C (SS)Sem 1'!L43</f>
        <v>0</v>
      </c>
      <c r="F43" s="11">
        <f>'12C (SS)Sem 2'!L43</f>
        <v>0</v>
      </c>
      <c r="G43" s="25">
        <f t="shared" si="0"/>
        <v>0</v>
      </c>
      <c r="H43" s="11"/>
    </row>
    <row r="44" spans="1:8" ht="20.100000000000001" customHeight="1" x14ac:dyDescent="0.25">
      <c r="A44" s="155">
        <v>41</v>
      </c>
      <c r="B44" s="153"/>
      <c r="C44" s="42"/>
      <c r="D44" s="42"/>
      <c r="E44" s="25">
        <f>'12C (SS)Sem 1'!L44</f>
        <v>0</v>
      </c>
      <c r="F44" s="11">
        <f>'12C (SS)Sem 2'!L44</f>
        <v>0</v>
      </c>
      <c r="G44" s="25">
        <f t="shared" si="0"/>
        <v>0</v>
      </c>
      <c r="H44" s="11"/>
    </row>
    <row r="45" spans="1:8" ht="20.100000000000001" customHeight="1" x14ac:dyDescent="0.25">
      <c r="A45" s="155">
        <v>42</v>
      </c>
      <c r="B45" s="153"/>
      <c r="C45" s="42"/>
      <c r="D45" s="42"/>
      <c r="E45" s="25">
        <f>'12C (SS)Sem 1'!L45</f>
        <v>0</v>
      </c>
      <c r="F45" s="11">
        <f>'12C (SS)Sem 2'!L45</f>
        <v>0</v>
      </c>
      <c r="G45" s="25">
        <f t="shared" si="0"/>
        <v>0</v>
      </c>
      <c r="H45" s="11"/>
    </row>
    <row r="46" spans="1:8" ht="20.100000000000001" customHeight="1" x14ac:dyDescent="0.25">
      <c r="A46" s="155">
        <v>43</v>
      </c>
      <c r="B46" s="153"/>
      <c r="C46" s="42"/>
      <c r="D46" s="42"/>
      <c r="E46" s="25">
        <f>'12C (SS)Sem 1'!L46</f>
        <v>0</v>
      </c>
      <c r="F46" s="11">
        <f>'12C (SS)Sem 2'!L46</f>
        <v>0</v>
      </c>
      <c r="G46" s="25">
        <f t="shared" si="0"/>
        <v>0</v>
      </c>
      <c r="H46" s="11"/>
    </row>
    <row r="47" spans="1:8" ht="20.100000000000001" customHeight="1" x14ac:dyDescent="0.25">
      <c r="A47" s="155">
        <v>44</v>
      </c>
      <c r="B47" s="153"/>
      <c r="C47" s="42"/>
      <c r="D47" s="42"/>
      <c r="E47" s="25">
        <f>'12C (SS)Sem 1'!L47</f>
        <v>0</v>
      </c>
      <c r="F47" s="11">
        <f>'12C (SS)Sem 2'!L47</f>
        <v>0</v>
      </c>
      <c r="G47" s="25">
        <f t="shared" si="0"/>
        <v>0</v>
      </c>
      <c r="H47" s="11"/>
    </row>
    <row r="48" spans="1:8" ht="20.100000000000001" customHeight="1" x14ac:dyDescent="0.25">
      <c r="A48" s="155">
        <v>45</v>
      </c>
      <c r="B48" s="153"/>
      <c r="C48" s="42"/>
      <c r="D48" s="42"/>
      <c r="E48" s="25">
        <f>'12C (SS)Sem 1'!L48</f>
        <v>0</v>
      </c>
      <c r="F48" s="11">
        <f>'12C (SS)Sem 2'!L48</f>
        <v>0</v>
      </c>
      <c r="G48" s="25">
        <f t="shared" si="0"/>
        <v>0</v>
      </c>
      <c r="H48" s="11"/>
    </row>
    <row r="49" spans="1:8" ht="20.100000000000001" customHeight="1" x14ac:dyDescent="0.25">
      <c r="A49" s="155">
        <v>46</v>
      </c>
      <c r="B49" s="153"/>
      <c r="C49" s="42"/>
      <c r="D49" s="42"/>
      <c r="E49" s="25">
        <f>'12C (SS)Sem 1'!L49</f>
        <v>0</v>
      </c>
      <c r="F49" s="11">
        <f>'12C (SS)Sem 2'!L49</f>
        <v>0</v>
      </c>
      <c r="G49" s="25">
        <f t="shared" si="0"/>
        <v>0</v>
      </c>
      <c r="H49" s="11"/>
    </row>
    <row r="50" spans="1:8" ht="20.100000000000001" customHeight="1" x14ac:dyDescent="0.25">
      <c r="A50" s="155">
        <v>47</v>
      </c>
      <c r="B50" s="153"/>
      <c r="C50" s="42"/>
      <c r="D50" s="42"/>
      <c r="E50" s="25">
        <f>'12C (SS)Sem 1'!L50</f>
        <v>0</v>
      </c>
      <c r="F50" s="11">
        <f>'12C (SS)Sem 2'!L50</f>
        <v>0</v>
      </c>
      <c r="G50" s="25">
        <f t="shared" si="0"/>
        <v>0</v>
      </c>
      <c r="H50" s="11"/>
    </row>
    <row r="51" spans="1:8" ht="20.100000000000001" customHeight="1" x14ac:dyDescent="0.25">
      <c r="A51" s="155">
        <v>48</v>
      </c>
      <c r="B51" s="153"/>
      <c r="C51" s="42"/>
      <c r="D51" s="42"/>
      <c r="E51" s="25">
        <f>'12C (SS)Sem 1'!L51</f>
        <v>0</v>
      </c>
      <c r="F51" s="11">
        <f>'12C (SS)Sem 2'!L51</f>
        <v>0</v>
      </c>
      <c r="G51" s="25">
        <f t="shared" si="0"/>
        <v>0</v>
      </c>
      <c r="H51" s="11"/>
    </row>
    <row r="52" spans="1:8" ht="20.100000000000001" customHeight="1" x14ac:dyDescent="0.25">
      <c r="A52" s="155">
        <v>49</v>
      </c>
      <c r="B52" s="153"/>
      <c r="C52" s="42"/>
      <c r="D52" s="42"/>
      <c r="E52" s="25">
        <f>'12C (SS)Sem 1'!L52</f>
        <v>0</v>
      </c>
      <c r="F52" s="11">
        <f>'12C (SS)Sem 2'!L52</f>
        <v>0</v>
      </c>
      <c r="G52" s="25">
        <f t="shared" si="0"/>
        <v>0</v>
      </c>
      <c r="H52" s="11"/>
    </row>
    <row r="53" spans="1:8" ht="20.100000000000001" customHeight="1" x14ac:dyDescent="0.25">
      <c r="A53" s="155">
        <v>50</v>
      </c>
      <c r="B53" s="153"/>
      <c r="C53" s="42"/>
      <c r="D53" s="42"/>
      <c r="E53" s="25">
        <f>'12C (SS)Sem 1'!L53</f>
        <v>0</v>
      </c>
      <c r="F53" s="11">
        <f>'12C (SS)Sem 2'!L53</f>
        <v>0</v>
      </c>
      <c r="G53" s="25">
        <f t="shared" si="0"/>
        <v>0</v>
      </c>
      <c r="H53" s="11"/>
    </row>
    <row r="54" spans="1:8" ht="20.100000000000001" customHeight="1" x14ac:dyDescent="0.25">
      <c r="A54" s="155">
        <v>51</v>
      </c>
      <c r="B54" s="153"/>
      <c r="C54" s="42"/>
      <c r="D54" s="42"/>
      <c r="E54" s="25">
        <f>'12C (SS)Sem 1'!L54</f>
        <v>0</v>
      </c>
      <c r="F54" s="11">
        <f>'12C (SS)Sem 2'!L54</f>
        <v>0</v>
      </c>
      <c r="G54" s="25">
        <f t="shared" si="0"/>
        <v>0</v>
      </c>
      <c r="H54" s="11"/>
    </row>
    <row r="55" spans="1:8" ht="20.100000000000001" customHeight="1" x14ac:dyDescent="0.25">
      <c r="A55" s="155">
        <v>52</v>
      </c>
      <c r="B55" s="153"/>
      <c r="C55" s="42"/>
      <c r="D55" s="42"/>
      <c r="E55" s="25">
        <f>'12C (SS)Sem 1'!L55</f>
        <v>0</v>
      </c>
      <c r="F55" s="11">
        <f>'12C (SS)Sem 2'!L55</f>
        <v>0</v>
      </c>
      <c r="G55" s="25">
        <f t="shared" si="0"/>
        <v>0</v>
      </c>
      <c r="H55" s="11"/>
    </row>
    <row r="56" spans="1:8" ht="20.100000000000001" customHeight="1" x14ac:dyDescent="0.25">
      <c r="A56" s="155">
        <v>53</v>
      </c>
      <c r="B56" s="153"/>
      <c r="C56" s="42"/>
      <c r="D56" s="42"/>
      <c r="E56" s="25">
        <f>'12C (SS)Sem 1'!L56</f>
        <v>0</v>
      </c>
      <c r="F56" s="11">
        <f>'12C (SS)Sem 2'!L56</f>
        <v>0</v>
      </c>
      <c r="G56" s="25">
        <f t="shared" si="0"/>
        <v>0</v>
      </c>
      <c r="H56" s="11"/>
    </row>
    <row r="57" spans="1:8" ht="20.100000000000001" customHeight="1" x14ac:dyDescent="0.25">
      <c r="A57" s="155">
        <v>54</v>
      </c>
      <c r="B57" s="153"/>
      <c r="C57" s="42"/>
      <c r="D57" s="42"/>
      <c r="E57" s="25">
        <f>'12C (SS)Sem 1'!L57</f>
        <v>0</v>
      </c>
      <c r="F57" s="11">
        <f>'12C (SS)Sem 2'!L57</f>
        <v>0</v>
      </c>
      <c r="G57" s="25">
        <f t="shared" si="0"/>
        <v>0</v>
      </c>
      <c r="H57" s="11"/>
    </row>
    <row r="58" spans="1:8" ht="20.100000000000001" customHeight="1" x14ac:dyDescent="0.25">
      <c r="A58" s="155">
        <v>55</v>
      </c>
      <c r="B58" s="153"/>
      <c r="C58" s="42"/>
      <c r="D58" s="42"/>
      <c r="E58" s="25">
        <f>'12C (SS)Sem 1'!L58</f>
        <v>0</v>
      </c>
      <c r="F58" s="11">
        <f>'12C (SS)Sem 2'!L58</f>
        <v>0</v>
      </c>
      <c r="G58" s="25">
        <f t="shared" si="0"/>
        <v>0</v>
      </c>
      <c r="H58" s="11"/>
    </row>
  </sheetData>
  <mergeCells count="2">
    <mergeCell ref="A1:I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6</vt:i4>
      </vt:variant>
    </vt:vector>
  </HeadingPairs>
  <TitlesOfParts>
    <vt:vector size="42" baseType="lpstr">
      <vt:lpstr>Roster 9A</vt:lpstr>
      <vt:lpstr>9A Sem 1</vt:lpstr>
      <vt:lpstr>9A Sem 2</vt:lpstr>
      <vt:lpstr>9A Sem avr</vt:lpstr>
      <vt:lpstr>Roster 9B</vt:lpstr>
      <vt:lpstr>9B Sem 1</vt:lpstr>
      <vt:lpstr>9B Sem avr</vt:lpstr>
      <vt:lpstr>9B Sem 2</vt:lpstr>
      <vt:lpstr>Roster 10A</vt:lpstr>
      <vt:lpstr>10A Sem 1</vt:lpstr>
      <vt:lpstr>10A Sem 2</vt:lpstr>
      <vt:lpstr>10A Sem avr</vt:lpstr>
      <vt:lpstr>Roster 10B</vt:lpstr>
      <vt:lpstr>10B Sem 1</vt:lpstr>
      <vt:lpstr>10B Sem 2</vt:lpstr>
      <vt:lpstr>10B Sem avr</vt:lpstr>
      <vt:lpstr>Roster 11A (NS)</vt:lpstr>
      <vt:lpstr>11A (N S) Sem1 </vt:lpstr>
      <vt:lpstr>11A (N S) Sem2</vt:lpstr>
      <vt:lpstr>11A (N S) Avr</vt:lpstr>
      <vt:lpstr>Roster 11B (SS)</vt:lpstr>
      <vt:lpstr>11B (S S) Sem1</vt:lpstr>
      <vt:lpstr>11B (S S) Sem2</vt:lpstr>
      <vt:lpstr>11B (N S) Avr</vt:lpstr>
      <vt:lpstr>Roster 12A </vt:lpstr>
      <vt:lpstr>12A (NS) Sem 1</vt:lpstr>
      <vt:lpstr>12A (NS)Sem 2</vt:lpstr>
      <vt:lpstr>12A Sem avr (NS)</vt:lpstr>
      <vt:lpstr>Roster 12B</vt:lpstr>
      <vt:lpstr>12B Sem 1</vt:lpstr>
      <vt:lpstr>12B (NS)Sem 2</vt:lpstr>
      <vt:lpstr>12B Sem avr (NS) </vt:lpstr>
      <vt:lpstr>Roster 12C</vt:lpstr>
      <vt:lpstr>12C (SS)Sem 1</vt:lpstr>
      <vt:lpstr>12C (SS)Sem 2</vt:lpstr>
      <vt:lpstr>12C Sem avr (SS)</vt:lpstr>
      <vt:lpstr>'12A (NS) Sem 1'!Print_Area</vt:lpstr>
      <vt:lpstr>'12B Sem 1'!Print_Area</vt:lpstr>
      <vt:lpstr>'12C (SS)Sem 1'!Print_Area</vt:lpstr>
      <vt:lpstr>'Roster 12A '!Print_Area</vt:lpstr>
      <vt:lpstr>'Roster 12B'!Print_Area</vt:lpstr>
      <vt:lpstr>'Roster 12C'!Print_Area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Giovani</dc:creator>
  <cp:lastModifiedBy>High school</cp:lastModifiedBy>
  <cp:lastPrinted>2025-01-07T23:30:20Z</cp:lastPrinted>
  <dcterms:created xsi:type="dcterms:W3CDTF">2021-07-18T08:37:05Z</dcterms:created>
  <dcterms:modified xsi:type="dcterms:W3CDTF">2026-01-02T07:31:56Z</dcterms:modified>
</cp:coreProperties>
</file>