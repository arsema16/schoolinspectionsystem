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tabRatio="857" firstSheet="26" activeTab="35"/>
  </bookViews>
  <sheets>
    <sheet name="Roster 9A" sheetId="1" r:id="rId1"/>
    <sheet name="9A Sem 1" sheetId="2" r:id="rId2"/>
    <sheet name="9A Sem2" sheetId="3" r:id="rId3"/>
    <sheet name="9A Sem Avr" sheetId="4" r:id="rId4"/>
    <sheet name=" Roster 9B" sheetId="5" r:id="rId5"/>
    <sheet name="9B Sem 1" sheetId="8" r:id="rId6"/>
    <sheet name="9B Sem 2" sheetId="11" r:id="rId7"/>
    <sheet name="9B Avr" sheetId="10" r:id="rId8"/>
    <sheet name="Roster 9C" sheetId="12" r:id="rId9"/>
    <sheet name="9C Sem 1" sheetId="13" r:id="rId10"/>
    <sheet name="9C Sem2 " sheetId="15" r:id="rId11"/>
    <sheet name="9C Avr" sheetId="14" r:id="rId12"/>
    <sheet name="Roster 10A" sheetId="9" r:id="rId13"/>
    <sheet name="10A Sem 1" sheetId="18" r:id="rId14"/>
    <sheet name="10A Sem 2" sheetId="17" r:id="rId15"/>
    <sheet name="10A Avr" sheetId="16" r:id="rId16"/>
    <sheet name="Roster 10B" sheetId="38" r:id="rId17"/>
    <sheet name="10B Sem1" sheetId="7" r:id="rId18"/>
    <sheet name="10B Sem 2" sheetId="21" r:id="rId19"/>
    <sheet name="10B Avr" sheetId="20" r:id="rId20"/>
    <sheet name="11 A (NS) Roster" sheetId="40" r:id="rId21"/>
    <sheet name="11A (NS) Sem1" sheetId="22" r:id="rId22"/>
    <sheet name="11A (NS) Sem2 " sheetId="23" r:id="rId23"/>
    <sheet name="11A (NS)Avr" sheetId="24" r:id="rId24"/>
    <sheet name="Roster 11B (SS)" sheetId="25" r:id="rId25"/>
    <sheet name="11B (SS) Sem1" sheetId="26" r:id="rId26"/>
    <sheet name="11B (SS) Sem 2" sheetId="27" r:id="rId27"/>
    <sheet name="11B(SS) Avr" sheetId="28" r:id="rId28"/>
    <sheet name="Roster 12A (NS) " sheetId="29" r:id="rId29"/>
    <sheet name="12 A (NS) Sem1" sheetId="30" r:id="rId30"/>
    <sheet name="12A(NS)Sem 2" sheetId="31" r:id="rId31"/>
    <sheet name="12A (NS) Avr" sheetId="32" r:id="rId32"/>
    <sheet name="Roster 12B(SS)" sheetId="33" r:id="rId33"/>
    <sheet name="12B (SS)Sem1" sheetId="34" r:id="rId34"/>
    <sheet name="12B (SS) Sem 2" sheetId="35" r:id="rId35"/>
    <sheet name="12B Av" sheetId="36" r:id="rId36"/>
  </sheets>
  <externalReferences>
    <externalReference r:id="rId37"/>
  </externalReferences>
  <definedNames>
    <definedName name="_xlnm.Print_Area" localSheetId="4">' Roster 9B'!$A$1:$W$161</definedName>
    <definedName name="_xlnm.Print_Area" localSheetId="14">'10A Sem 2'!$A$1:$V$50</definedName>
    <definedName name="_xlnm.Print_Area" localSheetId="18">'10B Sem 2'!$A$1:$V$53</definedName>
    <definedName name="_xlnm.Print_Area" localSheetId="21">'11A (NS) Sem1'!$A$1:$Q$57</definedName>
    <definedName name="_xlnm.Print_Area" localSheetId="33">'12B (SS)Sem1'!$A$1:$O$49</definedName>
    <definedName name="_xlnm.Print_Area" localSheetId="3">'9A Sem Avr'!$A$1:$H$53</definedName>
    <definedName name="_xlnm.Print_Area" localSheetId="6">'9B Sem 2'!$A$1:$V$55</definedName>
    <definedName name="_xlnm.Print_Area" localSheetId="12">'Roster 10A'!$A$1:$W$146</definedName>
    <definedName name="_xlnm.Print_Area" localSheetId="16">'Roster 10B'!$A$1:$W$155</definedName>
    <definedName name="_xlnm.Print_Area" localSheetId="8">'Roster 9C'!$A$1:$W$146</definedName>
  </definedNames>
  <calcPr calcId="144525"/>
</workbook>
</file>

<file path=xl/calcChain.xml><?xml version="1.0" encoding="utf-8"?>
<calcChain xmlns="http://schemas.openxmlformats.org/spreadsheetml/2006/main">
  <c r="M53" i="33" l="1"/>
  <c r="L53" i="33"/>
  <c r="M51" i="33"/>
  <c r="L51" i="33"/>
  <c r="M66" i="33" l="1"/>
  <c r="L66" i="33"/>
  <c r="I44" i="1" l="1"/>
  <c r="G110" i="33" l="1"/>
  <c r="H110" i="33"/>
  <c r="I110" i="33"/>
  <c r="J110" i="33"/>
  <c r="K110" i="33"/>
  <c r="L110" i="33"/>
  <c r="F110" i="33"/>
  <c r="G26" i="33"/>
  <c r="I101" i="33"/>
  <c r="G101" i="33"/>
  <c r="M39" i="30"/>
  <c r="L39" i="30"/>
  <c r="L39" i="31"/>
  <c r="M39" i="31"/>
  <c r="M82" i="29" l="1"/>
  <c r="M42" i="30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" i="31"/>
  <c r="H5" i="36" l="1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H33" i="36"/>
  <c r="H34" i="36"/>
  <c r="H35" i="36"/>
  <c r="H36" i="36"/>
  <c r="H37" i="36"/>
  <c r="H38" i="36"/>
  <c r="H39" i="36"/>
  <c r="H40" i="36"/>
  <c r="H41" i="36"/>
  <c r="H42" i="36"/>
  <c r="H43" i="36"/>
  <c r="H44" i="36"/>
  <c r="H45" i="36"/>
  <c r="H46" i="36"/>
  <c r="H47" i="36"/>
  <c r="H48" i="36"/>
  <c r="H49" i="36"/>
  <c r="H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4" i="36"/>
  <c r="L49" i="35"/>
  <c r="K49" i="35"/>
  <c r="L48" i="35"/>
  <c r="K48" i="35"/>
  <c r="L47" i="35"/>
  <c r="K47" i="35"/>
  <c r="L46" i="35"/>
  <c r="K46" i="35"/>
  <c r="L45" i="35"/>
  <c r="K45" i="35"/>
  <c r="L44" i="35"/>
  <c r="K44" i="35"/>
  <c r="L43" i="35"/>
  <c r="K43" i="35"/>
  <c r="L42" i="35"/>
  <c r="K42" i="35"/>
  <c r="L41" i="35"/>
  <c r="K41" i="35"/>
  <c r="L40" i="35"/>
  <c r="K40" i="35"/>
  <c r="L39" i="35"/>
  <c r="K39" i="35"/>
  <c r="L38" i="35"/>
  <c r="K38" i="35"/>
  <c r="L37" i="35"/>
  <c r="K37" i="35"/>
  <c r="L36" i="35"/>
  <c r="K36" i="35"/>
  <c r="L35" i="35"/>
  <c r="K35" i="35"/>
  <c r="L34" i="35"/>
  <c r="K34" i="35"/>
  <c r="L33" i="35"/>
  <c r="K33" i="35"/>
  <c r="L32" i="35"/>
  <c r="M32" i="35" s="1"/>
  <c r="K32" i="35"/>
  <c r="L31" i="35"/>
  <c r="K31" i="35"/>
  <c r="L30" i="35"/>
  <c r="K30" i="35"/>
  <c r="L29" i="35"/>
  <c r="K29" i="35"/>
  <c r="L28" i="35"/>
  <c r="M28" i="35" s="1"/>
  <c r="K28" i="35"/>
  <c r="L27" i="35"/>
  <c r="K27" i="35"/>
  <c r="L26" i="35"/>
  <c r="K26" i="35"/>
  <c r="L25" i="35"/>
  <c r="K25" i="35"/>
  <c r="L24" i="35"/>
  <c r="M24" i="35" s="1"/>
  <c r="K24" i="35"/>
  <c r="L23" i="35"/>
  <c r="K23" i="35"/>
  <c r="L22" i="35"/>
  <c r="K22" i="35"/>
  <c r="L21" i="35"/>
  <c r="K21" i="35"/>
  <c r="L20" i="35"/>
  <c r="M20" i="35" s="1"/>
  <c r="K20" i="35"/>
  <c r="L19" i="35"/>
  <c r="K19" i="35"/>
  <c r="L18" i="35"/>
  <c r="K18" i="35"/>
  <c r="L17" i="35"/>
  <c r="K17" i="35"/>
  <c r="L16" i="35"/>
  <c r="M16" i="35" s="1"/>
  <c r="K16" i="35"/>
  <c r="L15" i="35"/>
  <c r="K15" i="35"/>
  <c r="L14" i="35"/>
  <c r="K14" i="35"/>
  <c r="L13" i="35"/>
  <c r="K13" i="35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H7" i="32" s="1"/>
  <c r="G40" i="32"/>
  <c r="G41" i="32"/>
  <c r="G42" i="32"/>
  <c r="G43" i="32"/>
  <c r="G44" i="32"/>
  <c r="G45" i="32"/>
  <c r="G46" i="32"/>
  <c r="G47" i="32"/>
  <c r="G4" i="32"/>
  <c r="G143" i="33"/>
  <c r="H143" i="33"/>
  <c r="I143" i="33"/>
  <c r="J143" i="33"/>
  <c r="K143" i="33"/>
  <c r="F143" i="33"/>
  <c r="G140" i="33"/>
  <c r="H140" i="33"/>
  <c r="I140" i="33"/>
  <c r="J140" i="33"/>
  <c r="K140" i="33"/>
  <c r="F140" i="33"/>
  <c r="G137" i="33"/>
  <c r="H137" i="33"/>
  <c r="I137" i="33"/>
  <c r="J137" i="33"/>
  <c r="K137" i="33"/>
  <c r="F137" i="33"/>
  <c r="G134" i="33"/>
  <c r="H134" i="33"/>
  <c r="I134" i="33"/>
  <c r="J134" i="33"/>
  <c r="K134" i="33"/>
  <c r="F134" i="33"/>
  <c r="G131" i="33"/>
  <c r="H131" i="33"/>
  <c r="I131" i="33"/>
  <c r="J131" i="33"/>
  <c r="K131" i="33"/>
  <c r="F131" i="33"/>
  <c r="G128" i="33"/>
  <c r="H128" i="33"/>
  <c r="I128" i="33"/>
  <c r="J128" i="33"/>
  <c r="K128" i="33"/>
  <c r="F128" i="33"/>
  <c r="G125" i="33"/>
  <c r="H125" i="33"/>
  <c r="I125" i="33"/>
  <c r="J125" i="33"/>
  <c r="K125" i="33"/>
  <c r="F125" i="33"/>
  <c r="G122" i="33"/>
  <c r="H122" i="33"/>
  <c r="I122" i="33"/>
  <c r="J122" i="33"/>
  <c r="K122" i="33"/>
  <c r="F122" i="33"/>
  <c r="G119" i="33"/>
  <c r="H119" i="33"/>
  <c r="I119" i="33"/>
  <c r="J119" i="33"/>
  <c r="K119" i="33"/>
  <c r="F119" i="33"/>
  <c r="G116" i="33"/>
  <c r="H116" i="33"/>
  <c r="I116" i="33"/>
  <c r="J116" i="33"/>
  <c r="K116" i="33"/>
  <c r="F116" i="33"/>
  <c r="G113" i="33"/>
  <c r="H113" i="33"/>
  <c r="I113" i="33"/>
  <c r="J113" i="33"/>
  <c r="K113" i="33"/>
  <c r="F113" i="33"/>
  <c r="G107" i="33"/>
  <c r="H107" i="33"/>
  <c r="I107" i="33"/>
  <c r="J107" i="33"/>
  <c r="K107" i="33"/>
  <c r="F107" i="33"/>
  <c r="G104" i="33"/>
  <c r="H104" i="33"/>
  <c r="I104" i="33"/>
  <c r="J104" i="33"/>
  <c r="K104" i="33"/>
  <c r="F104" i="33"/>
  <c r="H101" i="33"/>
  <c r="J101" i="33"/>
  <c r="K101" i="33"/>
  <c r="F101" i="33"/>
  <c r="G98" i="33"/>
  <c r="H98" i="33"/>
  <c r="I98" i="33"/>
  <c r="J98" i="33"/>
  <c r="K98" i="33"/>
  <c r="F98" i="33"/>
  <c r="G95" i="33"/>
  <c r="H95" i="33"/>
  <c r="I95" i="33"/>
  <c r="J95" i="33"/>
  <c r="K95" i="33"/>
  <c r="F95" i="33"/>
  <c r="G92" i="33"/>
  <c r="H92" i="33"/>
  <c r="I92" i="33"/>
  <c r="J92" i="33"/>
  <c r="K92" i="33"/>
  <c r="F92" i="33"/>
  <c r="G89" i="33"/>
  <c r="H89" i="33"/>
  <c r="I89" i="33"/>
  <c r="J89" i="33"/>
  <c r="K89" i="33"/>
  <c r="F89" i="33"/>
  <c r="G86" i="33"/>
  <c r="H86" i="33"/>
  <c r="I86" i="33"/>
  <c r="J86" i="33"/>
  <c r="K86" i="33"/>
  <c r="F86" i="33"/>
  <c r="G83" i="33"/>
  <c r="H83" i="33"/>
  <c r="I83" i="33"/>
  <c r="J83" i="33"/>
  <c r="K83" i="33"/>
  <c r="F83" i="33"/>
  <c r="G80" i="33"/>
  <c r="H80" i="33"/>
  <c r="I80" i="33"/>
  <c r="J80" i="33"/>
  <c r="K80" i="33"/>
  <c r="F80" i="33"/>
  <c r="G77" i="33"/>
  <c r="H77" i="33"/>
  <c r="I77" i="33"/>
  <c r="J77" i="33"/>
  <c r="K77" i="33"/>
  <c r="F77" i="33"/>
  <c r="G74" i="33"/>
  <c r="H74" i="33"/>
  <c r="I74" i="33"/>
  <c r="J74" i="33"/>
  <c r="K74" i="33"/>
  <c r="F74" i="33"/>
  <c r="G71" i="33"/>
  <c r="H71" i="33"/>
  <c r="I71" i="33"/>
  <c r="J71" i="33"/>
  <c r="K71" i="33"/>
  <c r="F71" i="33"/>
  <c r="G68" i="33"/>
  <c r="H68" i="33"/>
  <c r="I68" i="33"/>
  <c r="J68" i="33"/>
  <c r="K68" i="33"/>
  <c r="F68" i="33"/>
  <c r="G65" i="33"/>
  <c r="H65" i="33"/>
  <c r="I65" i="33"/>
  <c r="J65" i="33"/>
  <c r="K65" i="33"/>
  <c r="F65" i="33"/>
  <c r="G62" i="33"/>
  <c r="H62" i="33"/>
  <c r="I62" i="33"/>
  <c r="J62" i="33"/>
  <c r="K62" i="33"/>
  <c r="F62" i="33"/>
  <c r="G59" i="33"/>
  <c r="H59" i="33"/>
  <c r="I59" i="33"/>
  <c r="J59" i="33"/>
  <c r="K59" i="33"/>
  <c r="F59" i="33"/>
  <c r="G56" i="33"/>
  <c r="H56" i="33"/>
  <c r="I56" i="33"/>
  <c r="J56" i="33"/>
  <c r="K56" i="33"/>
  <c r="F56" i="33"/>
  <c r="G53" i="33"/>
  <c r="H53" i="33"/>
  <c r="I53" i="33"/>
  <c r="J53" i="33"/>
  <c r="K53" i="33"/>
  <c r="F53" i="33"/>
  <c r="G50" i="33"/>
  <c r="H50" i="33"/>
  <c r="I50" i="33"/>
  <c r="J50" i="33"/>
  <c r="K50" i="33"/>
  <c r="F50" i="33"/>
  <c r="G47" i="33"/>
  <c r="H47" i="33"/>
  <c r="I47" i="33"/>
  <c r="J47" i="33"/>
  <c r="K47" i="33"/>
  <c r="F47" i="33"/>
  <c r="G44" i="33"/>
  <c r="H44" i="33"/>
  <c r="I44" i="33"/>
  <c r="J44" i="33"/>
  <c r="K44" i="33"/>
  <c r="F44" i="33"/>
  <c r="G41" i="33"/>
  <c r="H41" i="33"/>
  <c r="I41" i="33"/>
  <c r="J41" i="33"/>
  <c r="K41" i="33"/>
  <c r="F41" i="33"/>
  <c r="G38" i="33"/>
  <c r="H38" i="33"/>
  <c r="I38" i="33"/>
  <c r="J38" i="33"/>
  <c r="K38" i="33"/>
  <c r="F38" i="33"/>
  <c r="G35" i="33"/>
  <c r="H35" i="33"/>
  <c r="I35" i="33"/>
  <c r="J35" i="33"/>
  <c r="K35" i="33"/>
  <c r="F35" i="33"/>
  <c r="G32" i="33"/>
  <c r="H32" i="33"/>
  <c r="I32" i="33"/>
  <c r="J32" i="33"/>
  <c r="K32" i="33"/>
  <c r="F32" i="33"/>
  <c r="G29" i="33"/>
  <c r="H29" i="33"/>
  <c r="I29" i="33"/>
  <c r="J29" i="33"/>
  <c r="K29" i="33"/>
  <c r="F29" i="33"/>
  <c r="H26" i="33"/>
  <c r="I26" i="33"/>
  <c r="J26" i="33"/>
  <c r="K26" i="33"/>
  <c r="F26" i="33"/>
  <c r="G23" i="33"/>
  <c r="H23" i="33"/>
  <c r="I23" i="33"/>
  <c r="J23" i="33"/>
  <c r="K23" i="33"/>
  <c r="F23" i="33"/>
  <c r="G20" i="33"/>
  <c r="H20" i="33"/>
  <c r="I20" i="33"/>
  <c r="J20" i="33"/>
  <c r="K20" i="33"/>
  <c r="F20" i="33"/>
  <c r="G17" i="33"/>
  <c r="H17" i="33"/>
  <c r="I17" i="33"/>
  <c r="J17" i="33"/>
  <c r="K17" i="33"/>
  <c r="F17" i="33"/>
  <c r="G14" i="33"/>
  <c r="H14" i="33"/>
  <c r="I14" i="33"/>
  <c r="J14" i="33"/>
  <c r="K14" i="33"/>
  <c r="F14" i="33"/>
  <c r="G11" i="33"/>
  <c r="H11" i="33"/>
  <c r="I11" i="33"/>
  <c r="J11" i="33"/>
  <c r="K11" i="33"/>
  <c r="F11" i="33"/>
  <c r="G8" i="33"/>
  <c r="H8" i="33"/>
  <c r="I8" i="33"/>
  <c r="J8" i="33"/>
  <c r="K8" i="33"/>
  <c r="F8" i="33"/>
  <c r="M7" i="33"/>
  <c r="M9" i="33"/>
  <c r="M11" i="33" s="1"/>
  <c r="M10" i="33"/>
  <c r="M12" i="33"/>
  <c r="M14" i="33" s="1"/>
  <c r="M13" i="33"/>
  <c r="M15" i="33"/>
  <c r="M17" i="33" s="1"/>
  <c r="M16" i="33"/>
  <c r="M18" i="33"/>
  <c r="M20" i="33" s="1"/>
  <c r="M19" i="33"/>
  <c r="M21" i="33"/>
  <c r="M23" i="33" s="1"/>
  <c r="M22" i="33"/>
  <c r="M24" i="33"/>
  <c r="M25" i="33"/>
  <c r="M27" i="33"/>
  <c r="M29" i="33" s="1"/>
  <c r="M28" i="33"/>
  <c r="M30" i="33"/>
  <c r="M32" i="33" s="1"/>
  <c r="M31" i="33"/>
  <c r="M33" i="33"/>
  <c r="M35" i="33" s="1"/>
  <c r="M34" i="33"/>
  <c r="M36" i="33"/>
  <c r="M38" i="33" s="1"/>
  <c r="M37" i="33"/>
  <c r="M39" i="33"/>
  <c r="M41" i="33" s="1"/>
  <c r="M40" i="33"/>
  <c r="M42" i="33"/>
  <c r="M44" i="33" s="1"/>
  <c r="M43" i="33"/>
  <c r="M45" i="33"/>
  <c r="M47" i="33" s="1"/>
  <c r="M46" i="33"/>
  <c r="M48" i="33"/>
  <c r="M50" i="33" s="1"/>
  <c r="M49" i="33"/>
  <c r="M52" i="33"/>
  <c r="M54" i="33"/>
  <c r="M56" i="33" s="1"/>
  <c r="M55" i="33"/>
  <c r="M57" i="33"/>
  <c r="M59" i="33" s="1"/>
  <c r="M58" i="33"/>
  <c r="M60" i="33"/>
  <c r="M62" i="33" s="1"/>
  <c r="M61" i="33"/>
  <c r="M63" i="33"/>
  <c r="M65" i="33" s="1"/>
  <c r="M64" i="33"/>
  <c r="M68" i="33"/>
  <c r="M67" i="33"/>
  <c r="M69" i="33"/>
  <c r="M71" i="33" s="1"/>
  <c r="M70" i="33"/>
  <c r="M72" i="33"/>
  <c r="M74" i="33" s="1"/>
  <c r="M73" i="33"/>
  <c r="M75" i="33"/>
  <c r="M77" i="33" s="1"/>
  <c r="M76" i="33"/>
  <c r="M78" i="33"/>
  <c r="M80" i="33" s="1"/>
  <c r="M79" i="33"/>
  <c r="M81" i="33"/>
  <c r="M83" i="33" s="1"/>
  <c r="M82" i="33"/>
  <c r="M84" i="33"/>
  <c r="M86" i="33" s="1"/>
  <c r="M85" i="33"/>
  <c r="M87" i="33"/>
  <c r="M89" i="33" s="1"/>
  <c r="M88" i="33"/>
  <c r="M90" i="33"/>
  <c r="M92" i="33" s="1"/>
  <c r="M91" i="33"/>
  <c r="M93" i="33"/>
  <c r="M95" i="33" s="1"/>
  <c r="M94" i="33"/>
  <c r="M96" i="33"/>
  <c r="M98" i="33" s="1"/>
  <c r="M97" i="33"/>
  <c r="M99" i="33"/>
  <c r="M100" i="33"/>
  <c r="M102" i="33"/>
  <c r="M104" i="33" s="1"/>
  <c r="M103" i="33"/>
  <c r="M105" i="33"/>
  <c r="M107" i="33" s="1"/>
  <c r="M106" i="33"/>
  <c r="M108" i="33"/>
  <c r="M110" i="33" s="1"/>
  <c r="M109" i="33"/>
  <c r="M111" i="33"/>
  <c r="M113" i="33" s="1"/>
  <c r="M112" i="33"/>
  <c r="M114" i="33"/>
  <c r="M116" i="33" s="1"/>
  <c r="M115" i="33"/>
  <c r="M117" i="33"/>
  <c r="M119" i="33" s="1"/>
  <c r="M118" i="33"/>
  <c r="M120" i="33"/>
  <c r="M122" i="33" s="1"/>
  <c r="M121" i="33"/>
  <c r="M123" i="33"/>
  <c r="M125" i="33" s="1"/>
  <c r="M124" i="33"/>
  <c r="M126" i="33"/>
  <c r="M128" i="33" s="1"/>
  <c r="M127" i="33"/>
  <c r="M129" i="33"/>
  <c r="M131" i="33" s="1"/>
  <c r="M130" i="33"/>
  <c r="M132" i="33"/>
  <c r="M134" i="33" s="1"/>
  <c r="M133" i="33"/>
  <c r="M135" i="33"/>
  <c r="M137" i="33" s="1"/>
  <c r="M136" i="33"/>
  <c r="M138" i="33"/>
  <c r="M140" i="33" s="1"/>
  <c r="M139" i="33"/>
  <c r="M141" i="33"/>
  <c r="M143" i="33" s="1"/>
  <c r="M142" i="33"/>
  <c r="M6" i="33"/>
  <c r="M8" i="33" s="1"/>
  <c r="L142" i="33"/>
  <c r="L143" i="33" s="1"/>
  <c r="L139" i="33"/>
  <c r="L140" i="33" s="1"/>
  <c r="L136" i="33"/>
  <c r="L137" i="33" s="1"/>
  <c r="L133" i="33"/>
  <c r="L134" i="33" s="1"/>
  <c r="L130" i="33"/>
  <c r="L131" i="33" s="1"/>
  <c r="L127" i="33"/>
  <c r="L128" i="33" s="1"/>
  <c r="L124" i="33"/>
  <c r="L125" i="33" s="1"/>
  <c r="L121" i="33"/>
  <c r="L122" i="33" s="1"/>
  <c r="L118" i="33"/>
  <c r="L119" i="33" s="1"/>
  <c r="L115" i="33"/>
  <c r="L116" i="33" s="1"/>
  <c r="L112" i="33"/>
  <c r="L113" i="33" s="1"/>
  <c r="L109" i="33"/>
  <c r="L106" i="33"/>
  <c r="L107" i="33" s="1"/>
  <c r="L103" i="33"/>
  <c r="L104" i="33" s="1"/>
  <c r="L100" i="33"/>
  <c r="L101" i="33" s="1"/>
  <c r="L97" i="33"/>
  <c r="L98" i="33" s="1"/>
  <c r="L94" i="33"/>
  <c r="L95" i="33" s="1"/>
  <c r="L91" i="33"/>
  <c r="L92" i="33" s="1"/>
  <c r="L88" i="33"/>
  <c r="L89" i="33" s="1"/>
  <c r="L85" i="33"/>
  <c r="L86" i="33" s="1"/>
  <c r="L82" i="33"/>
  <c r="L83" i="33" s="1"/>
  <c r="L79" i="33"/>
  <c r="L80" i="33" s="1"/>
  <c r="L76" i="33"/>
  <c r="L77" i="33" s="1"/>
  <c r="L73" i="33"/>
  <c r="L74" i="33" s="1"/>
  <c r="L70" i="33"/>
  <c r="L71" i="33" s="1"/>
  <c r="L67" i="33"/>
  <c r="L68" i="33" s="1"/>
  <c r="L64" i="33"/>
  <c r="L65" i="33" s="1"/>
  <c r="L61" i="33"/>
  <c r="L62" i="33" s="1"/>
  <c r="L58" i="33"/>
  <c r="L59" i="33" s="1"/>
  <c r="L55" i="33"/>
  <c r="L56" i="33" s="1"/>
  <c r="L52" i="33"/>
  <c r="L49" i="33"/>
  <c r="L50" i="33" s="1"/>
  <c r="L46" i="33"/>
  <c r="L47" i="33" s="1"/>
  <c r="L43" i="33"/>
  <c r="L44" i="33" s="1"/>
  <c r="L40" i="33"/>
  <c r="L41" i="33" s="1"/>
  <c r="L37" i="33"/>
  <c r="L38" i="33" s="1"/>
  <c r="L34" i="33"/>
  <c r="L35" i="33" s="1"/>
  <c r="L31" i="33"/>
  <c r="L32" i="33" s="1"/>
  <c r="L28" i="33"/>
  <c r="L29" i="33" s="1"/>
  <c r="L25" i="33"/>
  <c r="L26" i="33" s="1"/>
  <c r="L22" i="33"/>
  <c r="L23" i="33" s="1"/>
  <c r="L19" i="33"/>
  <c r="L20" i="33" s="1"/>
  <c r="L16" i="33"/>
  <c r="L17" i="33" s="1"/>
  <c r="L13" i="33"/>
  <c r="L14" i="33" s="1"/>
  <c r="L10" i="33"/>
  <c r="L11" i="33" s="1"/>
  <c r="L7" i="33"/>
  <c r="L8" i="33" s="1"/>
  <c r="G137" i="29"/>
  <c r="H137" i="29"/>
  <c r="I137" i="29"/>
  <c r="J137" i="29"/>
  <c r="K137" i="29"/>
  <c r="L137" i="29"/>
  <c r="F137" i="29"/>
  <c r="G134" i="29"/>
  <c r="H134" i="29"/>
  <c r="I134" i="29"/>
  <c r="J134" i="29"/>
  <c r="K134" i="29"/>
  <c r="L134" i="29"/>
  <c r="F134" i="29"/>
  <c r="G131" i="29"/>
  <c r="H131" i="29"/>
  <c r="I131" i="29"/>
  <c r="J131" i="29"/>
  <c r="K131" i="29"/>
  <c r="L131" i="29"/>
  <c r="F131" i="29"/>
  <c r="G128" i="29"/>
  <c r="H128" i="29"/>
  <c r="I128" i="29"/>
  <c r="J128" i="29"/>
  <c r="K128" i="29"/>
  <c r="L128" i="29"/>
  <c r="F128" i="29"/>
  <c r="G125" i="29"/>
  <c r="H125" i="29"/>
  <c r="I125" i="29"/>
  <c r="J125" i="29"/>
  <c r="K125" i="29"/>
  <c r="L125" i="29"/>
  <c r="F125" i="29"/>
  <c r="G122" i="29"/>
  <c r="H122" i="29"/>
  <c r="I122" i="29"/>
  <c r="J122" i="29"/>
  <c r="K122" i="29"/>
  <c r="L122" i="29"/>
  <c r="F122" i="29"/>
  <c r="G119" i="29"/>
  <c r="H119" i="29"/>
  <c r="I119" i="29"/>
  <c r="J119" i="29"/>
  <c r="K119" i="29"/>
  <c r="L119" i="29"/>
  <c r="M119" i="29"/>
  <c r="F119" i="29"/>
  <c r="G116" i="29"/>
  <c r="H116" i="29"/>
  <c r="I116" i="29"/>
  <c r="J116" i="29"/>
  <c r="K116" i="29"/>
  <c r="L116" i="29"/>
  <c r="F116" i="29"/>
  <c r="G113" i="29"/>
  <c r="H113" i="29"/>
  <c r="I113" i="29"/>
  <c r="J113" i="29"/>
  <c r="K113" i="29"/>
  <c r="L113" i="29"/>
  <c r="F113" i="29"/>
  <c r="G110" i="29"/>
  <c r="H110" i="29"/>
  <c r="I110" i="29"/>
  <c r="J110" i="29"/>
  <c r="K110" i="29"/>
  <c r="L110" i="29"/>
  <c r="F110" i="29"/>
  <c r="G107" i="29"/>
  <c r="H107" i="29"/>
  <c r="I107" i="29"/>
  <c r="J107" i="29"/>
  <c r="K107" i="29"/>
  <c r="L107" i="29"/>
  <c r="F107" i="29"/>
  <c r="G104" i="29"/>
  <c r="H104" i="29"/>
  <c r="I104" i="29"/>
  <c r="J104" i="29"/>
  <c r="K104" i="29"/>
  <c r="L104" i="29"/>
  <c r="F104" i="29"/>
  <c r="G101" i="29"/>
  <c r="H101" i="29"/>
  <c r="I101" i="29"/>
  <c r="J101" i="29"/>
  <c r="K101" i="29"/>
  <c r="L101" i="29"/>
  <c r="F101" i="29"/>
  <c r="G98" i="29"/>
  <c r="H98" i="29"/>
  <c r="I98" i="29"/>
  <c r="J98" i="29"/>
  <c r="K98" i="29"/>
  <c r="L98" i="29"/>
  <c r="F98" i="29"/>
  <c r="G95" i="29"/>
  <c r="H95" i="29"/>
  <c r="I95" i="29"/>
  <c r="J95" i="29"/>
  <c r="K95" i="29"/>
  <c r="L95" i="29"/>
  <c r="F95" i="29"/>
  <c r="G92" i="29"/>
  <c r="H92" i="29"/>
  <c r="I92" i="29"/>
  <c r="J92" i="29"/>
  <c r="K92" i="29"/>
  <c r="L92" i="29"/>
  <c r="F92" i="29"/>
  <c r="G89" i="29"/>
  <c r="H89" i="29"/>
  <c r="I89" i="29"/>
  <c r="J89" i="29"/>
  <c r="K89" i="29"/>
  <c r="L89" i="29"/>
  <c r="F89" i="29"/>
  <c r="G86" i="29"/>
  <c r="H86" i="29"/>
  <c r="I86" i="29"/>
  <c r="J86" i="29"/>
  <c r="K86" i="29"/>
  <c r="L86" i="29"/>
  <c r="F86" i="29"/>
  <c r="G83" i="29"/>
  <c r="H83" i="29"/>
  <c r="I83" i="29"/>
  <c r="J83" i="29"/>
  <c r="K83" i="29"/>
  <c r="L83" i="29"/>
  <c r="M83" i="29"/>
  <c r="F83" i="29"/>
  <c r="G80" i="29"/>
  <c r="H80" i="29"/>
  <c r="I80" i="29"/>
  <c r="J80" i="29"/>
  <c r="K80" i="29"/>
  <c r="L80" i="29"/>
  <c r="F80" i="29"/>
  <c r="G77" i="29"/>
  <c r="H77" i="29"/>
  <c r="I77" i="29"/>
  <c r="J77" i="29"/>
  <c r="K77" i="29"/>
  <c r="L77" i="29"/>
  <c r="F77" i="29"/>
  <c r="G74" i="29"/>
  <c r="H74" i="29"/>
  <c r="I74" i="29"/>
  <c r="J74" i="29"/>
  <c r="K74" i="29"/>
  <c r="L74" i="29"/>
  <c r="F74" i="29"/>
  <c r="G71" i="29"/>
  <c r="H71" i="29"/>
  <c r="I71" i="29"/>
  <c r="J71" i="29"/>
  <c r="K71" i="29"/>
  <c r="L71" i="29"/>
  <c r="F71" i="29"/>
  <c r="G68" i="29"/>
  <c r="H68" i="29"/>
  <c r="I68" i="29"/>
  <c r="J68" i="29"/>
  <c r="K68" i="29"/>
  <c r="L68" i="29"/>
  <c r="F68" i="29"/>
  <c r="G65" i="29"/>
  <c r="H65" i="29"/>
  <c r="I65" i="29"/>
  <c r="J65" i="29"/>
  <c r="K65" i="29"/>
  <c r="L65" i="29"/>
  <c r="F65" i="29"/>
  <c r="G62" i="29"/>
  <c r="H62" i="29"/>
  <c r="I62" i="29"/>
  <c r="J62" i="29"/>
  <c r="K62" i="29"/>
  <c r="L62" i="29"/>
  <c r="F62" i="29"/>
  <c r="G59" i="29"/>
  <c r="H59" i="29"/>
  <c r="I59" i="29"/>
  <c r="J59" i="29"/>
  <c r="K59" i="29"/>
  <c r="L59" i="29"/>
  <c r="F59" i="29"/>
  <c r="G56" i="29"/>
  <c r="H56" i="29"/>
  <c r="I56" i="29"/>
  <c r="J56" i="29"/>
  <c r="K56" i="29"/>
  <c r="L56" i="29"/>
  <c r="F56" i="29"/>
  <c r="G53" i="29"/>
  <c r="H53" i="29"/>
  <c r="I53" i="29"/>
  <c r="J53" i="29"/>
  <c r="K53" i="29"/>
  <c r="L53" i="29"/>
  <c r="F53" i="29"/>
  <c r="G50" i="29"/>
  <c r="H50" i="29"/>
  <c r="I50" i="29"/>
  <c r="J50" i="29"/>
  <c r="K50" i="29"/>
  <c r="L50" i="29"/>
  <c r="F50" i="29"/>
  <c r="G47" i="29"/>
  <c r="H47" i="29"/>
  <c r="I47" i="29"/>
  <c r="J47" i="29"/>
  <c r="K47" i="29"/>
  <c r="L47" i="29"/>
  <c r="F47" i="29"/>
  <c r="G44" i="29"/>
  <c r="H44" i="29"/>
  <c r="I44" i="29"/>
  <c r="J44" i="29"/>
  <c r="K44" i="29"/>
  <c r="L44" i="29"/>
  <c r="F44" i="29"/>
  <c r="G41" i="29"/>
  <c r="H41" i="29"/>
  <c r="I41" i="29"/>
  <c r="J41" i="29"/>
  <c r="K41" i="29"/>
  <c r="L41" i="29"/>
  <c r="F41" i="29"/>
  <c r="G38" i="29"/>
  <c r="H38" i="29"/>
  <c r="I38" i="29"/>
  <c r="J38" i="29"/>
  <c r="K38" i="29"/>
  <c r="L38" i="29"/>
  <c r="F38" i="29"/>
  <c r="G35" i="29"/>
  <c r="H35" i="29"/>
  <c r="I35" i="29"/>
  <c r="J35" i="29"/>
  <c r="K35" i="29"/>
  <c r="L35" i="29"/>
  <c r="F35" i="29"/>
  <c r="G32" i="29"/>
  <c r="H32" i="29"/>
  <c r="I32" i="29"/>
  <c r="J32" i="29"/>
  <c r="K32" i="29"/>
  <c r="L32" i="29"/>
  <c r="F32" i="29"/>
  <c r="G29" i="29"/>
  <c r="H29" i="29"/>
  <c r="I29" i="29"/>
  <c r="J29" i="29"/>
  <c r="K29" i="29"/>
  <c r="L29" i="29"/>
  <c r="F29" i="29"/>
  <c r="G26" i="29"/>
  <c r="H26" i="29"/>
  <c r="I26" i="29"/>
  <c r="J26" i="29"/>
  <c r="K26" i="29"/>
  <c r="L26" i="29"/>
  <c r="F26" i="29"/>
  <c r="G23" i="29"/>
  <c r="H23" i="29"/>
  <c r="I23" i="29"/>
  <c r="J23" i="29"/>
  <c r="K23" i="29"/>
  <c r="L23" i="29"/>
  <c r="F23" i="29"/>
  <c r="G20" i="29"/>
  <c r="H20" i="29"/>
  <c r="I20" i="29"/>
  <c r="J20" i="29"/>
  <c r="K20" i="29"/>
  <c r="L20" i="29"/>
  <c r="N20" i="29"/>
  <c r="F20" i="29"/>
  <c r="G17" i="29"/>
  <c r="H17" i="29"/>
  <c r="I17" i="29"/>
  <c r="J17" i="29"/>
  <c r="K17" i="29"/>
  <c r="L17" i="29"/>
  <c r="F17" i="29"/>
  <c r="G14" i="29"/>
  <c r="H14" i="29"/>
  <c r="I14" i="29"/>
  <c r="J14" i="29"/>
  <c r="K14" i="29"/>
  <c r="L14" i="29"/>
  <c r="F14" i="29"/>
  <c r="G11" i="29"/>
  <c r="H11" i="29"/>
  <c r="I11" i="29"/>
  <c r="J11" i="29"/>
  <c r="K11" i="29"/>
  <c r="L11" i="29"/>
  <c r="N11" i="29"/>
  <c r="F11" i="29"/>
  <c r="G8" i="29"/>
  <c r="H8" i="29"/>
  <c r="I8" i="29"/>
  <c r="J8" i="29"/>
  <c r="K8" i="29"/>
  <c r="L8" i="29"/>
  <c r="F8" i="29"/>
  <c r="N7" i="29"/>
  <c r="N9" i="29"/>
  <c r="N10" i="29"/>
  <c r="N12" i="29"/>
  <c r="N14" i="29" s="1"/>
  <c r="N13" i="29"/>
  <c r="N15" i="29"/>
  <c r="N17" i="29" s="1"/>
  <c r="N16" i="29"/>
  <c r="N18" i="29"/>
  <c r="N19" i="29"/>
  <c r="N21" i="29"/>
  <c r="N23" i="29" s="1"/>
  <c r="N22" i="29"/>
  <c r="N24" i="29"/>
  <c r="N26" i="29" s="1"/>
  <c r="N25" i="29"/>
  <c r="N27" i="29"/>
  <c r="N29" i="29" s="1"/>
  <c r="N28" i="29"/>
  <c r="N30" i="29"/>
  <c r="N32" i="29" s="1"/>
  <c r="N31" i="29"/>
  <c r="N33" i="29"/>
  <c r="N35" i="29" s="1"/>
  <c r="N34" i="29"/>
  <c r="N36" i="29"/>
  <c r="N38" i="29" s="1"/>
  <c r="N37" i="29"/>
  <c r="N39" i="29"/>
  <c r="N41" i="29" s="1"/>
  <c r="N40" i="29"/>
  <c r="N42" i="29"/>
  <c r="N43" i="29"/>
  <c r="N45" i="29"/>
  <c r="N46" i="29"/>
  <c r="N48" i="29"/>
  <c r="N50" i="29" s="1"/>
  <c r="N49" i="29"/>
  <c r="N51" i="29"/>
  <c r="N52" i="29"/>
  <c r="N54" i="29"/>
  <c r="N55" i="29"/>
  <c r="N57" i="29"/>
  <c r="N59" i="29" s="1"/>
  <c r="N58" i="29"/>
  <c r="N60" i="29"/>
  <c r="N62" i="29" s="1"/>
  <c r="N61" i="29"/>
  <c r="N63" i="29"/>
  <c r="N65" i="29" s="1"/>
  <c r="N64" i="29"/>
  <c r="N66" i="29"/>
  <c r="N68" i="29" s="1"/>
  <c r="N67" i="29"/>
  <c r="N69" i="29"/>
  <c r="N71" i="29" s="1"/>
  <c r="N70" i="29"/>
  <c r="N72" i="29"/>
  <c r="N73" i="29"/>
  <c r="N75" i="29"/>
  <c r="N76" i="29"/>
  <c r="N78" i="29"/>
  <c r="N80" i="29" s="1"/>
  <c r="N79" i="29"/>
  <c r="N81" i="29"/>
  <c r="N82" i="29"/>
  <c r="N84" i="29"/>
  <c r="N86" i="29" s="1"/>
  <c r="N85" i="29"/>
  <c r="N87" i="29"/>
  <c r="N89" i="29" s="1"/>
  <c r="N88" i="29"/>
  <c r="N90" i="29"/>
  <c r="N92" i="29" s="1"/>
  <c r="N91" i="29"/>
  <c r="N93" i="29"/>
  <c r="N95" i="29" s="1"/>
  <c r="N94" i="29"/>
  <c r="N96" i="29"/>
  <c r="N97" i="29"/>
  <c r="N99" i="29"/>
  <c r="N101" i="29" s="1"/>
  <c r="N100" i="29"/>
  <c r="N102" i="29"/>
  <c r="N104" i="29" s="1"/>
  <c r="N103" i="29"/>
  <c r="N105" i="29"/>
  <c r="N106" i="29"/>
  <c r="N108" i="29"/>
  <c r="N109" i="29"/>
  <c r="N111" i="29"/>
  <c r="N113" i="29" s="1"/>
  <c r="N112" i="29"/>
  <c r="N114" i="29"/>
  <c r="N116" i="29" s="1"/>
  <c r="N115" i="29"/>
  <c r="N117" i="29"/>
  <c r="N119" i="29" s="1"/>
  <c r="N120" i="29"/>
  <c r="N122" i="29" s="1"/>
  <c r="N121" i="29"/>
  <c r="N123" i="29"/>
  <c r="N124" i="29"/>
  <c r="N126" i="29"/>
  <c r="N128" i="29" s="1"/>
  <c r="N127" i="29"/>
  <c r="N129" i="29"/>
  <c r="N131" i="29" s="1"/>
  <c r="N130" i="29"/>
  <c r="N132" i="29"/>
  <c r="N134" i="29" s="1"/>
  <c r="N133" i="29"/>
  <c r="N135" i="29"/>
  <c r="N137" i="29" s="1"/>
  <c r="N136" i="29"/>
  <c r="N6" i="29"/>
  <c r="N8" i="29" s="1"/>
  <c r="M136" i="29"/>
  <c r="M137" i="29" s="1"/>
  <c r="M133" i="29"/>
  <c r="M134" i="29" s="1"/>
  <c r="M130" i="29"/>
  <c r="M131" i="29" s="1"/>
  <c r="M127" i="29"/>
  <c r="M128" i="29" s="1"/>
  <c r="M124" i="29"/>
  <c r="M125" i="29" s="1"/>
  <c r="M121" i="29"/>
  <c r="M122" i="29" s="1"/>
  <c r="M115" i="29"/>
  <c r="M116" i="29" s="1"/>
  <c r="M112" i="29"/>
  <c r="M113" i="29" s="1"/>
  <c r="M109" i="29"/>
  <c r="M110" i="29" s="1"/>
  <c r="M106" i="29"/>
  <c r="M107" i="29" s="1"/>
  <c r="M103" i="29"/>
  <c r="M104" i="29" s="1"/>
  <c r="M100" i="29"/>
  <c r="M101" i="29" s="1"/>
  <c r="M97" i="29"/>
  <c r="M98" i="29" s="1"/>
  <c r="M94" i="29"/>
  <c r="M95" i="29" s="1"/>
  <c r="M91" i="29"/>
  <c r="M92" i="29" s="1"/>
  <c r="M88" i="29"/>
  <c r="M89" i="29" s="1"/>
  <c r="M85" i="29"/>
  <c r="M86" i="29" s="1"/>
  <c r="M79" i="29"/>
  <c r="M80" i="29" s="1"/>
  <c r="M76" i="29"/>
  <c r="M77" i="29" s="1"/>
  <c r="M73" i="29"/>
  <c r="M74" i="29" s="1"/>
  <c r="M70" i="29"/>
  <c r="M71" i="29" s="1"/>
  <c r="M67" i="29"/>
  <c r="M68" i="29" s="1"/>
  <c r="M64" i="29"/>
  <c r="M65" i="29" s="1"/>
  <c r="M61" i="29"/>
  <c r="M62" i="29" s="1"/>
  <c r="M58" i="29"/>
  <c r="M59" i="29" s="1"/>
  <c r="M55" i="29"/>
  <c r="M56" i="29" s="1"/>
  <c r="M52" i="29"/>
  <c r="M53" i="29" s="1"/>
  <c r="M49" i="29"/>
  <c r="M50" i="29" s="1"/>
  <c r="M46" i="29"/>
  <c r="M47" i="29" s="1"/>
  <c r="M43" i="29"/>
  <c r="M44" i="29" s="1"/>
  <c r="M40" i="29"/>
  <c r="M41" i="29" s="1"/>
  <c r="M37" i="29"/>
  <c r="M38" i="29" s="1"/>
  <c r="M34" i="29"/>
  <c r="M35" i="29" s="1"/>
  <c r="M31" i="29"/>
  <c r="M32" i="29" s="1"/>
  <c r="M28" i="29"/>
  <c r="M29" i="29" s="1"/>
  <c r="M25" i="29"/>
  <c r="M26" i="29" s="1"/>
  <c r="M22" i="29"/>
  <c r="M23" i="29" s="1"/>
  <c r="M19" i="29"/>
  <c r="M20" i="29" s="1"/>
  <c r="M16" i="29"/>
  <c r="M17" i="29" s="1"/>
  <c r="M13" i="29"/>
  <c r="M14" i="29" s="1"/>
  <c r="M10" i="29"/>
  <c r="M11" i="29" s="1"/>
  <c r="M7" i="29"/>
  <c r="M8" i="29" s="1"/>
  <c r="M26" i="33" l="1"/>
  <c r="M101" i="33"/>
  <c r="H14" i="32"/>
  <c r="H6" i="32"/>
  <c r="H46" i="32"/>
  <c r="H38" i="32"/>
  <c r="H30" i="32"/>
  <c r="H22" i="32"/>
  <c r="H45" i="32"/>
  <c r="H37" i="32"/>
  <c r="H29" i="32"/>
  <c r="H21" i="32"/>
  <c r="H13" i="32"/>
  <c r="H5" i="32"/>
  <c r="H44" i="32"/>
  <c r="H36" i="32"/>
  <c r="H28" i="32"/>
  <c r="H20" i="32"/>
  <c r="H12" i="32"/>
  <c r="H43" i="32"/>
  <c r="H35" i="32"/>
  <c r="H27" i="32"/>
  <c r="H19" i="32"/>
  <c r="H11" i="32"/>
  <c r="H42" i="32"/>
  <c r="H34" i="32"/>
  <c r="H26" i="32"/>
  <c r="H18" i="32"/>
  <c r="H10" i="32"/>
  <c r="H41" i="32"/>
  <c r="H33" i="32"/>
  <c r="H25" i="32"/>
  <c r="H17" i="32"/>
  <c r="H9" i="32"/>
  <c r="H4" i="32"/>
  <c r="H40" i="32"/>
  <c r="H32" i="32"/>
  <c r="H24" i="32"/>
  <c r="H16" i="32"/>
  <c r="H8" i="32"/>
  <c r="H47" i="32"/>
  <c r="H39" i="32"/>
  <c r="H31" i="32"/>
  <c r="H23" i="32"/>
  <c r="H15" i="32"/>
  <c r="N125" i="29"/>
  <c r="N110" i="29"/>
  <c r="N107" i="29"/>
  <c r="N98" i="29"/>
  <c r="N83" i="29"/>
  <c r="N77" i="29"/>
  <c r="N74" i="29"/>
  <c r="N56" i="29"/>
  <c r="N53" i="29"/>
  <c r="N47" i="29"/>
  <c r="N44" i="29"/>
  <c r="M44" i="35"/>
  <c r="M48" i="35"/>
  <c r="M5" i="35"/>
  <c r="M13" i="35"/>
  <c r="M6" i="35"/>
  <c r="M7" i="35"/>
  <c r="M8" i="35"/>
  <c r="M9" i="35"/>
  <c r="M10" i="35"/>
  <c r="M4" i="35"/>
  <c r="M11" i="35"/>
  <c r="M12" i="35"/>
  <c r="M17" i="35"/>
  <c r="M21" i="35"/>
  <c r="M25" i="35"/>
  <c r="M29" i="35"/>
  <c r="M33" i="35"/>
  <c r="M37" i="35"/>
  <c r="M41" i="35"/>
  <c r="M45" i="35"/>
  <c r="M49" i="35"/>
  <c r="M40" i="35"/>
  <c r="M14" i="35"/>
  <c r="M18" i="35"/>
  <c r="M22" i="35"/>
  <c r="M26" i="35"/>
  <c r="M30" i="35"/>
  <c r="M34" i="35"/>
  <c r="M38" i="35"/>
  <c r="M42" i="35"/>
  <c r="M46" i="35"/>
  <c r="M36" i="35"/>
  <c r="M15" i="35"/>
  <c r="M19" i="35"/>
  <c r="M23" i="35"/>
  <c r="M27" i="35"/>
  <c r="M31" i="35"/>
  <c r="M35" i="35"/>
  <c r="M39" i="35"/>
  <c r="M43" i="35"/>
  <c r="M47" i="35"/>
  <c r="F8" i="1"/>
  <c r="G8" i="1"/>
  <c r="H8" i="1"/>
  <c r="I8" i="1"/>
  <c r="J8" i="1"/>
  <c r="K8" i="1"/>
  <c r="L8" i="1"/>
  <c r="O8" i="1"/>
  <c r="P8" i="1"/>
  <c r="Q8" i="1"/>
  <c r="R8" i="1"/>
  <c r="S8" i="1"/>
  <c r="T8" i="1"/>
  <c r="S10" i="1"/>
  <c r="S11" i="1" s="1"/>
  <c r="T10" i="1"/>
  <c r="T11" i="1" s="1"/>
  <c r="F11" i="1"/>
  <c r="G11" i="1"/>
  <c r="H11" i="1"/>
  <c r="I11" i="1"/>
  <c r="J11" i="1"/>
  <c r="K11" i="1"/>
  <c r="L11" i="1"/>
  <c r="O11" i="1"/>
  <c r="P11" i="1"/>
  <c r="Q11" i="1"/>
  <c r="R11" i="1"/>
  <c r="F14" i="1"/>
  <c r="G14" i="1"/>
  <c r="H14" i="1"/>
  <c r="I14" i="1"/>
  <c r="J14" i="1"/>
  <c r="K14" i="1"/>
  <c r="L14" i="1"/>
  <c r="O14" i="1"/>
  <c r="P14" i="1"/>
  <c r="Q14" i="1"/>
  <c r="R14" i="1"/>
  <c r="S14" i="1"/>
  <c r="T14" i="1"/>
  <c r="F17" i="1"/>
  <c r="G17" i="1"/>
  <c r="H17" i="1"/>
  <c r="I17" i="1"/>
  <c r="J17" i="1"/>
  <c r="K17" i="1"/>
  <c r="L17" i="1"/>
  <c r="O17" i="1"/>
  <c r="P17" i="1"/>
  <c r="Q17" i="1"/>
  <c r="R17" i="1"/>
  <c r="S17" i="1"/>
  <c r="T17" i="1"/>
  <c r="F20" i="1"/>
  <c r="G20" i="1"/>
  <c r="H20" i="1"/>
  <c r="I20" i="1"/>
  <c r="J20" i="1"/>
  <c r="K20" i="1"/>
  <c r="L20" i="1"/>
  <c r="O20" i="1"/>
  <c r="P20" i="1"/>
  <c r="Q20" i="1"/>
  <c r="R20" i="1"/>
  <c r="S20" i="1"/>
  <c r="T20" i="1"/>
  <c r="F23" i="1"/>
  <c r="G23" i="1"/>
  <c r="H23" i="1"/>
  <c r="I23" i="1"/>
  <c r="J23" i="1"/>
  <c r="K23" i="1"/>
  <c r="L23" i="1"/>
  <c r="O23" i="1"/>
  <c r="P23" i="1"/>
  <c r="Q23" i="1"/>
  <c r="R23" i="1"/>
  <c r="S23" i="1"/>
  <c r="T23" i="1"/>
  <c r="F26" i="1"/>
  <c r="G26" i="1"/>
  <c r="H26" i="1"/>
  <c r="I26" i="1"/>
  <c r="J26" i="1"/>
  <c r="K26" i="1"/>
  <c r="L26" i="1"/>
  <c r="O26" i="1"/>
  <c r="P26" i="1"/>
  <c r="Q26" i="1"/>
  <c r="R26" i="1"/>
  <c r="S26" i="1"/>
  <c r="T26" i="1"/>
  <c r="F29" i="1"/>
  <c r="G29" i="1"/>
  <c r="H29" i="1"/>
  <c r="I29" i="1"/>
  <c r="J29" i="1"/>
  <c r="K29" i="1"/>
  <c r="L29" i="1"/>
  <c r="O29" i="1"/>
  <c r="P29" i="1"/>
  <c r="Q29" i="1"/>
  <c r="R29" i="1"/>
  <c r="S29" i="1"/>
  <c r="T29" i="1"/>
  <c r="F32" i="1"/>
  <c r="G32" i="1"/>
  <c r="H32" i="1"/>
  <c r="I32" i="1"/>
  <c r="J32" i="1"/>
  <c r="K32" i="1"/>
  <c r="L32" i="1"/>
  <c r="O32" i="1"/>
  <c r="P32" i="1"/>
  <c r="Q32" i="1"/>
  <c r="R32" i="1"/>
  <c r="S32" i="1"/>
  <c r="T32" i="1"/>
  <c r="F35" i="1"/>
  <c r="G35" i="1"/>
  <c r="H35" i="1"/>
  <c r="I35" i="1"/>
  <c r="J35" i="1"/>
  <c r="K35" i="1"/>
  <c r="L35" i="1"/>
  <c r="O35" i="1"/>
  <c r="P35" i="1"/>
  <c r="Q35" i="1"/>
  <c r="R35" i="1"/>
  <c r="S35" i="1"/>
  <c r="T35" i="1"/>
  <c r="F38" i="1"/>
  <c r="G38" i="1"/>
  <c r="H38" i="1"/>
  <c r="I38" i="1"/>
  <c r="J38" i="1"/>
  <c r="K38" i="1"/>
  <c r="L38" i="1"/>
  <c r="O38" i="1"/>
  <c r="P38" i="1"/>
  <c r="Q38" i="1"/>
  <c r="R38" i="1"/>
  <c r="S38" i="1"/>
  <c r="T38" i="1"/>
  <c r="F41" i="1"/>
  <c r="G41" i="1"/>
  <c r="H41" i="1"/>
  <c r="I41" i="1"/>
  <c r="J41" i="1"/>
  <c r="K41" i="1"/>
  <c r="L41" i="1"/>
  <c r="O41" i="1"/>
  <c r="P41" i="1"/>
  <c r="Q41" i="1"/>
  <c r="R41" i="1"/>
  <c r="S41" i="1"/>
  <c r="T41" i="1"/>
  <c r="F44" i="1"/>
  <c r="G44" i="1"/>
  <c r="H44" i="1"/>
  <c r="J44" i="1"/>
  <c r="K44" i="1"/>
  <c r="L44" i="1"/>
  <c r="O44" i="1"/>
  <c r="P44" i="1"/>
  <c r="Q44" i="1"/>
  <c r="R44" i="1"/>
  <c r="S44" i="1"/>
  <c r="T44" i="1"/>
  <c r="F47" i="1"/>
  <c r="G47" i="1"/>
  <c r="H47" i="1"/>
  <c r="I47" i="1"/>
  <c r="J47" i="1"/>
  <c r="K47" i="1"/>
  <c r="L47" i="1"/>
  <c r="O47" i="1"/>
  <c r="P47" i="1"/>
  <c r="Q47" i="1"/>
  <c r="R47" i="1"/>
  <c r="S47" i="1"/>
  <c r="T47" i="1"/>
  <c r="F50" i="1"/>
  <c r="G50" i="1"/>
  <c r="H50" i="1"/>
  <c r="I50" i="1"/>
  <c r="J50" i="1"/>
  <c r="K50" i="1"/>
  <c r="L50" i="1"/>
  <c r="O50" i="1"/>
  <c r="P50" i="1"/>
  <c r="Q50" i="1"/>
  <c r="R50" i="1"/>
  <c r="S50" i="1"/>
  <c r="T50" i="1"/>
  <c r="F53" i="1"/>
  <c r="G53" i="1"/>
  <c r="H53" i="1"/>
  <c r="I53" i="1"/>
  <c r="J53" i="1"/>
  <c r="K53" i="1"/>
  <c r="L53" i="1"/>
  <c r="O53" i="1"/>
  <c r="P53" i="1"/>
  <c r="Q53" i="1"/>
  <c r="R53" i="1"/>
  <c r="S53" i="1"/>
  <c r="T53" i="1"/>
  <c r="F56" i="1"/>
  <c r="G56" i="1"/>
  <c r="H56" i="1"/>
  <c r="I56" i="1"/>
  <c r="J56" i="1"/>
  <c r="K56" i="1"/>
  <c r="L56" i="1"/>
  <c r="O56" i="1"/>
  <c r="P56" i="1"/>
  <c r="Q56" i="1"/>
  <c r="R56" i="1"/>
  <c r="S56" i="1"/>
  <c r="T56" i="1"/>
  <c r="F59" i="1"/>
  <c r="G59" i="1"/>
  <c r="H59" i="1"/>
  <c r="I59" i="1"/>
  <c r="J59" i="1"/>
  <c r="K59" i="1"/>
  <c r="L59" i="1"/>
  <c r="O59" i="1"/>
  <c r="P59" i="1"/>
  <c r="Q59" i="1"/>
  <c r="R59" i="1"/>
  <c r="S59" i="1"/>
  <c r="T59" i="1"/>
  <c r="F62" i="1"/>
  <c r="G62" i="1"/>
  <c r="H62" i="1"/>
  <c r="I62" i="1"/>
  <c r="J62" i="1"/>
  <c r="K62" i="1"/>
  <c r="L62" i="1"/>
  <c r="O62" i="1"/>
  <c r="P62" i="1"/>
  <c r="Q62" i="1"/>
  <c r="R62" i="1"/>
  <c r="S62" i="1"/>
  <c r="T62" i="1"/>
  <c r="F65" i="1"/>
  <c r="G65" i="1"/>
  <c r="H65" i="1"/>
  <c r="I65" i="1"/>
  <c r="J65" i="1"/>
  <c r="K65" i="1"/>
  <c r="L65" i="1"/>
  <c r="O65" i="1"/>
  <c r="P65" i="1"/>
  <c r="Q65" i="1"/>
  <c r="R65" i="1"/>
  <c r="S65" i="1"/>
  <c r="T65" i="1"/>
  <c r="F68" i="1"/>
  <c r="G68" i="1"/>
  <c r="H68" i="1"/>
  <c r="I68" i="1"/>
  <c r="J68" i="1"/>
  <c r="K68" i="1"/>
  <c r="L68" i="1"/>
  <c r="O68" i="1"/>
  <c r="P68" i="1"/>
  <c r="Q68" i="1"/>
  <c r="R68" i="1"/>
  <c r="S68" i="1"/>
  <c r="T68" i="1"/>
  <c r="F71" i="1"/>
  <c r="G71" i="1"/>
  <c r="H71" i="1"/>
  <c r="I71" i="1"/>
  <c r="J71" i="1"/>
  <c r="K71" i="1"/>
  <c r="L71" i="1"/>
  <c r="O71" i="1"/>
  <c r="P71" i="1"/>
  <c r="Q71" i="1"/>
  <c r="R71" i="1"/>
  <c r="S71" i="1"/>
  <c r="T71" i="1"/>
  <c r="F74" i="1"/>
  <c r="G74" i="1"/>
  <c r="H74" i="1"/>
  <c r="I74" i="1"/>
  <c r="J74" i="1"/>
  <c r="K74" i="1"/>
  <c r="L74" i="1"/>
  <c r="O74" i="1"/>
  <c r="P74" i="1"/>
  <c r="Q74" i="1"/>
  <c r="R74" i="1"/>
  <c r="S74" i="1"/>
  <c r="T74" i="1"/>
  <c r="F77" i="1"/>
  <c r="G77" i="1"/>
  <c r="H77" i="1"/>
  <c r="I77" i="1"/>
  <c r="J77" i="1"/>
  <c r="K77" i="1"/>
  <c r="L77" i="1"/>
  <c r="O77" i="1"/>
  <c r="P77" i="1"/>
  <c r="Q77" i="1"/>
  <c r="R77" i="1"/>
  <c r="S77" i="1"/>
  <c r="T77" i="1"/>
  <c r="F80" i="1"/>
  <c r="G80" i="1"/>
  <c r="H80" i="1"/>
  <c r="I80" i="1"/>
  <c r="J80" i="1"/>
  <c r="K80" i="1"/>
  <c r="L80" i="1"/>
  <c r="O80" i="1"/>
  <c r="P80" i="1"/>
  <c r="Q80" i="1"/>
  <c r="R80" i="1"/>
  <c r="S80" i="1"/>
  <c r="T80" i="1"/>
  <c r="F83" i="1"/>
  <c r="G83" i="1"/>
  <c r="H83" i="1"/>
  <c r="I83" i="1"/>
  <c r="J83" i="1"/>
  <c r="K83" i="1"/>
  <c r="L83" i="1"/>
  <c r="O83" i="1"/>
  <c r="P83" i="1"/>
  <c r="Q83" i="1"/>
  <c r="R83" i="1"/>
  <c r="S83" i="1"/>
  <c r="T83" i="1"/>
  <c r="F86" i="1"/>
  <c r="G86" i="1"/>
  <c r="H86" i="1"/>
  <c r="I86" i="1"/>
  <c r="J86" i="1"/>
  <c r="K86" i="1"/>
  <c r="L86" i="1"/>
  <c r="O86" i="1"/>
  <c r="P86" i="1"/>
  <c r="Q86" i="1"/>
  <c r="R86" i="1"/>
  <c r="S86" i="1"/>
  <c r="T86" i="1"/>
  <c r="F89" i="1"/>
  <c r="G89" i="1"/>
  <c r="H89" i="1"/>
  <c r="I89" i="1"/>
  <c r="J89" i="1"/>
  <c r="K89" i="1"/>
  <c r="L89" i="1"/>
  <c r="O89" i="1"/>
  <c r="P89" i="1"/>
  <c r="Q89" i="1"/>
  <c r="R89" i="1"/>
  <c r="S89" i="1"/>
  <c r="T89" i="1"/>
  <c r="F92" i="1"/>
  <c r="G92" i="1"/>
  <c r="H92" i="1"/>
  <c r="I92" i="1"/>
  <c r="J92" i="1"/>
  <c r="K92" i="1"/>
  <c r="L92" i="1"/>
  <c r="O92" i="1"/>
  <c r="P92" i="1"/>
  <c r="Q92" i="1"/>
  <c r="R92" i="1"/>
  <c r="S92" i="1"/>
  <c r="T92" i="1"/>
  <c r="F95" i="1"/>
  <c r="G95" i="1"/>
  <c r="H95" i="1"/>
  <c r="I95" i="1"/>
  <c r="J95" i="1"/>
  <c r="K95" i="1"/>
  <c r="L95" i="1"/>
  <c r="O95" i="1"/>
  <c r="P95" i="1"/>
  <c r="Q95" i="1"/>
  <c r="R95" i="1"/>
  <c r="S95" i="1"/>
  <c r="T95" i="1"/>
  <c r="F98" i="1"/>
  <c r="G98" i="1"/>
  <c r="H98" i="1"/>
  <c r="I98" i="1"/>
  <c r="J98" i="1"/>
  <c r="K98" i="1"/>
  <c r="L98" i="1"/>
  <c r="O98" i="1"/>
  <c r="P98" i="1"/>
  <c r="Q98" i="1"/>
  <c r="R98" i="1"/>
  <c r="S98" i="1"/>
  <c r="T98" i="1"/>
  <c r="F101" i="1"/>
  <c r="G101" i="1"/>
  <c r="H101" i="1"/>
  <c r="I101" i="1"/>
  <c r="J101" i="1"/>
  <c r="K101" i="1"/>
  <c r="L101" i="1"/>
  <c r="O101" i="1"/>
  <c r="P101" i="1"/>
  <c r="Q101" i="1"/>
  <c r="R101" i="1"/>
  <c r="S101" i="1"/>
  <c r="T101" i="1"/>
  <c r="F104" i="1"/>
  <c r="G104" i="1"/>
  <c r="H104" i="1"/>
  <c r="I104" i="1"/>
  <c r="J104" i="1"/>
  <c r="K104" i="1"/>
  <c r="L104" i="1"/>
  <c r="O104" i="1"/>
  <c r="P104" i="1"/>
  <c r="Q104" i="1"/>
  <c r="R104" i="1"/>
  <c r="S104" i="1"/>
  <c r="T104" i="1"/>
  <c r="F107" i="1"/>
  <c r="G107" i="1"/>
  <c r="H107" i="1"/>
  <c r="I107" i="1"/>
  <c r="J107" i="1"/>
  <c r="K107" i="1"/>
  <c r="L107" i="1"/>
  <c r="O107" i="1"/>
  <c r="P107" i="1"/>
  <c r="Q107" i="1"/>
  <c r="R107" i="1"/>
  <c r="S107" i="1"/>
  <c r="T107" i="1"/>
  <c r="F110" i="1"/>
  <c r="G110" i="1"/>
  <c r="H110" i="1"/>
  <c r="I110" i="1"/>
  <c r="J110" i="1"/>
  <c r="K110" i="1"/>
  <c r="L110" i="1"/>
  <c r="O110" i="1"/>
  <c r="P110" i="1"/>
  <c r="Q110" i="1"/>
  <c r="R110" i="1"/>
  <c r="S110" i="1"/>
  <c r="T110" i="1"/>
  <c r="F113" i="1"/>
  <c r="G113" i="1"/>
  <c r="H113" i="1"/>
  <c r="I113" i="1"/>
  <c r="J113" i="1"/>
  <c r="K113" i="1"/>
  <c r="L113" i="1"/>
  <c r="O113" i="1"/>
  <c r="P113" i="1"/>
  <c r="Q113" i="1"/>
  <c r="R113" i="1"/>
  <c r="S113" i="1"/>
  <c r="T113" i="1"/>
  <c r="F116" i="1"/>
  <c r="G116" i="1"/>
  <c r="H116" i="1"/>
  <c r="I116" i="1"/>
  <c r="J116" i="1"/>
  <c r="K116" i="1"/>
  <c r="L116" i="1"/>
  <c r="O116" i="1"/>
  <c r="P116" i="1"/>
  <c r="Q116" i="1"/>
  <c r="R116" i="1"/>
  <c r="S116" i="1"/>
  <c r="T116" i="1"/>
  <c r="F119" i="1"/>
  <c r="G119" i="1"/>
  <c r="H119" i="1"/>
  <c r="I119" i="1"/>
  <c r="J119" i="1"/>
  <c r="K119" i="1"/>
  <c r="L119" i="1"/>
  <c r="O119" i="1"/>
  <c r="P119" i="1"/>
  <c r="Q119" i="1"/>
  <c r="R119" i="1"/>
  <c r="S119" i="1"/>
  <c r="T119" i="1"/>
  <c r="F122" i="1"/>
  <c r="G122" i="1"/>
  <c r="H122" i="1"/>
  <c r="I122" i="1"/>
  <c r="J122" i="1"/>
  <c r="K122" i="1"/>
  <c r="L122" i="1"/>
  <c r="O122" i="1"/>
  <c r="P122" i="1"/>
  <c r="Q122" i="1"/>
  <c r="R122" i="1"/>
  <c r="S122" i="1"/>
  <c r="T122" i="1"/>
  <c r="F125" i="1"/>
  <c r="G125" i="1"/>
  <c r="H125" i="1"/>
  <c r="I125" i="1"/>
  <c r="J125" i="1"/>
  <c r="K125" i="1"/>
  <c r="L125" i="1"/>
  <c r="O125" i="1"/>
  <c r="P125" i="1"/>
  <c r="Q125" i="1"/>
  <c r="R125" i="1"/>
  <c r="S125" i="1"/>
  <c r="T125" i="1"/>
  <c r="F128" i="1"/>
  <c r="G128" i="1"/>
  <c r="H128" i="1"/>
  <c r="I128" i="1"/>
  <c r="J128" i="1"/>
  <c r="K128" i="1"/>
  <c r="L128" i="1"/>
  <c r="O128" i="1"/>
  <c r="P128" i="1"/>
  <c r="Q128" i="1"/>
  <c r="R128" i="1"/>
  <c r="S128" i="1"/>
  <c r="T128" i="1"/>
  <c r="F131" i="1"/>
  <c r="G131" i="1"/>
  <c r="H131" i="1"/>
  <c r="I131" i="1"/>
  <c r="J131" i="1"/>
  <c r="K131" i="1"/>
  <c r="L131" i="1"/>
  <c r="O131" i="1"/>
  <c r="P131" i="1"/>
  <c r="Q131" i="1"/>
  <c r="R131" i="1"/>
  <c r="S131" i="1"/>
  <c r="T131" i="1"/>
  <c r="F134" i="1"/>
  <c r="G134" i="1"/>
  <c r="H134" i="1"/>
  <c r="I134" i="1"/>
  <c r="J134" i="1"/>
  <c r="K134" i="1"/>
  <c r="L134" i="1"/>
  <c r="O134" i="1"/>
  <c r="P134" i="1"/>
  <c r="Q134" i="1"/>
  <c r="R134" i="1"/>
  <c r="S134" i="1"/>
  <c r="T134" i="1"/>
  <c r="F137" i="1"/>
  <c r="G137" i="1"/>
  <c r="H137" i="1"/>
  <c r="I137" i="1"/>
  <c r="J137" i="1"/>
  <c r="K137" i="1"/>
  <c r="L137" i="1"/>
  <c r="O137" i="1"/>
  <c r="P137" i="1"/>
  <c r="Q137" i="1"/>
  <c r="R137" i="1"/>
  <c r="S137" i="1"/>
  <c r="T137" i="1"/>
  <c r="F140" i="1"/>
  <c r="G140" i="1"/>
  <c r="H140" i="1"/>
  <c r="I140" i="1"/>
  <c r="J140" i="1"/>
  <c r="K140" i="1"/>
  <c r="L140" i="1"/>
  <c r="O140" i="1"/>
  <c r="P140" i="1"/>
  <c r="Q140" i="1"/>
  <c r="R140" i="1"/>
  <c r="S140" i="1"/>
  <c r="T140" i="1"/>
  <c r="F143" i="1"/>
  <c r="G143" i="1"/>
  <c r="H143" i="1"/>
  <c r="I143" i="1"/>
  <c r="J143" i="1"/>
  <c r="K143" i="1"/>
  <c r="L143" i="1"/>
  <c r="O143" i="1"/>
  <c r="P143" i="1"/>
  <c r="Q143" i="1"/>
  <c r="R143" i="1"/>
  <c r="S143" i="1"/>
  <c r="T143" i="1"/>
  <c r="T145" i="1"/>
  <c r="F146" i="1"/>
  <c r="G146" i="1"/>
  <c r="H146" i="1"/>
  <c r="I146" i="1"/>
  <c r="J146" i="1"/>
  <c r="K146" i="1"/>
  <c r="L146" i="1"/>
  <c r="O146" i="1"/>
  <c r="P146" i="1"/>
  <c r="Q146" i="1"/>
  <c r="R146" i="1"/>
  <c r="S146" i="1"/>
  <c r="T146" i="1"/>
  <c r="F149" i="1"/>
  <c r="G149" i="1"/>
  <c r="H149" i="1"/>
  <c r="I149" i="1"/>
  <c r="J149" i="1"/>
  <c r="K149" i="1"/>
  <c r="L149" i="1"/>
  <c r="O149" i="1"/>
  <c r="P149" i="1"/>
  <c r="Q149" i="1"/>
  <c r="R149" i="1"/>
  <c r="S149" i="1"/>
  <c r="T149" i="1"/>
  <c r="F152" i="1"/>
  <c r="G152" i="1"/>
  <c r="H152" i="1"/>
  <c r="I152" i="1"/>
  <c r="J152" i="1"/>
  <c r="K152" i="1"/>
  <c r="L152" i="1"/>
  <c r="O152" i="1"/>
  <c r="P152" i="1"/>
  <c r="Q152" i="1"/>
  <c r="R152" i="1"/>
  <c r="S152" i="1"/>
  <c r="T152" i="1"/>
  <c r="F155" i="1"/>
  <c r="G155" i="1"/>
  <c r="H155" i="1"/>
  <c r="I155" i="1"/>
  <c r="J155" i="1"/>
  <c r="K155" i="1"/>
  <c r="L155" i="1"/>
  <c r="O155" i="1"/>
  <c r="P155" i="1"/>
  <c r="Q155" i="1"/>
  <c r="R155" i="1"/>
  <c r="S155" i="1"/>
  <c r="T155" i="1"/>
  <c r="T151" i="38" l="1"/>
  <c r="S151" i="38"/>
  <c r="S52" i="21"/>
  <c r="R52" i="21"/>
  <c r="T79" i="9"/>
  <c r="G5" i="28" l="1"/>
  <c r="H5" i="28" s="1"/>
  <c r="G6" i="28"/>
  <c r="H6" i="28" s="1"/>
  <c r="G7" i="28"/>
  <c r="H7" i="28" s="1"/>
  <c r="G8" i="28"/>
  <c r="H8" i="28" s="1"/>
  <c r="G9" i="28"/>
  <c r="H9" i="28" s="1"/>
  <c r="G10" i="28"/>
  <c r="H10" i="28" s="1"/>
  <c r="G11" i="28"/>
  <c r="H11" i="28" s="1"/>
  <c r="G12" i="28"/>
  <c r="H12" i="28" s="1"/>
  <c r="G13" i="28"/>
  <c r="H13" i="28" s="1"/>
  <c r="G14" i="28"/>
  <c r="H14" i="28" s="1"/>
  <c r="G15" i="28"/>
  <c r="H15" i="28" s="1"/>
  <c r="G16" i="28"/>
  <c r="H16" i="28" s="1"/>
  <c r="G17" i="28"/>
  <c r="H17" i="28" s="1"/>
  <c r="G18" i="28"/>
  <c r="H18" i="28" s="1"/>
  <c r="G19" i="28"/>
  <c r="H19" i="28" s="1"/>
  <c r="G20" i="28"/>
  <c r="H20" i="28" s="1"/>
  <c r="G21" i="28"/>
  <c r="H21" i="28" s="1"/>
  <c r="G22" i="28"/>
  <c r="H22" i="28" s="1"/>
  <c r="G23" i="28"/>
  <c r="H23" i="28" s="1"/>
  <c r="G24" i="28"/>
  <c r="H24" i="28" s="1"/>
  <c r="G25" i="28"/>
  <c r="H25" i="28" s="1"/>
  <c r="G26" i="28"/>
  <c r="H26" i="28" s="1"/>
  <c r="G27" i="28"/>
  <c r="H27" i="28" s="1"/>
  <c r="G28" i="28"/>
  <c r="H28" i="28" s="1"/>
  <c r="G29" i="28"/>
  <c r="H29" i="28" s="1"/>
  <c r="G30" i="28"/>
  <c r="H30" i="28" s="1"/>
  <c r="G31" i="28"/>
  <c r="H31" i="28" s="1"/>
  <c r="G32" i="28"/>
  <c r="H32" i="28" s="1"/>
  <c r="G33" i="28"/>
  <c r="H33" i="28" s="1"/>
  <c r="G34" i="28"/>
  <c r="H34" i="28" s="1"/>
  <c r="G35" i="28"/>
  <c r="H35" i="28" s="1"/>
  <c r="G36" i="28"/>
  <c r="H36" i="28" s="1"/>
  <c r="G37" i="28"/>
  <c r="H37" i="28" s="1"/>
  <c r="G38" i="28"/>
  <c r="H38" i="28" s="1"/>
  <c r="G39" i="28"/>
  <c r="H39" i="28" s="1"/>
  <c r="G40" i="28"/>
  <c r="H40" i="28" s="1"/>
  <c r="G41" i="28"/>
  <c r="H41" i="28" s="1"/>
  <c r="G42" i="28"/>
  <c r="H42" i="28" s="1"/>
  <c r="G43" i="28"/>
  <c r="H43" i="28" s="1"/>
  <c r="G44" i="28"/>
  <c r="H44" i="28" s="1"/>
  <c r="G45" i="28"/>
  <c r="H45" i="28" s="1"/>
  <c r="G46" i="28"/>
  <c r="H46" i="28" s="1"/>
  <c r="G47" i="28"/>
  <c r="H47" i="28" s="1"/>
  <c r="G48" i="28"/>
  <c r="H48" i="28" s="1"/>
  <c r="G49" i="28"/>
  <c r="H49" i="28" s="1"/>
  <c r="G50" i="28"/>
  <c r="H50" i="28" s="1"/>
  <c r="G51" i="28"/>
  <c r="H51" i="28" s="1"/>
  <c r="G4" i="28"/>
  <c r="H4" i="28" s="1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4" i="24"/>
  <c r="R170" i="40"/>
  <c r="P170" i="40"/>
  <c r="J170" i="40"/>
  <c r="H170" i="40"/>
  <c r="R169" i="40"/>
  <c r="Q169" i="40"/>
  <c r="Q170" i="40" s="1"/>
  <c r="P169" i="40"/>
  <c r="O169" i="40"/>
  <c r="O170" i="40" s="1"/>
  <c r="N169" i="40"/>
  <c r="M169" i="40"/>
  <c r="L169" i="40"/>
  <c r="K169" i="40"/>
  <c r="J169" i="40"/>
  <c r="I169" i="40"/>
  <c r="I170" i="40" s="1"/>
  <c r="H169" i="40"/>
  <c r="G169" i="40"/>
  <c r="G170" i="40" s="1"/>
  <c r="F169" i="40"/>
  <c r="R168" i="40"/>
  <c r="Q168" i="40"/>
  <c r="P168" i="40"/>
  <c r="O168" i="40"/>
  <c r="N168" i="40"/>
  <c r="N170" i="40" s="1"/>
  <c r="M168" i="40"/>
  <c r="M170" i="40" s="1"/>
  <c r="L168" i="40"/>
  <c r="L170" i="40" s="1"/>
  <c r="K168" i="40"/>
  <c r="K170" i="40" s="1"/>
  <c r="J168" i="40"/>
  <c r="I168" i="40"/>
  <c r="H168" i="40"/>
  <c r="G168" i="40"/>
  <c r="F168" i="40"/>
  <c r="F170" i="40" s="1"/>
  <c r="Q167" i="40"/>
  <c r="P167" i="40"/>
  <c r="O167" i="40"/>
  <c r="I167" i="40"/>
  <c r="G167" i="40"/>
  <c r="R166" i="40"/>
  <c r="Q166" i="40"/>
  <c r="P166" i="40"/>
  <c r="O166" i="40"/>
  <c r="N166" i="40"/>
  <c r="N167" i="40" s="1"/>
  <c r="M166" i="40"/>
  <c r="L166" i="40"/>
  <c r="L167" i="40" s="1"/>
  <c r="K166" i="40"/>
  <c r="J166" i="40"/>
  <c r="I166" i="40"/>
  <c r="H166" i="40"/>
  <c r="H167" i="40" s="1"/>
  <c r="G166" i="40"/>
  <c r="F166" i="40"/>
  <c r="F167" i="40" s="1"/>
  <c r="R165" i="40"/>
  <c r="R167" i="40" s="1"/>
  <c r="Q165" i="40"/>
  <c r="P165" i="40"/>
  <c r="O165" i="40"/>
  <c r="N165" i="40"/>
  <c r="M165" i="40"/>
  <c r="M167" i="40" s="1"/>
  <c r="L165" i="40"/>
  <c r="K165" i="40"/>
  <c r="K167" i="40" s="1"/>
  <c r="J165" i="40"/>
  <c r="J167" i="40" s="1"/>
  <c r="I165" i="40"/>
  <c r="H165" i="40"/>
  <c r="G165" i="40"/>
  <c r="F165" i="40"/>
  <c r="P164" i="40"/>
  <c r="N164" i="40"/>
  <c r="H164" i="40"/>
  <c r="F164" i="40"/>
  <c r="R163" i="40"/>
  <c r="Q163" i="40"/>
  <c r="P163" i="40"/>
  <c r="O163" i="40"/>
  <c r="O164" i="40" s="1"/>
  <c r="N163" i="40"/>
  <c r="M163" i="40"/>
  <c r="M164" i="40" s="1"/>
  <c r="L163" i="40"/>
  <c r="K163" i="40"/>
  <c r="K164" i="40" s="1"/>
  <c r="J163" i="40"/>
  <c r="I163" i="40"/>
  <c r="H163" i="40"/>
  <c r="G163" i="40"/>
  <c r="G164" i="40" s="1"/>
  <c r="F163" i="40"/>
  <c r="R162" i="40"/>
  <c r="R164" i="40" s="1"/>
  <c r="Q162" i="40"/>
  <c r="Q164" i="40" s="1"/>
  <c r="P162" i="40"/>
  <c r="O162" i="40"/>
  <c r="N162" i="40"/>
  <c r="M162" i="40"/>
  <c r="L162" i="40"/>
  <c r="L164" i="40" s="1"/>
  <c r="K162" i="40"/>
  <c r="J162" i="40"/>
  <c r="J164" i="40" s="1"/>
  <c r="I162" i="40"/>
  <c r="I164" i="40" s="1"/>
  <c r="H162" i="40"/>
  <c r="G162" i="40"/>
  <c r="F162" i="40"/>
  <c r="P161" i="40"/>
  <c r="O161" i="40"/>
  <c r="M161" i="40"/>
  <c r="G161" i="40"/>
  <c r="R160" i="40"/>
  <c r="R161" i="40" s="1"/>
  <c r="Q160" i="40"/>
  <c r="P160" i="40"/>
  <c r="O160" i="40"/>
  <c r="N160" i="40"/>
  <c r="N161" i="40" s="1"/>
  <c r="M160" i="40"/>
  <c r="L160" i="40"/>
  <c r="L161" i="40" s="1"/>
  <c r="K160" i="40"/>
  <c r="J160" i="40"/>
  <c r="J161" i="40" s="1"/>
  <c r="I160" i="40"/>
  <c r="H160" i="40"/>
  <c r="G160" i="40"/>
  <c r="F160" i="40"/>
  <c r="F161" i="40" s="1"/>
  <c r="R159" i="40"/>
  <c r="Q159" i="40"/>
  <c r="Q161" i="40" s="1"/>
  <c r="P159" i="40"/>
  <c r="O159" i="40"/>
  <c r="N159" i="40"/>
  <c r="M159" i="40"/>
  <c r="L159" i="40"/>
  <c r="K159" i="40"/>
  <c r="K161" i="40" s="1"/>
  <c r="J159" i="40"/>
  <c r="I159" i="40"/>
  <c r="I161" i="40" s="1"/>
  <c r="H159" i="40"/>
  <c r="H161" i="40" s="1"/>
  <c r="G159" i="40"/>
  <c r="F159" i="40"/>
  <c r="P158" i="40"/>
  <c r="N158" i="40"/>
  <c r="L158" i="40"/>
  <c r="F158" i="40"/>
  <c r="R157" i="40"/>
  <c r="Q157" i="40"/>
  <c r="Q158" i="40" s="1"/>
  <c r="P157" i="40"/>
  <c r="O157" i="40"/>
  <c r="N157" i="40"/>
  <c r="M157" i="40"/>
  <c r="M158" i="40" s="1"/>
  <c r="L157" i="40"/>
  <c r="K157" i="40"/>
  <c r="K158" i="40" s="1"/>
  <c r="J157" i="40"/>
  <c r="I157" i="40"/>
  <c r="I158" i="40" s="1"/>
  <c r="H157" i="40"/>
  <c r="G157" i="40"/>
  <c r="F157" i="40"/>
  <c r="R156" i="40"/>
  <c r="R158" i="40" s="1"/>
  <c r="Q156" i="40"/>
  <c r="P156" i="40"/>
  <c r="O156" i="40"/>
  <c r="O158" i="40" s="1"/>
  <c r="N156" i="40"/>
  <c r="M156" i="40"/>
  <c r="L156" i="40"/>
  <c r="K156" i="40"/>
  <c r="J156" i="40"/>
  <c r="J158" i="40" s="1"/>
  <c r="I156" i="40"/>
  <c r="H156" i="40"/>
  <c r="H158" i="40" s="1"/>
  <c r="G156" i="40"/>
  <c r="G158" i="40" s="1"/>
  <c r="F156" i="40"/>
  <c r="P155" i="40"/>
  <c r="M155" i="40"/>
  <c r="K155" i="40"/>
  <c r="R154" i="40"/>
  <c r="R155" i="40" s="1"/>
  <c r="Q154" i="40"/>
  <c r="P154" i="40"/>
  <c r="O154" i="40"/>
  <c r="N154" i="40"/>
  <c r="M154" i="40"/>
  <c r="L154" i="40"/>
  <c r="L155" i="40" s="1"/>
  <c r="K154" i="40"/>
  <c r="J154" i="40"/>
  <c r="J155" i="40" s="1"/>
  <c r="I154" i="40"/>
  <c r="H154" i="40"/>
  <c r="H155" i="40" s="1"/>
  <c r="G154" i="40"/>
  <c r="F154" i="40"/>
  <c r="R153" i="40"/>
  <c r="Q153" i="40"/>
  <c r="Q155" i="40" s="1"/>
  <c r="P153" i="40"/>
  <c r="O153" i="40"/>
  <c r="O155" i="40" s="1"/>
  <c r="N153" i="40"/>
  <c r="N155" i="40" s="1"/>
  <c r="M153" i="40"/>
  <c r="L153" i="40"/>
  <c r="K153" i="40"/>
  <c r="J153" i="40"/>
  <c r="I153" i="40"/>
  <c r="I155" i="40" s="1"/>
  <c r="H153" i="40"/>
  <c r="G153" i="40"/>
  <c r="G155" i="40" s="1"/>
  <c r="F153" i="40"/>
  <c r="F155" i="40" s="1"/>
  <c r="R152" i="40"/>
  <c r="P152" i="40"/>
  <c r="L152" i="40"/>
  <c r="J152" i="40"/>
  <c r="R151" i="40"/>
  <c r="Q151" i="40"/>
  <c r="Q152" i="40" s="1"/>
  <c r="P151" i="40"/>
  <c r="O151" i="40"/>
  <c r="N151" i="40"/>
  <c r="M151" i="40"/>
  <c r="L151" i="40"/>
  <c r="K151" i="40"/>
  <c r="K152" i="40" s="1"/>
  <c r="J151" i="40"/>
  <c r="I151" i="40"/>
  <c r="I152" i="40" s="1"/>
  <c r="H151" i="40"/>
  <c r="G151" i="40"/>
  <c r="F151" i="40"/>
  <c r="R150" i="40"/>
  <c r="Q150" i="40"/>
  <c r="P150" i="40"/>
  <c r="O150" i="40"/>
  <c r="O152" i="40" s="1"/>
  <c r="N150" i="40"/>
  <c r="N152" i="40" s="1"/>
  <c r="M150" i="40"/>
  <c r="M152" i="40" s="1"/>
  <c r="L150" i="40"/>
  <c r="K150" i="40"/>
  <c r="J150" i="40"/>
  <c r="I150" i="40"/>
  <c r="H150" i="40"/>
  <c r="H152" i="40" s="1"/>
  <c r="G150" i="40"/>
  <c r="G152" i="40" s="1"/>
  <c r="F150" i="40"/>
  <c r="F152" i="40" s="1"/>
  <c r="Q149" i="40"/>
  <c r="P149" i="40"/>
  <c r="K149" i="40"/>
  <c r="I149" i="40"/>
  <c r="R148" i="40"/>
  <c r="R149" i="40" s="1"/>
  <c r="Q148" i="40"/>
  <c r="P148" i="40"/>
  <c r="O148" i="40"/>
  <c r="N148" i="40"/>
  <c r="M148" i="40"/>
  <c r="L148" i="40"/>
  <c r="K148" i="40"/>
  <c r="J148" i="40"/>
  <c r="J149" i="40" s="1"/>
  <c r="I148" i="40"/>
  <c r="H148" i="40"/>
  <c r="H149" i="40" s="1"/>
  <c r="G148" i="40"/>
  <c r="F148" i="40"/>
  <c r="R147" i="40"/>
  <c r="Q147" i="40"/>
  <c r="P147" i="40"/>
  <c r="O147" i="40"/>
  <c r="O149" i="40" s="1"/>
  <c r="N147" i="40"/>
  <c r="N149" i="40" s="1"/>
  <c r="M147" i="40"/>
  <c r="M149" i="40" s="1"/>
  <c r="L147" i="40"/>
  <c r="L149" i="40" s="1"/>
  <c r="K147" i="40"/>
  <c r="J147" i="40"/>
  <c r="I147" i="40"/>
  <c r="H147" i="40"/>
  <c r="G147" i="40"/>
  <c r="G149" i="40" s="1"/>
  <c r="F147" i="40"/>
  <c r="F149" i="40" s="1"/>
  <c r="R146" i="40"/>
  <c r="P146" i="40"/>
  <c r="J146" i="40"/>
  <c r="H146" i="40"/>
  <c r="R145" i="40"/>
  <c r="Q145" i="40"/>
  <c r="Q146" i="40" s="1"/>
  <c r="P145" i="40"/>
  <c r="O145" i="40"/>
  <c r="O146" i="40" s="1"/>
  <c r="N145" i="40"/>
  <c r="M145" i="40"/>
  <c r="L145" i="40"/>
  <c r="K145" i="40"/>
  <c r="J145" i="40"/>
  <c r="I145" i="40"/>
  <c r="I146" i="40" s="1"/>
  <c r="H145" i="40"/>
  <c r="G145" i="40"/>
  <c r="G146" i="40" s="1"/>
  <c r="F145" i="40"/>
  <c r="R144" i="40"/>
  <c r="Q144" i="40"/>
  <c r="P144" i="40"/>
  <c r="O144" i="40"/>
  <c r="N144" i="40"/>
  <c r="N146" i="40" s="1"/>
  <c r="M144" i="40"/>
  <c r="M146" i="40" s="1"/>
  <c r="L144" i="40"/>
  <c r="L146" i="40" s="1"/>
  <c r="K144" i="40"/>
  <c r="K146" i="40" s="1"/>
  <c r="J144" i="40"/>
  <c r="I144" i="40"/>
  <c r="H144" i="40"/>
  <c r="G144" i="40"/>
  <c r="F144" i="40"/>
  <c r="F146" i="40" s="1"/>
  <c r="Q143" i="40"/>
  <c r="P143" i="40"/>
  <c r="O143" i="40"/>
  <c r="I143" i="40"/>
  <c r="G143" i="40"/>
  <c r="R142" i="40"/>
  <c r="Q142" i="40"/>
  <c r="P142" i="40"/>
  <c r="O142" i="40"/>
  <c r="N142" i="40"/>
  <c r="N143" i="40" s="1"/>
  <c r="M142" i="40"/>
  <c r="L142" i="40"/>
  <c r="K142" i="40"/>
  <c r="J142" i="40"/>
  <c r="I142" i="40"/>
  <c r="H142" i="40"/>
  <c r="H143" i="40" s="1"/>
  <c r="G142" i="40"/>
  <c r="F142" i="40"/>
  <c r="F143" i="40" s="1"/>
  <c r="R141" i="40"/>
  <c r="R143" i="40" s="1"/>
  <c r="Q141" i="40"/>
  <c r="P141" i="40"/>
  <c r="O141" i="40"/>
  <c r="N141" i="40"/>
  <c r="M141" i="40"/>
  <c r="M143" i="40" s="1"/>
  <c r="L141" i="40"/>
  <c r="L143" i="40" s="1"/>
  <c r="K141" i="40"/>
  <c r="K143" i="40" s="1"/>
  <c r="J141" i="40"/>
  <c r="J143" i="40" s="1"/>
  <c r="I141" i="40"/>
  <c r="H141" i="40"/>
  <c r="G141" i="40"/>
  <c r="F141" i="40"/>
  <c r="P140" i="40"/>
  <c r="N140" i="40"/>
  <c r="H140" i="40"/>
  <c r="F140" i="40"/>
  <c r="R139" i="40"/>
  <c r="Q139" i="40"/>
  <c r="P139" i="40"/>
  <c r="O139" i="40"/>
  <c r="O140" i="40" s="1"/>
  <c r="N139" i="40"/>
  <c r="M139" i="40"/>
  <c r="M140" i="40" s="1"/>
  <c r="L139" i="40"/>
  <c r="K139" i="40"/>
  <c r="J139" i="40"/>
  <c r="I139" i="40"/>
  <c r="H139" i="40"/>
  <c r="G139" i="40"/>
  <c r="G140" i="40" s="1"/>
  <c r="F139" i="40"/>
  <c r="R138" i="40"/>
  <c r="R140" i="40" s="1"/>
  <c r="Q138" i="40"/>
  <c r="Q140" i="40" s="1"/>
  <c r="P138" i="40"/>
  <c r="O138" i="40"/>
  <c r="N138" i="40"/>
  <c r="M138" i="40"/>
  <c r="L138" i="40"/>
  <c r="L140" i="40" s="1"/>
  <c r="K138" i="40"/>
  <c r="K140" i="40" s="1"/>
  <c r="J138" i="40"/>
  <c r="J140" i="40" s="1"/>
  <c r="I138" i="40"/>
  <c r="I140" i="40" s="1"/>
  <c r="H138" i="40"/>
  <c r="G138" i="40"/>
  <c r="F138" i="40"/>
  <c r="P137" i="40"/>
  <c r="O137" i="40"/>
  <c r="M137" i="40"/>
  <c r="G137" i="40"/>
  <c r="R136" i="40"/>
  <c r="Q136" i="40"/>
  <c r="P136" i="40"/>
  <c r="O136" i="40"/>
  <c r="N136" i="40"/>
  <c r="N137" i="40" s="1"/>
  <c r="M136" i="40"/>
  <c r="L136" i="40"/>
  <c r="L137" i="40" s="1"/>
  <c r="K136" i="40"/>
  <c r="J136" i="40"/>
  <c r="I136" i="40"/>
  <c r="H136" i="40"/>
  <c r="G136" i="40"/>
  <c r="F136" i="40"/>
  <c r="F137" i="40" s="1"/>
  <c r="R135" i="40"/>
  <c r="R137" i="40" s="1"/>
  <c r="Q135" i="40"/>
  <c r="Q137" i="40" s="1"/>
  <c r="P135" i="40"/>
  <c r="O135" i="40"/>
  <c r="N135" i="40"/>
  <c r="M135" i="40"/>
  <c r="L135" i="40"/>
  <c r="K135" i="40"/>
  <c r="K137" i="40" s="1"/>
  <c r="J135" i="40"/>
  <c r="J137" i="40" s="1"/>
  <c r="I135" i="40"/>
  <c r="I137" i="40" s="1"/>
  <c r="H135" i="40"/>
  <c r="H137" i="40" s="1"/>
  <c r="G135" i="40"/>
  <c r="F135" i="40"/>
  <c r="P134" i="40"/>
  <c r="N134" i="40"/>
  <c r="L134" i="40"/>
  <c r="F134" i="40"/>
  <c r="R133" i="40"/>
  <c r="Q133" i="40"/>
  <c r="P133" i="40"/>
  <c r="O133" i="40"/>
  <c r="N133" i="40"/>
  <c r="M133" i="40"/>
  <c r="M134" i="40" s="1"/>
  <c r="L133" i="40"/>
  <c r="K133" i="40"/>
  <c r="K134" i="40" s="1"/>
  <c r="J133" i="40"/>
  <c r="I133" i="40"/>
  <c r="H133" i="40"/>
  <c r="G133" i="40"/>
  <c r="F133" i="40"/>
  <c r="R132" i="40"/>
  <c r="R134" i="40" s="1"/>
  <c r="Q132" i="40"/>
  <c r="Q134" i="40" s="1"/>
  <c r="P132" i="40"/>
  <c r="O132" i="40"/>
  <c r="O134" i="40" s="1"/>
  <c r="N132" i="40"/>
  <c r="M132" i="40"/>
  <c r="L132" i="40"/>
  <c r="K132" i="40"/>
  <c r="J132" i="40"/>
  <c r="J134" i="40" s="1"/>
  <c r="I132" i="40"/>
  <c r="I134" i="40" s="1"/>
  <c r="H132" i="40"/>
  <c r="H134" i="40" s="1"/>
  <c r="G132" i="40"/>
  <c r="G134" i="40" s="1"/>
  <c r="F132" i="40"/>
  <c r="P131" i="40"/>
  <c r="M131" i="40"/>
  <c r="K131" i="40"/>
  <c r="R130" i="40"/>
  <c r="R131" i="40" s="1"/>
  <c r="Q130" i="40"/>
  <c r="P130" i="40"/>
  <c r="O130" i="40"/>
  <c r="N130" i="40"/>
  <c r="M130" i="40"/>
  <c r="L130" i="40"/>
  <c r="L131" i="40" s="1"/>
  <c r="K130" i="40"/>
  <c r="J130" i="40"/>
  <c r="J131" i="40" s="1"/>
  <c r="I130" i="40"/>
  <c r="H130" i="40"/>
  <c r="G130" i="40"/>
  <c r="F130" i="40"/>
  <c r="R129" i="40"/>
  <c r="Q129" i="40"/>
  <c r="Q131" i="40" s="1"/>
  <c r="P129" i="40"/>
  <c r="O129" i="40"/>
  <c r="O131" i="40" s="1"/>
  <c r="N129" i="40"/>
  <c r="N131" i="40" s="1"/>
  <c r="M129" i="40"/>
  <c r="L129" i="40"/>
  <c r="K129" i="40"/>
  <c r="J129" i="40"/>
  <c r="I129" i="40"/>
  <c r="I131" i="40" s="1"/>
  <c r="H129" i="40"/>
  <c r="H131" i="40" s="1"/>
  <c r="G129" i="40"/>
  <c r="G131" i="40" s="1"/>
  <c r="F129" i="40"/>
  <c r="F131" i="40" s="1"/>
  <c r="R128" i="40"/>
  <c r="P128" i="40"/>
  <c r="L128" i="40"/>
  <c r="J128" i="40"/>
  <c r="R127" i="40"/>
  <c r="Q127" i="40"/>
  <c r="Q128" i="40" s="1"/>
  <c r="P127" i="40"/>
  <c r="O127" i="40"/>
  <c r="N127" i="40"/>
  <c r="M127" i="40"/>
  <c r="L127" i="40"/>
  <c r="K127" i="40"/>
  <c r="K128" i="40" s="1"/>
  <c r="J127" i="40"/>
  <c r="I127" i="40"/>
  <c r="I128" i="40" s="1"/>
  <c r="H127" i="40"/>
  <c r="G127" i="40"/>
  <c r="F127" i="40"/>
  <c r="R126" i="40"/>
  <c r="Q126" i="40"/>
  <c r="P126" i="40"/>
  <c r="O126" i="40"/>
  <c r="O128" i="40" s="1"/>
  <c r="N126" i="40"/>
  <c r="N128" i="40" s="1"/>
  <c r="M126" i="40"/>
  <c r="M128" i="40" s="1"/>
  <c r="L126" i="40"/>
  <c r="K126" i="40"/>
  <c r="J126" i="40"/>
  <c r="I126" i="40"/>
  <c r="H126" i="40"/>
  <c r="H128" i="40" s="1"/>
  <c r="G126" i="40"/>
  <c r="G128" i="40" s="1"/>
  <c r="F126" i="40"/>
  <c r="F128" i="40" s="1"/>
  <c r="Q125" i="40"/>
  <c r="P125" i="40"/>
  <c r="K125" i="40"/>
  <c r="I125" i="40"/>
  <c r="R124" i="40"/>
  <c r="R125" i="40" s="1"/>
  <c r="Q124" i="40"/>
  <c r="P124" i="40"/>
  <c r="O124" i="40"/>
  <c r="N124" i="40"/>
  <c r="M124" i="40"/>
  <c r="L124" i="40"/>
  <c r="K124" i="40"/>
  <c r="J124" i="40"/>
  <c r="J125" i="40" s="1"/>
  <c r="I124" i="40"/>
  <c r="H124" i="40"/>
  <c r="H125" i="40" s="1"/>
  <c r="G124" i="40"/>
  <c r="F124" i="40"/>
  <c r="R123" i="40"/>
  <c r="Q123" i="40"/>
  <c r="P123" i="40"/>
  <c r="O123" i="40"/>
  <c r="O125" i="40" s="1"/>
  <c r="N123" i="40"/>
  <c r="N125" i="40" s="1"/>
  <c r="M123" i="40"/>
  <c r="M125" i="40" s="1"/>
  <c r="L123" i="40"/>
  <c r="L125" i="40" s="1"/>
  <c r="K123" i="40"/>
  <c r="J123" i="40"/>
  <c r="I123" i="40"/>
  <c r="H123" i="40"/>
  <c r="G123" i="40"/>
  <c r="G125" i="40" s="1"/>
  <c r="F123" i="40"/>
  <c r="F125" i="40" s="1"/>
  <c r="R122" i="40"/>
  <c r="P122" i="40"/>
  <c r="J122" i="40"/>
  <c r="H122" i="40"/>
  <c r="R121" i="40"/>
  <c r="Q121" i="40"/>
  <c r="Q122" i="40" s="1"/>
  <c r="P121" i="40"/>
  <c r="O121" i="40"/>
  <c r="O122" i="40" s="1"/>
  <c r="N121" i="40"/>
  <c r="M121" i="40"/>
  <c r="L121" i="40"/>
  <c r="K121" i="40"/>
  <c r="J121" i="40"/>
  <c r="I121" i="40"/>
  <c r="I122" i="40" s="1"/>
  <c r="H121" i="40"/>
  <c r="G121" i="40"/>
  <c r="G122" i="40" s="1"/>
  <c r="F121" i="40"/>
  <c r="R120" i="40"/>
  <c r="Q120" i="40"/>
  <c r="P120" i="40"/>
  <c r="O120" i="40"/>
  <c r="N120" i="40"/>
  <c r="N122" i="40" s="1"/>
  <c r="M120" i="40"/>
  <c r="M122" i="40" s="1"/>
  <c r="L120" i="40"/>
  <c r="L122" i="40" s="1"/>
  <c r="K120" i="40"/>
  <c r="K122" i="40" s="1"/>
  <c r="J120" i="40"/>
  <c r="I120" i="40"/>
  <c r="H120" i="40"/>
  <c r="G120" i="40"/>
  <c r="F120" i="40"/>
  <c r="F122" i="40" s="1"/>
  <c r="Q119" i="40"/>
  <c r="P119" i="40"/>
  <c r="O119" i="40"/>
  <c r="I119" i="40"/>
  <c r="G119" i="40"/>
  <c r="R118" i="40"/>
  <c r="Q118" i="40"/>
  <c r="P118" i="40"/>
  <c r="O118" i="40"/>
  <c r="N118" i="40"/>
  <c r="N119" i="40" s="1"/>
  <c r="M118" i="40"/>
  <c r="L118" i="40"/>
  <c r="K118" i="40"/>
  <c r="J118" i="40"/>
  <c r="I118" i="40"/>
  <c r="H118" i="40"/>
  <c r="H119" i="40" s="1"/>
  <c r="G118" i="40"/>
  <c r="F118" i="40"/>
  <c r="F119" i="40" s="1"/>
  <c r="R117" i="40"/>
  <c r="R119" i="40" s="1"/>
  <c r="Q117" i="40"/>
  <c r="P117" i="40"/>
  <c r="O117" i="40"/>
  <c r="N117" i="40"/>
  <c r="M117" i="40"/>
  <c r="M119" i="40" s="1"/>
  <c r="L117" i="40"/>
  <c r="L119" i="40" s="1"/>
  <c r="K117" i="40"/>
  <c r="K119" i="40" s="1"/>
  <c r="J117" i="40"/>
  <c r="J119" i="40" s="1"/>
  <c r="I117" i="40"/>
  <c r="H117" i="40"/>
  <c r="G117" i="40"/>
  <c r="F117" i="40"/>
  <c r="P116" i="40"/>
  <c r="N116" i="40"/>
  <c r="H116" i="40"/>
  <c r="F116" i="40"/>
  <c r="R115" i="40"/>
  <c r="Q115" i="40"/>
  <c r="P115" i="40"/>
  <c r="O115" i="40"/>
  <c r="O116" i="40" s="1"/>
  <c r="N115" i="40"/>
  <c r="M115" i="40"/>
  <c r="M116" i="40" s="1"/>
  <c r="L115" i="40"/>
  <c r="K115" i="40"/>
  <c r="J115" i="40"/>
  <c r="I115" i="40"/>
  <c r="H115" i="40"/>
  <c r="G115" i="40"/>
  <c r="G116" i="40" s="1"/>
  <c r="F115" i="40"/>
  <c r="R114" i="40"/>
  <c r="R116" i="40" s="1"/>
  <c r="Q114" i="40"/>
  <c r="Q116" i="40" s="1"/>
  <c r="P114" i="40"/>
  <c r="O114" i="40"/>
  <c r="N114" i="40"/>
  <c r="M114" i="40"/>
  <c r="L114" i="40"/>
  <c r="L116" i="40" s="1"/>
  <c r="K114" i="40"/>
  <c r="K116" i="40" s="1"/>
  <c r="J114" i="40"/>
  <c r="J116" i="40" s="1"/>
  <c r="I114" i="40"/>
  <c r="I116" i="40" s="1"/>
  <c r="H114" i="40"/>
  <c r="G114" i="40"/>
  <c r="F114" i="40"/>
  <c r="P113" i="40"/>
  <c r="O113" i="40"/>
  <c r="M113" i="40"/>
  <c r="G113" i="40"/>
  <c r="R112" i="40"/>
  <c r="Q112" i="40"/>
  <c r="P112" i="40"/>
  <c r="O112" i="40"/>
  <c r="N112" i="40"/>
  <c r="N113" i="40" s="1"/>
  <c r="M112" i="40"/>
  <c r="L112" i="40"/>
  <c r="L113" i="40" s="1"/>
  <c r="K112" i="40"/>
  <c r="J112" i="40"/>
  <c r="I112" i="40"/>
  <c r="H112" i="40"/>
  <c r="G112" i="40"/>
  <c r="F112" i="40"/>
  <c r="F113" i="40" s="1"/>
  <c r="R111" i="40"/>
  <c r="R113" i="40" s="1"/>
  <c r="Q111" i="40"/>
  <c r="Q113" i="40" s="1"/>
  <c r="P111" i="40"/>
  <c r="O111" i="40"/>
  <c r="N111" i="40"/>
  <c r="M111" i="40"/>
  <c r="L111" i="40"/>
  <c r="K111" i="40"/>
  <c r="K113" i="40" s="1"/>
  <c r="J111" i="40"/>
  <c r="J113" i="40" s="1"/>
  <c r="I111" i="40"/>
  <c r="I113" i="40" s="1"/>
  <c r="H111" i="40"/>
  <c r="H113" i="40" s="1"/>
  <c r="G111" i="40"/>
  <c r="F111" i="40"/>
  <c r="P110" i="40"/>
  <c r="N110" i="40"/>
  <c r="L110" i="40"/>
  <c r="F110" i="40"/>
  <c r="R109" i="40"/>
  <c r="Q109" i="40"/>
  <c r="P109" i="40"/>
  <c r="O109" i="40"/>
  <c r="N109" i="40"/>
  <c r="M109" i="40"/>
  <c r="M110" i="40" s="1"/>
  <c r="L109" i="40"/>
  <c r="K109" i="40"/>
  <c r="K110" i="40" s="1"/>
  <c r="J109" i="40"/>
  <c r="I109" i="40"/>
  <c r="H109" i="40"/>
  <c r="G109" i="40"/>
  <c r="F109" i="40"/>
  <c r="R108" i="40"/>
  <c r="R110" i="40" s="1"/>
  <c r="Q108" i="40"/>
  <c r="Q110" i="40" s="1"/>
  <c r="P108" i="40"/>
  <c r="O108" i="40"/>
  <c r="O110" i="40" s="1"/>
  <c r="N108" i="40"/>
  <c r="M108" i="40"/>
  <c r="L108" i="40"/>
  <c r="K108" i="40"/>
  <c r="J108" i="40"/>
  <c r="J110" i="40" s="1"/>
  <c r="I108" i="40"/>
  <c r="I110" i="40" s="1"/>
  <c r="H108" i="40"/>
  <c r="H110" i="40" s="1"/>
  <c r="G108" i="40"/>
  <c r="G110" i="40" s="1"/>
  <c r="F108" i="40"/>
  <c r="P107" i="40"/>
  <c r="M107" i="40"/>
  <c r="K107" i="40"/>
  <c r="R106" i="40"/>
  <c r="R107" i="40" s="1"/>
  <c r="Q106" i="40"/>
  <c r="P106" i="40"/>
  <c r="O106" i="40"/>
  <c r="N106" i="40"/>
  <c r="M106" i="40"/>
  <c r="L106" i="40"/>
  <c r="L107" i="40" s="1"/>
  <c r="K106" i="40"/>
  <c r="J106" i="40"/>
  <c r="J107" i="40" s="1"/>
  <c r="I106" i="40"/>
  <c r="H106" i="40"/>
  <c r="G106" i="40"/>
  <c r="F106" i="40"/>
  <c r="R105" i="40"/>
  <c r="Q105" i="40"/>
  <c r="Q107" i="40" s="1"/>
  <c r="P105" i="40"/>
  <c r="O105" i="40"/>
  <c r="O107" i="40" s="1"/>
  <c r="N105" i="40"/>
  <c r="N107" i="40" s="1"/>
  <c r="M105" i="40"/>
  <c r="L105" i="40"/>
  <c r="K105" i="40"/>
  <c r="J105" i="40"/>
  <c r="I105" i="40"/>
  <c r="I107" i="40" s="1"/>
  <c r="H105" i="40"/>
  <c r="H107" i="40" s="1"/>
  <c r="G105" i="40"/>
  <c r="G107" i="40" s="1"/>
  <c r="F105" i="40"/>
  <c r="F107" i="40" s="1"/>
  <c r="R104" i="40"/>
  <c r="P104" i="40"/>
  <c r="L104" i="40"/>
  <c r="J104" i="40"/>
  <c r="R103" i="40"/>
  <c r="Q103" i="40"/>
  <c r="Q104" i="40" s="1"/>
  <c r="P103" i="40"/>
  <c r="O103" i="40"/>
  <c r="N103" i="40"/>
  <c r="M103" i="40"/>
  <c r="L103" i="40"/>
  <c r="K103" i="40"/>
  <c r="K104" i="40" s="1"/>
  <c r="J103" i="40"/>
  <c r="I103" i="40"/>
  <c r="I104" i="40" s="1"/>
  <c r="H103" i="40"/>
  <c r="G103" i="40"/>
  <c r="F103" i="40"/>
  <c r="R102" i="40"/>
  <c r="Q102" i="40"/>
  <c r="P102" i="40"/>
  <c r="O102" i="40"/>
  <c r="O104" i="40" s="1"/>
  <c r="N102" i="40"/>
  <c r="N104" i="40" s="1"/>
  <c r="M102" i="40"/>
  <c r="M104" i="40" s="1"/>
  <c r="L102" i="40"/>
  <c r="K102" i="40"/>
  <c r="J102" i="40"/>
  <c r="I102" i="40"/>
  <c r="H102" i="40"/>
  <c r="H104" i="40" s="1"/>
  <c r="G102" i="40"/>
  <c r="G104" i="40" s="1"/>
  <c r="F102" i="40"/>
  <c r="F104" i="40" s="1"/>
  <c r="Q101" i="40"/>
  <c r="P101" i="40"/>
  <c r="K101" i="40"/>
  <c r="I101" i="40"/>
  <c r="R100" i="40"/>
  <c r="R101" i="40" s="1"/>
  <c r="Q100" i="40"/>
  <c r="P100" i="40"/>
  <c r="O100" i="40"/>
  <c r="N100" i="40"/>
  <c r="M100" i="40"/>
  <c r="L100" i="40"/>
  <c r="K100" i="40"/>
  <c r="J100" i="40"/>
  <c r="J101" i="40" s="1"/>
  <c r="I100" i="40"/>
  <c r="H100" i="40"/>
  <c r="H101" i="40" s="1"/>
  <c r="G100" i="40"/>
  <c r="F100" i="40"/>
  <c r="R99" i="40"/>
  <c r="Q99" i="40"/>
  <c r="P99" i="40"/>
  <c r="O99" i="40"/>
  <c r="O101" i="40" s="1"/>
  <c r="N99" i="40"/>
  <c r="N101" i="40" s="1"/>
  <c r="M99" i="40"/>
  <c r="M101" i="40" s="1"/>
  <c r="L99" i="40"/>
  <c r="L101" i="40" s="1"/>
  <c r="K99" i="40"/>
  <c r="J99" i="40"/>
  <c r="I99" i="40"/>
  <c r="H99" i="40"/>
  <c r="G99" i="40"/>
  <c r="G101" i="40" s="1"/>
  <c r="F99" i="40"/>
  <c r="F101" i="40" s="1"/>
  <c r="R98" i="40"/>
  <c r="P98" i="40"/>
  <c r="J98" i="40"/>
  <c r="H98" i="40"/>
  <c r="R97" i="40"/>
  <c r="Q97" i="40"/>
  <c r="Q98" i="40" s="1"/>
  <c r="P97" i="40"/>
  <c r="O97" i="40"/>
  <c r="O98" i="40" s="1"/>
  <c r="N97" i="40"/>
  <c r="M97" i="40"/>
  <c r="L97" i="40"/>
  <c r="K97" i="40"/>
  <c r="J97" i="40"/>
  <c r="I97" i="40"/>
  <c r="I98" i="40" s="1"/>
  <c r="H97" i="40"/>
  <c r="G97" i="40"/>
  <c r="G98" i="40" s="1"/>
  <c r="F97" i="40"/>
  <c r="R96" i="40"/>
  <c r="Q96" i="40"/>
  <c r="P96" i="40"/>
  <c r="O96" i="40"/>
  <c r="N96" i="40"/>
  <c r="N98" i="40" s="1"/>
  <c r="M96" i="40"/>
  <c r="M98" i="40" s="1"/>
  <c r="L96" i="40"/>
  <c r="L98" i="40" s="1"/>
  <c r="K96" i="40"/>
  <c r="K98" i="40" s="1"/>
  <c r="J96" i="40"/>
  <c r="I96" i="40"/>
  <c r="H96" i="40"/>
  <c r="G96" i="40"/>
  <c r="F96" i="40"/>
  <c r="F98" i="40" s="1"/>
  <c r="Q95" i="40"/>
  <c r="P95" i="40"/>
  <c r="O95" i="40"/>
  <c r="I95" i="40"/>
  <c r="G95" i="40"/>
  <c r="R94" i="40"/>
  <c r="Q94" i="40"/>
  <c r="P94" i="40"/>
  <c r="O94" i="40"/>
  <c r="N94" i="40"/>
  <c r="N95" i="40" s="1"/>
  <c r="M94" i="40"/>
  <c r="L94" i="40"/>
  <c r="K94" i="40"/>
  <c r="J94" i="40"/>
  <c r="I94" i="40"/>
  <c r="H94" i="40"/>
  <c r="H95" i="40" s="1"/>
  <c r="G94" i="40"/>
  <c r="F94" i="40"/>
  <c r="F95" i="40" s="1"/>
  <c r="R93" i="40"/>
  <c r="R95" i="40" s="1"/>
  <c r="Q93" i="40"/>
  <c r="P93" i="40"/>
  <c r="O93" i="40"/>
  <c r="N93" i="40"/>
  <c r="M93" i="40"/>
  <c r="M95" i="40" s="1"/>
  <c r="L93" i="40"/>
  <c r="L95" i="40" s="1"/>
  <c r="K93" i="40"/>
  <c r="K95" i="40" s="1"/>
  <c r="J93" i="40"/>
  <c r="J95" i="40" s="1"/>
  <c r="I93" i="40"/>
  <c r="H93" i="40"/>
  <c r="G93" i="40"/>
  <c r="F93" i="40"/>
  <c r="P92" i="40"/>
  <c r="N92" i="40"/>
  <c r="H92" i="40"/>
  <c r="F92" i="40"/>
  <c r="R91" i="40"/>
  <c r="Q91" i="40"/>
  <c r="P91" i="40"/>
  <c r="O91" i="40"/>
  <c r="O92" i="40" s="1"/>
  <c r="N91" i="40"/>
  <c r="M91" i="40"/>
  <c r="M92" i="40" s="1"/>
  <c r="L91" i="40"/>
  <c r="K91" i="40"/>
  <c r="J91" i="40"/>
  <c r="I91" i="40"/>
  <c r="H91" i="40"/>
  <c r="G91" i="40"/>
  <c r="G92" i="40" s="1"/>
  <c r="F91" i="40"/>
  <c r="R90" i="40"/>
  <c r="R92" i="40" s="1"/>
  <c r="Q90" i="40"/>
  <c r="Q92" i="40" s="1"/>
  <c r="P90" i="40"/>
  <c r="O90" i="40"/>
  <c r="N90" i="40"/>
  <c r="M90" i="40"/>
  <c r="L90" i="40"/>
  <c r="L92" i="40" s="1"/>
  <c r="K90" i="40"/>
  <c r="K92" i="40" s="1"/>
  <c r="J90" i="40"/>
  <c r="J92" i="40" s="1"/>
  <c r="I90" i="40"/>
  <c r="I92" i="40" s="1"/>
  <c r="H90" i="40"/>
  <c r="G90" i="40"/>
  <c r="F90" i="40"/>
  <c r="P89" i="40"/>
  <c r="O89" i="40"/>
  <c r="M89" i="40"/>
  <c r="G89" i="40"/>
  <c r="R88" i="40"/>
  <c r="Q88" i="40"/>
  <c r="P88" i="40"/>
  <c r="O88" i="40"/>
  <c r="N88" i="40"/>
  <c r="N89" i="40" s="1"/>
  <c r="M88" i="40"/>
  <c r="L88" i="40"/>
  <c r="L89" i="40" s="1"/>
  <c r="K88" i="40"/>
  <c r="J88" i="40"/>
  <c r="I88" i="40"/>
  <c r="H88" i="40"/>
  <c r="G88" i="40"/>
  <c r="F88" i="40"/>
  <c r="F89" i="40" s="1"/>
  <c r="R87" i="40"/>
  <c r="R89" i="40" s="1"/>
  <c r="Q87" i="40"/>
  <c r="Q89" i="40" s="1"/>
  <c r="P87" i="40"/>
  <c r="O87" i="40"/>
  <c r="N87" i="40"/>
  <c r="M87" i="40"/>
  <c r="L87" i="40"/>
  <c r="K87" i="40"/>
  <c r="K89" i="40" s="1"/>
  <c r="J87" i="40"/>
  <c r="J89" i="40" s="1"/>
  <c r="I87" i="40"/>
  <c r="I89" i="40" s="1"/>
  <c r="H87" i="40"/>
  <c r="H89" i="40" s="1"/>
  <c r="G87" i="40"/>
  <c r="F87" i="40"/>
  <c r="P86" i="40"/>
  <c r="N86" i="40"/>
  <c r="F86" i="40"/>
  <c r="R85" i="40"/>
  <c r="Q85" i="40"/>
  <c r="P85" i="40"/>
  <c r="O85" i="40"/>
  <c r="N85" i="40"/>
  <c r="M85" i="40"/>
  <c r="M86" i="40" s="1"/>
  <c r="L85" i="40"/>
  <c r="K85" i="40"/>
  <c r="K86" i="40" s="1"/>
  <c r="J85" i="40"/>
  <c r="I85" i="40"/>
  <c r="H85" i="40"/>
  <c r="G85" i="40"/>
  <c r="F85" i="40"/>
  <c r="R84" i="40"/>
  <c r="R86" i="40" s="1"/>
  <c r="Q84" i="40"/>
  <c r="Q86" i="40" s="1"/>
  <c r="P84" i="40"/>
  <c r="O84" i="40"/>
  <c r="O86" i="40" s="1"/>
  <c r="N84" i="40"/>
  <c r="M84" i="40"/>
  <c r="L84" i="40"/>
  <c r="L86" i="40" s="1"/>
  <c r="K84" i="40"/>
  <c r="J84" i="40"/>
  <c r="J86" i="40" s="1"/>
  <c r="I84" i="40"/>
  <c r="I86" i="40" s="1"/>
  <c r="H84" i="40"/>
  <c r="H86" i="40" s="1"/>
  <c r="G84" i="40"/>
  <c r="G86" i="40" s="1"/>
  <c r="F84" i="40"/>
  <c r="P83" i="40"/>
  <c r="M83" i="40"/>
  <c r="R82" i="40"/>
  <c r="R83" i="40" s="1"/>
  <c r="Q82" i="40"/>
  <c r="P82" i="40"/>
  <c r="O82" i="40"/>
  <c r="N82" i="40"/>
  <c r="M82" i="40"/>
  <c r="L82" i="40"/>
  <c r="L83" i="40" s="1"/>
  <c r="K82" i="40"/>
  <c r="J82" i="40"/>
  <c r="J83" i="40" s="1"/>
  <c r="I82" i="40"/>
  <c r="H82" i="40"/>
  <c r="G82" i="40"/>
  <c r="F82" i="40"/>
  <c r="R81" i="40"/>
  <c r="Q81" i="40"/>
  <c r="Q83" i="40" s="1"/>
  <c r="P81" i="40"/>
  <c r="O81" i="40"/>
  <c r="O83" i="40" s="1"/>
  <c r="N81" i="40"/>
  <c r="N83" i="40" s="1"/>
  <c r="M81" i="40"/>
  <c r="L81" i="40"/>
  <c r="K81" i="40"/>
  <c r="K83" i="40" s="1"/>
  <c r="J81" i="40"/>
  <c r="I81" i="40"/>
  <c r="I83" i="40" s="1"/>
  <c r="H81" i="40"/>
  <c r="H83" i="40" s="1"/>
  <c r="G81" i="40"/>
  <c r="G83" i="40" s="1"/>
  <c r="F81" i="40"/>
  <c r="F83" i="40" s="1"/>
  <c r="P80" i="40"/>
  <c r="L80" i="40"/>
  <c r="R79" i="40"/>
  <c r="Q79" i="40"/>
  <c r="Q80" i="40" s="1"/>
  <c r="P79" i="40"/>
  <c r="O79" i="40"/>
  <c r="N79" i="40"/>
  <c r="M79" i="40"/>
  <c r="L79" i="40"/>
  <c r="K79" i="40"/>
  <c r="K80" i="40" s="1"/>
  <c r="J79" i="40"/>
  <c r="I79" i="40"/>
  <c r="I80" i="40" s="1"/>
  <c r="H79" i="40"/>
  <c r="G79" i="40"/>
  <c r="F79" i="40"/>
  <c r="R78" i="40"/>
  <c r="R80" i="40" s="1"/>
  <c r="Q78" i="40"/>
  <c r="P78" i="40"/>
  <c r="O78" i="40"/>
  <c r="O80" i="40" s="1"/>
  <c r="N78" i="40"/>
  <c r="N80" i="40" s="1"/>
  <c r="M78" i="40"/>
  <c r="M80" i="40" s="1"/>
  <c r="L78" i="40"/>
  <c r="K78" i="40"/>
  <c r="J78" i="40"/>
  <c r="J80" i="40" s="1"/>
  <c r="I78" i="40"/>
  <c r="H78" i="40"/>
  <c r="H80" i="40" s="1"/>
  <c r="G78" i="40"/>
  <c r="G80" i="40" s="1"/>
  <c r="F78" i="40"/>
  <c r="F80" i="40" s="1"/>
  <c r="P77" i="40"/>
  <c r="K77" i="40"/>
  <c r="R76" i="40"/>
  <c r="R77" i="40" s="1"/>
  <c r="Q76" i="40"/>
  <c r="P76" i="40"/>
  <c r="O76" i="40"/>
  <c r="N76" i="40"/>
  <c r="M76" i="40"/>
  <c r="L76" i="40"/>
  <c r="K76" i="40"/>
  <c r="J76" i="40"/>
  <c r="J77" i="40" s="1"/>
  <c r="I76" i="40"/>
  <c r="H76" i="40"/>
  <c r="H77" i="40" s="1"/>
  <c r="G76" i="40"/>
  <c r="F76" i="40"/>
  <c r="R75" i="40"/>
  <c r="Q75" i="40"/>
  <c r="Q77" i="40" s="1"/>
  <c r="P75" i="40"/>
  <c r="O75" i="40"/>
  <c r="O77" i="40" s="1"/>
  <c r="N75" i="40"/>
  <c r="N77" i="40" s="1"/>
  <c r="M75" i="40"/>
  <c r="M77" i="40" s="1"/>
  <c r="L75" i="40"/>
  <c r="L77" i="40" s="1"/>
  <c r="K75" i="40"/>
  <c r="J75" i="40"/>
  <c r="I75" i="40"/>
  <c r="I77" i="40" s="1"/>
  <c r="H75" i="40"/>
  <c r="G75" i="40"/>
  <c r="G77" i="40" s="1"/>
  <c r="F75" i="40"/>
  <c r="F77" i="40" s="1"/>
  <c r="R74" i="40"/>
  <c r="P74" i="40"/>
  <c r="J74" i="40"/>
  <c r="R73" i="40"/>
  <c r="Q73" i="40"/>
  <c r="Q74" i="40" s="1"/>
  <c r="P73" i="40"/>
  <c r="O73" i="40"/>
  <c r="O74" i="40" s="1"/>
  <c r="N73" i="40"/>
  <c r="M73" i="40"/>
  <c r="L73" i="40"/>
  <c r="K73" i="40"/>
  <c r="J73" i="40"/>
  <c r="I73" i="40"/>
  <c r="I74" i="40" s="1"/>
  <c r="H73" i="40"/>
  <c r="G73" i="40"/>
  <c r="G74" i="40" s="1"/>
  <c r="F73" i="40"/>
  <c r="R72" i="40"/>
  <c r="Q72" i="40"/>
  <c r="P72" i="40"/>
  <c r="O72" i="40"/>
  <c r="N72" i="40"/>
  <c r="N74" i="40" s="1"/>
  <c r="M72" i="40"/>
  <c r="M74" i="40" s="1"/>
  <c r="L72" i="40"/>
  <c r="L74" i="40" s="1"/>
  <c r="K72" i="40"/>
  <c r="K74" i="40" s="1"/>
  <c r="J72" i="40"/>
  <c r="I72" i="40"/>
  <c r="H72" i="40"/>
  <c r="H74" i="40" s="1"/>
  <c r="G72" i="40"/>
  <c r="F72" i="40"/>
  <c r="F74" i="40" s="1"/>
  <c r="Q71" i="40"/>
  <c r="P71" i="40"/>
  <c r="I71" i="40"/>
  <c r="R70" i="40"/>
  <c r="Q70" i="40"/>
  <c r="P70" i="40"/>
  <c r="O70" i="40"/>
  <c r="N70" i="40"/>
  <c r="N71" i="40" s="1"/>
  <c r="M70" i="40"/>
  <c r="L70" i="40"/>
  <c r="K70" i="40"/>
  <c r="J70" i="40"/>
  <c r="I70" i="40"/>
  <c r="H70" i="40"/>
  <c r="H71" i="40" s="1"/>
  <c r="G70" i="40"/>
  <c r="F70" i="40"/>
  <c r="F71" i="40" s="1"/>
  <c r="R69" i="40"/>
  <c r="R71" i="40" s="1"/>
  <c r="Q69" i="40"/>
  <c r="P69" i="40"/>
  <c r="O69" i="40"/>
  <c r="O71" i="40" s="1"/>
  <c r="N69" i="40"/>
  <c r="M69" i="40"/>
  <c r="M71" i="40" s="1"/>
  <c r="L69" i="40"/>
  <c r="L71" i="40" s="1"/>
  <c r="K69" i="40"/>
  <c r="K71" i="40" s="1"/>
  <c r="J69" i="40"/>
  <c r="J71" i="40" s="1"/>
  <c r="I69" i="40"/>
  <c r="H69" i="40"/>
  <c r="G69" i="40"/>
  <c r="G71" i="40" s="1"/>
  <c r="F69" i="40"/>
  <c r="P68" i="40"/>
  <c r="H68" i="40"/>
  <c r="G68" i="40"/>
  <c r="R67" i="40"/>
  <c r="Q67" i="40"/>
  <c r="P67" i="40"/>
  <c r="O67" i="40"/>
  <c r="O68" i="40" s="1"/>
  <c r="N67" i="40"/>
  <c r="M67" i="40"/>
  <c r="M68" i="40" s="1"/>
  <c r="L67" i="40"/>
  <c r="K67" i="40"/>
  <c r="J67" i="40"/>
  <c r="I67" i="40"/>
  <c r="H67" i="40"/>
  <c r="G67" i="40"/>
  <c r="F67" i="40"/>
  <c r="R66" i="40"/>
  <c r="R68" i="40" s="1"/>
  <c r="Q66" i="40"/>
  <c r="Q68" i="40" s="1"/>
  <c r="P66" i="40"/>
  <c r="O66" i="40"/>
  <c r="N66" i="40"/>
  <c r="N68" i="40" s="1"/>
  <c r="M66" i="40"/>
  <c r="L66" i="40"/>
  <c r="L68" i="40" s="1"/>
  <c r="K66" i="40"/>
  <c r="K68" i="40" s="1"/>
  <c r="J66" i="40"/>
  <c r="J68" i="40" s="1"/>
  <c r="I66" i="40"/>
  <c r="I68" i="40" s="1"/>
  <c r="H66" i="40"/>
  <c r="G66" i="40"/>
  <c r="F66" i="40"/>
  <c r="F68" i="40" s="1"/>
  <c r="P65" i="40"/>
  <c r="O65" i="40"/>
  <c r="N65" i="40"/>
  <c r="G65" i="40"/>
  <c r="F65" i="40"/>
  <c r="R64" i="40"/>
  <c r="Q64" i="40"/>
  <c r="P64" i="40"/>
  <c r="O64" i="40"/>
  <c r="N64" i="40"/>
  <c r="M64" i="40"/>
  <c r="L64" i="40"/>
  <c r="L65" i="40" s="1"/>
  <c r="K64" i="40"/>
  <c r="K65" i="40" s="1"/>
  <c r="J64" i="40"/>
  <c r="I64" i="40"/>
  <c r="H64" i="40"/>
  <c r="G64" i="40"/>
  <c r="F64" i="40"/>
  <c r="R63" i="40"/>
  <c r="R65" i="40" s="1"/>
  <c r="Q63" i="40"/>
  <c r="Q65" i="40" s="1"/>
  <c r="P63" i="40"/>
  <c r="O63" i="40"/>
  <c r="N63" i="40"/>
  <c r="M63" i="40"/>
  <c r="M65" i="40" s="1"/>
  <c r="L63" i="40"/>
  <c r="K63" i="40"/>
  <c r="J63" i="40"/>
  <c r="J65" i="40" s="1"/>
  <c r="I63" i="40"/>
  <c r="I65" i="40" s="1"/>
  <c r="H63" i="40"/>
  <c r="H65" i="40" s="1"/>
  <c r="G63" i="40"/>
  <c r="F63" i="40"/>
  <c r="P62" i="40"/>
  <c r="N62" i="40"/>
  <c r="M62" i="40"/>
  <c r="F62" i="40"/>
  <c r="R61" i="40"/>
  <c r="R62" i="40" s="1"/>
  <c r="Q61" i="40"/>
  <c r="P61" i="40"/>
  <c r="O61" i="40"/>
  <c r="N61" i="40"/>
  <c r="M61" i="40"/>
  <c r="L61" i="40"/>
  <c r="K61" i="40"/>
  <c r="K62" i="40" s="1"/>
  <c r="J61" i="40"/>
  <c r="J62" i="40" s="1"/>
  <c r="I61" i="40"/>
  <c r="H61" i="40"/>
  <c r="G61" i="40"/>
  <c r="F61" i="40"/>
  <c r="R60" i="40"/>
  <c r="Q60" i="40"/>
  <c r="Q62" i="40" s="1"/>
  <c r="P60" i="40"/>
  <c r="O60" i="40"/>
  <c r="O62" i="40" s="1"/>
  <c r="N60" i="40"/>
  <c r="M60" i="40"/>
  <c r="L60" i="40"/>
  <c r="L62" i="40" s="1"/>
  <c r="K60" i="40"/>
  <c r="J60" i="40"/>
  <c r="I60" i="40"/>
  <c r="I62" i="40" s="1"/>
  <c r="H60" i="40"/>
  <c r="H62" i="40" s="1"/>
  <c r="G60" i="40"/>
  <c r="G62" i="40" s="1"/>
  <c r="F60" i="40"/>
  <c r="P59" i="40"/>
  <c r="M59" i="40"/>
  <c r="L59" i="40"/>
  <c r="R58" i="40"/>
  <c r="R59" i="40" s="1"/>
  <c r="Q58" i="40"/>
  <c r="Q59" i="40" s="1"/>
  <c r="P58" i="40"/>
  <c r="O58" i="40"/>
  <c r="N58" i="40"/>
  <c r="M58" i="40"/>
  <c r="L58" i="40"/>
  <c r="K58" i="40"/>
  <c r="J58" i="40"/>
  <c r="J59" i="40" s="1"/>
  <c r="I58" i="40"/>
  <c r="I59" i="40" s="1"/>
  <c r="H58" i="40"/>
  <c r="G58" i="40"/>
  <c r="F58" i="40"/>
  <c r="R57" i="40"/>
  <c r="Q57" i="40"/>
  <c r="P57" i="40"/>
  <c r="O57" i="40"/>
  <c r="O59" i="40" s="1"/>
  <c r="N57" i="40"/>
  <c r="N59" i="40" s="1"/>
  <c r="M57" i="40"/>
  <c r="L57" i="40"/>
  <c r="K57" i="40"/>
  <c r="K59" i="40" s="1"/>
  <c r="J57" i="40"/>
  <c r="I57" i="40"/>
  <c r="H57" i="40"/>
  <c r="H59" i="40" s="1"/>
  <c r="G57" i="40"/>
  <c r="G59" i="40" s="1"/>
  <c r="F57" i="40"/>
  <c r="F59" i="40" s="1"/>
  <c r="P56" i="40"/>
  <c r="L56" i="40"/>
  <c r="K56" i="40"/>
  <c r="R55" i="40"/>
  <c r="Q55" i="40"/>
  <c r="Q56" i="40" s="1"/>
  <c r="P55" i="40"/>
  <c r="O55" i="40"/>
  <c r="N55" i="40"/>
  <c r="M55" i="40"/>
  <c r="L55" i="40"/>
  <c r="K55" i="40"/>
  <c r="J55" i="40"/>
  <c r="I55" i="40"/>
  <c r="I56" i="40" s="1"/>
  <c r="H55" i="40"/>
  <c r="H56" i="40" s="1"/>
  <c r="G55" i="40"/>
  <c r="F55" i="40"/>
  <c r="R54" i="40"/>
  <c r="R56" i="40" s="1"/>
  <c r="Q54" i="40"/>
  <c r="P54" i="40"/>
  <c r="O54" i="40"/>
  <c r="O56" i="40" s="1"/>
  <c r="N54" i="40"/>
  <c r="N56" i="40" s="1"/>
  <c r="M54" i="40"/>
  <c r="M56" i="40" s="1"/>
  <c r="L54" i="40"/>
  <c r="K54" i="40"/>
  <c r="J54" i="40"/>
  <c r="J56" i="40" s="1"/>
  <c r="I54" i="40"/>
  <c r="H54" i="40"/>
  <c r="G54" i="40"/>
  <c r="G56" i="40" s="1"/>
  <c r="F54" i="40"/>
  <c r="F56" i="40" s="1"/>
  <c r="R53" i="40"/>
  <c r="P53" i="40"/>
  <c r="K53" i="40"/>
  <c r="J53" i="40"/>
  <c r="R52" i="40"/>
  <c r="Q52" i="40"/>
  <c r="P52" i="40"/>
  <c r="O52" i="40"/>
  <c r="O53" i="40" s="1"/>
  <c r="N52" i="40"/>
  <c r="M52" i="40"/>
  <c r="L52" i="40"/>
  <c r="K52" i="40"/>
  <c r="J52" i="40"/>
  <c r="I52" i="40"/>
  <c r="H52" i="40"/>
  <c r="H53" i="40" s="1"/>
  <c r="G52" i="40"/>
  <c r="G53" i="40" s="1"/>
  <c r="F52" i="40"/>
  <c r="R51" i="40"/>
  <c r="Q51" i="40"/>
  <c r="Q53" i="40" s="1"/>
  <c r="P51" i="40"/>
  <c r="O51" i="40"/>
  <c r="N51" i="40"/>
  <c r="N53" i="40" s="1"/>
  <c r="M51" i="40"/>
  <c r="M53" i="40" s="1"/>
  <c r="L51" i="40"/>
  <c r="L53" i="40" s="1"/>
  <c r="K51" i="40"/>
  <c r="J51" i="40"/>
  <c r="I51" i="40"/>
  <c r="I53" i="40" s="1"/>
  <c r="H51" i="40"/>
  <c r="G51" i="40"/>
  <c r="F51" i="40"/>
  <c r="F53" i="40" s="1"/>
  <c r="R50" i="40"/>
  <c r="Q50" i="40"/>
  <c r="P50" i="40"/>
  <c r="J50" i="40"/>
  <c r="I50" i="40"/>
  <c r="R49" i="40"/>
  <c r="Q49" i="40"/>
  <c r="P49" i="40"/>
  <c r="O49" i="40"/>
  <c r="O50" i="40" s="1"/>
  <c r="N49" i="40"/>
  <c r="N50" i="40" s="1"/>
  <c r="M49" i="40"/>
  <c r="L49" i="40"/>
  <c r="K49" i="40"/>
  <c r="J49" i="40"/>
  <c r="I49" i="40"/>
  <c r="H49" i="40"/>
  <c r="G49" i="40"/>
  <c r="G50" i="40" s="1"/>
  <c r="F49" i="40"/>
  <c r="F50" i="40" s="1"/>
  <c r="R48" i="40"/>
  <c r="Q48" i="40"/>
  <c r="P48" i="40"/>
  <c r="O48" i="40"/>
  <c r="N48" i="40"/>
  <c r="M48" i="40"/>
  <c r="M50" i="40" s="1"/>
  <c r="L48" i="40"/>
  <c r="L50" i="40" s="1"/>
  <c r="K48" i="40"/>
  <c r="K50" i="40" s="1"/>
  <c r="J48" i="40"/>
  <c r="I48" i="40"/>
  <c r="H48" i="40"/>
  <c r="H50" i="40" s="1"/>
  <c r="G48" i="40"/>
  <c r="F48" i="40"/>
  <c r="Q47" i="40"/>
  <c r="P47" i="40"/>
  <c r="I47" i="40"/>
  <c r="H47" i="40"/>
  <c r="R46" i="40"/>
  <c r="Q46" i="40"/>
  <c r="P46" i="40"/>
  <c r="O46" i="40"/>
  <c r="N46" i="40"/>
  <c r="N47" i="40" s="1"/>
  <c r="M46" i="40"/>
  <c r="M47" i="40" s="1"/>
  <c r="L46" i="40"/>
  <c r="K46" i="40"/>
  <c r="J46" i="40"/>
  <c r="I46" i="40"/>
  <c r="H46" i="40"/>
  <c r="G46" i="40"/>
  <c r="F46" i="40"/>
  <c r="F47" i="40" s="1"/>
  <c r="R45" i="40"/>
  <c r="R47" i="40" s="1"/>
  <c r="Q45" i="40"/>
  <c r="P45" i="40"/>
  <c r="O45" i="40"/>
  <c r="O47" i="40" s="1"/>
  <c r="N45" i="40"/>
  <c r="M45" i="40"/>
  <c r="L45" i="40"/>
  <c r="L47" i="40" s="1"/>
  <c r="K45" i="40"/>
  <c r="K47" i="40" s="1"/>
  <c r="J45" i="40"/>
  <c r="J47" i="40" s="1"/>
  <c r="I45" i="40"/>
  <c r="H45" i="40"/>
  <c r="G45" i="40"/>
  <c r="G47" i="40" s="1"/>
  <c r="F45" i="40"/>
  <c r="P44" i="40"/>
  <c r="O44" i="40"/>
  <c r="H44" i="40"/>
  <c r="G44" i="40"/>
  <c r="R43" i="40"/>
  <c r="Q43" i="40"/>
  <c r="P43" i="40"/>
  <c r="O43" i="40"/>
  <c r="N43" i="40"/>
  <c r="M43" i="40"/>
  <c r="M44" i="40" s="1"/>
  <c r="L43" i="40"/>
  <c r="L44" i="40" s="1"/>
  <c r="K43" i="40"/>
  <c r="J43" i="40"/>
  <c r="I43" i="40"/>
  <c r="H43" i="40"/>
  <c r="G43" i="40"/>
  <c r="F43" i="40"/>
  <c r="R42" i="40"/>
  <c r="R44" i="40" s="1"/>
  <c r="Q42" i="40"/>
  <c r="Q44" i="40" s="1"/>
  <c r="P42" i="40"/>
  <c r="O42" i="40"/>
  <c r="N42" i="40"/>
  <c r="N44" i="40" s="1"/>
  <c r="M42" i="40"/>
  <c r="L42" i="40"/>
  <c r="K42" i="40"/>
  <c r="K44" i="40" s="1"/>
  <c r="J42" i="40"/>
  <c r="J44" i="40" s="1"/>
  <c r="I42" i="40"/>
  <c r="I44" i="40" s="1"/>
  <c r="H42" i="40"/>
  <c r="G42" i="40"/>
  <c r="F42" i="40"/>
  <c r="F44" i="40" s="1"/>
  <c r="P41" i="40"/>
  <c r="O41" i="40"/>
  <c r="N41" i="40"/>
  <c r="G41" i="40"/>
  <c r="F41" i="40"/>
  <c r="R40" i="40"/>
  <c r="Q40" i="40"/>
  <c r="P40" i="40"/>
  <c r="O40" i="40"/>
  <c r="N40" i="40"/>
  <c r="M40" i="40"/>
  <c r="L40" i="40"/>
  <c r="L41" i="40" s="1"/>
  <c r="K40" i="40"/>
  <c r="K41" i="40" s="1"/>
  <c r="J40" i="40"/>
  <c r="I40" i="40"/>
  <c r="H40" i="40"/>
  <c r="G40" i="40"/>
  <c r="F40" i="40"/>
  <c r="R39" i="40"/>
  <c r="R41" i="40" s="1"/>
  <c r="Q39" i="40"/>
  <c r="Q41" i="40" s="1"/>
  <c r="P39" i="40"/>
  <c r="O39" i="40"/>
  <c r="N39" i="40"/>
  <c r="M39" i="40"/>
  <c r="M41" i="40" s="1"/>
  <c r="L39" i="40"/>
  <c r="K39" i="40"/>
  <c r="J39" i="40"/>
  <c r="J41" i="40" s="1"/>
  <c r="I39" i="40"/>
  <c r="I41" i="40" s="1"/>
  <c r="H39" i="40"/>
  <c r="H41" i="40" s="1"/>
  <c r="G39" i="40"/>
  <c r="F39" i="40"/>
  <c r="P38" i="40"/>
  <c r="N38" i="40"/>
  <c r="M38" i="40"/>
  <c r="F38" i="40"/>
  <c r="R37" i="40"/>
  <c r="R38" i="40" s="1"/>
  <c r="Q37" i="40"/>
  <c r="P37" i="40"/>
  <c r="O37" i="40"/>
  <c r="N37" i="40"/>
  <c r="M37" i="40"/>
  <c r="L37" i="40"/>
  <c r="K37" i="40"/>
  <c r="K38" i="40" s="1"/>
  <c r="J37" i="40"/>
  <c r="J38" i="40" s="1"/>
  <c r="I37" i="40"/>
  <c r="H37" i="40"/>
  <c r="G37" i="40"/>
  <c r="F37" i="40"/>
  <c r="R36" i="40"/>
  <c r="Q36" i="40"/>
  <c r="Q38" i="40" s="1"/>
  <c r="P36" i="40"/>
  <c r="O36" i="40"/>
  <c r="O38" i="40" s="1"/>
  <c r="N36" i="40"/>
  <c r="M36" i="40"/>
  <c r="L36" i="40"/>
  <c r="L38" i="40" s="1"/>
  <c r="K36" i="40"/>
  <c r="J36" i="40"/>
  <c r="I36" i="40"/>
  <c r="I38" i="40" s="1"/>
  <c r="H36" i="40"/>
  <c r="H38" i="40" s="1"/>
  <c r="G36" i="40"/>
  <c r="G38" i="40" s="1"/>
  <c r="F36" i="40"/>
  <c r="P35" i="40"/>
  <c r="M35" i="40"/>
  <c r="L35" i="40"/>
  <c r="R34" i="40"/>
  <c r="R35" i="40" s="1"/>
  <c r="Q34" i="40"/>
  <c r="Q35" i="40" s="1"/>
  <c r="P34" i="40"/>
  <c r="O34" i="40"/>
  <c r="N34" i="40"/>
  <c r="M34" i="40"/>
  <c r="L34" i="40"/>
  <c r="K34" i="40"/>
  <c r="J34" i="40"/>
  <c r="J35" i="40" s="1"/>
  <c r="I34" i="40"/>
  <c r="I35" i="40" s="1"/>
  <c r="H34" i="40"/>
  <c r="G34" i="40"/>
  <c r="F34" i="40"/>
  <c r="R33" i="40"/>
  <c r="Q33" i="40"/>
  <c r="P33" i="40"/>
  <c r="O33" i="40"/>
  <c r="O35" i="40" s="1"/>
  <c r="N33" i="40"/>
  <c r="N35" i="40" s="1"/>
  <c r="M33" i="40"/>
  <c r="L33" i="40"/>
  <c r="K33" i="40"/>
  <c r="K35" i="40" s="1"/>
  <c r="J33" i="40"/>
  <c r="I33" i="40"/>
  <c r="H33" i="40"/>
  <c r="H35" i="40" s="1"/>
  <c r="G33" i="40"/>
  <c r="G35" i="40" s="1"/>
  <c r="F33" i="40"/>
  <c r="F35" i="40" s="1"/>
  <c r="P32" i="40"/>
  <c r="L32" i="40"/>
  <c r="K32" i="40"/>
  <c r="R31" i="40"/>
  <c r="Q31" i="40"/>
  <c r="Q32" i="40" s="1"/>
  <c r="P31" i="40"/>
  <c r="O31" i="40"/>
  <c r="N31" i="40"/>
  <c r="M31" i="40"/>
  <c r="L31" i="40"/>
  <c r="K31" i="40"/>
  <c r="J31" i="40"/>
  <c r="I31" i="40"/>
  <c r="I32" i="40" s="1"/>
  <c r="H31" i="40"/>
  <c r="H32" i="40" s="1"/>
  <c r="G31" i="40"/>
  <c r="F31" i="40"/>
  <c r="R30" i="40"/>
  <c r="R32" i="40" s="1"/>
  <c r="Q30" i="40"/>
  <c r="P30" i="40"/>
  <c r="O30" i="40"/>
  <c r="O32" i="40" s="1"/>
  <c r="N30" i="40"/>
  <c r="N32" i="40" s="1"/>
  <c r="M30" i="40"/>
  <c r="M32" i="40" s="1"/>
  <c r="L30" i="40"/>
  <c r="K30" i="40"/>
  <c r="J30" i="40"/>
  <c r="J32" i="40" s="1"/>
  <c r="I30" i="40"/>
  <c r="H30" i="40"/>
  <c r="G30" i="40"/>
  <c r="G32" i="40" s="1"/>
  <c r="F30" i="40"/>
  <c r="F32" i="40" s="1"/>
  <c r="R29" i="40"/>
  <c r="Q29" i="40"/>
  <c r="P29" i="40"/>
  <c r="J29" i="40"/>
  <c r="R28" i="40"/>
  <c r="Q28" i="40"/>
  <c r="P28" i="40"/>
  <c r="O28" i="40"/>
  <c r="O29" i="40" s="1"/>
  <c r="N28" i="40"/>
  <c r="M28" i="40"/>
  <c r="L28" i="40"/>
  <c r="K28" i="40"/>
  <c r="J28" i="40"/>
  <c r="I28" i="40"/>
  <c r="H28" i="40"/>
  <c r="H29" i="40" s="1"/>
  <c r="G28" i="40"/>
  <c r="G29" i="40" s="1"/>
  <c r="F28" i="40"/>
  <c r="R27" i="40"/>
  <c r="Q27" i="40"/>
  <c r="P27" i="40"/>
  <c r="O27" i="40"/>
  <c r="N27" i="40"/>
  <c r="N29" i="40" s="1"/>
  <c r="M27" i="40"/>
  <c r="M29" i="40" s="1"/>
  <c r="L27" i="40"/>
  <c r="L29" i="40" s="1"/>
  <c r="K27" i="40"/>
  <c r="K29" i="40" s="1"/>
  <c r="J27" i="40"/>
  <c r="I27" i="40"/>
  <c r="I29" i="40" s="1"/>
  <c r="H27" i="40"/>
  <c r="G27" i="40"/>
  <c r="F27" i="40"/>
  <c r="F29" i="40" s="1"/>
  <c r="Q26" i="40"/>
  <c r="P26" i="40"/>
  <c r="N26" i="40"/>
  <c r="F26" i="40"/>
  <c r="R25" i="40"/>
  <c r="Q25" i="40"/>
  <c r="P25" i="40"/>
  <c r="O25" i="40"/>
  <c r="O26" i="40" s="1"/>
  <c r="N25" i="40"/>
  <c r="M25" i="40"/>
  <c r="L25" i="40"/>
  <c r="K25" i="40"/>
  <c r="J25" i="40"/>
  <c r="I25" i="40"/>
  <c r="I26" i="40" s="1"/>
  <c r="H25" i="40"/>
  <c r="G25" i="40"/>
  <c r="G26" i="40" s="1"/>
  <c r="F25" i="40"/>
  <c r="R24" i="40"/>
  <c r="R26" i="40" s="1"/>
  <c r="Q24" i="40"/>
  <c r="P24" i="40"/>
  <c r="O24" i="40"/>
  <c r="N24" i="40"/>
  <c r="M24" i="40"/>
  <c r="M26" i="40" s="1"/>
  <c r="L24" i="40"/>
  <c r="L26" i="40" s="1"/>
  <c r="K24" i="40"/>
  <c r="J24" i="40"/>
  <c r="J26" i="40" s="1"/>
  <c r="I24" i="40"/>
  <c r="H24" i="40"/>
  <c r="H26" i="40" s="1"/>
  <c r="G24" i="40"/>
  <c r="F24" i="40"/>
  <c r="Q23" i="40"/>
  <c r="P23" i="40"/>
  <c r="I23" i="40"/>
  <c r="R22" i="40"/>
  <c r="Q22" i="40"/>
  <c r="P22" i="40"/>
  <c r="O22" i="40"/>
  <c r="N22" i="40"/>
  <c r="N23" i="40" s="1"/>
  <c r="M22" i="40"/>
  <c r="M23" i="40" s="1"/>
  <c r="L22" i="40"/>
  <c r="K22" i="40"/>
  <c r="J22" i="40"/>
  <c r="I22" i="40"/>
  <c r="H22" i="40"/>
  <c r="H23" i="40" s="1"/>
  <c r="G22" i="40"/>
  <c r="F22" i="40"/>
  <c r="F23" i="40" s="1"/>
  <c r="R21" i="40"/>
  <c r="R23" i="40" s="1"/>
  <c r="Q21" i="40"/>
  <c r="P21" i="40"/>
  <c r="O21" i="40"/>
  <c r="O23" i="40" s="1"/>
  <c r="N21" i="40"/>
  <c r="M21" i="40"/>
  <c r="L21" i="40"/>
  <c r="L23" i="40" s="1"/>
  <c r="K21" i="40"/>
  <c r="K23" i="40" s="1"/>
  <c r="J21" i="40"/>
  <c r="J23" i="40" s="1"/>
  <c r="I21" i="40"/>
  <c r="H21" i="40"/>
  <c r="G21" i="40"/>
  <c r="G23" i="40" s="1"/>
  <c r="F21" i="40"/>
  <c r="P20" i="40"/>
  <c r="O20" i="40"/>
  <c r="N20" i="40"/>
  <c r="H20" i="40"/>
  <c r="G20" i="40"/>
  <c r="R19" i="40"/>
  <c r="Q19" i="40"/>
  <c r="P19" i="40"/>
  <c r="O19" i="40"/>
  <c r="N19" i="40"/>
  <c r="M19" i="40"/>
  <c r="M20" i="40" s="1"/>
  <c r="L19" i="40"/>
  <c r="K19" i="40"/>
  <c r="J19" i="40"/>
  <c r="I19" i="40"/>
  <c r="H19" i="40"/>
  <c r="G19" i="40"/>
  <c r="F19" i="40"/>
  <c r="R18" i="40"/>
  <c r="R20" i="40" s="1"/>
  <c r="Q18" i="40"/>
  <c r="P18" i="40"/>
  <c r="O18" i="40"/>
  <c r="N18" i="40"/>
  <c r="M18" i="40"/>
  <c r="L18" i="40"/>
  <c r="L20" i="40" s="1"/>
  <c r="K18" i="40"/>
  <c r="K20" i="40" s="1"/>
  <c r="J18" i="40"/>
  <c r="J20" i="40" s="1"/>
  <c r="I18" i="40"/>
  <c r="H18" i="40"/>
  <c r="G18" i="40"/>
  <c r="F18" i="40"/>
  <c r="F20" i="40" s="1"/>
  <c r="Q17" i="40"/>
  <c r="P17" i="40"/>
  <c r="O17" i="40"/>
  <c r="N17" i="40"/>
  <c r="G17" i="40"/>
  <c r="F17" i="40"/>
  <c r="R16" i="40"/>
  <c r="Q16" i="40"/>
  <c r="P16" i="40"/>
  <c r="O16" i="40"/>
  <c r="N16" i="40"/>
  <c r="M16" i="40"/>
  <c r="L16" i="40"/>
  <c r="L17" i="40" s="1"/>
  <c r="K16" i="40"/>
  <c r="J16" i="40"/>
  <c r="I16" i="40"/>
  <c r="H16" i="40"/>
  <c r="G16" i="40"/>
  <c r="F16" i="40"/>
  <c r="R15" i="40"/>
  <c r="R17" i="40" s="1"/>
  <c r="Q15" i="40"/>
  <c r="P15" i="40"/>
  <c r="O15" i="40"/>
  <c r="N15" i="40"/>
  <c r="M15" i="40"/>
  <c r="M17" i="40" s="1"/>
  <c r="L15" i="40"/>
  <c r="K15" i="40"/>
  <c r="K17" i="40" s="1"/>
  <c r="J15" i="40"/>
  <c r="J17" i="40" s="1"/>
  <c r="I15" i="40"/>
  <c r="I17" i="40" s="1"/>
  <c r="H15" i="40"/>
  <c r="H17" i="40" s="1"/>
  <c r="G15" i="40"/>
  <c r="F15" i="40"/>
  <c r="P14" i="40"/>
  <c r="L14" i="40"/>
  <c r="R13" i="40"/>
  <c r="Q13" i="40"/>
  <c r="P13" i="40"/>
  <c r="O13" i="40"/>
  <c r="N13" i="40"/>
  <c r="M13" i="40"/>
  <c r="M14" i="40" s="1"/>
  <c r="L13" i="40"/>
  <c r="K13" i="40"/>
  <c r="K14" i="40" s="1"/>
  <c r="J13" i="40"/>
  <c r="I13" i="40"/>
  <c r="H13" i="40"/>
  <c r="G13" i="40"/>
  <c r="F13" i="40"/>
  <c r="R12" i="40"/>
  <c r="R14" i="40" s="1"/>
  <c r="Q12" i="40"/>
  <c r="P12" i="40"/>
  <c r="O12" i="40"/>
  <c r="O14" i="40" s="1"/>
  <c r="N12" i="40"/>
  <c r="N14" i="40" s="1"/>
  <c r="M12" i="40"/>
  <c r="L12" i="40"/>
  <c r="K12" i="40"/>
  <c r="J12" i="40"/>
  <c r="J14" i="40" s="1"/>
  <c r="I12" i="40"/>
  <c r="H12" i="40"/>
  <c r="H14" i="40" s="1"/>
  <c r="G12" i="40"/>
  <c r="G14" i="40" s="1"/>
  <c r="F12" i="40"/>
  <c r="F14" i="40" s="1"/>
  <c r="P11" i="40"/>
  <c r="O11" i="40"/>
  <c r="M11" i="40"/>
  <c r="K11" i="40"/>
  <c r="I11" i="40"/>
  <c r="G11" i="40"/>
  <c r="R10" i="40"/>
  <c r="R11" i="40" s="1"/>
  <c r="Q10" i="40"/>
  <c r="P10" i="40"/>
  <c r="O10" i="40"/>
  <c r="N10" i="40"/>
  <c r="M10" i="40"/>
  <c r="L10" i="40"/>
  <c r="L11" i="40" s="1"/>
  <c r="K10" i="40"/>
  <c r="J10" i="40"/>
  <c r="J11" i="40" s="1"/>
  <c r="I10" i="40"/>
  <c r="H10" i="40"/>
  <c r="G10" i="40"/>
  <c r="F10" i="40"/>
  <c r="R9" i="40"/>
  <c r="Q9" i="40"/>
  <c r="Q11" i="40" s="1"/>
  <c r="P9" i="40"/>
  <c r="O9" i="40"/>
  <c r="N9" i="40"/>
  <c r="N11" i="40" s="1"/>
  <c r="M9" i="40"/>
  <c r="L9" i="40"/>
  <c r="K9" i="40"/>
  <c r="J9" i="40"/>
  <c r="I9" i="40"/>
  <c r="H9" i="40"/>
  <c r="G9" i="40"/>
  <c r="F9" i="40"/>
  <c r="F11" i="40" s="1"/>
  <c r="R8" i="40"/>
  <c r="P8" i="40"/>
  <c r="K8" i="40"/>
  <c r="R7" i="40"/>
  <c r="Q7" i="40"/>
  <c r="Q8" i="40" s="1"/>
  <c r="P7" i="40"/>
  <c r="O7" i="40"/>
  <c r="N7" i="40"/>
  <c r="M7" i="40"/>
  <c r="L7" i="40"/>
  <c r="K7" i="40"/>
  <c r="J7" i="40"/>
  <c r="I7" i="40"/>
  <c r="I8" i="40" s="1"/>
  <c r="H7" i="40"/>
  <c r="G7" i="40"/>
  <c r="F7" i="40"/>
  <c r="R6" i="40"/>
  <c r="Q6" i="40"/>
  <c r="P6" i="40"/>
  <c r="O6" i="40"/>
  <c r="O8" i="40" s="1"/>
  <c r="N6" i="40"/>
  <c r="N8" i="40" s="1"/>
  <c r="M6" i="40"/>
  <c r="L6" i="40"/>
  <c r="L8" i="40" s="1"/>
  <c r="K6" i="40"/>
  <c r="J6" i="40"/>
  <c r="J8" i="40" s="1"/>
  <c r="I6" i="40"/>
  <c r="H6" i="40"/>
  <c r="H8" i="40" s="1"/>
  <c r="G6" i="40"/>
  <c r="G8" i="40" s="1"/>
  <c r="F6" i="40"/>
  <c r="F8" i="40" s="1"/>
  <c r="K26" i="40" l="1"/>
  <c r="H11" i="40"/>
  <c r="I20" i="40"/>
  <c r="Q20" i="40"/>
  <c r="M8" i="40"/>
  <c r="I14" i="40"/>
  <c r="Q14" i="40"/>
  <c r="G155" i="38" l="1"/>
  <c r="H155" i="38"/>
  <c r="I155" i="38"/>
  <c r="J155" i="38"/>
  <c r="K155" i="38"/>
  <c r="L155" i="38"/>
  <c r="M155" i="38"/>
  <c r="N155" i="38"/>
  <c r="O155" i="38"/>
  <c r="P155" i="38"/>
  <c r="Q155" i="38"/>
  <c r="R155" i="38"/>
  <c r="S155" i="38"/>
  <c r="T155" i="38"/>
  <c r="F155" i="38"/>
  <c r="G152" i="38"/>
  <c r="H152" i="38"/>
  <c r="I152" i="38"/>
  <c r="J152" i="38"/>
  <c r="K152" i="38"/>
  <c r="L152" i="38"/>
  <c r="M152" i="38"/>
  <c r="N152" i="38"/>
  <c r="O152" i="38"/>
  <c r="P152" i="38"/>
  <c r="Q152" i="38"/>
  <c r="R152" i="38"/>
  <c r="S152" i="38"/>
  <c r="T152" i="38"/>
  <c r="F152" i="38"/>
  <c r="G149" i="38"/>
  <c r="H149" i="38"/>
  <c r="I149" i="38"/>
  <c r="J149" i="38"/>
  <c r="K149" i="38"/>
  <c r="L149" i="38"/>
  <c r="M149" i="38"/>
  <c r="N149" i="38"/>
  <c r="O149" i="38"/>
  <c r="P149" i="38"/>
  <c r="Q149" i="38"/>
  <c r="R149" i="38"/>
  <c r="S149" i="38"/>
  <c r="T149" i="38"/>
  <c r="F149" i="38"/>
  <c r="G146" i="38"/>
  <c r="H146" i="38"/>
  <c r="I146" i="38"/>
  <c r="J146" i="38"/>
  <c r="K146" i="38"/>
  <c r="L146" i="38"/>
  <c r="M146" i="38"/>
  <c r="N146" i="38"/>
  <c r="O146" i="38"/>
  <c r="P146" i="38"/>
  <c r="Q146" i="38"/>
  <c r="R146" i="38"/>
  <c r="S146" i="38"/>
  <c r="T146" i="38"/>
  <c r="F146" i="38"/>
  <c r="G143" i="38"/>
  <c r="H143" i="38"/>
  <c r="I143" i="38"/>
  <c r="J143" i="38"/>
  <c r="K143" i="38"/>
  <c r="L143" i="38"/>
  <c r="M143" i="38"/>
  <c r="N143" i="38"/>
  <c r="O143" i="38"/>
  <c r="P143" i="38"/>
  <c r="Q143" i="38"/>
  <c r="R143" i="38"/>
  <c r="S143" i="38"/>
  <c r="T143" i="38"/>
  <c r="F143" i="38"/>
  <c r="G140" i="38"/>
  <c r="H140" i="38"/>
  <c r="I140" i="38"/>
  <c r="J140" i="38"/>
  <c r="K140" i="38"/>
  <c r="L140" i="38"/>
  <c r="M140" i="38"/>
  <c r="N140" i="38"/>
  <c r="O140" i="38"/>
  <c r="P140" i="38"/>
  <c r="Q140" i="38"/>
  <c r="R140" i="38"/>
  <c r="S140" i="38"/>
  <c r="T140" i="38"/>
  <c r="F140" i="38"/>
  <c r="G137" i="38"/>
  <c r="H137" i="38"/>
  <c r="I137" i="38"/>
  <c r="J137" i="38"/>
  <c r="K137" i="38"/>
  <c r="L137" i="38"/>
  <c r="M137" i="38"/>
  <c r="N137" i="38"/>
  <c r="O137" i="38"/>
  <c r="P137" i="38"/>
  <c r="Q137" i="38"/>
  <c r="R137" i="38"/>
  <c r="S137" i="38"/>
  <c r="T137" i="38"/>
  <c r="F137" i="38"/>
  <c r="G134" i="38"/>
  <c r="H134" i="38"/>
  <c r="I134" i="38"/>
  <c r="J134" i="38"/>
  <c r="K134" i="38"/>
  <c r="L134" i="38"/>
  <c r="M134" i="38"/>
  <c r="N134" i="38"/>
  <c r="O134" i="38"/>
  <c r="P134" i="38"/>
  <c r="Q134" i="38"/>
  <c r="R134" i="38"/>
  <c r="S134" i="38"/>
  <c r="T134" i="38"/>
  <c r="F134" i="38"/>
  <c r="G131" i="38"/>
  <c r="H131" i="38"/>
  <c r="I131" i="38"/>
  <c r="J131" i="38"/>
  <c r="K131" i="38"/>
  <c r="L131" i="38"/>
  <c r="M131" i="38"/>
  <c r="N131" i="38"/>
  <c r="O131" i="38"/>
  <c r="P131" i="38"/>
  <c r="Q131" i="38"/>
  <c r="R131" i="38"/>
  <c r="S131" i="38"/>
  <c r="T131" i="38"/>
  <c r="F131" i="38"/>
  <c r="G128" i="38"/>
  <c r="H128" i="38"/>
  <c r="I128" i="38"/>
  <c r="J128" i="38"/>
  <c r="K128" i="38"/>
  <c r="L128" i="38"/>
  <c r="M128" i="38"/>
  <c r="N128" i="38"/>
  <c r="O128" i="38"/>
  <c r="P128" i="38"/>
  <c r="Q128" i="38"/>
  <c r="R128" i="38"/>
  <c r="S128" i="38"/>
  <c r="T128" i="38"/>
  <c r="F128" i="38"/>
  <c r="G125" i="38"/>
  <c r="H125" i="38"/>
  <c r="I125" i="38"/>
  <c r="J125" i="38"/>
  <c r="K125" i="38"/>
  <c r="L125" i="38"/>
  <c r="M125" i="38"/>
  <c r="N125" i="38"/>
  <c r="O125" i="38"/>
  <c r="P125" i="38"/>
  <c r="Q125" i="38"/>
  <c r="R125" i="38"/>
  <c r="S125" i="38"/>
  <c r="T125" i="38"/>
  <c r="F125" i="38"/>
  <c r="G122" i="38"/>
  <c r="H122" i="38"/>
  <c r="I122" i="38"/>
  <c r="J122" i="38"/>
  <c r="K122" i="38"/>
  <c r="L122" i="38"/>
  <c r="M122" i="38"/>
  <c r="N122" i="38"/>
  <c r="O122" i="38"/>
  <c r="P122" i="38"/>
  <c r="Q122" i="38"/>
  <c r="R122" i="38"/>
  <c r="S122" i="38"/>
  <c r="T122" i="38"/>
  <c r="F122" i="38"/>
  <c r="G119" i="38"/>
  <c r="H119" i="38"/>
  <c r="I119" i="38"/>
  <c r="J119" i="38"/>
  <c r="K119" i="38"/>
  <c r="L119" i="38"/>
  <c r="M119" i="38"/>
  <c r="N119" i="38"/>
  <c r="O119" i="38"/>
  <c r="P119" i="38"/>
  <c r="Q119" i="38"/>
  <c r="R119" i="38"/>
  <c r="S119" i="38"/>
  <c r="T119" i="38"/>
  <c r="F119" i="38"/>
  <c r="G116" i="38"/>
  <c r="H116" i="38"/>
  <c r="I116" i="38"/>
  <c r="J116" i="38"/>
  <c r="K116" i="38"/>
  <c r="L116" i="38"/>
  <c r="M116" i="38"/>
  <c r="N116" i="38"/>
  <c r="O116" i="38"/>
  <c r="P116" i="38"/>
  <c r="Q116" i="38"/>
  <c r="R116" i="38"/>
  <c r="S116" i="38"/>
  <c r="T116" i="38"/>
  <c r="F116" i="38"/>
  <c r="G113" i="38"/>
  <c r="H113" i="38"/>
  <c r="I113" i="38"/>
  <c r="J113" i="38"/>
  <c r="K113" i="38"/>
  <c r="L113" i="38"/>
  <c r="M113" i="38"/>
  <c r="N113" i="38"/>
  <c r="O113" i="38"/>
  <c r="P113" i="38"/>
  <c r="Q113" i="38"/>
  <c r="R113" i="38"/>
  <c r="S113" i="38"/>
  <c r="T113" i="38"/>
  <c r="F113" i="38"/>
  <c r="G110" i="38"/>
  <c r="H110" i="38"/>
  <c r="I110" i="38"/>
  <c r="J110" i="38"/>
  <c r="K110" i="38"/>
  <c r="L110" i="38"/>
  <c r="M110" i="38"/>
  <c r="N110" i="38"/>
  <c r="O110" i="38"/>
  <c r="P110" i="38"/>
  <c r="Q110" i="38"/>
  <c r="R110" i="38"/>
  <c r="S110" i="38"/>
  <c r="T110" i="38"/>
  <c r="F110" i="38"/>
  <c r="G107" i="38"/>
  <c r="H107" i="38"/>
  <c r="I107" i="38"/>
  <c r="J107" i="38"/>
  <c r="K107" i="38"/>
  <c r="L107" i="38"/>
  <c r="M107" i="38"/>
  <c r="N107" i="38"/>
  <c r="O107" i="38"/>
  <c r="P107" i="38"/>
  <c r="Q107" i="38"/>
  <c r="R107" i="38"/>
  <c r="S107" i="38"/>
  <c r="T107" i="38"/>
  <c r="F107" i="38"/>
  <c r="G104" i="38"/>
  <c r="H104" i="38"/>
  <c r="I104" i="38"/>
  <c r="J104" i="38"/>
  <c r="K104" i="38"/>
  <c r="L104" i="38"/>
  <c r="M104" i="38"/>
  <c r="N104" i="38"/>
  <c r="O104" i="38"/>
  <c r="P104" i="38"/>
  <c r="Q104" i="38"/>
  <c r="R104" i="38"/>
  <c r="S104" i="38"/>
  <c r="T104" i="38"/>
  <c r="F104" i="38"/>
  <c r="G101" i="38"/>
  <c r="H101" i="38"/>
  <c r="I101" i="38"/>
  <c r="J101" i="38"/>
  <c r="K101" i="38"/>
  <c r="L101" i="38"/>
  <c r="M101" i="38"/>
  <c r="N101" i="38"/>
  <c r="O101" i="38"/>
  <c r="P101" i="38"/>
  <c r="Q101" i="38"/>
  <c r="R101" i="38"/>
  <c r="S101" i="38"/>
  <c r="T101" i="38"/>
  <c r="F101" i="38"/>
  <c r="G98" i="38"/>
  <c r="H98" i="38"/>
  <c r="I98" i="38"/>
  <c r="J98" i="38"/>
  <c r="K98" i="38"/>
  <c r="L98" i="38"/>
  <c r="M98" i="38"/>
  <c r="N98" i="38"/>
  <c r="O98" i="38"/>
  <c r="P98" i="38"/>
  <c r="Q98" i="38"/>
  <c r="R98" i="38"/>
  <c r="S98" i="38"/>
  <c r="T98" i="38"/>
  <c r="F98" i="38"/>
  <c r="G95" i="38"/>
  <c r="H95" i="38"/>
  <c r="I95" i="38"/>
  <c r="J95" i="38"/>
  <c r="K95" i="38"/>
  <c r="L95" i="38"/>
  <c r="M95" i="38"/>
  <c r="N95" i="38"/>
  <c r="O95" i="38"/>
  <c r="P95" i="38"/>
  <c r="Q95" i="38"/>
  <c r="R95" i="38"/>
  <c r="S95" i="38"/>
  <c r="T95" i="38"/>
  <c r="F95" i="38"/>
  <c r="G89" i="38"/>
  <c r="H89" i="38"/>
  <c r="I89" i="38"/>
  <c r="J89" i="38"/>
  <c r="K89" i="38"/>
  <c r="L89" i="38"/>
  <c r="M89" i="38"/>
  <c r="N89" i="38"/>
  <c r="O89" i="38"/>
  <c r="P89" i="38"/>
  <c r="Q89" i="38"/>
  <c r="R89" i="38"/>
  <c r="S89" i="38"/>
  <c r="T89" i="38"/>
  <c r="F89" i="38"/>
  <c r="G92" i="38"/>
  <c r="H92" i="38"/>
  <c r="I92" i="38"/>
  <c r="J92" i="38"/>
  <c r="K92" i="38"/>
  <c r="L92" i="38"/>
  <c r="M92" i="38"/>
  <c r="N92" i="38"/>
  <c r="O92" i="38"/>
  <c r="P92" i="38"/>
  <c r="Q92" i="38"/>
  <c r="R92" i="38"/>
  <c r="S92" i="38"/>
  <c r="T92" i="38"/>
  <c r="F92" i="38"/>
  <c r="G86" i="38"/>
  <c r="H86" i="38"/>
  <c r="I86" i="38"/>
  <c r="J86" i="38"/>
  <c r="K86" i="38"/>
  <c r="L86" i="38"/>
  <c r="M86" i="38"/>
  <c r="N86" i="38"/>
  <c r="O86" i="38"/>
  <c r="P86" i="38"/>
  <c r="Q86" i="38"/>
  <c r="R86" i="38"/>
  <c r="S86" i="38"/>
  <c r="T86" i="38"/>
  <c r="F86" i="38"/>
  <c r="G83" i="38"/>
  <c r="H83" i="38"/>
  <c r="I83" i="38"/>
  <c r="J83" i="38"/>
  <c r="K83" i="38"/>
  <c r="L83" i="38"/>
  <c r="M83" i="38"/>
  <c r="N83" i="38"/>
  <c r="O83" i="38"/>
  <c r="P83" i="38"/>
  <c r="Q83" i="38"/>
  <c r="R83" i="38"/>
  <c r="S83" i="38"/>
  <c r="T83" i="38"/>
  <c r="F83" i="38"/>
  <c r="G80" i="38"/>
  <c r="H80" i="38"/>
  <c r="I80" i="38"/>
  <c r="J80" i="38"/>
  <c r="K80" i="38"/>
  <c r="L80" i="38"/>
  <c r="M80" i="38"/>
  <c r="N80" i="38"/>
  <c r="O80" i="38"/>
  <c r="P80" i="38"/>
  <c r="Q80" i="38"/>
  <c r="R80" i="38"/>
  <c r="S80" i="38"/>
  <c r="T80" i="38"/>
  <c r="F80" i="38"/>
  <c r="G77" i="38"/>
  <c r="H77" i="38"/>
  <c r="I77" i="38"/>
  <c r="J77" i="38"/>
  <c r="K77" i="38"/>
  <c r="L77" i="38"/>
  <c r="M77" i="38"/>
  <c r="N77" i="38"/>
  <c r="O77" i="38"/>
  <c r="P77" i="38"/>
  <c r="Q77" i="38"/>
  <c r="R77" i="38"/>
  <c r="S77" i="38"/>
  <c r="T77" i="38"/>
  <c r="F77" i="38"/>
  <c r="G74" i="38"/>
  <c r="H74" i="38"/>
  <c r="I74" i="38"/>
  <c r="J74" i="38"/>
  <c r="K74" i="38"/>
  <c r="L74" i="38"/>
  <c r="M74" i="38"/>
  <c r="N74" i="38"/>
  <c r="O74" i="38"/>
  <c r="P74" i="38"/>
  <c r="Q74" i="38"/>
  <c r="R74" i="38"/>
  <c r="S74" i="38"/>
  <c r="T74" i="38"/>
  <c r="F74" i="38"/>
  <c r="G71" i="38"/>
  <c r="H71" i="38"/>
  <c r="I71" i="38"/>
  <c r="J71" i="38"/>
  <c r="K71" i="38"/>
  <c r="L71" i="38"/>
  <c r="M71" i="38"/>
  <c r="N71" i="38"/>
  <c r="O71" i="38"/>
  <c r="P71" i="38"/>
  <c r="Q71" i="38"/>
  <c r="R71" i="38"/>
  <c r="S71" i="38"/>
  <c r="T71" i="38"/>
  <c r="F71" i="38"/>
  <c r="G68" i="38"/>
  <c r="H68" i="38"/>
  <c r="I68" i="38"/>
  <c r="J68" i="38"/>
  <c r="K68" i="38"/>
  <c r="L68" i="38"/>
  <c r="M68" i="38"/>
  <c r="N68" i="38"/>
  <c r="O68" i="38"/>
  <c r="P68" i="38"/>
  <c r="Q68" i="38"/>
  <c r="R68" i="38"/>
  <c r="S68" i="38"/>
  <c r="T68" i="38"/>
  <c r="F68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F65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F62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F59" i="38"/>
  <c r="G56" i="38"/>
  <c r="H56" i="38"/>
  <c r="I56" i="38"/>
  <c r="J56" i="38"/>
  <c r="K56" i="38"/>
  <c r="L56" i="38"/>
  <c r="M56" i="38"/>
  <c r="N56" i="38"/>
  <c r="O56" i="38"/>
  <c r="P56" i="38"/>
  <c r="Q56" i="38"/>
  <c r="R56" i="38"/>
  <c r="S56" i="38"/>
  <c r="T56" i="38"/>
  <c r="F56" i="38"/>
  <c r="G53" i="38"/>
  <c r="H53" i="38"/>
  <c r="I53" i="38"/>
  <c r="J53" i="38"/>
  <c r="K53" i="38"/>
  <c r="L53" i="38"/>
  <c r="M53" i="38"/>
  <c r="N53" i="38"/>
  <c r="O53" i="38"/>
  <c r="P53" i="38"/>
  <c r="Q53" i="38"/>
  <c r="R53" i="38"/>
  <c r="S53" i="38"/>
  <c r="T53" i="38"/>
  <c r="F53" i="38"/>
  <c r="G50" i="38"/>
  <c r="H50" i="38"/>
  <c r="I50" i="38"/>
  <c r="J50" i="38"/>
  <c r="K50" i="38"/>
  <c r="L50" i="38"/>
  <c r="M50" i="38"/>
  <c r="N50" i="38"/>
  <c r="O50" i="38"/>
  <c r="P50" i="38"/>
  <c r="Q50" i="38"/>
  <c r="R50" i="38"/>
  <c r="S50" i="38"/>
  <c r="T50" i="38"/>
  <c r="F50" i="38"/>
  <c r="G47" i="38"/>
  <c r="H47" i="38"/>
  <c r="I47" i="38"/>
  <c r="J47" i="38"/>
  <c r="K47" i="38"/>
  <c r="L47" i="38"/>
  <c r="M47" i="38"/>
  <c r="N47" i="38"/>
  <c r="O47" i="38"/>
  <c r="P47" i="38"/>
  <c r="Q47" i="38"/>
  <c r="R47" i="38"/>
  <c r="S47" i="38"/>
  <c r="T47" i="38"/>
  <c r="F47" i="38"/>
  <c r="G44" i="38"/>
  <c r="H44" i="38"/>
  <c r="I44" i="38"/>
  <c r="J44" i="38"/>
  <c r="K44" i="38"/>
  <c r="L44" i="38"/>
  <c r="M44" i="38"/>
  <c r="N44" i="38"/>
  <c r="O44" i="38"/>
  <c r="P44" i="38"/>
  <c r="Q44" i="38"/>
  <c r="R44" i="38"/>
  <c r="S44" i="38"/>
  <c r="T44" i="38"/>
  <c r="F44" i="38"/>
  <c r="G41" i="38"/>
  <c r="H41" i="38"/>
  <c r="I41" i="38"/>
  <c r="J41" i="38"/>
  <c r="K41" i="38"/>
  <c r="L41" i="38"/>
  <c r="M41" i="38"/>
  <c r="N41" i="38"/>
  <c r="O41" i="38"/>
  <c r="P41" i="38"/>
  <c r="Q41" i="38"/>
  <c r="R41" i="38"/>
  <c r="S41" i="38"/>
  <c r="T41" i="38"/>
  <c r="F41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F38" i="38"/>
  <c r="G35" i="38"/>
  <c r="H35" i="38"/>
  <c r="I35" i="38"/>
  <c r="J35" i="38"/>
  <c r="K35" i="38"/>
  <c r="L35" i="38"/>
  <c r="M35" i="38"/>
  <c r="N35" i="38"/>
  <c r="O35" i="38"/>
  <c r="P35" i="38"/>
  <c r="Q35" i="38"/>
  <c r="R35" i="38"/>
  <c r="S35" i="38"/>
  <c r="T35" i="38"/>
  <c r="F35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F32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F29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F26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F23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F20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F17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G14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F11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F8" i="38"/>
  <c r="T124" i="9" l="1"/>
  <c r="S124" i="9"/>
  <c r="T10" i="9" l="1"/>
  <c r="S10" i="9"/>
  <c r="S142" i="9"/>
  <c r="S145" i="9"/>
  <c r="T142" i="9"/>
  <c r="T143" i="9" s="1"/>
  <c r="T139" i="9"/>
  <c r="T140" i="9" s="1"/>
  <c r="S139" i="9"/>
  <c r="T136" i="9"/>
  <c r="T137" i="9" s="1"/>
  <c r="S136" i="9"/>
  <c r="T133" i="9"/>
  <c r="T134" i="9" s="1"/>
  <c r="S133" i="9"/>
  <c r="T130" i="9"/>
  <c r="T131" i="9" s="1"/>
  <c r="S130" i="9"/>
  <c r="T127" i="9"/>
  <c r="S127" i="9"/>
  <c r="T125" i="9"/>
  <c r="T121" i="9"/>
  <c r="T122" i="9" s="1"/>
  <c r="S121" i="9"/>
  <c r="T118" i="9"/>
  <c r="S118" i="9"/>
  <c r="T115" i="9"/>
  <c r="T116" i="9" s="1"/>
  <c r="S115" i="9"/>
  <c r="T112" i="9"/>
  <c r="T113" i="9" s="1"/>
  <c r="S112" i="9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4" i="4"/>
  <c r="T109" i="9"/>
  <c r="S109" i="9"/>
  <c r="T106" i="9"/>
  <c r="T107" i="9" s="1"/>
  <c r="S106" i="9"/>
  <c r="T103" i="9"/>
  <c r="T104" i="9" s="1"/>
  <c r="S103" i="9"/>
  <c r="T100" i="9"/>
  <c r="T101" i="9" s="1"/>
  <c r="S100" i="9"/>
  <c r="T97" i="9"/>
  <c r="T98" i="9" s="1"/>
  <c r="S97" i="9"/>
  <c r="S98" i="9" s="1"/>
  <c r="T94" i="9"/>
  <c r="S94" i="9"/>
  <c r="S95" i="9" s="1"/>
  <c r="T91" i="9"/>
  <c r="T92" i="9" s="1"/>
  <c r="S91" i="9"/>
  <c r="T88" i="9"/>
  <c r="T89" i="9" s="1"/>
  <c r="S88" i="9"/>
  <c r="T85" i="9"/>
  <c r="S85" i="9"/>
  <c r="T82" i="9"/>
  <c r="T83" i="9" s="1"/>
  <c r="S82" i="9"/>
  <c r="S83" i="9" s="1"/>
  <c r="S79" i="9"/>
  <c r="T76" i="9"/>
  <c r="S76" i="9"/>
  <c r="T73" i="9"/>
  <c r="T74" i="9" s="1"/>
  <c r="S73" i="9"/>
  <c r="S74" i="9" s="1"/>
  <c r="T70" i="9"/>
  <c r="T71" i="9" s="1"/>
  <c r="S70" i="9"/>
  <c r="T67" i="9"/>
  <c r="T68" i="9" s="1"/>
  <c r="S67" i="9"/>
  <c r="T64" i="9"/>
  <c r="T65" i="9" s="1"/>
  <c r="S64" i="9"/>
  <c r="T61" i="9"/>
  <c r="S61" i="9"/>
  <c r="T58" i="9"/>
  <c r="T59" i="9" s="1"/>
  <c r="S58" i="9"/>
  <c r="T55" i="9"/>
  <c r="T56" i="9" s="1"/>
  <c r="S55" i="9"/>
  <c r="S56" i="9" s="1"/>
  <c r="T52" i="9"/>
  <c r="S52" i="9"/>
  <c r="T49" i="9"/>
  <c r="T50" i="9" s="1"/>
  <c r="S49" i="9"/>
  <c r="T46" i="9"/>
  <c r="T47" i="9" s="1"/>
  <c r="S46" i="9"/>
  <c r="T44" i="9"/>
  <c r="S44" i="9"/>
  <c r="R44" i="9"/>
  <c r="T43" i="9"/>
  <c r="S43" i="9"/>
  <c r="T41" i="9"/>
  <c r="S41" i="9"/>
  <c r="T40" i="9"/>
  <c r="S40" i="9"/>
  <c r="T38" i="9"/>
  <c r="S38" i="9"/>
  <c r="T37" i="9"/>
  <c r="S37" i="9"/>
  <c r="T35" i="9"/>
  <c r="S35" i="9"/>
  <c r="T34" i="9"/>
  <c r="S34" i="9"/>
  <c r="T31" i="9"/>
  <c r="S31" i="9"/>
  <c r="S32" i="9" s="1"/>
  <c r="T28" i="9"/>
  <c r="T29" i="9" s="1"/>
  <c r="S28" i="9"/>
  <c r="T26" i="9"/>
  <c r="S26" i="9"/>
  <c r="T25" i="9"/>
  <c r="S25" i="9"/>
  <c r="T23" i="9"/>
  <c r="S23" i="9"/>
  <c r="T22" i="9"/>
  <c r="S22" i="9"/>
  <c r="T20" i="9"/>
  <c r="S20" i="9"/>
  <c r="T19" i="9"/>
  <c r="S19" i="9"/>
  <c r="T16" i="9"/>
  <c r="T17" i="9" s="1"/>
  <c r="S16" i="9"/>
  <c r="T14" i="9"/>
  <c r="S14" i="9"/>
  <c r="T13" i="9"/>
  <c r="S13" i="9"/>
  <c r="T9" i="9"/>
  <c r="S9" i="9"/>
  <c r="T7" i="9"/>
  <c r="T8" i="9" s="1"/>
  <c r="S7" i="9"/>
  <c r="G146" i="9"/>
  <c r="H146" i="9"/>
  <c r="I146" i="9"/>
  <c r="J146" i="9"/>
  <c r="K146" i="9"/>
  <c r="L146" i="9"/>
  <c r="M146" i="9"/>
  <c r="N146" i="9"/>
  <c r="O146" i="9"/>
  <c r="P146" i="9"/>
  <c r="Q146" i="9"/>
  <c r="R146" i="9"/>
  <c r="S146" i="9"/>
  <c r="T146" i="9"/>
  <c r="F146" i="9"/>
  <c r="G143" i="9"/>
  <c r="H143" i="9"/>
  <c r="I143" i="9"/>
  <c r="J143" i="9"/>
  <c r="K143" i="9"/>
  <c r="L143" i="9"/>
  <c r="M143" i="9"/>
  <c r="N143" i="9"/>
  <c r="O143" i="9"/>
  <c r="P143" i="9"/>
  <c r="Q143" i="9"/>
  <c r="R143" i="9"/>
  <c r="S143" i="9"/>
  <c r="F143" i="9"/>
  <c r="G140" i="9"/>
  <c r="H140" i="9"/>
  <c r="I140" i="9"/>
  <c r="J140" i="9"/>
  <c r="K140" i="9"/>
  <c r="L140" i="9"/>
  <c r="M140" i="9"/>
  <c r="N140" i="9"/>
  <c r="O140" i="9"/>
  <c r="P140" i="9"/>
  <c r="Q140" i="9"/>
  <c r="R140" i="9"/>
  <c r="S140" i="9"/>
  <c r="F140" i="9"/>
  <c r="G137" i="9"/>
  <c r="H137" i="9"/>
  <c r="I137" i="9"/>
  <c r="J137" i="9"/>
  <c r="K137" i="9"/>
  <c r="L137" i="9"/>
  <c r="M137" i="9"/>
  <c r="N137" i="9"/>
  <c r="O137" i="9"/>
  <c r="P137" i="9"/>
  <c r="Q137" i="9"/>
  <c r="R137" i="9"/>
  <c r="S137" i="9"/>
  <c r="F137" i="9"/>
  <c r="G134" i="9"/>
  <c r="H134" i="9"/>
  <c r="I134" i="9"/>
  <c r="J134" i="9"/>
  <c r="K134" i="9"/>
  <c r="L134" i="9"/>
  <c r="M134" i="9"/>
  <c r="N134" i="9"/>
  <c r="O134" i="9"/>
  <c r="P134" i="9"/>
  <c r="Q134" i="9"/>
  <c r="R134" i="9"/>
  <c r="S134" i="9"/>
  <c r="F134" i="9"/>
  <c r="G131" i="9"/>
  <c r="H131" i="9"/>
  <c r="I131" i="9"/>
  <c r="J131" i="9"/>
  <c r="K131" i="9"/>
  <c r="L131" i="9"/>
  <c r="M131" i="9"/>
  <c r="N131" i="9"/>
  <c r="O131" i="9"/>
  <c r="P131" i="9"/>
  <c r="Q131" i="9"/>
  <c r="R131" i="9"/>
  <c r="S131" i="9"/>
  <c r="F131" i="9"/>
  <c r="G128" i="9"/>
  <c r="H128" i="9"/>
  <c r="I128" i="9"/>
  <c r="J128" i="9"/>
  <c r="K128" i="9"/>
  <c r="L128" i="9"/>
  <c r="M128" i="9"/>
  <c r="N128" i="9"/>
  <c r="O128" i="9"/>
  <c r="P128" i="9"/>
  <c r="Q128" i="9"/>
  <c r="R128" i="9"/>
  <c r="S128" i="9"/>
  <c r="T128" i="9"/>
  <c r="F128" i="9"/>
  <c r="G125" i="9"/>
  <c r="H125" i="9"/>
  <c r="I125" i="9"/>
  <c r="J125" i="9"/>
  <c r="K125" i="9"/>
  <c r="L125" i="9"/>
  <c r="M125" i="9"/>
  <c r="N125" i="9"/>
  <c r="O125" i="9"/>
  <c r="P125" i="9"/>
  <c r="Q125" i="9"/>
  <c r="R125" i="9"/>
  <c r="S125" i="9"/>
  <c r="F125" i="9"/>
  <c r="G122" i="9"/>
  <c r="H122" i="9"/>
  <c r="I122" i="9"/>
  <c r="J122" i="9"/>
  <c r="K122" i="9"/>
  <c r="L122" i="9"/>
  <c r="M122" i="9"/>
  <c r="N122" i="9"/>
  <c r="O122" i="9"/>
  <c r="P122" i="9"/>
  <c r="Q122" i="9"/>
  <c r="R122" i="9"/>
  <c r="S122" i="9"/>
  <c r="F122" i="9"/>
  <c r="G119" i="9"/>
  <c r="H119" i="9"/>
  <c r="I119" i="9"/>
  <c r="J119" i="9"/>
  <c r="K119" i="9"/>
  <c r="L119" i="9"/>
  <c r="M119" i="9"/>
  <c r="N119" i="9"/>
  <c r="O119" i="9"/>
  <c r="P119" i="9"/>
  <c r="Q119" i="9"/>
  <c r="R119" i="9"/>
  <c r="S119" i="9"/>
  <c r="T119" i="9"/>
  <c r="F119" i="9"/>
  <c r="G116" i="9"/>
  <c r="H116" i="9"/>
  <c r="I116" i="9"/>
  <c r="J116" i="9"/>
  <c r="K116" i="9"/>
  <c r="L116" i="9"/>
  <c r="M116" i="9"/>
  <c r="N116" i="9"/>
  <c r="O116" i="9"/>
  <c r="P116" i="9"/>
  <c r="Q116" i="9"/>
  <c r="R116" i="9"/>
  <c r="S116" i="9"/>
  <c r="F116" i="9"/>
  <c r="G113" i="9"/>
  <c r="H113" i="9"/>
  <c r="I113" i="9"/>
  <c r="J113" i="9"/>
  <c r="K113" i="9"/>
  <c r="L113" i="9"/>
  <c r="M113" i="9"/>
  <c r="N113" i="9"/>
  <c r="O113" i="9"/>
  <c r="P113" i="9"/>
  <c r="Q113" i="9"/>
  <c r="R113" i="9"/>
  <c r="S113" i="9"/>
  <c r="F113" i="9"/>
  <c r="G110" i="9"/>
  <c r="H110" i="9"/>
  <c r="I110" i="9"/>
  <c r="J110" i="9"/>
  <c r="K110" i="9"/>
  <c r="L110" i="9"/>
  <c r="M110" i="9"/>
  <c r="N110" i="9"/>
  <c r="O110" i="9"/>
  <c r="P110" i="9"/>
  <c r="Q110" i="9"/>
  <c r="R110" i="9"/>
  <c r="S110" i="9"/>
  <c r="T110" i="9"/>
  <c r="F110" i="9"/>
  <c r="G107" i="9"/>
  <c r="H107" i="9"/>
  <c r="I107" i="9"/>
  <c r="J107" i="9"/>
  <c r="K107" i="9"/>
  <c r="L107" i="9"/>
  <c r="M107" i="9"/>
  <c r="N107" i="9"/>
  <c r="O107" i="9"/>
  <c r="P107" i="9"/>
  <c r="Q107" i="9"/>
  <c r="R107" i="9"/>
  <c r="S107" i="9"/>
  <c r="F107" i="9"/>
  <c r="G104" i="9"/>
  <c r="H104" i="9"/>
  <c r="I104" i="9"/>
  <c r="J104" i="9"/>
  <c r="K104" i="9"/>
  <c r="L104" i="9"/>
  <c r="M104" i="9"/>
  <c r="N104" i="9"/>
  <c r="O104" i="9"/>
  <c r="P104" i="9"/>
  <c r="Q104" i="9"/>
  <c r="R104" i="9"/>
  <c r="S104" i="9"/>
  <c r="F104" i="9"/>
  <c r="G101" i="9"/>
  <c r="H101" i="9"/>
  <c r="I101" i="9"/>
  <c r="J101" i="9"/>
  <c r="K101" i="9"/>
  <c r="L101" i="9"/>
  <c r="M101" i="9"/>
  <c r="N101" i="9"/>
  <c r="O101" i="9"/>
  <c r="P101" i="9"/>
  <c r="Q101" i="9"/>
  <c r="R101" i="9"/>
  <c r="S101" i="9"/>
  <c r="F101" i="9"/>
  <c r="G98" i="9"/>
  <c r="H98" i="9"/>
  <c r="I98" i="9"/>
  <c r="J98" i="9"/>
  <c r="K98" i="9"/>
  <c r="L98" i="9"/>
  <c r="M98" i="9"/>
  <c r="N98" i="9"/>
  <c r="O98" i="9"/>
  <c r="P98" i="9"/>
  <c r="Q98" i="9"/>
  <c r="R98" i="9"/>
  <c r="F98" i="9"/>
  <c r="G95" i="9"/>
  <c r="H95" i="9"/>
  <c r="I95" i="9"/>
  <c r="J95" i="9"/>
  <c r="K95" i="9"/>
  <c r="L95" i="9"/>
  <c r="M95" i="9"/>
  <c r="N95" i="9"/>
  <c r="O95" i="9"/>
  <c r="P95" i="9"/>
  <c r="Q95" i="9"/>
  <c r="R95" i="9"/>
  <c r="T95" i="9"/>
  <c r="F95" i="9"/>
  <c r="G92" i="9"/>
  <c r="H92" i="9"/>
  <c r="I92" i="9"/>
  <c r="J92" i="9"/>
  <c r="K92" i="9"/>
  <c r="L92" i="9"/>
  <c r="M92" i="9"/>
  <c r="N92" i="9"/>
  <c r="O92" i="9"/>
  <c r="P92" i="9"/>
  <c r="Q92" i="9"/>
  <c r="R92" i="9"/>
  <c r="S92" i="9"/>
  <c r="F92" i="9"/>
  <c r="G89" i="9"/>
  <c r="H89" i="9"/>
  <c r="I89" i="9"/>
  <c r="J89" i="9"/>
  <c r="K89" i="9"/>
  <c r="L89" i="9"/>
  <c r="M89" i="9"/>
  <c r="N89" i="9"/>
  <c r="O89" i="9"/>
  <c r="P89" i="9"/>
  <c r="Q89" i="9"/>
  <c r="R89" i="9"/>
  <c r="S89" i="9"/>
  <c r="F89" i="9"/>
  <c r="G86" i="9"/>
  <c r="H86" i="9"/>
  <c r="I86" i="9"/>
  <c r="J86" i="9"/>
  <c r="K86" i="9"/>
  <c r="L86" i="9"/>
  <c r="M86" i="9"/>
  <c r="N86" i="9"/>
  <c r="O86" i="9"/>
  <c r="P86" i="9"/>
  <c r="Q86" i="9"/>
  <c r="R86" i="9"/>
  <c r="S86" i="9"/>
  <c r="T86" i="9"/>
  <c r="F86" i="9"/>
  <c r="G83" i="9"/>
  <c r="H83" i="9"/>
  <c r="I83" i="9"/>
  <c r="J83" i="9"/>
  <c r="K83" i="9"/>
  <c r="L83" i="9"/>
  <c r="M83" i="9"/>
  <c r="N83" i="9"/>
  <c r="O83" i="9"/>
  <c r="P83" i="9"/>
  <c r="Q83" i="9"/>
  <c r="R83" i="9"/>
  <c r="F83" i="9"/>
  <c r="G80" i="9"/>
  <c r="H80" i="9"/>
  <c r="I80" i="9"/>
  <c r="J80" i="9"/>
  <c r="K80" i="9"/>
  <c r="L80" i="9"/>
  <c r="M80" i="9"/>
  <c r="N80" i="9"/>
  <c r="O80" i="9"/>
  <c r="P80" i="9"/>
  <c r="Q80" i="9"/>
  <c r="R80" i="9"/>
  <c r="S80" i="9"/>
  <c r="T80" i="9"/>
  <c r="F80" i="9"/>
  <c r="G77" i="9"/>
  <c r="H77" i="9"/>
  <c r="I77" i="9"/>
  <c r="J77" i="9"/>
  <c r="K77" i="9"/>
  <c r="L77" i="9"/>
  <c r="M77" i="9"/>
  <c r="N77" i="9"/>
  <c r="O77" i="9"/>
  <c r="P77" i="9"/>
  <c r="Q77" i="9"/>
  <c r="R77" i="9"/>
  <c r="S77" i="9"/>
  <c r="T77" i="9"/>
  <c r="F77" i="9"/>
  <c r="G74" i="9"/>
  <c r="H74" i="9"/>
  <c r="I74" i="9"/>
  <c r="J74" i="9"/>
  <c r="K74" i="9"/>
  <c r="L74" i="9"/>
  <c r="M74" i="9"/>
  <c r="N74" i="9"/>
  <c r="O74" i="9"/>
  <c r="P74" i="9"/>
  <c r="Q74" i="9"/>
  <c r="R74" i="9"/>
  <c r="F74" i="9"/>
  <c r="G71" i="9"/>
  <c r="H71" i="9"/>
  <c r="I71" i="9"/>
  <c r="J71" i="9"/>
  <c r="K71" i="9"/>
  <c r="L71" i="9"/>
  <c r="M71" i="9"/>
  <c r="N71" i="9"/>
  <c r="O71" i="9"/>
  <c r="P71" i="9"/>
  <c r="Q71" i="9"/>
  <c r="R71" i="9"/>
  <c r="S71" i="9"/>
  <c r="F71" i="9"/>
  <c r="G68" i="9"/>
  <c r="H68" i="9"/>
  <c r="I68" i="9"/>
  <c r="J68" i="9"/>
  <c r="K68" i="9"/>
  <c r="L68" i="9"/>
  <c r="M68" i="9"/>
  <c r="N68" i="9"/>
  <c r="O68" i="9"/>
  <c r="P68" i="9"/>
  <c r="Q68" i="9"/>
  <c r="R68" i="9"/>
  <c r="S68" i="9"/>
  <c r="F68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F65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F62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F59" i="9"/>
  <c r="G56" i="9"/>
  <c r="H56" i="9"/>
  <c r="I56" i="9"/>
  <c r="J56" i="9"/>
  <c r="K56" i="9"/>
  <c r="L56" i="9"/>
  <c r="M56" i="9"/>
  <c r="N56" i="9"/>
  <c r="O56" i="9"/>
  <c r="P56" i="9"/>
  <c r="Q56" i="9"/>
  <c r="R56" i="9"/>
  <c r="F56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F53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F50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F47" i="9"/>
  <c r="G44" i="9"/>
  <c r="H44" i="9"/>
  <c r="I44" i="9"/>
  <c r="J44" i="9"/>
  <c r="K44" i="9"/>
  <c r="L44" i="9"/>
  <c r="M44" i="9"/>
  <c r="N44" i="9"/>
  <c r="O44" i="9"/>
  <c r="P44" i="9"/>
  <c r="Q44" i="9"/>
  <c r="F44" i="9"/>
  <c r="G41" i="9"/>
  <c r="H41" i="9"/>
  <c r="I41" i="9"/>
  <c r="J41" i="9"/>
  <c r="K41" i="9"/>
  <c r="L41" i="9"/>
  <c r="M41" i="9"/>
  <c r="N41" i="9"/>
  <c r="O41" i="9"/>
  <c r="P41" i="9"/>
  <c r="Q41" i="9"/>
  <c r="R41" i="9"/>
  <c r="F41" i="9"/>
  <c r="G38" i="9"/>
  <c r="H38" i="9"/>
  <c r="I38" i="9"/>
  <c r="J38" i="9"/>
  <c r="K38" i="9"/>
  <c r="L38" i="9"/>
  <c r="M38" i="9"/>
  <c r="N38" i="9"/>
  <c r="O38" i="9"/>
  <c r="P38" i="9"/>
  <c r="Q38" i="9"/>
  <c r="R38" i="9"/>
  <c r="F38" i="9"/>
  <c r="G35" i="9"/>
  <c r="H35" i="9"/>
  <c r="I35" i="9"/>
  <c r="J35" i="9"/>
  <c r="K35" i="9"/>
  <c r="L35" i="9"/>
  <c r="M35" i="9"/>
  <c r="N35" i="9"/>
  <c r="O35" i="9"/>
  <c r="P35" i="9"/>
  <c r="Q35" i="9"/>
  <c r="R35" i="9"/>
  <c r="F35" i="9"/>
  <c r="G32" i="9"/>
  <c r="H32" i="9"/>
  <c r="I32" i="9"/>
  <c r="J32" i="9"/>
  <c r="K32" i="9"/>
  <c r="L32" i="9"/>
  <c r="M32" i="9"/>
  <c r="N32" i="9"/>
  <c r="O32" i="9"/>
  <c r="P32" i="9"/>
  <c r="Q32" i="9"/>
  <c r="R32" i="9"/>
  <c r="T32" i="9"/>
  <c r="F32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F29" i="9"/>
  <c r="G26" i="9"/>
  <c r="H26" i="9"/>
  <c r="I26" i="9"/>
  <c r="J26" i="9"/>
  <c r="K26" i="9"/>
  <c r="L26" i="9"/>
  <c r="M26" i="9"/>
  <c r="N26" i="9"/>
  <c r="O26" i="9"/>
  <c r="P26" i="9"/>
  <c r="Q26" i="9"/>
  <c r="R26" i="9"/>
  <c r="F26" i="9"/>
  <c r="G23" i="9"/>
  <c r="H23" i="9"/>
  <c r="I23" i="9"/>
  <c r="J23" i="9"/>
  <c r="K23" i="9"/>
  <c r="L23" i="9"/>
  <c r="M23" i="9"/>
  <c r="N23" i="9"/>
  <c r="O23" i="9"/>
  <c r="P23" i="9"/>
  <c r="Q23" i="9"/>
  <c r="R23" i="9"/>
  <c r="F23" i="9"/>
  <c r="G20" i="9"/>
  <c r="H20" i="9"/>
  <c r="I20" i="9"/>
  <c r="J20" i="9"/>
  <c r="K20" i="9"/>
  <c r="L20" i="9"/>
  <c r="M20" i="9"/>
  <c r="N20" i="9"/>
  <c r="O20" i="9"/>
  <c r="P20" i="9"/>
  <c r="Q20" i="9"/>
  <c r="R20" i="9"/>
  <c r="F20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F17" i="9"/>
  <c r="G14" i="9"/>
  <c r="H14" i="9"/>
  <c r="I14" i="9"/>
  <c r="J14" i="9"/>
  <c r="K14" i="9"/>
  <c r="L14" i="9"/>
  <c r="M14" i="9"/>
  <c r="N14" i="9"/>
  <c r="O14" i="9"/>
  <c r="P14" i="9"/>
  <c r="Q14" i="9"/>
  <c r="R14" i="9"/>
  <c r="F14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F11" i="9"/>
  <c r="G8" i="9"/>
  <c r="H8" i="9"/>
  <c r="I8" i="9"/>
  <c r="J8" i="9"/>
  <c r="K8" i="9"/>
  <c r="L8" i="9"/>
  <c r="M8" i="9"/>
  <c r="N8" i="9"/>
  <c r="O8" i="9"/>
  <c r="P8" i="9"/>
  <c r="Q8" i="9"/>
  <c r="R8" i="9"/>
  <c r="S8" i="9"/>
  <c r="F8" i="9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4" i="16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4" i="17"/>
  <c r="G5" i="20"/>
  <c r="G6" i="20"/>
  <c r="H6" i="20" s="1"/>
  <c r="G7" i="20"/>
  <c r="H7" i="20" s="1"/>
  <c r="G8" i="20"/>
  <c r="H8" i="20" s="1"/>
  <c r="G9" i="20"/>
  <c r="H9" i="20" s="1"/>
  <c r="G10" i="20"/>
  <c r="H10" i="20" s="1"/>
  <c r="G11" i="20"/>
  <c r="H45" i="20" s="1"/>
  <c r="G12" i="20"/>
  <c r="H12" i="20" s="1"/>
  <c r="G13" i="20"/>
  <c r="G14" i="20"/>
  <c r="H14" i="20" s="1"/>
  <c r="G15" i="20"/>
  <c r="H15" i="20" s="1"/>
  <c r="G16" i="20"/>
  <c r="H16" i="20" s="1"/>
  <c r="G17" i="20"/>
  <c r="H17" i="20" s="1"/>
  <c r="G18" i="20"/>
  <c r="H18" i="20" s="1"/>
  <c r="G19" i="20"/>
  <c r="H19" i="20" s="1"/>
  <c r="G20" i="20"/>
  <c r="H20" i="20" s="1"/>
  <c r="G21" i="20"/>
  <c r="G22" i="20"/>
  <c r="H22" i="20" s="1"/>
  <c r="G23" i="20"/>
  <c r="H23" i="20" s="1"/>
  <c r="G24" i="20"/>
  <c r="H24" i="20" s="1"/>
  <c r="G25" i="20"/>
  <c r="H25" i="20" s="1"/>
  <c r="G26" i="20"/>
  <c r="H26" i="20" s="1"/>
  <c r="G27" i="20"/>
  <c r="H27" i="20" s="1"/>
  <c r="G28" i="20"/>
  <c r="H28" i="20" s="1"/>
  <c r="G29" i="20"/>
  <c r="G30" i="20"/>
  <c r="H30" i="20" s="1"/>
  <c r="G31" i="20"/>
  <c r="H31" i="20" s="1"/>
  <c r="G32" i="20"/>
  <c r="H32" i="20" s="1"/>
  <c r="G33" i="20"/>
  <c r="H33" i="20" s="1"/>
  <c r="G34" i="20"/>
  <c r="H34" i="20" s="1"/>
  <c r="G35" i="20"/>
  <c r="H35" i="20" s="1"/>
  <c r="G36" i="20"/>
  <c r="H36" i="20" s="1"/>
  <c r="G37" i="20"/>
  <c r="G38" i="20"/>
  <c r="H38" i="20" s="1"/>
  <c r="G39" i="20"/>
  <c r="H39" i="20" s="1"/>
  <c r="G40" i="20"/>
  <c r="H40" i="20" s="1"/>
  <c r="G41" i="20"/>
  <c r="H41" i="20" s="1"/>
  <c r="G42" i="20"/>
  <c r="H42" i="20" s="1"/>
  <c r="G43" i="20"/>
  <c r="H43" i="20" s="1"/>
  <c r="G44" i="20"/>
  <c r="H44" i="20" s="1"/>
  <c r="G45" i="20"/>
  <c r="G46" i="20"/>
  <c r="H46" i="20" s="1"/>
  <c r="G47" i="20"/>
  <c r="H47" i="20" s="1"/>
  <c r="G48" i="20"/>
  <c r="H48" i="20" s="1"/>
  <c r="G49" i="20"/>
  <c r="H49" i="20" s="1"/>
  <c r="G50" i="20"/>
  <c r="H50" i="20" s="1"/>
  <c r="G51" i="20"/>
  <c r="H51" i="20" s="1"/>
  <c r="G52" i="20"/>
  <c r="H52" i="20" s="1"/>
  <c r="G53" i="20"/>
  <c r="G4" i="20"/>
  <c r="H4" i="20" s="1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4" i="14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F146" i="12"/>
  <c r="G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143" i="12"/>
  <c r="F143" i="12"/>
  <c r="G140" i="12"/>
  <c r="H140" i="12"/>
  <c r="I140" i="12"/>
  <c r="J140" i="12"/>
  <c r="K140" i="12"/>
  <c r="L140" i="12"/>
  <c r="M140" i="12"/>
  <c r="N140" i="12"/>
  <c r="O140" i="12"/>
  <c r="P140" i="12"/>
  <c r="Q140" i="12"/>
  <c r="R140" i="12"/>
  <c r="S140" i="12"/>
  <c r="T140" i="12"/>
  <c r="F140" i="12"/>
  <c r="G137" i="12"/>
  <c r="H137" i="12"/>
  <c r="I137" i="12"/>
  <c r="J137" i="12"/>
  <c r="K137" i="12"/>
  <c r="L137" i="12"/>
  <c r="M137" i="12"/>
  <c r="N137" i="12"/>
  <c r="O137" i="12"/>
  <c r="P137" i="12"/>
  <c r="Q137" i="12"/>
  <c r="R137" i="12"/>
  <c r="S137" i="12"/>
  <c r="T137" i="12"/>
  <c r="F137" i="12"/>
  <c r="G134" i="12"/>
  <c r="H134" i="12"/>
  <c r="I134" i="12"/>
  <c r="J134" i="12"/>
  <c r="K134" i="12"/>
  <c r="L134" i="12"/>
  <c r="M134" i="12"/>
  <c r="N134" i="12"/>
  <c r="O134" i="12"/>
  <c r="P134" i="12"/>
  <c r="Q134" i="12"/>
  <c r="R134" i="12"/>
  <c r="S134" i="12"/>
  <c r="T134" i="12"/>
  <c r="F134" i="12"/>
  <c r="G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131" i="12"/>
  <c r="F131" i="12"/>
  <c r="G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128" i="12"/>
  <c r="F128" i="12"/>
  <c r="G125" i="12"/>
  <c r="H125" i="12"/>
  <c r="I125" i="12"/>
  <c r="J125" i="12"/>
  <c r="K125" i="12"/>
  <c r="L125" i="12"/>
  <c r="M125" i="12"/>
  <c r="N125" i="12"/>
  <c r="O125" i="12"/>
  <c r="P125" i="12"/>
  <c r="Q125" i="12"/>
  <c r="R125" i="12"/>
  <c r="S125" i="12"/>
  <c r="T125" i="12"/>
  <c r="F125" i="12"/>
  <c r="G122" i="12"/>
  <c r="H122" i="12"/>
  <c r="I122" i="12"/>
  <c r="J122" i="12"/>
  <c r="K122" i="12"/>
  <c r="L122" i="12"/>
  <c r="M122" i="12"/>
  <c r="N122" i="12"/>
  <c r="O122" i="12"/>
  <c r="P122" i="12"/>
  <c r="Q122" i="12"/>
  <c r="R122" i="12"/>
  <c r="S122" i="12"/>
  <c r="T122" i="12"/>
  <c r="F122" i="12"/>
  <c r="G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19" i="12"/>
  <c r="F119" i="12"/>
  <c r="G116" i="12"/>
  <c r="H116" i="12"/>
  <c r="I116" i="12"/>
  <c r="J116" i="12"/>
  <c r="K116" i="12"/>
  <c r="L116" i="12"/>
  <c r="M116" i="12"/>
  <c r="N116" i="12"/>
  <c r="O116" i="12"/>
  <c r="P116" i="12"/>
  <c r="Q116" i="12"/>
  <c r="R116" i="12"/>
  <c r="S116" i="12"/>
  <c r="T116" i="12"/>
  <c r="F116" i="12"/>
  <c r="G113" i="12"/>
  <c r="H113" i="12"/>
  <c r="I113" i="12"/>
  <c r="J113" i="12"/>
  <c r="K113" i="12"/>
  <c r="L113" i="12"/>
  <c r="M113" i="12"/>
  <c r="N113" i="12"/>
  <c r="O113" i="12"/>
  <c r="P113" i="12"/>
  <c r="Q113" i="12"/>
  <c r="R113" i="12"/>
  <c r="S113" i="12"/>
  <c r="T113" i="12"/>
  <c r="F113" i="12"/>
  <c r="G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10" i="12"/>
  <c r="F110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F107" i="12"/>
  <c r="G104" i="12"/>
  <c r="H104" i="12"/>
  <c r="I104" i="12"/>
  <c r="J104" i="12"/>
  <c r="K104" i="12"/>
  <c r="L104" i="12"/>
  <c r="M104" i="12"/>
  <c r="N104" i="12"/>
  <c r="O104" i="12"/>
  <c r="P104" i="12"/>
  <c r="Q104" i="12"/>
  <c r="R104" i="12"/>
  <c r="S104" i="12"/>
  <c r="T104" i="12"/>
  <c r="F104" i="12"/>
  <c r="G101" i="12"/>
  <c r="H101" i="12"/>
  <c r="I101" i="12"/>
  <c r="J101" i="12"/>
  <c r="K101" i="12"/>
  <c r="L101" i="12"/>
  <c r="M101" i="12"/>
  <c r="N101" i="12"/>
  <c r="O101" i="12"/>
  <c r="P101" i="12"/>
  <c r="Q101" i="12"/>
  <c r="R101" i="12"/>
  <c r="S101" i="12"/>
  <c r="T101" i="12"/>
  <c r="F101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F98" i="12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F95" i="12"/>
  <c r="G92" i="12"/>
  <c r="H92" i="12"/>
  <c r="I92" i="12"/>
  <c r="J92" i="12"/>
  <c r="K92" i="12"/>
  <c r="L92" i="12"/>
  <c r="M92" i="12"/>
  <c r="N92" i="12"/>
  <c r="O92" i="12"/>
  <c r="P92" i="12"/>
  <c r="Q92" i="12"/>
  <c r="R92" i="12"/>
  <c r="S92" i="12"/>
  <c r="T92" i="12"/>
  <c r="F92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F89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F86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F83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F80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F77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F74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F71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F68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F65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F62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F59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F56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F53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F50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F47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F44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F41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F38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F35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F32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F29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F26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F23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F20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F17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F14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F11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F8" i="12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4" i="10"/>
  <c r="H29" i="20" l="1"/>
  <c r="H53" i="20"/>
  <c r="H11" i="20"/>
  <c r="H5" i="20"/>
  <c r="H37" i="20"/>
  <c r="H21" i="20"/>
  <c r="H13" i="20"/>
  <c r="T11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4" i="10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F161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F158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F155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F152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F149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F146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F143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F140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F137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F134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F131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F128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F125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F122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F119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F116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F113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F110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F107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F104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F101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F98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F95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F92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F89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F86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F83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F80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F77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F74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F71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F68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F65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F62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F59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F56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F53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F50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F47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F44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F41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F38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F35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F32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F29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F26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F20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F17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F14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F11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F8" i="5"/>
  <c r="R48" i="11"/>
  <c r="S48" i="11"/>
  <c r="T48" i="11" s="1"/>
  <c r="R10" i="8" l="1"/>
  <c r="S10" i="8"/>
  <c r="T10" i="8" s="1"/>
  <c r="R19" i="3" l="1"/>
  <c r="S19" i="3"/>
  <c r="N5" i="27" l="1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4" i="27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38" i="27"/>
  <c r="L39" i="27"/>
  <c r="L40" i="27"/>
  <c r="L41" i="27"/>
  <c r="L42" i="27"/>
  <c r="L43" i="27"/>
  <c r="L44" i="27"/>
  <c r="L45" i="27"/>
  <c r="L46" i="27"/>
  <c r="L47" i="27"/>
  <c r="L48" i="27"/>
  <c r="L49" i="27"/>
  <c r="L50" i="27"/>
  <c r="L51" i="27"/>
  <c r="L4" i="27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1" i="21"/>
  <c r="S42" i="21"/>
  <c r="S43" i="21"/>
  <c r="S44" i="21"/>
  <c r="S45" i="21"/>
  <c r="S46" i="21"/>
  <c r="S47" i="21"/>
  <c r="S48" i="21"/>
  <c r="S49" i="21"/>
  <c r="S51" i="21"/>
  <c r="S53" i="21"/>
  <c r="S4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51" i="21"/>
  <c r="R53" i="21"/>
  <c r="R4" i="21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4" i="15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4" i="3"/>
  <c r="R4" i="7"/>
  <c r="S4" i="7"/>
  <c r="R5" i="7"/>
  <c r="S5" i="7"/>
  <c r="R6" i="7"/>
  <c r="S6" i="7"/>
  <c r="R7" i="7"/>
  <c r="S7" i="7"/>
  <c r="R8" i="7"/>
  <c r="S8" i="7"/>
  <c r="R9" i="7"/>
  <c r="S9" i="7"/>
  <c r="R10" i="7"/>
  <c r="S10" i="7"/>
  <c r="R11" i="7"/>
  <c r="S11" i="7"/>
  <c r="R12" i="7"/>
  <c r="S12" i="7"/>
  <c r="R13" i="7"/>
  <c r="S13" i="7"/>
  <c r="R14" i="7"/>
  <c r="S14" i="7"/>
  <c r="R15" i="7"/>
  <c r="S15" i="7"/>
  <c r="R16" i="7"/>
  <c r="S16" i="7"/>
  <c r="R17" i="7"/>
  <c r="S17" i="7"/>
  <c r="R18" i="7"/>
  <c r="S18" i="7"/>
  <c r="R19" i="7"/>
  <c r="S19" i="7"/>
  <c r="R20" i="7"/>
  <c r="S20" i="7"/>
  <c r="R21" i="7"/>
  <c r="S21" i="7"/>
  <c r="R22" i="7"/>
  <c r="S22" i="7"/>
  <c r="R23" i="7"/>
  <c r="S23" i="7"/>
  <c r="R24" i="7"/>
  <c r="S24" i="7"/>
  <c r="R25" i="7"/>
  <c r="S25" i="7"/>
  <c r="R26" i="7"/>
  <c r="S26" i="7"/>
  <c r="R27" i="7"/>
  <c r="S27" i="7"/>
  <c r="R28" i="7"/>
  <c r="S28" i="7"/>
  <c r="R29" i="7"/>
  <c r="S29" i="7"/>
  <c r="R30" i="7"/>
  <c r="S30" i="7"/>
  <c r="R31" i="7"/>
  <c r="S31" i="7"/>
  <c r="R32" i="7"/>
  <c r="S32" i="7"/>
  <c r="R33" i="7"/>
  <c r="S33" i="7"/>
  <c r="R34" i="7"/>
  <c r="S34" i="7"/>
  <c r="R35" i="7"/>
  <c r="S35" i="7"/>
  <c r="R36" i="7"/>
  <c r="S36" i="7"/>
  <c r="R37" i="7"/>
  <c r="S37" i="7"/>
  <c r="R38" i="7"/>
  <c r="S38" i="7"/>
  <c r="R39" i="7"/>
  <c r="S39" i="7"/>
  <c r="R40" i="7"/>
  <c r="S40" i="7"/>
  <c r="R41" i="7"/>
  <c r="S41" i="7"/>
  <c r="R42" i="7"/>
  <c r="S42" i="7"/>
  <c r="R43" i="7"/>
  <c r="S43" i="7"/>
  <c r="R44" i="7"/>
  <c r="S44" i="7"/>
  <c r="R45" i="7"/>
  <c r="S45" i="7"/>
  <c r="R46" i="7"/>
  <c r="S46" i="7"/>
  <c r="R47" i="7"/>
  <c r="S47" i="7"/>
  <c r="R48" i="7"/>
  <c r="S48" i="7"/>
  <c r="R49" i="7"/>
  <c r="S49" i="7"/>
  <c r="R50" i="7"/>
  <c r="S50" i="7"/>
  <c r="R51" i="7"/>
  <c r="S51" i="7"/>
  <c r="R52" i="7"/>
  <c r="S52" i="7"/>
  <c r="R53" i="7"/>
  <c r="S53" i="7"/>
  <c r="T9" i="3" l="1"/>
  <c r="T17" i="3"/>
  <c r="T25" i="3"/>
  <c r="T33" i="3"/>
  <c r="T41" i="3"/>
  <c r="T49" i="3"/>
  <c r="T10" i="3"/>
  <c r="T18" i="3"/>
  <c r="T26" i="3"/>
  <c r="T34" i="3"/>
  <c r="T42" i="3"/>
  <c r="T50" i="3"/>
  <c r="T11" i="3"/>
  <c r="T19" i="3"/>
  <c r="T27" i="3"/>
  <c r="T35" i="3"/>
  <c r="T43" i="3"/>
  <c r="T51" i="3"/>
  <c r="T12" i="3"/>
  <c r="T20" i="3"/>
  <c r="T28" i="3"/>
  <c r="T36" i="3"/>
  <c r="T44" i="3"/>
  <c r="T52" i="3"/>
  <c r="T5" i="3"/>
  <c r="T13" i="3"/>
  <c r="T21" i="3"/>
  <c r="T29" i="3"/>
  <c r="T37" i="3"/>
  <c r="T45" i="3"/>
  <c r="T53" i="3"/>
  <c r="T6" i="3"/>
  <c r="T14" i="3"/>
  <c r="T22" i="3"/>
  <c r="T30" i="3"/>
  <c r="T38" i="3"/>
  <c r="T46" i="3"/>
  <c r="T4" i="3"/>
  <c r="T7" i="3"/>
  <c r="T15" i="3"/>
  <c r="T23" i="3"/>
  <c r="T31" i="3"/>
  <c r="T39" i="3"/>
  <c r="T47" i="3"/>
  <c r="T8" i="3"/>
  <c r="T16" i="3"/>
  <c r="T24" i="3"/>
  <c r="T32" i="3"/>
  <c r="T40" i="3"/>
  <c r="T48" i="3"/>
  <c r="T5" i="21"/>
  <c r="T46" i="21"/>
  <c r="T37" i="21"/>
  <c r="T29" i="21"/>
  <c r="T20" i="21"/>
  <c r="T12" i="21"/>
  <c r="T4" i="21"/>
  <c r="T45" i="21"/>
  <c r="T36" i="21"/>
  <c r="T28" i="21"/>
  <c r="T19" i="21"/>
  <c r="T11" i="21"/>
  <c r="T53" i="21"/>
  <c r="T44" i="21"/>
  <c r="T35" i="21"/>
  <c r="T27" i="21"/>
  <c r="T18" i="21"/>
  <c r="T10" i="21"/>
  <c r="T52" i="21"/>
  <c r="T43" i="21"/>
  <c r="T34" i="21"/>
  <c r="T26" i="21"/>
  <c r="T17" i="21"/>
  <c r="T9" i="21"/>
  <c r="T42" i="21"/>
  <c r="T16" i="21"/>
  <c r="T49" i="21"/>
  <c r="T41" i="21"/>
  <c r="T32" i="21"/>
  <c r="T24" i="21"/>
  <c r="T15" i="21"/>
  <c r="T7" i="21"/>
  <c r="T51" i="21"/>
  <c r="T25" i="21"/>
  <c r="T48" i="21"/>
  <c r="T39" i="21"/>
  <c r="T31" i="21"/>
  <c r="T22" i="21"/>
  <c r="T14" i="21"/>
  <c r="T6" i="21"/>
  <c r="T33" i="21"/>
  <c r="T8" i="21"/>
  <c r="T47" i="21"/>
  <c r="T38" i="21"/>
  <c r="T30" i="21"/>
  <c r="T21" i="21"/>
  <c r="T13" i="21"/>
  <c r="T8" i="15"/>
  <c r="T36" i="15"/>
  <c r="T9" i="15"/>
  <c r="T6" i="15"/>
  <c r="T25" i="15"/>
  <c r="T31" i="15"/>
  <c r="T49" i="15"/>
  <c r="T24" i="15"/>
  <c r="T10" i="15"/>
  <c r="T48" i="15"/>
  <c r="T23" i="15"/>
  <c r="T17" i="15"/>
  <c r="T39" i="15"/>
  <c r="T14" i="15"/>
  <c r="T44" i="15"/>
  <c r="T38" i="15"/>
  <c r="T12" i="15"/>
  <c r="T46" i="15"/>
  <c r="T32" i="15"/>
  <c r="T20" i="15"/>
  <c r="T7" i="15"/>
  <c r="T41" i="15"/>
  <c r="T30" i="15"/>
  <c r="T16" i="15"/>
  <c r="T40" i="15"/>
  <c r="T28" i="15"/>
  <c r="T15" i="15"/>
  <c r="T47" i="15"/>
  <c r="T33" i="15"/>
  <c r="T22" i="15"/>
  <c r="T45" i="15"/>
  <c r="T37" i="15"/>
  <c r="T29" i="15"/>
  <c r="T21" i="15"/>
  <c r="T13" i="15"/>
  <c r="T5" i="15"/>
  <c r="T4" i="15"/>
  <c r="T43" i="15"/>
  <c r="T35" i="15"/>
  <c r="T27" i="15"/>
  <c r="T19" i="15"/>
  <c r="T11" i="15"/>
  <c r="T50" i="15"/>
  <c r="T42" i="15"/>
  <c r="T34" i="15"/>
  <c r="T26" i="15"/>
  <c r="T18" i="15"/>
  <c r="T37" i="17"/>
  <c r="T29" i="17"/>
  <c r="T45" i="17"/>
  <c r="T21" i="17"/>
  <c r="T13" i="17"/>
  <c r="T44" i="17"/>
  <c r="T36" i="17"/>
  <c r="T19" i="17"/>
  <c r="T28" i="17"/>
  <c r="T41" i="17"/>
  <c r="T33" i="17"/>
  <c r="T49" i="17"/>
  <c r="T5" i="17"/>
  <c r="T20" i="17"/>
  <c r="T34" i="17"/>
  <c r="T17" i="17"/>
  <c r="T48" i="17"/>
  <c r="T40" i="17"/>
  <c r="T32" i="17"/>
  <c r="T24" i="17"/>
  <c r="T16" i="17"/>
  <c r="T25" i="17"/>
  <c r="T47" i="17"/>
  <c r="T39" i="17"/>
  <c r="T31" i="17"/>
  <c r="T23" i="17"/>
  <c r="T15" i="17"/>
  <c r="T9" i="17"/>
  <c r="T46" i="17"/>
  <c r="T38" i="17"/>
  <c r="T30" i="17"/>
  <c r="T22" i="17"/>
  <c r="T14" i="17"/>
  <c r="T8" i="17"/>
  <c r="T7" i="17"/>
  <c r="T6" i="17"/>
  <c r="T12" i="17"/>
  <c r="T11" i="17"/>
  <c r="T35" i="17"/>
  <c r="T18" i="17"/>
  <c r="T43" i="17"/>
  <c r="T10" i="17"/>
  <c r="T27" i="17"/>
  <c r="T50" i="17"/>
  <c r="T26" i="17"/>
  <c r="T4" i="17"/>
  <c r="T42" i="17"/>
  <c r="T44" i="7"/>
  <c r="T52" i="7"/>
  <c r="T28" i="7"/>
  <c r="T15" i="7"/>
  <c r="T11" i="7"/>
  <c r="T41" i="7"/>
  <c r="T27" i="7"/>
  <c r="T31" i="7"/>
  <c r="T23" i="7"/>
  <c r="T43" i="7"/>
  <c r="T35" i="7"/>
  <c r="T19" i="7"/>
  <c r="T10" i="7"/>
  <c r="T51" i="7"/>
  <c r="T47" i="7"/>
  <c r="T36" i="7"/>
  <c r="T20" i="7"/>
  <c r="T12" i="7"/>
  <c r="T4" i="7"/>
  <c r="T49" i="7"/>
  <c r="T33" i="7"/>
  <c r="T25" i="7"/>
  <c r="T17" i="7"/>
  <c r="T9" i="7"/>
  <c r="T46" i="7"/>
  <c r="T38" i="7"/>
  <c r="T30" i="7"/>
  <c r="T22" i="7"/>
  <c r="T14" i="7"/>
  <c r="T6" i="7"/>
  <c r="T40" i="7"/>
  <c r="T24" i="7"/>
  <c r="T48" i="7"/>
  <c r="T32" i="7"/>
  <c r="T16" i="7"/>
  <c r="T8" i="7"/>
  <c r="T53" i="7"/>
  <c r="T45" i="7"/>
  <c r="T37" i="7"/>
  <c r="T29" i="7"/>
  <c r="T21" i="7"/>
  <c r="T13" i="7"/>
  <c r="T5" i="7"/>
  <c r="T50" i="7"/>
  <c r="T42" i="7"/>
  <c r="T34" i="7"/>
  <c r="T26" i="7"/>
  <c r="T18" i="7"/>
  <c r="T39" i="7"/>
  <c r="T7" i="7"/>
  <c r="R5" i="11" l="1"/>
  <c r="S5" i="11"/>
  <c r="R6" i="11"/>
  <c r="S6" i="11"/>
  <c r="R7" i="11"/>
  <c r="S7" i="11"/>
  <c r="R8" i="11"/>
  <c r="S8" i="11"/>
  <c r="R10" i="11"/>
  <c r="S10" i="11"/>
  <c r="R11" i="11"/>
  <c r="S11" i="11"/>
  <c r="R12" i="11"/>
  <c r="S12" i="11"/>
  <c r="R13" i="11"/>
  <c r="S13" i="11"/>
  <c r="R14" i="11"/>
  <c r="S14" i="11"/>
  <c r="R15" i="11"/>
  <c r="S15" i="11"/>
  <c r="R16" i="11"/>
  <c r="S16" i="11"/>
  <c r="R17" i="11"/>
  <c r="S17" i="11"/>
  <c r="R18" i="11"/>
  <c r="S18" i="11"/>
  <c r="R19" i="11"/>
  <c r="S19" i="11"/>
  <c r="R20" i="11"/>
  <c r="S20" i="11"/>
  <c r="R21" i="11"/>
  <c r="S21" i="11"/>
  <c r="R22" i="11"/>
  <c r="S22" i="11"/>
  <c r="R23" i="11"/>
  <c r="S23" i="11"/>
  <c r="R24" i="11"/>
  <c r="S24" i="11"/>
  <c r="R25" i="11"/>
  <c r="S25" i="11"/>
  <c r="R26" i="11"/>
  <c r="S26" i="11"/>
  <c r="R27" i="11"/>
  <c r="S27" i="11"/>
  <c r="R28" i="11"/>
  <c r="S28" i="11"/>
  <c r="R29" i="11"/>
  <c r="S29" i="11"/>
  <c r="R30" i="11"/>
  <c r="S30" i="11"/>
  <c r="R31" i="11"/>
  <c r="S31" i="11"/>
  <c r="R32" i="11"/>
  <c r="S32" i="11"/>
  <c r="R33" i="11"/>
  <c r="S33" i="11"/>
  <c r="R34" i="11"/>
  <c r="S34" i="11"/>
  <c r="R35" i="11"/>
  <c r="S35" i="11"/>
  <c r="R36" i="11"/>
  <c r="S36" i="11"/>
  <c r="R37" i="11"/>
  <c r="S37" i="11"/>
  <c r="R38" i="11"/>
  <c r="S38" i="11"/>
  <c r="R39" i="11"/>
  <c r="S39" i="11"/>
  <c r="R40" i="11"/>
  <c r="S40" i="11"/>
  <c r="R41" i="11"/>
  <c r="S41" i="11"/>
  <c r="R42" i="11"/>
  <c r="S42" i="11"/>
  <c r="R43" i="11"/>
  <c r="S43" i="11"/>
  <c r="R44" i="11"/>
  <c r="S44" i="11"/>
  <c r="R45" i="11"/>
  <c r="S45" i="11"/>
  <c r="R46" i="11"/>
  <c r="S46" i="11"/>
  <c r="R47" i="11"/>
  <c r="S47" i="11"/>
  <c r="R49" i="11"/>
  <c r="S49" i="11"/>
  <c r="R50" i="11"/>
  <c r="S50" i="11"/>
  <c r="R51" i="11"/>
  <c r="S51" i="11"/>
  <c r="R52" i="11"/>
  <c r="S52" i="11"/>
  <c r="R53" i="11"/>
  <c r="S53" i="11"/>
  <c r="R54" i="11"/>
  <c r="S54" i="11"/>
  <c r="R55" i="11"/>
  <c r="S55" i="11"/>
  <c r="S4" i="11"/>
  <c r="R4" i="11"/>
  <c r="T53" i="11" l="1"/>
  <c r="T5" i="11"/>
  <c r="T13" i="11"/>
  <c r="T44" i="11"/>
  <c r="T28" i="11"/>
  <c r="T20" i="11"/>
  <c r="T12" i="11"/>
  <c r="T51" i="11"/>
  <c r="T43" i="11"/>
  <c r="T35" i="11"/>
  <c r="T27" i="11"/>
  <c r="T19" i="11"/>
  <c r="T11" i="11"/>
  <c r="T45" i="11"/>
  <c r="T50" i="11"/>
  <c r="T18" i="11"/>
  <c r="T10" i="11"/>
  <c r="T37" i="11"/>
  <c r="T26" i="11"/>
  <c r="T49" i="11"/>
  <c r="T41" i="11"/>
  <c r="T33" i="11"/>
  <c r="T25" i="11"/>
  <c r="T17" i="11"/>
  <c r="T8" i="11"/>
  <c r="T21" i="11"/>
  <c r="T42" i="11"/>
  <c r="T4" i="11"/>
  <c r="T40" i="11"/>
  <c r="T32" i="11"/>
  <c r="T24" i="11"/>
  <c r="T16" i="11"/>
  <c r="T7" i="11"/>
  <c r="T36" i="11"/>
  <c r="T55" i="11"/>
  <c r="T47" i="11"/>
  <c r="T39" i="11"/>
  <c r="T31" i="11"/>
  <c r="T23" i="11"/>
  <c r="T15" i="11"/>
  <c r="T6" i="11"/>
  <c r="T29" i="11"/>
  <c r="T52" i="11"/>
  <c r="T34" i="11"/>
  <c r="T54" i="11"/>
  <c r="T46" i="11"/>
  <c r="T38" i="11"/>
  <c r="T30" i="11"/>
  <c r="T22" i="11"/>
  <c r="T14" i="11"/>
  <c r="M5" i="22"/>
  <c r="N5" i="22"/>
  <c r="O11" i="22" s="1"/>
  <c r="M6" i="22"/>
  <c r="N6" i="22"/>
  <c r="M7" i="22"/>
  <c r="N7" i="22"/>
  <c r="M8" i="22"/>
  <c r="N8" i="22"/>
  <c r="O8" i="22" s="1"/>
  <c r="M9" i="22"/>
  <c r="N9" i="22"/>
  <c r="M10" i="22"/>
  <c r="N10" i="22"/>
  <c r="M11" i="22"/>
  <c r="N11" i="22"/>
  <c r="M12" i="22"/>
  <c r="N12" i="22"/>
  <c r="O12" i="22" s="1"/>
  <c r="M13" i="22"/>
  <c r="N13" i="22"/>
  <c r="M14" i="22"/>
  <c r="N14" i="22"/>
  <c r="M15" i="22"/>
  <c r="N15" i="22"/>
  <c r="M16" i="22"/>
  <c r="N16" i="22"/>
  <c r="O16" i="22" s="1"/>
  <c r="M17" i="22"/>
  <c r="N17" i="22"/>
  <c r="M18" i="22"/>
  <c r="N18" i="22"/>
  <c r="M19" i="22"/>
  <c r="N19" i="22"/>
  <c r="M20" i="22"/>
  <c r="N20" i="22"/>
  <c r="O20" i="22" s="1"/>
  <c r="M21" i="22"/>
  <c r="N21" i="22"/>
  <c r="M22" i="22"/>
  <c r="N22" i="22"/>
  <c r="M23" i="22"/>
  <c r="N23" i="22"/>
  <c r="M24" i="22"/>
  <c r="N24" i="22"/>
  <c r="O5" i="22" s="1"/>
  <c r="M25" i="22"/>
  <c r="N25" i="22"/>
  <c r="M26" i="22"/>
  <c r="N26" i="22"/>
  <c r="M27" i="22"/>
  <c r="N27" i="22"/>
  <c r="M28" i="22"/>
  <c r="N28" i="22"/>
  <c r="O28" i="22" s="1"/>
  <c r="M29" i="22"/>
  <c r="N29" i="22"/>
  <c r="M30" i="22"/>
  <c r="N30" i="22"/>
  <c r="M31" i="22"/>
  <c r="N31" i="22"/>
  <c r="M32" i="22"/>
  <c r="N32" i="22"/>
  <c r="O32" i="22" s="1"/>
  <c r="M33" i="22"/>
  <c r="N33" i="22"/>
  <c r="M34" i="22"/>
  <c r="N34" i="22"/>
  <c r="M35" i="22"/>
  <c r="N35" i="22"/>
  <c r="M36" i="22"/>
  <c r="N36" i="22"/>
  <c r="O36" i="22" s="1"/>
  <c r="M37" i="22"/>
  <c r="N37" i="22"/>
  <c r="M38" i="22"/>
  <c r="N38" i="22"/>
  <c r="M39" i="22"/>
  <c r="N39" i="22"/>
  <c r="M40" i="22"/>
  <c r="N40" i="22"/>
  <c r="O40" i="22" s="1"/>
  <c r="M41" i="22"/>
  <c r="N41" i="22"/>
  <c r="M42" i="22"/>
  <c r="N42" i="22"/>
  <c r="M43" i="22"/>
  <c r="N43" i="22"/>
  <c r="M44" i="22"/>
  <c r="N44" i="22"/>
  <c r="O44" i="22" s="1"/>
  <c r="M45" i="22"/>
  <c r="N45" i="22"/>
  <c r="O45" i="22"/>
  <c r="M46" i="22"/>
  <c r="N46" i="22"/>
  <c r="M47" i="22"/>
  <c r="N47" i="22"/>
  <c r="M48" i="22"/>
  <c r="N48" i="22"/>
  <c r="O48" i="22" s="1"/>
  <c r="M49" i="22"/>
  <c r="N49" i="22"/>
  <c r="M50" i="22"/>
  <c r="N50" i="22"/>
  <c r="M51" i="22"/>
  <c r="N51" i="22"/>
  <c r="M52" i="22"/>
  <c r="N52" i="22"/>
  <c r="O52" i="22" s="1"/>
  <c r="M53" i="22"/>
  <c r="N53" i="22"/>
  <c r="O53" i="22"/>
  <c r="M54" i="22"/>
  <c r="N54" i="22"/>
  <c r="M55" i="22"/>
  <c r="N55" i="22"/>
  <c r="M56" i="22"/>
  <c r="N56" i="22"/>
  <c r="O37" i="22" s="1"/>
  <c r="M57" i="22"/>
  <c r="N57" i="22"/>
  <c r="N4" i="22"/>
  <c r="O29" i="22" l="1"/>
  <c r="O21" i="22"/>
  <c r="O13" i="22"/>
  <c r="O50" i="22"/>
  <c r="O42" i="22"/>
  <c r="O34" i="22"/>
  <c r="O26" i="22"/>
  <c r="O18" i="22"/>
  <c r="O10" i="22"/>
  <c r="O55" i="22"/>
  <c r="O47" i="22"/>
  <c r="O39" i="22"/>
  <c r="O31" i="22"/>
  <c r="O23" i="22"/>
  <c r="O15" i="22"/>
  <c r="O7" i="22"/>
  <c r="O4" i="22"/>
  <c r="O33" i="22"/>
  <c r="O57" i="22"/>
  <c r="O49" i="22"/>
  <c r="O41" i="22"/>
  <c r="O25" i="22"/>
  <c r="O17" i="22"/>
  <c r="O9" i="22"/>
  <c r="O54" i="22"/>
  <c r="O46" i="22"/>
  <c r="O38" i="22"/>
  <c r="O30" i="22"/>
  <c r="O22" i="22"/>
  <c r="O14" i="22"/>
  <c r="O6" i="22"/>
  <c r="O51" i="22"/>
  <c r="O43" i="22"/>
  <c r="O35" i="22"/>
  <c r="O27" i="22"/>
  <c r="O19" i="22"/>
  <c r="O56" i="22"/>
  <c r="O24" i="22"/>
  <c r="M4" i="22"/>
  <c r="M5" i="23"/>
  <c r="N5" i="23"/>
  <c r="O7" i="23" s="1"/>
  <c r="M6" i="23"/>
  <c r="N6" i="23"/>
  <c r="M7" i="23"/>
  <c r="N7" i="23"/>
  <c r="M8" i="23"/>
  <c r="N8" i="23"/>
  <c r="O26" i="23" s="1"/>
  <c r="M9" i="23"/>
  <c r="N9" i="23"/>
  <c r="M10" i="23"/>
  <c r="N10" i="23"/>
  <c r="M11" i="23"/>
  <c r="N11" i="23"/>
  <c r="M12" i="23"/>
  <c r="N12" i="23"/>
  <c r="O9" i="23" s="1"/>
  <c r="M13" i="23"/>
  <c r="N13" i="23"/>
  <c r="M14" i="23"/>
  <c r="N14" i="23"/>
  <c r="M15" i="23"/>
  <c r="N15" i="23"/>
  <c r="M16" i="23"/>
  <c r="N16" i="23"/>
  <c r="O16" i="23" s="1"/>
  <c r="M17" i="23"/>
  <c r="N17" i="23"/>
  <c r="M18" i="23"/>
  <c r="N18" i="23"/>
  <c r="M19" i="23"/>
  <c r="N19" i="23"/>
  <c r="M20" i="23"/>
  <c r="N20" i="23"/>
  <c r="O17" i="23" s="1"/>
  <c r="M21" i="23"/>
  <c r="N21" i="23"/>
  <c r="M22" i="23"/>
  <c r="N22" i="23"/>
  <c r="M23" i="23"/>
  <c r="N23" i="23"/>
  <c r="M24" i="23"/>
  <c r="N24" i="23"/>
  <c r="O24" i="23" s="1"/>
  <c r="M25" i="23"/>
  <c r="N25" i="23"/>
  <c r="M26" i="23"/>
  <c r="N26" i="23"/>
  <c r="M27" i="23"/>
  <c r="N27" i="23"/>
  <c r="M28" i="23"/>
  <c r="N28" i="23"/>
  <c r="O21" i="23" s="1"/>
  <c r="M29" i="23"/>
  <c r="N29" i="23"/>
  <c r="M30" i="23"/>
  <c r="N30" i="23"/>
  <c r="M31" i="23"/>
  <c r="N31" i="23"/>
  <c r="M32" i="23"/>
  <c r="N32" i="23"/>
  <c r="O32" i="23" s="1"/>
  <c r="M33" i="23"/>
  <c r="N33" i="23"/>
  <c r="M34" i="23"/>
  <c r="N34" i="23"/>
  <c r="M35" i="23"/>
  <c r="N35" i="23"/>
  <c r="M36" i="23"/>
  <c r="N36" i="23"/>
  <c r="O36" i="23" s="1"/>
  <c r="M37" i="23"/>
  <c r="N37" i="23"/>
  <c r="M38" i="23"/>
  <c r="N38" i="23"/>
  <c r="M39" i="23"/>
  <c r="N39" i="23"/>
  <c r="M40" i="23"/>
  <c r="N40" i="23"/>
  <c r="O40" i="23" s="1"/>
  <c r="M41" i="23"/>
  <c r="N41" i="23"/>
  <c r="M42" i="23"/>
  <c r="N42" i="23"/>
  <c r="M43" i="23"/>
  <c r="N43" i="23"/>
  <c r="M44" i="23"/>
  <c r="N44" i="23"/>
  <c r="O37" i="23" s="1"/>
  <c r="M45" i="23"/>
  <c r="N45" i="23"/>
  <c r="M46" i="23"/>
  <c r="N46" i="23"/>
  <c r="M47" i="23"/>
  <c r="N47" i="23"/>
  <c r="M48" i="23"/>
  <c r="N48" i="23"/>
  <c r="O48" i="23" s="1"/>
  <c r="M49" i="23"/>
  <c r="N49" i="23"/>
  <c r="O49" i="23"/>
  <c r="M50" i="23"/>
  <c r="N50" i="23"/>
  <c r="M51" i="23"/>
  <c r="N51" i="23"/>
  <c r="M52" i="23"/>
  <c r="N52" i="23"/>
  <c r="O52" i="23" s="1"/>
  <c r="M53" i="23"/>
  <c r="N53" i="23"/>
  <c r="O53" i="23"/>
  <c r="M54" i="23"/>
  <c r="N54" i="23"/>
  <c r="M55" i="23"/>
  <c r="N55" i="23"/>
  <c r="M56" i="23"/>
  <c r="N56" i="23"/>
  <c r="O56" i="23" s="1"/>
  <c r="M57" i="23"/>
  <c r="N57" i="23"/>
  <c r="O57" i="23"/>
  <c r="N4" i="23"/>
  <c r="M4" i="23"/>
  <c r="O45" i="23" l="1"/>
  <c r="O29" i="23"/>
  <c r="O13" i="23"/>
  <c r="O42" i="23"/>
  <c r="O18" i="23"/>
  <c r="O10" i="23"/>
  <c r="O55" i="23"/>
  <c r="O47" i="23"/>
  <c r="O39" i="23"/>
  <c r="O31" i="23"/>
  <c r="O23" i="23"/>
  <c r="O15" i="23"/>
  <c r="O4" i="23"/>
  <c r="O44" i="23"/>
  <c r="O28" i="23"/>
  <c r="O20" i="23"/>
  <c r="O12" i="23"/>
  <c r="O33" i="23"/>
  <c r="O25" i="23"/>
  <c r="O46" i="23"/>
  <c r="O30" i="23"/>
  <c r="O41" i="23"/>
  <c r="O54" i="23"/>
  <c r="O38" i="23"/>
  <c r="O22" i="23"/>
  <c r="O14" i="23"/>
  <c r="O6" i="23"/>
  <c r="O51" i="23"/>
  <c r="O43" i="23"/>
  <c r="O35" i="23"/>
  <c r="O27" i="23"/>
  <c r="O19" i="23"/>
  <c r="O11" i="23"/>
  <c r="O8" i="23"/>
  <c r="O5" i="23"/>
  <c r="O50" i="23"/>
  <c r="O34" i="23"/>
  <c r="T5" i="8" l="1"/>
  <c r="T6" i="8"/>
  <c r="T7" i="8"/>
  <c r="T8" i="8"/>
  <c r="T9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4" i="8"/>
  <c r="S5" i="8"/>
  <c r="S6" i="8"/>
  <c r="S7" i="8"/>
  <c r="S8" i="8"/>
  <c r="S9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4" i="8"/>
  <c r="R5" i="8"/>
  <c r="R6" i="8"/>
  <c r="R7" i="8"/>
  <c r="R8" i="8"/>
  <c r="R9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4" i="8"/>
  <c r="T4" i="13" l="1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T19" i="13" s="1"/>
  <c r="S45" i="13"/>
  <c r="S46" i="13"/>
  <c r="S47" i="13"/>
  <c r="S48" i="13"/>
  <c r="S49" i="13"/>
  <c r="S50" i="13"/>
  <c r="T5" i="13" s="1"/>
  <c r="S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4" i="13"/>
  <c r="T50" i="13" l="1"/>
  <c r="T43" i="13"/>
  <c r="T42" i="13"/>
  <c r="T34" i="13"/>
  <c r="T35" i="13"/>
  <c r="T27" i="13"/>
  <c r="T26" i="13"/>
  <c r="T18" i="13"/>
  <c r="T49" i="13"/>
  <c r="T40" i="13"/>
  <c r="T24" i="13"/>
  <c r="T47" i="13"/>
  <c r="T31" i="13"/>
  <c r="T15" i="13"/>
  <c r="T30" i="13"/>
  <c r="T14" i="13"/>
  <c r="T44" i="13"/>
  <c r="T36" i="13"/>
  <c r="T28" i="13"/>
  <c r="T20" i="13"/>
  <c r="T12" i="13"/>
  <c r="T11" i="13"/>
  <c r="T10" i="13"/>
  <c r="T9" i="13"/>
  <c r="T8" i="13"/>
  <c r="T7" i="13"/>
  <c r="T6" i="13"/>
  <c r="T41" i="13"/>
  <c r="T33" i="13"/>
  <c r="T25" i="13"/>
  <c r="T17" i="13"/>
  <c r="T48" i="13"/>
  <c r="T32" i="13"/>
  <c r="T16" i="13"/>
  <c r="T39" i="13"/>
  <c r="T23" i="13"/>
  <c r="T46" i="13"/>
  <c r="T38" i="13"/>
  <c r="T22" i="13"/>
  <c r="T45" i="13"/>
  <c r="T37" i="13"/>
  <c r="T29" i="13"/>
  <c r="T21" i="13"/>
  <c r="T13" i="13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4" i="2"/>
  <c r="T5" i="2" l="1"/>
  <c r="T52" i="2"/>
  <c r="T44" i="2"/>
  <c r="T36" i="2"/>
  <c r="T28" i="2"/>
  <c r="T20" i="2"/>
  <c r="T12" i="2"/>
  <c r="T51" i="2"/>
  <c r="T43" i="2"/>
  <c r="T35" i="2"/>
  <c r="T27" i="2"/>
  <c r="T19" i="2"/>
  <c r="T11" i="2"/>
  <c r="T50" i="2"/>
  <c r="T34" i="2"/>
  <c r="T26" i="2"/>
  <c r="T18" i="2"/>
  <c r="T10" i="2"/>
  <c r="T42" i="2"/>
  <c r="T49" i="2"/>
  <c r="T41" i="2"/>
  <c r="T33" i="2"/>
  <c r="T25" i="2"/>
  <c r="T17" i="2"/>
  <c r="T9" i="2"/>
  <c r="T48" i="2"/>
  <c r="T40" i="2"/>
  <c r="T32" i="2"/>
  <c r="T24" i="2"/>
  <c r="T16" i="2"/>
  <c r="T8" i="2"/>
  <c r="T47" i="2"/>
  <c r="T39" i="2"/>
  <c r="T31" i="2"/>
  <c r="T23" i="2"/>
  <c r="T15" i="2"/>
  <c r="T7" i="2"/>
  <c r="T4" i="2"/>
  <c r="T46" i="2"/>
  <c r="T38" i="2"/>
  <c r="T30" i="2"/>
  <c r="T22" i="2"/>
  <c r="T14" i="2"/>
  <c r="T6" i="2"/>
  <c r="T53" i="2"/>
  <c r="T45" i="2"/>
  <c r="T37" i="2"/>
  <c r="T29" i="2"/>
  <c r="T21" i="2"/>
  <c r="T13" i="2"/>
  <c r="S5" i="18"/>
  <c r="T13" i="18" s="1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4" i="18"/>
  <c r="T30" i="18" l="1"/>
  <c r="T49" i="18"/>
  <c r="T29" i="18"/>
  <c r="T6" i="18"/>
  <c r="T46" i="18"/>
  <c r="T25" i="18"/>
  <c r="T45" i="18"/>
  <c r="T22" i="18"/>
  <c r="T7" i="18"/>
  <c r="T9" i="18"/>
  <c r="T41" i="18"/>
  <c r="T38" i="18"/>
  <c r="T37" i="18"/>
  <c r="T14" i="18"/>
  <c r="T21" i="18"/>
  <c r="T17" i="18"/>
  <c r="T33" i="18"/>
  <c r="T28" i="18"/>
  <c r="T4" i="18"/>
  <c r="T43" i="18"/>
  <c r="T35" i="18"/>
  <c r="T27" i="18"/>
  <c r="T19" i="18"/>
  <c r="T11" i="18"/>
  <c r="T5" i="18"/>
  <c r="T44" i="18"/>
  <c r="T36" i="18"/>
  <c r="T20" i="18"/>
  <c r="T12" i="18"/>
  <c r="T50" i="18"/>
  <c r="T42" i="18"/>
  <c r="T34" i="18"/>
  <c r="T26" i="18"/>
  <c r="T18" i="18"/>
  <c r="T10" i="18"/>
  <c r="T48" i="18"/>
  <c r="T40" i="18"/>
  <c r="T32" i="18"/>
  <c r="T24" i="18"/>
  <c r="T16" i="18"/>
  <c r="T8" i="18"/>
  <c r="T47" i="18"/>
  <c r="T39" i="18"/>
  <c r="T31" i="18"/>
  <c r="T23" i="18"/>
  <c r="T15" i="18"/>
</calcChain>
</file>

<file path=xl/sharedStrings.xml><?xml version="1.0" encoding="utf-8"?>
<sst xmlns="http://schemas.openxmlformats.org/spreadsheetml/2006/main" count="3426" uniqueCount="111">
  <si>
    <r>
      <t>N</t>
    </r>
    <r>
      <rPr>
        <b/>
        <u/>
        <sz val="11"/>
        <color theme="1"/>
        <rFont val="Calibri"/>
        <family val="2"/>
        <scheme val="minor"/>
      </rPr>
      <t>o</t>
    </r>
  </si>
  <si>
    <t>Student Name</t>
  </si>
  <si>
    <t>Age</t>
  </si>
  <si>
    <t>Sex</t>
  </si>
  <si>
    <t>Semester</t>
  </si>
  <si>
    <t>English</t>
  </si>
  <si>
    <t>Maths</t>
  </si>
  <si>
    <t>physics</t>
  </si>
  <si>
    <t>chemistry</t>
  </si>
  <si>
    <t>Biology</t>
  </si>
  <si>
    <t>IT</t>
  </si>
  <si>
    <t>Agriculture</t>
  </si>
  <si>
    <t>Total</t>
  </si>
  <si>
    <t>Average</t>
  </si>
  <si>
    <t>Rank</t>
  </si>
  <si>
    <t>Condc.</t>
  </si>
  <si>
    <t>Abse.</t>
  </si>
  <si>
    <t>M</t>
  </si>
  <si>
    <t>Semister 1</t>
  </si>
  <si>
    <t>Semister 2</t>
  </si>
  <si>
    <t>F</t>
  </si>
  <si>
    <t xml:space="preserve">Maria Rubbato Catholic School 2017 E.C  Roster Grade 11A (Natural Science) Student's </t>
  </si>
  <si>
    <t>Amharic</t>
  </si>
  <si>
    <t>History</t>
  </si>
  <si>
    <t>Geography</t>
  </si>
  <si>
    <t xml:space="preserve">Citizenship </t>
  </si>
  <si>
    <t>ICT</t>
  </si>
  <si>
    <t>Economics</t>
  </si>
  <si>
    <t>H.P.E</t>
  </si>
  <si>
    <t>Afan Oromo</t>
  </si>
  <si>
    <t xml:space="preserve">Maria Rubbato Catholic School 2017 E.C Roster Grade 9A Student's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</si>
  <si>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                                              Grade     9A   </t>
    </r>
    <r>
      <rPr>
        <u/>
        <sz val="11"/>
        <color theme="1"/>
        <rFont val="Bookman Old Style"/>
        <family val="1"/>
      </rPr>
      <t xml:space="preserve">  </t>
    </r>
    <r>
      <rPr>
        <sz val="11"/>
        <color theme="1"/>
        <rFont val="Bookman Old Style"/>
        <family val="1"/>
      </rPr>
      <t xml:space="preserve"> </t>
    </r>
  </si>
  <si>
    <r>
      <t>N</t>
    </r>
    <r>
      <rPr>
        <b/>
        <u/>
        <sz val="12"/>
        <color theme="1"/>
        <rFont val="Calibri"/>
        <family val="2"/>
        <scheme val="minor"/>
      </rPr>
      <t>o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</si>
  <si>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                                                Grade     9A   </t>
    </r>
    <r>
      <rPr>
        <u/>
        <sz val="11"/>
        <color theme="1"/>
        <rFont val="Bookman Old Style"/>
        <family val="1"/>
      </rPr>
      <t xml:space="preserve">     </t>
    </r>
    <r>
      <rPr>
        <sz val="11"/>
        <color theme="1"/>
        <rFont val="Bookman Old Style"/>
        <family val="1"/>
      </rPr>
      <t xml:space="preserve"> </t>
    </r>
  </si>
  <si>
    <t xml:space="preserve">Home Room Teacher                                                         Grade     9A         </t>
  </si>
  <si>
    <t>Semster 1 Average</t>
  </si>
  <si>
    <t>Semster 2 Average</t>
  </si>
  <si>
    <t xml:space="preserve">Maria Rubbato Catholic School 2017E.C Roster Grade 9A Student's </t>
  </si>
  <si>
    <t xml:space="preserve">Maria Rubbato Catholic School 2017 E.C Roster Grade 9B Student's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</si>
  <si>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</t>
    </r>
    <r>
      <rPr>
        <u/>
        <sz val="11"/>
        <color theme="1"/>
        <rFont val="Bookman Old Style"/>
        <family val="1"/>
      </rPr>
      <t xml:space="preserve">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9B      </t>
    </r>
    <r>
      <rPr>
        <sz val="11"/>
        <color theme="1"/>
        <rFont val="Bookman Old Style"/>
        <family val="1"/>
      </rPr>
      <t xml:space="preserve"> </t>
    </r>
  </si>
  <si>
    <t xml:space="preserve">Home Room Teacher                                                       Grade     9B     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</si>
  <si>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Lucida Calligraphy"/>
        <family val="4"/>
      </rPr>
      <t xml:space="preserve"> </t>
    </r>
    <r>
      <rPr>
        <u/>
        <sz val="11"/>
        <color theme="1"/>
        <rFont val="Bookman Old Style"/>
        <family val="1"/>
      </rPr>
      <t xml:space="preserve">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9C     </t>
    </r>
    <r>
      <rPr>
        <sz val="11"/>
        <color theme="1"/>
        <rFont val="Bookman Old Style"/>
        <family val="1"/>
      </rPr>
      <t xml:space="preserve"> </t>
    </r>
  </si>
  <si>
    <t xml:space="preserve">Maria Rubbato Catholic School 2017 E.C Roster Grade 9C Student's </t>
  </si>
  <si>
    <t xml:space="preserve">Maria Rubbato Catholic School 2017 E.C Roster Grade 10A Student's </t>
  </si>
  <si>
    <t xml:space="preserve">Maria Rubbato Catholic School 2017 E.C Roster Grade 10B Student's </t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</si>
  <si>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Grade    11A (Natural Science)    </t>
    </r>
    <r>
      <rPr>
        <u/>
        <sz val="12"/>
        <color theme="1"/>
        <rFont val="Bookman Old Style"/>
        <family val="1"/>
      </rPr>
      <t xml:space="preserve">           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</si>
  <si>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11A(Natural Science)    </t>
    </r>
    <r>
      <rPr>
        <u/>
        <sz val="12"/>
        <color theme="1"/>
        <rFont val="Bookman Old Style"/>
        <family val="1"/>
      </rPr>
      <t xml:space="preserve">                </t>
    </r>
  </si>
  <si>
    <r>
      <t>N</t>
    </r>
    <r>
      <rPr>
        <u/>
        <sz val="11"/>
        <color theme="1"/>
        <rFont val="Calibri"/>
        <family val="2"/>
        <scheme val="minor"/>
      </rPr>
      <t>o</t>
    </r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</si>
  <si>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11B Social Science)    </t>
    </r>
    <r>
      <rPr>
        <u/>
        <sz val="12"/>
        <color theme="1"/>
        <rFont val="Bookman Old Style"/>
        <family val="1"/>
      </rPr>
      <t xml:space="preserve">           </t>
    </r>
  </si>
  <si>
    <t xml:space="preserve">Maria Rubbato Catholic School 2017 E.C  Roster Grade 11B (Natural Science) Student's </t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</si>
  <si>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11B(Social Science)    </t>
    </r>
    <r>
      <rPr>
        <u/>
        <sz val="12"/>
        <color theme="1"/>
        <rFont val="Bookman Old Style"/>
        <family val="1"/>
      </rPr>
      <t xml:space="preserve">               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</si>
  <si>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</t>
    </r>
    <r>
      <rPr>
        <u/>
        <sz val="11"/>
        <color theme="1"/>
        <rFont val="Bookman Old Style"/>
        <family val="1"/>
      </rPr>
      <t xml:space="preserve">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12A      </t>
    </r>
    <r>
      <rPr>
        <sz val="11"/>
        <color theme="1"/>
        <rFont val="Bookman Old Style"/>
        <family val="1"/>
      </rPr>
      <t xml:space="preserve"> </t>
    </r>
  </si>
  <si>
    <t xml:space="preserve">Maria Rubbato Catholic School 2017 E.C Roster Grade 12A Student's </t>
  </si>
  <si>
    <t xml:space="preserve">Maria Rubbato Catholic School 2017 E.C  Roster Grade 12 A (Natural Science) Student's </t>
  </si>
  <si>
    <r>
      <t xml:space="preserve">      Home Room Teacher </t>
    </r>
    <r>
      <rPr>
        <u/>
        <sz val="12"/>
        <color theme="1"/>
        <rFont val="Bookman Old Style"/>
        <family val="1"/>
      </rPr>
      <t xml:space="preserve">       </t>
    </r>
    <r>
      <rPr>
        <u/>
        <sz val="12"/>
        <color theme="1"/>
        <rFont val="Lucida Calligraphy"/>
        <family val="4"/>
      </rPr>
      <t xml:space="preserve">                      Grade    12A Natural Science)    </t>
    </r>
    <r>
      <rPr>
        <u/>
        <sz val="12"/>
        <color theme="1"/>
        <rFont val="Bookman Old Style"/>
        <family val="1"/>
      </rPr>
      <t xml:space="preserve">          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</si>
  <si>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12A      </t>
    </r>
    <r>
      <rPr>
        <sz val="11"/>
        <color theme="1"/>
        <rFont val="Bookman Old Style"/>
        <family val="1"/>
      </rPr>
      <t xml:space="preserve"> </t>
    </r>
  </si>
  <si>
    <t xml:space="preserve">Home Room Teacher                                             Grade     12A </t>
  </si>
  <si>
    <t xml:space="preserve">Maria Rubbato Catholic School 2016 E.C Roster Grade 12B Student's </t>
  </si>
  <si>
    <t xml:space="preserve">Maria Rubbato Catholic School 2017 E.C Roster Grade 12B Student's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</si>
  <si>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                          Grade     12B  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</si>
  <si>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12B      </t>
    </r>
    <r>
      <rPr>
        <sz val="11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</si>
  <si>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                           Grade     12B   (S.S)</t>
    </r>
    <r>
      <rPr>
        <sz val="11"/>
        <color theme="1"/>
        <rFont val="Bookman Old Style"/>
        <family val="1"/>
      </rPr>
      <t xml:space="preserve"> </t>
    </r>
  </si>
  <si>
    <t xml:space="preserve">M </t>
  </si>
  <si>
    <t xml:space="preserve">M  </t>
  </si>
  <si>
    <t>f</t>
  </si>
  <si>
    <t xml:space="preserve"> F</t>
  </si>
  <si>
    <t>m</t>
  </si>
  <si>
    <t xml:space="preserve">F </t>
  </si>
  <si>
    <r>
      <t>N</t>
    </r>
    <r>
      <rPr>
        <b/>
        <u/>
        <sz val="12"/>
        <color theme="1"/>
        <rFont val="Times New Roman"/>
        <family val="1"/>
      </rPr>
      <t>o</t>
    </r>
  </si>
  <si>
    <r>
      <t>N</t>
    </r>
    <r>
      <rPr>
        <b/>
        <u/>
        <sz val="11"/>
        <color theme="1"/>
        <rFont val="Times New Roman"/>
        <family val="1"/>
      </rPr>
      <t>o</t>
    </r>
  </si>
  <si>
    <t>Math</t>
  </si>
  <si>
    <t xml:space="preserve">Physics </t>
  </si>
  <si>
    <t>Chemistry</t>
  </si>
  <si>
    <t xml:space="preserve">Biology </t>
  </si>
  <si>
    <t xml:space="preserve">History </t>
  </si>
  <si>
    <t xml:space="preserve">Civics </t>
  </si>
  <si>
    <t>-</t>
  </si>
  <si>
    <t>CTE</t>
  </si>
  <si>
    <t>CTA</t>
  </si>
  <si>
    <r>
      <t xml:space="preserve">         Home Room Teacher </t>
    </r>
    <r>
      <rPr>
        <u/>
        <sz val="22"/>
        <color theme="1"/>
        <rFont val="Bookman Old Style"/>
        <family val="1"/>
      </rPr>
      <t xml:space="preserve">      </t>
    </r>
    <r>
      <rPr>
        <u/>
        <sz val="22"/>
        <color theme="1"/>
        <rFont val="Lucida Calligraphy"/>
        <family val="4"/>
      </rPr>
      <t xml:space="preserve"> </t>
    </r>
    <r>
      <rPr>
        <u/>
        <sz val="22"/>
        <color theme="1"/>
        <rFont val="Bookman Old Style"/>
        <family val="1"/>
      </rPr>
      <t xml:space="preserve">                     </t>
    </r>
    <r>
      <rPr>
        <sz val="22"/>
        <color theme="1"/>
        <rFont val="Bookman Old Style"/>
        <family val="1"/>
      </rPr>
      <t xml:space="preserve">                          Grade </t>
    </r>
    <r>
      <rPr>
        <u/>
        <sz val="22"/>
        <color theme="1"/>
        <rFont val="Bookman Old Style"/>
        <family val="1"/>
      </rPr>
      <t xml:space="preserve">    10B     </t>
    </r>
    <r>
      <rPr>
        <sz val="22"/>
        <color theme="1"/>
        <rFont val="Bookman Old Style"/>
        <family val="1"/>
      </rPr>
      <t xml:space="preserve"> </t>
    </r>
  </si>
  <si>
    <r>
      <t>N</t>
    </r>
    <r>
      <rPr>
        <b/>
        <u/>
        <sz val="22"/>
        <color theme="1"/>
        <rFont val="Calibri"/>
        <family val="2"/>
        <scheme val="minor"/>
      </rPr>
      <t>o</t>
    </r>
  </si>
  <si>
    <r>
      <t xml:space="preserve">         Home Room Teacher </t>
    </r>
    <r>
      <rPr>
        <u/>
        <sz val="20"/>
        <color theme="1"/>
        <rFont val="Bookman Old Style"/>
        <family val="1"/>
      </rPr>
      <t xml:space="preserve">      </t>
    </r>
    <r>
      <rPr>
        <u/>
        <sz val="20"/>
        <color theme="1"/>
        <rFont val="Lucida Calligraphy"/>
        <family val="4"/>
      </rPr>
      <t xml:space="preserve"> </t>
    </r>
    <r>
      <rPr>
        <u/>
        <sz val="20"/>
        <color theme="1"/>
        <rFont val="Bookman Old Style"/>
        <family val="1"/>
      </rPr>
      <t xml:space="preserve">                     </t>
    </r>
    <r>
      <rPr>
        <sz val="20"/>
        <color theme="1"/>
        <rFont val="Bookman Old Style"/>
        <family val="1"/>
      </rPr>
      <t xml:space="preserve">                          Grade </t>
    </r>
    <r>
      <rPr>
        <u/>
        <sz val="20"/>
        <color theme="1"/>
        <rFont val="Bookman Old Style"/>
        <family val="1"/>
      </rPr>
      <t xml:space="preserve">    10A    </t>
    </r>
    <r>
      <rPr>
        <sz val="20"/>
        <color theme="1"/>
        <rFont val="Bookman Old Style"/>
        <family val="1"/>
      </rPr>
      <t xml:space="preserve"> </t>
    </r>
  </si>
  <si>
    <r>
      <t>N</t>
    </r>
    <r>
      <rPr>
        <b/>
        <u/>
        <sz val="20"/>
        <color theme="1"/>
        <rFont val="Calibri"/>
        <family val="2"/>
        <scheme val="minor"/>
      </rPr>
      <t>o</t>
    </r>
  </si>
  <si>
    <r>
      <t xml:space="preserve">         Home Room Teacher </t>
    </r>
    <r>
      <rPr>
        <u/>
        <sz val="26"/>
        <color theme="1"/>
        <rFont val="Bookman Old Style"/>
        <family val="1"/>
      </rPr>
      <t xml:space="preserve">      </t>
    </r>
    <r>
      <rPr>
        <u/>
        <sz val="26"/>
        <color theme="1"/>
        <rFont val="Lucida Calligraphy"/>
        <family val="4"/>
      </rPr>
      <t xml:space="preserve"> </t>
    </r>
    <r>
      <rPr>
        <u/>
        <sz val="26"/>
        <color theme="1"/>
        <rFont val="Bookman Old Style"/>
        <family val="1"/>
      </rPr>
      <t xml:space="preserve">                     </t>
    </r>
    <r>
      <rPr>
        <sz val="26"/>
        <color theme="1"/>
        <rFont val="Bookman Old Style"/>
        <family val="1"/>
      </rPr>
      <t xml:space="preserve">                          Grade </t>
    </r>
    <r>
      <rPr>
        <u/>
        <sz val="26"/>
        <color theme="1"/>
        <rFont val="Bookman Old Style"/>
        <family val="1"/>
      </rPr>
      <t xml:space="preserve">    10A     </t>
    </r>
    <r>
      <rPr>
        <sz val="26"/>
        <color theme="1"/>
        <rFont val="Bookman Old Style"/>
        <family val="1"/>
      </rPr>
      <t xml:space="preserve"> </t>
    </r>
  </si>
  <si>
    <r>
      <t>N</t>
    </r>
    <r>
      <rPr>
        <b/>
        <u/>
        <sz val="26"/>
        <color theme="1"/>
        <rFont val="Calibri"/>
        <family val="2"/>
        <scheme val="minor"/>
      </rPr>
      <t>o</t>
    </r>
  </si>
  <si>
    <t xml:space="preserve">Mhats </t>
  </si>
  <si>
    <r>
      <t xml:space="preserve">         Home Room Teacher </t>
    </r>
    <r>
      <rPr>
        <u/>
        <sz val="28"/>
        <color theme="1"/>
        <rFont val="Bookman Old Style"/>
        <family val="1"/>
      </rPr>
      <t xml:space="preserve">                              </t>
    </r>
    <r>
      <rPr>
        <sz val="28"/>
        <color theme="1"/>
        <rFont val="Bookman Old Style"/>
        <family val="1"/>
      </rPr>
      <t xml:space="preserve">                          Grade </t>
    </r>
    <r>
      <rPr>
        <u/>
        <sz val="28"/>
        <color theme="1"/>
        <rFont val="Bookman Old Style"/>
        <family val="1"/>
      </rPr>
      <t xml:space="preserve">    9A      </t>
    </r>
    <r>
      <rPr>
        <sz val="28"/>
        <color theme="1"/>
        <rFont val="Bookman Old Style"/>
        <family val="1"/>
      </rPr>
      <t xml:space="preserve"> </t>
    </r>
  </si>
  <si>
    <r>
      <t>N</t>
    </r>
    <r>
      <rPr>
        <b/>
        <u/>
        <sz val="28"/>
        <color theme="1"/>
        <rFont val="Calibri"/>
        <family val="2"/>
        <scheme val="minor"/>
      </rPr>
      <t>o</t>
    </r>
  </si>
  <si>
    <r>
      <t>N</t>
    </r>
    <r>
      <rPr>
        <b/>
        <u/>
        <sz val="18"/>
        <color theme="1"/>
        <rFont val="Calibri"/>
        <family val="2"/>
        <scheme val="minor"/>
      </rPr>
      <t>o</t>
    </r>
  </si>
  <si>
    <r>
      <t xml:space="preserve">         Home Room Teacher </t>
    </r>
    <r>
      <rPr>
        <u/>
        <sz val="22"/>
        <color theme="1"/>
        <rFont val="Bookman Old Style"/>
        <family val="1"/>
      </rPr>
      <t xml:space="preserve">      </t>
    </r>
    <r>
      <rPr>
        <u/>
        <sz val="22"/>
        <color theme="1"/>
        <rFont val="Lucida Calligraphy"/>
        <family val="4"/>
      </rPr>
      <t xml:space="preserve"> </t>
    </r>
    <r>
      <rPr>
        <u/>
        <sz val="22"/>
        <color theme="1"/>
        <rFont val="Bookman Old Style"/>
        <family val="1"/>
      </rPr>
      <t xml:space="preserve">                     </t>
    </r>
    <r>
      <rPr>
        <sz val="22"/>
        <color theme="1"/>
        <rFont val="Bookman Old Style"/>
        <family val="1"/>
      </rPr>
      <t xml:space="preserve">                          Grade </t>
    </r>
    <r>
      <rPr>
        <u/>
        <sz val="22"/>
        <color theme="1"/>
        <rFont val="Bookman Old Style"/>
        <family val="1"/>
      </rPr>
      <t xml:space="preserve">    9B      </t>
    </r>
    <r>
      <rPr>
        <sz val="22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</si>
  <si>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18"/>
        <color theme="1"/>
        <rFont val="Bookman Old Style"/>
        <family val="1"/>
      </rPr>
      <t xml:space="preserve">      </t>
    </r>
    <r>
      <rPr>
        <u/>
        <sz val="18"/>
        <color theme="1"/>
        <rFont val="Lucida Calligraphy"/>
        <family val="4"/>
      </rPr>
      <t xml:space="preserve"> </t>
    </r>
    <r>
      <rPr>
        <u/>
        <sz val="18"/>
        <color theme="1"/>
        <rFont val="Bookman Old Style"/>
        <family val="1"/>
      </rPr>
      <t xml:space="preserve">                     </t>
    </r>
    <r>
      <rPr>
        <sz val="18"/>
        <color theme="1"/>
        <rFont val="Bookman Old Style"/>
        <family val="1"/>
      </rPr>
      <t xml:space="preserve">                          Grade </t>
    </r>
    <r>
      <rPr>
        <u/>
        <sz val="18"/>
        <color theme="1"/>
        <rFont val="Bookman Old Style"/>
        <family val="1"/>
      </rPr>
      <t xml:space="preserve">    9C     </t>
    </r>
    <r>
      <rPr>
        <sz val="18"/>
        <color theme="1"/>
        <rFont val="Bookman Old Style"/>
        <family val="1"/>
      </rPr>
      <t xml:space="preserve"> </t>
    </r>
  </si>
  <si>
    <t xml:space="preserve">Maria Rubbato Catholic School 2016 E.C Roster Grade 10A Student's </t>
  </si>
  <si>
    <t xml:space="preserve">         Home Room Teacher                                                       Grade     11B      </t>
  </si>
  <si>
    <t>No</t>
  </si>
  <si>
    <t>Mathematics</t>
  </si>
  <si>
    <t>history</t>
  </si>
  <si>
    <t>Econimics</t>
  </si>
  <si>
    <r>
      <t>N</t>
    </r>
    <r>
      <rPr>
        <b/>
        <u/>
        <sz val="14"/>
        <color theme="1"/>
        <rFont val="Calibri"/>
        <family val="2"/>
        <scheme val="minor"/>
      </rPr>
      <t>o</t>
    </r>
  </si>
  <si>
    <r>
      <t xml:space="preserve">         Home Room Teacher </t>
    </r>
    <r>
      <rPr>
        <u/>
        <sz val="20"/>
        <color theme="1"/>
        <rFont val="Bookman Old Style"/>
        <family val="1"/>
      </rPr>
      <t xml:space="preserve">                            </t>
    </r>
    <r>
      <rPr>
        <sz val="20"/>
        <color theme="1"/>
        <rFont val="Bookman Old Style"/>
        <family val="1"/>
      </rPr>
      <t xml:space="preserve">                          Grade </t>
    </r>
    <r>
      <rPr>
        <u/>
        <sz val="20"/>
        <color theme="1"/>
        <rFont val="Bookman Old Style"/>
        <family val="1"/>
      </rPr>
      <t xml:space="preserve">    9B      </t>
    </r>
    <r>
      <rPr>
        <sz val="20"/>
        <color theme="1"/>
        <rFont val="Bookman Old Style"/>
        <family val="1"/>
      </rPr>
      <t xml:space="preserve"> </t>
    </r>
  </si>
  <si>
    <t xml:space="preserve">Home Room Teacher                                                       Grade     9C      </t>
  </si>
  <si>
    <t xml:space="preserve">Home Room Teacher                                                       Grade    10B      </t>
  </si>
  <si>
    <r>
      <t xml:space="preserve">         Home Room Teacher </t>
    </r>
    <r>
      <rPr>
        <u/>
        <sz val="18"/>
        <color theme="1"/>
        <rFont val="Bookman Old Style"/>
        <family val="1"/>
      </rPr>
      <t xml:space="preserve">                            </t>
    </r>
    <r>
      <rPr>
        <sz val="18"/>
        <color theme="1"/>
        <rFont val="Bookman Old Style"/>
        <family val="1"/>
      </rPr>
      <t xml:space="preserve">                          Grade </t>
    </r>
    <r>
      <rPr>
        <u/>
        <sz val="18"/>
        <color theme="1"/>
        <rFont val="Bookman Old Style"/>
        <family val="1"/>
      </rPr>
      <t xml:space="preserve">    9C      </t>
    </r>
    <r>
      <rPr>
        <sz val="18"/>
        <color theme="1"/>
        <rFont val="Bookman Old Style"/>
        <family val="1"/>
      </rPr>
      <t xml:space="preserve"> </t>
    </r>
  </si>
  <si>
    <r>
      <t xml:space="preserve">         Home Room Teacher </t>
    </r>
    <r>
      <rPr>
        <u/>
        <sz val="22"/>
        <color theme="1"/>
        <rFont val="Bookman Old Style"/>
        <family val="1"/>
      </rPr>
      <t xml:space="preserve">                            </t>
    </r>
    <r>
      <rPr>
        <sz val="22"/>
        <color theme="1"/>
        <rFont val="Bookman Old Style"/>
        <family val="1"/>
      </rPr>
      <t xml:space="preserve">                          Grade </t>
    </r>
    <r>
      <rPr>
        <u/>
        <sz val="22"/>
        <color theme="1"/>
        <rFont val="Bookman Old Style"/>
        <family val="1"/>
      </rPr>
      <t xml:space="preserve">    10A     </t>
    </r>
    <r>
      <rPr>
        <sz val="22"/>
        <color theme="1"/>
        <rFont val="Bookman Old Style"/>
        <family val="1"/>
      </rPr>
      <t xml:space="preserve"> </t>
    </r>
  </si>
  <si>
    <r>
      <t>N</t>
    </r>
    <r>
      <rPr>
        <b/>
        <u/>
        <sz val="22"/>
        <color theme="1"/>
        <rFont val="Times New Roman"/>
        <family val="1"/>
      </rPr>
      <t>o</t>
    </r>
  </si>
  <si>
    <r>
      <t xml:space="preserve">         Home Room Teacher </t>
    </r>
    <r>
      <rPr>
        <u/>
        <sz val="16"/>
        <color theme="1"/>
        <rFont val="Bookman Old Style"/>
        <family val="1"/>
      </rPr>
      <t xml:space="preserve">                            </t>
    </r>
    <r>
      <rPr>
        <sz val="16"/>
        <color theme="1"/>
        <rFont val="Bookman Old Style"/>
        <family val="1"/>
      </rPr>
      <t xml:space="preserve">                          Grade </t>
    </r>
    <r>
      <rPr>
        <u/>
        <sz val="16"/>
        <color theme="1"/>
        <rFont val="Bookman Old Style"/>
        <family val="1"/>
      </rPr>
      <t xml:space="preserve">    10B     </t>
    </r>
    <r>
      <rPr>
        <sz val="16"/>
        <color theme="1"/>
        <rFont val="Bookman Old Style"/>
        <family val="1"/>
      </rPr>
      <t xml:space="preserve"> </t>
    </r>
  </si>
  <si>
    <r>
      <t>N</t>
    </r>
    <r>
      <rPr>
        <b/>
        <u/>
        <sz val="16"/>
        <color theme="1"/>
        <rFont val="Times New Roman"/>
        <family val="1"/>
      </rPr>
      <t>o</t>
    </r>
  </si>
  <si>
    <t>Physics</t>
  </si>
  <si>
    <t xml:space="preserve"> </t>
  </si>
  <si>
    <t xml:space="preserve">Home Room Teacher                                             Grade     12B </t>
  </si>
  <si>
    <t xml:space="preserve">Maria Rubbato Catholic School 2017 E.C Roster Grade 11A Student's </t>
  </si>
  <si>
    <r>
      <t xml:space="preserve">         Home Room Teacher </t>
    </r>
    <r>
      <rPr>
        <u/>
        <sz val="11"/>
        <color theme="1"/>
        <rFont val="Bookman Old Style"/>
        <family val="1"/>
      </rPr>
      <t xml:space="preserve">                            </t>
    </r>
    <r>
      <rPr>
        <sz val="11"/>
        <color theme="1"/>
        <rFont val="Bookman Old Style"/>
        <family val="1"/>
      </rPr>
      <t xml:space="preserve">                          Grade </t>
    </r>
    <r>
      <rPr>
        <u/>
        <sz val="11"/>
        <color theme="1"/>
        <rFont val="Bookman Old Style"/>
        <family val="1"/>
      </rPr>
      <t xml:space="preserve">    11A     </t>
    </r>
    <r>
      <rPr>
        <sz val="11"/>
        <color theme="1"/>
        <rFont val="Bookman Old Style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</si>
</sst>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Bookman Old Style"/>
      <family val="1"/>
    </font>
    <font>
      <u/>
      <sz val="11"/>
      <color theme="1"/>
      <name val="Bookman Old Style"/>
      <family val="1"/>
    </font>
    <font>
      <u/>
      <sz val="11"/>
      <color theme="1"/>
      <name val="Lucida Calligraphy"/>
      <family val="4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u/>
      <sz val="12"/>
      <color theme="1"/>
      <name val="Bookman Old Style"/>
      <family val="1"/>
    </font>
    <font>
      <u/>
      <sz val="12"/>
      <color theme="1"/>
      <name val="Lucida Calligraphy"/>
      <family val="4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Bookman Old Style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4"/>
      <name val="Times New Roman"/>
      <family val="1"/>
    </font>
    <font>
      <sz val="11.5"/>
      <color rgb="FF000000"/>
      <name val="Bookman Old Style"/>
      <family val="1"/>
    </font>
    <font>
      <sz val="11.5"/>
      <color theme="1"/>
      <name val="Bookman Old Style"/>
      <family val="1"/>
    </font>
    <font>
      <sz val="11"/>
      <name val="Bookman Old Style"/>
      <family val="1"/>
    </font>
    <font>
      <sz val="12"/>
      <name val="Bookman Old Style"/>
      <family val="1"/>
    </font>
    <font>
      <sz val="18"/>
      <color theme="1"/>
      <name val="Calibri"/>
      <family val="2"/>
      <scheme val="minor"/>
    </font>
    <font>
      <sz val="22"/>
      <color theme="1"/>
      <name val="Times New Roman"/>
      <family val="1"/>
    </font>
    <font>
      <sz val="22"/>
      <color theme="1"/>
      <name val="Bookman Old Style"/>
      <family val="1"/>
    </font>
    <font>
      <u/>
      <sz val="22"/>
      <color theme="1"/>
      <name val="Bookman Old Style"/>
      <family val="1"/>
    </font>
    <font>
      <u/>
      <sz val="22"/>
      <color theme="1"/>
      <name val="Lucida Calligraphy"/>
      <family val="4"/>
    </font>
    <font>
      <b/>
      <sz val="22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22"/>
      <color theme="1"/>
      <name val="Calibri"/>
      <family val="2"/>
      <scheme val="minor"/>
    </font>
    <font>
      <sz val="22"/>
      <color rgb="FF000000"/>
      <name val="Times New Roman"/>
      <family val="1"/>
    </font>
    <font>
      <sz val="20"/>
      <color theme="1"/>
      <name val="Times New Roman"/>
      <family val="1"/>
    </font>
    <font>
      <sz val="26"/>
      <color theme="1"/>
      <name val="Times New Roman"/>
      <family val="1"/>
    </font>
    <font>
      <sz val="20"/>
      <color theme="1"/>
      <name val="Bookman Old Style"/>
      <family val="1"/>
    </font>
    <font>
      <u/>
      <sz val="20"/>
      <color theme="1"/>
      <name val="Bookman Old Style"/>
      <family val="1"/>
    </font>
    <font>
      <u/>
      <sz val="20"/>
      <color theme="1"/>
      <name val="Lucida Calligraphy"/>
      <family val="4"/>
    </font>
    <font>
      <b/>
      <u/>
      <sz val="20"/>
      <color theme="1"/>
      <name val="Calibri"/>
      <family val="2"/>
      <scheme val="minor"/>
    </font>
    <font>
      <sz val="20"/>
      <color rgb="FF000000"/>
      <name val="Times New Roman"/>
      <family val="1"/>
    </font>
    <font>
      <sz val="20"/>
      <color theme="1"/>
      <name val="Calibri"/>
      <family val="2"/>
      <scheme val="minor"/>
    </font>
    <font>
      <sz val="26"/>
      <color theme="1"/>
      <name val="Bookman Old Style"/>
      <family val="1"/>
    </font>
    <font>
      <u/>
      <sz val="26"/>
      <color theme="1"/>
      <name val="Bookman Old Style"/>
      <family val="1"/>
    </font>
    <font>
      <u/>
      <sz val="26"/>
      <color theme="1"/>
      <name val="Lucida Calligraphy"/>
      <family val="4"/>
    </font>
    <font>
      <b/>
      <sz val="2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26"/>
      <color rgb="FF000000"/>
      <name val="Times New Roman"/>
      <family val="1"/>
    </font>
    <font>
      <sz val="26"/>
      <color theme="1"/>
      <name val="Calibri"/>
      <family val="2"/>
      <scheme val="minor"/>
    </font>
    <font>
      <sz val="26"/>
      <name val="Bookman Old Style"/>
      <family val="1"/>
    </font>
    <font>
      <sz val="26"/>
      <color rgb="FF000000"/>
      <name val="Bookman Old Style"/>
      <family val="1"/>
    </font>
    <font>
      <sz val="28"/>
      <color theme="1"/>
      <name val="Times New Roman"/>
      <family val="1"/>
    </font>
    <font>
      <sz val="28"/>
      <color theme="1"/>
      <name val="Bookman Old Style"/>
      <family val="1"/>
    </font>
    <font>
      <u/>
      <sz val="28"/>
      <color theme="1"/>
      <name val="Bookman Old Style"/>
      <family val="1"/>
    </font>
    <font>
      <b/>
      <sz val="28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sz val="28"/>
      <color theme="1"/>
      <name val="Times New Roman"/>
      <family val="1"/>
    </font>
    <font>
      <sz val="28"/>
      <color rgb="FF000000"/>
      <name val="Times New Roman"/>
      <family val="1"/>
    </font>
    <font>
      <sz val="28"/>
      <color theme="1"/>
      <name val="Calibri"/>
      <family val="2"/>
      <scheme val="minor"/>
    </font>
    <font>
      <sz val="28"/>
      <name val="Bookman Old Style"/>
      <family val="1"/>
    </font>
    <font>
      <sz val="28"/>
      <name val="Times New Roman"/>
      <family val="1"/>
    </font>
    <font>
      <b/>
      <sz val="36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Bookman Old Style"/>
      <family val="1"/>
    </font>
    <font>
      <u/>
      <sz val="18"/>
      <color theme="1"/>
      <name val="Bookman Old Style"/>
      <family val="1"/>
    </font>
    <font>
      <u/>
      <sz val="18"/>
      <color theme="1"/>
      <name val="Lucida Calligraphy"/>
      <family val="4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8"/>
      <color rgb="FF000000"/>
      <name val="Bookman Old Style"/>
      <family val="1"/>
    </font>
    <font>
      <sz val="22"/>
      <color rgb="FF000000"/>
      <name val="Bookman Old Style"/>
      <family val="1"/>
    </font>
    <font>
      <sz val="18"/>
      <name val="Bookman Old Style"/>
      <family val="1"/>
    </font>
    <font>
      <sz val="22"/>
      <name val="Bookman Old Style"/>
      <family val="1"/>
    </font>
    <font>
      <sz val="22"/>
      <color rgb="FF000000"/>
      <name val="Calibri"/>
      <family val="2"/>
      <scheme val="minor"/>
    </font>
    <font>
      <sz val="22"/>
      <name val="Times New Roman"/>
      <family val="1"/>
    </font>
    <font>
      <sz val="14"/>
      <color theme="1"/>
      <name val="Bookman Old Style"/>
      <family val="1"/>
    </font>
    <font>
      <b/>
      <u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name val="Calibri"/>
      <family val="2"/>
      <scheme val="minor"/>
    </font>
    <font>
      <sz val="20"/>
      <name val="Calibri"/>
      <family val="2"/>
      <scheme val="minor"/>
    </font>
    <font>
      <b/>
      <u/>
      <sz val="22"/>
      <color theme="1"/>
      <name val="Times New Roman"/>
      <family val="1"/>
    </font>
    <font>
      <sz val="22"/>
      <name val="Calibri"/>
      <family val="2"/>
      <scheme val="minor"/>
    </font>
    <font>
      <sz val="16"/>
      <color theme="1"/>
      <name val="Bookman Old Style"/>
      <family val="1"/>
    </font>
    <font>
      <u/>
      <sz val="16"/>
      <color theme="1"/>
      <name val="Bookman Old Style"/>
      <family val="1"/>
    </font>
    <font>
      <b/>
      <sz val="16"/>
      <color theme="1"/>
      <name val="Times New Roman"/>
      <family val="1"/>
    </font>
    <font>
      <b/>
      <u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6"/>
      <name val="Times New Roman"/>
      <family val="1"/>
    </font>
    <font>
      <sz val="12"/>
      <name val="Times New Roman"/>
      <family val="1"/>
    </font>
    <font>
      <sz val="16"/>
      <name val="Calibri"/>
      <family val="2"/>
      <scheme val="minor"/>
    </font>
    <font>
      <u/>
      <sz val="18"/>
      <color rgb="FF000000"/>
      <name val="Times New Roman"/>
      <family val="1"/>
    </font>
    <font>
      <u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8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 textRotation="180"/>
    </xf>
    <xf numFmtId="0" fontId="12" fillId="0" borderId="10" xfId="0" applyFont="1" applyBorder="1" applyAlignment="1">
      <alignment horizontal="center" vertical="center" textRotation="180"/>
    </xf>
    <xf numFmtId="0" fontId="12" fillId="0" borderId="10" xfId="0" applyFont="1" applyFill="1" applyBorder="1" applyAlignment="1">
      <alignment horizontal="center" vertical="center" textRotation="180"/>
    </xf>
    <xf numFmtId="0" fontId="15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textRotation="180"/>
    </xf>
    <xf numFmtId="0" fontId="13" fillId="0" borderId="8" xfId="0" applyFont="1" applyBorder="1" applyAlignment="1">
      <alignment horizontal="center" vertical="center" textRotation="180"/>
    </xf>
    <xf numFmtId="1" fontId="0" fillId="0" borderId="1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24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3" xfId="0" applyFont="1" applyBorder="1"/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21" fillId="2" borderId="3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2" fontId="0" fillId="2" borderId="11" xfId="0" applyNumberFormat="1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0" fillId="0" borderId="0" xfId="0"/>
    <xf numFmtId="0" fontId="0" fillId="0" borderId="11" xfId="0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textRotation="180"/>
    </xf>
    <xf numFmtId="0" fontId="18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180"/>
    </xf>
    <xf numFmtId="0" fontId="1" fillId="0" borderId="7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0" fillId="0" borderId="0" xfId="0"/>
    <xf numFmtId="0" fontId="0" fillId="0" borderId="0" xfId="0" applyAlignment="1"/>
    <xf numFmtId="0" fontId="0" fillId="0" borderId="11" xfId="0" applyBorder="1" applyAlignment="1">
      <alignment horizontal="center" vertical="center"/>
    </xf>
    <xf numFmtId="0" fontId="0" fillId="0" borderId="11" xfId="0" applyFont="1" applyBorder="1" applyAlignment="1">
      <alignment horizontal="left" vertical="center"/>
    </xf>
    <xf numFmtId="2" fontId="14" fillId="2" borderId="1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textRotation="180"/>
    </xf>
    <xf numFmtId="0" fontId="18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180"/>
    </xf>
    <xf numFmtId="0" fontId="1" fillId="0" borderId="7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0" fillId="0" borderId="0" xfId="0"/>
    <xf numFmtId="0" fontId="0" fillId="0" borderId="0" xfId="0" applyAlignment="1"/>
    <xf numFmtId="0" fontId="1" fillId="0" borderId="11" xfId="0" applyFont="1" applyBorder="1" applyAlignment="1">
      <alignment horizontal="left" vertical="center"/>
    </xf>
    <xf numFmtId="2" fontId="14" fillId="2" borderId="1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wrapText="1"/>
    </xf>
    <xf numFmtId="0" fontId="0" fillId="0" borderId="11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 textRotation="180"/>
    </xf>
    <xf numFmtId="0" fontId="7" fillId="0" borderId="11" xfId="0" applyFont="1" applyBorder="1"/>
    <xf numFmtId="0" fontId="0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/>
    </xf>
    <xf numFmtId="0" fontId="0" fillId="0" borderId="11" xfId="0" applyFont="1" applyBorder="1" applyAlignment="1">
      <alignment horizontal="center" textRotation="255"/>
    </xf>
    <xf numFmtId="0" fontId="0" fillId="0" borderId="11" xfId="0" applyFont="1" applyFill="1" applyBorder="1" applyAlignment="1">
      <alignment horizontal="center" textRotation="255"/>
    </xf>
    <xf numFmtId="0" fontId="0" fillId="0" borderId="11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0" xfId="0" applyFont="1" applyFill="1" applyBorder="1" applyAlignment="1">
      <alignment horizontal="center" vertical="center" textRotation="180"/>
    </xf>
    <xf numFmtId="0" fontId="19" fillId="2" borderId="1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7" fillId="0" borderId="7" xfId="0" applyFont="1" applyBorder="1"/>
    <xf numFmtId="0" fontId="0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left" vertical="center"/>
    </xf>
    <xf numFmtId="0" fontId="11" fillId="0" borderId="10" xfId="0" applyNumberFormat="1" applyFont="1" applyBorder="1" applyAlignment="1">
      <alignment horizontal="center" vertical="center" textRotation="180"/>
    </xf>
    <xf numFmtId="0" fontId="24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2" fontId="0" fillId="2" borderId="1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11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textRotation="180"/>
    </xf>
    <xf numFmtId="0" fontId="13" fillId="0" borderId="10" xfId="0" applyFont="1" applyBorder="1" applyAlignment="1">
      <alignment horizontal="center" vertical="center" textRotation="180"/>
    </xf>
    <xf numFmtId="0" fontId="0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textRotation="180"/>
    </xf>
    <xf numFmtId="0" fontId="15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25" fillId="3" borderId="11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2" fontId="0" fillId="0" borderId="11" xfId="0" applyNumberForma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25" fillId="3" borderId="1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 textRotation="180"/>
    </xf>
    <xf numFmtId="0" fontId="7" fillId="0" borderId="11" xfId="0" applyFont="1" applyBorder="1"/>
    <xf numFmtId="0" fontId="0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 textRotation="180"/>
    </xf>
    <xf numFmtId="1" fontId="0" fillId="2" borderId="11" xfId="0" applyNumberFormat="1" applyFont="1" applyFill="1" applyBorder="1" applyAlignment="1">
      <alignment horizontal="center" vertical="center"/>
    </xf>
    <xf numFmtId="0" fontId="7" fillId="0" borderId="7" xfId="0" applyFont="1" applyBorder="1"/>
    <xf numFmtId="0" fontId="0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180"/>
    </xf>
    <xf numFmtId="0" fontId="0" fillId="2" borderId="11" xfId="0" applyNumberFormat="1" applyFont="1" applyFill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left" vertical="center"/>
    </xf>
    <xf numFmtId="0" fontId="1" fillId="0" borderId="10" xfId="0" applyNumberFormat="1" applyFont="1" applyBorder="1" applyAlignment="1">
      <alignment horizontal="center" vertical="center" textRotation="180"/>
    </xf>
    <xf numFmtId="0" fontId="0" fillId="0" borderId="11" xfId="0" applyFont="1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0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180"/>
    </xf>
    <xf numFmtId="0" fontId="15" fillId="0" borderId="1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24" fillId="0" borderId="32" xfId="0" applyFont="1" applyBorder="1" applyAlignment="1">
      <alignment vertical="center" wrapText="1"/>
    </xf>
    <xf numFmtId="0" fontId="27" fillId="0" borderId="33" xfId="0" applyFont="1" applyBorder="1" applyAlignment="1">
      <alignment horizontal="justify" vertical="center" wrapText="1"/>
    </xf>
    <xf numFmtId="0" fontId="24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horizontal="justify" vertical="center" wrapText="1"/>
    </xf>
    <xf numFmtId="0" fontId="27" fillId="0" borderId="35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7" fillId="0" borderId="37" xfId="0" applyFont="1" applyBorder="1" applyAlignment="1">
      <alignment horizontal="justify" vertical="center" wrapText="1"/>
    </xf>
    <xf numFmtId="0" fontId="24" fillId="0" borderId="33" xfId="0" applyFont="1" applyBorder="1" applyAlignment="1">
      <alignment horizontal="center" vertical="center" wrapText="1"/>
    </xf>
    <xf numFmtId="0" fontId="24" fillId="0" borderId="33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7" fillId="0" borderId="39" xfId="0" applyFont="1" applyBorder="1" applyAlignment="1">
      <alignment horizontal="justify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justify" vertical="center" wrapText="1"/>
    </xf>
    <xf numFmtId="0" fontId="24" fillId="0" borderId="40" xfId="0" applyFont="1" applyBorder="1" applyAlignment="1">
      <alignment vertical="center" wrapText="1"/>
    </xf>
    <xf numFmtId="0" fontId="29" fillId="0" borderId="37" xfId="0" applyFont="1" applyBorder="1" applyAlignment="1">
      <alignment horizontal="justify" vertical="center" wrapText="1"/>
    </xf>
    <xf numFmtId="0" fontId="29" fillId="0" borderId="33" xfId="0" applyFont="1" applyBorder="1" applyAlignment="1">
      <alignment horizontal="justify" vertical="center" wrapText="1"/>
    </xf>
    <xf numFmtId="0" fontId="15" fillId="0" borderId="33" xfId="0" applyFont="1" applyBorder="1" applyAlignment="1">
      <alignment horizontal="justify" vertical="center" wrapText="1"/>
    </xf>
    <xf numFmtId="0" fontId="30" fillId="0" borderId="33" xfId="0" applyFont="1" applyBorder="1" applyAlignment="1">
      <alignment vertical="center" wrapText="1"/>
    </xf>
    <xf numFmtId="0" fontId="23" fillId="0" borderId="33" xfId="0" applyFont="1" applyBorder="1" applyAlignment="1">
      <alignment horizontal="justify" vertical="center" wrapText="1"/>
    </xf>
    <xf numFmtId="0" fontId="31" fillId="0" borderId="32" xfId="0" applyFont="1" applyBorder="1" applyAlignment="1">
      <alignment horizontal="justify" vertical="center" wrapText="1"/>
    </xf>
    <xf numFmtId="0" fontId="32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2" fillId="0" borderId="7" xfId="0" applyFont="1" applyBorder="1" applyAlignment="1">
      <alignment horizontal="left" vertical="center" wrapText="1"/>
    </xf>
    <xf numFmtId="0" fontId="34" fillId="0" borderId="10" xfId="0" applyFont="1" applyBorder="1" applyAlignment="1">
      <alignment horizontal="center" vertical="center" textRotation="180"/>
    </xf>
    <xf numFmtId="0" fontId="34" fillId="0" borderId="10" xfId="0" applyFont="1" applyFill="1" applyBorder="1" applyAlignment="1">
      <alignment horizontal="center" vertical="center" textRotation="180"/>
    </xf>
    <xf numFmtId="0" fontId="34" fillId="0" borderId="11" xfId="0" applyFont="1" applyBorder="1" applyAlignment="1">
      <alignment horizontal="left" vertical="center"/>
    </xf>
    <xf numFmtId="0" fontId="34" fillId="0" borderId="7" xfId="0" applyFont="1" applyBorder="1" applyAlignment="1">
      <alignment horizontal="left" vertical="center"/>
    </xf>
    <xf numFmtId="0" fontId="32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left" vertical="center"/>
    </xf>
    <xf numFmtId="0" fontId="32" fillId="0" borderId="8" xfId="0" applyFont="1" applyBorder="1" applyAlignment="1">
      <alignment horizontal="left" vertical="center" wrapText="1"/>
    </xf>
    <xf numFmtId="0" fontId="36" fillId="0" borderId="8" xfId="0" applyFont="1" applyBorder="1" applyAlignment="1">
      <alignment horizontal="center" vertical="center" textRotation="180"/>
    </xf>
    <xf numFmtId="0" fontId="15" fillId="0" borderId="0" xfId="0" applyFont="1"/>
    <xf numFmtId="0" fontId="34" fillId="0" borderId="8" xfId="0" applyFont="1" applyBorder="1" applyAlignment="1">
      <alignment horizontal="center" vertical="center" textRotation="180"/>
    </xf>
    <xf numFmtId="0" fontId="32" fillId="0" borderId="8" xfId="0" applyFont="1" applyBorder="1" applyAlignment="1">
      <alignment horizontal="center" vertical="center" textRotation="180"/>
    </xf>
    <xf numFmtId="0" fontId="32" fillId="0" borderId="10" xfId="0" applyFont="1" applyFill="1" applyBorder="1" applyAlignment="1">
      <alignment horizontal="center" vertical="center" textRotation="180"/>
    </xf>
    <xf numFmtId="0" fontId="37" fillId="0" borderId="10" xfId="0" applyFont="1" applyBorder="1" applyAlignment="1">
      <alignment horizontal="left" vertical="center"/>
    </xf>
    <xf numFmtId="0" fontId="38" fillId="0" borderId="8" xfId="0" applyFont="1" applyBorder="1" applyAlignment="1">
      <alignment horizontal="center" vertical="center" textRotation="180"/>
    </xf>
    <xf numFmtId="0" fontId="37" fillId="0" borderId="8" xfId="0" applyFont="1" applyBorder="1" applyAlignment="1">
      <alignment horizontal="center" vertical="center" textRotation="180"/>
    </xf>
    <xf numFmtId="0" fontId="37" fillId="0" borderId="10" xfId="0" applyFont="1" applyFill="1" applyBorder="1" applyAlignment="1">
      <alignment horizontal="center" vertical="center" textRotation="180"/>
    </xf>
    <xf numFmtId="0" fontId="27" fillId="0" borderId="37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textRotation="180"/>
    </xf>
    <xf numFmtId="0" fontId="24" fillId="0" borderId="41" xfId="0" applyFont="1" applyBorder="1" applyAlignment="1">
      <alignment horizontal="center" vertical="center" wrapText="1"/>
    </xf>
    <xf numFmtId="0" fontId="23" fillId="0" borderId="33" xfId="0" applyFont="1" applyBorder="1" applyAlignment="1">
      <alignment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0" xfId="0" applyFont="1"/>
    <xf numFmtId="0" fontId="39" fillId="2" borderId="16" xfId="0" applyFont="1" applyFill="1" applyBorder="1" applyAlignment="1">
      <alignment horizontal="center" vertical="center"/>
    </xf>
    <xf numFmtId="0" fontId="39" fillId="2" borderId="15" xfId="0" applyFont="1" applyFill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2" fontId="39" fillId="0" borderId="15" xfId="0" applyNumberFormat="1" applyFont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40" fillId="2" borderId="11" xfId="0" applyFont="1" applyFill="1" applyBorder="1" applyAlignment="1">
      <alignment horizontal="center" vertical="center"/>
    </xf>
    <xf numFmtId="0" fontId="23" fillId="0" borderId="32" xfId="0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41" fillId="0" borderId="26" xfId="0" applyFont="1" applyBorder="1" applyAlignment="1">
      <alignment horizontal="center" vertical="center"/>
    </xf>
    <xf numFmtId="0" fontId="42" fillId="0" borderId="30" xfId="0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32" xfId="0" applyFont="1" applyBorder="1" applyAlignment="1">
      <alignment vertical="center" wrapText="1"/>
    </xf>
    <xf numFmtId="0" fontId="42" fillId="0" borderId="34" xfId="0" applyFont="1" applyBorder="1" applyAlignment="1">
      <alignment vertical="center" wrapText="1"/>
    </xf>
    <xf numFmtId="0" fontId="42" fillId="0" borderId="36" xfId="0" applyFont="1" applyBorder="1" applyAlignment="1">
      <alignment vertical="center" wrapText="1"/>
    </xf>
    <xf numFmtId="0" fontId="23" fillId="0" borderId="31" xfId="0" applyFont="1" applyBorder="1" applyAlignment="1">
      <alignment horizontal="justify" vertical="center" wrapText="1"/>
    </xf>
    <xf numFmtId="0" fontId="23" fillId="0" borderId="35" xfId="0" applyFont="1" applyBorder="1" applyAlignment="1">
      <alignment horizontal="justify" vertical="center" wrapText="1"/>
    </xf>
    <xf numFmtId="0" fontId="23" fillId="0" borderId="35" xfId="0" applyFont="1" applyBorder="1" applyAlignment="1">
      <alignment vertical="center" wrapText="1"/>
    </xf>
    <xf numFmtId="0" fontId="23" fillId="0" borderId="37" xfId="0" applyFont="1" applyBorder="1" applyAlignment="1">
      <alignment horizontal="justify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37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23" fillId="0" borderId="39" xfId="0" applyFont="1" applyBorder="1" applyAlignment="1">
      <alignment horizontal="justify" vertical="center" wrapText="1"/>
    </xf>
    <xf numFmtId="0" fontId="23" fillId="0" borderId="39" xfId="0" applyFont="1" applyBorder="1" applyAlignment="1">
      <alignment vertical="center" wrapText="1"/>
    </xf>
    <xf numFmtId="0" fontId="43" fillId="2" borderId="11" xfId="0" applyFont="1" applyFill="1" applyBorder="1" applyAlignment="1">
      <alignment horizontal="center" vertical="center"/>
    </xf>
    <xf numFmtId="0" fontId="44" fillId="2" borderId="11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0" fillId="2" borderId="16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45" fillId="2" borderId="16" xfId="0" applyFont="1" applyFill="1" applyBorder="1" applyAlignment="1">
      <alignment horizontal="center" vertical="center"/>
    </xf>
    <xf numFmtId="0" fontId="45" fillId="2" borderId="15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2" fontId="45" fillId="0" borderId="15" xfId="0" applyNumberFormat="1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45" fillId="2" borderId="3" xfId="0" applyFont="1" applyFill="1" applyBorder="1" applyAlignment="1">
      <alignment horizontal="center" vertical="center"/>
    </xf>
    <xf numFmtId="0" fontId="45" fillId="2" borderId="11" xfId="0" applyFont="1" applyFill="1" applyBorder="1" applyAlignment="1">
      <alignment horizontal="center" vertical="center"/>
    </xf>
    <xf numFmtId="0" fontId="46" fillId="2" borderId="11" xfId="0" applyFont="1" applyFill="1" applyBorder="1" applyAlignment="1">
      <alignment horizontal="center" vertical="center"/>
    </xf>
    <xf numFmtId="0" fontId="46" fillId="2" borderId="16" xfId="0" applyFont="1" applyFill="1" applyBorder="1" applyAlignment="1">
      <alignment horizontal="center" vertical="center"/>
    </xf>
    <xf numFmtId="0" fontId="46" fillId="2" borderId="3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24" fillId="0" borderId="42" xfId="0" applyFont="1" applyBorder="1" applyAlignment="1">
      <alignment vertical="center" wrapText="1"/>
    </xf>
    <xf numFmtId="0" fontId="24" fillId="0" borderId="43" xfId="0" applyFont="1" applyBorder="1" applyAlignment="1">
      <alignment vertical="center" wrapText="1"/>
    </xf>
    <xf numFmtId="0" fontId="24" fillId="0" borderId="44" xfId="0" applyFont="1" applyBorder="1" applyAlignment="1">
      <alignment vertical="center" wrapText="1"/>
    </xf>
    <xf numFmtId="0" fontId="24" fillId="0" borderId="45" xfId="0" applyFont="1" applyBorder="1" applyAlignment="1">
      <alignment vertical="center" wrapText="1"/>
    </xf>
    <xf numFmtId="0" fontId="41" fillId="2" borderId="3" xfId="0" applyFont="1" applyFill="1" applyBorder="1" applyAlignment="1">
      <alignment horizontal="center" vertical="center"/>
    </xf>
    <xf numFmtId="0" fontId="41" fillId="2" borderId="11" xfId="0" applyFont="1" applyFill="1" applyBorder="1" applyAlignment="1">
      <alignment horizontal="center" vertical="center"/>
    </xf>
    <xf numFmtId="2" fontId="41" fillId="0" borderId="11" xfId="0" applyNumberFormat="1" applyFont="1" applyBorder="1" applyAlignment="1">
      <alignment horizontal="center" vertical="center"/>
    </xf>
    <xf numFmtId="1" fontId="41" fillId="0" borderId="11" xfId="0" applyNumberFormat="1" applyFont="1" applyBorder="1" applyAlignment="1">
      <alignment horizontal="center" vertical="center"/>
    </xf>
    <xf numFmtId="0" fontId="47" fillId="2" borderId="11" xfId="0" applyFont="1" applyFill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2" fontId="19" fillId="2" borderId="11" xfId="0" applyNumberFormat="1" applyFont="1" applyFill="1" applyBorder="1" applyAlignment="1">
      <alignment horizontal="center" vertical="center"/>
    </xf>
    <xf numFmtId="0" fontId="25" fillId="0" borderId="3" xfId="0" applyFont="1" applyBorder="1"/>
    <xf numFmtId="0" fontId="34" fillId="0" borderId="11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/>
    </xf>
    <xf numFmtId="0" fontId="25" fillId="0" borderId="0" xfId="0" applyFont="1"/>
    <xf numFmtId="0" fontId="0" fillId="4" borderId="0" xfId="0" applyFill="1"/>
    <xf numFmtId="0" fontId="0" fillId="0" borderId="50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0" fillId="0" borderId="3" xfId="0" applyBorder="1"/>
    <xf numFmtId="0" fontId="2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0" fillId="0" borderId="6" xfId="0" applyBorder="1"/>
    <xf numFmtId="0" fontId="15" fillId="0" borderId="17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52" fillId="0" borderId="0" xfId="0" applyFont="1"/>
    <xf numFmtId="0" fontId="57" fillId="0" borderId="7" xfId="0" applyFont="1" applyBorder="1" applyAlignment="1">
      <alignment horizontal="center" vertical="center"/>
    </xf>
    <xf numFmtId="0" fontId="57" fillId="0" borderId="7" xfId="0" applyFont="1" applyBorder="1" applyAlignment="1">
      <alignment horizontal="left" vertical="center"/>
    </xf>
    <xf numFmtId="0" fontId="57" fillId="0" borderId="7" xfId="0" applyFont="1" applyBorder="1" applyAlignment="1">
      <alignment horizontal="left" vertical="center" wrapText="1"/>
    </xf>
    <xf numFmtId="0" fontId="59" fillId="0" borderId="8" xfId="0" applyFont="1" applyBorder="1" applyAlignment="1">
      <alignment horizontal="center" vertical="center" textRotation="180"/>
    </xf>
    <xf numFmtId="0" fontId="59" fillId="0" borderId="10" xfId="0" applyFont="1" applyBorder="1" applyAlignment="1">
      <alignment horizontal="center" vertical="center" textRotation="180"/>
    </xf>
    <xf numFmtId="0" fontId="59" fillId="0" borderId="10" xfId="0" applyFont="1" applyFill="1" applyBorder="1" applyAlignment="1">
      <alignment horizontal="center" vertical="center" textRotation="180"/>
    </xf>
    <xf numFmtId="0" fontId="60" fillId="0" borderId="0" xfId="0" applyFont="1"/>
    <xf numFmtId="0" fontId="53" fillId="0" borderId="13" xfId="0" applyFont="1" applyBorder="1" applyAlignment="1">
      <alignment horizontal="center" vertical="center"/>
    </xf>
    <xf numFmtId="0" fontId="61" fillId="0" borderId="36" xfId="0" applyFont="1" applyBorder="1" applyAlignment="1">
      <alignment vertical="center" wrapText="1"/>
    </xf>
    <xf numFmtId="0" fontId="61" fillId="0" borderId="37" xfId="0" applyFont="1" applyBorder="1" applyAlignment="1">
      <alignment horizontal="center" vertical="center" wrapText="1"/>
    </xf>
    <xf numFmtId="0" fontId="59" fillId="0" borderId="13" xfId="0" applyFont="1" applyBorder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2" fontId="59" fillId="0" borderId="25" xfId="0" applyNumberFormat="1" applyFont="1" applyBorder="1" applyAlignment="1">
      <alignment horizontal="center" vertical="center"/>
    </xf>
    <xf numFmtId="0" fontId="57" fillId="0" borderId="25" xfId="0" applyFont="1" applyBorder="1" applyAlignment="1">
      <alignment horizontal="center" vertical="center"/>
    </xf>
    <xf numFmtId="0" fontId="60" fillId="0" borderId="13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 wrapText="1"/>
    </xf>
    <xf numFmtId="0" fontId="61" fillId="0" borderId="32" xfId="0" applyFont="1" applyBorder="1" applyAlignment="1">
      <alignment vertical="center" wrapText="1"/>
    </xf>
    <xf numFmtId="0" fontId="61" fillId="0" borderId="33" xfId="0" applyFont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1" fillId="0" borderId="34" xfId="0" applyFont="1" applyBorder="1" applyAlignment="1">
      <alignment vertical="center" wrapText="1"/>
    </xf>
    <xf numFmtId="0" fontId="61" fillId="0" borderId="35" xfId="0" applyFont="1" applyBorder="1" applyAlignment="1">
      <alignment horizontal="center" vertical="center" wrapText="1"/>
    </xf>
    <xf numFmtId="0" fontId="61" fillId="4" borderId="32" xfId="0" applyFont="1" applyFill="1" applyBorder="1" applyAlignment="1">
      <alignment vertical="center" wrapText="1"/>
    </xf>
    <xf numFmtId="0" fontId="61" fillId="4" borderId="33" xfId="0" applyFont="1" applyFill="1" applyBorder="1" applyAlignment="1">
      <alignment horizontal="center" vertical="center" wrapText="1"/>
    </xf>
    <xf numFmtId="0" fontId="59" fillId="4" borderId="11" xfId="0" applyFont="1" applyFill="1" applyBorder="1" applyAlignment="1">
      <alignment horizontal="center" vertical="center"/>
    </xf>
    <xf numFmtId="0" fontId="60" fillId="4" borderId="11" xfId="0" applyFont="1" applyFill="1" applyBorder="1" applyAlignment="1">
      <alignment horizontal="center" vertical="center"/>
    </xf>
    <xf numFmtId="0" fontId="60" fillId="4" borderId="0" xfId="0" applyFont="1" applyFill="1"/>
    <xf numFmtId="0" fontId="61" fillId="0" borderId="38" xfId="0" applyFont="1" applyBorder="1" applyAlignment="1">
      <alignment vertical="center" wrapText="1"/>
    </xf>
    <xf numFmtId="0" fontId="61" fillId="0" borderId="39" xfId="0" applyFont="1" applyBorder="1" applyAlignment="1">
      <alignment horizontal="center" vertical="center" wrapText="1"/>
    </xf>
    <xf numFmtId="0" fontId="61" fillId="0" borderId="34" xfId="0" applyFont="1" applyBorder="1" applyAlignment="1">
      <alignment horizontal="justify" vertical="center" wrapText="1"/>
    </xf>
    <xf numFmtId="0" fontId="59" fillId="0" borderId="15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0" borderId="10" xfId="0" applyFont="1" applyBorder="1" applyAlignment="1">
      <alignment horizontal="left" vertical="center"/>
    </xf>
    <xf numFmtId="0" fontId="45" fillId="0" borderId="10" xfId="0" applyFont="1" applyBorder="1" applyAlignment="1">
      <alignment horizontal="left" vertical="center" wrapText="1"/>
    </xf>
    <xf numFmtId="0" fontId="39" fillId="0" borderId="8" xfId="0" applyFont="1" applyBorder="1" applyAlignment="1">
      <alignment horizontal="center" vertical="center" textRotation="180"/>
    </xf>
    <xf numFmtId="0" fontId="39" fillId="0" borderId="10" xfId="0" applyFont="1" applyFill="1" applyBorder="1" applyAlignment="1">
      <alignment horizontal="center" vertical="center" textRotation="180"/>
    </xf>
    <xf numFmtId="0" fontId="62" fillId="0" borderId="17" xfId="0" applyFont="1" applyBorder="1" applyAlignment="1">
      <alignment horizontal="center" vertical="center"/>
    </xf>
    <xf numFmtId="0" fontId="68" fillId="0" borderId="36" xfId="0" applyFont="1" applyBorder="1" applyAlignment="1">
      <alignment vertical="center" wrapText="1"/>
    </xf>
    <xf numFmtId="0" fontId="68" fillId="0" borderId="37" xfId="0" applyFont="1" applyBorder="1" applyAlignment="1">
      <alignment horizontal="center" vertical="center" wrapText="1"/>
    </xf>
    <xf numFmtId="0" fontId="68" fillId="0" borderId="37" xfId="0" applyFont="1" applyBorder="1" applyAlignment="1">
      <alignment horizontal="justify" vertical="center" wrapText="1"/>
    </xf>
    <xf numFmtId="0" fontId="69" fillId="0" borderId="15" xfId="0" applyFont="1" applyBorder="1" applyAlignment="1">
      <alignment horizontal="center" vertical="center"/>
    </xf>
    <xf numFmtId="0" fontId="69" fillId="0" borderId="13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 wrapText="1"/>
    </xf>
    <xf numFmtId="0" fontId="68" fillId="0" borderId="32" xfId="0" applyFont="1" applyBorder="1" applyAlignment="1">
      <alignment vertical="center" wrapText="1"/>
    </xf>
    <xf numFmtId="0" fontId="68" fillId="0" borderId="33" xfId="0" applyFont="1" applyBorder="1" applyAlignment="1">
      <alignment horizontal="center" vertical="center" wrapText="1"/>
    </xf>
    <xf numFmtId="0" fontId="68" fillId="0" borderId="33" xfId="0" applyFont="1" applyBorder="1" applyAlignment="1">
      <alignment vertical="center" wrapText="1"/>
    </xf>
    <xf numFmtId="0" fontId="69" fillId="0" borderId="11" xfId="0" applyFont="1" applyBorder="1" applyAlignment="1">
      <alignment horizontal="center" vertical="center"/>
    </xf>
    <xf numFmtId="0" fontId="68" fillId="0" borderId="33" xfId="0" applyFont="1" applyBorder="1" applyAlignment="1">
      <alignment horizontal="justify" vertical="center" wrapText="1"/>
    </xf>
    <xf numFmtId="0" fontId="68" fillId="0" borderId="34" xfId="0" applyFont="1" applyBorder="1" applyAlignment="1">
      <alignment vertical="center" wrapText="1"/>
    </xf>
    <xf numFmtId="0" fontId="68" fillId="0" borderId="35" xfId="0" applyFont="1" applyBorder="1" applyAlignment="1">
      <alignment horizontal="center" vertical="center" wrapText="1"/>
    </xf>
    <xf numFmtId="0" fontId="68" fillId="0" borderId="35" xfId="0" applyFont="1" applyBorder="1" applyAlignment="1">
      <alignment horizontal="justify" vertical="center" wrapText="1"/>
    </xf>
    <xf numFmtId="0" fontId="68" fillId="0" borderId="35" xfId="0" applyFont="1" applyBorder="1" applyAlignment="1">
      <alignment vertical="center" wrapText="1"/>
    </xf>
    <xf numFmtId="0" fontId="68" fillId="0" borderId="38" xfId="0" applyFont="1" applyBorder="1" applyAlignment="1">
      <alignment vertical="center" wrapText="1"/>
    </xf>
    <xf numFmtId="0" fontId="68" fillId="0" borderId="39" xfId="0" applyFont="1" applyBorder="1" applyAlignment="1">
      <alignment horizontal="center" vertical="center" wrapText="1"/>
    </xf>
    <xf numFmtId="0" fontId="68" fillId="0" borderId="39" xfId="0" applyFont="1" applyBorder="1" applyAlignment="1">
      <alignment horizontal="justify" vertical="center" wrapText="1"/>
    </xf>
    <xf numFmtId="0" fontId="73" fillId="0" borderId="7" xfId="0" applyFont="1" applyBorder="1" applyAlignment="1">
      <alignment horizontal="center" vertical="center"/>
    </xf>
    <xf numFmtId="0" fontId="73" fillId="0" borderId="7" xfId="0" applyFont="1" applyBorder="1" applyAlignment="1">
      <alignment horizontal="left" vertical="center"/>
    </xf>
    <xf numFmtId="0" fontId="73" fillId="0" borderId="7" xfId="0" applyFont="1" applyBorder="1" applyAlignment="1">
      <alignment horizontal="left" vertical="center" wrapText="1"/>
    </xf>
    <xf numFmtId="0" fontId="73" fillId="0" borderId="8" xfId="0" applyFont="1" applyBorder="1" applyAlignment="1">
      <alignment horizontal="center" vertical="center" textRotation="180"/>
    </xf>
    <xf numFmtId="0" fontId="73" fillId="0" borderId="10" xfId="0" applyFont="1" applyBorder="1" applyAlignment="1">
      <alignment horizontal="center" vertical="center" textRotation="180"/>
    </xf>
    <xf numFmtId="0" fontId="73" fillId="0" borderId="10" xfId="0" applyFont="1" applyFill="1" applyBorder="1" applyAlignment="1">
      <alignment horizontal="center" vertical="center" textRotation="180"/>
    </xf>
    <xf numFmtId="0" fontId="63" fillId="0" borderId="13" xfId="0" applyFont="1" applyBorder="1" applyAlignment="1">
      <alignment horizontal="center" vertical="center"/>
    </xf>
    <xf numFmtId="0" fontId="75" fillId="0" borderId="36" xfId="0" applyFont="1" applyBorder="1" applyAlignment="1">
      <alignment vertical="center" wrapText="1"/>
    </xf>
    <xf numFmtId="0" fontId="75" fillId="0" borderId="37" xfId="0" applyFont="1" applyBorder="1" applyAlignment="1">
      <alignment horizontal="center" vertical="center" wrapText="1"/>
    </xf>
    <xf numFmtId="0" fontId="75" fillId="0" borderId="37" xfId="0" applyFont="1" applyBorder="1" applyAlignment="1">
      <alignment horizontal="justify" vertical="center" wrapText="1"/>
    </xf>
    <xf numFmtId="0" fontId="76" fillId="0" borderId="13" xfId="0" applyFont="1" applyBorder="1" applyAlignment="1">
      <alignment horizontal="center" vertical="center"/>
    </xf>
    <xf numFmtId="0" fontId="77" fillId="0" borderId="49" xfId="0" applyFont="1" applyBorder="1" applyAlignment="1">
      <alignment horizontal="center" vertical="center" wrapText="1"/>
    </xf>
    <xf numFmtId="0" fontId="78" fillId="0" borderId="11" xfId="0" applyFont="1" applyBorder="1" applyAlignment="1">
      <alignment horizontal="center" vertical="center" wrapText="1"/>
    </xf>
    <xf numFmtId="0" fontId="76" fillId="0" borderId="51" xfId="0" applyFont="1" applyBorder="1" applyAlignment="1">
      <alignment horizontal="center" vertical="center"/>
    </xf>
    <xf numFmtId="0" fontId="76" fillId="0" borderId="25" xfId="0" applyFont="1" applyBorder="1" applyAlignment="1">
      <alignment horizontal="center" vertical="center"/>
    </xf>
    <xf numFmtId="0" fontId="70" fillId="0" borderId="49" xfId="0" applyFont="1" applyBorder="1" applyAlignment="1">
      <alignment horizontal="center" vertical="center" wrapText="1"/>
    </xf>
    <xf numFmtId="2" fontId="76" fillId="0" borderId="25" xfId="0" applyNumberFormat="1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 wrapText="1"/>
    </xf>
    <xf numFmtId="0" fontId="75" fillId="0" borderId="32" xfId="0" applyFont="1" applyBorder="1" applyAlignment="1">
      <alignment vertical="center" wrapText="1"/>
    </xf>
    <xf numFmtId="0" fontId="75" fillId="0" borderId="33" xfId="0" applyFont="1" applyBorder="1" applyAlignment="1">
      <alignment horizontal="center" vertical="center" wrapText="1"/>
    </xf>
    <xf numFmtId="0" fontId="75" fillId="0" borderId="33" xfId="0" applyFont="1" applyBorder="1" applyAlignment="1">
      <alignment vertical="center" wrapText="1"/>
    </xf>
    <xf numFmtId="0" fontId="76" fillId="0" borderId="11" xfId="0" applyFont="1" applyBorder="1" applyAlignment="1">
      <alignment horizontal="center" vertical="center"/>
    </xf>
    <xf numFmtId="0" fontId="77" fillId="0" borderId="47" xfId="0" applyFont="1" applyBorder="1" applyAlignment="1">
      <alignment horizontal="center" vertical="center" wrapText="1"/>
    </xf>
    <xf numFmtId="0" fontId="76" fillId="0" borderId="3" xfId="0" applyFont="1" applyBorder="1" applyAlignment="1">
      <alignment horizontal="center" vertical="center"/>
    </xf>
    <xf numFmtId="0" fontId="70" fillId="0" borderId="47" xfId="0" applyFont="1" applyBorder="1" applyAlignment="1">
      <alignment horizontal="center" vertical="center" wrapText="1"/>
    </xf>
    <xf numFmtId="0" fontId="75" fillId="0" borderId="33" xfId="0" applyFont="1" applyBorder="1" applyAlignment="1">
      <alignment horizontal="justify" vertical="center" wrapText="1"/>
    </xf>
    <xf numFmtId="0" fontId="76" fillId="0" borderId="24" xfId="0" applyFont="1" applyFill="1" applyBorder="1" applyAlignment="1">
      <alignment horizontal="center" vertical="center"/>
    </xf>
    <xf numFmtId="0" fontId="75" fillId="0" borderId="34" xfId="0" applyFont="1" applyBorder="1" applyAlignment="1">
      <alignment vertical="center" wrapText="1"/>
    </xf>
    <xf numFmtId="0" fontId="75" fillId="0" borderId="35" xfId="0" applyFont="1" applyBorder="1" applyAlignment="1">
      <alignment horizontal="center" vertical="center" wrapText="1"/>
    </xf>
    <xf numFmtId="0" fontId="75" fillId="0" borderId="35" xfId="0" applyFont="1" applyBorder="1" applyAlignment="1">
      <alignment horizontal="justify" vertical="center" wrapText="1"/>
    </xf>
    <xf numFmtId="0" fontId="77" fillId="0" borderId="48" xfId="0" applyFont="1" applyBorder="1" applyAlignment="1">
      <alignment horizontal="center" vertical="center" wrapText="1"/>
    </xf>
    <xf numFmtId="0" fontId="70" fillId="0" borderId="48" xfId="0" applyFont="1" applyBorder="1" applyAlignment="1">
      <alignment horizontal="center" vertical="center" wrapText="1"/>
    </xf>
    <xf numFmtId="0" fontId="63" fillId="0" borderId="11" xfId="0" applyFont="1" applyBorder="1" applyAlignment="1">
      <alignment horizontal="left" vertical="center" wrapText="1"/>
    </xf>
    <xf numFmtId="0" fontId="75" fillId="0" borderId="34" xfId="0" applyFont="1" applyBorder="1" applyAlignment="1">
      <alignment horizontal="left" vertical="center" wrapText="1"/>
    </xf>
    <xf numFmtId="0" fontId="75" fillId="0" borderId="35" xfId="0" applyFont="1" applyBorder="1" applyAlignment="1">
      <alignment horizontal="left" vertical="center" wrapText="1"/>
    </xf>
    <xf numFmtId="0" fontId="76" fillId="0" borderId="11" xfId="0" applyFont="1" applyBorder="1" applyAlignment="1">
      <alignment horizontal="left" vertical="center"/>
    </xf>
    <xf numFmtId="0" fontId="77" fillId="0" borderId="48" xfId="0" applyFont="1" applyBorder="1" applyAlignment="1">
      <alignment horizontal="left" vertical="center" wrapText="1"/>
    </xf>
    <xf numFmtId="0" fontId="78" fillId="0" borderId="7" xfId="0" applyFont="1" applyBorder="1" applyAlignment="1">
      <alignment horizontal="left" vertical="center" wrapText="1"/>
    </xf>
    <xf numFmtId="0" fontId="76" fillId="0" borderId="3" xfId="0" applyFont="1" applyBorder="1" applyAlignment="1">
      <alignment horizontal="left" vertical="center"/>
    </xf>
    <xf numFmtId="0" fontId="70" fillId="0" borderId="48" xfId="0" applyFont="1" applyBorder="1" applyAlignment="1">
      <alignment horizontal="left" vertical="center" wrapText="1"/>
    </xf>
    <xf numFmtId="0" fontId="76" fillId="0" borderId="25" xfId="0" applyFont="1" applyBorder="1" applyAlignment="1">
      <alignment horizontal="left" vertical="center"/>
    </xf>
    <xf numFmtId="0" fontId="75" fillId="0" borderId="38" xfId="0" applyFont="1" applyBorder="1" applyAlignment="1">
      <alignment horizontal="left" vertical="center" wrapText="1"/>
    </xf>
    <xf numFmtId="0" fontId="75" fillId="0" borderId="39" xfId="0" applyFont="1" applyBorder="1" applyAlignment="1">
      <alignment horizontal="left" vertical="center" wrapText="1"/>
    </xf>
    <xf numFmtId="0" fontId="77" fillId="0" borderId="52" xfId="0" applyFont="1" applyBorder="1" applyAlignment="1">
      <alignment horizontal="left" vertical="center" wrapText="1"/>
    </xf>
    <xf numFmtId="0" fontId="78" fillId="0" borderId="11" xfId="0" applyFont="1" applyBorder="1" applyAlignment="1">
      <alignment horizontal="left" vertical="center" wrapText="1"/>
    </xf>
    <xf numFmtId="0" fontId="70" fillId="0" borderId="52" xfId="0" applyFont="1" applyBorder="1" applyAlignment="1">
      <alignment horizontal="left" vertical="center" wrapText="1"/>
    </xf>
    <xf numFmtId="0" fontId="75" fillId="0" borderId="32" xfId="0" applyFont="1" applyBorder="1" applyAlignment="1">
      <alignment horizontal="left" vertical="center" wrapText="1"/>
    </xf>
    <xf numFmtId="0" fontId="75" fillId="0" borderId="33" xfId="0" applyFont="1" applyBorder="1" applyAlignment="1">
      <alignment horizontal="left" vertical="center" wrapText="1"/>
    </xf>
    <xf numFmtId="0" fontId="77" fillId="0" borderId="47" xfId="0" applyFont="1" applyBorder="1" applyAlignment="1">
      <alignment horizontal="left" vertical="center" wrapText="1"/>
    </xf>
    <xf numFmtId="0" fontId="70" fillId="0" borderId="47" xfId="0" applyFont="1" applyBorder="1" applyAlignment="1">
      <alignment horizontal="left" vertical="center" wrapText="1"/>
    </xf>
    <xf numFmtId="0" fontId="79" fillId="0" borderId="11" xfId="0" applyFont="1" applyBorder="1" applyAlignment="1">
      <alignment horizontal="center" vertical="center"/>
    </xf>
    <xf numFmtId="0" fontId="79" fillId="0" borderId="4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80" fillId="0" borderId="0" xfId="0" applyFont="1" applyBorder="1" applyAlignment="1">
      <alignment horizontal="left" vertical="center"/>
    </xf>
    <xf numFmtId="0" fontId="82" fillId="0" borderId="8" xfId="0" applyFont="1" applyBorder="1" applyAlignment="1">
      <alignment horizontal="left" vertical="center"/>
    </xf>
    <xf numFmtId="0" fontId="84" fillId="0" borderId="10" xfId="0" applyFont="1" applyBorder="1" applyAlignment="1">
      <alignment horizontal="center" vertical="center" textRotation="180"/>
    </xf>
    <xf numFmtId="0" fontId="84" fillId="0" borderId="8" xfId="0" applyFont="1" applyBorder="1" applyAlignment="1">
      <alignment horizontal="center" vertical="center" textRotation="180"/>
    </xf>
    <xf numFmtId="0" fontId="84" fillId="0" borderId="12" xfId="0" applyFont="1" applyBorder="1" applyAlignment="1">
      <alignment horizontal="center" vertical="center" textRotation="180"/>
    </xf>
    <xf numFmtId="0" fontId="84" fillId="0" borderId="11" xfId="0" applyFont="1" applyFill="1" applyBorder="1" applyAlignment="1">
      <alignment horizontal="center" vertical="center" textRotation="180"/>
    </xf>
    <xf numFmtId="0" fontId="84" fillId="0" borderId="53" xfId="0" applyFont="1" applyBorder="1" applyAlignment="1">
      <alignment horizontal="center" vertical="center" textRotation="180"/>
    </xf>
    <xf numFmtId="0" fontId="84" fillId="0" borderId="11" xfId="0" applyFont="1" applyBorder="1" applyAlignment="1">
      <alignment horizontal="center" vertical="center" textRotation="180"/>
    </xf>
    <xf numFmtId="0" fontId="84" fillId="0" borderId="14" xfId="0" applyFont="1" applyBorder="1" applyAlignment="1">
      <alignment horizontal="center" vertical="center" textRotation="180"/>
    </xf>
    <xf numFmtId="0" fontId="84" fillId="0" borderId="55" xfId="0" applyFont="1" applyBorder="1" applyAlignment="1">
      <alignment horizontal="center" vertical="center" textRotation="180"/>
    </xf>
    <xf numFmtId="0" fontId="82" fillId="0" borderId="10" xfId="0" applyFont="1" applyFill="1" applyBorder="1" applyAlignment="1">
      <alignment horizontal="center" vertical="center" textRotation="180"/>
    </xf>
    <xf numFmtId="0" fontId="79" fillId="0" borderId="11" xfId="0" applyFont="1" applyBorder="1"/>
    <xf numFmtId="0" fontId="79" fillId="2" borderId="11" xfId="0" applyFont="1" applyFill="1" applyBorder="1" applyAlignment="1">
      <alignment horizontal="center" vertical="center"/>
    </xf>
    <xf numFmtId="0" fontId="79" fillId="2" borderId="15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86" fillId="0" borderId="11" xfId="0" applyFont="1" applyBorder="1"/>
    <xf numFmtId="0" fontId="79" fillId="0" borderId="3" xfId="0" applyFont="1" applyBorder="1" applyAlignment="1">
      <alignment horizontal="center" textRotation="255"/>
    </xf>
    <xf numFmtId="0" fontId="86" fillId="0" borderId="11" xfId="0" applyFont="1" applyFill="1" applyBorder="1" applyAlignment="1">
      <alignment horizontal="center" textRotation="255"/>
    </xf>
    <xf numFmtId="0" fontId="79" fillId="0" borderId="3" xfId="0" applyFont="1" applyBorder="1" applyAlignment="1">
      <alignment horizontal="center"/>
    </xf>
    <xf numFmtId="0" fontId="86" fillId="0" borderId="11" xfId="0" applyFont="1" applyFill="1" applyBorder="1" applyAlignment="1">
      <alignment horizontal="center"/>
    </xf>
    <xf numFmtId="0" fontId="79" fillId="2" borderId="3" xfId="0" applyFont="1" applyFill="1" applyBorder="1" applyAlignment="1">
      <alignment horizontal="center" vertical="center"/>
    </xf>
    <xf numFmtId="0" fontId="86" fillId="2" borderId="11" xfId="0" applyFont="1" applyFill="1" applyBorder="1" applyAlignment="1">
      <alignment horizontal="center" vertical="center"/>
    </xf>
    <xf numFmtId="0" fontId="79" fillId="2" borderId="3" xfId="0" applyFont="1" applyFill="1" applyBorder="1" applyAlignment="1">
      <alignment horizontal="center"/>
    </xf>
    <xf numFmtId="0" fontId="86" fillId="2" borderId="11" xfId="0" applyFont="1" applyFill="1" applyBorder="1" applyAlignment="1">
      <alignment horizontal="center"/>
    </xf>
    <xf numFmtId="0" fontId="86" fillId="0" borderId="11" xfId="0" applyFont="1" applyBorder="1" applyAlignment="1">
      <alignment horizontal="center" vertical="center"/>
    </xf>
    <xf numFmtId="0" fontId="80" fillId="0" borderId="47" xfId="0" applyFont="1" applyBorder="1" applyAlignment="1">
      <alignment horizontal="center" vertical="center" wrapText="1"/>
    </xf>
    <xf numFmtId="0" fontId="87" fillId="0" borderId="47" xfId="0" applyFont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/>
    </xf>
    <xf numFmtId="1" fontId="86" fillId="0" borderId="25" xfId="0" applyNumberFormat="1" applyFont="1" applyBorder="1" applyAlignment="1">
      <alignment horizontal="center" vertical="center"/>
    </xf>
    <xf numFmtId="2" fontId="86" fillId="0" borderId="54" xfId="0" applyNumberFormat="1" applyFont="1" applyBorder="1" applyAlignment="1">
      <alignment horizontal="center" vertical="center"/>
    </xf>
    <xf numFmtId="0" fontId="88" fillId="2" borderId="11" xfId="0" applyFont="1" applyFill="1" applyBorder="1" applyAlignment="1">
      <alignment horizontal="center" vertical="center"/>
    </xf>
    <xf numFmtId="0" fontId="79" fillId="0" borderId="7" xfId="0" applyFont="1" applyBorder="1"/>
    <xf numFmtId="0" fontId="79" fillId="2" borderId="7" xfId="0" applyFont="1" applyFill="1" applyBorder="1" applyAlignment="1">
      <alignment horizontal="center" vertical="center"/>
    </xf>
    <xf numFmtId="0" fontId="79" fillId="2" borderId="4" xfId="0" applyFont="1" applyFill="1" applyBorder="1" applyAlignment="1">
      <alignment horizontal="center" vertical="center"/>
    </xf>
    <xf numFmtId="0" fontId="79" fillId="2" borderId="6" xfId="0" applyFont="1" applyFill="1" applyBorder="1" applyAlignment="1">
      <alignment horizontal="center" vertical="center"/>
    </xf>
    <xf numFmtId="0" fontId="86" fillId="2" borderId="7" xfId="0" applyFont="1" applyFill="1" applyBorder="1" applyAlignment="1">
      <alignment horizontal="center" vertical="center"/>
    </xf>
    <xf numFmtId="0" fontId="89" fillId="0" borderId="8" xfId="0" applyFont="1" applyBorder="1" applyAlignment="1">
      <alignment horizontal="center" vertical="center" textRotation="180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4" fillId="0" borderId="7" xfId="0" applyFont="1" applyBorder="1" applyAlignment="1">
      <alignment horizontal="center" vertical="center"/>
    </xf>
    <xf numFmtId="0" fontId="94" fillId="0" borderId="7" xfId="0" applyFont="1" applyBorder="1" applyAlignment="1">
      <alignment horizontal="left" vertical="center"/>
    </xf>
    <xf numFmtId="0" fontId="94" fillId="0" borderId="7" xfId="0" applyFont="1" applyBorder="1" applyAlignment="1">
      <alignment horizontal="left" vertical="center" wrapText="1"/>
    </xf>
    <xf numFmtId="0" fontId="94" fillId="0" borderId="8" xfId="0" applyFont="1" applyBorder="1" applyAlignment="1">
      <alignment horizontal="center" vertical="center" textRotation="180"/>
    </xf>
    <xf numFmtId="0" fontId="94" fillId="0" borderId="10" xfId="0" applyFont="1" applyBorder="1" applyAlignment="1">
      <alignment horizontal="center" vertical="center" textRotation="180"/>
    </xf>
    <xf numFmtId="0" fontId="94" fillId="0" borderId="10" xfId="0" applyFont="1" applyFill="1" applyBorder="1" applyAlignment="1">
      <alignment horizontal="center" vertical="center" textRotation="180"/>
    </xf>
    <xf numFmtId="0" fontId="90" fillId="0" borderId="13" xfId="0" applyFont="1" applyBorder="1" applyAlignment="1">
      <alignment horizontal="center" vertical="center"/>
    </xf>
    <xf numFmtId="0" fontId="96" fillId="0" borderId="36" xfId="0" applyFont="1" applyBorder="1" applyAlignment="1">
      <alignment vertical="center" wrapText="1"/>
    </xf>
    <xf numFmtId="0" fontId="96" fillId="0" borderId="37" xfId="0" applyFont="1" applyBorder="1" applyAlignment="1">
      <alignment horizontal="justify" vertical="center" wrapText="1"/>
    </xf>
    <xf numFmtId="0" fontId="96" fillId="0" borderId="37" xfId="0" applyFont="1" applyBorder="1" applyAlignment="1">
      <alignment vertical="center" wrapText="1"/>
    </xf>
    <xf numFmtId="0" fontId="52" fillId="0" borderId="13" xfId="0" applyFont="1" applyBorder="1" applyAlignment="1">
      <alignment horizontal="center" vertical="center"/>
    </xf>
    <xf numFmtId="0" fontId="97" fillId="0" borderId="11" xfId="0" applyFont="1" applyBorder="1" applyAlignment="1">
      <alignment horizontal="center" vertical="center" wrapText="1"/>
    </xf>
    <xf numFmtId="0" fontId="52" fillId="0" borderId="51" xfId="0" applyFont="1" applyBorder="1" applyAlignment="1">
      <alignment horizontal="center" vertical="center"/>
    </xf>
    <xf numFmtId="0" fontId="52" fillId="0" borderId="25" xfId="0" applyFont="1" applyBorder="1" applyAlignment="1">
      <alignment horizontal="center" vertical="center"/>
    </xf>
    <xf numFmtId="0" fontId="91" fillId="0" borderId="49" xfId="0" applyFont="1" applyBorder="1" applyAlignment="1">
      <alignment horizontal="center" vertical="center" wrapText="1"/>
    </xf>
    <xf numFmtId="2" fontId="52" fillId="0" borderId="25" xfId="0" applyNumberFormat="1" applyFont="1" applyBorder="1" applyAlignment="1">
      <alignment horizontal="center" vertical="center"/>
    </xf>
    <xf numFmtId="0" fontId="90" fillId="0" borderId="11" xfId="0" applyFont="1" applyBorder="1" applyAlignment="1">
      <alignment horizontal="center" vertical="center" wrapText="1"/>
    </xf>
    <xf numFmtId="0" fontId="96" fillId="0" borderId="32" xfId="0" applyFont="1" applyBorder="1" applyAlignment="1">
      <alignment vertical="center" wrapText="1"/>
    </xf>
    <xf numFmtId="0" fontId="96" fillId="0" borderId="33" xfId="0" applyFont="1" applyBorder="1" applyAlignment="1">
      <alignment horizontal="justify" vertical="center" wrapText="1"/>
    </xf>
    <xf numFmtId="0" fontId="96" fillId="0" borderId="33" xfId="0" applyFont="1" applyBorder="1" applyAlignment="1">
      <alignment vertical="center" wrapText="1"/>
    </xf>
    <xf numFmtId="0" fontId="52" fillId="0" borderId="11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91" fillId="0" borderId="47" xfId="0" applyFont="1" applyBorder="1" applyAlignment="1">
      <alignment horizontal="center" vertical="center" wrapText="1"/>
    </xf>
    <xf numFmtId="0" fontId="96" fillId="0" borderId="34" xfId="0" applyFont="1" applyBorder="1" applyAlignment="1">
      <alignment vertical="center" wrapText="1"/>
    </xf>
    <xf numFmtId="0" fontId="96" fillId="0" borderId="35" xfId="0" applyFont="1" applyBorder="1" applyAlignment="1">
      <alignment horizontal="justify" vertical="center" wrapText="1"/>
    </xf>
    <xf numFmtId="0" fontId="96" fillId="0" borderId="35" xfId="0" applyFont="1" applyBorder="1" applyAlignment="1">
      <alignment vertical="center" wrapText="1"/>
    </xf>
    <xf numFmtId="0" fontId="91" fillId="0" borderId="48" xfId="0" applyFont="1" applyBorder="1" applyAlignment="1">
      <alignment horizontal="center" vertical="center" wrapText="1"/>
    </xf>
    <xf numFmtId="0" fontId="97" fillId="0" borderId="7" xfId="0" applyFont="1" applyBorder="1" applyAlignment="1">
      <alignment horizontal="center" vertical="center" wrapText="1"/>
    </xf>
    <xf numFmtId="0" fontId="96" fillId="0" borderId="38" xfId="0" applyFont="1" applyBorder="1" applyAlignment="1">
      <alignment vertical="center" wrapText="1"/>
    </xf>
    <xf numFmtId="0" fontId="96" fillId="0" borderId="39" xfId="0" applyFont="1" applyBorder="1" applyAlignment="1">
      <alignment horizontal="justify" vertical="center" wrapText="1"/>
    </xf>
    <xf numFmtId="0" fontId="96" fillId="0" borderId="39" xfId="0" applyFont="1" applyBorder="1" applyAlignment="1">
      <alignment vertical="center" wrapText="1"/>
    </xf>
    <xf numFmtId="0" fontId="91" fillId="0" borderId="52" xfId="0" applyFont="1" applyBorder="1" applyAlignment="1">
      <alignment horizontal="center" vertical="center" wrapText="1"/>
    </xf>
    <xf numFmtId="0" fontId="52" fillId="0" borderId="15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 textRotation="180"/>
    </xf>
    <xf numFmtId="0" fontId="45" fillId="0" borderId="10" xfId="0" applyFont="1" applyFill="1" applyBorder="1" applyAlignment="1">
      <alignment horizontal="center" vertical="center" textRotation="180"/>
    </xf>
    <xf numFmtId="0" fontId="57" fillId="0" borderId="8" xfId="0" applyFont="1" applyBorder="1" applyAlignment="1">
      <alignment horizontal="center" vertical="center" textRotation="180"/>
    </xf>
    <xf numFmtId="0" fontId="57" fillId="0" borderId="10" xfId="0" applyFont="1" applyBorder="1" applyAlignment="1">
      <alignment horizontal="center" vertical="center" textRotation="180"/>
    </xf>
    <xf numFmtId="0" fontId="57" fillId="0" borderId="10" xfId="0" applyFont="1" applyFill="1" applyBorder="1" applyAlignment="1">
      <alignment horizontal="center" vertical="center" textRotation="180"/>
    </xf>
    <xf numFmtId="0" fontId="61" fillId="0" borderId="37" xfId="0" applyFont="1" applyBorder="1" applyAlignment="1">
      <alignment horizontal="justify" vertical="center" wrapText="1"/>
    </xf>
    <xf numFmtId="0" fontId="61" fillId="0" borderId="37" xfId="0" applyFont="1" applyBorder="1" applyAlignment="1">
      <alignment vertical="center" wrapText="1"/>
    </xf>
    <xf numFmtId="0" fontId="98" fillId="0" borderId="11" xfId="0" applyFont="1" applyBorder="1" applyAlignment="1">
      <alignment horizontal="center" vertical="center" wrapText="1"/>
    </xf>
    <xf numFmtId="0" fontId="60" fillId="0" borderId="51" xfId="0" applyFont="1" applyBorder="1" applyAlignment="1">
      <alignment horizontal="center" vertical="center"/>
    </xf>
    <xf numFmtId="0" fontId="60" fillId="0" borderId="25" xfId="0" applyFont="1" applyBorder="1" applyAlignment="1">
      <alignment horizontal="center" vertical="center"/>
    </xf>
    <xf numFmtId="0" fontId="54" fillId="0" borderId="49" xfId="0" applyFont="1" applyBorder="1" applyAlignment="1">
      <alignment horizontal="center" vertical="center" wrapText="1"/>
    </xf>
    <xf numFmtId="2" fontId="60" fillId="0" borderId="25" xfId="0" applyNumberFormat="1" applyFont="1" applyBorder="1" applyAlignment="1">
      <alignment horizontal="center" vertical="center"/>
    </xf>
    <xf numFmtId="0" fontId="61" fillId="0" borderId="33" xfId="0" applyFont="1" applyBorder="1" applyAlignment="1">
      <alignment horizontal="justify" vertical="center" wrapText="1"/>
    </xf>
    <xf numFmtId="0" fontId="61" fillId="0" borderId="33" xfId="0" applyFont="1" applyBorder="1" applyAlignment="1">
      <alignment vertical="center" wrapText="1"/>
    </xf>
    <xf numFmtId="0" fontId="60" fillId="0" borderId="3" xfId="0" applyFont="1" applyBorder="1" applyAlignment="1">
      <alignment horizontal="center" vertical="center"/>
    </xf>
    <xf numFmtId="0" fontId="54" fillId="0" borderId="47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justify" vertical="center" wrapText="1"/>
    </xf>
    <xf numFmtId="0" fontId="61" fillId="0" borderId="35" xfId="0" applyFont="1" applyBorder="1" applyAlignment="1">
      <alignment vertical="center" wrapText="1"/>
    </xf>
    <xf numFmtId="0" fontId="54" fillId="0" borderId="48" xfId="0" applyFont="1" applyBorder="1" applyAlignment="1">
      <alignment horizontal="center" vertical="center" wrapText="1"/>
    </xf>
    <xf numFmtId="0" fontId="98" fillId="0" borderId="7" xfId="0" applyFont="1" applyBorder="1" applyAlignment="1">
      <alignment horizontal="center" vertical="center" wrapText="1"/>
    </xf>
    <xf numFmtId="0" fontId="61" fillId="0" borderId="39" xfId="0" applyFont="1" applyBorder="1" applyAlignment="1">
      <alignment horizontal="justify" vertical="center" wrapText="1"/>
    </xf>
    <xf numFmtId="0" fontId="61" fillId="0" borderId="39" xfId="0" applyFont="1" applyBorder="1" applyAlignment="1">
      <alignment vertical="center" wrapText="1"/>
    </xf>
    <xf numFmtId="0" fontId="54" fillId="0" borderId="52" xfId="0" applyFont="1" applyBorder="1" applyAlignment="1">
      <alignment horizontal="center" vertical="center" wrapText="1"/>
    </xf>
    <xf numFmtId="0" fontId="60" fillId="0" borderId="15" xfId="0" applyFont="1" applyBorder="1" applyAlignment="1">
      <alignment horizontal="center" vertical="center"/>
    </xf>
    <xf numFmtId="0" fontId="99" fillId="0" borderId="49" xfId="0" applyFont="1" applyBorder="1" applyAlignment="1">
      <alignment horizontal="center" vertical="center" wrapText="1"/>
    </xf>
    <xf numFmtId="0" fontId="99" fillId="0" borderId="47" xfId="0" applyFont="1" applyBorder="1" applyAlignment="1">
      <alignment horizontal="center" vertical="center" wrapText="1"/>
    </xf>
    <xf numFmtId="0" fontId="99" fillId="0" borderId="48" xfId="0" applyFont="1" applyBorder="1" applyAlignment="1">
      <alignment horizontal="center" vertical="center" wrapText="1"/>
    </xf>
    <xf numFmtId="0" fontId="99" fillId="0" borderId="52" xfId="0" applyFont="1" applyBorder="1" applyAlignment="1">
      <alignment horizontal="center" vertical="center" wrapText="1"/>
    </xf>
    <xf numFmtId="0" fontId="96" fillId="0" borderId="11" xfId="0" applyFont="1" applyBorder="1" applyAlignment="1">
      <alignment horizontal="left" vertical="center" wrapText="1"/>
    </xf>
    <xf numFmtId="0" fontId="96" fillId="0" borderId="11" xfId="0" applyFont="1" applyBorder="1" applyAlignment="1">
      <alignment horizontal="center" vertical="center" wrapText="1"/>
    </xf>
    <xf numFmtId="0" fontId="90" fillId="0" borderId="15" xfId="0" applyFont="1" applyBorder="1" applyAlignment="1">
      <alignment horizontal="left" vertical="center"/>
    </xf>
    <xf numFmtId="0" fontId="90" fillId="0" borderId="15" xfId="0" applyFont="1" applyBorder="1" applyAlignment="1">
      <alignment horizontal="center" vertical="center"/>
    </xf>
    <xf numFmtId="0" fontId="90" fillId="0" borderId="11" xfId="0" applyFont="1" applyBorder="1" applyAlignment="1">
      <alignment horizontal="left" vertical="center"/>
    </xf>
    <xf numFmtId="0" fontId="90" fillId="0" borderId="11" xfId="0" applyFont="1" applyBorder="1" applyAlignment="1">
      <alignment horizontal="center" vertical="center"/>
    </xf>
    <xf numFmtId="2" fontId="52" fillId="0" borderId="13" xfId="0" applyNumberFormat="1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00" fillId="0" borderId="49" xfId="0" applyFont="1" applyBorder="1" applyAlignment="1">
      <alignment vertical="center" wrapText="1"/>
    </xf>
    <xf numFmtId="0" fontId="100" fillId="0" borderId="47" xfId="0" applyFont="1" applyBorder="1" applyAlignment="1">
      <alignment vertical="center" wrapText="1"/>
    </xf>
    <xf numFmtId="0" fontId="100" fillId="0" borderId="48" xfId="0" applyFont="1" applyBorder="1" applyAlignment="1">
      <alignment vertical="center" wrapText="1"/>
    </xf>
    <xf numFmtId="0" fontId="100" fillId="0" borderId="52" xfId="0" applyFont="1" applyBorder="1" applyAlignment="1">
      <alignment vertical="center" wrapText="1"/>
    </xf>
    <xf numFmtId="0" fontId="51" fillId="0" borderId="31" xfId="0" applyFont="1" applyBorder="1" applyAlignment="1">
      <alignment horizontal="center" vertical="center" wrapText="1"/>
    </xf>
    <xf numFmtId="0" fontId="50" fillId="0" borderId="33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7" xfId="0" applyFont="1" applyBorder="1" applyAlignment="1">
      <alignment horizontal="center" vertical="center" wrapText="1"/>
    </xf>
    <xf numFmtId="0" fontId="61" fillId="0" borderId="11" xfId="0" applyFont="1" applyBorder="1" applyAlignment="1"/>
    <xf numFmtId="0" fontId="101" fillId="0" borderId="11" xfId="0" applyFont="1" applyBorder="1" applyAlignment="1">
      <alignment horizontal="center" vertical="center" wrapText="1"/>
    </xf>
    <xf numFmtId="0" fontId="102" fillId="0" borderId="49" xfId="0" applyFont="1" applyBorder="1" applyAlignment="1">
      <alignment horizontal="center" vertical="center" wrapText="1"/>
    </xf>
    <xf numFmtId="0" fontId="102" fillId="0" borderId="47" xfId="0" applyFont="1" applyBorder="1" applyAlignment="1">
      <alignment horizontal="center" vertical="center" wrapText="1"/>
    </xf>
    <xf numFmtId="0" fontId="102" fillId="0" borderId="48" xfId="0" applyFont="1" applyBorder="1" applyAlignment="1">
      <alignment horizontal="center" vertical="center" wrapText="1"/>
    </xf>
    <xf numFmtId="0" fontId="61" fillId="0" borderId="7" xfId="0" applyFont="1" applyBorder="1" applyAlignment="1">
      <alignment horizontal="center" vertical="center" wrapText="1"/>
    </xf>
    <xf numFmtId="0" fontId="101" fillId="0" borderId="7" xfId="0" applyFont="1" applyBorder="1" applyAlignment="1">
      <alignment horizontal="center" vertical="center" wrapText="1"/>
    </xf>
    <xf numFmtId="0" fontId="102" fillId="0" borderId="52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/>
    </xf>
    <xf numFmtId="2" fontId="52" fillId="0" borderId="11" xfId="0" applyNumberFormat="1" applyFont="1" applyBorder="1" applyAlignment="1">
      <alignment horizontal="center" vertical="center"/>
    </xf>
    <xf numFmtId="0" fontId="52" fillId="0" borderId="11" xfId="0" applyFont="1" applyBorder="1" applyAlignment="1">
      <alignment horizontal="center"/>
    </xf>
    <xf numFmtId="0" fontId="37" fillId="0" borderId="7" xfId="0" applyFont="1" applyBorder="1" applyAlignment="1">
      <alignment horizontal="center" vertical="center"/>
    </xf>
    <xf numFmtId="0" fontId="37" fillId="0" borderId="7" xfId="0" applyFont="1" applyBorder="1" applyAlignment="1">
      <alignment horizontal="left" vertical="center"/>
    </xf>
    <xf numFmtId="0" fontId="37" fillId="0" borderId="7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2" fillId="0" borderId="37" xfId="0" applyFont="1" applyBorder="1" applyAlignment="1">
      <alignment horizontal="justify" vertical="center" wrapText="1"/>
    </xf>
    <xf numFmtId="2" fontId="43" fillId="0" borderId="11" xfId="0" applyNumberFormat="1" applyFont="1" applyBorder="1" applyAlignment="1">
      <alignment horizontal="center" vertical="center"/>
    </xf>
    <xf numFmtId="0" fontId="43" fillId="0" borderId="11" xfId="0" applyFont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justify" vertical="center" wrapText="1"/>
    </xf>
    <xf numFmtId="0" fontId="42" fillId="0" borderId="33" xfId="0" applyFont="1" applyBorder="1" applyAlignment="1">
      <alignment vertical="center" wrapText="1"/>
    </xf>
    <xf numFmtId="0" fontId="42" fillId="0" borderId="35" xfId="0" applyFont="1" applyBorder="1" applyAlignment="1">
      <alignment horizontal="justify" vertical="center" wrapText="1"/>
    </xf>
    <xf numFmtId="0" fontId="42" fillId="0" borderId="35" xfId="0" applyFont="1" applyBorder="1" applyAlignment="1">
      <alignment vertical="center" wrapText="1"/>
    </xf>
    <xf numFmtId="0" fontId="41" fillId="0" borderId="15" xfId="0" applyFont="1" applyBorder="1" applyAlignment="1">
      <alignment horizontal="center" vertical="center"/>
    </xf>
    <xf numFmtId="0" fontId="69" fillId="0" borderId="11" xfId="0" applyFont="1" applyBorder="1" applyAlignment="1">
      <alignment horizontal="center"/>
    </xf>
    <xf numFmtId="0" fontId="60" fillId="0" borderId="11" xfId="0" applyFont="1" applyBorder="1" applyAlignment="1">
      <alignment horizontal="center"/>
    </xf>
    <xf numFmtId="0" fontId="105" fillId="0" borderId="11" xfId="0" applyFont="1" applyBorder="1" applyAlignment="1">
      <alignment horizontal="center"/>
    </xf>
    <xf numFmtId="0" fontId="90" fillId="0" borderId="4" xfId="0" applyFont="1" applyBorder="1" applyAlignment="1">
      <alignment horizontal="center" vertical="center"/>
    </xf>
    <xf numFmtId="0" fontId="90" fillId="0" borderId="5" xfId="0" applyFont="1" applyBorder="1" applyAlignment="1">
      <alignment horizontal="center" vertical="center"/>
    </xf>
    <xf numFmtId="0" fontId="90" fillId="0" borderId="6" xfId="0" applyFont="1" applyBorder="1" applyAlignment="1">
      <alignment horizontal="center" vertical="center"/>
    </xf>
    <xf numFmtId="0" fontId="91" fillId="0" borderId="0" xfId="0" applyFont="1" applyBorder="1" applyAlignment="1">
      <alignment horizontal="left" vertical="center"/>
    </xf>
    <xf numFmtId="0" fontId="94" fillId="0" borderId="8" xfId="0" applyFont="1" applyBorder="1" applyAlignment="1">
      <alignment horizontal="left" vertical="center"/>
    </xf>
    <xf numFmtId="0" fontId="94" fillId="0" borderId="12" xfId="0" applyFont="1" applyBorder="1" applyAlignment="1">
      <alignment horizontal="center" vertical="center" textRotation="180"/>
    </xf>
    <xf numFmtId="0" fontId="94" fillId="0" borderId="11" xfId="0" applyFont="1" applyFill="1" applyBorder="1" applyAlignment="1">
      <alignment horizontal="center" vertical="center" textRotation="180"/>
    </xf>
    <xf numFmtId="0" fontId="94" fillId="0" borderId="53" xfId="0" applyFont="1" applyBorder="1" applyAlignment="1">
      <alignment horizontal="center" vertical="center" textRotation="180"/>
    </xf>
    <xf numFmtId="0" fontId="52" fillId="2" borderId="15" xfId="0" applyFont="1" applyFill="1" applyBorder="1" applyAlignment="1">
      <alignment horizontal="center" vertical="center"/>
    </xf>
    <xf numFmtId="2" fontId="52" fillId="2" borderId="15" xfId="0" applyNumberFormat="1" applyFont="1" applyFill="1" applyBorder="1" applyAlignment="1">
      <alignment horizontal="center" vertical="center"/>
    </xf>
    <xf numFmtId="0" fontId="52" fillId="0" borderId="15" xfId="0" applyFont="1" applyBorder="1" applyAlignment="1">
      <alignment horizontal="center" textRotation="255"/>
    </xf>
    <xf numFmtId="0" fontId="52" fillId="0" borderId="11" xfId="0" applyFont="1" applyFill="1" applyBorder="1" applyAlignment="1">
      <alignment horizontal="center" textRotation="255"/>
    </xf>
    <xf numFmtId="0" fontId="52" fillId="2" borderId="11" xfId="0" applyFont="1" applyFill="1" applyBorder="1" applyAlignment="1">
      <alignment horizontal="center" vertical="center"/>
    </xf>
    <xf numFmtId="2" fontId="52" fillId="2" borderId="11" xfId="0" applyNumberFormat="1" applyFont="1" applyFill="1" applyBorder="1" applyAlignment="1">
      <alignment horizontal="center" vertical="center"/>
    </xf>
    <xf numFmtId="0" fontId="52" fillId="0" borderId="11" xfId="0" applyFont="1" applyFill="1" applyBorder="1" applyAlignment="1">
      <alignment horizontal="center"/>
    </xf>
    <xf numFmtId="0" fontId="52" fillId="2" borderId="11" xfId="0" applyFont="1" applyFill="1" applyBorder="1" applyAlignment="1">
      <alignment horizontal="center"/>
    </xf>
    <xf numFmtId="0" fontId="106" fillId="2" borderId="11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62" fillId="0" borderId="5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4" fillId="0" borderId="0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45" fillId="0" borderId="12" xfId="0" applyFont="1" applyBorder="1" applyAlignment="1">
      <alignment horizontal="center" vertical="center" textRotation="180"/>
    </xf>
    <xf numFmtId="0" fontId="45" fillId="0" borderId="11" xfId="0" applyFont="1" applyFill="1" applyBorder="1" applyAlignment="1">
      <alignment horizontal="center" vertical="center" textRotation="180"/>
    </xf>
    <xf numFmtId="0" fontId="45" fillId="0" borderId="53" xfId="0" applyFont="1" applyBorder="1" applyAlignment="1">
      <alignment horizontal="center" vertical="center" textRotation="180"/>
    </xf>
    <xf numFmtId="0" fontId="62" fillId="0" borderId="16" xfId="0" applyFont="1" applyBorder="1"/>
    <xf numFmtId="0" fontId="69" fillId="2" borderId="15" xfId="0" applyFont="1" applyFill="1" applyBorder="1" applyAlignment="1">
      <alignment horizontal="center" vertical="center"/>
    </xf>
    <xf numFmtId="2" fontId="69" fillId="2" borderId="15" xfId="0" applyNumberFormat="1" applyFont="1" applyFill="1" applyBorder="1" applyAlignment="1">
      <alignment horizontal="center" vertical="center"/>
    </xf>
    <xf numFmtId="0" fontId="69" fillId="0" borderId="15" xfId="0" applyFont="1" applyBorder="1" applyAlignment="1">
      <alignment horizontal="center" textRotation="255"/>
    </xf>
    <xf numFmtId="0" fontId="69" fillId="0" borderId="11" xfId="0" applyFont="1" applyFill="1" applyBorder="1" applyAlignment="1">
      <alignment horizontal="center" textRotation="255"/>
    </xf>
    <xf numFmtId="0" fontId="62" fillId="0" borderId="3" xfId="0" applyFont="1" applyBorder="1"/>
    <xf numFmtId="0" fontId="69" fillId="2" borderId="11" xfId="0" applyFont="1" applyFill="1" applyBorder="1" applyAlignment="1">
      <alignment horizontal="center" vertical="center"/>
    </xf>
    <xf numFmtId="2" fontId="69" fillId="2" borderId="11" xfId="0" applyNumberFormat="1" applyFont="1" applyFill="1" applyBorder="1" applyAlignment="1">
      <alignment horizontal="center" vertical="center"/>
    </xf>
    <xf numFmtId="0" fontId="69" fillId="0" borderId="11" xfId="0" applyFont="1" applyFill="1" applyBorder="1" applyAlignment="1">
      <alignment horizontal="center"/>
    </xf>
    <xf numFmtId="0" fontId="69" fillId="2" borderId="11" xfId="0" applyFont="1" applyFill="1" applyBorder="1" applyAlignment="1">
      <alignment horizontal="center"/>
    </xf>
    <xf numFmtId="0" fontId="107" fillId="2" borderId="11" xfId="0" applyFont="1" applyFill="1" applyBorder="1" applyAlignment="1">
      <alignment horizontal="center" vertical="center"/>
    </xf>
    <xf numFmtId="2" fontId="69" fillId="0" borderId="11" xfId="0" applyNumberFormat="1" applyFont="1" applyBorder="1" applyAlignment="1">
      <alignment horizontal="center"/>
    </xf>
    <xf numFmtId="0" fontId="37" fillId="0" borderId="11" xfId="0" applyFont="1" applyBorder="1" applyAlignment="1">
      <alignment horizontal="left" vertical="center"/>
    </xf>
    <xf numFmtId="0" fontId="37" fillId="0" borderId="11" xfId="0" applyFont="1" applyBorder="1" applyAlignment="1">
      <alignment horizontal="left" vertical="center" wrapText="1"/>
    </xf>
    <xf numFmtId="0" fontId="37" fillId="0" borderId="7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justify" vertical="center" wrapText="1"/>
    </xf>
    <xf numFmtId="2" fontId="43" fillId="0" borderId="15" xfId="0" applyNumberFormat="1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left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left" vertical="center" wrapText="1"/>
    </xf>
    <xf numFmtId="0" fontId="42" fillId="0" borderId="7" xfId="0" applyFont="1" applyBorder="1" applyAlignment="1">
      <alignment horizontal="center" vertical="center" wrapText="1"/>
    </xf>
    <xf numFmtId="0" fontId="52" fillId="0" borderId="16" xfId="0" applyFont="1" applyBorder="1"/>
    <xf numFmtId="0" fontId="52" fillId="0" borderId="3" xfId="0" applyFont="1" applyBorder="1"/>
    <xf numFmtId="0" fontId="0" fillId="2" borderId="11" xfId="0" applyFill="1" applyBorder="1" applyAlignment="1">
      <alignment horizontal="center"/>
    </xf>
    <xf numFmtId="0" fontId="0" fillId="2" borderId="0" xfId="0" applyFill="1"/>
    <xf numFmtId="0" fontId="53" fillId="0" borderId="4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3" fillId="2" borderId="5" xfId="0" applyFont="1" applyFill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54" fillId="2" borderId="0" xfId="0" applyFont="1" applyFill="1" applyBorder="1" applyAlignment="1">
      <alignment horizontal="left" vertical="center"/>
    </xf>
    <xf numFmtId="0" fontId="59" fillId="0" borderId="8" xfId="0" applyFont="1" applyBorder="1" applyAlignment="1">
      <alignment horizontal="left" vertical="center"/>
    </xf>
    <xf numFmtId="0" fontId="59" fillId="2" borderId="8" xfId="0" applyFont="1" applyFill="1" applyBorder="1" applyAlignment="1">
      <alignment horizontal="center" vertical="center" textRotation="180"/>
    </xf>
    <xf numFmtId="0" fontId="60" fillId="0" borderId="16" xfId="0" applyFont="1" applyBorder="1"/>
    <xf numFmtId="0" fontId="60" fillId="2" borderId="15" xfId="0" applyFont="1" applyFill="1" applyBorder="1" applyAlignment="1">
      <alignment horizontal="center" vertical="center"/>
    </xf>
    <xf numFmtId="2" fontId="60" fillId="2" borderId="15" xfId="0" applyNumberFormat="1" applyFont="1" applyFill="1" applyBorder="1" applyAlignment="1">
      <alignment horizontal="center" vertical="center"/>
    </xf>
    <xf numFmtId="0" fontId="60" fillId="0" borderId="15" xfId="0" applyFont="1" applyBorder="1" applyAlignment="1">
      <alignment horizontal="center" textRotation="255"/>
    </xf>
    <xf numFmtId="0" fontId="60" fillId="0" borderId="11" xfId="0" applyFont="1" applyFill="1" applyBorder="1" applyAlignment="1">
      <alignment horizontal="center" textRotation="255"/>
    </xf>
    <xf numFmtId="0" fontId="60" fillId="0" borderId="3" xfId="0" applyFont="1" applyBorder="1"/>
    <xf numFmtId="0" fontId="60" fillId="2" borderId="11" xfId="0" applyFont="1" applyFill="1" applyBorder="1" applyAlignment="1">
      <alignment horizontal="center" vertical="center"/>
    </xf>
    <xf numFmtId="2" fontId="60" fillId="2" borderId="11" xfId="0" applyNumberFormat="1" applyFont="1" applyFill="1" applyBorder="1" applyAlignment="1">
      <alignment horizontal="center" vertical="center"/>
    </xf>
    <xf numFmtId="0" fontId="60" fillId="0" borderId="11" xfId="0" applyFont="1" applyFill="1" applyBorder="1" applyAlignment="1">
      <alignment horizontal="center"/>
    </xf>
    <xf numFmtId="0" fontId="60" fillId="2" borderId="11" xfId="0" applyFont="1" applyFill="1" applyBorder="1" applyAlignment="1">
      <alignment horizontal="center"/>
    </xf>
    <xf numFmtId="0" fontId="109" fillId="2" borderId="11" xfId="0" applyFont="1" applyFill="1" applyBorder="1" applyAlignment="1">
      <alignment horizontal="center" vertical="center"/>
    </xf>
    <xf numFmtId="0" fontId="60" fillId="5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10" fillId="0" borderId="0" xfId="0" applyFont="1" applyBorder="1" applyAlignment="1">
      <alignment horizontal="left" vertical="center"/>
    </xf>
    <xf numFmtId="0" fontId="112" fillId="0" borderId="53" xfId="0" applyFont="1" applyBorder="1" applyAlignment="1">
      <alignment horizontal="left" vertical="center"/>
    </xf>
    <xf numFmtId="0" fontId="112" fillId="0" borderId="8" xfId="0" applyFont="1" applyBorder="1" applyAlignment="1">
      <alignment horizontal="left" vertical="center"/>
    </xf>
    <xf numFmtId="0" fontId="112" fillId="0" borderId="8" xfId="0" applyFont="1" applyBorder="1" applyAlignment="1">
      <alignment horizontal="center" vertical="center" textRotation="180"/>
    </xf>
    <xf numFmtId="0" fontId="112" fillId="0" borderId="10" xfId="0" applyFont="1" applyFill="1" applyBorder="1" applyAlignment="1">
      <alignment horizontal="center" vertical="center" textRotation="180"/>
    </xf>
    <xf numFmtId="0" fontId="2" fillId="0" borderId="16" xfId="0" applyFont="1" applyBorder="1"/>
    <xf numFmtId="0" fontId="2" fillId="2" borderId="15" xfId="0" applyFont="1" applyFill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0" fontId="115" fillId="0" borderId="15" xfId="0" applyFont="1" applyBorder="1" applyAlignment="1">
      <alignment horizontal="center" textRotation="255"/>
    </xf>
    <xf numFmtId="0" fontId="115" fillId="0" borderId="11" xfId="0" applyFont="1" applyFill="1" applyBorder="1" applyAlignment="1">
      <alignment horizontal="center" textRotation="255"/>
    </xf>
    <xf numFmtId="0" fontId="2" fillId="0" borderId="3" xfId="0" applyFont="1" applyBorder="1"/>
    <xf numFmtId="0" fontId="2" fillId="0" borderId="11" xfId="0" applyFont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/>
    </xf>
    <xf numFmtId="0" fontId="115" fillId="0" borderId="11" xfId="0" applyFont="1" applyBorder="1" applyAlignment="1">
      <alignment horizontal="center"/>
    </xf>
    <xf numFmtId="0" fontId="115" fillId="0" borderId="11" xfId="0" applyFont="1" applyFill="1" applyBorder="1" applyAlignment="1">
      <alignment horizontal="center"/>
    </xf>
    <xf numFmtId="0" fontId="115" fillId="2" borderId="11" xfId="0" applyFont="1" applyFill="1" applyBorder="1" applyAlignment="1">
      <alignment horizontal="center" vertical="center"/>
    </xf>
    <xf numFmtId="0" fontId="115" fillId="2" borderId="11" xfId="0" applyFont="1" applyFill="1" applyBorder="1" applyAlignment="1">
      <alignment horizontal="center"/>
    </xf>
    <xf numFmtId="0" fontId="116" fillId="2" borderId="11" xfId="0" applyFont="1" applyFill="1" applyBorder="1" applyAlignment="1">
      <alignment horizontal="center" vertical="center"/>
    </xf>
    <xf numFmtId="0" fontId="114" fillId="0" borderId="22" xfId="0" applyFont="1" applyBorder="1" applyAlignment="1">
      <alignment horizontal="center" vertical="center" wrapText="1"/>
    </xf>
    <xf numFmtId="0" fontId="114" fillId="0" borderId="2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left" vertical="center"/>
    </xf>
    <xf numFmtId="0" fontId="32" fillId="0" borderId="8" xfId="0" applyFont="1" applyFill="1" applyBorder="1" applyAlignment="1">
      <alignment horizontal="center" vertical="center" textRotation="180"/>
    </xf>
    <xf numFmtId="0" fontId="25" fillId="0" borderId="16" xfId="0" applyFont="1" applyBorder="1"/>
    <xf numFmtId="0" fontId="25" fillId="2" borderId="15" xfId="0" applyFont="1" applyFill="1" applyBorder="1" applyAlignment="1">
      <alignment horizontal="center" vertical="center"/>
    </xf>
    <xf numFmtId="0" fontId="25" fillId="0" borderId="15" xfId="0" applyFont="1" applyFill="1" applyBorder="1" applyAlignment="1">
      <alignment horizontal="center" vertical="center"/>
    </xf>
    <xf numFmtId="0" fontId="25" fillId="0" borderId="15" xfId="0" applyFont="1" applyFill="1" applyBorder="1" applyAlignment="1">
      <alignment horizontal="center" textRotation="255"/>
    </xf>
    <xf numFmtId="0" fontId="25" fillId="0" borderId="11" xfId="0" applyFont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/>
    </xf>
    <xf numFmtId="0" fontId="117" fillId="2" borderId="11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16" fillId="0" borderId="3" xfId="0" applyFont="1" applyBorder="1"/>
    <xf numFmtId="2" fontId="116" fillId="2" borderId="11" xfId="0" applyNumberFormat="1" applyFont="1" applyFill="1" applyBorder="1" applyAlignment="1">
      <alignment horizontal="center" vertical="center"/>
    </xf>
    <xf numFmtId="0" fontId="118" fillId="0" borderId="11" xfId="0" applyFont="1" applyBorder="1" applyAlignment="1">
      <alignment horizontal="center"/>
    </xf>
    <xf numFmtId="0" fontId="14" fillId="0" borderId="0" xfId="0" applyFont="1"/>
    <xf numFmtId="0" fontId="79" fillId="0" borderId="1" xfId="0" applyFont="1" applyBorder="1" applyAlignment="1">
      <alignment horizontal="center" vertical="center"/>
    </xf>
    <xf numFmtId="0" fontId="79" fillId="0" borderId="3" xfId="0" applyFont="1" applyBorder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41" fillId="0" borderId="26" xfId="0" applyFont="1" applyBorder="1" applyAlignment="1">
      <alignment horizontal="left" vertical="center"/>
    </xf>
    <xf numFmtId="0" fontId="41" fillId="0" borderId="1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1" fillId="3" borderId="11" xfId="0" applyFont="1" applyFill="1" applyBorder="1" applyAlignment="1">
      <alignment horizontal="left" vertical="center" wrapText="1"/>
    </xf>
    <xf numFmtId="0" fontId="41" fillId="0" borderId="7" xfId="0" applyFont="1" applyBorder="1" applyAlignment="1">
      <alignment horizontal="left" vertical="center" wrapText="1"/>
    </xf>
    <xf numFmtId="2" fontId="43" fillId="0" borderId="11" xfId="0" applyNumberFormat="1" applyFont="1" applyBorder="1" applyAlignment="1">
      <alignment horizontal="left" vertical="center"/>
    </xf>
    <xf numFmtId="0" fontId="43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13" fillId="0" borderId="14" xfId="0" applyFont="1" applyBorder="1" applyAlignment="1">
      <alignment horizontal="center" vertical="center" textRotation="180"/>
    </xf>
    <xf numFmtId="0" fontId="13" fillId="0" borderId="55" xfId="0" applyFont="1" applyBorder="1" applyAlignment="1">
      <alignment horizontal="center" vertical="center" textRotation="180"/>
    </xf>
    <xf numFmtId="0" fontId="11" fillId="0" borderId="11" xfId="0" applyFont="1" applyFill="1" applyBorder="1" applyAlignment="1">
      <alignment horizontal="center" vertical="center" textRotation="180"/>
    </xf>
    <xf numFmtId="0" fontId="0" fillId="0" borderId="24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textRotation="180"/>
    </xf>
    <xf numFmtId="0" fontId="1" fillId="0" borderId="10" xfId="0" applyFont="1" applyFill="1" applyBorder="1" applyAlignment="1">
      <alignment horizontal="left" vertical="center" textRotation="180"/>
    </xf>
    <xf numFmtId="0" fontId="24" fillId="0" borderId="36" xfId="0" applyFont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/>
    </xf>
    <xf numFmtId="0" fontId="0" fillId="2" borderId="11" xfId="0" applyFont="1" applyFill="1" applyBorder="1" applyAlignment="1">
      <alignment horizontal="left" vertical="center"/>
    </xf>
    <xf numFmtId="2" fontId="0" fillId="0" borderId="11" xfId="0" applyNumberFormat="1" applyBorder="1" applyAlignment="1">
      <alignment horizontal="left" vertical="center"/>
    </xf>
    <xf numFmtId="1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/>
    </xf>
    <xf numFmtId="0" fontId="0" fillId="2" borderId="11" xfId="0" applyNumberFormat="1" applyFont="1" applyFill="1" applyBorder="1" applyAlignment="1">
      <alignment horizontal="left" vertical="center"/>
    </xf>
    <xf numFmtId="0" fontId="15" fillId="0" borderId="11" xfId="0" applyFont="1" applyBorder="1"/>
    <xf numFmtId="0" fontId="85" fillId="0" borderId="11" xfId="0" applyFont="1" applyBorder="1" applyAlignment="1">
      <alignment horizontal="left" vertical="center" wrapText="1"/>
    </xf>
    <xf numFmtId="0" fontId="85" fillId="0" borderId="19" xfId="0" applyFont="1" applyBorder="1" applyAlignment="1">
      <alignment horizontal="center" vertical="center" wrapText="1"/>
    </xf>
    <xf numFmtId="0" fontId="85" fillId="0" borderId="20" xfId="0" applyFont="1" applyBorder="1" applyAlignment="1">
      <alignment horizontal="center" vertical="center" wrapText="1"/>
    </xf>
    <xf numFmtId="0" fontId="85" fillId="0" borderId="21" xfId="0" applyFont="1" applyBorder="1" applyAlignment="1">
      <alignment horizontal="center" vertical="center" wrapText="1"/>
    </xf>
    <xf numFmtId="0" fontId="85" fillId="0" borderId="8" xfId="0" applyFont="1" applyBorder="1" applyAlignment="1">
      <alignment horizontal="center" vertical="center" wrapText="1"/>
    </xf>
    <xf numFmtId="0" fontId="85" fillId="0" borderId="10" xfId="0" applyFont="1" applyBorder="1" applyAlignment="1">
      <alignment horizontal="center" vertical="center" wrapText="1"/>
    </xf>
    <xf numFmtId="0" fontId="85" fillId="0" borderId="8" xfId="0" applyFont="1" applyBorder="1" applyAlignment="1">
      <alignment horizontal="left" vertical="center" wrapText="1"/>
    </xf>
    <xf numFmtId="0" fontId="85" fillId="0" borderId="10" xfId="0" applyFont="1" applyBorder="1" applyAlignment="1">
      <alignment horizontal="left" vertical="center" wrapText="1"/>
    </xf>
    <xf numFmtId="0" fontId="85" fillId="0" borderId="7" xfId="0" applyFont="1" applyBorder="1" applyAlignment="1">
      <alignment horizontal="center" vertical="center" wrapText="1"/>
    </xf>
    <xf numFmtId="0" fontId="85" fillId="0" borderId="24" xfId="0" applyFont="1" applyBorder="1" applyAlignment="1">
      <alignment horizontal="center" vertical="center" wrapText="1"/>
    </xf>
    <xf numFmtId="0" fontId="85" fillId="0" borderId="15" xfId="0" applyFont="1" applyBorder="1" applyAlignment="1">
      <alignment horizontal="center" vertical="center" wrapText="1"/>
    </xf>
    <xf numFmtId="0" fontId="79" fillId="0" borderId="12" xfId="0" applyFont="1" applyBorder="1" applyAlignment="1">
      <alignment horizontal="left" vertical="center" wrapText="1"/>
    </xf>
    <xf numFmtId="0" fontId="79" fillId="0" borderId="14" xfId="0" applyFont="1" applyBorder="1" applyAlignment="1">
      <alignment horizontal="left" vertical="center" wrapText="1"/>
    </xf>
    <xf numFmtId="0" fontId="79" fillId="0" borderId="11" xfId="0" applyFont="1" applyBorder="1" applyAlignment="1">
      <alignment horizontal="left" vertical="center" wrapText="1"/>
    </xf>
    <xf numFmtId="0" fontId="79" fillId="0" borderId="8" xfId="0" applyFont="1" applyBorder="1" applyAlignment="1">
      <alignment horizontal="left" vertical="center"/>
    </xf>
    <xf numFmtId="0" fontId="85" fillId="0" borderId="22" xfId="0" applyFont="1" applyBorder="1" applyAlignment="1">
      <alignment horizontal="left" vertical="center" wrapText="1"/>
    </xf>
    <xf numFmtId="0" fontId="85" fillId="0" borderId="23" xfId="0" applyFont="1" applyBorder="1" applyAlignment="1">
      <alignment horizontal="left" vertical="center" wrapText="1"/>
    </xf>
    <xf numFmtId="0" fontId="85" fillId="0" borderId="22" xfId="0" applyFont="1" applyBorder="1" applyAlignment="1">
      <alignment horizontal="center" vertical="center" wrapText="1"/>
    </xf>
    <xf numFmtId="0" fontId="85" fillId="0" borderId="23" xfId="0" applyFont="1" applyBorder="1" applyAlignment="1">
      <alignment horizontal="center" vertical="center" wrapText="1"/>
    </xf>
    <xf numFmtId="0" fontId="79" fillId="0" borderId="8" xfId="0" applyFont="1" applyBorder="1" applyAlignment="1">
      <alignment horizontal="left" vertical="center" wrapText="1"/>
    </xf>
    <xf numFmtId="0" fontId="79" fillId="0" borderId="10" xfId="0" applyFont="1" applyBorder="1" applyAlignment="1">
      <alignment horizontal="center" vertical="center" wrapText="1"/>
    </xf>
    <xf numFmtId="0" fontId="79" fillId="0" borderId="22" xfId="0" applyFont="1" applyBorder="1" applyAlignment="1">
      <alignment horizontal="center" vertical="center" wrapText="1"/>
    </xf>
    <xf numFmtId="0" fontId="79" fillId="0" borderId="23" xfId="0" applyFont="1" applyBorder="1" applyAlignment="1">
      <alignment horizontal="center" vertical="center" wrapText="1"/>
    </xf>
    <xf numFmtId="0" fontId="79" fillId="0" borderId="19" xfId="0" applyFont="1" applyBorder="1" applyAlignment="1">
      <alignment horizontal="center" vertical="center" wrapText="1"/>
    </xf>
    <xf numFmtId="0" fontId="79" fillId="0" borderId="20" xfId="0" applyFont="1" applyBorder="1" applyAlignment="1">
      <alignment horizontal="center" vertical="center" wrapText="1"/>
    </xf>
    <xf numFmtId="0" fontId="79" fillId="0" borderId="21" xfId="0" applyFont="1" applyBorder="1" applyAlignment="1">
      <alignment horizontal="center" vertical="center" wrapText="1"/>
    </xf>
    <xf numFmtId="0" fontId="85" fillId="0" borderId="61" xfId="0" applyFont="1" applyBorder="1" applyAlignment="1">
      <alignment horizontal="center" vertical="center" wrapText="1"/>
    </xf>
    <xf numFmtId="0" fontId="85" fillId="0" borderId="11" xfId="0" applyFont="1" applyBorder="1" applyAlignment="1">
      <alignment horizontal="center" vertical="center" wrapText="1"/>
    </xf>
    <xf numFmtId="0" fontId="80" fillId="0" borderId="4" xfId="0" applyFont="1" applyBorder="1" applyAlignment="1">
      <alignment horizontal="left" vertical="center"/>
    </xf>
    <xf numFmtId="0" fontId="80" fillId="0" borderId="5" xfId="0" applyFont="1" applyBorder="1" applyAlignment="1">
      <alignment horizontal="left" vertical="center"/>
    </xf>
    <xf numFmtId="0" fontId="80" fillId="0" borderId="6" xfId="0" applyFont="1" applyBorder="1" applyAlignment="1">
      <alignment horizontal="left" vertical="center"/>
    </xf>
    <xf numFmtId="0" fontId="79" fillId="0" borderId="1" xfId="0" applyFont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79" fillId="0" borderId="3" xfId="0" applyFont="1" applyBorder="1" applyAlignment="1">
      <alignment horizontal="center" vertical="center"/>
    </xf>
    <xf numFmtId="0" fontId="79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3" fillId="0" borderId="17" xfId="0" applyFont="1" applyBorder="1" applyAlignment="1">
      <alignment horizontal="center" vertical="center"/>
    </xf>
    <xf numFmtId="0" fontId="103" fillId="0" borderId="18" xfId="0" applyFont="1" applyBorder="1" applyAlignment="1">
      <alignment horizontal="center" vertical="center"/>
    </xf>
    <xf numFmtId="0" fontId="62" fillId="0" borderId="8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left" vertical="center" wrapText="1"/>
    </xf>
    <xf numFmtId="0" fontId="68" fillId="0" borderId="8" xfId="0" applyFont="1" applyBorder="1" applyAlignment="1">
      <alignment horizontal="left" vertical="center" wrapText="1"/>
    </xf>
    <xf numFmtId="0" fontId="68" fillId="0" borderId="8" xfId="0" applyFont="1" applyBorder="1" applyAlignment="1">
      <alignment horizontal="center" vertical="center" wrapText="1"/>
    </xf>
    <xf numFmtId="0" fontId="68" fillId="0" borderId="29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4" fillId="0" borderId="7" xfId="0" applyFont="1" applyBorder="1" applyAlignment="1">
      <alignment horizontal="left" vertical="center"/>
    </xf>
    <xf numFmtId="0" fontId="62" fillId="0" borderId="8" xfId="0" applyFont="1" applyBorder="1" applyAlignment="1">
      <alignment horizontal="left" vertical="center"/>
    </xf>
    <xf numFmtId="0" fontId="68" fillId="0" borderId="10" xfId="0" applyFont="1" applyBorder="1" applyAlignment="1">
      <alignment horizontal="left" vertical="center" wrapText="1"/>
    </xf>
    <xf numFmtId="0" fontId="68" fillId="0" borderId="22" xfId="0" applyFont="1" applyBorder="1" applyAlignment="1">
      <alignment horizontal="left" vertical="center" wrapText="1"/>
    </xf>
    <xf numFmtId="0" fontId="68" fillId="0" borderId="23" xfId="0" applyFont="1" applyBorder="1" applyAlignment="1">
      <alignment horizontal="left" vertical="center" wrapText="1"/>
    </xf>
    <xf numFmtId="0" fontId="68" fillId="0" borderId="10" xfId="0" applyFont="1" applyBorder="1" applyAlignment="1">
      <alignment horizontal="center" vertical="center" wrapText="1"/>
    </xf>
    <xf numFmtId="0" fontId="68" fillId="0" borderId="22" xfId="0" applyFont="1" applyBorder="1" applyAlignment="1">
      <alignment horizontal="center" vertical="center" wrapText="1"/>
    </xf>
    <xf numFmtId="0" fontId="68" fillId="0" borderId="23" xfId="0" applyFont="1" applyBorder="1" applyAlignment="1">
      <alignment horizontal="center" vertical="center" wrapText="1"/>
    </xf>
    <xf numFmtId="0" fontId="68" fillId="0" borderId="19" xfId="0" applyFont="1" applyBorder="1" applyAlignment="1">
      <alignment horizontal="center" vertical="center" wrapText="1"/>
    </xf>
    <xf numFmtId="0" fontId="68" fillId="0" borderId="20" xfId="0" applyFont="1" applyBorder="1" applyAlignment="1">
      <alignment horizontal="center" vertical="center" wrapText="1"/>
    </xf>
    <xf numFmtId="0" fontId="68" fillId="0" borderId="21" xfId="0" applyFont="1" applyBorder="1" applyAlignment="1">
      <alignment horizontal="center" vertical="center" wrapText="1"/>
    </xf>
    <xf numFmtId="0" fontId="62" fillId="0" borderId="8" xfId="0" applyFont="1" applyBorder="1" applyAlignment="1">
      <alignment horizontal="center" vertical="center" wrapText="1"/>
    </xf>
    <xf numFmtId="0" fontId="62" fillId="0" borderId="29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4" fillId="0" borderId="7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/>
    </xf>
    <xf numFmtId="0" fontId="90" fillId="0" borderId="8" xfId="0" applyFont="1" applyBorder="1" applyAlignment="1">
      <alignment horizontal="left" vertical="center" wrapText="1"/>
    </xf>
    <xf numFmtId="0" fontId="96" fillId="0" borderId="8" xfId="0" applyFont="1" applyBorder="1" applyAlignment="1">
      <alignment horizontal="left" vertical="center" wrapText="1"/>
    </xf>
    <xf numFmtId="0" fontId="96" fillId="0" borderId="8" xfId="0" applyFont="1" applyBorder="1" applyAlignment="1">
      <alignment horizontal="center" vertical="center" wrapText="1"/>
    </xf>
    <xf numFmtId="0" fontId="96" fillId="0" borderId="29" xfId="0" applyFont="1" applyBorder="1" applyAlignment="1">
      <alignment horizontal="center" vertical="center" wrapText="1"/>
    </xf>
    <xf numFmtId="0" fontId="90" fillId="0" borderId="8" xfId="0" applyFont="1" applyBorder="1" applyAlignment="1">
      <alignment horizontal="center" vertical="center" wrapText="1"/>
    </xf>
    <xf numFmtId="0" fontId="90" fillId="0" borderId="29" xfId="0" applyFont="1" applyBorder="1" applyAlignment="1">
      <alignment horizontal="center" vertical="center" wrapText="1"/>
    </xf>
    <xf numFmtId="0" fontId="96" fillId="0" borderId="10" xfId="0" applyFont="1" applyBorder="1" applyAlignment="1">
      <alignment horizontal="left" vertical="center" wrapText="1"/>
    </xf>
    <xf numFmtId="0" fontId="96" fillId="0" borderId="22" xfId="0" applyFont="1" applyBorder="1" applyAlignment="1">
      <alignment horizontal="left" vertical="center" wrapText="1"/>
    </xf>
    <xf numFmtId="0" fontId="96" fillId="0" borderId="23" xfId="0" applyFont="1" applyBorder="1" applyAlignment="1">
      <alignment horizontal="left" vertical="center" wrapText="1"/>
    </xf>
    <xf numFmtId="0" fontId="96" fillId="0" borderId="10" xfId="0" applyFont="1" applyBorder="1" applyAlignment="1">
      <alignment horizontal="center" vertical="center" wrapText="1"/>
    </xf>
    <xf numFmtId="0" fontId="96" fillId="0" borderId="22" xfId="0" applyFont="1" applyBorder="1" applyAlignment="1">
      <alignment horizontal="center" vertical="center" wrapText="1"/>
    </xf>
    <xf numFmtId="0" fontId="96" fillId="0" borderId="23" xfId="0" applyFont="1" applyBorder="1" applyAlignment="1">
      <alignment horizontal="center" vertical="center" wrapText="1"/>
    </xf>
    <xf numFmtId="0" fontId="96" fillId="0" borderId="19" xfId="0" applyFont="1" applyBorder="1" applyAlignment="1">
      <alignment horizontal="center" vertical="center" wrapText="1"/>
    </xf>
    <xf numFmtId="0" fontId="96" fillId="0" borderId="20" xfId="0" applyFont="1" applyBorder="1" applyAlignment="1">
      <alignment horizontal="center" vertical="center" wrapText="1"/>
    </xf>
    <xf numFmtId="0" fontId="96" fillId="0" borderId="2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3" xfId="0" applyFont="1" applyBorder="1" applyAlignment="1">
      <alignment horizontal="center" vertical="center"/>
    </xf>
    <xf numFmtId="0" fontId="91" fillId="0" borderId="7" xfId="0" applyFont="1" applyBorder="1" applyAlignment="1">
      <alignment horizontal="left" vertical="center"/>
    </xf>
    <xf numFmtId="0" fontId="90" fillId="0" borderId="8" xfId="0" applyFont="1" applyBorder="1" applyAlignment="1">
      <alignment horizontal="left" vertical="center"/>
    </xf>
    <xf numFmtId="0" fontId="90" fillId="0" borderId="9" xfId="0" applyFont="1" applyBorder="1" applyAlignment="1">
      <alignment horizontal="center" vertical="center"/>
    </xf>
    <xf numFmtId="0" fontId="90" fillId="0" borderId="0" xfId="0" applyFont="1" applyBorder="1" applyAlignment="1">
      <alignment horizontal="center" vertical="center"/>
    </xf>
    <xf numFmtId="0" fontId="91" fillId="0" borderId="17" xfId="0" applyFont="1" applyBorder="1" applyAlignment="1">
      <alignment horizontal="center" vertical="center"/>
    </xf>
    <xf numFmtId="0" fontId="91" fillId="0" borderId="18" xfId="0" applyFont="1" applyBorder="1" applyAlignment="1">
      <alignment horizontal="center" vertical="center"/>
    </xf>
    <xf numFmtId="0" fontId="53" fillId="0" borderId="8" xfId="0" applyFont="1" applyBorder="1" applyAlignment="1">
      <alignment horizontal="left" vertical="center" wrapText="1"/>
    </xf>
    <xf numFmtId="0" fontId="61" fillId="0" borderId="8" xfId="0" applyFont="1" applyBorder="1" applyAlignment="1">
      <alignment horizontal="left" vertical="center" wrapText="1"/>
    </xf>
    <xf numFmtId="0" fontId="61" fillId="0" borderId="8" xfId="0" applyFont="1" applyBorder="1" applyAlignment="1">
      <alignment horizontal="center" vertical="center" wrapText="1"/>
    </xf>
    <xf numFmtId="0" fontId="61" fillId="0" borderId="29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3" fillId="0" borderId="29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left" vertical="center"/>
    </xf>
    <xf numFmtId="0" fontId="63" fillId="0" borderId="1" xfId="0" applyFont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70" fillId="0" borderId="7" xfId="0" applyFont="1" applyBorder="1" applyAlignment="1">
      <alignment horizontal="left" vertical="center"/>
    </xf>
    <xf numFmtId="0" fontId="110" fillId="0" borderId="4" xfId="0" applyFont="1" applyBorder="1" applyAlignment="1">
      <alignment horizontal="left" vertical="center"/>
    </xf>
    <xf numFmtId="0" fontId="110" fillId="0" borderId="7" xfId="0" applyFont="1" applyBorder="1" applyAlignment="1">
      <alignment horizontal="left" vertical="center"/>
    </xf>
    <xf numFmtId="0" fontId="110" fillId="0" borderId="5" xfId="0" applyFont="1" applyBorder="1" applyAlignment="1">
      <alignment horizontal="left" vertical="center"/>
    </xf>
    <xf numFmtId="0" fontId="110" fillId="0" borderId="6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0" fontId="114" fillId="0" borderId="8" xfId="0" applyFont="1" applyBorder="1" applyAlignment="1">
      <alignment horizontal="left" vertical="center" wrapText="1"/>
    </xf>
    <xf numFmtId="0" fontId="114" fillId="0" borderId="10" xfId="0" applyFont="1" applyBorder="1" applyAlignment="1">
      <alignment horizontal="center" vertical="center" wrapText="1"/>
    </xf>
    <xf numFmtId="0" fontId="114" fillId="0" borderId="22" xfId="0" applyFont="1" applyBorder="1" applyAlignment="1">
      <alignment horizontal="center" vertical="center" wrapText="1"/>
    </xf>
    <xf numFmtId="0" fontId="114" fillId="0" borderId="23" xfId="0" applyFont="1" applyBorder="1" applyAlignment="1">
      <alignment horizontal="center" vertical="center" wrapText="1"/>
    </xf>
    <xf numFmtId="0" fontId="114" fillId="0" borderId="19" xfId="0" applyFont="1" applyBorder="1" applyAlignment="1">
      <alignment horizontal="center" vertical="center" wrapText="1"/>
    </xf>
    <xf numFmtId="0" fontId="114" fillId="0" borderId="20" xfId="0" applyFont="1" applyBorder="1" applyAlignment="1">
      <alignment horizontal="center" vertical="center" wrapText="1"/>
    </xf>
    <xf numFmtId="0" fontId="114" fillId="0" borderId="21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left" vertical="center" wrapText="1"/>
    </xf>
    <xf numFmtId="0" fontId="2" fillId="0" borderId="59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114" fillId="0" borderId="10" xfId="0" applyFont="1" applyBorder="1" applyAlignment="1">
      <alignment horizontal="left" vertical="center" wrapText="1"/>
    </xf>
    <xf numFmtId="0" fontId="114" fillId="0" borderId="22" xfId="0" applyFont="1" applyBorder="1" applyAlignment="1">
      <alignment horizontal="left" vertical="center" wrapText="1"/>
    </xf>
    <xf numFmtId="0" fontId="114" fillId="0" borderId="23" xfId="0" applyFont="1" applyBorder="1" applyAlignment="1">
      <alignment horizontal="left" vertical="center" wrapText="1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5" fillId="0" borderId="58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 wrapText="1"/>
    </xf>
    <xf numFmtId="0" fontId="15" fillId="0" borderId="60" xfId="0" applyFont="1" applyBorder="1" applyAlignment="1">
      <alignment horizontal="left" vertical="center" wrapText="1"/>
    </xf>
    <xf numFmtId="0" fontId="41" fillId="0" borderId="9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8" fillId="0" borderId="2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/>
    </xf>
    <xf numFmtId="0" fontId="24" fillId="0" borderId="14" xfId="0" applyFont="1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5" xfId="0" applyBorder="1" applyAlignment="1">
      <alignment horizontal="left"/>
    </xf>
    <xf numFmtId="0" fontId="24" fillId="0" borderId="53" xfId="0" applyFont="1" applyBorder="1" applyAlignment="1">
      <alignment horizontal="center" vertical="center" wrapText="1"/>
    </xf>
    <xf numFmtId="0" fontId="24" fillId="0" borderId="62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0" fillId="0" borderId="25" xfId="0" applyBorder="1" applyAlignment="1">
      <alignment horizontal="left"/>
    </xf>
    <xf numFmtId="0" fontId="0" fillId="0" borderId="63" xfId="0" applyBorder="1" applyAlignment="1">
      <alignment horizontal="left"/>
    </xf>
    <xf numFmtId="0" fontId="15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/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wrapText="1"/>
    </xf>
    <xf numFmtId="0" fontId="15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vertical="center" wrapText="1"/>
    </xf>
    <xf numFmtId="0" fontId="41" fillId="0" borderId="9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103" fillId="0" borderId="17" xfId="0" applyFont="1" applyBorder="1" applyAlignment="1">
      <alignment horizontal="left" vertical="center"/>
    </xf>
    <xf numFmtId="0" fontId="103" fillId="0" borderId="18" xfId="0" applyFont="1" applyBorder="1" applyAlignment="1">
      <alignment horizontal="left" vertical="center"/>
    </xf>
    <xf numFmtId="0" fontId="119" fillId="0" borderId="36" xfId="0" applyFont="1" applyBorder="1" applyAlignment="1">
      <alignment vertical="center" wrapText="1"/>
    </xf>
    <xf numFmtId="0" fontId="119" fillId="0" borderId="32" xfId="0" applyFont="1" applyBorder="1" applyAlignment="1">
      <alignment vertical="center" wrapText="1"/>
    </xf>
    <xf numFmtId="0" fontId="119" fillId="0" borderId="34" xfId="0" applyFont="1" applyBorder="1" applyAlignment="1">
      <alignment vertical="center" wrapText="1"/>
    </xf>
    <xf numFmtId="0" fontId="119" fillId="0" borderId="38" xfId="0" applyFont="1" applyBorder="1" applyAlignment="1">
      <alignment vertical="center" wrapText="1"/>
    </xf>
    <xf numFmtId="0" fontId="120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igh%20school\Desktop\11A%202017%20RO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ster 11A"/>
      <sheetName val="11A Sem 1"/>
      <sheetName val="11A Sem 2"/>
      <sheetName val="11A Sem avr"/>
    </sheetNames>
    <sheetDataSet>
      <sheetData sheetId="0" refreshError="1"/>
      <sheetData sheetId="1">
        <row r="4">
          <cell r="E4">
            <v>59</v>
          </cell>
          <cell r="F4">
            <v>70</v>
          </cell>
          <cell r="G4">
            <v>75</v>
          </cell>
          <cell r="H4">
            <v>56</v>
          </cell>
          <cell r="I4">
            <v>68</v>
          </cell>
          <cell r="J4">
            <v>63</v>
          </cell>
          <cell r="K4">
            <v>90</v>
          </cell>
          <cell r="L4">
            <v>85</v>
          </cell>
          <cell r="M4">
            <v>566</v>
          </cell>
          <cell r="N4">
            <v>70.75</v>
          </cell>
          <cell r="O4">
            <v>49</v>
          </cell>
        </row>
        <row r="5">
          <cell r="E5">
            <v>83</v>
          </cell>
          <cell r="F5">
            <v>54</v>
          </cell>
          <cell r="G5">
            <v>77</v>
          </cell>
          <cell r="H5">
            <v>62</v>
          </cell>
          <cell r="I5">
            <v>80</v>
          </cell>
          <cell r="J5">
            <v>88</v>
          </cell>
          <cell r="K5">
            <v>87</v>
          </cell>
          <cell r="L5">
            <v>90</v>
          </cell>
          <cell r="M5">
            <v>621</v>
          </cell>
          <cell r="N5">
            <v>77.625</v>
          </cell>
          <cell r="O5">
            <v>45</v>
          </cell>
        </row>
        <row r="6">
          <cell r="E6">
            <v>51</v>
          </cell>
          <cell r="F6">
            <v>71</v>
          </cell>
          <cell r="G6">
            <v>65</v>
          </cell>
          <cell r="H6">
            <v>67</v>
          </cell>
          <cell r="I6">
            <v>65</v>
          </cell>
          <cell r="J6">
            <v>80</v>
          </cell>
          <cell r="K6">
            <v>75</v>
          </cell>
          <cell r="L6">
            <v>98</v>
          </cell>
          <cell r="M6">
            <v>572</v>
          </cell>
          <cell r="N6">
            <v>71.5</v>
          </cell>
          <cell r="O6">
            <v>47</v>
          </cell>
        </row>
        <row r="7">
          <cell r="E7">
            <v>97</v>
          </cell>
          <cell r="F7">
            <v>96</v>
          </cell>
          <cell r="G7">
            <v>100</v>
          </cell>
          <cell r="H7">
            <v>100</v>
          </cell>
          <cell r="I7">
            <v>98</v>
          </cell>
          <cell r="J7">
            <v>95</v>
          </cell>
          <cell r="K7">
            <v>100</v>
          </cell>
          <cell r="L7">
            <v>100</v>
          </cell>
          <cell r="M7">
            <v>786</v>
          </cell>
          <cell r="N7">
            <v>98.25</v>
          </cell>
          <cell r="O7">
            <v>2</v>
          </cell>
        </row>
        <row r="8">
          <cell r="E8">
            <v>95</v>
          </cell>
          <cell r="F8">
            <v>95</v>
          </cell>
          <cell r="G8">
            <v>96</v>
          </cell>
          <cell r="H8">
            <v>95</v>
          </cell>
          <cell r="I8">
            <v>98</v>
          </cell>
          <cell r="J8">
            <v>100</v>
          </cell>
          <cell r="K8">
            <v>100</v>
          </cell>
          <cell r="L8">
            <v>97</v>
          </cell>
          <cell r="M8">
            <v>776</v>
          </cell>
          <cell r="N8">
            <v>97</v>
          </cell>
          <cell r="O8">
            <v>3</v>
          </cell>
        </row>
        <row r="9">
          <cell r="E9">
            <v>75</v>
          </cell>
          <cell r="F9">
            <v>78</v>
          </cell>
          <cell r="G9">
            <v>85</v>
          </cell>
          <cell r="H9">
            <v>86</v>
          </cell>
          <cell r="I9">
            <v>85</v>
          </cell>
          <cell r="J9">
            <v>81</v>
          </cell>
          <cell r="K9">
            <v>99</v>
          </cell>
          <cell r="L9">
            <v>99</v>
          </cell>
          <cell r="M9">
            <v>688</v>
          </cell>
          <cell r="N9">
            <v>86</v>
          </cell>
          <cell r="O9">
            <v>25</v>
          </cell>
        </row>
        <row r="10">
          <cell r="E10">
            <v>92</v>
          </cell>
          <cell r="F10">
            <v>97</v>
          </cell>
          <cell r="G10">
            <v>94</v>
          </cell>
          <cell r="H10">
            <v>90</v>
          </cell>
          <cell r="I10">
            <v>94</v>
          </cell>
          <cell r="J10">
            <v>96</v>
          </cell>
          <cell r="K10">
            <v>98</v>
          </cell>
          <cell r="L10">
            <v>97</v>
          </cell>
          <cell r="M10">
            <v>758</v>
          </cell>
          <cell r="N10">
            <v>94.75</v>
          </cell>
          <cell r="O10">
            <v>7</v>
          </cell>
        </row>
        <row r="11">
          <cell r="E11">
            <v>73</v>
          </cell>
          <cell r="F11">
            <v>87</v>
          </cell>
          <cell r="G11">
            <v>85</v>
          </cell>
          <cell r="H11">
            <v>80</v>
          </cell>
          <cell r="I11">
            <v>77</v>
          </cell>
          <cell r="J11">
            <v>79</v>
          </cell>
          <cell r="K11">
            <v>97</v>
          </cell>
          <cell r="L11">
            <v>98</v>
          </cell>
          <cell r="M11">
            <v>676</v>
          </cell>
          <cell r="N11">
            <v>84.5</v>
          </cell>
          <cell r="O11">
            <v>33</v>
          </cell>
        </row>
        <row r="13">
          <cell r="E13">
            <v>62</v>
          </cell>
          <cell r="F13">
            <v>50</v>
          </cell>
          <cell r="G13">
            <v>60</v>
          </cell>
          <cell r="H13">
            <v>52</v>
          </cell>
          <cell r="I13">
            <v>58</v>
          </cell>
          <cell r="J13">
            <v>73</v>
          </cell>
          <cell r="K13">
            <v>75</v>
          </cell>
          <cell r="L13">
            <v>91</v>
          </cell>
          <cell r="M13">
            <v>521</v>
          </cell>
          <cell r="N13">
            <v>65.125</v>
          </cell>
          <cell r="O13">
            <v>52</v>
          </cell>
        </row>
        <row r="14">
          <cell r="E14">
            <v>84</v>
          </cell>
          <cell r="F14">
            <v>74</v>
          </cell>
          <cell r="G14">
            <v>80</v>
          </cell>
          <cell r="H14">
            <v>70</v>
          </cell>
          <cell r="I14">
            <v>86</v>
          </cell>
          <cell r="J14">
            <v>98</v>
          </cell>
          <cell r="K14">
            <v>79</v>
          </cell>
          <cell r="L14">
            <v>83</v>
          </cell>
          <cell r="M14">
            <v>654</v>
          </cell>
          <cell r="N14">
            <v>81.75</v>
          </cell>
          <cell r="O14">
            <v>38</v>
          </cell>
        </row>
        <row r="15">
          <cell r="E15">
            <v>62</v>
          </cell>
          <cell r="F15">
            <v>74</v>
          </cell>
          <cell r="G15">
            <v>75</v>
          </cell>
          <cell r="H15">
            <v>72</v>
          </cell>
          <cell r="I15">
            <v>71</v>
          </cell>
          <cell r="J15">
            <v>91</v>
          </cell>
          <cell r="K15">
            <v>83</v>
          </cell>
          <cell r="L15">
            <v>86</v>
          </cell>
          <cell r="M15">
            <v>614</v>
          </cell>
          <cell r="N15">
            <v>76.75</v>
          </cell>
          <cell r="O15">
            <v>46</v>
          </cell>
        </row>
        <row r="16">
          <cell r="E16">
            <v>67</v>
          </cell>
          <cell r="F16">
            <v>44</v>
          </cell>
          <cell r="G16">
            <v>59</v>
          </cell>
          <cell r="H16">
            <v>54</v>
          </cell>
          <cell r="I16">
            <v>71</v>
          </cell>
          <cell r="J16">
            <v>88</v>
          </cell>
          <cell r="K16">
            <v>94</v>
          </cell>
          <cell r="L16">
            <v>91</v>
          </cell>
          <cell r="M16">
            <v>568</v>
          </cell>
          <cell r="N16">
            <v>71</v>
          </cell>
          <cell r="O16">
            <v>48</v>
          </cell>
        </row>
        <row r="17">
          <cell r="E17">
            <v>90</v>
          </cell>
          <cell r="F17">
            <v>90</v>
          </cell>
          <cell r="G17">
            <v>92</v>
          </cell>
          <cell r="H17">
            <v>90</v>
          </cell>
          <cell r="I17">
            <v>94</v>
          </cell>
          <cell r="J17">
            <v>92</v>
          </cell>
          <cell r="K17">
            <v>89</v>
          </cell>
          <cell r="L17">
            <v>94</v>
          </cell>
          <cell r="M17">
            <v>731</v>
          </cell>
          <cell r="N17">
            <v>91.375</v>
          </cell>
          <cell r="O17">
            <v>14</v>
          </cell>
        </row>
        <row r="18">
          <cell r="E18">
            <v>72</v>
          </cell>
          <cell r="F18">
            <v>79</v>
          </cell>
          <cell r="G18">
            <v>77</v>
          </cell>
          <cell r="H18">
            <v>82</v>
          </cell>
          <cell r="I18">
            <v>80</v>
          </cell>
          <cell r="J18">
            <v>84</v>
          </cell>
          <cell r="K18">
            <v>84</v>
          </cell>
          <cell r="L18">
            <v>91</v>
          </cell>
          <cell r="M18">
            <v>649</v>
          </cell>
          <cell r="N18">
            <v>81.125</v>
          </cell>
          <cell r="O18">
            <v>40</v>
          </cell>
        </row>
        <row r="19">
          <cell r="E19">
            <v>89</v>
          </cell>
          <cell r="F19">
            <v>84</v>
          </cell>
          <cell r="G19">
            <v>85</v>
          </cell>
          <cell r="H19">
            <v>78</v>
          </cell>
          <cell r="I19">
            <v>79</v>
          </cell>
          <cell r="J19">
            <v>90</v>
          </cell>
          <cell r="K19">
            <v>91</v>
          </cell>
          <cell r="L19">
            <v>94</v>
          </cell>
          <cell r="M19">
            <v>690</v>
          </cell>
          <cell r="N19">
            <v>86.25</v>
          </cell>
          <cell r="O19">
            <v>24</v>
          </cell>
        </row>
        <row r="20">
          <cell r="E20">
            <v>69</v>
          </cell>
          <cell r="F20">
            <v>54</v>
          </cell>
          <cell r="G20">
            <v>55</v>
          </cell>
          <cell r="H20">
            <v>59</v>
          </cell>
          <cell r="I20">
            <v>72</v>
          </cell>
          <cell r="J20">
            <v>84</v>
          </cell>
          <cell r="K20">
            <v>76</v>
          </cell>
          <cell r="L20">
            <v>74</v>
          </cell>
          <cell r="M20">
            <v>543</v>
          </cell>
          <cell r="N20">
            <v>67.875</v>
          </cell>
          <cell r="O20">
            <v>50</v>
          </cell>
        </row>
        <row r="21">
          <cell r="E21">
            <v>96</v>
          </cell>
          <cell r="F21">
            <v>95</v>
          </cell>
          <cell r="G21">
            <v>91</v>
          </cell>
          <cell r="H21">
            <v>85</v>
          </cell>
          <cell r="I21">
            <v>98</v>
          </cell>
          <cell r="J21">
            <v>99</v>
          </cell>
          <cell r="K21">
            <v>100</v>
          </cell>
          <cell r="L21">
            <v>97</v>
          </cell>
          <cell r="M21">
            <v>761</v>
          </cell>
          <cell r="N21">
            <v>95.125</v>
          </cell>
          <cell r="O21">
            <v>6</v>
          </cell>
        </row>
        <row r="22">
          <cell r="E22">
            <v>83</v>
          </cell>
          <cell r="F22">
            <v>84</v>
          </cell>
          <cell r="G22">
            <v>93</v>
          </cell>
          <cell r="H22">
            <v>98</v>
          </cell>
          <cell r="I22">
            <v>98</v>
          </cell>
          <cell r="J22">
            <v>100</v>
          </cell>
          <cell r="K22">
            <v>96</v>
          </cell>
          <cell r="L22">
            <v>90</v>
          </cell>
          <cell r="M22">
            <v>742</v>
          </cell>
          <cell r="N22">
            <v>92.75</v>
          </cell>
          <cell r="O22">
            <v>11</v>
          </cell>
        </row>
        <row r="23">
          <cell r="E23">
            <v>76</v>
          </cell>
          <cell r="F23">
            <v>82</v>
          </cell>
          <cell r="G23">
            <v>90</v>
          </cell>
          <cell r="H23">
            <v>80</v>
          </cell>
          <cell r="I23">
            <v>85</v>
          </cell>
          <cell r="J23">
            <v>86</v>
          </cell>
          <cell r="K23">
            <v>93</v>
          </cell>
          <cell r="L23">
            <v>95</v>
          </cell>
          <cell r="M23">
            <v>687</v>
          </cell>
          <cell r="N23">
            <v>85.875</v>
          </cell>
          <cell r="O23">
            <v>26</v>
          </cell>
        </row>
        <row r="24">
          <cell r="E24">
            <v>87</v>
          </cell>
          <cell r="F24">
            <v>90</v>
          </cell>
          <cell r="G24">
            <v>100</v>
          </cell>
          <cell r="H24">
            <v>91</v>
          </cell>
          <cell r="I24">
            <v>92</v>
          </cell>
          <cell r="J24">
            <v>90</v>
          </cell>
          <cell r="K24">
            <v>97</v>
          </cell>
          <cell r="L24">
            <v>94</v>
          </cell>
          <cell r="M24">
            <v>741</v>
          </cell>
          <cell r="N24">
            <v>92.625</v>
          </cell>
          <cell r="O24">
            <v>12</v>
          </cell>
        </row>
        <row r="25">
          <cell r="E25">
            <v>88</v>
          </cell>
          <cell r="F25">
            <v>86</v>
          </cell>
          <cell r="G25">
            <v>91</v>
          </cell>
          <cell r="H25">
            <v>87</v>
          </cell>
          <cell r="I25">
            <v>94</v>
          </cell>
          <cell r="J25">
            <v>99</v>
          </cell>
          <cell r="K25">
            <v>95</v>
          </cell>
          <cell r="L25">
            <v>89</v>
          </cell>
          <cell r="M25">
            <v>729</v>
          </cell>
          <cell r="N25">
            <v>91.125</v>
          </cell>
          <cell r="O25">
            <v>15</v>
          </cell>
        </row>
        <row r="26">
          <cell r="E26">
            <v>72</v>
          </cell>
          <cell r="F26">
            <v>61</v>
          </cell>
          <cell r="G26">
            <v>81</v>
          </cell>
          <cell r="H26">
            <v>69</v>
          </cell>
          <cell r="I26">
            <v>79</v>
          </cell>
          <cell r="J26">
            <v>96</v>
          </cell>
          <cell r="K26">
            <v>91</v>
          </cell>
          <cell r="L26">
            <v>89</v>
          </cell>
          <cell r="M26">
            <v>638</v>
          </cell>
          <cell r="N26">
            <v>79.75</v>
          </cell>
          <cell r="O26">
            <v>42</v>
          </cell>
        </row>
        <row r="27">
          <cell r="E27">
            <v>81</v>
          </cell>
          <cell r="F27">
            <v>93</v>
          </cell>
          <cell r="G27">
            <v>88</v>
          </cell>
          <cell r="H27">
            <v>82</v>
          </cell>
          <cell r="I27">
            <v>86</v>
          </cell>
          <cell r="J27">
            <v>91</v>
          </cell>
          <cell r="K27">
            <v>89</v>
          </cell>
          <cell r="L27">
            <v>93</v>
          </cell>
          <cell r="M27">
            <v>703</v>
          </cell>
          <cell r="N27">
            <v>87.875</v>
          </cell>
          <cell r="O27">
            <v>18</v>
          </cell>
        </row>
        <row r="28">
          <cell r="E28">
            <v>94</v>
          </cell>
          <cell r="F28">
            <v>78</v>
          </cell>
          <cell r="G28">
            <v>89</v>
          </cell>
          <cell r="H28">
            <v>80</v>
          </cell>
          <cell r="I28">
            <v>88</v>
          </cell>
          <cell r="J28">
            <v>88</v>
          </cell>
          <cell r="K28">
            <v>90</v>
          </cell>
          <cell r="L28">
            <v>93</v>
          </cell>
          <cell r="M28">
            <v>700</v>
          </cell>
          <cell r="N28">
            <v>87.5</v>
          </cell>
          <cell r="O28">
            <v>20</v>
          </cell>
        </row>
        <row r="29">
          <cell r="E29">
            <v>83</v>
          </cell>
          <cell r="F29">
            <v>72</v>
          </cell>
          <cell r="G29">
            <v>80</v>
          </cell>
          <cell r="H29">
            <v>74</v>
          </cell>
          <cell r="I29">
            <v>84</v>
          </cell>
          <cell r="J29">
            <v>89</v>
          </cell>
          <cell r="K29">
            <v>87</v>
          </cell>
          <cell r="L29">
            <v>91</v>
          </cell>
          <cell r="M29">
            <v>660</v>
          </cell>
          <cell r="N29">
            <v>82.5</v>
          </cell>
          <cell r="O29">
            <v>36</v>
          </cell>
        </row>
        <row r="30">
          <cell r="E30">
            <v>89</v>
          </cell>
          <cell r="F30">
            <v>77</v>
          </cell>
          <cell r="G30">
            <v>85</v>
          </cell>
          <cell r="H30">
            <v>77</v>
          </cell>
          <cell r="I30">
            <v>86</v>
          </cell>
          <cell r="J30">
            <v>93</v>
          </cell>
          <cell r="K30">
            <v>89</v>
          </cell>
          <cell r="L30">
            <v>96</v>
          </cell>
          <cell r="M30">
            <v>692</v>
          </cell>
          <cell r="N30">
            <v>86.5</v>
          </cell>
          <cell r="O30">
            <v>23</v>
          </cell>
        </row>
        <row r="31">
          <cell r="E31">
            <v>71</v>
          </cell>
          <cell r="F31">
            <v>83</v>
          </cell>
          <cell r="G31">
            <v>80</v>
          </cell>
          <cell r="H31">
            <v>85</v>
          </cell>
          <cell r="I31">
            <v>79</v>
          </cell>
          <cell r="J31">
            <v>98</v>
          </cell>
          <cell r="K31">
            <v>96</v>
          </cell>
          <cell r="L31">
            <v>89</v>
          </cell>
          <cell r="M31">
            <v>681</v>
          </cell>
          <cell r="N31">
            <v>85.125</v>
          </cell>
          <cell r="O31">
            <v>29</v>
          </cell>
        </row>
        <row r="32">
          <cell r="E32">
            <v>53</v>
          </cell>
          <cell r="F32">
            <v>42</v>
          </cell>
          <cell r="G32">
            <v>57</v>
          </cell>
          <cell r="H32">
            <v>63</v>
          </cell>
          <cell r="I32">
            <v>60</v>
          </cell>
          <cell r="J32">
            <v>87</v>
          </cell>
          <cell r="K32">
            <v>73</v>
          </cell>
          <cell r="L32">
            <v>70</v>
          </cell>
          <cell r="M32">
            <v>505</v>
          </cell>
          <cell r="N32">
            <v>63.125</v>
          </cell>
          <cell r="O32">
            <v>53</v>
          </cell>
        </row>
        <row r="33">
          <cell r="E33">
            <v>86</v>
          </cell>
          <cell r="F33">
            <v>85</v>
          </cell>
          <cell r="G33">
            <v>94</v>
          </cell>
          <cell r="H33">
            <v>84</v>
          </cell>
          <cell r="I33">
            <v>93</v>
          </cell>
          <cell r="J33">
            <v>94</v>
          </cell>
          <cell r="K33">
            <v>91</v>
          </cell>
          <cell r="L33">
            <v>91</v>
          </cell>
          <cell r="M33">
            <v>718</v>
          </cell>
          <cell r="N33">
            <v>89.75</v>
          </cell>
          <cell r="O33">
            <v>16</v>
          </cell>
        </row>
        <row r="34">
          <cell r="E34">
            <v>86</v>
          </cell>
          <cell r="F34">
            <v>63</v>
          </cell>
          <cell r="G34">
            <v>75</v>
          </cell>
          <cell r="H34">
            <v>67</v>
          </cell>
          <cell r="I34">
            <v>75</v>
          </cell>
          <cell r="J34">
            <v>86</v>
          </cell>
          <cell r="K34">
            <v>94</v>
          </cell>
          <cell r="L34">
            <v>91</v>
          </cell>
          <cell r="M34">
            <v>637</v>
          </cell>
          <cell r="N34">
            <v>79.625</v>
          </cell>
          <cell r="O34">
            <v>43</v>
          </cell>
        </row>
        <row r="35">
          <cell r="E35">
            <v>96</v>
          </cell>
          <cell r="F35">
            <v>77</v>
          </cell>
          <cell r="G35">
            <v>75</v>
          </cell>
          <cell r="H35">
            <v>80</v>
          </cell>
          <cell r="I35">
            <v>80</v>
          </cell>
          <cell r="J35">
            <v>92</v>
          </cell>
          <cell r="K35">
            <v>86</v>
          </cell>
          <cell r="L35">
            <v>92</v>
          </cell>
          <cell r="M35">
            <v>678</v>
          </cell>
          <cell r="N35">
            <v>84.75</v>
          </cell>
          <cell r="O35">
            <v>32</v>
          </cell>
        </row>
        <row r="36">
          <cell r="E36">
            <v>68</v>
          </cell>
          <cell r="F36">
            <v>59</v>
          </cell>
          <cell r="G36">
            <v>75</v>
          </cell>
          <cell r="H36">
            <v>79</v>
          </cell>
          <cell r="I36">
            <v>78</v>
          </cell>
          <cell r="J36">
            <v>89</v>
          </cell>
          <cell r="K36">
            <v>92</v>
          </cell>
          <cell r="L36">
            <v>82</v>
          </cell>
          <cell r="M36">
            <v>622</v>
          </cell>
          <cell r="N36">
            <v>77.75</v>
          </cell>
          <cell r="O36">
            <v>44</v>
          </cell>
        </row>
        <row r="37">
          <cell r="E37">
            <v>74</v>
          </cell>
          <cell r="F37">
            <v>84</v>
          </cell>
          <cell r="G37">
            <v>90</v>
          </cell>
          <cell r="H37">
            <v>91</v>
          </cell>
          <cell r="I37">
            <v>87</v>
          </cell>
          <cell r="J37">
            <v>94</v>
          </cell>
          <cell r="K37">
            <v>88</v>
          </cell>
          <cell r="L37">
            <v>93</v>
          </cell>
          <cell r="M37">
            <v>701</v>
          </cell>
          <cell r="N37">
            <v>87.625</v>
          </cell>
          <cell r="O37">
            <v>19</v>
          </cell>
        </row>
        <row r="38">
          <cell r="E38">
            <v>92</v>
          </cell>
          <cell r="F38">
            <v>91</v>
          </cell>
          <cell r="G38">
            <v>94</v>
          </cell>
          <cell r="H38">
            <v>92</v>
          </cell>
          <cell r="I38">
            <v>93</v>
          </cell>
          <cell r="J38">
            <v>98</v>
          </cell>
          <cell r="K38">
            <v>100</v>
          </cell>
          <cell r="L38">
            <v>94</v>
          </cell>
          <cell r="M38">
            <v>754</v>
          </cell>
          <cell r="N38">
            <v>94.25</v>
          </cell>
          <cell r="O38">
            <v>8</v>
          </cell>
        </row>
        <row r="39">
          <cell r="E39">
            <v>90</v>
          </cell>
          <cell r="F39">
            <v>71</v>
          </cell>
          <cell r="G39">
            <v>86</v>
          </cell>
          <cell r="H39">
            <v>82</v>
          </cell>
          <cell r="I39">
            <v>88</v>
          </cell>
          <cell r="J39">
            <v>87</v>
          </cell>
          <cell r="K39">
            <v>86</v>
          </cell>
          <cell r="L39">
            <v>89</v>
          </cell>
          <cell r="M39">
            <v>679</v>
          </cell>
          <cell r="N39">
            <v>84.875</v>
          </cell>
          <cell r="O39">
            <v>31</v>
          </cell>
        </row>
        <row r="40">
          <cell r="E40">
            <v>72</v>
          </cell>
          <cell r="F40">
            <v>82</v>
          </cell>
          <cell r="G40">
            <v>86</v>
          </cell>
          <cell r="H40">
            <v>88</v>
          </cell>
          <cell r="I40">
            <v>92</v>
          </cell>
          <cell r="J40">
            <v>93</v>
          </cell>
          <cell r="K40">
            <v>92</v>
          </cell>
          <cell r="L40">
            <v>90</v>
          </cell>
          <cell r="M40">
            <v>695</v>
          </cell>
          <cell r="N40">
            <v>86.875</v>
          </cell>
          <cell r="O40">
            <v>21</v>
          </cell>
        </row>
        <row r="41">
          <cell r="E41">
            <v>65</v>
          </cell>
          <cell r="F41">
            <v>89</v>
          </cell>
          <cell r="G41">
            <v>85</v>
          </cell>
          <cell r="H41">
            <v>83</v>
          </cell>
          <cell r="I41">
            <v>83</v>
          </cell>
          <cell r="J41">
            <v>85</v>
          </cell>
          <cell r="K41">
            <v>95</v>
          </cell>
          <cell r="L41">
            <v>99</v>
          </cell>
          <cell r="M41">
            <v>684</v>
          </cell>
          <cell r="N41">
            <v>85.5</v>
          </cell>
          <cell r="O41">
            <v>28</v>
          </cell>
        </row>
        <row r="42">
          <cell r="E42">
            <v>89</v>
          </cell>
          <cell r="F42">
            <v>65</v>
          </cell>
          <cell r="G42">
            <v>81</v>
          </cell>
          <cell r="H42">
            <v>75</v>
          </cell>
          <cell r="I42">
            <v>80</v>
          </cell>
          <cell r="J42">
            <v>94</v>
          </cell>
          <cell r="K42">
            <v>91</v>
          </cell>
          <cell r="L42">
            <v>91</v>
          </cell>
          <cell r="M42">
            <v>666</v>
          </cell>
          <cell r="N42">
            <v>83.25</v>
          </cell>
          <cell r="O42">
            <v>35</v>
          </cell>
        </row>
        <row r="43">
          <cell r="E43">
            <v>79</v>
          </cell>
          <cell r="F43">
            <v>82</v>
          </cell>
          <cell r="G43">
            <v>89</v>
          </cell>
          <cell r="H43">
            <v>87</v>
          </cell>
          <cell r="I43">
            <v>88</v>
          </cell>
          <cell r="J43">
            <v>98</v>
          </cell>
          <cell r="K43">
            <v>95</v>
          </cell>
          <cell r="L43">
            <v>88</v>
          </cell>
          <cell r="M43">
            <v>706</v>
          </cell>
          <cell r="N43">
            <v>88.25</v>
          </cell>
          <cell r="O43">
            <v>17</v>
          </cell>
        </row>
        <row r="44">
          <cell r="E44">
            <v>92</v>
          </cell>
          <cell r="F44">
            <v>91</v>
          </cell>
          <cell r="G44">
            <v>92</v>
          </cell>
          <cell r="H44">
            <v>86</v>
          </cell>
          <cell r="I44">
            <v>96</v>
          </cell>
          <cell r="J44">
            <v>91</v>
          </cell>
          <cell r="K44">
            <v>100</v>
          </cell>
          <cell r="L44">
            <v>100</v>
          </cell>
          <cell r="M44">
            <v>748</v>
          </cell>
          <cell r="N44">
            <v>93.5</v>
          </cell>
          <cell r="O44">
            <v>10</v>
          </cell>
        </row>
        <row r="45">
          <cell r="E45">
            <v>80</v>
          </cell>
          <cell r="F45">
            <v>83</v>
          </cell>
          <cell r="G45">
            <v>85</v>
          </cell>
          <cell r="H45">
            <v>82</v>
          </cell>
          <cell r="I45">
            <v>80</v>
          </cell>
          <cell r="J45">
            <v>90</v>
          </cell>
          <cell r="K45">
            <v>97</v>
          </cell>
          <cell r="L45">
            <v>89</v>
          </cell>
          <cell r="M45">
            <v>686</v>
          </cell>
          <cell r="N45">
            <v>85.75</v>
          </cell>
          <cell r="O45">
            <v>27</v>
          </cell>
        </row>
        <row r="46">
          <cell r="E46">
            <v>76</v>
          </cell>
          <cell r="F46">
            <v>82</v>
          </cell>
          <cell r="G46">
            <v>84</v>
          </cell>
          <cell r="H46">
            <v>78</v>
          </cell>
          <cell r="I46">
            <v>82</v>
          </cell>
          <cell r="J46">
            <v>87</v>
          </cell>
          <cell r="K46">
            <v>94</v>
          </cell>
          <cell r="L46">
            <v>97</v>
          </cell>
          <cell r="M46">
            <v>680</v>
          </cell>
          <cell r="N46">
            <v>85</v>
          </cell>
          <cell r="O46">
            <v>30</v>
          </cell>
        </row>
        <row r="47">
          <cell r="E47">
            <v>88</v>
          </cell>
          <cell r="F47">
            <v>91</v>
          </cell>
          <cell r="G47">
            <v>92</v>
          </cell>
          <cell r="H47">
            <v>87</v>
          </cell>
          <cell r="I47">
            <v>93</v>
          </cell>
          <cell r="J47">
            <v>96</v>
          </cell>
          <cell r="K47">
            <v>97</v>
          </cell>
          <cell r="L47">
            <v>92</v>
          </cell>
          <cell r="M47">
            <v>736</v>
          </cell>
          <cell r="N47">
            <v>92</v>
          </cell>
          <cell r="O47">
            <v>13</v>
          </cell>
        </row>
        <row r="48">
          <cell r="E48">
            <v>65</v>
          </cell>
          <cell r="F48">
            <v>54</v>
          </cell>
          <cell r="G48">
            <v>62</v>
          </cell>
          <cell r="H48">
            <v>56</v>
          </cell>
          <cell r="I48">
            <v>64</v>
          </cell>
          <cell r="J48">
            <v>74</v>
          </cell>
          <cell r="K48">
            <v>75</v>
          </cell>
          <cell r="L48">
            <v>84</v>
          </cell>
          <cell r="M48">
            <v>534</v>
          </cell>
          <cell r="N48">
            <v>66.75</v>
          </cell>
          <cell r="O48">
            <v>51</v>
          </cell>
        </row>
        <row r="49">
          <cell r="E49">
            <v>76</v>
          </cell>
          <cell r="F49">
            <v>72</v>
          </cell>
          <cell r="G49">
            <v>80</v>
          </cell>
          <cell r="H49">
            <v>78</v>
          </cell>
          <cell r="I49">
            <v>79</v>
          </cell>
          <cell r="J49">
            <v>90</v>
          </cell>
          <cell r="K49">
            <v>91</v>
          </cell>
          <cell r="L49">
            <v>94</v>
          </cell>
          <cell r="M49">
            <v>660</v>
          </cell>
          <cell r="N49">
            <v>82.5</v>
          </cell>
          <cell r="O49">
            <v>36</v>
          </cell>
        </row>
        <row r="50">
          <cell r="E50">
            <v>97</v>
          </cell>
          <cell r="F50">
            <v>99</v>
          </cell>
          <cell r="G50">
            <v>100</v>
          </cell>
          <cell r="H50">
            <v>97</v>
          </cell>
          <cell r="I50">
            <v>99</v>
          </cell>
          <cell r="J50">
            <v>100</v>
          </cell>
          <cell r="K50">
            <v>100</v>
          </cell>
          <cell r="L50">
            <v>100</v>
          </cell>
          <cell r="M50">
            <v>792</v>
          </cell>
          <cell r="N50">
            <v>99</v>
          </cell>
          <cell r="O50">
            <v>1</v>
          </cell>
        </row>
        <row r="51">
          <cell r="E51">
            <v>79</v>
          </cell>
          <cell r="F51">
            <v>87</v>
          </cell>
          <cell r="G51">
            <v>89</v>
          </cell>
          <cell r="H51">
            <v>84</v>
          </cell>
          <cell r="I51">
            <v>76</v>
          </cell>
          <cell r="J51">
            <v>90</v>
          </cell>
          <cell r="K51">
            <v>95</v>
          </cell>
          <cell r="L51">
            <v>93</v>
          </cell>
          <cell r="M51">
            <v>693</v>
          </cell>
          <cell r="N51">
            <v>86.625</v>
          </cell>
          <cell r="O51">
            <v>22</v>
          </cell>
        </row>
        <row r="52">
          <cell r="E52">
            <v>75</v>
          </cell>
          <cell r="F52">
            <v>44</v>
          </cell>
          <cell r="G52">
            <v>59</v>
          </cell>
          <cell r="H52">
            <v>38</v>
          </cell>
          <cell r="I52">
            <v>56</v>
          </cell>
          <cell r="J52">
            <v>67</v>
          </cell>
          <cell r="K52">
            <v>81</v>
          </cell>
          <cell r="L52">
            <v>78</v>
          </cell>
          <cell r="M52">
            <v>498</v>
          </cell>
          <cell r="N52">
            <v>62.25</v>
          </cell>
          <cell r="O52">
            <v>54</v>
          </cell>
        </row>
        <row r="53">
          <cell r="E53">
            <v>91</v>
          </cell>
          <cell r="F53">
            <v>67</v>
          </cell>
          <cell r="G53">
            <v>87</v>
          </cell>
          <cell r="H53">
            <v>66</v>
          </cell>
          <cell r="I53">
            <v>77</v>
          </cell>
          <cell r="J53">
            <v>93</v>
          </cell>
          <cell r="K53">
            <v>98</v>
          </cell>
          <cell r="L53">
            <v>95</v>
          </cell>
          <cell r="M53">
            <v>674</v>
          </cell>
          <cell r="N53">
            <v>84.25</v>
          </cell>
          <cell r="O53">
            <v>34</v>
          </cell>
        </row>
        <row r="54">
          <cell r="E54">
            <v>89</v>
          </cell>
          <cell r="F54">
            <v>95</v>
          </cell>
          <cell r="G54">
            <v>93</v>
          </cell>
          <cell r="H54">
            <v>90</v>
          </cell>
          <cell r="I54">
            <v>93</v>
          </cell>
          <cell r="J54">
            <v>96</v>
          </cell>
          <cell r="K54">
            <v>99</v>
          </cell>
          <cell r="L54">
            <v>99</v>
          </cell>
          <cell r="M54">
            <v>754</v>
          </cell>
          <cell r="N54">
            <v>94.25</v>
          </cell>
          <cell r="O54">
            <v>8</v>
          </cell>
        </row>
        <row r="55">
          <cell r="E55">
            <v>99</v>
          </cell>
          <cell r="F55">
            <v>94</v>
          </cell>
          <cell r="G55">
            <v>99</v>
          </cell>
          <cell r="H55">
            <v>90</v>
          </cell>
          <cell r="I55">
            <v>96</v>
          </cell>
          <cell r="J55">
            <v>100</v>
          </cell>
          <cell r="K55">
            <v>100</v>
          </cell>
          <cell r="L55">
            <v>98</v>
          </cell>
          <cell r="M55">
            <v>776</v>
          </cell>
          <cell r="N55">
            <v>97</v>
          </cell>
          <cell r="O55">
            <v>3</v>
          </cell>
        </row>
        <row r="56">
          <cell r="E56">
            <v>92</v>
          </cell>
          <cell r="F56">
            <v>91</v>
          </cell>
          <cell r="G56">
            <v>95</v>
          </cell>
          <cell r="H56">
            <v>96</v>
          </cell>
          <cell r="I56">
            <v>96</v>
          </cell>
          <cell r="J56">
            <v>97</v>
          </cell>
          <cell r="K56">
            <v>100</v>
          </cell>
          <cell r="L56">
            <v>100</v>
          </cell>
          <cell r="M56">
            <v>767</v>
          </cell>
          <cell r="N56">
            <v>95.875</v>
          </cell>
          <cell r="O56">
            <v>5</v>
          </cell>
        </row>
        <row r="57">
          <cell r="E57">
            <v>81</v>
          </cell>
          <cell r="F57">
            <v>79</v>
          </cell>
          <cell r="G57">
            <v>77</v>
          </cell>
          <cell r="H57">
            <v>79</v>
          </cell>
          <cell r="I57">
            <v>84</v>
          </cell>
          <cell r="J57">
            <v>80</v>
          </cell>
          <cell r="K57">
            <v>81</v>
          </cell>
          <cell r="L57">
            <v>85</v>
          </cell>
          <cell r="M57">
            <v>646</v>
          </cell>
          <cell r="N57">
            <v>80.75</v>
          </cell>
          <cell r="O57">
            <v>41</v>
          </cell>
        </row>
      </sheetData>
      <sheetData sheetId="2">
        <row r="4">
          <cell r="E4">
            <v>54</v>
          </cell>
          <cell r="F4">
            <v>72</v>
          </cell>
          <cell r="G4">
            <v>69</v>
          </cell>
          <cell r="H4">
            <v>68</v>
          </cell>
          <cell r="I4">
            <v>77</v>
          </cell>
          <cell r="J4">
            <v>89</v>
          </cell>
          <cell r="K4">
            <v>82</v>
          </cell>
          <cell r="L4">
            <v>82</v>
          </cell>
          <cell r="M4">
            <v>593</v>
          </cell>
          <cell r="N4">
            <v>74.125</v>
          </cell>
          <cell r="O4">
            <v>48</v>
          </cell>
        </row>
        <row r="5">
          <cell r="E5">
            <v>81</v>
          </cell>
          <cell r="F5">
            <v>62</v>
          </cell>
          <cell r="G5">
            <v>66</v>
          </cell>
          <cell r="H5">
            <v>75</v>
          </cell>
          <cell r="I5">
            <v>91</v>
          </cell>
          <cell r="J5">
            <v>96</v>
          </cell>
          <cell r="K5">
            <v>93</v>
          </cell>
          <cell r="L5">
            <v>86</v>
          </cell>
          <cell r="M5">
            <v>650</v>
          </cell>
          <cell r="N5">
            <v>81.25</v>
          </cell>
          <cell r="O5">
            <v>39</v>
          </cell>
        </row>
        <row r="6">
          <cell r="E6">
            <v>73</v>
          </cell>
          <cell r="F6">
            <v>68</v>
          </cell>
          <cell r="G6">
            <v>60</v>
          </cell>
          <cell r="H6">
            <v>65</v>
          </cell>
          <cell r="I6">
            <v>78</v>
          </cell>
          <cell r="J6">
            <v>88</v>
          </cell>
          <cell r="K6">
            <v>80</v>
          </cell>
          <cell r="L6">
            <v>73</v>
          </cell>
          <cell r="M6">
            <v>585</v>
          </cell>
          <cell r="N6">
            <v>73.125</v>
          </cell>
          <cell r="O6">
            <v>50</v>
          </cell>
        </row>
        <row r="7">
          <cell r="E7">
            <v>96</v>
          </cell>
          <cell r="F7">
            <v>100</v>
          </cell>
          <cell r="G7">
            <v>98</v>
          </cell>
          <cell r="H7">
            <v>99</v>
          </cell>
          <cell r="I7">
            <v>100</v>
          </cell>
          <cell r="J7">
            <v>99</v>
          </cell>
          <cell r="K7">
            <v>99</v>
          </cell>
          <cell r="L7">
            <v>100</v>
          </cell>
          <cell r="M7">
            <v>791</v>
          </cell>
          <cell r="N7">
            <v>98.875</v>
          </cell>
          <cell r="O7">
            <v>1</v>
          </cell>
        </row>
        <row r="8">
          <cell r="E8">
            <v>100</v>
          </cell>
          <cell r="F8">
            <v>96</v>
          </cell>
          <cell r="G8">
            <v>92</v>
          </cell>
          <cell r="H8">
            <v>96</v>
          </cell>
          <cell r="I8">
            <v>100</v>
          </cell>
          <cell r="J8">
            <v>99</v>
          </cell>
          <cell r="K8">
            <v>97</v>
          </cell>
          <cell r="L8">
            <v>89</v>
          </cell>
          <cell r="M8">
            <v>769</v>
          </cell>
          <cell r="N8">
            <v>96.125</v>
          </cell>
          <cell r="O8">
            <v>5</v>
          </cell>
        </row>
        <row r="9">
          <cell r="E9">
            <v>79</v>
          </cell>
          <cell r="F9">
            <v>80</v>
          </cell>
          <cell r="G9">
            <v>85</v>
          </cell>
          <cell r="H9">
            <v>74</v>
          </cell>
          <cell r="I9">
            <v>90</v>
          </cell>
          <cell r="J9">
            <v>92</v>
          </cell>
          <cell r="K9">
            <v>80</v>
          </cell>
          <cell r="L9">
            <v>82</v>
          </cell>
          <cell r="M9">
            <v>662</v>
          </cell>
          <cell r="N9">
            <v>82.75</v>
          </cell>
          <cell r="O9">
            <v>36</v>
          </cell>
        </row>
        <row r="10">
          <cell r="E10">
            <v>91</v>
          </cell>
          <cell r="F10">
            <v>88</v>
          </cell>
          <cell r="G10">
            <v>88</v>
          </cell>
          <cell r="H10">
            <v>90</v>
          </cell>
          <cell r="I10">
            <v>100</v>
          </cell>
          <cell r="J10">
            <v>97</v>
          </cell>
          <cell r="K10">
            <v>96</v>
          </cell>
          <cell r="L10">
            <v>95</v>
          </cell>
          <cell r="M10">
            <v>745</v>
          </cell>
          <cell r="N10">
            <v>93.125</v>
          </cell>
          <cell r="O10">
            <v>8</v>
          </cell>
        </row>
        <row r="11">
          <cell r="E11">
            <v>71</v>
          </cell>
          <cell r="F11">
            <v>92</v>
          </cell>
          <cell r="G11">
            <v>79</v>
          </cell>
          <cell r="H11">
            <v>72</v>
          </cell>
          <cell r="I11">
            <v>89</v>
          </cell>
          <cell r="J11">
            <v>83</v>
          </cell>
          <cell r="K11">
            <v>99</v>
          </cell>
          <cell r="L11">
            <v>98</v>
          </cell>
          <cell r="M11">
            <v>683</v>
          </cell>
          <cell r="N11">
            <v>85.375</v>
          </cell>
          <cell r="O11">
            <v>31</v>
          </cell>
        </row>
        <row r="12">
          <cell r="E12">
            <v>81</v>
          </cell>
          <cell r="F12">
            <v>54</v>
          </cell>
          <cell r="G12">
            <v>60</v>
          </cell>
          <cell r="H12">
            <v>66</v>
          </cell>
          <cell r="I12">
            <v>84</v>
          </cell>
          <cell r="J12">
            <v>93</v>
          </cell>
          <cell r="K12">
            <v>82</v>
          </cell>
          <cell r="L12">
            <v>73</v>
          </cell>
          <cell r="M12">
            <v>593</v>
          </cell>
          <cell r="N12">
            <v>74.125</v>
          </cell>
          <cell r="O12">
            <v>48</v>
          </cell>
        </row>
        <row r="13">
          <cell r="E13">
            <v>66</v>
          </cell>
          <cell r="F13">
            <v>72</v>
          </cell>
          <cell r="G13">
            <v>80</v>
          </cell>
          <cell r="H13">
            <v>63</v>
          </cell>
          <cell r="I13">
            <v>73</v>
          </cell>
          <cell r="J13">
            <v>78</v>
          </cell>
          <cell r="K13">
            <v>91</v>
          </cell>
          <cell r="L13">
            <v>92</v>
          </cell>
          <cell r="M13">
            <v>615</v>
          </cell>
          <cell r="N13">
            <v>76.875</v>
          </cell>
          <cell r="O13">
            <v>46</v>
          </cell>
        </row>
        <row r="14">
          <cell r="E14">
            <v>76</v>
          </cell>
          <cell r="F14">
            <v>85</v>
          </cell>
          <cell r="G14">
            <v>67</v>
          </cell>
          <cell r="H14">
            <v>81</v>
          </cell>
          <cell r="I14">
            <v>86</v>
          </cell>
          <cell r="J14">
            <v>93</v>
          </cell>
          <cell r="K14">
            <v>82</v>
          </cell>
          <cell r="L14">
            <v>80</v>
          </cell>
          <cell r="M14">
            <v>650</v>
          </cell>
          <cell r="N14">
            <v>81.25</v>
          </cell>
          <cell r="O14">
            <v>39</v>
          </cell>
        </row>
        <row r="15">
          <cell r="E15">
            <v>69</v>
          </cell>
          <cell r="F15">
            <v>79</v>
          </cell>
          <cell r="G15">
            <v>66</v>
          </cell>
          <cell r="H15">
            <v>70</v>
          </cell>
          <cell r="I15">
            <v>86</v>
          </cell>
          <cell r="J15">
            <v>90</v>
          </cell>
          <cell r="K15">
            <v>94</v>
          </cell>
          <cell r="L15">
            <v>87</v>
          </cell>
          <cell r="M15">
            <v>641</v>
          </cell>
          <cell r="N15">
            <v>80.125</v>
          </cell>
          <cell r="O15">
            <v>43</v>
          </cell>
        </row>
        <row r="16">
          <cell r="E16">
            <v>69</v>
          </cell>
          <cell r="F16">
            <v>60</v>
          </cell>
          <cell r="G16">
            <v>60</v>
          </cell>
          <cell r="H16">
            <v>58</v>
          </cell>
          <cell r="I16">
            <v>79</v>
          </cell>
          <cell r="J16">
            <v>88</v>
          </cell>
          <cell r="K16">
            <v>91</v>
          </cell>
          <cell r="L16">
            <v>93</v>
          </cell>
          <cell r="M16">
            <v>598</v>
          </cell>
          <cell r="N16">
            <v>74.75</v>
          </cell>
          <cell r="O16">
            <v>47</v>
          </cell>
        </row>
        <row r="17">
          <cell r="E17">
            <v>92</v>
          </cell>
          <cell r="F17">
            <v>90</v>
          </cell>
          <cell r="G17">
            <v>83</v>
          </cell>
          <cell r="H17">
            <v>84</v>
          </cell>
          <cell r="I17">
            <v>100</v>
          </cell>
          <cell r="J17">
            <v>92</v>
          </cell>
          <cell r="K17">
            <v>99</v>
          </cell>
          <cell r="L17">
            <v>98</v>
          </cell>
          <cell r="M17">
            <v>738</v>
          </cell>
          <cell r="N17">
            <v>92.25</v>
          </cell>
          <cell r="O17">
            <v>9</v>
          </cell>
        </row>
        <row r="18">
          <cell r="E18">
            <v>70</v>
          </cell>
          <cell r="F18">
            <v>82</v>
          </cell>
          <cell r="G18">
            <v>75</v>
          </cell>
          <cell r="H18">
            <v>77</v>
          </cell>
          <cell r="I18">
            <v>79</v>
          </cell>
          <cell r="J18">
            <v>95</v>
          </cell>
          <cell r="K18">
            <v>93</v>
          </cell>
          <cell r="L18">
            <v>93</v>
          </cell>
          <cell r="M18">
            <v>664</v>
          </cell>
          <cell r="N18">
            <v>83</v>
          </cell>
          <cell r="O18">
            <v>35</v>
          </cell>
        </row>
        <row r="19">
          <cell r="E19">
            <v>84</v>
          </cell>
          <cell r="F19">
            <v>86</v>
          </cell>
          <cell r="G19">
            <v>69</v>
          </cell>
          <cell r="H19">
            <v>78</v>
          </cell>
          <cell r="I19">
            <v>90</v>
          </cell>
          <cell r="J19">
            <v>91</v>
          </cell>
          <cell r="K19">
            <v>96</v>
          </cell>
          <cell r="L19">
            <v>93</v>
          </cell>
          <cell r="M19">
            <v>687</v>
          </cell>
          <cell r="N19">
            <v>85.875</v>
          </cell>
          <cell r="O19">
            <v>29</v>
          </cell>
        </row>
        <row r="20">
          <cell r="E20">
            <v>61</v>
          </cell>
          <cell r="F20">
            <v>49</v>
          </cell>
          <cell r="G20">
            <v>57</v>
          </cell>
          <cell r="H20">
            <v>56</v>
          </cell>
          <cell r="I20">
            <v>81</v>
          </cell>
          <cell r="J20">
            <v>90</v>
          </cell>
          <cell r="K20">
            <v>81</v>
          </cell>
          <cell r="L20">
            <v>75</v>
          </cell>
          <cell r="M20">
            <v>550</v>
          </cell>
          <cell r="N20">
            <v>68.75</v>
          </cell>
          <cell r="O20">
            <v>53</v>
          </cell>
        </row>
        <row r="21">
          <cell r="E21">
            <v>97</v>
          </cell>
          <cell r="F21">
            <v>93</v>
          </cell>
          <cell r="G21">
            <v>91</v>
          </cell>
          <cell r="H21">
            <v>84</v>
          </cell>
          <cell r="I21">
            <v>100</v>
          </cell>
          <cell r="J21">
            <v>97</v>
          </cell>
          <cell r="K21">
            <v>83</v>
          </cell>
          <cell r="L21">
            <v>85</v>
          </cell>
          <cell r="M21">
            <v>730</v>
          </cell>
          <cell r="N21">
            <v>91.25</v>
          </cell>
          <cell r="O21">
            <v>13</v>
          </cell>
        </row>
        <row r="22">
          <cell r="E22">
            <v>92</v>
          </cell>
          <cell r="F22">
            <v>93</v>
          </cell>
          <cell r="G22">
            <v>88</v>
          </cell>
          <cell r="H22">
            <v>94</v>
          </cell>
          <cell r="I22">
            <v>98</v>
          </cell>
          <cell r="J22">
            <v>99</v>
          </cell>
          <cell r="K22">
            <v>87</v>
          </cell>
          <cell r="L22">
            <v>85</v>
          </cell>
          <cell r="M22">
            <v>736</v>
          </cell>
          <cell r="N22">
            <v>92</v>
          </cell>
          <cell r="O22">
            <v>10</v>
          </cell>
        </row>
        <row r="23">
          <cell r="E23">
            <v>86</v>
          </cell>
          <cell r="F23">
            <v>77</v>
          </cell>
          <cell r="G23">
            <v>70</v>
          </cell>
          <cell r="H23">
            <v>74</v>
          </cell>
          <cell r="I23">
            <v>80</v>
          </cell>
          <cell r="J23">
            <v>93</v>
          </cell>
          <cell r="K23">
            <v>89</v>
          </cell>
          <cell r="L23">
            <v>91</v>
          </cell>
          <cell r="M23">
            <v>660</v>
          </cell>
          <cell r="N23">
            <v>82.5</v>
          </cell>
          <cell r="O23">
            <v>38</v>
          </cell>
        </row>
        <row r="24">
          <cell r="E24">
            <v>85</v>
          </cell>
          <cell r="F24">
            <v>84</v>
          </cell>
          <cell r="G24">
            <v>80</v>
          </cell>
          <cell r="H24">
            <v>83</v>
          </cell>
          <cell r="I24">
            <v>94</v>
          </cell>
          <cell r="J24">
            <v>99</v>
          </cell>
          <cell r="K24">
            <v>93</v>
          </cell>
          <cell r="L24">
            <v>92</v>
          </cell>
          <cell r="M24">
            <v>710</v>
          </cell>
          <cell r="N24">
            <v>88.75</v>
          </cell>
          <cell r="O24">
            <v>17</v>
          </cell>
        </row>
        <row r="25">
          <cell r="E25">
            <v>93</v>
          </cell>
          <cell r="F25">
            <v>89</v>
          </cell>
          <cell r="G25">
            <v>90</v>
          </cell>
          <cell r="H25">
            <v>84</v>
          </cell>
          <cell r="I25">
            <v>100</v>
          </cell>
          <cell r="J25">
            <v>100</v>
          </cell>
          <cell r="K25">
            <v>86</v>
          </cell>
          <cell r="L25">
            <v>85</v>
          </cell>
          <cell r="M25">
            <v>727</v>
          </cell>
          <cell r="N25">
            <v>90.875</v>
          </cell>
          <cell r="O25">
            <v>14</v>
          </cell>
        </row>
        <row r="26">
          <cell r="E26">
            <v>70</v>
          </cell>
          <cell r="F26">
            <v>62</v>
          </cell>
          <cell r="G26">
            <v>67</v>
          </cell>
          <cell r="H26">
            <v>66</v>
          </cell>
          <cell r="I26">
            <v>82</v>
          </cell>
          <cell r="J26">
            <v>99</v>
          </cell>
          <cell r="K26">
            <v>92</v>
          </cell>
          <cell r="L26">
            <v>85</v>
          </cell>
          <cell r="M26">
            <v>623</v>
          </cell>
          <cell r="N26">
            <v>77.875</v>
          </cell>
          <cell r="O26">
            <v>45</v>
          </cell>
        </row>
        <row r="27">
          <cell r="E27">
            <v>82</v>
          </cell>
          <cell r="F27">
            <v>95</v>
          </cell>
          <cell r="G27">
            <v>79</v>
          </cell>
          <cell r="H27">
            <v>75</v>
          </cell>
          <cell r="I27">
            <v>88</v>
          </cell>
          <cell r="J27">
            <v>90</v>
          </cell>
          <cell r="K27">
            <v>93</v>
          </cell>
          <cell r="L27">
            <v>92</v>
          </cell>
          <cell r="M27">
            <v>694</v>
          </cell>
          <cell r="N27">
            <v>86.75</v>
          </cell>
          <cell r="O27">
            <v>24</v>
          </cell>
        </row>
        <row r="28">
          <cell r="E28">
            <v>84</v>
          </cell>
          <cell r="F28">
            <v>83</v>
          </cell>
          <cell r="G28">
            <v>80</v>
          </cell>
          <cell r="H28">
            <v>77</v>
          </cell>
          <cell r="I28">
            <v>95</v>
          </cell>
          <cell r="J28">
            <v>99</v>
          </cell>
          <cell r="K28">
            <v>82</v>
          </cell>
          <cell r="L28">
            <v>88</v>
          </cell>
          <cell r="M28">
            <v>688</v>
          </cell>
          <cell r="N28">
            <v>86</v>
          </cell>
          <cell r="O28">
            <v>28</v>
          </cell>
        </row>
        <row r="29">
          <cell r="E29">
            <v>79</v>
          </cell>
          <cell r="F29">
            <v>78</v>
          </cell>
          <cell r="G29">
            <v>75</v>
          </cell>
          <cell r="H29">
            <v>69</v>
          </cell>
          <cell r="I29">
            <v>97</v>
          </cell>
          <cell r="J29">
            <v>95</v>
          </cell>
          <cell r="K29">
            <v>95</v>
          </cell>
          <cell r="L29">
            <v>95</v>
          </cell>
          <cell r="M29">
            <v>683</v>
          </cell>
          <cell r="N29">
            <v>85.375</v>
          </cell>
          <cell r="O29">
            <v>31</v>
          </cell>
        </row>
        <row r="30">
          <cell r="E30">
            <v>92</v>
          </cell>
          <cell r="F30">
            <v>90</v>
          </cell>
          <cell r="G30">
            <v>69</v>
          </cell>
          <cell r="H30">
            <v>78</v>
          </cell>
          <cell r="I30">
            <v>90</v>
          </cell>
          <cell r="J30">
            <v>96</v>
          </cell>
          <cell r="K30">
            <v>95</v>
          </cell>
          <cell r="L30">
            <v>89</v>
          </cell>
          <cell r="M30">
            <v>699</v>
          </cell>
          <cell r="N30">
            <v>87.375</v>
          </cell>
          <cell r="O30">
            <v>20</v>
          </cell>
        </row>
        <row r="31">
          <cell r="E31">
            <v>81</v>
          </cell>
          <cell r="F31">
            <v>84</v>
          </cell>
          <cell r="G31">
            <v>81</v>
          </cell>
          <cell r="H31">
            <v>87</v>
          </cell>
          <cell r="I31">
            <v>91</v>
          </cell>
          <cell r="J31">
            <v>100</v>
          </cell>
          <cell r="K31">
            <v>94</v>
          </cell>
          <cell r="L31">
            <v>89</v>
          </cell>
          <cell r="M31">
            <v>707</v>
          </cell>
          <cell r="N31">
            <v>88.375</v>
          </cell>
          <cell r="O31">
            <v>18</v>
          </cell>
        </row>
        <row r="32">
          <cell r="E32">
            <v>55</v>
          </cell>
          <cell r="F32">
            <v>54</v>
          </cell>
          <cell r="G32">
            <v>55</v>
          </cell>
          <cell r="H32">
            <v>53</v>
          </cell>
          <cell r="I32">
            <v>75</v>
          </cell>
          <cell r="J32">
            <v>82</v>
          </cell>
          <cell r="K32">
            <v>86</v>
          </cell>
          <cell r="L32">
            <v>84</v>
          </cell>
          <cell r="M32">
            <v>544</v>
          </cell>
          <cell r="N32">
            <v>68</v>
          </cell>
          <cell r="O32">
            <v>54</v>
          </cell>
        </row>
        <row r="33">
          <cell r="E33">
            <v>93</v>
          </cell>
          <cell r="F33">
            <v>88</v>
          </cell>
          <cell r="G33">
            <v>77</v>
          </cell>
          <cell r="H33">
            <v>87</v>
          </cell>
          <cell r="I33">
            <v>96</v>
          </cell>
          <cell r="J33">
            <v>96</v>
          </cell>
          <cell r="K33">
            <v>93</v>
          </cell>
          <cell r="L33">
            <v>94</v>
          </cell>
          <cell r="M33">
            <v>724</v>
          </cell>
          <cell r="N33">
            <v>90.5</v>
          </cell>
          <cell r="O33">
            <v>16</v>
          </cell>
        </row>
        <row r="34">
          <cell r="E34">
            <v>88</v>
          </cell>
          <cell r="F34">
            <v>64</v>
          </cell>
          <cell r="G34">
            <v>68</v>
          </cell>
          <cell r="H34">
            <v>70</v>
          </cell>
          <cell r="I34">
            <v>86</v>
          </cell>
          <cell r="J34">
            <v>92</v>
          </cell>
          <cell r="K34">
            <v>90</v>
          </cell>
          <cell r="L34">
            <v>87</v>
          </cell>
          <cell r="M34">
            <v>645</v>
          </cell>
          <cell r="N34">
            <v>80.625</v>
          </cell>
          <cell r="O34">
            <v>42</v>
          </cell>
        </row>
        <row r="35">
          <cell r="E35">
            <v>83</v>
          </cell>
          <cell r="F35">
            <v>76</v>
          </cell>
          <cell r="G35">
            <v>70</v>
          </cell>
          <cell r="H35">
            <v>62</v>
          </cell>
          <cell r="I35">
            <v>90</v>
          </cell>
          <cell r="J35">
            <v>93</v>
          </cell>
          <cell r="K35">
            <v>93</v>
          </cell>
          <cell r="L35">
            <v>94</v>
          </cell>
          <cell r="M35">
            <v>661</v>
          </cell>
          <cell r="N35">
            <v>82.625</v>
          </cell>
          <cell r="O35">
            <v>37</v>
          </cell>
        </row>
        <row r="36">
          <cell r="E36">
            <v>76</v>
          </cell>
          <cell r="F36">
            <v>74</v>
          </cell>
          <cell r="G36">
            <v>69</v>
          </cell>
          <cell r="H36">
            <v>70</v>
          </cell>
          <cell r="I36">
            <v>83</v>
          </cell>
          <cell r="J36">
            <v>88</v>
          </cell>
          <cell r="K36">
            <v>94</v>
          </cell>
          <cell r="L36">
            <v>94</v>
          </cell>
          <cell r="M36">
            <v>648</v>
          </cell>
          <cell r="N36">
            <v>81</v>
          </cell>
          <cell r="O36">
            <v>41</v>
          </cell>
        </row>
        <row r="37">
          <cell r="E37">
            <v>78</v>
          </cell>
          <cell r="F37">
            <v>82</v>
          </cell>
          <cell r="G37">
            <v>83</v>
          </cell>
          <cell r="H37">
            <v>84</v>
          </cell>
          <cell r="I37">
            <v>96</v>
          </cell>
          <cell r="J37">
            <v>97</v>
          </cell>
          <cell r="K37">
            <v>88</v>
          </cell>
          <cell r="L37">
            <v>83</v>
          </cell>
          <cell r="M37">
            <v>691</v>
          </cell>
          <cell r="N37">
            <v>86.375</v>
          </cell>
          <cell r="O37">
            <v>26</v>
          </cell>
        </row>
        <row r="38">
          <cell r="E38">
            <v>93</v>
          </cell>
          <cell r="F38">
            <v>93</v>
          </cell>
          <cell r="G38">
            <v>95</v>
          </cell>
          <cell r="H38">
            <v>96</v>
          </cell>
          <cell r="I38">
            <v>99</v>
          </cell>
          <cell r="J38">
            <v>98</v>
          </cell>
          <cell r="K38">
            <v>91</v>
          </cell>
          <cell r="L38">
            <v>95</v>
          </cell>
          <cell r="M38">
            <v>760</v>
          </cell>
          <cell r="N38">
            <v>95</v>
          </cell>
          <cell r="O38">
            <v>7</v>
          </cell>
        </row>
        <row r="39">
          <cell r="E39">
            <v>88</v>
          </cell>
          <cell r="F39">
            <v>66</v>
          </cell>
          <cell r="G39">
            <v>81</v>
          </cell>
          <cell r="H39">
            <v>77</v>
          </cell>
          <cell r="I39">
            <v>87</v>
          </cell>
          <cell r="J39">
            <v>93</v>
          </cell>
          <cell r="K39">
            <v>90</v>
          </cell>
          <cell r="L39">
            <v>85</v>
          </cell>
          <cell r="M39">
            <v>667</v>
          </cell>
          <cell r="N39">
            <v>83.375</v>
          </cell>
          <cell r="O39">
            <v>34</v>
          </cell>
        </row>
        <row r="40">
          <cell r="E40">
            <v>71</v>
          </cell>
          <cell r="F40">
            <v>90</v>
          </cell>
          <cell r="G40">
            <v>81</v>
          </cell>
          <cell r="H40">
            <v>92</v>
          </cell>
          <cell r="I40">
            <v>97</v>
          </cell>
          <cell r="J40">
            <v>98</v>
          </cell>
          <cell r="K40">
            <v>91</v>
          </cell>
          <cell r="L40">
            <v>86</v>
          </cell>
          <cell r="M40">
            <v>706</v>
          </cell>
          <cell r="N40">
            <v>88.25</v>
          </cell>
          <cell r="O40">
            <v>19</v>
          </cell>
        </row>
        <row r="41">
          <cell r="E41">
            <v>73</v>
          </cell>
          <cell r="F41">
            <v>93</v>
          </cell>
          <cell r="G41">
            <v>86</v>
          </cell>
          <cell r="H41">
            <v>82</v>
          </cell>
          <cell r="I41">
            <v>82</v>
          </cell>
          <cell r="J41">
            <v>83</v>
          </cell>
          <cell r="K41">
            <v>95</v>
          </cell>
          <cell r="L41">
            <v>89</v>
          </cell>
          <cell r="M41">
            <v>683</v>
          </cell>
          <cell r="N41">
            <v>85.375</v>
          </cell>
          <cell r="O41">
            <v>31</v>
          </cell>
        </row>
        <row r="42">
          <cell r="E42">
            <v>94</v>
          </cell>
          <cell r="F42">
            <v>67</v>
          </cell>
          <cell r="G42">
            <v>75</v>
          </cell>
          <cell r="H42">
            <v>72</v>
          </cell>
          <cell r="I42">
            <v>93</v>
          </cell>
          <cell r="J42">
            <v>97</v>
          </cell>
          <cell r="K42">
            <v>98</v>
          </cell>
          <cell r="L42">
            <v>88</v>
          </cell>
          <cell r="M42">
            <v>684</v>
          </cell>
          <cell r="N42">
            <v>85.5</v>
          </cell>
          <cell r="O42">
            <v>30</v>
          </cell>
        </row>
        <row r="43">
          <cell r="E43">
            <v>90</v>
          </cell>
          <cell r="F43">
            <v>91</v>
          </cell>
          <cell r="G43">
            <v>83</v>
          </cell>
          <cell r="H43">
            <v>81</v>
          </cell>
          <cell r="I43">
            <v>97</v>
          </cell>
          <cell r="J43">
            <v>95</v>
          </cell>
          <cell r="K43">
            <v>94</v>
          </cell>
          <cell r="L43">
            <v>96</v>
          </cell>
          <cell r="M43">
            <v>727</v>
          </cell>
          <cell r="N43">
            <v>90.875</v>
          </cell>
          <cell r="O43">
            <v>14</v>
          </cell>
        </row>
        <row r="44">
          <cell r="E44">
            <v>87</v>
          </cell>
          <cell r="F44">
            <v>92</v>
          </cell>
          <cell r="G44">
            <v>92</v>
          </cell>
          <cell r="H44">
            <v>78</v>
          </cell>
          <cell r="I44">
            <v>94</v>
          </cell>
          <cell r="J44">
            <v>98</v>
          </cell>
          <cell r="K44">
            <v>96</v>
          </cell>
          <cell r="L44">
            <v>99</v>
          </cell>
          <cell r="M44">
            <v>736</v>
          </cell>
          <cell r="N44">
            <v>92</v>
          </cell>
          <cell r="O44">
            <v>10</v>
          </cell>
        </row>
        <row r="45">
          <cell r="E45">
            <v>79</v>
          </cell>
          <cell r="F45">
            <v>90</v>
          </cell>
          <cell r="G45">
            <v>75</v>
          </cell>
          <cell r="H45">
            <v>77</v>
          </cell>
          <cell r="I45">
            <v>87</v>
          </cell>
          <cell r="J45">
            <v>87</v>
          </cell>
          <cell r="K45">
            <v>97</v>
          </cell>
          <cell r="L45">
            <v>97</v>
          </cell>
          <cell r="M45">
            <v>689</v>
          </cell>
          <cell r="N45">
            <v>86.125</v>
          </cell>
          <cell r="O45">
            <v>27</v>
          </cell>
        </row>
        <row r="46">
          <cell r="E46">
            <v>82</v>
          </cell>
          <cell r="F46">
            <v>85</v>
          </cell>
          <cell r="G46">
            <v>81</v>
          </cell>
          <cell r="H46">
            <v>79</v>
          </cell>
          <cell r="I46">
            <v>92</v>
          </cell>
          <cell r="J46">
            <v>96</v>
          </cell>
          <cell r="K46">
            <v>91</v>
          </cell>
          <cell r="L46">
            <v>90</v>
          </cell>
          <cell r="M46">
            <v>696</v>
          </cell>
          <cell r="N46">
            <v>87</v>
          </cell>
          <cell r="O46">
            <v>21</v>
          </cell>
        </row>
        <row r="47">
          <cell r="E47">
            <v>84</v>
          </cell>
          <cell r="F47">
            <v>91</v>
          </cell>
          <cell r="G47">
            <v>91</v>
          </cell>
          <cell r="H47">
            <v>88</v>
          </cell>
          <cell r="I47">
            <v>96</v>
          </cell>
          <cell r="J47">
            <v>95</v>
          </cell>
          <cell r="K47">
            <v>92</v>
          </cell>
          <cell r="L47">
            <v>94</v>
          </cell>
          <cell r="M47">
            <v>731</v>
          </cell>
          <cell r="N47">
            <v>91.375</v>
          </cell>
          <cell r="O47">
            <v>12</v>
          </cell>
        </row>
        <row r="48">
          <cell r="E48">
            <v>59</v>
          </cell>
          <cell r="F48">
            <v>55</v>
          </cell>
          <cell r="G48">
            <v>69</v>
          </cell>
          <cell r="H48">
            <v>64</v>
          </cell>
          <cell r="I48">
            <v>77</v>
          </cell>
          <cell r="J48">
            <v>80</v>
          </cell>
          <cell r="K48">
            <v>87</v>
          </cell>
          <cell r="L48">
            <v>89</v>
          </cell>
          <cell r="M48">
            <v>580</v>
          </cell>
          <cell r="N48">
            <v>72.5</v>
          </cell>
          <cell r="O48">
            <v>51</v>
          </cell>
        </row>
        <row r="49">
          <cell r="E49">
            <v>87</v>
          </cell>
          <cell r="F49">
            <v>81</v>
          </cell>
          <cell r="G49">
            <v>81</v>
          </cell>
          <cell r="H49">
            <v>76</v>
          </cell>
          <cell r="I49">
            <v>92</v>
          </cell>
          <cell r="J49">
            <v>94</v>
          </cell>
          <cell r="K49">
            <v>94</v>
          </cell>
          <cell r="L49">
            <v>91</v>
          </cell>
          <cell r="M49">
            <v>696</v>
          </cell>
          <cell r="N49">
            <v>87</v>
          </cell>
          <cell r="O49">
            <v>21</v>
          </cell>
        </row>
        <row r="50">
          <cell r="E50">
            <v>100</v>
          </cell>
          <cell r="F50">
            <v>99</v>
          </cell>
          <cell r="G50">
            <v>99</v>
          </cell>
          <cell r="H50">
            <v>100</v>
          </cell>
          <cell r="I50">
            <v>100</v>
          </cell>
          <cell r="J50">
            <v>100</v>
          </cell>
          <cell r="K50">
            <v>97</v>
          </cell>
          <cell r="L50">
            <v>95</v>
          </cell>
          <cell r="M50">
            <v>790</v>
          </cell>
          <cell r="N50">
            <v>98.75</v>
          </cell>
          <cell r="O50">
            <v>2</v>
          </cell>
        </row>
        <row r="51">
          <cell r="E51">
            <v>84</v>
          </cell>
          <cell r="F51">
            <v>96</v>
          </cell>
          <cell r="G51">
            <v>81</v>
          </cell>
          <cell r="H51">
            <v>71</v>
          </cell>
          <cell r="I51">
            <v>85</v>
          </cell>
          <cell r="J51">
            <v>89</v>
          </cell>
          <cell r="K51">
            <v>96</v>
          </cell>
          <cell r="L51">
            <v>93</v>
          </cell>
          <cell r="M51">
            <v>695</v>
          </cell>
          <cell r="N51">
            <v>86.875</v>
          </cell>
          <cell r="O51">
            <v>23</v>
          </cell>
        </row>
        <row r="52">
          <cell r="E52">
            <v>82</v>
          </cell>
          <cell r="F52">
            <v>51</v>
          </cell>
          <cell r="G52">
            <v>67</v>
          </cell>
          <cell r="H52">
            <v>52</v>
          </cell>
          <cell r="I52">
            <v>72</v>
          </cell>
          <cell r="J52">
            <v>88</v>
          </cell>
          <cell r="K52">
            <v>81</v>
          </cell>
          <cell r="L52">
            <v>69</v>
          </cell>
          <cell r="M52">
            <v>562</v>
          </cell>
          <cell r="N52">
            <v>70.25</v>
          </cell>
          <cell r="O52">
            <v>52</v>
          </cell>
        </row>
        <row r="53">
          <cell r="E53">
            <v>90</v>
          </cell>
          <cell r="F53">
            <v>79</v>
          </cell>
          <cell r="G53">
            <v>81</v>
          </cell>
          <cell r="H53">
            <v>62</v>
          </cell>
          <cell r="I53">
            <v>89</v>
          </cell>
          <cell r="J53">
            <v>98</v>
          </cell>
          <cell r="K53">
            <v>98</v>
          </cell>
          <cell r="L53">
            <v>97</v>
          </cell>
          <cell r="M53">
            <v>694</v>
          </cell>
          <cell r="N53">
            <v>86.75</v>
          </cell>
          <cell r="O53">
            <v>24</v>
          </cell>
        </row>
        <row r="54">
          <cell r="E54">
            <v>98</v>
          </cell>
          <cell r="F54">
            <v>100</v>
          </cell>
          <cell r="G54">
            <v>97</v>
          </cell>
          <cell r="H54">
            <v>91</v>
          </cell>
          <cell r="I54">
            <v>97</v>
          </cell>
          <cell r="J54">
            <v>100</v>
          </cell>
          <cell r="K54">
            <v>100</v>
          </cell>
          <cell r="L54">
            <v>97</v>
          </cell>
          <cell r="M54">
            <v>780</v>
          </cell>
          <cell r="N54">
            <v>97.5</v>
          </cell>
          <cell r="O54">
            <v>3</v>
          </cell>
        </row>
        <row r="55">
          <cell r="E55">
            <v>97</v>
          </cell>
          <cell r="F55">
            <v>97</v>
          </cell>
          <cell r="G55">
            <v>93</v>
          </cell>
          <cell r="H55">
            <v>89</v>
          </cell>
          <cell r="I55">
            <v>100</v>
          </cell>
          <cell r="J55">
            <v>100</v>
          </cell>
          <cell r="K55">
            <v>99</v>
          </cell>
          <cell r="L55">
            <v>96</v>
          </cell>
          <cell r="M55">
            <v>771</v>
          </cell>
          <cell r="N55">
            <v>96.375</v>
          </cell>
          <cell r="O55">
            <v>4</v>
          </cell>
        </row>
        <row r="56">
          <cell r="E56">
            <v>94</v>
          </cell>
          <cell r="F56">
            <v>98</v>
          </cell>
          <cell r="G56">
            <v>98</v>
          </cell>
          <cell r="H56">
            <v>89</v>
          </cell>
          <cell r="I56">
            <v>96</v>
          </cell>
          <cell r="J56">
            <v>100</v>
          </cell>
          <cell r="K56">
            <v>97</v>
          </cell>
          <cell r="L56">
            <v>94</v>
          </cell>
          <cell r="M56">
            <v>766</v>
          </cell>
          <cell r="N56">
            <v>95.75</v>
          </cell>
          <cell r="O56">
            <v>6</v>
          </cell>
        </row>
        <row r="57">
          <cell r="E57">
            <v>74</v>
          </cell>
          <cell r="F57">
            <v>81</v>
          </cell>
          <cell r="G57">
            <v>66</v>
          </cell>
          <cell r="H57">
            <v>68</v>
          </cell>
          <cell r="I57">
            <v>86</v>
          </cell>
          <cell r="J57">
            <v>86</v>
          </cell>
          <cell r="K57">
            <v>83</v>
          </cell>
          <cell r="L57">
            <v>82</v>
          </cell>
          <cell r="M57">
            <v>626</v>
          </cell>
          <cell r="N57">
            <v>78.25</v>
          </cell>
          <cell r="O57">
            <v>44</v>
          </cell>
        </row>
      </sheetData>
      <sheetData sheetId="3">
        <row r="4">
          <cell r="H4">
            <v>48</v>
          </cell>
        </row>
        <row r="5">
          <cell r="H5">
            <v>42</v>
          </cell>
        </row>
        <row r="6">
          <cell r="H6">
            <v>49</v>
          </cell>
        </row>
        <row r="7">
          <cell r="H7">
            <v>2</v>
          </cell>
        </row>
        <row r="8">
          <cell r="H8">
            <v>4</v>
          </cell>
        </row>
        <row r="9">
          <cell r="H9">
            <v>32</v>
          </cell>
        </row>
        <row r="10">
          <cell r="H10">
            <v>8</v>
          </cell>
        </row>
        <row r="11">
          <cell r="H11">
            <v>30</v>
          </cell>
        </row>
        <row r="12">
          <cell r="H12">
            <v>46</v>
          </cell>
        </row>
        <row r="13">
          <cell r="H13">
            <v>50</v>
          </cell>
        </row>
        <row r="14">
          <cell r="H14">
            <v>39</v>
          </cell>
        </row>
        <row r="15">
          <cell r="H15">
            <v>45</v>
          </cell>
        </row>
        <row r="16">
          <cell r="H16">
            <v>47</v>
          </cell>
        </row>
        <row r="17">
          <cell r="H17">
            <v>12</v>
          </cell>
        </row>
        <row r="18">
          <cell r="H18">
            <v>38</v>
          </cell>
        </row>
        <row r="19">
          <cell r="H19">
            <v>25</v>
          </cell>
        </row>
        <row r="20">
          <cell r="H20">
            <v>52</v>
          </cell>
        </row>
        <row r="21">
          <cell r="H21">
            <v>9</v>
          </cell>
        </row>
        <row r="22">
          <cell r="H22">
            <v>11</v>
          </cell>
        </row>
        <row r="23">
          <cell r="H23">
            <v>34</v>
          </cell>
        </row>
        <row r="24">
          <cell r="H24">
            <v>15</v>
          </cell>
        </row>
        <row r="25">
          <cell r="H25">
            <v>14</v>
          </cell>
        </row>
        <row r="26">
          <cell r="H26">
            <v>44</v>
          </cell>
        </row>
        <row r="27">
          <cell r="H27">
            <v>19</v>
          </cell>
        </row>
        <row r="28">
          <cell r="H28">
            <v>22</v>
          </cell>
        </row>
        <row r="29">
          <cell r="H29">
            <v>36</v>
          </cell>
        </row>
        <row r="30">
          <cell r="H30">
            <v>21</v>
          </cell>
        </row>
        <row r="31">
          <cell r="H31">
            <v>22</v>
          </cell>
        </row>
        <row r="32">
          <cell r="H32">
            <v>54</v>
          </cell>
        </row>
        <row r="33">
          <cell r="H33">
            <v>16</v>
          </cell>
        </row>
        <row r="34">
          <cell r="H34">
            <v>40</v>
          </cell>
        </row>
        <row r="35">
          <cell r="H35">
            <v>37</v>
          </cell>
        </row>
        <row r="36">
          <cell r="H36">
            <v>43</v>
          </cell>
        </row>
        <row r="37">
          <cell r="H37">
            <v>20</v>
          </cell>
        </row>
        <row r="38">
          <cell r="H38">
            <v>7</v>
          </cell>
        </row>
        <row r="39">
          <cell r="H39">
            <v>35</v>
          </cell>
        </row>
        <row r="40">
          <cell r="H40">
            <v>18</v>
          </cell>
        </row>
        <row r="41">
          <cell r="H41">
            <v>29</v>
          </cell>
        </row>
        <row r="42">
          <cell r="H42">
            <v>32</v>
          </cell>
        </row>
        <row r="43">
          <cell r="H43">
            <v>17</v>
          </cell>
        </row>
        <row r="44">
          <cell r="H44">
            <v>10</v>
          </cell>
        </row>
        <row r="45">
          <cell r="H45">
            <v>27</v>
          </cell>
        </row>
        <row r="46">
          <cell r="H46">
            <v>26</v>
          </cell>
        </row>
        <row r="47">
          <cell r="H47">
            <v>13</v>
          </cell>
        </row>
        <row r="48">
          <cell r="H48">
            <v>51</v>
          </cell>
        </row>
        <row r="49">
          <cell r="H49">
            <v>31</v>
          </cell>
        </row>
        <row r="50">
          <cell r="H50">
            <v>1</v>
          </cell>
        </row>
        <row r="51">
          <cell r="H51">
            <v>22</v>
          </cell>
        </row>
        <row r="52">
          <cell r="H52">
            <v>53</v>
          </cell>
        </row>
        <row r="53">
          <cell r="H53">
            <v>28</v>
          </cell>
        </row>
        <row r="54">
          <cell r="H54">
            <v>5</v>
          </cell>
        </row>
        <row r="55">
          <cell r="H55">
            <v>3</v>
          </cell>
        </row>
        <row r="56">
          <cell r="H56">
            <v>6</v>
          </cell>
        </row>
        <row r="57">
          <cell r="H57">
            <v>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0"/>
  <sheetViews>
    <sheetView view="pageBreakPreview" zoomScale="50" zoomScaleNormal="100" zoomScaleSheetLayoutView="50" workbookViewId="0">
      <selection activeCell="B6" sqref="B6:B155"/>
    </sheetView>
  </sheetViews>
  <sheetFormatPr defaultRowHeight="15" x14ac:dyDescent="0.25"/>
  <cols>
    <col min="1" max="1" width="9.42578125" customWidth="1"/>
    <col min="2" max="2" width="72.85546875" customWidth="1"/>
    <col min="3" max="3" width="16.140625" customWidth="1"/>
    <col min="4" max="4" width="16.7109375" customWidth="1"/>
    <col min="5" max="5" width="32.7109375" customWidth="1"/>
    <col min="6" max="8" width="16.5703125" bestFit="1" customWidth="1"/>
    <col min="9" max="9" width="12" style="211" bestFit="1" customWidth="1"/>
    <col min="10" max="11" width="16.5703125" bestFit="1" customWidth="1"/>
    <col min="12" max="12" width="12" bestFit="1" customWidth="1"/>
    <col min="13" max="13" width="16.5703125" bestFit="1" customWidth="1"/>
    <col min="14" max="14" width="11" customWidth="1"/>
    <col min="15" max="16" width="16.5703125" bestFit="1" customWidth="1"/>
    <col min="17" max="17" width="16.5703125" style="211" bestFit="1" customWidth="1"/>
    <col min="18" max="18" width="16.5703125" customWidth="1"/>
    <col min="19" max="19" width="21.28515625" bestFit="1" customWidth="1"/>
    <col min="20" max="20" width="24" bestFit="1" customWidth="1"/>
    <col min="21" max="21" width="9.140625" customWidth="1"/>
  </cols>
  <sheetData>
    <row r="1" spans="1:23" ht="35.25" x14ac:dyDescent="0.25">
      <c r="A1" s="857" t="s">
        <v>30</v>
      </c>
      <c r="B1" s="858"/>
      <c r="C1" s="858"/>
      <c r="D1" s="858"/>
      <c r="E1" s="858"/>
      <c r="F1" s="858"/>
      <c r="G1" s="858"/>
      <c r="H1" s="858"/>
      <c r="I1" s="858"/>
      <c r="J1" s="858"/>
      <c r="K1" s="858"/>
      <c r="L1" s="858"/>
      <c r="M1" s="858"/>
      <c r="N1" s="858"/>
      <c r="O1" s="858"/>
      <c r="P1" s="858"/>
      <c r="Q1" s="858"/>
      <c r="R1" s="858"/>
      <c r="S1" s="858"/>
      <c r="T1" s="858"/>
      <c r="U1" s="858"/>
      <c r="V1" s="858"/>
      <c r="W1" s="859"/>
    </row>
    <row r="2" spans="1:23" ht="35.25" x14ac:dyDescent="0.25">
      <c r="A2" s="532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4"/>
    </row>
    <row r="3" spans="1:23" ht="35.25" x14ac:dyDescent="0.25">
      <c r="A3" s="854" t="s">
        <v>86</v>
      </c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  <c r="O3" s="855"/>
      <c r="P3" s="855"/>
      <c r="Q3" s="855"/>
      <c r="R3" s="855"/>
      <c r="S3" s="855"/>
      <c r="T3" s="855"/>
      <c r="U3" s="855"/>
      <c r="V3" s="855"/>
      <c r="W3" s="856"/>
    </row>
    <row r="4" spans="1:23" ht="36" thickBot="1" x14ac:dyDescent="0.3">
      <c r="A4" s="535"/>
      <c r="B4" s="535"/>
      <c r="C4" s="535"/>
      <c r="D4" s="535"/>
      <c r="E4" s="535"/>
      <c r="F4" s="535"/>
      <c r="G4" s="535"/>
      <c r="H4" s="535"/>
      <c r="I4" s="535"/>
      <c r="J4" s="535"/>
      <c r="K4" s="535"/>
      <c r="L4" s="535"/>
      <c r="M4" s="535"/>
      <c r="N4" s="535"/>
      <c r="O4" s="535"/>
      <c r="P4" s="535"/>
      <c r="Q4" s="535"/>
      <c r="R4" s="535"/>
      <c r="S4" s="535"/>
      <c r="T4" s="535"/>
      <c r="U4" s="535"/>
      <c r="V4" s="535"/>
      <c r="W4" s="535"/>
    </row>
    <row r="5" spans="1:23" ht="187.5" thickBot="1" x14ac:dyDescent="0.3">
      <c r="A5" s="536" t="s">
        <v>87</v>
      </c>
      <c r="B5" s="536" t="s">
        <v>1</v>
      </c>
      <c r="C5" s="536" t="s">
        <v>2</v>
      </c>
      <c r="D5" s="536" t="s">
        <v>3</v>
      </c>
      <c r="E5" s="537" t="s">
        <v>4</v>
      </c>
      <c r="F5" s="538" t="s">
        <v>22</v>
      </c>
      <c r="G5" s="538" t="s">
        <v>5</v>
      </c>
      <c r="H5" s="539" t="s">
        <v>29</v>
      </c>
      <c r="I5" s="540" t="s">
        <v>85</v>
      </c>
      <c r="J5" s="541" t="s">
        <v>7</v>
      </c>
      <c r="K5" s="538" t="s">
        <v>8</v>
      </c>
      <c r="L5" s="538" t="s">
        <v>9</v>
      </c>
      <c r="M5" s="571" t="s">
        <v>24</v>
      </c>
      <c r="N5" s="538" t="s">
        <v>23</v>
      </c>
      <c r="O5" s="538" t="s">
        <v>25</v>
      </c>
      <c r="P5" s="539" t="s">
        <v>27</v>
      </c>
      <c r="Q5" s="542" t="s">
        <v>26</v>
      </c>
      <c r="R5" s="541" t="s">
        <v>28</v>
      </c>
      <c r="S5" s="537" t="s">
        <v>12</v>
      </c>
      <c r="T5" s="543" t="s">
        <v>13</v>
      </c>
      <c r="U5" s="542" t="s">
        <v>14</v>
      </c>
      <c r="V5" s="544" t="s">
        <v>15</v>
      </c>
      <c r="W5" s="545" t="s">
        <v>16</v>
      </c>
    </row>
    <row r="6" spans="1:23" ht="36.75" thickBot="1" x14ac:dyDescent="0.6">
      <c r="A6" s="840">
        <v>1</v>
      </c>
      <c r="B6" s="833"/>
      <c r="C6" s="831">
        <v>14</v>
      </c>
      <c r="D6" s="827" t="s">
        <v>20</v>
      </c>
      <c r="E6" s="546" t="s">
        <v>18</v>
      </c>
      <c r="F6" s="547">
        <v>91</v>
      </c>
      <c r="G6" s="547">
        <v>96</v>
      </c>
      <c r="H6" s="547">
        <v>87</v>
      </c>
      <c r="I6" s="547">
        <v>89</v>
      </c>
      <c r="J6" s="547">
        <v>93</v>
      </c>
      <c r="K6" s="547">
        <v>86</v>
      </c>
      <c r="L6" s="547">
        <v>71</v>
      </c>
      <c r="M6" s="547">
        <v>92</v>
      </c>
      <c r="N6" s="547">
        <v>77</v>
      </c>
      <c r="O6" s="547">
        <v>89</v>
      </c>
      <c r="P6" s="547">
        <v>93</v>
      </c>
      <c r="Q6" s="548">
        <v>96</v>
      </c>
      <c r="R6" s="547">
        <v>81</v>
      </c>
      <c r="S6" s="547">
        <v>1141</v>
      </c>
      <c r="T6" s="549">
        <v>87.769230769230774</v>
      </c>
      <c r="U6" s="550">
        <v>8</v>
      </c>
      <c r="V6" s="551"/>
      <c r="W6" s="552"/>
    </row>
    <row r="7" spans="1:23" ht="36.75" thickBot="1" x14ac:dyDescent="0.6">
      <c r="A7" s="840"/>
      <c r="B7" s="841"/>
      <c r="C7" s="843">
        <v>14</v>
      </c>
      <c r="D7" s="828"/>
      <c r="E7" s="546" t="s">
        <v>19</v>
      </c>
      <c r="F7" s="531">
        <v>88</v>
      </c>
      <c r="G7" s="531">
        <v>92</v>
      </c>
      <c r="H7" s="531">
        <v>72</v>
      </c>
      <c r="I7" s="531">
        <v>94</v>
      </c>
      <c r="J7" s="531">
        <v>91</v>
      </c>
      <c r="K7" s="531">
        <v>78</v>
      </c>
      <c r="L7" s="531">
        <v>84</v>
      </c>
      <c r="M7" s="531">
        <v>91</v>
      </c>
      <c r="N7" s="547">
        <v>86</v>
      </c>
      <c r="O7" s="531">
        <v>90</v>
      </c>
      <c r="P7" s="531">
        <v>90</v>
      </c>
      <c r="Q7" s="531">
        <v>96</v>
      </c>
      <c r="R7" s="531">
        <v>92</v>
      </c>
      <c r="S7" s="547">
        <v>1144</v>
      </c>
      <c r="T7" s="549">
        <v>88</v>
      </c>
      <c r="U7" s="550">
        <v>8</v>
      </c>
      <c r="V7" s="553"/>
      <c r="W7" s="554"/>
    </row>
    <row r="8" spans="1:23" ht="36.75" thickBot="1" x14ac:dyDescent="0.6">
      <c r="A8" s="840"/>
      <c r="B8" s="842"/>
      <c r="C8" s="844">
        <v>15</v>
      </c>
      <c r="D8" s="829"/>
      <c r="E8" s="546" t="s">
        <v>13</v>
      </c>
      <c r="F8" s="547">
        <f>AVERAGE(F6:F7)</f>
        <v>89.5</v>
      </c>
      <c r="G8" s="547">
        <f t="shared" ref="G8:T8" si="0">AVERAGE(G6:G7)</f>
        <v>94</v>
      </c>
      <c r="H8" s="547">
        <f t="shared" si="0"/>
        <v>79.5</v>
      </c>
      <c r="I8" s="547">
        <f t="shared" si="0"/>
        <v>91.5</v>
      </c>
      <c r="J8" s="547">
        <f t="shared" si="0"/>
        <v>92</v>
      </c>
      <c r="K8" s="547">
        <f t="shared" si="0"/>
        <v>82</v>
      </c>
      <c r="L8" s="547">
        <f t="shared" si="0"/>
        <v>77.5</v>
      </c>
      <c r="M8" s="547">
        <v>91.5</v>
      </c>
      <c r="N8" s="547">
        <v>81.5</v>
      </c>
      <c r="O8" s="547">
        <f t="shared" si="0"/>
        <v>89.5</v>
      </c>
      <c r="P8" s="547">
        <f t="shared" si="0"/>
        <v>91.5</v>
      </c>
      <c r="Q8" s="547">
        <f>AVERAGE(Q6:Q7)</f>
        <v>96</v>
      </c>
      <c r="R8" s="547">
        <f t="shared" si="0"/>
        <v>86.5</v>
      </c>
      <c r="S8" s="547">
        <f t="shared" si="0"/>
        <v>1142.5</v>
      </c>
      <c r="T8" s="549">
        <f t="shared" si="0"/>
        <v>87.884615384615387</v>
      </c>
      <c r="U8" s="550">
        <v>8</v>
      </c>
      <c r="V8" s="555"/>
      <c r="W8" s="556"/>
    </row>
    <row r="9" spans="1:23" ht="36.75" thickBot="1" x14ac:dyDescent="0.6">
      <c r="A9" s="845">
        <v>2</v>
      </c>
      <c r="B9" s="833"/>
      <c r="C9" s="831">
        <v>15</v>
      </c>
      <c r="D9" s="827" t="s">
        <v>20</v>
      </c>
      <c r="E9" s="546" t="s">
        <v>18</v>
      </c>
      <c r="F9" s="547">
        <v>91</v>
      </c>
      <c r="G9" s="547">
        <v>67</v>
      </c>
      <c r="H9" s="547">
        <v>87</v>
      </c>
      <c r="I9" s="547">
        <v>64</v>
      </c>
      <c r="J9" s="547">
        <v>53</v>
      </c>
      <c r="K9" s="547">
        <v>72</v>
      </c>
      <c r="L9" s="547">
        <v>64</v>
      </c>
      <c r="M9" s="547">
        <v>72</v>
      </c>
      <c r="N9" s="547">
        <v>56</v>
      </c>
      <c r="O9" s="547">
        <v>70</v>
      </c>
      <c r="P9" s="547">
        <v>75</v>
      </c>
      <c r="Q9" s="547">
        <v>74</v>
      </c>
      <c r="R9" s="547">
        <v>87</v>
      </c>
      <c r="S9" s="547">
        <v>932</v>
      </c>
      <c r="T9" s="549">
        <v>71.692307692307693</v>
      </c>
      <c r="U9" s="550">
        <v>28</v>
      </c>
      <c r="V9" s="557"/>
      <c r="W9" s="558"/>
    </row>
    <row r="10" spans="1:23" ht="36.75" thickBot="1" x14ac:dyDescent="0.6">
      <c r="A10" s="845"/>
      <c r="B10" s="841"/>
      <c r="C10" s="843">
        <v>15</v>
      </c>
      <c r="D10" s="828"/>
      <c r="E10" s="546" t="s">
        <v>19</v>
      </c>
      <c r="F10" s="559">
        <v>89</v>
      </c>
      <c r="G10" s="559">
        <v>71</v>
      </c>
      <c r="H10" s="560">
        <v>70</v>
      </c>
      <c r="I10" s="559">
        <v>75</v>
      </c>
      <c r="J10" s="559">
        <v>66</v>
      </c>
      <c r="K10" s="559">
        <v>62</v>
      </c>
      <c r="L10" s="559">
        <v>60</v>
      </c>
      <c r="M10" s="561">
        <v>75</v>
      </c>
      <c r="N10" s="547">
        <v>64</v>
      </c>
      <c r="O10" s="562">
        <v>80</v>
      </c>
      <c r="P10" s="559">
        <v>72</v>
      </c>
      <c r="Q10" s="559">
        <v>89</v>
      </c>
      <c r="R10" s="559">
        <v>75</v>
      </c>
      <c r="S10" s="563">
        <f>SUM(F10:R10)</f>
        <v>948</v>
      </c>
      <c r="T10" s="564">
        <f>AVERAGE(F10:R10)</f>
        <v>72.92307692307692</v>
      </c>
      <c r="U10" s="550">
        <v>27</v>
      </c>
      <c r="V10" s="557"/>
      <c r="W10" s="558"/>
    </row>
    <row r="11" spans="1:23" ht="36.75" thickBot="1" x14ac:dyDescent="0.6">
      <c r="A11" s="845"/>
      <c r="B11" s="842"/>
      <c r="C11" s="844">
        <v>15</v>
      </c>
      <c r="D11" s="829"/>
      <c r="E11" s="546" t="s">
        <v>13</v>
      </c>
      <c r="F11" s="547">
        <f>AVERAGE(F9:F10)</f>
        <v>90</v>
      </c>
      <c r="G11" s="547">
        <f t="shared" ref="G11:T11" si="1">AVERAGE(G9:G10)</f>
        <v>69</v>
      </c>
      <c r="H11" s="547">
        <f t="shared" si="1"/>
        <v>78.5</v>
      </c>
      <c r="I11" s="547">
        <f t="shared" si="1"/>
        <v>69.5</v>
      </c>
      <c r="J11" s="547">
        <f t="shared" si="1"/>
        <v>59.5</v>
      </c>
      <c r="K11" s="547">
        <f t="shared" si="1"/>
        <v>67</v>
      </c>
      <c r="L11" s="547">
        <f t="shared" si="1"/>
        <v>62</v>
      </c>
      <c r="M11" s="547">
        <v>73.5</v>
      </c>
      <c r="N11" s="547">
        <v>60</v>
      </c>
      <c r="O11" s="547">
        <f t="shared" si="1"/>
        <v>75</v>
      </c>
      <c r="P11" s="547">
        <f t="shared" si="1"/>
        <v>73.5</v>
      </c>
      <c r="Q11" s="547">
        <f>AVERAGE(Q9:Q10)</f>
        <v>81.5</v>
      </c>
      <c r="R11" s="547">
        <f t="shared" si="1"/>
        <v>81</v>
      </c>
      <c r="S11" s="547">
        <f t="shared" si="1"/>
        <v>940</v>
      </c>
      <c r="T11" s="549">
        <f t="shared" si="1"/>
        <v>72.307692307692307</v>
      </c>
      <c r="U11" s="550">
        <v>28</v>
      </c>
      <c r="V11" s="555"/>
      <c r="W11" s="556"/>
    </row>
    <row r="12" spans="1:23" ht="36.75" thickBot="1" x14ac:dyDescent="0.6">
      <c r="A12" s="845">
        <v>3</v>
      </c>
      <c r="B12" s="833"/>
      <c r="C12" s="831">
        <v>15</v>
      </c>
      <c r="D12" s="827" t="s">
        <v>20</v>
      </c>
      <c r="E12" s="546" t="s">
        <v>18</v>
      </c>
      <c r="F12" s="547">
        <v>87</v>
      </c>
      <c r="G12" s="547">
        <v>67</v>
      </c>
      <c r="H12" s="547">
        <v>82</v>
      </c>
      <c r="I12" s="547">
        <v>56</v>
      </c>
      <c r="J12" s="547">
        <v>61</v>
      </c>
      <c r="K12" s="547">
        <v>66</v>
      </c>
      <c r="L12" s="547">
        <v>61</v>
      </c>
      <c r="M12" s="547">
        <v>70</v>
      </c>
      <c r="N12" s="547">
        <v>63</v>
      </c>
      <c r="O12" s="547">
        <v>72</v>
      </c>
      <c r="P12" s="547">
        <v>91</v>
      </c>
      <c r="Q12" s="547">
        <v>85</v>
      </c>
      <c r="R12" s="547">
        <v>83</v>
      </c>
      <c r="S12" s="547">
        <v>944</v>
      </c>
      <c r="T12" s="549">
        <v>72.615384615384613</v>
      </c>
      <c r="U12" s="550">
        <v>27</v>
      </c>
      <c r="V12" s="557"/>
      <c r="W12" s="558"/>
    </row>
    <row r="13" spans="1:23" ht="36.75" thickBot="1" x14ac:dyDescent="0.6">
      <c r="A13" s="845"/>
      <c r="B13" s="841"/>
      <c r="C13" s="843">
        <v>15</v>
      </c>
      <c r="D13" s="828"/>
      <c r="E13" s="546" t="s">
        <v>19</v>
      </c>
      <c r="F13" s="547">
        <v>92</v>
      </c>
      <c r="G13" s="547">
        <v>69</v>
      </c>
      <c r="H13" s="547">
        <v>84</v>
      </c>
      <c r="I13" s="547">
        <v>65</v>
      </c>
      <c r="J13" s="547">
        <v>72</v>
      </c>
      <c r="K13" s="547">
        <v>64</v>
      </c>
      <c r="L13" s="547">
        <v>72</v>
      </c>
      <c r="M13" s="547">
        <v>75</v>
      </c>
      <c r="N13" s="547">
        <v>67</v>
      </c>
      <c r="O13" s="547">
        <v>78</v>
      </c>
      <c r="P13" s="547">
        <v>81</v>
      </c>
      <c r="Q13" s="547">
        <v>94</v>
      </c>
      <c r="R13" s="547">
        <v>97</v>
      </c>
      <c r="S13" s="547">
        <v>1010</v>
      </c>
      <c r="T13" s="549">
        <v>77.692307692307693</v>
      </c>
      <c r="U13" s="550">
        <v>19</v>
      </c>
      <c r="V13" s="557"/>
      <c r="W13" s="558"/>
    </row>
    <row r="14" spans="1:23" ht="36.75" thickBot="1" x14ac:dyDescent="0.6">
      <c r="A14" s="845"/>
      <c r="B14" s="842"/>
      <c r="C14" s="844">
        <v>14</v>
      </c>
      <c r="D14" s="829"/>
      <c r="E14" s="546" t="s">
        <v>13</v>
      </c>
      <c r="F14" s="547">
        <f>AVERAGE(F12:F13)</f>
        <v>89.5</v>
      </c>
      <c r="G14" s="547">
        <f t="shared" ref="G14:T14" si="2">AVERAGE(G12:G13)</f>
        <v>68</v>
      </c>
      <c r="H14" s="547">
        <f t="shared" si="2"/>
        <v>83</v>
      </c>
      <c r="I14" s="547">
        <f t="shared" si="2"/>
        <v>60.5</v>
      </c>
      <c r="J14" s="547">
        <f t="shared" si="2"/>
        <v>66.5</v>
      </c>
      <c r="K14" s="547">
        <f t="shared" si="2"/>
        <v>65</v>
      </c>
      <c r="L14" s="547">
        <f t="shared" si="2"/>
        <v>66.5</v>
      </c>
      <c r="M14" s="547">
        <v>72.5</v>
      </c>
      <c r="N14" s="547">
        <v>65</v>
      </c>
      <c r="O14" s="547">
        <f t="shared" si="2"/>
        <v>75</v>
      </c>
      <c r="P14" s="547">
        <f t="shared" si="2"/>
        <v>86</v>
      </c>
      <c r="Q14" s="547">
        <f>AVERAGE(Q12:Q13)</f>
        <v>89.5</v>
      </c>
      <c r="R14" s="547">
        <f t="shared" si="2"/>
        <v>90</v>
      </c>
      <c r="S14" s="547">
        <f t="shared" si="2"/>
        <v>977</v>
      </c>
      <c r="T14" s="549">
        <f t="shared" si="2"/>
        <v>75.15384615384616</v>
      </c>
      <c r="U14" s="550">
        <v>25</v>
      </c>
      <c r="V14" s="555"/>
      <c r="W14" s="556"/>
    </row>
    <row r="15" spans="1:23" ht="36.75" thickBot="1" x14ac:dyDescent="0.6">
      <c r="A15" s="845">
        <v>4</v>
      </c>
      <c r="B15" s="833"/>
      <c r="C15" s="846">
        <v>16</v>
      </c>
      <c r="D15" s="849" t="s">
        <v>17</v>
      </c>
      <c r="E15" s="546" t="s">
        <v>18</v>
      </c>
      <c r="F15" s="547">
        <v>81</v>
      </c>
      <c r="G15" s="547">
        <v>79</v>
      </c>
      <c r="H15" s="547">
        <v>95</v>
      </c>
      <c r="I15" s="547">
        <v>46</v>
      </c>
      <c r="J15" s="547">
        <v>56</v>
      </c>
      <c r="K15" s="547">
        <v>66</v>
      </c>
      <c r="L15" s="547">
        <v>55</v>
      </c>
      <c r="M15" s="547">
        <v>70</v>
      </c>
      <c r="N15" s="547">
        <v>64</v>
      </c>
      <c r="O15" s="547">
        <v>70</v>
      </c>
      <c r="P15" s="547">
        <v>83</v>
      </c>
      <c r="Q15" s="547">
        <v>65</v>
      </c>
      <c r="R15" s="547">
        <v>79</v>
      </c>
      <c r="S15" s="547">
        <v>909</v>
      </c>
      <c r="T15" s="549">
        <v>69.92307692307692</v>
      </c>
      <c r="U15" s="550">
        <v>33</v>
      </c>
      <c r="V15" s="557"/>
      <c r="W15" s="558"/>
    </row>
    <row r="16" spans="1:23" ht="36.75" thickBot="1" x14ac:dyDescent="0.6">
      <c r="A16" s="845"/>
      <c r="B16" s="841"/>
      <c r="C16" s="847">
        <v>14</v>
      </c>
      <c r="D16" s="850"/>
      <c r="E16" s="546" t="s">
        <v>19</v>
      </c>
      <c r="F16" s="547">
        <v>79</v>
      </c>
      <c r="G16" s="547">
        <v>80</v>
      </c>
      <c r="H16" s="547">
        <v>75</v>
      </c>
      <c r="I16" s="547">
        <v>62</v>
      </c>
      <c r="J16" s="547">
        <v>67</v>
      </c>
      <c r="K16" s="547">
        <v>46</v>
      </c>
      <c r="L16" s="547">
        <v>57</v>
      </c>
      <c r="M16" s="547">
        <v>66</v>
      </c>
      <c r="N16" s="547">
        <v>65</v>
      </c>
      <c r="O16" s="547">
        <v>76</v>
      </c>
      <c r="P16" s="547">
        <v>75</v>
      </c>
      <c r="Q16" s="547">
        <v>83</v>
      </c>
      <c r="R16" s="547">
        <v>84</v>
      </c>
      <c r="S16" s="547">
        <v>915</v>
      </c>
      <c r="T16" s="549">
        <v>70.384615384615387</v>
      </c>
      <c r="U16" s="550">
        <v>32</v>
      </c>
      <c r="V16" s="557"/>
      <c r="W16" s="558"/>
    </row>
    <row r="17" spans="1:23" ht="36.75" thickBot="1" x14ac:dyDescent="0.6">
      <c r="A17" s="845"/>
      <c r="B17" s="842"/>
      <c r="C17" s="848">
        <v>15</v>
      </c>
      <c r="D17" s="851"/>
      <c r="E17" s="546" t="s">
        <v>13</v>
      </c>
      <c r="F17" s="547">
        <f>AVERAGE(F15:F16)</f>
        <v>80</v>
      </c>
      <c r="G17" s="547">
        <f t="shared" ref="G17:T17" si="3">AVERAGE(G15:G16)</f>
        <v>79.5</v>
      </c>
      <c r="H17" s="547">
        <f t="shared" si="3"/>
        <v>85</v>
      </c>
      <c r="I17" s="547">
        <f t="shared" si="3"/>
        <v>54</v>
      </c>
      <c r="J17" s="547">
        <f t="shared" si="3"/>
        <v>61.5</v>
      </c>
      <c r="K17" s="547">
        <f t="shared" si="3"/>
        <v>56</v>
      </c>
      <c r="L17" s="547">
        <f t="shared" si="3"/>
        <v>56</v>
      </c>
      <c r="M17" s="547">
        <v>68</v>
      </c>
      <c r="N17" s="547">
        <v>64.5</v>
      </c>
      <c r="O17" s="547">
        <f t="shared" si="3"/>
        <v>73</v>
      </c>
      <c r="P17" s="547">
        <f t="shared" si="3"/>
        <v>79</v>
      </c>
      <c r="Q17" s="547">
        <f>AVERAGE(Q15:Q16)</f>
        <v>74</v>
      </c>
      <c r="R17" s="547">
        <f t="shared" si="3"/>
        <v>81.5</v>
      </c>
      <c r="S17" s="547">
        <f t="shared" si="3"/>
        <v>912</v>
      </c>
      <c r="T17" s="549">
        <f t="shared" si="3"/>
        <v>70.15384615384616</v>
      </c>
      <c r="U17" s="550">
        <v>31</v>
      </c>
      <c r="V17" s="555"/>
      <c r="W17" s="556"/>
    </row>
    <row r="18" spans="1:23" ht="36.75" thickBot="1" x14ac:dyDescent="0.6">
      <c r="A18" s="845">
        <v>5</v>
      </c>
      <c r="B18" s="833"/>
      <c r="C18" s="831">
        <v>14</v>
      </c>
      <c r="D18" s="827" t="s">
        <v>17</v>
      </c>
      <c r="E18" s="546" t="s">
        <v>18</v>
      </c>
      <c r="F18" s="547">
        <v>77</v>
      </c>
      <c r="G18" s="547">
        <v>51</v>
      </c>
      <c r="H18" s="547">
        <v>66</v>
      </c>
      <c r="I18" s="547">
        <v>40</v>
      </c>
      <c r="J18" s="547">
        <v>47</v>
      </c>
      <c r="K18" s="547">
        <v>43</v>
      </c>
      <c r="L18" s="547">
        <v>41</v>
      </c>
      <c r="M18" s="547">
        <v>38</v>
      </c>
      <c r="N18" s="547">
        <v>40</v>
      </c>
      <c r="O18" s="547">
        <v>58</v>
      </c>
      <c r="P18" s="547">
        <v>70</v>
      </c>
      <c r="Q18" s="547">
        <v>52</v>
      </c>
      <c r="R18" s="547">
        <v>64</v>
      </c>
      <c r="S18" s="547">
        <v>687</v>
      </c>
      <c r="T18" s="549">
        <v>52.846153846153847</v>
      </c>
      <c r="U18" s="550">
        <v>49</v>
      </c>
      <c r="V18" s="557"/>
      <c r="W18" s="558"/>
    </row>
    <row r="19" spans="1:23" ht="36.75" thickBot="1" x14ac:dyDescent="0.6">
      <c r="A19" s="845"/>
      <c r="B19" s="841"/>
      <c r="C19" s="843">
        <v>15</v>
      </c>
      <c r="D19" s="828"/>
      <c r="E19" s="546" t="s">
        <v>19</v>
      </c>
      <c r="F19" s="547">
        <v>79</v>
      </c>
      <c r="G19" s="547">
        <v>46</v>
      </c>
      <c r="H19" s="547">
        <v>57</v>
      </c>
      <c r="I19" s="547">
        <v>35</v>
      </c>
      <c r="J19" s="547">
        <v>38</v>
      </c>
      <c r="K19" s="547">
        <v>43</v>
      </c>
      <c r="L19" s="547">
        <v>36</v>
      </c>
      <c r="M19" s="547">
        <v>42</v>
      </c>
      <c r="N19" s="547">
        <v>43</v>
      </c>
      <c r="O19" s="547">
        <v>41</v>
      </c>
      <c r="P19" s="547">
        <v>52</v>
      </c>
      <c r="Q19" s="547">
        <v>66</v>
      </c>
      <c r="R19" s="547">
        <v>69</v>
      </c>
      <c r="S19" s="547">
        <v>647</v>
      </c>
      <c r="T19" s="549">
        <v>49.769230769230766</v>
      </c>
      <c r="U19" s="550">
        <v>50</v>
      </c>
      <c r="V19" s="557"/>
      <c r="W19" s="558"/>
    </row>
    <row r="20" spans="1:23" ht="36.75" thickBot="1" x14ac:dyDescent="0.6">
      <c r="A20" s="845"/>
      <c r="B20" s="842"/>
      <c r="C20" s="844">
        <v>15</v>
      </c>
      <c r="D20" s="829"/>
      <c r="E20" s="546" t="s">
        <v>13</v>
      </c>
      <c r="F20" s="547">
        <f>AVERAGE(F18:F19)</f>
        <v>78</v>
      </c>
      <c r="G20" s="547">
        <f t="shared" ref="G20:T20" si="4">AVERAGE(G18:G19)</f>
        <v>48.5</v>
      </c>
      <c r="H20" s="547">
        <f t="shared" si="4"/>
        <v>61.5</v>
      </c>
      <c r="I20" s="547">
        <f t="shared" si="4"/>
        <v>37.5</v>
      </c>
      <c r="J20" s="547">
        <f t="shared" si="4"/>
        <v>42.5</v>
      </c>
      <c r="K20" s="547">
        <f t="shared" si="4"/>
        <v>43</v>
      </c>
      <c r="L20" s="547">
        <f t="shared" si="4"/>
        <v>38.5</v>
      </c>
      <c r="M20" s="547">
        <v>40</v>
      </c>
      <c r="N20" s="547">
        <v>41.5</v>
      </c>
      <c r="O20" s="547">
        <f t="shared" si="4"/>
        <v>49.5</v>
      </c>
      <c r="P20" s="547">
        <f t="shared" si="4"/>
        <v>61</v>
      </c>
      <c r="Q20" s="547">
        <f>AVERAGE(Q18:Q19)</f>
        <v>59</v>
      </c>
      <c r="R20" s="547">
        <f t="shared" si="4"/>
        <v>66.5</v>
      </c>
      <c r="S20" s="547">
        <f t="shared" si="4"/>
        <v>667</v>
      </c>
      <c r="T20" s="549">
        <f t="shared" si="4"/>
        <v>51.307692307692307</v>
      </c>
      <c r="U20" s="550">
        <v>50</v>
      </c>
      <c r="V20" s="555"/>
      <c r="W20" s="556"/>
    </row>
    <row r="21" spans="1:23" ht="36.75" thickBot="1" x14ac:dyDescent="0.6">
      <c r="A21" s="845">
        <v>6</v>
      </c>
      <c r="B21" s="833"/>
      <c r="C21" s="831">
        <v>16</v>
      </c>
      <c r="D21" s="827" t="s">
        <v>17</v>
      </c>
      <c r="E21" s="546" t="s">
        <v>18</v>
      </c>
      <c r="F21" s="547">
        <v>88</v>
      </c>
      <c r="G21" s="547">
        <v>86</v>
      </c>
      <c r="H21" s="547">
        <v>82</v>
      </c>
      <c r="I21" s="547">
        <v>70</v>
      </c>
      <c r="J21" s="547">
        <v>86</v>
      </c>
      <c r="K21" s="547">
        <v>78</v>
      </c>
      <c r="L21" s="547">
        <v>82</v>
      </c>
      <c r="M21" s="547">
        <v>80</v>
      </c>
      <c r="N21" s="547">
        <v>75</v>
      </c>
      <c r="O21" s="547">
        <v>88</v>
      </c>
      <c r="P21" s="547">
        <v>92</v>
      </c>
      <c r="Q21" s="547">
        <v>87</v>
      </c>
      <c r="R21" s="547">
        <v>93</v>
      </c>
      <c r="S21" s="547">
        <v>1087</v>
      </c>
      <c r="T21" s="549">
        <v>83.615384615384613</v>
      </c>
      <c r="U21" s="550">
        <v>14</v>
      </c>
      <c r="V21" s="557"/>
      <c r="W21" s="558"/>
    </row>
    <row r="22" spans="1:23" ht="36.75" thickBot="1" x14ac:dyDescent="0.6">
      <c r="A22" s="845"/>
      <c r="B22" s="841"/>
      <c r="C22" s="843">
        <v>15</v>
      </c>
      <c r="D22" s="828"/>
      <c r="E22" s="546" t="s">
        <v>19</v>
      </c>
      <c r="F22" s="547">
        <v>86</v>
      </c>
      <c r="G22" s="547">
        <v>87</v>
      </c>
      <c r="H22" s="547">
        <v>77</v>
      </c>
      <c r="I22" s="547">
        <v>79</v>
      </c>
      <c r="J22" s="547">
        <v>87</v>
      </c>
      <c r="K22" s="547">
        <v>70</v>
      </c>
      <c r="L22" s="547">
        <v>79</v>
      </c>
      <c r="M22" s="547">
        <v>88</v>
      </c>
      <c r="N22" s="547">
        <v>75</v>
      </c>
      <c r="O22" s="547">
        <v>88</v>
      </c>
      <c r="P22" s="547">
        <v>96</v>
      </c>
      <c r="Q22" s="547">
        <v>90</v>
      </c>
      <c r="R22" s="547">
        <v>90</v>
      </c>
      <c r="S22" s="547">
        <v>1092</v>
      </c>
      <c r="T22" s="549">
        <v>84</v>
      </c>
      <c r="U22" s="550">
        <v>16</v>
      </c>
      <c r="V22" s="557"/>
      <c r="W22" s="558"/>
    </row>
    <row r="23" spans="1:23" ht="36.75" thickBot="1" x14ac:dyDescent="0.6">
      <c r="A23" s="845"/>
      <c r="B23" s="842"/>
      <c r="C23" s="844">
        <v>15</v>
      </c>
      <c r="D23" s="829"/>
      <c r="E23" s="546" t="s">
        <v>13</v>
      </c>
      <c r="F23" s="547">
        <f>AVERAGE(F21:F22)</f>
        <v>87</v>
      </c>
      <c r="G23" s="547">
        <f t="shared" ref="G23:T23" si="5">AVERAGE(G21:G22)</f>
        <v>86.5</v>
      </c>
      <c r="H23" s="547">
        <f t="shared" si="5"/>
        <v>79.5</v>
      </c>
      <c r="I23" s="547">
        <f t="shared" si="5"/>
        <v>74.5</v>
      </c>
      <c r="J23" s="547">
        <f t="shared" si="5"/>
        <v>86.5</v>
      </c>
      <c r="K23" s="547">
        <f t="shared" si="5"/>
        <v>74</v>
      </c>
      <c r="L23" s="547">
        <f t="shared" si="5"/>
        <v>80.5</v>
      </c>
      <c r="M23" s="547">
        <v>84</v>
      </c>
      <c r="N23" s="547">
        <v>75</v>
      </c>
      <c r="O23" s="547">
        <f t="shared" si="5"/>
        <v>88</v>
      </c>
      <c r="P23" s="547">
        <f t="shared" si="5"/>
        <v>94</v>
      </c>
      <c r="Q23" s="547">
        <f>AVERAGE(Q21:Q22)</f>
        <v>88.5</v>
      </c>
      <c r="R23" s="547">
        <f t="shared" si="5"/>
        <v>91.5</v>
      </c>
      <c r="S23" s="547">
        <f t="shared" si="5"/>
        <v>1089.5</v>
      </c>
      <c r="T23" s="549">
        <f t="shared" si="5"/>
        <v>83.807692307692307</v>
      </c>
      <c r="U23" s="550">
        <v>15</v>
      </c>
      <c r="V23" s="555"/>
      <c r="W23" s="556"/>
    </row>
    <row r="24" spans="1:23" ht="36.75" thickBot="1" x14ac:dyDescent="0.6">
      <c r="A24" s="845">
        <v>7</v>
      </c>
      <c r="B24" s="833"/>
      <c r="C24" s="831">
        <v>14</v>
      </c>
      <c r="D24" s="827" t="s">
        <v>20</v>
      </c>
      <c r="E24" s="546" t="s">
        <v>18</v>
      </c>
      <c r="F24" s="547">
        <v>93</v>
      </c>
      <c r="G24" s="547">
        <v>86</v>
      </c>
      <c r="H24" s="547">
        <v>86</v>
      </c>
      <c r="I24" s="547">
        <v>64</v>
      </c>
      <c r="J24" s="547">
        <v>60</v>
      </c>
      <c r="K24" s="547">
        <v>77</v>
      </c>
      <c r="L24" s="547">
        <v>67</v>
      </c>
      <c r="M24" s="547">
        <v>75</v>
      </c>
      <c r="N24" s="547">
        <v>74</v>
      </c>
      <c r="O24" s="547">
        <v>86</v>
      </c>
      <c r="P24" s="547">
        <v>88</v>
      </c>
      <c r="Q24" s="547">
        <v>90</v>
      </c>
      <c r="R24" s="547">
        <v>83</v>
      </c>
      <c r="S24" s="547">
        <v>1029</v>
      </c>
      <c r="T24" s="549">
        <v>79.15384615384616</v>
      </c>
      <c r="U24" s="550">
        <v>20</v>
      </c>
      <c r="V24" s="557"/>
      <c r="W24" s="558"/>
    </row>
    <row r="25" spans="1:23" ht="36.75" thickBot="1" x14ac:dyDescent="0.6">
      <c r="A25" s="845"/>
      <c r="B25" s="841"/>
      <c r="C25" s="843">
        <v>14</v>
      </c>
      <c r="D25" s="828"/>
      <c r="E25" s="546" t="s">
        <v>19</v>
      </c>
      <c r="F25" s="547">
        <v>84</v>
      </c>
      <c r="G25" s="547">
        <v>77</v>
      </c>
      <c r="H25" s="547">
        <v>66</v>
      </c>
      <c r="I25" s="547">
        <v>72</v>
      </c>
      <c r="J25" s="547">
        <v>74</v>
      </c>
      <c r="K25" s="547">
        <v>62</v>
      </c>
      <c r="L25" s="547">
        <v>68</v>
      </c>
      <c r="M25" s="547">
        <v>85</v>
      </c>
      <c r="N25" s="547">
        <v>79</v>
      </c>
      <c r="O25" s="547">
        <v>78</v>
      </c>
      <c r="P25" s="547">
        <v>87</v>
      </c>
      <c r="Q25" s="547">
        <v>85</v>
      </c>
      <c r="R25" s="547">
        <v>93</v>
      </c>
      <c r="S25" s="547">
        <v>1010</v>
      </c>
      <c r="T25" s="549">
        <v>77.692307692307693</v>
      </c>
      <c r="U25" s="550">
        <v>19</v>
      </c>
      <c r="V25" s="557"/>
      <c r="W25" s="558"/>
    </row>
    <row r="26" spans="1:23" ht="36.75" thickBot="1" x14ac:dyDescent="0.6">
      <c r="A26" s="845"/>
      <c r="B26" s="842"/>
      <c r="C26" s="844">
        <v>14</v>
      </c>
      <c r="D26" s="829"/>
      <c r="E26" s="546" t="s">
        <v>13</v>
      </c>
      <c r="F26" s="547">
        <f>AVERAGE(F24:F25)</f>
        <v>88.5</v>
      </c>
      <c r="G26" s="547">
        <f t="shared" ref="G26:T26" si="6">AVERAGE(G24:G25)</f>
        <v>81.5</v>
      </c>
      <c r="H26" s="547">
        <f t="shared" si="6"/>
        <v>76</v>
      </c>
      <c r="I26" s="547">
        <f t="shared" si="6"/>
        <v>68</v>
      </c>
      <c r="J26" s="547">
        <f t="shared" si="6"/>
        <v>67</v>
      </c>
      <c r="K26" s="547">
        <f t="shared" si="6"/>
        <v>69.5</v>
      </c>
      <c r="L26" s="547">
        <f t="shared" si="6"/>
        <v>67.5</v>
      </c>
      <c r="M26" s="547">
        <v>80</v>
      </c>
      <c r="N26" s="547">
        <v>76.5</v>
      </c>
      <c r="O26" s="547">
        <f t="shared" si="6"/>
        <v>82</v>
      </c>
      <c r="P26" s="547">
        <f t="shared" si="6"/>
        <v>87.5</v>
      </c>
      <c r="Q26" s="547">
        <f>AVERAGE(Q24:Q25)</f>
        <v>87.5</v>
      </c>
      <c r="R26" s="547">
        <f t="shared" si="6"/>
        <v>88</v>
      </c>
      <c r="S26" s="547">
        <f t="shared" si="6"/>
        <v>1019.5</v>
      </c>
      <c r="T26" s="549">
        <f t="shared" si="6"/>
        <v>78.423076923076934</v>
      </c>
      <c r="U26" s="550">
        <v>21</v>
      </c>
      <c r="V26" s="555"/>
      <c r="W26" s="556"/>
    </row>
    <row r="27" spans="1:23" ht="36.75" thickBot="1" x14ac:dyDescent="0.6">
      <c r="A27" s="845">
        <v>8</v>
      </c>
      <c r="B27" s="833"/>
      <c r="C27" s="831">
        <v>16</v>
      </c>
      <c r="D27" s="827" t="s">
        <v>20</v>
      </c>
      <c r="E27" s="546" t="s">
        <v>18</v>
      </c>
      <c r="F27" s="547">
        <v>75</v>
      </c>
      <c r="G27" s="547">
        <v>54</v>
      </c>
      <c r="H27" s="547">
        <v>79</v>
      </c>
      <c r="I27" s="547">
        <v>45</v>
      </c>
      <c r="J27" s="547">
        <v>50</v>
      </c>
      <c r="K27" s="547">
        <v>45</v>
      </c>
      <c r="L27" s="547">
        <v>44</v>
      </c>
      <c r="M27" s="547">
        <v>42</v>
      </c>
      <c r="N27" s="547">
        <v>44</v>
      </c>
      <c r="O27" s="547">
        <v>42</v>
      </c>
      <c r="P27" s="547">
        <v>87</v>
      </c>
      <c r="Q27" s="547">
        <v>54</v>
      </c>
      <c r="R27" s="547">
        <v>74</v>
      </c>
      <c r="S27" s="547">
        <v>735</v>
      </c>
      <c r="T27" s="549">
        <v>56.53846153846154</v>
      </c>
      <c r="U27" s="550">
        <v>44</v>
      </c>
      <c r="V27" s="557"/>
      <c r="W27" s="558"/>
    </row>
    <row r="28" spans="1:23" ht="36.75" thickBot="1" x14ac:dyDescent="0.6">
      <c r="A28" s="845"/>
      <c r="B28" s="841"/>
      <c r="C28" s="843">
        <v>15</v>
      </c>
      <c r="D28" s="828"/>
      <c r="E28" s="546" t="s">
        <v>19</v>
      </c>
      <c r="F28" s="547">
        <v>78</v>
      </c>
      <c r="G28" s="547">
        <v>50</v>
      </c>
      <c r="H28" s="547">
        <v>51</v>
      </c>
      <c r="I28" s="547">
        <v>46</v>
      </c>
      <c r="J28" s="547">
        <v>50</v>
      </c>
      <c r="K28" s="547">
        <v>42</v>
      </c>
      <c r="L28" s="547">
        <v>34</v>
      </c>
      <c r="M28" s="547">
        <v>44</v>
      </c>
      <c r="N28" s="547">
        <v>46</v>
      </c>
      <c r="O28" s="547">
        <v>74</v>
      </c>
      <c r="P28" s="547">
        <v>57</v>
      </c>
      <c r="Q28" s="547">
        <v>72</v>
      </c>
      <c r="R28" s="547">
        <v>75</v>
      </c>
      <c r="S28" s="547">
        <v>719</v>
      </c>
      <c r="T28" s="549">
        <v>55.307692307692307</v>
      </c>
      <c r="U28" s="550">
        <v>48</v>
      </c>
      <c r="V28" s="557"/>
      <c r="W28" s="558"/>
    </row>
    <row r="29" spans="1:23" ht="36.75" thickBot="1" x14ac:dyDescent="0.6">
      <c r="A29" s="845"/>
      <c r="B29" s="842"/>
      <c r="C29" s="844">
        <v>16</v>
      </c>
      <c r="D29" s="829"/>
      <c r="E29" s="546" t="s">
        <v>13</v>
      </c>
      <c r="F29" s="547">
        <f>AVERAGE(F27:F28)</f>
        <v>76.5</v>
      </c>
      <c r="G29" s="547">
        <f t="shared" ref="G29:T29" si="7">AVERAGE(G27:G28)</f>
        <v>52</v>
      </c>
      <c r="H29" s="547">
        <f t="shared" si="7"/>
        <v>65</v>
      </c>
      <c r="I29" s="547">
        <f t="shared" si="7"/>
        <v>45.5</v>
      </c>
      <c r="J29" s="547">
        <f t="shared" si="7"/>
        <v>50</v>
      </c>
      <c r="K29" s="547">
        <f t="shared" si="7"/>
        <v>43.5</v>
      </c>
      <c r="L29" s="547">
        <f t="shared" si="7"/>
        <v>39</v>
      </c>
      <c r="M29" s="547">
        <v>43</v>
      </c>
      <c r="N29" s="547">
        <v>45</v>
      </c>
      <c r="O29" s="547">
        <f t="shared" si="7"/>
        <v>58</v>
      </c>
      <c r="P29" s="547">
        <f t="shared" si="7"/>
        <v>72</v>
      </c>
      <c r="Q29" s="547">
        <f>AVERAGE(Q27:Q28)</f>
        <v>63</v>
      </c>
      <c r="R29" s="547">
        <f t="shared" si="7"/>
        <v>74.5</v>
      </c>
      <c r="S29" s="547">
        <f t="shared" si="7"/>
        <v>727</v>
      </c>
      <c r="T29" s="549">
        <f t="shared" si="7"/>
        <v>55.92307692307692</v>
      </c>
      <c r="U29" s="550">
        <v>44</v>
      </c>
      <c r="V29" s="555"/>
      <c r="W29" s="556"/>
    </row>
    <row r="30" spans="1:23" ht="36.75" thickBot="1" x14ac:dyDescent="0.6">
      <c r="A30" s="845">
        <v>9</v>
      </c>
      <c r="B30" s="833"/>
      <c r="C30" s="831">
        <v>15</v>
      </c>
      <c r="D30" s="827" t="s">
        <v>17</v>
      </c>
      <c r="E30" s="546" t="s">
        <v>18</v>
      </c>
      <c r="F30" s="547">
        <v>85</v>
      </c>
      <c r="G30" s="547">
        <v>64</v>
      </c>
      <c r="H30" s="547">
        <v>84</v>
      </c>
      <c r="I30" s="547">
        <v>59</v>
      </c>
      <c r="J30" s="547">
        <v>64</v>
      </c>
      <c r="K30" s="547">
        <v>64</v>
      </c>
      <c r="L30" s="547">
        <v>52</v>
      </c>
      <c r="M30" s="547">
        <v>60</v>
      </c>
      <c r="N30" s="547">
        <v>56</v>
      </c>
      <c r="O30" s="547">
        <v>66</v>
      </c>
      <c r="P30" s="547">
        <v>78</v>
      </c>
      <c r="Q30" s="547">
        <v>69</v>
      </c>
      <c r="R30" s="547">
        <v>85</v>
      </c>
      <c r="S30" s="547">
        <v>886</v>
      </c>
      <c r="T30" s="549">
        <v>68.15384615384616</v>
      </c>
      <c r="U30" s="550">
        <v>35</v>
      </c>
      <c r="V30" s="557"/>
      <c r="W30" s="558"/>
    </row>
    <row r="31" spans="1:23" ht="36.75" thickBot="1" x14ac:dyDescent="0.6">
      <c r="A31" s="845"/>
      <c r="B31" s="841"/>
      <c r="C31" s="843">
        <v>15</v>
      </c>
      <c r="D31" s="828"/>
      <c r="E31" s="546" t="s">
        <v>19</v>
      </c>
      <c r="F31" s="547">
        <v>77</v>
      </c>
      <c r="G31" s="547">
        <v>63</v>
      </c>
      <c r="H31" s="547">
        <v>68</v>
      </c>
      <c r="I31" s="547">
        <v>61</v>
      </c>
      <c r="J31" s="547">
        <v>58</v>
      </c>
      <c r="K31" s="547">
        <v>53</v>
      </c>
      <c r="L31" s="547">
        <v>53</v>
      </c>
      <c r="M31" s="547">
        <v>73</v>
      </c>
      <c r="N31" s="547">
        <v>59</v>
      </c>
      <c r="O31" s="547">
        <v>85</v>
      </c>
      <c r="P31" s="547">
        <v>72</v>
      </c>
      <c r="Q31" s="547">
        <v>88</v>
      </c>
      <c r="R31" s="547">
        <v>94</v>
      </c>
      <c r="S31" s="547">
        <v>904</v>
      </c>
      <c r="T31" s="549">
        <v>69.538461538461533</v>
      </c>
      <c r="U31" s="550">
        <v>34</v>
      </c>
      <c r="V31" s="557"/>
      <c r="W31" s="558"/>
    </row>
    <row r="32" spans="1:23" ht="36.75" thickBot="1" x14ac:dyDescent="0.6">
      <c r="A32" s="845"/>
      <c r="B32" s="842"/>
      <c r="C32" s="844">
        <v>15</v>
      </c>
      <c r="D32" s="829"/>
      <c r="E32" s="546" t="s">
        <v>13</v>
      </c>
      <c r="F32" s="547">
        <f>AVERAGE(F30:F31)</f>
        <v>81</v>
      </c>
      <c r="G32" s="547">
        <f t="shared" ref="G32:T32" si="8">AVERAGE(G30:G31)</f>
        <v>63.5</v>
      </c>
      <c r="H32" s="547">
        <f t="shared" si="8"/>
        <v>76</v>
      </c>
      <c r="I32" s="547">
        <f t="shared" si="8"/>
        <v>60</v>
      </c>
      <c r="J32" s="547">
        <f t="shared" si="8"/>
        <v>61</v>
      </c>
      <c r="K32" s="547">
        <f t="shared" si="8"/>
        <v>58.5</v>
      </c>
      <c r="L32" s="547">
        <f t="shared" si="8"/>
        <v>52.5</v>
      </c>
      <c r="M32" s="547">
        <v>66.5</v>
      </c>
      <c r="N32" s="547">
        <v>57.5</v>
      </c>
      <c r="O32" s="547">
        <f t="shared" si="8"/>
        <v>75.5</v>
      </c>
      <c r="P32" s="547">
        <f t="shared" si="8"/>
        <v>75</v>
      </c>
      <c r="Q32" s="547">
        <f>AVERAGE(Q30:Q31)</f>
        <v>78.5</v>
      </c>
      <c r="R32" s="547">
        <f t="shared" si="8"/>
        <v>89.5</v>
      </c>
      <c r="S32" s="547">
        <f t="shared" si="8"/>
        <v>895</v>
      </c>
      <c r="T32" s="549">
        <f t="shared" si="8"/>
        <v>68.84615384615384</v>
      </c>
      <c r="U32" s="550">
        <v>44</v>
      </c>
      <c r="V32" s="555"/>
      <c r="W32" s="556"/>
    </row>
    <row r="33" spans="1:23" ht="36.75" thickBot="1" x14ac:dyDescent="0.6">
      <c r="A33" s="845">
        <v>10</v>
      </c>
      <c r="B33" s="833"/>
      <c r="C33" s="831">
        <v>15</v>
      </c>
      <c r="D33" s="827" t="s">
        <v>17</v>
      </c>
      <c r="E33" s="546" t="s">
        <v>18</v>
      </c>
      <c r="F33" s="547">
        <v>75</v>
      </c>
      <c r="G33" s="547">
        <v>63</v>
      </c>
      <c r="H33" s="547">
        <v>81</v>
      </c>
      <c r="I33" s="547">
        <v>51</v>
      </c>
      <c r="J33" s="547">
        <v>59</v>
      </c>
      <c r="K33" s="547">
        <v>67</v>
      </c>
      <c r="L33" s="547">
        <v>50</v>
      </c>
      <c r="M33" s="547">
        <v>51</v>
      </c>
      <c r="N33" s="547">
        <v>57</v>
      </c>
      <c r="O33" s="547">
        <v>68</v>
      </c>
      <c r="P33" s="547">
        <v>80</v>
      </c>
      <c r="Q33" s="547">
        <v>76</v>
      </c>
      <c r="R33" s="547">
        <v>84</v>
      </c>
      <c r="S33" s="547">
        <v>862</v>
      </c>
      <c r="T33" s="549">
        <v>66.307692307692307</v>
      </c>
      <c r="U33" s="550">
        <v>37</v>
      </c>
      <c r="V33" s="557"/>
      <c r="W33" s="558"/>
    </row>
    <row r="34" spans="1:23" ht="36.75" thickBot="1" x14ac:dyDescent="0.6">
      <c r="A34" s="845"/>
      <c r="B34" s="841"/>
      <c r="C34" s="843">
        <v>13</v>
      </c>
      <c r="D34" s="828"/>
      <c r="E34" s="546" t="s">
        <v>19</v>
      </c>
      <c r="F34" s="547">
        <v>90</v>
      </c>
      <c r="G34" s="547">
        <v>59</v>
      </c>
      <c r="H34" s="547">
        <v>72</v>
      </c>
      <c r="I34" s="547">
        <v>66</v>
      </c>
      <c r="J34" s="547">
        <v>63</v>
      </c>
      <c r="K34" s="547">
        <v>59</v>
      </c>
      <c r="L34" s="547">
        <v>57</v>
      </c>
      <c r="M34" s="547">
        <v>69</v>
      </c>
      <c r="N34" s="547">
        <v>52</v>
      </c>
      <c r="O34" s="547">
        <v>77</v>
      </c>
      <c r="P34" s="547">
        <v>86</v>
      </c>
      <c r="Q34" s="547">
        <v>85</v>
      </c>
      <c r="R34" s="547">
        <v>86</v>
      </c>
      <c r="S34" s="547">
        <v>921</v>
      </c>
      <c r="T34" s="549">
        <v>70.84615384615384</v>
      </c>
      <c r="U34" s="550">
        <v>29</v>
      </c>
      <c r="V34" s="557"/>
      <c r="W34" s="558"/>
    </row>
    <row r="35" spans="1:23" ht="36.75" thickBot="1" x14ac:dyDescent="0.6">
      <c r="A35" s="845"/>
      <c r="B35" s="842"/>
      <c r="C35" s="844">
        <v>15</v>
      </c>
      <c r="D35" s="829"/>
      <c r="E35" s="546" t="s">
        <v>13</v>
      </c>
      <c r="F35" s="547">
        <f>AVERAGE(F33:F34)</f>
        <v>82.5</v>
      </c>
      <c r="G35" s="547">
        <f t="shared" ref="G35:T35" si="9">AVERAGE(G33:G34)</f>
        <v>61</v>
      </c>
      <c r="H35" s="547">
        <f t="shared" si="9"/>
        <v>76.5</v>
      </c>
      <c r="I35" s="547">
        <f t="shared" si="9"/>
        <v>58.5</v>
      </c>
      <c r="J35" s="547">
        <f t="shared" si="9"/>
        <v>61</v>
      </c>
      <c r="K35" s="547">
        <f t="shared" si="9"/>
        <v>63</v>
      </c>
      <c r="L35" s="547">
        <f t="shared" si="9"/>
        <v>53.5</v>
      </c>
      <c r="M35" s="547">
        <v>60</v>
      </c>
      <c r="N35" s="547">
        <v>54.5</v>
      </c>
      <c r="O35" s="547">
        <f t="shared" si="9"/>
        <v>72.5</v>
      </c>
      <c r="P35" s="547">
        <f t="shared" si="9"/>
        <v>83</v>
      </c>
      <c r="Q35" s="547">
        <f>AVERAGE(Q33:Q34)</f>
        <v>80.5</v>
      </c>
      <c r="R35" s="547">
        <f t="shared" si="9"/>
        <v>85</v>
      </c>
      <c r="S35" s="547">
        <f t="shared" si="9"/>
        <v>891.5</v>
      </c>
      <c r="T35" s="549">
        <f t="shared" si="9"/>
        <v>68.576923076923066</v>
      </c>
      <c r="U35" s="550">
        <v>33</v>
      </c>
      <c r="V35" s="555"/>
      <c r="W35" s="556"/>
    </row>
    <row r="36" spans="1:23" ht="36.75" thickBot="1" x14ac:dyDescent="0.6">
      <c r="A36" s="845">
        <v>11</v>
      </c>
      <c r="B36" s="832"/>
      <c r="C36" s="830">
        <v>15</v>
      </c>
      <c r="D36" s="827" t="s">
        <v>20</v>
      </c>
      <c r="E36" s="546" t="s">
        <v>18</v>
      </c>
      <c r="F36" s="547">
        <v>87</v>
      </c>
      <c r="G36" s="547">
        <v>83</v>
      </c>
      <c r="H36" s="547">
        <v>87</v>
      </c>
      <c r="I36" s="547">
        <v>68</v>
      </c>
      <c r="J36" s="547">
        <v>69</v>
      </c>
      <c r="K36" s="547">
        <v>68</v>
      </c>
      <c r="L36" s="547">
        <v>68</v>
      </c>
      <c r="M36" s="547">
        <v>69</v>
      </c>
      <c r="N36" s="547">
        <v>72</v>
      </c>
      <c r="O36" s="547">
        <v>85</v>
      </c>
      <c r="P36" s="547">
        <v>89</v>
      </c>
      <c r="Q36" s="547">
        <v>75</v>
      </c>
      <c r="R36" s="547">
        <v>92</v>
      </c>
      <c r="S36" s="547">
        <v>1012</v>
      </c>
      <c r="T36" s="549">
        <v>77.84615384615384</v>
      </c>
      <c r="U36" s="550">
        <v>23</v>
      </c>
      <c r="V36" s="557"/>
      <c r="W36" s="558"/>
    </row>
    <row r="37" spans="1:23" ht="36.75" thickBot="1" x14ac:dyDescent="0.6">
      <c r="A37" s="845"/>
      <c r="B37" s="832"/>
      <c r="C37" s="830">
        <v>15</v>
      </c>
      <c r="D37" s="828"/>
      <c r="E37" s="546" t="s">
        <v>19</v>
      </c>
      <c r="F37" s="547">
        <v>89</v>
      </c>
      <c r="G37" s="547">
        <v>83</v>
      </c>
      <c r="H37" s="547">
        <v>57</v>
      </c>
      <c r="I37" s="547">
        <v>65</v>
      </c>
      <c r="J37" s="547">
        <v>58</v>
      </c>
      <c r="K37" s="547">
        <v>54</v>
      </c>
      <c r="L37" s="547">
        <v>60</v>
      </c>
      <c r="M37" s="547">
        <v>78</v>
      </c>
      <c r="N37" s="547">
        <v>70</v>
      </c>
      <c r="O37" s="547">
        <v>86</v>
      </c>
      <c r="P37" s="547">
        <v>81</v>
      </c>
      <c r="Q37" s="547">
        <v>86</v>
      </c>
      <c r="R37" s="547">
        <v>90</v>
      </c>
      <c r="S37" s="547">
        <v>957</v>
      </c>
      <c r="T37" s="549">
        <v>73.615384615384613</v>
      </c>
      <c r="U37" s="550">
        <v>25</v>
      </c>
      <c r="V37" s="557"/>
      <c r="W37" s="558"/>
    </row>
    <row r="38" spans="1:23" ht="36.75" thickBot="1" x14ac:dyDescent="0.6">
      <c r="A38" s="845"/>
      <c r="B38" s="832"/>
      <c r="C38" s="830">
        <v>14</v>
      </c>
      <c r="D38" s="829"/>
      <c r="E38" s="546" t="s">
        <v>13</v>
      </c>
      <c r="F38" s="547">
        <f>AVERAGE(F36:F37)</f>
        <v>88</v>
      </c>
      <c r="G38" s="547">
        <f t="shared" ref="G38:T38" si="10">AVERAGE(G36:G37)</f>
        <v>83</v>
      </c>
      <c r="H38" s="547">
        <f t="shared" si="10"/>
        <v>72</v>
      </c>
      <c r="I38" s="547">
        <f t="shared" si="10"/>
        <v>66.5</v>
      </c>
      <c r="J38" s="547">
        <f t="shared" si="10"/>
        <v>63.5</v>
      </c>
      <c r="K38" s="547">
        <f t="shared" si="10"/>
        <v>61</v>
      </c>
      <c r="L38" s="547">
        <f t="shared" si="10"/>
        <v>64</v>
      </c>
      <c r="M38" s="547">
        <v>73.5</v>
      </c>
      <c r="N38" s="547">
        <v>71</v>
      </c>
      <c r="O38" s="547">
        <f t="shared" si="10"/>
        <v>85.5</v>
      </c>
      <c r="P38" s="547">
        <f t="shared" si="10"/>
        <v>85</v>
      </c>
      <c r="Q38" s="547">
        <f>AVERAGE(Q36:Q37)</f>
        <v>80.5</v>
      </c>
      <c r="R38" s="547">
        <f t="shared" si="10"/>
        <v>91</v>
      </c>
      <c r="S38" s="547">
        <f t="shared" si="10"/>
        <v>984.5</v>
      </c>
      <c r="T38" s="549">
        <f t="shared" si="10"/>
        <v>75.730769230769226</v>
      </c>
      <c r="U38" s="550">
        <v>36</v>
      </c>
      <c r="V38" s="555"/>
      <c r="W38" s="556"/>
    </row>
    <row r="39" spans="1:23" ht="36.75" thickBot="1" x14ac:dyDescent="0.6">
      <c r="A39" s="845">
        <v>12</v>
      </c>
      <c r="B39" s="832"/>
      <c r="C39" s="830">
        <v>14</v>
      </c>
      <c r="D39" s="827" t="s">
        <v>20</v>
      </c>
      <c r="E39" s="546" t="s">
        <v>18</v>
      </c>
      <c r="F39" s="547">
        <v>84</v>
      </c>
      <c r="G39" s="547">
        <v>78</v>
      </c>
      <c r="H39" s="547">
        <v>93</v>
      </c>
      <c r="I39" s="547">
        <v>62</v>
      </c>
      <c r="J39" s="547">
        <v>70</v>
      </c>
      <c r="K39" s="547">
        <v>82</v>
      </c>
      <c r="L39" s="547">
        <v>61</v>
      </c>
      <c r="M39" s="547">
        <v>80</v>
      </c>
      <c r="N39" s="547">
        <v>79</v>
      </c>
      <c r="O39" s="547">
        <v>83</v>
      </c>
      <c r="P39" s="547">
        <v>88</v>
      </c>
      <c r="Q39" s="547">
        <v>92</v>
      </c>
      <c r="R39" s="547">
        <v>85</v>
      </c>
      <c r="S39" s="547">
        <v>1037</v>
      </c>
      <c r="T39" s="549">
        <v>79.769230769230774</v>
      </c>
      <c r="U39" s="550">
        <v>19</v>
      </c>
      <c r="V39" s="557"/>
      <c r="W39" s="558"/>
    </row>
    <row r="40" spans="1:23" ht="36.75" thickBot="1" x14ac:dyDescent="0.6">
      <c r="A40" s="845"/>
      <c r="B40" s="832"/>
      <c r="C40" s="830">
        <v>14</v>
      </c>
      <c r="D40" s="828"/>
      <c r="E40" s="546" t="s">
        <v>19</v>
      </c>
      <c r="F40" s="547">
        <v>83</v>
      </c>
      <c r="G40" s="547">
        <v>69</v>
      </c>
      <c r="H40" s="547">
        <v>85</v>
      </c>
      <c r="I40" s="547">
        <v>71</v>
      </c>
      <c r="J40" s="547">
        <v>68</v>
      </c>
      <c r="K40" s="547">
        <v>56</v>
      </c>
      <c r="L40" s="547">
        <v>60</v>
      </c>
      <c r="M40" s="547">
        <v>83</v>
      </c>
      <c r="N40" s="547">
        <v>83</v>
      </c>
      <c r="O40" s="547">
        <v>93</v>
      </c>
      <c r="P40" s="547">
        <v>87</v>
      </c>
      <c r="Q40" s="547">
        <v>86</v>
      </c>
      <c r="R40" s="547">
        <v>81</v>
      </c>
      <c r="S40" s="547">
        <v>1005</v>
      </c>
      <c r="T40" s="549">
        <v>77.307692307692307</v>
      </c>
      <c r="U40" s="550">
        <v>22</v>
      </c>
      <c r="V40" s="557"/>
      <c r="W40" s="558"/>
    </row>
    <row r="41" spans="1:23" ht="36.75" thickBot="1" x14ac:dyDescent="0.6">
      <c r="A41" s="845"/>
      <c r="B41" s="832"/>
      <c r="C41" s="830">
        <v>15</v>
      </c>
      <c r="D41" s="829"/>
      <c r="E41" s="546" t="s">
        <v>13</v>
      </c>
      <c r="F41" s="547">
        <f>AVERAGE(F39:F40)</f>
        <v>83.5</v>
      </c>
      <c r="G41" s="547">
        <f t="shared" ref="G41:T41" si="11">AVERAGE(G39:G40)</f>
        <v>73.5</v>
      </c>
      <c r="H41" s="547">
        <f t="shared" si="11"/>
        <v>89</v>
      </c>
      <c r="I41" s="547">
        <f t="shared" si="11"/>
        <v>66.5</v>
      </c>
      <c r="J41" s="547">
        <f t="shared" si="11"/>
        <v>69</v>
      </c>
      <c r="K41" s="547">
        <f t="shared" si="11"/>
        <v>69</v>
      </c>
      <c r="L41" s="547">
        <f t="shared" si="11"/>
        <v>60.5</v>
      </c>
      <c r="M41" s="547">
        <v>81.5</v>
      </c>
      <c r="N41" s="547">
        <v>81</v>
      </c>
      <c r="O41" s="547">
        <f t="shared" si="11"/>
        <v>88</v>
      </c>
      <c r="P41" s="547">
        <f t="shared" si="11"/>
        <v>87.5</v>
      </c>
      <c r="Q41" s="547">
        <f>AVERAGE(Q39:Q40)</f>
        <v>89</v>
      </c>
      <c r="R41" s="547">
        <f t="shared" si="11"/>
        <v>83</v>
      </c>
      <c r="S41" s="547">
        <f t="shared" si="11"/>
        <v>1021</v>
      </c>
      <c r="T41" s="549">
        <f t="shared" si="11"/>
        <v>78.538461538461547</v>
      </c>
      <c r="U41" s="550">
        <v>24</v>
      </c>
      <c r="V41" s="555"/>
      <c r="W41" s="556"/>
    </row>
    <row r="42" spans="1:23" ht="36.75" thickBot="1" x14ac:dyDescent="0.6">
      <c r="A42" s="845">
        <v>13</v>
      </c>
      <c r="B42" s="832"/>
      <c r="C42" s="830">
        <v>15</v>
      </c>
      <c r="D42" s="827" t="s">
        <v>20</v>
      </c>
      <c r="E42" s="546" t="s">
        <v>18</v>
      </c>
      <c r="F42" s="547">
        <v>75</v>
      </c>
      <c r="G42" s="547">
        <v>44</v>
      </c>
      <c r="H42" s="547">
        <v>76</v>
      </c>
      <c r="I42" s="547">
        <v>46</v>
      </c>
      <c r="J42" s="547">
        <v>56</v>
      </c>
      <c r="K42" s="547">
        <v>55</v>
      </c>
      <c r="L42" s="547">
        <v>47</v>
      </c>
      <c r="M42" s="547">
        <v>53</v>
      </c>
      <c r="N42" s="547">
        <v>48</v>
      </c>
      <c r="O42" s="547">
        <v>59</v>
      </c>
      <c r="P42" s="547">
        <v>83</v>
      </c>
      <c r="Q42" s="547">
        <v>63</v>
      </c>
      <c r="R42" s="547">
        <v>77</v>
      </c>
      <c r="S42" s="547">
        <v>782</v>
      </c>
      <c r="T42" s="549">
        <v>60.153846153846153</v>
      </c>
      <c r="U42" s="550">
        <v>41</v>
      </c>
      <c r="V42" s="557"/>
      <c r="W42" s="558"/>
    </row>
    <row r="43" spans="1:23" ht="36.75" thickBot="1" x14ac:dyDescent="0.6">
      <c r="A43" s="845"/>
      <c r="B43" s="832"/>
      <c r="C43" s="830">
        <v>15</v>
      </c>
      <c r="D43" s="828"/>
      <c r="E43" s="546" t="s">
        <v>19</v>
      </c>
      <c r="F43" s="547">
        <v>72</v>
      </c>
      <c r="G43" s="547">
        <v>49</v>
      </c>
      <c r="H43" s="547">
        <v>50</v>
      </c>
      <c r="I43" s="547">
        <v>54</v>
      </c>
      <c r="J43" s="547">
        <v>51</v>
      </c>
      <c r="K43" s="547">
        <v>46</v>
      </c>
      <c r="L43" s="547">
        <v>43</v>
      </c>
      <c r="M43" s="547">
        <v>46</v>
      </c>
      <c r="N43" s="547">
        <v>46</v>
      </c>
      <c r="O43" s="547">
        <v>62</v>
      </c>
      <c r="P43" s="547">
        <v>67</v>
      </c>
      <c r="Q43" s="547">
        <v>76</v>
      </c>
      <c r="R43" s="547">
        <v>71</v>
      </c>
      <c r="S43" s="547">
        <v>732</v>
      </c>
      <c r="T43" s="549">
        <v>56.307692307692307</v>
      </c>
      <c r="U43" s="550">
        <v>46</v>
      </c>
      <c r="V43" s="557"/>
      <c r="W43" s="558"/>
    </row>
    <row r="44" spans="1:23" ht="36.75" thickBot="1" x14ac:dyDescent="0.6">
      <c r="A44" s="845"/>
      <c r="B44" s="832"/>
      <c r="C44" s="830">
        <v>16</v>
      </c>
      <c r="D44" s="829"/>
      <c r="E44" s="546" t="s">
        <v>13</v>
      </c>
      <c r="F44" s="547">
        <f>AVERAGE(F42:F43)</f>
        <v>73.5</v>
      </c>
      <c r="G44" s="547">
        <f t="shared" ref="G44:T44" si="12">AVERAGE(G42:G43)</f>
        <v>46.5</v>
      </c>
      <c r="H44" s="547">
        <f t="shared" si="12"/>
        <v>63</v>
      </c>
      <c r="I44" s="547">
        <f>AVERAGE(I42:I43)</f>
        <v>50</v>
      </c>
      <c r="J44" s="547">
        <f t="shared" si="12"/>
        <v>53.5</v>
      </c>
      <c r="K44" s="547">
        <f t="shared" si="12"/>
        <v>50.5</v>
      </c>
      <c r="L44" s="547">
        <f t="shared" si="12"/>
        <v>45</v>
      </c>
      <c r="M44" s="547">
        <v>49.5</v>
      </c>
      <c r="N44" s="547">
        <v>47</v>
      </c>
      <c r="O44" s="547">
        <f t="shared" si="12"/>
        <v>60.5</v>
      </c>
      <c r="P44" s="547">
        <f t="shared" si="12"/>
        <v>75</v>
      </c>
      <c r="Q44" s="547">
        <f>AVERAGE(Q42:Q43)</f>
        <v>69.5</v>
      </c>
      <c r="R44" s="547">
        <f t="shared" si="12"/>
        <v>74</v>
      </c>
      <c r="S44" s="547">
        <f t="shared" si="12"/>
        <v>757</v>
      </c>
      <c r="T44" s="549">
        <f t="shared" si="12"/>
        <v>58.230769230769226</v>
      </c>
      <c r="U44" s="550">
        <v>20</v>
      </c>
      <c r="V44" s="555"/>
      <c r="W44" s="556"/>
    </row>
    <row r="45" spans="1:23" ht="36.75" thickBot="1" x14ac:dyDescent="0.6">
      <c r="A45" s="845">
        <v>14</v>
      </c>
      <c r="B45" s="832"/>
      <c r="C45" s="830">
        <v>15</v>
      </c>
      <c r="D45" s="827" t="s">
        <v>20</v>
      </c>
      <c r="E45" s="546" t="s">
        <v>18</v>
      </c>
      <c r="F45" s="547">
        <v>91</v>
      </c>
      <c r="G45" s="547">
        <v>81</v>
      </c>
      <c r="H45" s="547">
        <v>95</v>
      </c>
      <c r="I45" s="547">
        <v>66</v>
      </c>
      <c r="J45" s="547">
        <v>68</v>
      </c>
      <c r="K45" s="547">
        <v>84</v>
      </c>
      <c r="L45" s="547">
        <v>87</v>
      </c>
      <c r="M45" s="547">
        <v>82</v>
      </c>
      <c r="N45" s="547">
        <v>82</v>
      </c>
      <c r="O45" s="547">
        <v>94</v>
      </c>
      <c r="P45" s="547">
        <v>92</v>
      </c>
      <c r="Q45" s="547">
        <v>95</v>
      </c>
      <c r="R45" s="547">
        <v>90</v>
      </c>
      <c r="S45" s="547">
        <v>1107</v>
      </c>
      <c r="T45" s="549">
        <v>85.15384615384616</v>
      </c>
      <c r="U45" s="550">
        <v>12</v>
      </c>
      <c r="V45" s="557"/>
      <c r="W45" s="558"/>
    </row>
    <row r="46" spans="1:23" ht="36.75" thickBot="1" x14ac:dyDescent="0.6">
      <c r="A46" s="845"/>
      <c r="B46" s="832"/>
      <c r="C46" s="830">
        <v>15</v>
      </c>
      <c r="D46" s="828"/>
      <c r="E46" s="546" t="s">
        <v>19</v>
      </c>
      <c r="F46" s="547">
        <v>90</v>
      </c>
      <c r="G46" s="547">
        <v>73</v>
      </c>
      <c r="H46" s="547">
        <v>90</v>
      </c>
      <c r="I46" s="547">
        <v>84</v>
      </c>
      <c r="J46" s="547">
        <v>74</v>
      </c>
      <c r="K46" s="547">
        <v>83</v>
      </c>
      <c r="L46" s="547">
        <v>84</v>
      </c>
      <c r="M46" s="547">
        <v>91</v>
      </c>
      <c r="N46" s="547">
        <v>89</v>
      </c>
      <c r="O46" s="547">
        <v>93</v>
      </c>
      <c r="P46" s="547">
        <v>96</v>
      </c>
      <c r="Q46" s="547">
        <v>95</v>
      </c>
      <c r="R46" s="547">
        <v>99</v>
      </c>
      <c r="S46" s="547">
        <v>1141</v>
      </c>
      <c r="T46" s="549">
        <v>87.769230769230774</v>
      </c>
      <c r="U46" s="550">
        <v>9</v>
      </c>
      <c r="V46" s="557"/>
      <c r="W46" s="558"/>
    </row>
    <row r="47" spans="1:23" ht="36.75" thickBot="1" x14ac:dyDescent="0.6">
      <c r="A47" s="845"/>
      <c r="B47" s="832"/>
      <c r="C47" s="830">
        <v>15</v>
      </c>
      <c r="D47" s="829"/>
      <c r="E47" s="546" t="s">
        <v>13</v>
      </c>
      <c r="F47" s="547">
        <f>AVERAGE(F45:F46)</f>
        <v>90.5</v>
      </c>
      <c r="G47" s="547">
        <f t="shared" ref="G47:T47" si="13">AVERAGE(G45:G46)</f>
        <v>77</v>
      </c>
      <c r="H47" s="547">
        <f t="shared" si="13"/>
        <v>92.5</v>
      </c>
      <c r="I47" s="547">
        <f t="shared" si="13"/>
        <v>75</v>
      </c>
      <c r="J47" s="547">
        <f t="shared" si="13"/>
        <v>71</v>
      </c>
      <c r="K47" s="547">
        <f t="shared" si="13"/>
        <v>83.5</v>
      </c>
      <c r="L47" s="547">
        <f t="shared" si="13"/>
        <v>85.5</v>
      </c>
      <c r="M47" s="547">
        <v>86.5</v>
      </c>
      <c r="N47" s="547">
        <v>85.5</v>
      </c>
      <c r="O47" s="547">
        <f t="shared" si="13"/>
        <v>93.5</v>
      </c>
      <c r="P47" s="547">
        <f t="shared" si="13"/>
        <v>94</v>
      </c>
      <c r="Q47" s="547">
        <f>AVERAGE(Q45:Q46)</f>
        <v>95</v>
      </c>
      <c r="R47" s="547">
        <f t="shared" si="13"/>
        <v>94.5</v>
      </c>
      <c r="S47" s="547">
        <f t="shared" si="13"/>
        <v>1124</v>
      </c>
      <c r="T47" s="549">
        <f t="shared" si="13"/>
        <v>86.461538461538467</v>
      </c>
      <c r="U47" s="550">
        <v>43</v>
      </c>
      <c r="V47" s="555"/>
      <c r="W47" s="556"/>
    </row>
    <row r="48" spans="1:23" ht="36.75" thickBot="1" x14ac:dyDescent="0.6">
      <c r="A48" s="845">
        <v>15</v>
      </c>
      <c r="B48" s="832"/>
      <c r="C48" s="830">
        <v>15</v>
      </c>
      <c r="D48" s="827" t="s">
        <v>20</v>
      </c>
      <c r="E48" s="546" t="s">
        <v>18</v>
      </c>
      <c r="F48" s="547">
        <v>87</v>
      </c>
      <c r="G48" s="547">
        <v>89</v>
      </c>
      <c r="H48" s="565">
        <v>98</v>
      </c>
      <c r="I48" s="565">
        <v>75</v>
      </c>
      <c r="J48" s="547">
        <v>77</v>
      </c>
      <c r="K48" s="547">
        <v>82</v>
      </c>
      <c r="L48" s="547">
        <v>74</v>
      </c>
      <c r="M48" s="547">
        <v>84</v>
      </c>
      <c r="N48" s="547">
        <v>81</v>
      </c>
      <c r="O48" s="547">
        <v>93</v>
      </c>
      <c r="P48" s="547">
        <v>96</v>
      </c>
      <c r="Q48" s="547">
        <v>97</v>
      </c>
      <c r="R48" s="547">
        <v>93</v>
      </c>
      <c r="S48" s="547">
        <v>1126</v>
      </c>
      <c r="T48" s="549">
        <v>86.615384615384613</v>
      </c>
      <c r="U48" s="550">
        <v>9</v>
      </c>
      <c r="V48" s="557"/>
      <c r="W48" s="558"/>
    </row>
    <row r="49" spans="1:23" ht="36.75" thickBot="1" x14ac:dyDescent="0.6">
      <c r="A49" s="845"/>
      <c r="B49" s="832"/>
      <c r="C49" s="830">
        <v>15</v>
      </c>
      <c r="D49" s="828"/>
      <c r="E49" s="546" t="s">
        <v>19</v>
      </c>
      <c r="F49" s="547">
        <v>88</v>
      </c>
      <c r="G49" s="547">
        <v>84</v>
      </c>
      <c r="H49" s="565">
        <v>89</v>
      </c>
      <c r="I49" s="565">
        <v>89</v>
      </c>
      <c r="J49" s="547">
        <v>70</v>
      </c>
      <c r="K49" s="547">
        <v>68</v>
      </c>
      <c r="L49" s="547">
        <v>77</v>
      </c>
      <c r="M49" s="547">
        <v>89</v>
      </c>
      <c r="N49" s="547">
        <v>76</v>
      </c>
      <c r="O49" s="547">
        <v>90</v>
      </c>
      <c r="P49" s="547">
        <v>96</v>
      </c>
      <c r="Q49" s="547">
        <v>99</v>
      </c>
      <c r="R49" s="547">
        <v>96</v>
      </c>
      <c r="S49" s="547">
        <v>1111</v>
      </c>
      <c r="T49" s="549">
        <v>85.461538461538467</v>
      </c>
      <c r="U49" s="550">
        <v>12</v>
      </c>
      <c r="V49" s="557"/>
      <c r="W49" s="558"/>
    </row>
    <row r="50" spans="1:23" ht="36.75" thickBot="1" x14ac:dyDescent="0.6">
      <c r="A50" s="845"/>
      <c r="B50" s="832"/>
      <c r="C50" s="830">
        <v>15</v>
      </c>
      <c r="D50" s="829"/>
      <c r="E50" s="546" t="s">
        <v>13</v>
      </c>
      <c r="F50" s="547">
        <f>AVERAGE(F48:F49)</f>
        <v>87.5</v>
      </c>
      <c r="G50" s="547">
        <f t="shared" ref="G50:T50" si="14">AVERAGE(G48:G49)</f>
        <v>86.5</v>
      </c>
      <c r="H50" s="547">
        <f t="shared" si="14"/>
        <v>93.5</v>
      </c>
      <c r="I50" s="547">
        <f t="shared" si="14"/>
        <v>82</v>
      </c>
      <c r="J50" s="547">
        <f t="shared" si="14"/>
        <v>73.5</v>
      </c>
      <c r="K50" s="547">
        <f t="shared" si="14"/>
        <v>75</v>
      </c>
      <c r="L50" s="547">
        <f t="shared" si="14"/>
        <v>75.5</v>
      </c>
      <c r="M50" s="547">
        <v>86.5</v>
      </c>
      <c r="N50" s="547">
        <v>78.5</v>
      </c>
      <c r="O50" s="547">
        <f t="shared" si="14"/>
        <v>91.5</v>
      </c>
      <c r="P50" s="547">
        <f t="shared" si="14"/>
        <v>96</v>
      </c>
      <c r="Q50" s="547">
        <f>AVERAGE(Q48:Q49)</f>
        <v>98</v>
      </c>
      <c r="R50" s="547">
        <f t="shared" si="14"/>
        <v>94.5</v>
      </c>
      <c r="S50" s="547">
        <f t="shared" si="14"/>
        <v>1118.5</v>
      </c>
      <c r="T50" s="549">
        <f t="shared" si="14"/>
        <v>86.038461538461547</v>
      </c>
      <c r="U50" s="550">
        <v>10</v>
      </c>
      <c r="V50" s="555"/>
      <c r="W50" s="556"/>
    </row>
    <row r="51" spans="1:23" ht="36.75" thickBot="1" x14ac:dyDescent="0.6">
      <c r="A51" s="845">
        <v>16</v>
      </c>
      <c r="B51" s="832"/>
      <c r="C51" s="830">
        <v>14</v>
      </c>
      <c r="D51" s="827" t="s">
        <v>20</v>
      </c>
      <c r="E51" s="546" t="s">
        <v>18</v>
      </c>
      <c r="F51" s="547">
        <v>82</v>
      </c>
      <c r="G51" s="547">
        <v>55</v>
      </c>
      <c r="H51" s="547">
        <v>79</v>
      </c>
      <c r="I51" s="547">
        <v>71</v>
      </c>
      <c r="J51" s="547">
        <v>66</v>
      </c>
      <c r="K51" s="547">
        <v>61</v>
      </c>
      <c r="L51" s="547">
        <v>60</v>
      </c>
      <c r="M51" s="547">
        <v>63</v>
      </c>
      <c r="N51" s="547">
        <v>62</v>
      </c>
      <c r="O51" s="547">
        <v>62</v>
      </c>
      <c r="P51" s="547">
        <v>86</v>
      </c>
      <c r="Q51" s="547">
        <v>88</v>
      </c>
      <c r="R51" s="547">
        <v>84</v>
      </c>
      <c r="S51" s="547">
        <v>919</v>
      </c>
      <c r="T51" s="549">
        <v>70.692307692307693</v>
      </c>
      <c r="U51" s="550">
        <v>32</v>
      </c>
      <c r="V51" s="557"/>
      <c r="W51" s="558"/>
    </row>
    <row r="52" spans="1:23" ht="36.75" thickBot="1" x14ac:dyDescent="0.6">
      <c r="A52" s="845"/>
      <c r="B52" s="832"/>
      <c r="C52" s="830">
        <v>15</v>
      </c>
      <c r="D52" s="828"/>
      <c r="E52" s="546" t="s">
        <v>19</v>
      </c>
      <c r="F52" s="547">
        <v>76</v>
      </c>
      <c r="G52" s="547">
        <v>49</v>
      </c>
      <c r="H52" s="547">
        <v>74</v>
      </c>
      <c r="I52" s="547">
        <v>77</v>
      </c>
      <c r="J52" s="547">
        <v>62</v>
      </c>
      <c r="K52" s="547">
        <v>59</v>
      </c>
      <c r="L52" s="547">
        <v>50</v>
      </c>
      <c r="M52" s="547">
        <v>55</v>
      </c>
      <c r="N52" s="547">
        <v>47</v>
      </c>
      <c r="O52" s="547">
        <v>62</v>
      </c>
      <c r="P52" s="547">
        <v>83</v>
      </c>
      <c r="Q52" s="547">
        <v>83</v>
      </c>
      <c r="R52" s="547">
        <v>92</v>
      </c>
      <c r="S52" s="547">
        <v>869</v>
      </c>
      <c r="T52" s="549">
        <v>66.84615384615384</v>
      </c>
      <c r="U52" s="550">
        <v>37</v>
      </c>
      <c r="V52" s="557"/>
      <c r="W52" s="558"/>
    </row>
    <row r="53" spans="1:23" ht="36.75" thickBot="1" x14ac:dyDescent="0.6">
      <c r="A53" s="845"/>
      <c r="B53" s="832"/>
      <c r="C53" s="830">
        <v>15</v>
      </c>
      <c r="D53" s="829"/>
      <c r="E53" s="546" t="s">
        <v>13</v>
      </c>
      <c r="F53" s="547">
        <f>AVERAGE(F51:F52)</f>
        <v>79</v>
      </c>
      <c r="G53" s="547">
        <f t="shared" ref="G53:T53" si="15">AVERAGE(G51:G52)</f>
        <v>52</v>
      </c>
      <c r="H53" s="547">
        <f t="shared" si="15"/>
        <v>76.5</v>
      </c>
      <c r="I53" s="547">
        <f t="shared" si="15"/>
        <v>74</v>
      </c>
      <c r="J53" s="547">
        <f t="shared" si="15"/>
        <v>64</v>
      </c>
      <c r="K53" s="547">
        <f t="shared" si="15"/>
        <v>60</v>
      </c>
      <c r="L53" s="547">
        <f t="shared" si="15"/>
        <v>55</v>
      </c>
      <c r="M53" s="547">
        <v>59</v>
      </c>
      <c r="N53" s="547">
        <v>54.5</v>
      </c>
      <c r="O53" s="547">
        <f t="shared" si="15"/>
        <v>62</v>
      </c>
      <c r="P53" s="547">
        <f t="shared" si="15"/>
        <v>84.5</v>
      </c>
      <c r="Q53" s="547">
        <f>AVERAGE(Q51:Q52)</f>
        <v>85.5</v>
      </c>
      <c r="R53" s="547">
        <f t="shared" si="15"/>
        <v>88</v>
      </c>
      <c r="S53" s="547">
        <f t="shared" si="15"/>
        <v>894</v>
      </c>
      <c r="T53" s="549">
        <f t="shared" si="15"/>
        <v>68.769230769230774</v>
      </c>
      <c r="U53" s="550">
        <v>11</v>
      </c>
      <c r="V53" s="555"/>
      <c r="W53" s="556"/>
    </row>
    <row r="54" spans="1:23" ht="36.75" thickBot="1" x14ac:dyDescent="0.6">
      <c r="A54" s="845">
        <v>17</v>
      </c>
      <c r="B54" s="832"/>
      <c r="C54" s="830">
        <v>15</v>
      </c>
      <c r="D54" s="827" t="s">
        <v>20</v>
      </c>
      <c r="E54" s="546" t="s">
        <v>18</v>
      </c>
      <c r="F54" s="547">
        <v>94</v>
      </c>
      <c r="G54" s="547">
        <v>97</v>
      </c>
      <c r="H54" s="547">
        <v>100</v>
      </c>
      <c r="I54" s="547">
        <v>89</v>
      </c>
      <c r="J54" s="547">
        <v>96</v>
      </c>
      <c r="K54" s="547">
        <v>95</v>
      </c>
      <c r="L54" s="547">
        <v>84</v>
      </c>
      <c r="M54" s="547">
        <v>95</v>
      </c>
      <c r="N54" s="547">
        <v>91</v>
      </c>
      <c r="O54" s="547">
        <v>91</v>
      </c>
      <c r="P54" s="547">
        <v>97</v>
      </c>
      <c r="Q54" s="547">
        <v>100</v>
      </c>
      <c r="R54" s="547">
        <v>94</v>
      </c>
      <c r="S54" s="547">
        <v>1223</v>
      </c>
      <c r="T54" s="549">
        <v>94.07692307692308</v>
      </c>
      <c r="U54" s="550">
        <v>4</v>
      </c>
      <c r="V54" s="557"/>
      <c r="W54" s="558"/>
    </row>
    <row r="55" spans="1:23" ht="36.75" thickBot="1" x14ac:dyDescent="0.6">
      <c r="A55" s="845"/>
      <c r="B55" s="832"/>
      <c r="C55" s="830">
        <v>15</v>
      </c>
      <c r="D55" s="828"/>
      <c r="E55" s="546" t="s">
        <v>19</v>
      </c>
      <c r="F55" s="547">
        <v>97</v>
      </c>
      <c r="G55" s="547">
        <v>86</v>
      </c>
      <c r="H55" s="547">
        <v>94</v>
      </c>
      <c r="I55" s="547">
        <v>96</v>
      </c>
      <c r="J55" s="547">
        <v>93</v>
      </c>
      <c r="K55" s="547">
        <v>91</v>
      </c>
      <c r="L55" s="547">
        <v>91</v>
      </c>
      <c r="M55" s="547">
        <v>99</v>
      </c>
      <c r="N55" s="547">
        <v>91</v>
      </c>
      <c r="O55" s="547">
        <v>98</v>
      </c>
      <c r="P55" s="547">
        <v>99</v>
      </c>
      <c r="Q55" s="547">
        <v>100</v>
      </c>
      <c r="R55" s="547">
        <v>91</v>
      </c>
      <c r="S55" s="547">
        <v>1226</v>
      </c>
      <c r="T55" s="549">
        <v>94.307692307692307</v>
      </c>
      <c r="U55" s="550">
        <v>6</v>
      </c>
      <c r="V55" s="557"/>
      <c r="W55" s="558"/>
    </row>
    <row r="56" spans="1:23" ht="36.75" thickBot="1" x14ac:dyDescent="0.6">
      <c r="A56" s="845"/>
      <c r="B56" s="832"/>
      <c r="C56" s="830">
        <v>14</v>
      </c>
      <c r="D56" s="829"/>
      <c r="E56" s="546" t="s">
        <v>13</v>
      </c>
      <c r="F56" s="547">
        <f>AVERAGE(F54:F55)</f>
        <v>95.5</v>
      </c>
      <c r="G56" s="547">
        <f t="shared" ref="G56:T56" si="16">AVERAGE(G54:G55)</f>
        <v>91.5</v>
      </c>
      <c r="H56" s="547">
        <f t="shared" si="16"/>
        <v>97</v>
      </c>
      <c r="I56" s="547">
        <f t="shared" si="16"/>
        <v>92.5</v>
      </c>
      <c r="J56" s="547">
        <f t="shared" si="16"/>
        <v>94.5</v>
      </c>
      <c r="K56" s="547">
        <f t="shared" si="16"/>
        <v>93</v>
      </c>
      <c r="L56" s="547">
        <f t="shared" si="16"/>
        <v>87.5</v>
      </c>
      <c r="M56" s="547">
        <v>97</v>
      </c>
      <c r="N56" s="547">
        <v>91</v>
      </c>
      <c r="O56" s="547">
        <f t="shared" si="16"/>
        <v>94.5</v>
      </c>
      <c r="P56" s="547">
        <f t="shared" si="16"/>
        <v>98</v>
      </c>
      <c r="Q56" s="547">
        <f>AVERAGE(Q54:Q55)</f>
        <v>100</v>
      </c>
      <c r="R56" s="547">
        <f t="shared" si="16"/>
        <v>92.5</v>
      </c>
      <c r="S56" s="547">
        <f t="shared" si="16"/>
        <v>1224.5</v>
      </c>
      <c r="T56" s="549">
        <f t="shared" si="16"/>
        <v>94.192307692307693</v>
      </c>
      <c r="U56" s="550">
        <v>34</v>
      </c>
      <c r="V56" s="555"/>
      <c r="W56" s="556"/>
    </row>
    <row r="57" spans="1:23" ht="36.75" thickBot="1" x14ac:dyDescent="0.6">
      <c r="A57" s="845">
        <v>18</v>
      </c>
      <c r="B57" s="832"/>
      <c r="C57" s="831">
        <v>14</v>
      </c>
      <c r="D57" s="827" t="s">
        <v>20</v>
      </c>
      <c r="E57" s="546" t="s">
        <v>18</v>
      </c>
      <c r="F57" s="547">
        <v>81</v>
      </c>
      <c r="G57" s="547">
        <v>64</v>
      </c>
      <c r="H57" s="565">
        <v>85</v>
      </c>
      <c r="I57" s="565">
        <v>65</v>
      </c>
      <c r="J57" s="547">
        <v>64</v>
      </c>
      <c r="K57" s="547">
        <v>73</v>
      </c>
      <c r="L57" s="547">
        <v>65</v>
      </c>
      <c r="M57" s="547">
        <v>64</v>
      </c>
      <c r="N57" s="547">
        <v>72</v>
      </c>
      <c r="O57" s="547">
        <v>70</v>
      </c>
      <c r="P57" s="547">
        <v>89</v>
      </c>
      <c r="Q57" s="547">
        <v>87</v>
      </c>
      <c r="R57" s="547">
        <v>81</v>
      </c>
      <c r="S57" s="547">
        <v>960</v>
      </c>
      <c r="T57" s="549">
        <v>73.84615384615384</v>
      </c>
      <c r="U57" s="550">
        <v>25</v>
      </c>
      <c r="V57" s="557"/>
      <c r="W57" s="558"/>
    </row>
    <row r="58" spans="1:23" ht="36.75" thickBot="1" x14ac:dyDescent="0.6">
      <c r="A58" s="845"/>
      <c r="B58" s="832"/>
      <c r="C58" s="843">
        <v>15</v>
      </c>
      <c r="D58" s="828"/>
      <c r="E58" s="546" t="s">
        <v>19</v>
      </c>
      <c r="F58" s="547">
        <v>90</v>
      </c>
      <c r="G58" s="547">
        <v>63</v>
      </c>
      <c r="H58" s="565">
        <v>61</v>
      </c>
      <c r="I58" s="565">
        <v>73</v>
      </c>
      <c r="J58" s="547">
        <v>63</v>
      </c>
      <c r="K58" s="547">
        <v>64</v>
      </c>
      <c r="L58" s="547">
        <v>63</v>
      </c>
      <c r="M58" s="547">
        <v>71</v>
      </c>
      <c r="N58" s="547">
        <v>65</v>
      </c>
      <c r="O58" s="547">
        <v>77</v>
      </c>
      <c r="P58" s="547">
        <v>76</v>
      </c>
      <c r="Q58" s="547">
        <v>86</v>
      </c>
      <c r="R58" s="547">
        <v>95</v>
      </c>
      <c r="S58" s="547">
        <v>947</v>
      </c>
      <c r="T58" s="549">
        <v>72.84615384615384</v>
      </c>
      <c r="U58" s="550">
        <v>28</v>
      </c>
      <c r="V58" s="557"/>
      <c r="W58" s="558"/>
    </row>
    <row r="59" spans="1:23" ht="36.75" thickBot="1" x14ac:dyDescent="0.6">
      <c r="A59" s="845"/>
      <c r="B59" s="832"/>
      <c r="C59" s="844">
        <v>15</v>
      </c>
      <c r="D59" s="829"/>
      <c r="E59" s="546" t="s">
        <v>13</v>
      </c>
      <c r="F59" s="547">
        <f>AVERAGE(F57:F58)</f>
        <v>85.5</v>
      </c>
      <c r="G59" s="547">
        <f t="shared" ref="G59:T59" si="17">AVERAGE(G57:G58)</f>
        <v>63.5</v>
      </c>
      <c r="H59" s="547">
        <f t="shared" si="17"/>
        <v>73</v>
      </c>
      <c r="I59" s="547">
        <f t="shared" si="17"/>
        <v>69</v>
      </c>
      <c r="J59" s="547">
        <f t="shared" si="17"/>
        <v>63.5</v>
      </c>
      <c r="K59" s="547">
        <f t="shared" si="17"/>
        <v>68.5</v>
      </c>
      <c r="L59" s="547">
        <f t="shared" si="17"/>
        <v>64</v>
      </c>
      <c r="M59" s="547">
        <v>67.5</v>
      </c>
      <c r="N59" s="547">
        <v>68.5</v>
      </c>
      <c r="O59" s="547">
        <f t="shared" si="17"/>
        <v>73.5</v>
      </c>
      <c r="P59" s="547">
        <f t="shared" si="17"/>
        <v>82.5</v>
      </c>
      <c r="Q59" s="547">
        <f>AVERAGE(Q57:Q58)</f>
        <v>86.5</v>
      </c>
      <c r="R59" s="547">
        <f t="shared" si="17"/>
        <v>88</v>
      </c>
      <c r="S59" s="547">
        <f t="shared" si="17"/>
        <v>953.5</v>
      </c>
      <c r="T59" s="549">
        <f t="shared" si="17"/>
        <v>73.34615384615384</v>
      </c>
      <c r="U59" s="550">
        <v>4</v>
      </c>
      <c r="V59" s="555"/>
      <c r="W59" s="556"/>
    </row>
    <row r="60" spans="1:23" ht="36.75" thickBot="1" x14ac:dyDescent="0.6">
      <c r="A60" s="845">
        <v>19</v>
      </c>
      <c r="B60" s="832"/>
      <c r="C60" s="830">
        <v>15</v>
      </c>
      <c r="D60" s="827" t="s">
        <v>17</v>
      </c>
      <c r="E60" s="546" t="s">
        <v>18</v>
      </c>
      <c r="F60" s="547">
        <v>80</v>
      </c>
      <c r="G60" s="547">
        <v>86</v>
      </c>
      <c r="H60" s="547">
        <v>87</v>
      </c>
      <c r="I60" s="547">
        <v>63</v>
      </c>
      <c r="J60" s="547">
        <v>66</v>
      </c>
      <c r="K60" s="547">
        <v>85</v>
      </c>
      <c r="L60" s="547">
        <v>78</v>
      </c>
      <c r="M60" s="547">
        <v>69</v>
      </c>
      <c r="N60" s="547">
        <v>74</v>
      </c>
      <c r="O60" s="547">
        <v>85</v>
      </c>
      <c r="P60" s="547">
        <v>88</v>
      </c>
      <c r="Q60" s="547">
        <v>93</v>
      </c>
      <c r="R60" s="547">
        <v>92</v>
      </c>
      <c r="S60" s="547">
        <v>1046</v>
      </c>
      <c r="T60" s="549">
        <v>80.461538461538467</v>
      </c>
      <c r="U60" s="550">
        <v>18</v>
      </c>
      <c r="V60" s="557"/>
      <c r="W60" s="558"/>
    </row>
    <row r="61" spans="1:23" ht="36.75" thickBot="1" x14ac:dyDescent="0.6">
      <c r="A61" s="845"/>
      <c r="B61" s="832"/>
      <c r="C61" s="830">
        <v>15</v>
      </c>
      <c r="D61" s="828"/>
      <c r="E61" s="546" t="s">
        <v>19</v>
      </c>
      <c r="F61" s="547">
        <v>81</v>
      </c>
      <c r="G61" s="547">
        <v>80</v>
      </c>
      <c r="H61" s="547">
        <v>69</v>
      </c>
      <c r="I61" s="547">
        <v>66</v>
      </c>
      <c r="J61" s="547">
        <v>67</v>
      </c>
      <c r="K61" s="547">
        <v>58</v>
      </c>
      <c r="L61" s="547">
        <v>71</v>
      </c>
      <c r="M61" s="547">
        <v>72</v>
      </c>
      <c r="N61" s="547">
        <v>57</v>
      </c>
      <c r="O61" s="547">
        <v>84</v>
      </c>
      <c r="P61" s="547">
        <v>76</v>
      </c>
      <c r="Q61" s="547">
        <v>83</v>
      </c>
      <c r="R61" s="547">
        <v>86</v>
      </c>
      <c r="S61" s="547">
        <v>950</v>
      </c>
      <c r="T61" s="549">
        <v>73.07692307692308</v>
      </c>
      <c r="U61" s="550">
        <v>26</v>
      </c>
      <c r="V61" s="557"/>
      <c r="W61" s="558"/>
    </row>
    <row r="62" spans="1:23" ht="36.75" thickBot="1" x14ac:dyDescent="0.6">
      <c r="A62" s="845"/>
      <c r="B62" s="832"/>
      <c r="C62" s="830">
        <v>15</v>
      </c>
      <c r="D62" s="829"/>
      <c r="E62" s="546" t="s">
        <v>13</v>
      </c>
      <c r="F62" s="547">
        <f>AVERAGE(F60:F61)</f>
        <v>80.5</v>
      </c>
      <c r="G62" s="547">
        <f t="shared" ref="G62:T62" si="18">AVERAGE(G60:G61)</f>
        <v>83</v>
      </c>
      <c r="H62" s="547">
        <f t="shared" si="18"/>
        <v>78</v>
      </c>
      <c r="I62" s="547">
        <f t="shared" si="18"/>
        <v>64.5</v>
      </c>
      <c r="J62" s="547">
        <f t="shared" si="18"/>
        <v>66.5</v>
      </c>
      <c r="K62" s="547">
        <f t="shared" si="18"/>
        <v>71.5</v>
      </c>
      <c r="L62" s="547">
        <f t="shared" si="18"/>
        <v>74.5</v>
      </c>
      <c r="M62" s="547">
        <v>70.5</v>
      </c>
      <c r="N62" s="547">
        <v>65.5</v>
      </c>
      <c r="O62" s="547">
        <f t="shared" si="18"/>
        <v>84.5</v>
      </c>
      <c r="P62" s="547">
        <f t="shared" si="18"/>
        <v>82</v>
      </c>
      <c r="Q62" s="547">
        <f>AVERAGE(Q60:Q61)</f>
        <v>88</v>
      </c>
      <c r="R62" s="547">
        <f t="shared" si="18"/>
        <v>89</v>
      </c>
      <c r="S62" s="547">
        <f t="shared" si="18"/>
        <v>998</v>
      </c>
      <c r="T62" s="549">
        <f t="shared" si="18"/>
        <v>76.769230769230774</v>
      </c>
      <c r="U62" s="550">
        <v>27</v>
      </c>
      <c r="V62" s="555"/>
      <c r="W62" s="556"/>
    </row>
    <row r="63" spans="1:23" ht="36.75" thickBot="1" x14ac:dyDescent="0.6">
      <c r="A63" s="845">
        <v>20</v>
      </c>
      <c r="B63" s="832"/>
      <c r="C63" s="830">
        <v>15</v>
      </c>
      <c r="D63" s="827" t="s">
        <v>20</v>
      </c>
      <c r="E63" s="546" t="s">
        <v>18</v>
      </c>
      <c r="F63" s="547">
        <v>98</v>
      </c>
      <c r="G63" s="547">
        <v>87</v>
      </c>
      <c r="H63" s="547">
        <v>94</v>
      </c>
      <c r="I63" s="547">
        <v>90</v>
      </c>
      <c r="J63" s="547">
        <v>90</v>
      </c>
      <c r="K63" s="547">
        <v>97</v>
      </c>
      <c r="L63" s="547">
        <v>92</v>
      </c>
      <c r="M63" s="547">
        <v>95</v>
      </c>
      <c r="N63" s="547">
        <v>90</v>
      </c>
      <c r="O63" s="547">
        <v>96</v>
      </c>
      <c r="P63" s="547">
        <v>94</v>
      </c>
      <c r="Q63" s="547">
        <v>98</v>
      </c>
      <c r="R63" s="547">
        <v>94</v>
      </c>
      <c r="S63" s="547">
        <v>1215</v>
      </c>
      <c r="T63" s="549">
        <v>93.461538461538467</v>
      </c>
      <c r="U63" s="550">
        <v>5</v>
      </c>
      <c r="V63" s="557"/>
      <c r="W63" s="558"/>
    </row>
    <row r="64" spans="1:23" ht="36.75" thickBot="1" x14ac:dyDescent="0.6">
      <c r="A64" s="845"/>
      <c r="B64" s="832"/>
      <c r="C64" s="830">
        <v>14</v>
      </c>
      <c r="D64" s="828"/>
      <c r="E64" s="546" t="s">
        <v>19</v>
      </c>
      <c r="F64" s="547">
        <v>97</v>
      </c>
      <c r="G64" s="547">
        <v>87</v>
      </c>
      <c r="H64" s="547">
        <v>93</v>
      </c>
      <c r="I64" s="547">
        <v>88</v>
      </c>
      <c r="J64" s="547">
        <v>91</v>
      </c>
      <c r="K64" s="547">
        <v>84</v>
      </c>
      <c r="L64" s="547">
        <v>91</v>
      </c>
      <c r="M64" s="547">
        <v>95</v>
      </c>
      <c r="N64" s="547">
        <v>93</v>
      </c>
      <c r="O64" s="547">
        <v>90</v>
      </c>
      <c r="P64" s="547">
        <v>96</v>
      </c>
      <c r="Q64" s="547">
        <v>100</v>
      </c>
      <c r="R64" s="547">
        <v>99</v>
      </c>
      <c r="S64" s="547">
        <v>1204</v>
      </c>
      <c r="T64" s="549">
        <v>92.615384615384613</v>
      </c>
      <c r="U64" s="550">
        <v>7</v>
      </c>
      <c r="V64" s="557"/>
      <c r="W64" s="558"/>
    </row>
    <row r="65" spans="1:23" ht="36.75" thickBot="1" x14ac:dyDescent="0.6">
      <c r="A65" s="845"/>
      <c r="B65" s="832"/>
      <c r="C65" s="830">
        <v>16</v>
      </c>
      <c r="D65" s="829"/>
      <c r="E65" s="546" t="s">
        <v>13</v>
      </c>
      <c r="F65" s="547">
        <f>AVERAGE(F63:F64)</f>
        <v>97.5</v>
      </c>
      <c r="G65" s="547">
        <f t="shared" ref="G65:T65" si="19">AVERAGE(G63:G64)</f>
        <v>87</v>
      </c>
      <c r="H65" s="547">
        <f t="shared" si="19"/>
        <v>93.5</v>
      </c>
      <c r="I65" s="547">
        <f t="shared" si="19"/>
        <v>89</v>
      </c>
      <c r="J65" s="547">
        <f t="shared" si="19"/>
        <v>90.5</v>
      </c>
      <c r="K65" s="547">
        <f t="shared" si="19"/>
        <v>90.5</v>
      </c>
      <c r="L65" s="547">
        <f t="shared" si="19"/>
        <v>91.5</v>
      </c>
      <c r="M65" s="547">
        <v>95</v>
      </c>
      <c r="N65" s="547">
        <v>91.5</v>
      </c>
      <c r="O65" s="547">
        <f t="shared" si="19"/>
        <v>93</v>
      </c>
      <c r="P65" s="547">
        <f t="shared" si="19"/>
        <v>95</v>
      </c>
      <c r="Q65" s="547">
        <f>AVERAGE(Q63:Q64)</f>
        <v>99</v>
      </c>
      <c r="R65" s="547">
        <f t="shared" si="19"/>
        <v>96.5</v>
      </c>
      <c r="S65" s="547">
        <f t="shared" si="19"/>
        <v>1209.5</v>
      </c>
      <c r="T65" s="549">
        <f t="shared" si="19"/>
        <v>93.038461538461547</v>
      </c>
      <c r="U65" s="550">
        <v>23</v>
      </c>
      <c r="V65" s="555"/>
      <c r="W65" s="556"/>
    </row>
    <row r="66" spans="1:23" ht="36.75" thickBot="1" x14ac:dyDescent="0.6">
      <c r="A66" s="845">
        <v>21</v>
      </c>
      <c r="B66" s="832"/>
      <c r="C66" s="830">
        <v>14</v>
      </c>
      <c r="D66" s="827" t="s">
        <v>17</v>
      </c>
      <c r="E66" s="546" t="s">
        <v>18</v>
      </c>
      <c r="F66" s="547">
        <v>83</v>
      </c>
      <c r="G66" s="547">
        <v>84</v>
      </c>
      <c r="H66" s="547">
        <v>78</v>
      </c>
      <c r="I66" s="547">
        <v>69</v>
      </c>
      <c r="J66" s="547">
        <v>75</v>
      </c>
      <c r="K66" s="547">
        <v>79</v>
      </c>
      <c r="L66" s="547">
        <v>82</v>
      </c>
      <c r="M66" s="547">
        <v>83</v>
      </c>
      <c r="N66" s="547">
        <v>76</v>
      </c>
      <c r="O66" s="547">
        <v>86</v>
      </c>
      <c r="P66" s="547">
        <v>86</v>
      </c>
      <c r="Q66" s="547">
        <v>95</v>
      </c>
      <c r="R66" s="547">
        <v>81</v>
      </c>
      <c r="S66" s="547">
        <v>1057</v>
      </c>
      <c r="T66" s="549">
        <v>81.307692307692307</v>
      </c>
      <c r="U66" s="550">
        <v>17</v>
      </c>
      <c r="V66" s="557"/>
      <c r="W66" s="558"/>
    </row>
    <row r="67" spans="1:23" ht="36.75" thickBot="1" x14ac:dyDescent="0.6">
      <c r="A67" s="845"/>
      <c r="B67" s="832"/>
      <c r="C67" s="830">
        <v>15</v>
      </c>
      <c r="D67" s="828"/>
      <c r="E67" s="546" t="s">
        <v>19</v>
      </c>
      <c r="F67" s="547">
        <v>85</v>
      </c>
      <c r="G67" s="547">
        <v>87</v>
      </c>
      <c r="H67" s="547">
        <v>52</v>
      </c>
      <c r="I67" s="547">
        <v>74</v>
      </c>
      <c r="J67" s="547">
        <v>61</v>
      </c>
      <c r="K67" s="547">
        <v>72</v>
      </c>
      <c r="L67" s="547">
        <v>68</v>
      </c>
      <c r="M67" s="547">
        <v>74</v>
      </c>
      <c r="N67" s="547">
        <v>73</v>
      </c>
      <c r="O67" s="547">
        <v>84</v>
      </c>
      <c r="P67" s="547">
        <v>80</v>
      </c>
      <c r="Q67" s="547">
        <v>92</v>
      </c>
      <c r="R67" s="547">
        <v>85</v>
      </c>
      <c r="S67" s="547">
        <v>987</v>
      </c>
      <c r="T67" s="549">
        <v>75.92307692307692</v>
      </c>
      <c r="U67" s="550">
        <v>23</v>
      </c>
      <c r="V67" s="557"/>
      <c r="W67" s="558"/>
    </row>
    <row r="68" spans="1:23" ht="36.75" thickBot="1" x14ac:dyDescent="0.6">
      <c r="A68" s="845"/>
      <c r="B68" s="832"/>
      <c r="C68" s="830">
        <v>14</v>
      </c>
      <c r="D68" s="829"/>
      <c r="E68" s="546" t="s">
        <v>13</v>
      </c>
      <c r="F68" s="547">
        <f>AVERAGE(F66:F67)</f>
        <v>84</v>
      </c>
      <c r="G68" s="547">
        <f t="shared" ref="G68:T68" si="20">AVERAGE(G66:G67)</f>
        <v>85.5</v>
      </c>
      <c r="H68" s="547">
        <f t="shared" si="20"/>
        <v>65</v>
      </c>
      <c r="I68" s="547">
        <f t="shared" si="20"/>
        <v>71.5</v>
      </c>
      <c r="J68" s="547">
        <f t="shared" si="20"/>
        <v>68</v>
      </c>
      <c r="K68" s="547">
        <f t="shared" si="20"/>
        <v>75.5</v>
      </c>
      <c r="L68" s="547">
        <f t="shared" si="20"/>
        <v>75</v>
      </c>
      <c r="M68" s="547">
        <v>78.5</v>
      </c>
      <c r="N68" s="547">
        <v>74.5</v>
      </c>
      <c r="O68" s="547">
        <f t="shared" si="20"/>
        <v>85</v>
      </c>
      <c r="P68" s="547">
        <f t="shared" si="20"/>
        <v>83</v>
      </c>
      <c r="Q68" s="547">
        <f>AVERAGE(Q66:Q67)</f>
        <v>93.5</v>
      </c>
      <c r="R68" s="547">
        <f t="shared" si="20"/>
        <v>83</v>
      </c>
      <c r="S68" s="547">
        <f t="shared" si="20"/>
        <v>1022</v>
      </c>
      <c r="T68" s="549">
        <f t="shared" si="20"/>
        <v>78.615384615384613</v>
      </c>
      <c r="U68" s="550">
        <v>6</v>
      </c>
      <c r="V68" s="555"/>
      <c r="W68" s="556"/>
    </row>
    <row r="69" spans="1:23" ht="36.75" thickBot="1" x14ac:dyDescent="0.6">
      <c r="A69" s="845">
        <v>22</v>
      </c>
      <c r="B69" s="832"/>
      <c r="C69" s="830">
        <v>15</v>
      </c>
      <c r="D69" s="827" t="s">
        <v>20</v>
      </c>
      <c r="E69" s="546" t="s">
        <v>18</v>
      </c>
      <c r="F69" s="547">
        <v>75</v>
      </c>
      <c r="G69" s="547">
        <v>55</v>
      </c>
      <c r="H69" s="547">
        <v>73</v>
      </c>
      <c r="I69" s="547">
        <v>43</v>
      </c>
      <c r="J69" s="547">
        <v>56</v>
      </c>
      <c r="K69" s="547">
        <v>68</v>
      </c>
      <c r="L69" s="547">
        <v>56</v>
      </c>
      <c r="M69" s="547">
        <v>64</v>
      </c>
      <c r="N69" s="547">
        <v>67</v>
      </c>
      <c r="O69" s="547">
        <v>72</v>
      </c>
      <c r="P69" s="547">
        <v>67</v>
      </c>
      <c r="Q69" s="547">
        <v>72</v>
      </c>
      <c r="R69" s="547">
        <v>80</v>
      </c>
      <c r="S69" s="547">
        <v>848</v>
      </c>
      <c r="T69" s="549">
        <v>65.230769230769226</v>
      </c>
      <c r="U69" s="550">
        <v>38</v>
      </c>
      <c r="V69" s="557"/>
      <c r="W69" s="558"/>
    </row>
    <row r="70" spans="1:23" ht="36.75" thickBot="1" x14ac:dyDescent="0.6">
      <c r="A70" s="845"/>
      <c r="B70" s="832"/>
      <c r="C70" s="830">
        <v>15</v>
      </c>
      <c r="D70" s="828"/>
      <c r="E70" s="546" t="s">
        <v>19</v>
      </c>
      <c r="F70" s="547">
        <v>78</v>
      </c>
      <c r="G70" s="547">
        <v>52</v>
      </c>
      <c r="H70" s="547">
        <v>51</v>
      </c>
      <c r="I70" s="547">
        <v>55</v>
      </c>
      <c r="J70" s="547">
        <v>38</v>
      </c>
      <c r="K70" s="547">
        <v>40</v>
      </c>
      <c r="L70" s="547">
        <v>47</v>
      </c>
      <c r="M70" s="547">
        <v>61</v>
      </c>
      <c r="N70" s="547">
        <v>50</v>
      </c>
      <c r="O70" s="547">
        <v>90</v>
      </c>
      <c r="P70" s="547">
        <v>63</v>
      </c>
      <c r="Q70" s="547">
        <v>79</v>
      </c>
      <c r="R70" s="547">
        <v>82</v>
      </c>
      <c r="S70" s="547">
        <v>786</v>
      </c>
      <c r="T70" s="549">
        <v>60.46153846153846</v>
      </c>
      <c r="U70" s="550">
        <v>41</v>
      </c>
      <c r="V70" s="557"/>
      <c r="W70" s="558"/>
    </row>
    <row r="71" spans="1:23" ht="36.75" thickBot="1" x14ac:dyDescent="0.6">
      <c r="A71" s="845"/>
      <c r="B71" s="832"/>
      <c r="C71" s="830">
        <v>16</v>
      </c>
      <c r="D71" s="829"/>
      <c r="E71" s="546" t="s">
        <v>13</v>
      </c>
      <c r="F71" s="547">
        <f>AVERAGE(F69:F70)</f>
        <v>76.5</v>
      </c>
      <c r="G71" s="547">
        <f t="shared" ref="G71:T71" si="21">AVERAGE(G69:G70)</f>
        <v>53.5</v>
      </c>
      <c r="H71" s="547">
        <f t="shared" si="21"/>
        <v>62</v>
      </c>
      <c r="I71" s="547">
        <f t="shared" si="21"/>
        <v>49</v>
      </c>
      <c r="J71" s="547">
        <f t="shared" si="21"/>
        <v>47</v>
      </c>
      <c r="K71" s="547">
        <f t="shared" si="21"/>
        <v>54</v>
      </c>
      <c r="L71" s="547">
        <f t="shared" si="21"/>
        <v>51.5</v>
      </c>
      <c r="M71" s="547">
        <v>62.5</v>
      </c>
      <c r="N71" s="547">
        <v>58.5</v>
      </c>
      <c r="O71" s="547">
        <f t="shared" si="21"/>
        <v>81</v>
      </c>
      <c r="P71" s="547">
        <f t="shared" si="21"/>
        <v>65</v>
      </c>
      <c r="Q71" s="547">
        <f>AVERAGE(Q69:Q70)</f>
        <v>75.5</v>
      </c>
      <c r="R71" s="547">
        <f t="shared" si="21"/>
        <v>81</v>
      </c>
      <c r="S71" s="547">
        <f t="shared" si="21"/>
        <v>817</v>
      </c>
      <c r="T71" s="549">
        <f t="shared" si="21"/>
        <v>62.84615384615384</v>
      </c>
      <c r="U71" s="550">
        <v>19</v>
      </c>
      <c r="V71" s="555"/>
      <c r="W71" s="556"/>
    </row>
    <row r="72" spans="1:23" ht="36.75" thickBot="1" x14ac:dyDescent="0.6">
      <c r="A72" s="845">
        <v>23</v>
      </c>
      <c r="B72" s="833"/>
      <c r="C72" s="830">
        <v>15</v>
      </c>
      <c r="D72" s="827" t="s">
        <v>20</v>
      </c>
      <c r="E72" s="546" t="s">
        <v>18</v>
      </c>
      <c r="F72" s="547">
        <v>89</v>
      </c>
      <c r="G72" s="547">
        <v>83</v>
      </c>
      <c r="H72" s="547">
        <v>68</v>
      </c>
      <c r="I72" s="547">
        <v>69</v>
      </c>
      <c r="J72" s="547">
        <v>58</v>
      </c>
      <c r="K72" s="547">
        <v>70</v>
      </c>
      <c r="L72" s="547">
        <v>59</v>
      </c>
      <c r="M72" s="547">
        <v>60</v>
      </c>
      <c r="N72" s="547">
        <v>59</v>
      </c>
      <c r="O72" s="547">
        <v>76</v>
      </c>
      <c r="P72" s="547">
        <v>78</v>
      </c>
      <c r="Q72" s="547">
        <v>78</v>
      </c>
      <c r="R72" s="547">
        <v>75</v>
      </c>
      <c r="S72" s="547">
        <v>922</v>
      </c>
      <c r="T72" s="549">
        <v>70.92307692307692</v>
      </c>
      <c r="U72" s="550">
        <v>31</v>
      </c>
      <c r="V72" s="557"/>
      <c r="W72" s="558"/>
    </row>
    <row r="73" spans="1:23" ht="36.75" thickBot="1" x14ac:dyDescent="0.6">
      <c r="A73" s="845"/>
      <c r="B73" s="841"/>
      <c r="C73" s="830">
        <v>15</v>
      </c>
      <c r="D73" s="828"/>
      <c r="E73" s="546" t="s">
        <v>19</v>
      </c>
      <c r="F73" s="547">
        <v>85</v>
      </c>
      <c r="G73" s="547">
        <v>87</v>
      </c>
      <c r="H73" s="547">
        <v>50</v>
      </c>
      <c r="I73" s="547">
        <v>75</v>
      </c>
      <c r="J73" s="547">
        <v>57</v>
      </c>
      <c r="K73" s="547">
        <v>52</v>
      </c>
      <c r="L73" s="547">
        <v>60</v>
      </c>
      <c r="M73" s="547">
        <v>78</v>
      </c>
      <c r="N73" s="547">
        <v>55</v>
      </c>
      <c r="O73" s="547">
        <v>80</v>
      </c>
      <c r="P73" s="547">
        <v>74</v>
      </c>
      <c r="Q73" s="547">
        <v>85</v>
      </c>
      <c r="R73" s="547">
        <v>67</v>
      </c>
      <c r="S73" s="547">
        <v>905</v>
      </c>
      <c r="T73" s="549">
        <v>69.615384615384613</v>
      </c>
      <c r="U73" s="550">
        <v>33</v>
      </c>
      <c r="V73" s="557"/>
      <c r="W73" s="558"/>
    </row>
    <row r="74" spans="1:23" ht="36.75" thickBot="1" x14ac:dyDescent="0.6">
      <c r="A74" s="845"/>
      <c r="B74" s="842"/>
      <c r="C74" s="830">
        <v>14</v>
      </c>
      <c r="D74" s="829"/>
      <c r="E74" s="546" t="s">
        <v>13</v>
      </c>
      <c r="F74" s="547">
        <f>AVERAGE(F72:F73)</f>
        <v>87</v>
      </c>
      <c r="G74" s="547">
        <f t="shared" ref="G74:T74" si="22">AVERAGE(G72:G73)</f>
        <v>85</v>
      </c>
      <c r="H74" s="547">
        <f t="shared" si="22"/>
        <v>59</v>
      </c>
      <c r="I74" s="547">
        <f t="shared" si="22"/>
        <v>72</v>
      </c>
      <c r="J74" s="547">
        <f t="shared" si="22"/>
        <v>57.5</v>
      </c>
      <c r="K74" s="547">
        <f t="shared" si="22"/>
        <v>61</v>
      </c>
      <c r="L74" s="547">
        <f t="shared" si="22"/>
        <v>59.5</v>
      </c>
      <c r="M74" s="547">
        <v>69</v>
      </c>
      <c r="N74" s="547">
        <v>57</v>
      </c>
      <c r="O74" s="547">
        <f t="shared" si="22"/>
        <v>78</v>
      </c>
      <c r="P74" s="547">
        <f t="shared" si="22"/>
        <v>76</v>
      </c>
      <c r="Q74" s="547">
        <f>AVERAGE(Q72:Q73)</f>
        <v>81.5</v>
      </c>
      <c r="R74" s="547">
        <f t="shared" si="22"/>
        <v>71</v>
      </c>
      <c r="S74" s="547">
        <f t="shared" si="22"/>
        <v>913.5</v>
      </c>
      <c r="T74" s="549">
        <f t="shared" si="22"/>
        <v>70.269230769230774</v>
      </c>
      <c r="U74" s="550">
        <v>40</v>
      </c>
      <c r="V74" s="555"/>
      <c r="W74" s="556"/>
    </row>
    <row r="75" spans="1:23" ht="36.75" thickBot="1" x14ac:dyDescent="0.6">
      <c r="A75" s="845">
        <v>24</v>
      </c>
      <c r="B75" s="832"/>
      <c r="C75" s="830">
        <v>14</v>
      </c>
      <c r="D75" s="827" t="s">
        <v>20</v>
      </c>
      <c r="E75" s="546" t="s">
        <v>18</v>
      </c>
      <c r="F75" s="547">
        <v>75</v>
      </c>
      <c r="G75" s="547">
        <v>44</v>
      </c>
      <c r="H75" s="565">
        <v>71</v>
      </c>
      <c r="I75" s="565">
        <v>48</v>
      </c>
      <c r="J75" s="565">
        <v>54</v>
      </c>
      <c r="K75" s="547">
        <v>44</v>
      </c>
      <c r="L75" s="565">
        <v>44</v>
      </c>
      <c r="M75" s="547">
        <v>45</v>
      </c>
      <c r="N75" s="547">
        <v>47</v>
      </c>
      <c r="O75" s="547">
        <v>52</v>
      </c>
      <c r="P75" s="547">
        <v>65</v>
      </c>
      <c r="Q75" s="547">
        <v>49</v>
      </c>
      <c r="R75" s="547">
        <v>66</v>
      </c>
      <c r="S75" s="547">
        <v>704</v>
      </c>
      <c r="T75" s="549">
        <v>54.153846153846153</v>
      </c>
      <c r="U75" s="550">
        <v>45</v>
      </c>
      <c r="V75" s="557"/>
      <c r="W75" s="558"/>
    </row>
    <row r="76" spans="1:23" ht="36.75" thickBot="1" x14ac:dyDescent="0.6">
      <c r="A76" s="845"/>
      <c r="B76" s="832"/>
      <c r="C76" s="830">
        <v>14</v>
      </c>
      <c r="D76" s="828"/>
      <c r="E76" s="546" t="s">
        <v>19</v>
      </c>
      <c r="F76" s="547">
        <v>73</v>
      </c>
      <c r="G76" s="547">
        <v>44</v>
      </c>
      <c r="H76" s="565">
        <v>54</v>
      </c>
      <c r="I76" s="565">
        <v>58</v>
      </c>
      <c r="J76" s="565">
        <v>54</v>
      </c>
      <c r="K76" s="547">
        <v>51</v>
      </c>
      <c r="L76" s="565">
        <v>42</v>
      </c>
      <c r="M76" s="547">
        <v>42</v>
      </c>
      <c r="N76" s="547">
        <v>42</v>
      </c>
      <c r="O76" s="547">
        <v>55</v>
      </c>
      <c r="P76" s="547">
        <v>59</v>
      </c>
      <c r="Q76" s="547">
        <v>71</v>
      </c>
      <c r="R76" s="547">
        <v>77</v>
      </c>
      <c r="S76" s="547">
        <v>722</v>
      </c>
      <c r="T76" s="549">
        <v>55.53846153846154</v>
      </c>
      <c r="U76" s="550">
        <v>47</v>
      </c>
      <c r="V76" s="557"/>
      <c r="W76" s="558"/>
    </row>
    <row r="77" spans="1:23" ht="36.75" thickBot="1" x14ac:dyDescent="0.6">
      <c r="A77" s="845"/>
      <c r="B77" s="832"/>
      <c r="C77" s="830">
        <v>16</v>
      </c>
      <c r="D77" s="829"/>
      <c r="E77" s="546" t="s">
        <v>13</v>
      </c>
      <c r="F77" s="547">
        <f>AVERAGE(F75:F76)</f>
        <v>74</v>
      </c>
      <c r="G77" s="547">
        <f t="shared" ref="G77:T77" si="23">AVERAGE(G75:G76)</f>
        <v>44</v>
      </c>
      <c r="H77" s="547">
        <f t="shared" si="23"/>
        <v>62.5</v>
      </c>
      <c r="I77" s="547">
        <f t="shared" si="23"/>
        <v>53</v>
      </c>
      <c r="J77" s="547">
        <f t="shared" si="23"/>
        <v>54</v>
      </c>
      <c r="K77" s="547">
        <f t="shared" si="23"/>
        <v>47.5</v>
      </c>
      <c r="L77" s="547">
        <f t="shared" si="23"/>
        <v>43</v>
      </c>
      <c r="M77" s="547">
        <v>43.5</v>
      </c>
      <c r="N77" s="547">
        <v>44.5</v>
      </c>
      <c r="O77" s="547">
        <f t="shared" si="23"/>
        <v>53.5</v>
      </c>
      <c r="P77" s="547">
        <f t="shared" si="23"/>
        <v>62</v>
      </c>
      <c r="Q77" s="547">
        <f>AVERAGE(Q75:Q76)</f>
        <v>60</v>
      </c>
      <c r="R77" s="547">
        <f t="shared" si="23"/>
        <v>71.5</v>
      </c>
      <c r="S77" s="547">
        <f t="shared" si="23"/>
        <v>713</v>
      </c>
      <c r="T77" s="549">
        <f t="shared" si="23"/>
        <v>54.846153846153847</v>
      </c>
      <c r="U77" s="550">
        <v>30</v>
      </c>
      <c r="V77" s="555"/>
      <c r="W77" s="556"/>
    </row>
    <row r="78" spans="1:23" ht="36.75" thickBot="1" x14ac:dyDescent="0.6">
      <c r="A78" s="845">
        <v>25</v>
      </c>
      <c r="B78" s="832"/>
      <c r="C78" s="830">
        <v>15</v>
      </c>
      <c r="D78" s="827" t="s">
        <v>20</v>
      </c>
      <c r="E78" s="546" t="s">
        <v>18</v>
      </c>
      <c r="F78" s="547">
        <v>98</v>
      </c>
      <c r="G78" s="565">
        <v>97</v>
      </c>
      <c r="H78" s="565">
        <v>100</v>
      </c>
      <c r="I78" s="565">
        <v>91</v>
      </c>
      <c r="J78" s="547">
        <v>96</v>
      </c>
      <c r="K78" s="565">
        <v>100</v>
      </c>
      <c r="L78" s="547">
        <v>95</v>
      </c>
      <c r="M78" s="547">
        <v>100</v>
      </c>
      <c r="N78" s="547">
        <v>98</v>
      </c>
      <c r="O78" s="547">
        <v>98</v>
      </c>
      <c r="P78" s="547">
        <v>100</v>
      </c>
      <c r="Q78" s="547">
        <v>98</v>
      </c>
      <c r="R78" s="547">
        <v>100</v>
      </c>
      <c r="S78" s="547">
        <v>1271</v>
      </c>
      <c r="T78" s="549">
        <v>97.769230769230774</v>
      </c>
      <c r="U78" s="550">
        <v>2</v>
      </c>
      <c r="V78" s="557"/>
      <c r="W78" s="558"/>
    </row>
    <row r="79" spans="1:23" ht="36.75" thickBot="1" x14ac:dyDescent="0.6">
      <c r="A79" s="845"/>
      <c r="B79" s="832"/>
      <c r="C79" s="830">
        <v>16</v>
      </c>
      <c r="D79" s="828"/>
      <c r="E79" s="546" t="s">
        <v>19</v>
      </c>
      <c r="F79" s="547">
        <v>98</v>
      </c>
      <c r="G79" s="565">
        <v>93</v>
      </c>
      <c r="H79" s="565">
        <v>94</v>
      </c>
      <c r="I79" s="565">
        <v>97</v>
      </c>
      <c r="J79" s="547">
        <v>100</v>
      </c>
      <c r="K79" s="565">
        <v>100</v>
      </c>
      <c r="L79" s="547">
        <v>98</v>
      </c>
      <c r="M79" s="547">
        <v>96</v>
      </c>
      <c r="N79" s="547">
        <v>100</v>
      </c>
      <c r="O79" s="547">
        <v>98</v>
      </c>
      <c r="P79" s="547">
        <v>99</v>
      </c>
      <c r="Q79" s="547">
        <v>100</v>
      </c>
      <c r="R79" s="547">
        <v>100</v>
      </c>
      <c r="S79" s="547">
        <v>1273</v>
      </c>
      <c r="T79" s="549">
        <v>97.92307692307692</v>
      </c>
      <c r="U79" s="550">
        <v>2</v>
      </c>
      <c r="V79" s="557"/>
      <c r="W79" s="558"/>
    </row>
    <row r="80" spans="1:23" ht="36.75" thickBot="1" x14ac:dyDescent="0.6">
      <c r="A80" s="845"/>
      <c r="B80" s="832"/>
      <c r="C80" s="830">
        <v>15</v>
      </c>
      <c r="D80" s="829"/>
      <c r="E80" s="546" t="s">
        <v>13</v>
      </c>
      <c r="F80" s="547">
        <f>AVERAGE(F78:F79)</f>
        <v>98</v>
      </c>
      <c r="G80" s="547">
        <f t="shared" ref="G80:R80" si="24">AVERAGE(G78:G79)</f>
        <v>95</v>
      </c>
      <c r="H80" s="547">
        <f t="shared" si="24"/>
        <v>97</v>
      </c>
      <c r="I80" s="547">
        <f t="shared" si="24"/>
        <v>94</v>
      </c>
      <c r="J80" s="547">
        <f t="shared" si="24"/>
        <v>98</v>
      </c>
      <c r="K80" s="547">
        <f t="shared" si="24"/>
        <v>100</v>
      </c>
      <c r="L80" s="547">
        <f t="shared" si="24"/>
        <v>96.5</v>
      </c>
      <c r="M80" s="547">
        <v>98</v>
      </c>
      <c r="N80" s="547">
        <v>99</v>
      </c>
      <c r="O80" s="547">
        <f t="shared" si="24"/>
        <v>98</v>
      </c>
      <c r="P80" s="547">
        <f t="shared" si="24"/>
        <v>99.5</v>
      </c>
      <c r="Q80" s="547">
        <f>AVERAGE(Q78:Q79)</f>
        <v>99</v>
      </c>
      <c r="R80" s="547">
        <f t="shared" si="24"/>
        <v>100</v>
      </c>
      <c r="S80" s="547">
        <f>AVERAGE(S78:S79)</f>
        <v>1272</v>
      </c>
      <c r="T80" s="549">
        <f t="shared" ref="T80" si="25">AVERAGE(T78:T79)</f>
        <v>97.84615384615384</v>
      </c>
      <c r="U80" s="550">
        <v>48</v>
      </c>
      <c r="V80" s="555"/>
      <c r="W80" s="556"/>
    </row>
    <row r="81" spans="1:23" ht="36.75" thickBot="1" x14ac:dyDescent="0.6">
      <c r="A81" s="845">
        <v>26</v>
      </c>
      <c r="B81" s="832"/>
      <c r="C81" s="830">
        <v>15</v>
      </c>
      <c r="D81" s="827" t="s">
        <v>20</v>
      </c>
      <c r="E81" s="546" t="s">
        <v>18</v>
      </c>
      <c r="F81" s="547">
        <v>86</v>
      </c>
      <c r="G81" s="547">
        <v>86</v>
      </c>
      <c r="H81" s="547">
        <v>100</v>
      </c>
      <c r="I81" s="547">
        <v>83</v>
      </c>
      <c r="J81" s="547">
        <v>73</v>
      </c>
      <c r="K81" s="547">
        <v>84</v>
      </c>
      <c r="L81" s="547">
        <v>75</v>
      </c>
      <c r="M81" s="547">
        <v>88</v>
      </c>
      <c r="N81" s="547">
        <v>80</v>
      </c>
      <c r="O81" s="547">
        <v>90</v>
      </c>
      <c r="P81" s="547">
        <v>96</v>
      </c>
      <c r="Q81" s="547">
        <v>95</v>
      </c>
      <c r="R81" s="547">
        <v>82</v>
      </c>
      <c r="S81" s="547">
        <v>1118</v>
      </c>
      <c r="T81" s="549">
        <v>86</v>
      </c>
      <c r="U81" s="550">
        <v>11</v>
      </c>
      <c r="V81" s="557"/>
      <c r="W81" s="558"/>
    </row>
    <row r="82" spans="1:23" ht="36.75" thickBot="1" x14ac:dyDescent="0.6">
      <c r="A82" s="845"/>
      <c r="B82" s="832"/>
      <c r="C82" s="830">
        <v>15</v>
      </c>
      <c r="D82" s="828"/>
      <c r="E82" s="546" t="s">
        <v>19</v>
      </c>
      <c r="F82" s="547">
        <v>93</v>
      </c>
      <c r="G82" s="547">
        <v>82</v>
      </c>
      <c r="H82" s="547">
        <v>100</v>
      </c>
      <c r="I82" s="547">
        <v>85</v>
      </c>
      <c r="J82" s="547">
        <v>84</v>
      </c>
      <c r="K82" s="547">
        <v>79</v>
      </c>
      <c r="L82" s="547">
        <v>74</v>
      </c>
      <c r="M82" s="547">
        <v>92</v>
      </c>
      <c r="N82" s="547">
        <v>84</v>
      </c>
      <c r="O82" s="547">
        <v>88</v>
      </c>
      <c r="P82" s="547">
        <v>91</v>
      </c>
      <c r="Q82" s="547">
        <v>97</v>
      </c>
      <c r="R82" s="547">
        <v>92</v>
      </c>
      <c r="S82" s="547">
        <v>1141</v>
      </c>
      <c r="T82" s="549">
        <v>87.769230769230774</v>
      </c>
      <c r="U82" s="550">
        <v>9</v>
      </c>
      <c r="V82" s="557"/>
      <c r="W82" s="558"/>
    </row>
    <row r="83" spans="1:23" ht="36.75" thickBot="1" x14ac:dyDescent="0.6">
      <c r="A83" s="845"/>
      <c r="B83" s="832"/>
      <c r="C83" s="830">
        <v>15</v>
      </c>
      <c r="D83" s="829"/>
      <c r="E83" s="546" t="s">
        <v>13</v>
      </c>
      <c r="F83" s="547">
        <f>AVERAGE(F81:F82)</f>
        <v>89.5</v>
      </c>
      <c r="G83" s="547">
        <f t="shared" ref="G83:T83" si="26">AVERAGE(G81:G82)</f>
        <v>84</v>
      </c>
      <c r="H83" s="547">
        <f t="shared" si="26"/>
        <v>100</v>
      </c>
      <c r="I83" s="547">
        <f t="shared" si="26"/>
        <v>84</v>
      </c>
      <c r="J83" s="547">
        <f t="shared" si="26"/>
        <v>78.5</v>
      </c>
      <c r="K83" s="547">
        <f t="shared" si="26"/>
        <v>81.5</v>
      </c>
      <c r="L83" s="547">
        <f t="shared" si="26"/>
        <v>74.5</v>
      </c>
      <c r="M83" s="547">
        <v>90</v>
      </c>
      <c r="N83" s="547">
        <v>82</v>
      </c>
      <c r="O83" s="547">
        <f t="shared" si="26"/>
        <v>89</v>
      </c>
      <c r="P83" s="547">
        <f t="shared" si="26"/>
        <v>93.5</v>
      </c>
      <c r="Q83" s="547">
        <f>AVERAGE(Q81:Q82)</f>
        <v>96</v>
      </c>
      <c r="R83" s="547">
        <f t="shared" si="26"/>
        <v>87</v>
      </c>
      <c r="S83" s="547">
        <f t="shared" si="26"/>
        <v>1129.5</v>
      </c>
      <c r="T83" s="549">
        <f t="shared" si="26"/>
        <v>86.884615384615387</v>
      </c>
      <c r="U83" s="550">
        <v>2</v>
      </c>
      <c r="V83" s="555"/>
      <c r="W83" s="556"/>
    </row>
    <row r="84" spans="1:23" ht="36.75" thickBot="1" x14ac:dyDescent="0.6">
      <c r="A84" s="845">
        <v>27</v>
      </c>
      <c r="B84" s="832"/>
      <c r="C84" s="830">
        <v>13</v>
      </c>
      <c r="D84" s="827" t="s">
        <v>20</v>
      </c>
      <c r="E84" s="546" t="s">
        <v>18</v>
      </c>
      <c r="F84" s="547">
        <v>88</v>
      </c>
      <c r="G84" s="547">
        <v>84</v>
      </c>
      <c r="H84" s="565">
        <v>91</v>
      </c>
      <c r="I84" s="565">
        <v>72</v>
      </c>
      <c r="J84" s="547">
        <v>66</v>
      </c>
      <c r="K84" s="547">
        <v>77</v>
      </c>
      <c r="L84" s="547">
        <v>81</v>
      </c>
      <c r="M84" s="547">
        <v>77</v>
      </c>
      <c r="N84" s="547">
        <v>77</v>
      </c>
      <c r="O84" s="547">
        <v>83</v>
      </c>
      <c r="P84" s="547">
        <v>85</v>
      </c>
      <c r="Q84" s="547">
        <v>95</v>
      </c>
      <c r="R84" s="547">
        <v>83</v>
      </c>
      <c r="S84" s="547">
        <v>1059</v>
      </c>
      <c r="T84" s="549">
        <v>81.461538461538467</v>
      </c>
      <c r="U84" s="550">
        <v>16</v>
      </c>
      <c r="V84" s="557"/>
      <c r="W84" s="558"/>
    </row>
    <row r="85" spans="1:23" ht="36.75" thickBot="1" x14ac:dyDescent="0.6">
      <c r="A85" s="845"/>
      <c r="B85" s="832"/>
      <c r="C85" s="830">
        <v>15</v>
      </c>
      <c r="D85" s="828"/>
      <c r="E85" s="546" t="s">
        <v>19</v>
      </c>
      <c r="F85" s="547">
        <v>92</v>
      </c>
      <c r="G85" s="547">
        <v>83</v>
      </c>
      <c r="H85" s="565">
        <v>81</v>
      </c>
      <c r="I85" s="565">
        <v>74</v>
      </c>
      <c r="J85" s="547">
        <v>83</v>
      </c>
      <c r="K85" s="547">
        <v>72</v>
      </c>
      <c r="L85" s="547">
        <v>78</v>
      </c>
      <c r="M85" s="547">
        <v>81</v>
      </c>
      <c r="N85" s="547">
        <v>80</v>
      </c>
      <c r="O85" s="547">
        <v>94</v>
      </c>
      <c r="P85" s="547">
        <v>90</v>
      </c>
      <c r="Q85" s="547">
        <v>95</v>
      </c>
      <c r="R85" s="547">
        <v>97</v>
      </c>
      <c r="S85" s="547">
        <v>1100</v>
      </c>
      <c r="T85" s="549">
        <v>84.615384615384613</v>
      </c>
      <c r="U85" s="550">
        <v>15</v>
      </c>
      <c r="V85" s="557"/>
      <c r="W85" s="558"/>
    </row>
    <row r="86" spans="1:23" ht="36.75" thickBot="1" x14ac:dyDescent="0.6">
      <c r="A86" s="845"/>
      <c r="B86" s="832"/>
      <c r="C86" s="830">
        <v>15</v>
      </c>
      <c r="D86" s="829"/>
      <c r="E86" s="546" t="s">
        <v>13</v>
      </c>
      <c r="F86" s="547">
        <f>AVERAGE(F84:F85)</f>
        <v>90</v>
      </c>
      <c r="G86" s="547">
        <f t="shared" ref="G86:T86" si="27">AVERAGE(G84:G85)</f>
        <v>83.5</v>
      </c>
      <c r="H86" s="547">
        <f t="shared" si="27"/>
        <v>86</v>
      </c>
      <c r="I86" s="547">
        <f t="shared" si="27"/>
        <v>73</v>
      </c>
      <c r="J86" s="547">
        <f t="shared" si="27"/>
        <v>74.5</v>
      </c>
      <c r="K86" s="547">
        <f t="shared" si="27"/>
        <v>74.5</v>
      </c>
      <c r="L86" s="547">
        <f t="shared" si="27"/>
        <v>79.5</v>
      </c>
      <c r="M86" s="547">
        <v>79</v>
      </c>
      <c r="N86" s="547">
        <v>78.5</v>
      </c>
      <c r="O86" s="547">
        <f t="shared" si="27"/>
        <v>88.5</v>
      </c>
      <c r="P86" s="547">
        <f t="shared" si="27"/>
        <v>87.5</v>
      </c>
      <c r="Q86" s="547">
        <f>AVERAGE(Q84:Q85)</f>
        <v>95</v>
      </c>
      <c r="R86" s="547">
        <f t="shared" si="27"/>
        <v>90</v>
      </c>
      <c r="S86" s="547">
        <f t="shared" si="27"/>
        <v>1079.5</v>
      </c>
      <c r="T86" s="549">
        <f t="shared" si="27"/>
        <v>83.038461538461547</v>
      </c>
      <c r="U86" s="550">
        <v>9</v>
      </c>
      <c r="V86" s="555"/>
      <c r="W86" s="556"/>
    </row>
    <row r="87" spans="1:23" ht="36.75" thickBot="1" x14ac:dyDescent="0.6">
      <c r="A87" s="845">
        <v>28</v>
      </c>
      <c r="B87" s="832"/>
      <c r="C87" s="830">
        <v>15</v>
      </c>
      <c r="D87" s="827" t="s">
        <v>20</v>
      </c>
      <c r="E87" s="546" t="s">
        <v>18</v>
      </c>
      <c r="F87" s="547">
        <v>91</v>
      </c>
      <c r="G87" s="547">
        <v>82</v>
      </c>
      <c r="H87" s="547">
        <v>91</v>
      </c>
      <c r="I87" s="547">
        <v>69</v>
      </c>
      <c r="J87" s="547">
        <v>62</v>
      </c>
      <c r="K87" s="547">
        <v>85</v>
      </c>
      <c r="L87" s="547">
        <v>69</v>
      </c>
      <c r="M87" s="547">
        <v>98</v>
      </c>
      <c r="N87" s="547">
        <v>74</v>
      </c>
      <c r="O87" s="547">
        <v>86</v>
      </c>
      <c r="P87" s="547">
        <v>93</v>
      </c>
      <c r="Q87" s="547">
        <v>96</v>
      </c>
      <c r="R87" s="547">
        <v>94</v>
      </c>
      <c r="S87" s="547">
        <v>1090</v>
      </c>
      <c r="T87" s="549">
        <v>83.84615384615384</v>
      </c>
      <c r="U87" s="550">
        <v>13</v>
      </c>
      <c r="V87" s="557"/>
      <c r="W87" s="558"/>
    </row>
    <row r="88" spans="1:23" ht="36.75" thickBot="1" x14ac:dyDescent="0.6">
      <c r="A88" s="845"/>
      <c r="B88" s="832"/>
      <c r="C88" s="830">
        <v>14</v>
      </c>
      <c r="D88" s="828"/>
      <c r="E88" s="546" t="s">
        <v>19</v>
      </c>
      <c r="F88" s="547">
        <v>90</v>
      </c>
      <c r="G88" s="547">
        <v>83</v>
      </c>
      <c r="H88" s="547">
        <v>80</v>
      </c>
      <c r="I88" s="547">
        <v>81</v>
      </c>
      <c r="J88" s="547">
        <v>61</v>
      </c>
      <c r="K88" s="547">
        <v>80</v>
      </c>
      <c r="L88" s="547">
        <v>72</v>
      </c>
      <c r="M88" s="547">
        <v>90</v>
      </c>
      <c r="N88" s="547">
        <v>95</v>
      </c>
      <c r="O88" s="547">
        <v>95</v>
      </c>
      <c r="P88" s="547">
        <v>95</v>
      </c>
      <c r="Q88" s="547">
        <v>91</v>
      </c>
      <c r="R88" s="547">
        <v>93</v>
      </c>
      <c r="S88" s="547">
        <v>1106</v>
      </c>
      <c r="T88" s="549">
        <v>85.07692307692308</v>
      </c>
      <c r="U88" s="550">
        <v>14</v>
      </c>
      <c r="V88" s="557"/>
      <c r="W88" s="558"/>
    </row>
    <row r="89" spans="1:23" ht="36.75" thickBot="1" x14ac:dyDescent="0.6">
      <c r="A89" s="845"/>
      <c r="B89" s="832"/>
      <c r="C89" s="830">
        <v>14</v>
      </c>
      <c r="D89" s="829"/>
      <c r="E89" s="546" t="s">
        <v>13</v>
      </c>
      <c r="F89" s="547">
        <f>AVERAGE(F87:F88)</f>
        <v>90.5</v>
      </c>
      <c r="G89" s="547">
        <f t="shared" ref="G89:T89" si="28">AVERAGE(G87:G88)</f>
        <v>82.5</v>
      </c>
      <c r="H89" s="547">
        <f t="shared" si="28"/>
        <v>85.5</v>
      </c>
      <c r="I89" s="547">
        <f t="shared" si="28"/>
        <v>75</v>
      </c>
      <c r="J89" s="547">
        <f t="shared" si="28"/>
        <v>61.5</v>
      </c>
      <c r="K89" s="547">
        <f t="shared" si="28"/>
        <v>82.5</v>
      </c>
      <c r="L89" s="547">
        <f t="shared" si="28"/>
        <v>70.5</v>
      </c>
      <c r="M89" s="547">
        <v>94</v>
      </c>
      <c r="N89" s="547">
        <v>84.5</v>
      </c>
      <c r="O89" s="547">
        <f t="shared" si="28"/>
        <v>90.5</v>
      </c>
      <c r="P89" s="547">
        <f t="shared" si="28"/>
        <v>94</v>
      </c>
      <c r="Q89" s="547">
        <f>AVERAGE(Q87:Q88)</f>
        <v>93.5</v>
      </c>
      <c r="R89" s="547">
        <f t="shared" si="28"/>
        <v>93.5</v>
      </c>
      <c r="S89" s="547">
        <f t="shared" si="28"/>
        <v>1098</v>
      </c>
      <c r="T89" s="549">
        <f t="shared" si="28"/>
        <v>84.461538461538453</v>
      </c>
      <c r="U89" s="550">
        <v>16</v>
      </c>
      <c r="V89" s="555"/>
      <c r="W89" s="556"/>
    </row>
    <row r="90" spans="1:23" ht="36.75" thickBot="1" x14ac:dyDescent="0.6">
      <c r="A90" s="845">
        <v>29</v>
      </c>
      <c r="B90" s="832"/>
      <c r="C90" s="830">
        <v>14</v>
      </c>
      <c r="D90" s="827" t="s">
        <v>20</v>
      </c>
      <c r="E90" s="546" t="s">
        <v>18</v>
      </c>
      <c r="F90" s="547">
        <v>73</v>
      </c>
      <c r="G90" s="547">
        <v>85</v>
      </c>
      <c r="H90" s="547">
        <v>84</v>
      </c>
      <c r="I90" s="547">
        <v>74</v>
      </c>
      <c r="J90" s="547">
        <v>76</v>
      </c>
      <c r="K90" s="547">
        <v>75</v>
      </c>
      <c r="L90" s="547">
        <v>79</v>
      </c>
      <c r="M90" s="547">
        <v>72</v>
      </c>
      <c r="N90" s="547">
        <v>71</v>
      </c>
      <c r="O90" s="547">
        <v>81</v>
      </c>
      <c r="P90" s="547">
        <v>82</v>
      </c>
      <c r="Q90" s="547">
        <v>87</v>
      </c>
      <c r="R90" s="547">
        <v>89</v>
      </c>
      <c r="S90" s="547">
        <v>1028</v>
      </c>
      <c r="T90" s="549">
        <v>79.07692307692308</v>
      </c>
      <c r="U90" s="550">
        <v>21</v>
      </c>
      <c r="V90" s="557"/>
      <c r="W90" s="558"/>
    </row>
    <row r="91" spans="1:23" ht="36.75" thickBot="1" x14ac:dyDescent="0.6">
      <c r="A91" s="845"/>
      <c r="B91" s="832"/>
      <c r="C91" s="830">
        <v>15</v>
      </c>
      <c r="D91" s="828"/>
      <c r="E91" s="546" t="s">
        <v>19</v>
      </c>
      <c r="F91" s="547">
        <v>81</v>
      </c>
      <c r="G91" s="547">
        <v>88</v>
      </c>
      <c r="H91" s="547">
        <v>70</v>
      </c>
      <c r="I91" s="547">
        <v>80</v>
      </c>
      <c r="J91" s="547">
        <v>67</v>
      </c>
      <c r="K91" s="547">
        <v>70</v>
      </c>
      <c r="L91" s="547">
        <v>87</v>
      </c>
      <c r="M91" s="547">
        <v>89</v>
      </c>
      <c r="N91" s="547">
        <v>76</v>
      </c>
      <c r="O91" s="547">
        <v>81</v>
      </c>
      <c r="P91" s="547">
        <v>83</v>
      </c>
      <c r="Q91" s="547">
        <v>92</v>
      </c>
      <c r="R91" s="547">
        <v>71</v>
      </c>
      <c r="S91" s="547">
        <v>1035</v>
      </c>
      <c r="T91" s="549">
        <v>79.615384615384613</v>
      </c>
      <c r="U91" s="550">
        <v>18</v>
      </c>
      <c r="V91" s="557"/>
      <c r="W91" s="558"/>
    </row>
    <row r="92" spans="1:23" ht="36.75" thickBot="1" x14ac:dyDescent="0.6">
      <c r="A92" s="845"/>
      <c r="B92" s="832"/>
      <c r="C92" s="830">
        <v>15</v>
      </c>
      <c r="D92" s="829"/>
      <c r="E92" s="546" t="s">
        <v>13</v>
      </c>
      <c r="F92" s="547">
        <f>AVERAGE(F90:F91)</f>
        <v>77</v>
      </c>
      <c r="G92" s="547">
        <f t="shared" ref="G92:T92" si="29">AVERAGE(G90:G91)</f>
        <v>86.5</v>
      </c>
      <c r="H92" s="547">
        <f t="shared" si="29"/>
        <v>77</v>
      </c>
      <c r="I92" s="547">
        <f t="shared" si="29"/>
        <v>77</v>
      </c>
      <c r="J92" s="547">
        <f t="shared" si="29"/>
        <v>71.5</v>
      </c>
      <c r="K92" s="547">
        <f t="shared" si="29"/>
        <v>72.5</v>
      </c>
      <c r="L92" s="547">
        <f t="shared" si="29"/>
        <v>83</v>
      </c>
      <c r="M92" s="547">
        <v>80.5</v>
      </c>
      <c r="N92" s="547">
        <v>73.5</v>
      </c>
      <c r="O92" s="547">
        <f t="shared" si="29"/>
        <v>81</v>
      </c>
      <c r="P92" s="547">
        <f t="shared" si="29"/>
        <v>82.5</v>
      </c>
      <c r="Q92" s="547">
        <f>AVERAGE(Q90:Q91)</f>
        <v>89.5</v>
      </c>
      <c r="R92" s="547">
        <f t="shared" si="29"/>
        <v>80</v>
      </c>
      <c r="S92" s="547">
        <f t="shared" si="29"/>
        <v>1031.5</v>
      </c>
      <c r="T92" s="549">
        <f t="shared" si="29"/>
        <v>79.34615384615384</v>
      </c>
      <c r="U92" s="550"/>
      <c r="V92" s="555"/>
      <c r="W92" s="556"/>
    </row>
    <row r="93" spans="1:23" ht="36.75" thickBot="1" x14ac:dyDescent="0.6">
      <c r="A93" s="845">
        <v>30</v>
      </c>
      <c r="B93" s="832"/>
      <c r="C93" s="830">
        <v>15</v>
      </c>
      <c r="D93" s="827" t="s">
        <v>17</v>
      </c>
      <c r="E93" s="546" t="s">
        <v>18</v>
      </c>
      <c r="F93" s="547">
        <v>68</v>
      </c>
      <c r="G93" s="565">
        <v>58</v>
      </c>
      <c r="H93" s="565">
        <v>75</v>
      </c>
      <c r="I93" s="565">
        <v>63</v>
      </c>
      <c r="J93" s="565">
        <v>51</v>
      </c>
      <c r="K93" s="547">
        <v>61</v>
      </c>
      <c r="L93" s="547">
        <v>43</v>
      </c>
      <c r="M93" s="547">
        <v>50</v>
      </c>
      <c r="N93" s="547">
        <v>59</v>
      </c>
      <c r="O93" s="547">
        <v>45</v>
      </c>
      <c r="P93" s="565">
        <v>68</v>
      </c>
      <c r="Q93" s="547">
        <v>67</v>
      </c>
      <c r="R93" s="565">
        <v>74</v>
      </c>
      <c r="S93" s="547">
        <v>782</v>
      </c>
      <c r="T93" s="549">
        <v>60.153846153846153</v>
      </c>
      <c r="U93" s="550">
        <v>41</v>
      </c>
      <c r="V93" s="557"/>
      <c r="W93" s="558"/>
    </row>
    <row r="94" spans="1:23" ht="36.75" thickBot="1" x14ac:dyDescent="0.6">
      <c r="A94" s="845"/>
      <c r="B94" s="832"/>
      <c r="C94" s="830">
        <v>16</v>
      </c>
      <c r="D94" s="828"/>
      <c r="E94" s="546" t="s">
        <v>19</v>
      </c>
      <c r="F94" s="547">
        <v>82</v>
      </c>
      <c r="G94" s="565">
        <v>43</v>
      </c>
      <c r="H94" s="565">
        <v>62</v>
      </c>
      <c r="I94" s="565">
        <v>62</v>
      </c>
      <c r="J94" s="565">
        <v>59</v>
      </c>
      <c r="K94" s="547">
        <v>50</v>
      </c>
      <c r="L94" s="547">
        <v>44</v>
      </c>
      <c r="M94" s="547">
        <v>64</v>
      </c>
      <c r="N94" s="547">
        <v>47</v>
      </c>
      <c r="O94" s="547">
        <v>65</v>
      </c>
      <c r="P94" s="565">
        <v>69</v>
      </c>
      <c r="Q94" s="547">
        <v>80</v>
      </c>
      <c r="R94" s="565">
        <v>77</v>
      </c>
      <c r="S94" s="547">
        <v>804</v>
      </c>
      <c r="T94" s="549">
        <v>61.846153846153847</v>
      </c>
      <c r="U94" s="550">
        <v>40</v>
      </c>
      <c r="V94" s="557"/>
      <c r="W94" s="558"/>
    </row>
    <row r="95" spans="1:23" ht="36.75" thickBot="1" x14ac:dyDescent="0.6">
      <c r="A95" s="845"/>
      <c r="B95" s="832"/>
      <c r="C95" s="830">
        <v>15</v>
      </c>
      <c r="D95" s="829"/>
      <c r="E95" s="546" t="s">
        <v>13</v>
      </c>
      <c r="F95" s="547">
        <f>AVERAGE(F93:F94)</f>
        <v>75</v>
      </c>
      <c r="G95" s="547">
        <f t="shared" ref="G95:T95" si="30">AVERAGE(G93:G94)</f>
        <v>50.5</v>
      </c>
      <c r="H95" s="547">
        <f t="shared" si="30"/>
        <v>68.5</v>
      </c>
      <c r="I95" s="547">
        <f t="shared" si="30"/>
        <v>62.5</v>
      </c>
      <c r="J95" s="547">
        <f t="shared" si="30"/>
        <v>55</v>
      </c>
      <c r="K95" s="547">
        <f t="shared" si="30"/>
        <v>55.5</v>
      </c>
      <c r="L95" s="547">
        <f t="shared" si="30"/>
        <v>43.5</v>
      </c>
      <c r="M95" s="547">
        <v>57</v>
      </c>
      <c r="N95" s="547">
        <v>53</v>
      </c>
      <c r="O95" s="547">
        <f t="shared" si="30"/>
        <v>55</v>
      </c>
      <c r="P95" s="547">
        <f t="shared" si="30"/>
        <v>68.5</v>
      </c>
      <c r="Q95" s="547">
        <f>AVERAGE(Q93:Q94)</f>
        <v>73.5</v>
      </c>
      <c r="R95" s="547">
        <f t="shared" si="30"/>
        <v>75.5</v>
      </c>
      <c r="S95" s="547">
        <f t="shared" si="30"/>
        <v>793</v>
      </c>
      <c r="T95" s="549">
        <f t="shared" si="30"/>
        <v>61</v>
      </c>
      <c r="U95" s="550"/>
      <c r="V95" s="555"/>
      <c r="W95" s="556"/>
    </row>
    <row r="96" spans="1:23" ht="36.75" thickBot="1" x14ac:dyDescent="0.6">
      <c r="A96" s="845">
        <v>31</v>
      </c>
      <c r="B96" s="832"/>
      <c r="C96" s="830">
        <v>15</v>
      </c>
      <c r="D96" s="827" t="s">
        <v>20</v>
      </c>
      <c r="E96" s="546" t="s">
        <v>18</v>
      </c>
      <c r="F96" s="547">
        <v>94</v>
      </c>
      <c r="G96" s="547">
        <v>95</v>
      </c>
      <c r="H96" s="565">
        <v>96</v>
      </c>
      <c r="I96" s="565">
        <v>65</v>
      </c>
      <c r="J96" s="547">
        <v>74</v>
      </c>
      <c r="K96" s="547">
        <v>88</v>
      </c>
      <c r="L96" s="547">
        <v>89</v>
      </c>
      <c r="M96" s="565">
        <v>88</v>
      </c>
      <c r="N96" s="547">
        <v>73</v>
      </c>
      <c r="O96" s="547">
        <v>87</v>
      </c>
      <c r="P96" s="547">
        <v>86</v>
      </c>
      <c r="Q96" s="547">
        <v>97</v>
      </c>
      <c r="R96" s="547">
        <v>94</v>
      </c>
      <c r="S96" s="547">
        <v>1126</v>
      </c>
      <c r="T96" s="549">
        <v>86.615384615384613</v>
      </c>
      <c r="U96" s="550">
        <v>9</v>
      </c>
      <c r="V96" s="557"/>
      <c r="W96" s="558"/>
    </row>
    <row r="97" spans="1:23" ht="36.75" thickBot="1" x14ac:dyDescent="0.6">
      <c r="A97" s="845"/>
      <c r="B97" s="832"/>
      <c r="C97" s="830">
        <v>15</v>
      </c>
      <c r="D97" s="828"/>
      <c r="E97" s="546" t="s">
        <v>19</v>
      </c>
      <c r="F97" s="547">
        <v>98</v>
      </c>
      <c r="G97" s="547">
        <v>91</v>
      </c>
      <c r="H97" s="565">
        <v>78</v>
      </c>
      <c r="I97" s="565">
        <v>77</v>
      </c>
      <c r="J97" s="547">
        <v>72</v>
      </c>
      <c r="K97" s="547">
        <v>71</v>
      </c>
      <c r="L97" s="547">
        <v>91</v>
      </c>
      <c r="M97" s="565">
        <v>76</v>
      </c>
      <c r="N97" s="547">
        <v>91</v>
      </c>
      <c r="O97" s="547">
        <v>88</v>
      </c>
      <c r="P97" s="547">
        <v>87</v>
      </c>
      <c r="Q97" s="547">
        <v>93</v>
      </c>
      <c r="R97" s="547">
        <v>96</v>
      </c>
      <c r="S97" s="547">
        <v>1109</v>
      </c>
      <c r="T97" s="549">
        <v>85.307692307692307</v>
      </c>
      <c r="U97" s="550">
        <v>13</v>
      </c>
      <c r="V97" s="557"/>
      <c r="W97" s="558"/>
    </row>
    <row r="98" spans="1:23" ht="36.75" thickBot="1" x14ac:dyDescent="0.6">
      <c r="A98" s="845"/>
      <c r="B98" s="832"/>
      <c r="C98" s="830">
        <v>15</v>
      </c>
      <c r="D98" s="829"/>
      <c r="E98" s="546" t="s">
        <v>13</v>
      </c>
      <c r="F98" s="547">
        <f>AVERAGE(F96:F97)</f>
        <v>96</v>
      </c>
      <c r="G98" s="547">
        <f t="shared" ref="G98:T98" si="31">AVERAGE(G96:G97)</f>
        <v>93</v>
      </c>
      <c r="H98" s="547">
        <f t="shared" si="31"/>
        <v>87</v>
      </c>
      <c r="I98" s="547">
        <f t="shared" si="31"/>
        <v>71</v>
      </c>
      <c r="J98" s="547">
        <f t="shared" si="31"/>
        <v>73</v>
      </c>
      <c r="K98" s="547">
        <f t="shared" si="31"/>
        <v>79.5</v>
      </c>
      <c r="L98" s="547">
        <f t="shared" si="31"/>
        <v>90</v>
      </c>
      <c r="M98" s="547">
        <v>82</v>
      </c>
      <c r="N98" s="547">
        <v>82</v>
      </c>
      <c r="O98" s="547">
        <f t="shared" si="31"/>
        <v>87.5</v>
      </c>
      <c r="P98" s="547">
        <f t="shared" si="31"/>
        <v>86.5</v>
      </c>
      <c r="Q98" s="547">
        <f>AVERAGE(Q96:Q97)</f>
        <v>95</v>
      </c>
      <c r="R98" s="547">
        <f t="shared" si="31"/>
        <v>95</v>
      </c>
      <c r="S98" s="547">
        <f t="shared" si="31"/>
        <v>1117.5</v>
      </c>
      <c r="T98" s="549">
        <f t="shared" si="31"/>
        <v>85.961538461538453</v>
      </c>
      <c r="U98" s="550"/>
      <c r="V98" s="555"/>
      <c r="W98" s="556"/>
    </row>
    <row r="99" spans="1:23" ht="36.75" thickBot="1" x14ac:dyDescent="0.6">
      <c r="A99" s="845">
        <v>32</v>
      </c>
      <c r="B99" s="832"/>
      <c r="C99" s="830">
        <v>15</v>
      </c>
      <c r="D99" s="827" t="s">
        <v>20</v>
      </c>
      <c r="E99" s="546" t="s">
        <v>18</v>
      </c>
      <c r="F99" s="547">
        <v>89</v>
      </c>
      <c r="G99" s="547">
        <v>57</v>
      </c>
      <c r="H99" s="547">
        <v>95</v>
      </c>
      <c r="I99" s="547">
        <v>68</v>
      </c>
      <c r="J99" s="547">
        <v>59</v>
      </c>
      <c r="K99" s="547">
        <v>74</v>
      </c>
      <c r="L99" s="547">
        <v>54</v>
      </c>
      <c r="M99" s="547">
        <v>62</v>
      </c>
      <c r="N99" s="547">
        <v>65</v>
      </c>
      <c r="O99" s="547">
        <v>70</v>
      </c>
      <c r="P99" s="547">
        <v>79</v>
      </c>
      <c r="Q99" s="547">
        <v>80</v>
      </c>
      <c r="R99" s="547">
        <v>75</v>
      </c>
      <c r="S99" s="547">
        <v>927</v>
      </c>
      <c r="T99" s="549">
        <v>71.307692307692307</v>
      </c>
      <c r="U99" s="550">
        <v>29</v>
      </c>
      <c r="V99" s="557"/>
      <c r="W99" s="558"/>
    </row>
    <row r="100" spans="1:23" ht="36.75" thickBot="1" x14ac:dyDescent="0.6">
      <c r="A100" s="845"/>
      <c r="B100" s="832"/>
      <c r="C100" s="830">
        <v>15</v>
      </c>
      <c r="D100" s="828"/>
      <c r="E100" s="546" t="s">
        <v>19</v>
      </c>
      <c r="F100" s="547">
        <v>89</v>
      </c>
      <c r="G100" s="547">
        <v>59</v>
      </c>
      <c r="H100" s="547">
        <v>92</v>
      </c>
      <c r="I100" s="547">
        <v>70</v>
      </c>
      <c r="J100" s="547">
        <v>61</v>
      </c>
      <c r="K100" s="547">
        <v>53</v>
      </c>
      <c r="L100" s="547">
        <v>51</v>
      </c>
      <c r="M100" s="547">
        <v>56</v>
      </c>
      <c r="N100" s="547">
        <v>56</v>
      </c>
      <c r="O100" s="547">
        <v>69</v>
      </c>
      <c r="P100" s="547">
        <v>84</v>
      </c>
      <c r="Q100" s="547">
        <v>85</v>
      </c>
      <c r="R100" s="547">
        <v>94</v>
      </c>
      <c r="S100" s="547">
        <v>919</v>
      </c>
      <c r="T100" s="549">
        <v>70.692307692307693</v>
      </c>
      <c r="U100" s="550">
        <v>31</v>
      </c>
      <c r="V100" s="557"/>
      <c r="W100" s="558"/>
    </row>
    <row r="101" spans="1:23" ht="36.75" thickBot="1" x14ac:dyDescent="0.6">
      <c r="A101" s="845"/>
      <c r="B101" s="832"/>
      <c r="C101" s="830">
        <v>14</v>
      </c>
      <c r="D101" s="829"/>
      <c r="E101" s="546" t="s">
        <v>13</v>
      </c>
      <c r="F101" s="547">
        <f>AVERAGE(F99:F100)</f>
        <v>89</v>
      </c>
      <c r="G101" s="547">
        <f t="shared" ref="G101:T101" si="32">AVERAGE(G99:G100)</f>
        <v>58</v>
      </c>
      <c r="H101" s="547">
        <f t="shared" si="32"/>
        <v>93.5</v>
      </c>
      <c r="I101" s="547">
        <f t="shared" si="32"/>
        <v>69</v>
      </c>
      <c r="J101" s="547">
        <f t="shared" si="32"/>
        <v>60</v>
      </c>
      <c r="K101" s="547">
        <f t="shared" si="32"/>
        <v>63.5</v>
      </c>
      <c r="L101" s="547">
        <f t="shared" si="32"/>
        <v>52.5</v>
      </c>
      <c r="M101" s="547">
        <v>59</v>
      </c>
      <c r="N101" s="547">
        <v>60.5</v>
      </c>
      <c r="O101" s="547">
        <f t="shared" si="32"/>
        <v>69.5</v>
      </c>
      <c r="P101" s="547">
        <f t="shared" si="32"/>
        <v>81.5</v>
      </c>
      <c r="Q101" s="547">
        <f>AVERAGE(Q99:Q100)</f>
        <v>82.5</v>
      </c>
      <c r="R101" s="547">
        <f t="shared" si="32"/>
        <v>84.5</v>
      </c>
      <c r="S101" s="547">
        <f t="shared" si="32"/>
        <v>923</v>
      </c>
      <c r="T101" s="549">
        <f t="shared" si="32"/>
        <v>71</v>
      </c>
      <c r="U101" s="550"/>
      <c r="V101" s="555"/>
      <c r="W101" s="556"/>
    </row>
    <row r="102" spans="1:23" ht="36.75" thickBot="1" x14ac:dyDescent="0.6">
      <c r="A102" s="845">
        <v>33</v>
      </c>
      <c r="B102" s="832"/>
      <c r="C102" s="830">
        <v>15</v>
      </c>
      <c r="D102" s="827" t="s">
        <v>20</v>
      </c>
      <c r="E102" s="546" t="s">
        <v>18</v>
      </c>
      <c r="F102" s="547">
        <v>94</v>
      </c>
      <c r="G102" s="547">
        <v>93</v>
      </c>
      <c r="H102" s="565">
        <v>94</v>
      </c>
      <c r="I102" s="565">
        <v>85</v>
      </c>
      <c r="J102" s="547">
        <v>85</v>
      </c>
      <c r="K102" s="547">
        <v>100</v>
      </c>
      <c r="L102" s="547">
        <v>96</v>
      </c>
      <c r="M102" s="547">
        <v>96</v>
      </c>
      <c r="N102" s="547">
        <v>88</v>
      </c>
      <c r="O102" s="547">
        <v>92</v>
      </c>
      <c r="P102" s="547">
        <v>94</v>
      </c>
      <c r="Q102" s="547">
        <v>97</v>
      </c>
      <c r="R102" s="547">
        <v>98</v>
      </c>
      <c r="S102" s="547">
        <v>1212</v>
      </c>
      <c r="T102" s="549">
        <v>93.230769230769226</v>
      </c>
      <c r="U102" s="550">
        <v>6</v>
      </c>
      <c r="V102" s="557"/>
      <c r="W102" s="558"/>
    </row>
    <row r="103" spans="1:23" ht="36.75" thickBot="1" x14ac:dyDescent="0.6">
      <c r="A103" s="845"/>
      <c r="B103" s="832"/>
      <c r="C103" s="830">
        <v>15</v>
      </c>
      <c r="D103" s="828"/>
      <c r="E103" s="546" t="s">
        <v>19</v>
      </c>
      <c r="F103" s="547">
        <v>97</v>
      </c>
      <c r="G103" s="547">
        <v>91</v>
      </c>
      <c r="H103" s="565">
        <v>92</v>
      </c>
      <c r="I103" s="565">
        <v>88</v>
      </c>
      <c r="J103" s="547">
        <v>96</v>
      </c>
      <c r="K103" s="547">
        <v>98</v>
      </c>
      <c r="L103" s="547">
        <v>99</v>
      </c>
      <c r="M103" s="547">
        <v>96</v>
      </c>
      <c r="N103" s="547">
        <v>93</v>
      </c>
      <c r="O103" s="547">
        <v>95</v>
      </c>
      <c r="P103" s="547">
        <v>99</v>
      </c>
      <c r="Q103" s="547">
        <v>93</v>
      </c>
      <c r="R103" s="547">
        <v>95</v>
      </c>
      <c r="S103" s="547">
        <v>1232</v>
      </c>
      <c r="T103" s="549">
        <v>94.769230769230774</v>
      </c>
      <c r="U103" s="550">
        <v>5</v>
      </c>
      <c r="V103" s="557"/>
      <c r="W103" s="558"/>
    </row>
    <row r="104" spans="1:23" ht="36.75" thickBot="1" x14ac:dyDescent="0.6">
      <c r="A104" s="845"/>
      <c r="B104" s="832"/>
      <c r="C104" s="830">
        <v>15</v>
      </c>
      <c r="D104" s="829"/>
      <c r="E104" s="546" t="s">
        <v>13</v>
      </c>
      <c r="F104" s="547">
        <f>AVERAGE(F102:F103)</f>
        <v>95.5</v>
      </c>
      <c r="G104" s="547">
        <f t="shared" ref="G104:T104" si="33">AVERAGE(G102:G103)</f>
        <v>92</v>
      </c>
      <c r="H104" s="547">
        <f t="shared" si="33"/>
        <v>93</v>
      </c>
      <c r="I104" s="547">
        <f t="shared" si="33"/>
        <v>86.5</v>
      </c>
      <c r="J104" s="547">
        <f t="shared" si="33"/>
        <v>90.5</v>
      </c>
      <c r="K104" s="547">
        <f t="shared" si="33"/>
        <v>99</v>
      </c>
      <c r="L104" s="547">
        <f t="shared" si="33"/>
        <v>97.5</v>
      </c>
      <c r="M104" s="547">
        <v>96</v>
      </c>
      <c r="N104" s="547">
        <v>90.5</v>
      </c>
      <c r="O104" s="547">
        <f t="shared" si="33"/>
        <v>93.5</v>
      </c>
      <c r="P104" s="547">
        <f t="shared" si="33"/>
        <v>96.5</v>
      </c>
      <c r="Q104" s="547">
        <f>AVERAGE(Q102:Q103)</f>
        <v>95</v>
      </c>
      <c r="R104" s="547">
        <f t="shared" si="33"/>
        <v>96.5</v>
      </c>
      <c r="S104" s="547">
        <f t="shared" si="33"/>
        <v>1222</v>
      </c>
      <c r="T104" s="549">
        <f t="shared" si="33"/>
        <v>94</v>
      </c>
      <c r="U104" s="550"/>
      <c r="V104" s="555"/>
      <c r="W104" s="556"/>
    </row>
    <row r="105" spans="1:23" ht="36.75" thickBot="1" x14ac:dyDescent="0.6">
      <c r="A105" s="845">
        <v>34</v>
      </c>
      <c r="B105" s="832"/>
      <c r="C105" s="830">
        <v>15</v>
      </c>
      <c r="D105" s="827" t="s">
        <v>17</v>
      </c>
      <c r="E105" s="546" t="s">
        <v>18</v>
      </c>
      <c r="F105" s="547">
        <v>76</v>
      </c>
      <c r="G105" s="547">
        <v>51</v>
      </c>
      <c r="H105" s="547">
        <v>72</v>
      </c>
      <c r="I105" s="547">
        <v>44</v>
      </c>
      <c r="J105" s="547">
        <v>55</v>
      </c>
      <c r="K105" s="547">
        <v>58</v>
      </c>
      <c r="L105" s="547">
        <v>48</v>
      </c>
      <c r="M105" s="547">
        <v>44</v>
      </c>
      <c r="N105" s="547">
        <v>54</v>
      </c>
      <c r="O105" s="547">
        <v>58</v>
      </c>
      <c r="P105" s="547">
        <v>71</v>
      </c>
      <c r="Q105" s="547">
        <v>72</v>
      </c>
      <c r="R105" s="547">
        <v>78</v>
      </c>
      <c r="S105" s="547">
        <v>781</v>
      </c>
      <c r="T105" s="549">
        <v>60.07692307692308</v>
      </c>
      <c r="U105" s="550">
        <v>43</v>
      </c>
      <c r="V105" s="557"/>
      <c r="W105" s="558"/>
    </row>
    <row r="106" spans="1:23" ht="36.75" thickBot="1" x14ac:dyDescent="0.6">
      <c r="A106" s="845"/>
      <c r="B106" s="832"/>
      <c r="C106" s="830">
        <v>14</v>
      </c>
      <c r="D106" s="828"/>
      <c r="E106" s="546" t="s">
        <v>19</v>
      </c>
      <c r="F106" s="547">
        <v>71</v>
      </c>
      <c r="G106" s="547">
        <v>57</v>
      </c>
      <c r="H106" s="547">
        <v>45</v>
      </c>
      <c r="I106" s="547">
        <v>49</v>
      </c>
      <c r="J106" s="547">
        <v>54</v>
      </c>
      <c r="K106" s="547">
        <v>44</v>
      </c>
      <c r="L106" s="547">
        <v>45</v>
      </c>
      <c r="M106" s="547">
        <v>48</v>
      </c>
      <c r="N106" s="547">
        <v>44</v>
      </c>
      <c r="O106" s="547">
        <v>62</v>
      </c>
      <c r="P106" s="547">
        <v>60</v>
      </c>
      <c r="Q106" s="547">
        <v>84</v>
      </c>
      <c r="R106" s="547">
        <v>72</v>
      </c>
      <c r="S106" s="547">
        <v>735</v>
      </c>
      <c r="T106" s="549">
        <v>56.53846153846154</v>
      </c>
      <c r="U106" s="550">
        <v>45</v>
      </c>
      <c r="V106" s="557"/>
      <c r="W106" s="558"/>
    </row>
    <row r="107" spans="1:23" ht="36.75" thickBot="1" x14ac:dyDescent="0.6">
      <c r="A107" s="845"/>
      <c r="B107" s="832"/>
      <c r="C107" s="830">
        <v>14</v>
      </c>
      <c r="D107" s="829"/>
      <c r="E107" s="546" t="s">
        <v>13</v>
      </c>
      <c r="F107" s="547">
        <f>AVERAGE(F105:F106)</f>
        <v>73.5</v>
      </c>
      <c r="G107" s="547">
        <f t="shared" ref="G107:T107" si="34">AVERAGE(G105:G106)</f>
        <v>54</v>
      </c>
      <c r="H107" s="547">
        <f t="shared" si="34"/>
        <v>58.5</v>
      </c>
      <c r="I107" s="547">
        <f t="shared" si="34"/>
        <v>46.5</v>
      </c>
      <c r="J107" s="547">
        <f t="shared" si="34"/>
        <v>54.5</v>
      </c>
      <c r="K107" s="547">
        <f t="shared" si="34"/>
        <v>51</v>
      </c>
      <c r="L107" s="547">
        <f t="shared" si="34"/>
        <v>46.5</v>
      </c>
      <c r="M107" s="547">
        <v>46</v>
      </c>
      <c r="N107" s="547">
        <v>49</v>
      </c>
      <c r="O107" s="547">
        <f t="shared" si="34"/>
        <v>60</v>
      </c>
      <c r="P107" s="547">
        <f t="shared" si="34"/>
        <v>65.5</v>
      </c>
      <c r="Q107" s="547">
        <f>AVERAGE(Q105:Q106)</f>
        <v>78</v>
      </c>
      <c r="R107" s="547">
        <f t="shared" si="34"/>
        <v>75</v>
      </c>
      <c r="S107" s="547">
        <f t="shared" si="34"/>
        <v>758</v>
      </c>
      <c r="T107" s="549">
        <f t="shared" si="34"/>
        <v>58.307692307692307</v>
      </c>
      <c r="U107" s="550"/>
      <c r="V107" s="555"/>
      <c r="W107" s="556"/>
    </row>
    <row r="108" spans="1:23" ht="36.75" thickBot="1" x14ac:dyDescent="0.6">
      <c r="A108" s="845">
        <v>35</v>
      </c>
      <c r="B108" s="832"/>
      <c r="C108" s="830">
        <v>15</v>
      </c>
      <c r="D108" s="827" t="s">
        <v>20</v>
      </c>
      <c r="E108" s="546" t="s">
        <v>18</v>
      </c>
      <c r="F108" s="547">
        <v>69</v>
      </c>
      <c r="G108" s="547">
        <v>41</v>
      </c>
      <c r="H108" s="547">
        <v>76</v>
      </c>
      <c r="I108" s="547">
        <v>44</v>
      </c>
      <c r="J108" s="547">
        <v>52</v>
      </c>
      <c r="K108" s="547">
        <v>46</v>
      </c>
      <c r="L108" s="547">
        <v>38</v>
      </c>
      <c r="M108" s="547">
        <v>44</v>
      </c>
      <c r="N108" s="547">
        <v>40</v>
      </c>
      <c r="O108" s="547">
        <v>48</v>
      </c>
      <c r="P108" s="547">
        <v>72</v>
      </c>
      <c r="Q108" s="547">
        <v>60</v>
      </c>
      <c r="R108" s="547">
        <v>71</v>
      </c>
      <c r="S108" s="547">
        <v>701</v>
      </c>
      <c r="T108" s="549">
        <v>53.92307692307692</v>
      </c>
      <c r="U108" s="550">
        <v>47</v>
      </c>
      <c r="V108" s="557"/>
      <c r="W108" s="558"/>
    </row>
    <row r="109" spans="1:23" ht="36.75" thickBot="1" x14ac:dyDescent="0.6">
      <c r="A109" s="845"/>
      <c r="B109" s="832"/>
      <c r="C109" s="830">
        <v>15</v>
      </c>
      <c r="D109" s="828"/>
      <c r="E109" s="546" t="s">
        <v>19</v>
      </c>
      <c r="F109" s="547">
        <v>73</v>
      </c>
      <c r="G109" s="547">
        <v>38</v>
      </c>
      <c r="H109" s="547">
        <v>51</v>
      </c>
      <c r="I109" s="547">
        <v>47</v>
      </c>
      <c r="J109" s="547">
        <v>50</v>
      </c>
      <c r="K109" s="547">
        <v>44</v>
      </c>
      <c r="L109" s="547">
        <v>42</v>
      </c>
      <c r="M109" s="547">
        <v>42</v>
      </c>
      <c r="N109" s="547">
        <v>43</v>
      </c>
      <c r="O109" s="547">
        <v>52</v>
      </c>
      <c r="P109" s="547">
        <v>63</v>
      </c>
      <c r="Q109" s="547">
        <v>65</v>
      </c>
      <c r="R109" s="547">
        <v>69</v>
      </c>
      <c r="S109" s="547">
        <v>679</v>
      </c>
      <c r="T109" s="549">
        <v>52.230769230769234</v>
      </c>
      <c r="U109" s="550">
        <v>49</v>
      </c>
      <c r="V109" s="557"/>
      <c r="W109" s="558"/>
    </row>
    <row r="110" spans="1:23" ht="36.75" thickBot="1" x14ac:dyDescent="0.6">
      <c r="A110" s="845"/>
      <c r="B110" s="832"/>
      <c r="C110" s="830">
        <v>15</v>
      </c>
      <c r="D110" s="829"/>
      <c r="E110" s="546" t="s">
        <v>13</v>
      </c>
      <c r="F110" s="547">
        <f>AVERAGE(F108:F109)</f>
        <v>71</v>
      </c>
      <c r="G110" s="547">
        <f t="shared" ref="G110:T110" si="35">AVERAGE(G108:G109)</f>
        <v>39.5</v>
      </c>
      <c r="H110" s="547">
        <f t="shared" si="35"/>
        <v>63.5</v>
      </c>
      <c r="I110" s="547">
        <f t="shared" si="35"/>
        <v>45.5</v>
      </c>
      <c r="J110" s="547">
        <f t="shared" si="35"/>
        <v>51</v>
      </c>
      <c r="K110" s="547">
        <f t="shared" si="35"/>
        <v>45</v>
      </c>
      <c r="L110" s="547">
        <f t="shared" si="35"/>
        <v>40</v>
      </c>
      <c r="M110" s="547">
        <v>43</v>
      </c>
      <c r="N110" s="547">
        <v>41.5</v>
      </c>
      <c r="O110" s="547">
        <f t="shared" si="35"/>
        <v>50</v>
      </c>
      <c r="P110" s="547">
        <f t="shared" si="35"/>
        <v>67.5</v>
      </c>
      <c r="Q110" s="547">
        <f>AVERAGE(Q108:Q109)</f>
        <v>62.5</v>
      </c>
      <c r="R110" s="547">
        <f t="shared" si="35"/>
        <v>70</v>
      </c>
      <c r="S110" s="547">
        <f t="shared" si="35"/>
        <v>690</v>
      </c>
      <c r="T110" s="549">
        <f t="shared" si="35"/>
        <v>53.07692307692308</v>
      </c>
      <c r="U110" s="550"/>
      <c r="V110" s="555"/>
      <c r="W110" s="556"/>
    </row>
    <row r="111" spans="1:23" ht="36.75" thickBot="1" x14ac:dyDescent="0.6">
      <c r="A111" s="845">
        <v>36</v>
      </c>
      <c r="B111" s="832"/>
      <c r="C111" s="830">
        <v>15</v>
      </c>
      <c r="D111" s="827" t="s">
        <v>17</v>
      </c>
      <c r="E111" s="546" t="s">
        <v>18</v>
      </c>
      <c r="F111" s="547">
        <v>79</v>
      </c>
      <c r="G111" s="547">
        <v>88</v>
      </c>
      <c r="H111" s="565">
        <v>73</v>
      </c>
      <c r="I111" s="565">
        <v>74</v>
      </c>
      <c r="J111" s="547">
        <v>64</v>
      </c>
      <c r="K111" s="547">
        <v>74</v>
      </c>
      <c r="L111" s="547">
        <v>65</v>
      </c>
      <c r="M111" s="547">
        <v>74</v>
      </c>
      <c r="N111" s="547">
        <v>82</v>
      </c>
      <c r="O111" s="547">
        <v>85</v>
      </c>
      <c r="P111" s="547">
        <v>85</v>
      </c>
      <c r="Q111" s="547">
        <v>97</v>
      </c>
      <c r="R111" s="547">
        <v>85</v>
      </c>
      <c r="S111" s="547">
        <v>1025</v>
      </c>
      <c r="T111" s="549">
        <v>78.84615384615384</v>
      </c>
      <c r="U111" s="550">
        <v>22</v>
      </c>
      <c r="V111" s="557"/>
      <c r="W111" s="558"/>
    </row>
    <row r="112" spans="1:23" ht="36.75" thickBot="1" x14ac:dyDescent="0.6">
      <c r="A112" s="845"/>
      <c r="B112" s="832"/>
      <c r="C112" s="830">
        <v>15</v>
      </c>
      <c r="D112" s="828"/>
      <c r="E112" s="546" t="s">
        <v>19</v>
      </c>
      <c r="F112" s="547">
        <v>82</v>
      </c>
      <c r="G112" s="547">
        <v>86</v>
      </c>
      <c r="H112" s="565">
        <v>52</v>
      </c>
      <c r="I112" s="565">
        <v>75</v>
      </c>
      <c r="J112" s="547">
        <v>78</v>
      </c>
      <c r="K112" s="547">
        <v>93</v>
      </c>
      <c r="L112" s="547">
        <v>89</v>
      </c>
      <c r="M112" s="547">
        <v>90</v>
      </c>
      <c r="N112" s="547">
        <v>73</v>
      </c>
      <c r="O112" s="547">
        <v>86</v>
      </c>
      <c r="P112" s="547">
        <v>90</v>
      </c>
      <c r="Q112" s="547">
        <v>83</v>
      </c>
      <c r="R112" s="547">
        <v>93</v>
      </c>
      <c r="S112" s="547">
        <v>1070</v>
      </c>
      <c r="T112" s="549">
        <v>82.307692307692307</v>
      </c>
      <c r="U112" s="550">
        <v>17</v>
      </c>
      <c r="V112" s="557"/>
      <c r="W112" s="558"/>
    </row>
    <row r="113" spans="1:23" ht="36.75" thickBot="1" x14ac:dyDescent="0.6">
      <c r="A113" s="845"/>
      <c r="B113" s="832"/>
      <c r="C113" s="830">
        <v>15</v>
      </c>
      <c r="D113" s="829"/>
      <c r="E113" s="546" t="s">
        <v>13</v>
      </c>
      <c r="F113" s="547">
        <f>AVERAGE(F111:F112)</f>
        <v>80.5</v>
      </c>
      <c r="G113" s="547">
        <f t="shared" ref="G113:T113" si="36">AVERAGE(G111:G112)</f>
        <v>87</v>
      </c>
      <c r="H113" s="547">
        <f t="shared" si="36"/>
        <v>62.5</v>
      </c>
      <c r="I113" s="547">
        <f t="shared" si="36"/>
        <v>74.5</v>
      </c>
      <c r="J113" s="547">
        <f t="shared" si="36"/>
        <v>71</v>
      </c>
      <c r="K113" s="547">
        <f t="shared" si="36"/>
        <v>83.5</v>
      </c>
      <c r="L113" s="547">
        <f t="shared" si="36"/>
        <v>77</v>
      </c>
      <c r="M113" s="547">
        <v>82</v>
      </c>
      <c r="N113" s="547">
        <v>77.5</v>
      </c>
      <c r="O113" s="547">
        <f t="shared" si="36"/>
        <v>85.5</v>
      </c>
      <c r="P113" s="547">
        <f t="shared" si="36"/>
        <v>87.5</v>
      </c>
      <c r="Q113" s="547">
        <f>AVERAGE(Q111:Q112)</f>
        <v>90</v>
      </c>
      <c r="R113" s="547">
        <f t="shared" si="36"/>
        <v>89</v>
      </c>
      <c r="S113" s="547">
        <f t="shared" si="36"/>
        <v>1047.5</v>
      </c>
      <c r="T113" s="549">
        <f t="shared" si="36"/>
        <v>80.576923076923066</v>
      </c>
      <c r="U113" s="550"/>
      <c r="V113" s="555"/>
      <c r="W113" s="556"/>
    </row>
    <row r="114" spans="1:23" ht="36.75" thickBot="1" x14ac:dyDescent="0.6">
      <c r="A114" s="845">
        <v>37</v>
      </c>
      <c r="B114" s="832"/>
      <c r="C114" s="830">
        <v>14</v>
      </c>
      <c r="D114" s="827" t="s">
        <v>20</v>
      </c>
      <c r="E114" s="546" t="s">
        <v>18</v>
      </c>
      <c r="F114" s="547">
        <v>83</v>
      </c>
      <c r="G114" s="547">
        <v>71</v>
      </c>
      <c r="H114" s="547">
        <v>84</v>
      </c>
      <c r="I114" s="547">
        <v>65</v>
      </c>
      <c r="J114" s="547">
        <v>72</v>
      </c>
      <c r="K114" s="547">
        <v>69</v>
      </c>
      <c r="L114" s="547">
        <v>61</v>
      </c>
      <c r="M114" s="547">
        <v>62</v>
      </c>
      <c r="N114" s="547">
        <v>65</v>
      </c>
      <c r="O114" s="547">
        <v>73</v>
      </c>
      <c r="P114" s="547">
        <v>87</v>
      </c>
      <c r="Q114" s="547">
        <v>86</v>
      </c>
      <c r="R114" s="547">
        <v>82</v>
      </c>
      <c r="S114" s="547">
        <v>960</v>
      </c>
      <c r="T114" s="549">
        <v>73.84615384615384</v>
      </c>
      <c r="U114" s="550">
        <v>25</v>
      </c>
      <c r="V114" s="557"/>
      <c r="W114" s="558"/>
    </row>
    <row r="115" spans="1:23" ht="36.75" thickBot="1" x14ac:dyDescent="0.6">
      <c r="A115" s="845"/>
      <c r="B115" s="832"/>
      <c r="C115" s="830">
        <v>16</v>
      </c>
      <c r="D115" s="828"/>
      <c r="E115" s="546" t="s">
        <v>19</v>
      </c>
      <c r="F115" s="547">
        <v>84</v>
      </c>
      <c r="G115" s="547">
        <v>73</v>
      </c>
      <c r="H115" s="547">
        <v>69</v>
      </c>
      <c r="I115" s="547">
        <v>70</v>
      </c>
      <c r="J115" s="547">
        <v>65</v>
      </c>
      <c r="K115" s="547">
        <v>75</v>
      </c>
      <c r="L115" s="547">
        <v>65</v>
      </c>
      <c r="M115" s="547">
        <v>67</v>
      </c>
      <c r="N115" s="547">
        <v>67</v>
      </c>
      <c r="O115" s="547">
        <v>71</v>
      </c>
      <c r="P115" s="547">
        <v>74</v>
      </c>
      <c r="Q115" s="547">
        <v>91</v>
      </c>
      <c r="R115" s="547">
        <v>93</v>
      </c>
      <c r="S115" s="547">
        <v>964</v>
      </c>
      <c r="T115" s="549">
        <v>74.15384615384616</v>
      </c>
      <c r="U115" s="550">
        <v>24</v>
      </c>
      <c r="V115" s="557"/>
      <c r="W115" s="558"/>
    </row>
    <row r="116" spans="1:23" ht="36.75" thickBot="1" x14ac:dyDescent="0.6">
      <c r="A116" s="845"/>
      <c r="B116" s="832"/>
      <c r="C116" s="830">
        <v>14</v>
      </c>
      <c r="D116" s="829"/>
      <c r="E116" s="546" t="s">
        <v>13</v>
      </c>
      <c r="F116" s="547">
        <f>AVERAGE(F114:F115)</f>
        <v>83.5</v>
      </c>
      <c r="G116" s="547">
        <f t="shared" ref="G116:T116" si="37">AVERAGE(G114:G115)</f>
        <v>72</v>
      </c>
      <c r="H116" s="547">
        <f t="shared" si="37"/>
        <v>76.5</v>
      </c>
      <c r="I116" s="547">
        <f t="shared" si="37"/>
        <v>67.5</v>
      </c>
      <c r="J116" s="547">
        <f t="shared" si="37"/>
        <v>68.5</v>
      </c>
      <c r="K116" s="547">
        <f t="shared" si="37"/>
        <v>72</v>
      </c>
      <c r="L116" s="547">
        <f t="shared" si="37"/>
        <v>63</v>
      </c>
      <c r="M116" s="547">
        <v>64.5</v>
      </c>
      <c r="N116" s="547">
        <v>66</v>
      </c>
      <c r="O116" s="547">
        <f t="shared" si="37"/>
        <v>72</v>
      </c>
      <c r="P116" s="547">
        <f t="shared" si="37"/>
        <v>80.5</v>
      </c>
      <c r="Q116" s="547">
        <f>AVERAGE(Q114:Q115)</f>
        <v>88.5</v>
      </c>
      <c r="R116" s="547">
        <f t="shared" si="37"/>
        <v>87.5</v>
      </c>
      <c r="S116" s="547">
        <f t="shared" si="37"/>
        <v>962</v>
      </c>
      <c r="T116" s="549">
        <f t="shared" si="37"/>
        <v>74</v>
      </c>
      <c r="U116" s="550"/>
      <c r="V116" s="555"/>
      <c r="W116" s="556"/>
    </row>
    <row r="117" spans="1:23" ht="36.75" thickBot="1" x14ac:dyDescent="0.6">
      <c r="A117" s="845">
        <v>38</v>
      </c>
      <c r="B117" s="832"/>
      <c r="C117" s="830">
        <v>15</v>
      </c>
      <c r="D117" s="827" t="s">
        <v>20</v>
      </c>
      <c r="E117" s="546" t="s">
        <v>18</v>
      </c>
      <c r="F117" s="547">
        <v>67</v>
      </c>
      <c r="G117" s="547">
        <v>56</v>
      </c>
      <c r="H117" s="547">
        <v>79</v>
      </c>
      <c r="I117" s="547">
        <v>36</v>
      </c>
      <c r="J117" s="547">
        <v>45</v>
      </c>
      <c r="K117" s="547">
        <v>44</v>
      </c>
      <c r="L117" s="547">
        <v>40</v>
      </c>
      <c r="M117" s="547">
        <v>44</v>
      </c>
      <c r="N117" s="547">
        <v>41</v>
      </c>
      <c r="O117" s="547">
        <v>50</v>
      </c>
      <c r="P117" s="547">
        <v>65</v>
      </c>
      <c r="Q117" s="547">
        <v>49</v>
      </c>
      <c r="R117" s="547">
        <v>70</v>
      </c>
      <c r="S117" s="547">
        <v>686</v>
      </c>
      <c r="T117" s="549">
        <v>52.769230769230766</v>
      </c>
      <c r="U117" s="550">
        <v>50</v>
      </c>
      <c r="V117" s="557"/>
      <c r="W117" s="558"/>
    </row>
    <row r="118" spans="1:23" ht="36.75" thickBot="1" x14ac:dyDescent="0.6">
      <c r="A118" s="845"/>
      <c r="B118" s="832"/>
      <c r="C118" s="830">
        <v>14</v>
      </c>
      <c r="D118" s="828"/>
      <c r="E118" s="546" t="s">
        <v>19</v>
      </c>
      <c r="F118" s="547">
        <v>77</v>
      </c>
      <c r="G118" s="547">
        <v>55</v>
      </c>
      <c r="H118" s="547">
        <v>52</v>
      </c>
      <c r="I118" s="547">
        <v>51</v>
      </c>
      <c r="J118" s="547">
        <v>45</v>
      </c>
      <c r="K118" s="547">
        <v>45</v>
      </c>
      <c r="L118" s="547">
        <v>48</v>
      </c>
      <c r="M118" s="547">
        <v>52</v>
      </c>
      <c r="N118" s="547">
        <v>41</v>
      </c>
      <c r="O118" s="547">
        <v>65</v>
      </c>
      <c r="P118" s="547">
        <v>69</v>
      </c>
      <c r="Q118" s="547">
        <v>74</v>
      </c>
      <c r="R118" s="547">
        <v>74</v>
      </c>
      <c r="S118" s="547">
        <v>748</v>
      </c>
      <c r="T118" s="549">
        <v>57.53846153846154</v>
      </c>
      <c r="U118" s="550">
        <v>42</v>
      </c>
      <c r="V118" s="557"/>
      <c r="W118" s="558"/>
    </row>
    <row r="119" spans="1:23" ht="36.75" thickBot="1" x14ac:dyDescent="0.6">
      <c r="A119" s="845"/>
      <c r="B119" s="832"/>
      <c r="C119" s="830">
        <v>15</v>
      </c>
      <c r="D119" s="829"/>
      <c r="E119" s="546" t="s">
        <v>13</v>
      </c>
      <c r="F119" s="547">
        <f>AVERAGE(F117:F118)</f>
        <v>72</v>
      </c>
      <c r="G119" s="547">
        <f t="shared" ref="G119:T119" si="38">AVERAGE(G117:G118)</f>
        <v>55.5</v>
      </c>
      <c r="H119" s="547">
        <f t="shared" si="38"/>
        <v>65.5</v>
      </c>
      <c r="I119" s="547">
        <f t="shared" si="38"/>
        <v>43.5</v>
      </c>
      <c r="J119" s="547">
        <f t="shared" si="38"/>
        <v>45</v>
      </c>
      <c r="K119" s="547">
        <f t="shared" si="38"/>
        <v>44.5</v>
      </c>
      <c r="L119" s="547">
        <f t="shared" si="38"/>
        <v>44</v>
      </c>
      <c r="M119" s="547">
        <v>48</v>
      </c>
      <c r="N119" s="547">
        <v>41</v>
      </c>
      <c r="O119" s="547">
        <f t="shared" si="38"/>
        <v>57.5</v>
      </c>
      <c r="P119" s="547">
        <f t="shared" si="38"/>
        <v>67</v>
      </c>
      <c r="Q119" s="547">
        <f>AVERAGE(Q117:Q118)</f>
        <v>61.5</v>
      </c>
      <c r="R119" s="547">
        <f t="shared" si="38"/>
        <v>72</v>
      </c>
      <c r="S119" s="547">
        <f t="shared" si="38"/>
        <v>717</v>
      </c>
      <c r="T119" s="549">
        <f t="shared" si="38"/>
        <v>55.153846153846153</v>
      </c>
      <c r="U119" s="550"/>
      <c r="V119" s="555"/>
      <c r="W119" s="556"/>
    </row>
    <row r="120" spans="1:23" ht="36.75" thickBot="1" x14ac:dyDescent="0.6">
      <c r="A120" s="845">
        <v>39</v>
      </c>
      <c r="B120" s="832"/>
      <c r="C120" s="830">
        <v>15</v>
      </c>
      <c r="D120" s="827" t="s">
        <v>20</v>
      </c>
      <c r="E120" s="546" t="s">
        <v>18</v>
      </c>
      <c r="F120" s="547">
        <v>75</v>
      </c>
      <c r="G120" s="547">
        <v>62</v>
      </c>
      <c r="H120" s="565">
        <v>72</v>
      </c>
      <c r="I120" s="565">
        <v>34</v>
      </c>
      <c r="J120" s="547">
        <v>35</v>
      </c>
      <c r="K120" s="547">
        <v>48</v>
      </c>
      <c r="L120" s="547">
        <v>45</v>
      </c>
      <c r="M120" s="547">
        <v>43</v>
      </c>
      <c r="N120" s="547">
        <v>45</v>
      </c>
      <c r="O120" s="547">
        <v>56</v>
      </c>
      <c r="P120" s="547">
        <v>62</v>
      </c>
      <c r="Q120" s="547">
        <v>45</v>
      </c>
      <c r="R120" s="547">
        <v>81</v>
      </c>
      <c r="S120" s="547">
        <v>703</v>
      </c>
      <c r="T120" s="549">
        <v>54.07692307692308</v>
      </c>
      <c r="U120" s="550">
        <v>46</v>
      </c>
      <c r="V120" s="557"/>
      <c r="W120" s="558"/>
    </row>
    <row r="121" spans="1:23" ht="36.75" thickBot="1" x14ac:dyDescent="0.6">
      <c r="A121" s="845"/>
      <c r="B121" s="832"/>
      <c r="C121" s="830">
        <v>16</v>
      </c>
      <c r="D121" s="828"/>
      <c r="E121" s="546" t="s">
        <v>19</v>
      </c>
      <c r="F121" s="547">
        <v>80</v>
      </c>
      <c r="G121" s="547">
        <v>63</v>
      </c>
      <c r="H121" s="565">
        <v>59</v>
      </c>
      <c r="I121" s="565">
        <v>53</v>
      </c>
      <c r="J121" s="547">
        <v>44</v>
      </c>
      <c r="K121" s="547">
        <v>43</v>
      </c>
      <c r="L121" s="547">
        <v>44</v>
      </c>
      <c r="M121" s="547">
        <v>49</v>
      </c>
      <c r="N121" s="547">
        <v>45</v>
      </c>
      <c r="O121" s="547">
        <v>62</v>
      </c>
      <c r="P121" s="547">
        <v>52</v>
      </c>
      <c r="Q121" s="547">
        <v>79</v>
      </c>
      <c r="R121" s="547">
        <v>72</v>
      </c>
      <c r="S121" s="547">
        <v>745</v>
      </c>
      <c r="T121" s="549">
        <v>57.307692307692307</v>
      </c>
      <c r="U121" s="550">
        <v>43</v>
      </c>
      <c r="V121" s="557"/>
      <c r="W121" s="558"/>
    </row>
    <row r="122" spans="1:23" ht="36.75" thickBot="1" x14ac:dyDescent="0.6">
      <c r="A122" s="845"/>
      <c r="B122" s="832"/>
      <c r="C122" s="830">
        <v>15</v>
      </c>
      <c r="D122" s="829"/>
      <c r="E122" s="546" t="s">
        <v>13</v>
      </c>
      <c r="F122" s="547">
        <f>AVERAGE(F120:F121)</f>
        <v>77.5</v>
      </c>
      <c r="G122" s="547">
        <f t="shared" ref="G122:T122" si="39">AVERAGE(G120:G121)</f>
        <v>62.5</v>
      </c>
      <c r="H122" s="547">
        <f t="shared" si="39"/>
        <v>65.5</v>
      </c>
      <c r="I122" s="547">
        <f t="shared" si="39"/>
        <v>43.5</v>
      </c>
      <c r="J122" s="547">
        <f t="shared" si="39"/>
        <v>39.5</v>
      </c>
      <c r="K122" s="547">
        <f t="shared" si="39"/>
        <v>45.5</v>
      </c>
      <c r="L122" s="547">
        <f t="shared" si="39"/>
        <v>44.5</v>
      </c>
      <c r="M122" s="547">
        <v>46</v>
      </c>
      <c r="N122" s="547">
        <v>45</v>
      </c>
      <c r="O122" s="547">
        <f t="shared" si="39"/>
        <v>59</v>
      </c>
      <c r="P122" s="547">
        <f t="shared" si="39"/>
        <v>57</v>
      </c>
      <c r="Q122" s="547">
        <f>AVERAGE(Q120:Q121)</f>
        <v>62</v>
      </c>
      <c r="R122" s="547">
        <f t="shared" si="39"/>
        <v>76.5</v>
      </c>
      <c r="S122" s="547">
        <f t="shared" si="39"/>
        <v>724</v>
      </c>
      <c r="T122" s="549">
        <f t="shared" si="39"/>
        <v>55.692307692307693</v>
      </c>
      <c r="U122" s="550"/>
      <c r="V122" s="555"/>
      <c r="W122" s="556"/>
    </row>
    <row r="123" spans="1:23" ht="36.75" thickBot="1" x14ac:dyDescent="0.6">
      <c r="A123" s="845">
        <v>40</v>
      </c>
      <c r="B123" s="832"/>
      <c r="C123" s="830">
        <v>15</v>
      </c>
      <c r="D123" s="827" t="s">
        <v>20</v>
      </c>
      <c r="E123" s="546" t="s">
        <v>18</v>
      </c>
      <c r="F123" s="547">
        <v>76</v>
      </c>
      <c r="G123" s="547">
        <v>52</v>
      </c>
      <c r="H123" s="547">
        <v>65</v>
      </c>
      <c r="I123" s="547">
        <v>32</v>
      </c>
      <c r="J123" s="547">
        <v>47</v>
      </c>
      <c r="K123" s="547">
        <v>44</v>
      </c>
      <c r="L123" s="547">
        <v>44</v>
      </c>
      <c r="M123" s="565">
        <v>50</v>
      </c>
      <c r="N123" s="547">
        <v>45</v>
      </c>
      <c r="O123" s="547">
        <v>51</v>
      </c>
      <c r="P123" s="547">
        <v>66</v>
      </c>
      <c r="Q123" s="547">
        <v>51</v>
      </c>
      <c r="R123" s="547">
        <v>75</v>
      </c>
      <c r="S123" s="547">
        <v>698</v>
      </c>
      <c r="T123" s="549">
        <v>53.692307692307693</v>
      </c>
      <c r="U123" s="550">
        <v>48</v>
      </c>
      <c r="V123" s="557"/>
      <c r="W123" s="558"/>
    </row>
    <row r="124" spans="1:23" ht="36.75" thickBot="1" x14ac:dyDescent="0.6">
      <c r="A124" s="845"/>
      <c r="B124" s="832"/>
      <c r="C124" s="830">
        <v>14</v>
      </c>
      <c r="D124" s="828"/>
      <c r="E124" s="546" t="s">
        <v>19</v>
      </c>
      <c r="F124" s="547">
        <v>74</v>
      </c>
      <c r="G124" s="547">
        <v>54</v>
      </c>
      <c r="H124" s="547">
        <v>51</v>
      </c>
      <c r="I124" s="547">
        <v>37</v>
      </c>
      <c r="J124" s="547">
        <v>41</v>
      </c>
      <c r="K124" s="547">
        <v>52</v>
      </c>
      <c r="L124" s="547">
        <v>52</v>
      </c>
      <c r="M124" s="565">
        <v>52</v>
      </c>
      <c r="N124" s="547">
        <v>41</v>
      </c>
      <c r="O124" s="547">
        <v>64</v>
      </c>
      <c r="P124" s="547">
        <v>61</v>
      </c>
      <c r="Q124" s="547">
        <v>74</v>
      </c>
      <c r="R124" s="547">
        <v>83</v>
      </c>
      <c r="S124" s="547">
        <v>736</v>
      </c>
      <c r="T124" s="549">
        <v>56.615384615384613</v>
      </c>
      <c r="U124" s="550">
        <v>44</v>
      </c>
      <c r="V124" s="557"/>
      <c r="W124" s="558"/>
    </row>
    <row r="125" spans="1:23" ht="36.75" thickBot="1" x14ac:dyDescent="0.6">
      <c r="A125" s="845"/>
      <c r="B125" s="832"/>
      <c r="C125" s="830">
        <v>14</v>
      </c>
      <c r="D125" s="829"/>
      <c r="E125" s="546" t="s">
        <v>13</v>
      </c>
      <c r="F125" s="547">
        <f>AVERAGE(F123:F124)</f>
        <v>75</v>
      </c>
      <c r="G125" s="547">
        <f t="shared" ref="G125:T125" si="40">AVERAGE(G123:G124)</f>
        <v>53</v>
      </c>
      <c r="H125" s="547">
        <f t="shared" si="40"/>
        <v>58</v>
      </c>
      <c r="I125" s="547">
        <f t="shared" si="40"/>
        <v>34.5</v>
      </c>
      <c r="J125" s="547">
        <f t="shared" si="40"/>
        <v>44</v>
      </c>
      <c r="K125" s="547">
        <f t="shared" si="40"/>
        <v>48</v>
      </c>
      <c r="L125" s="547">
        <f t="shared" si="40"/>
        <v>48</v>
      </c>
      <c r="M125" s="547">
        <v>51</v>
      </c>
      <c r="N125" s="547">
        <v>43</v>
      </c>
      <c r="O125" s="547">
        <f t="shared" si="40"/>
        <v>57.5</v>
      </c>
      <c r="P125" s="547">
        <f t="shared" si="40"/>
        <v>63.5</v>
      </c>
      <c r="Q125" s="547">
        <f>AVERAGE(Q123:Q124)</f>
        <v>62.5</v>
      </c>
      <c r="R125" s="547">
        <f t="shared" si="40"/>
        <v>79</v>
      </c>
      <c r="S125" s="547">
        <f t="shared" si="40"/>
        <v>717</v>
      </c>
      <c r="T125" s="549">
        <f t="shared" si="40"/>
        <v>55.153846153846153</v>
      </c>
      <c r="U125" s="550"/>
      <c r="V125" s="555"/>
      <c r="W125" s="556"/>
    </row>
    <row r="126" spans="1:23" ht="36.75" thickBot="1" x14ac:dyDescent="0.6">
      <c r="A126" s="845">
        <v>41</v>
      </c>
      <c r="B126" s="832"/>
      <c r="C126" s="830">
        <v>14</v>
      </c>
      <c r="D126" s="827" t="s">
        <v>20</v>
      </c>
      <c r="E126" s="546" t="s">
        <v>18</v>
      </c>
      <c r="F126" s="547">
        <v>96</v>
      </c>
      <c r="G126" s="547">
        <v>94</v>
      </c>
      <c r="H126" s="547">
        <v>98</v>
      </c>
      <c r="I126" s="547">
        <v>98</v>
      </c>
      <c r="J126" s="547">
        <v>97</v>
      </c>
      <c r="K126" s="547">
        <v>98</v>
      </c>
      <c r="L126" s="547">
        <v>90</v>
      </c>
      <c r="M126" s="547">
        <v>96</v>
      </c>
      <c r="N126" s="547">
        <v>96</v>
      </c>
      <c r="O126" s="547">
        <v>94</v>
      </c>
      <c r="P126" s="547">
        <v>98</v>
      </c>
      <c r="Q126" s="547">
        <v>100</v>
      </c>
      <c r="R126" s="547">
        <v>100</v>
      </c>
      <c r="S126" s="547">
        <v>1255</v>
      </c>
      <c r="T126" s="549">
        <v>96.538399999999996</v>
      </c>
      <c r="U126" s="550">
        <v>3</v>
      </c>
      <c r="V126" s="557"/>
      <c r="W126" s="558"/>
    </row>
    <row r="127" spans="1:23" ht="36.75" thickBot="1" x14ac:dyDescent="0.6">
      <c r="A127" s="845"/>
      <c r="B127" s="832"/>
      <c r="C127" s="830">
        <v>16</v>
      </c>
      <c r="D127" s="828"/>
      <c r="E127" s="546" t="s">
        <v>19</v>
      </c>
      <c r="F127" s="547">
        <v>99</v>
      </c>
      <c r="G127" s="547">
        <v>93</v>
      </c>
      <c r="H127" s="547">
        <v>100</v>
      </c>
      <c r="I127" s="547">
        <v>95</v>
      </c>
      <c r="J127" s="547">
        <v>97</v>
      </c>
      <c r="K127" s="547">
        <v>95</v>
      </c>
      <c r="L127" s="547">
        <v>93</v>
      </c>
      <c r="M127" s="547">
        <v>97</v>
      </c>
      <c r="N127" s="547">
        <v>94</v>
      </c>
      <c r="O127" s="547">
        <v>97</v>
      </c>
      <c r="P127" s="547">
        <v>100</v>
      </c>
      <c r="Q127" s="547">
        <v>98</v>
      </c>
      <c r="R127" s="547">
        <v>100</v>
      </c>
      <c r="S127" s="547">
        <v>1258</v>
      </c>
      <c r="T127" s="549">
        <v>96.769230769230774</v>
      </c>
      <c r="U127" s="550">
        <v>3</v>
      </c>
      <c r="V127" s="557"/>
      <c r="W127" s="558"/>
    </row>
    <row r="128" spans="1:23" ht="36.75" thickBot="1" x14ac:dyDescent="0.6">
      <c r="A128" s="845"/>
      <c r="B128" s="832"/>
      <c r="C128" s="830">
        <v>15</v>
      </c>
      <c r="D128" s="829"/>
      <c r="E128" s="546" t="s">
        <v>13</v>
      </c>
      <c r="F128" s="547">
        <f>AVERAGE(F126:F127)</f>
        <v>97.5</v>
      </c>
      <c r="G128" s="547">
        <f t="shared" ref="G128:T128" si="41">AVERAGE(G126:G127)</f>
        <v>93.5</v>
      </c>
      <c r="H128" s="547">
        <f t="shared" si="41"/>
        <v>99</v>
      </c>
      <c r="I128" s="547">
        <f t="shared" si="41"/>
        <v>96.5</v>
      </c>
      <c r="J128" s="547">
        <f t="shared" si="41"/>
        <v>97</v>
      </c>
      <c r="K128" s="547">
        <f t="shared" si="41"/>
        <v>96.5</v>
      </c>
      <c r="L128" s="547">
        <f t="shared" si="41"/>
        <v>91.5</v>
      </c>
      <c r="M128" s="547">
        <v>96.5</v>
      </c>
      <c r="N128" s="547">
        <v>95</v>
      </c>
      <c r="O128" s="547">
        <f t="shared" si="41"/>
        <v>95.5</v>
      </c>
      <c r="P128" s="547">
        <f t="shared" si="41"/>
        <v>99</v>
      </c>
      <c r="Q128" s="547">
        <f>AVERAGE(Q126:Q127)</f>
        <v>99</v>
      </c>
      <c r="R128" s="547">
        <f t="shared" si="41"/>
        <v>100</v>
      </c>
      <c r="S128" s="547">
        <f t="shared" si="41"/>
        <v>1256.5</v>
      </c>
      <c r="T128" s="549">
        <f t="shared" si="41"/>
        <v>96.653815384615385</v>
      </c>
      <c r="U128" s="550"/>
      <c r="V128" s="555"/>
      <c r="W128" s="556"/>
    </row>
    <row r="129" spans="1:23" ht="36.75" thickBot="1" x14ac:dyDescent="0.6">
      <c r="A129" s="845">
        <v>42</v>
      </c>
      <c r="B129" s="832"/>
      <c r="C129" s="830">
        <v>16</v>
      </c>
      <c r="D129" s="827" t="s">
        <v>20</v>
      </c>
      <c r="E129" s="546" t="s">
        <v>18</v>
      </c>
      <c r="F129" s="547">
        <v>83</v>
      </c>
      <c r="G129" s="565">
        <v>59</v>
      </c>
      <c r="H129" s="565">
        <v>83</v>
      </c>
      <c r="I129" s="565">
        <v>65</v>
      </c>
      <c r="J129" s="565">
        <v>58</v>
      </c>
      <c r="K129" s="547">
        <v>64</v>
      </c>
      <c r="L129" s="547">
        <v>54</v>
      </c>
      <c r="M129" s="547">
        <v>54</v>
      </c>
      <c r="N129" s="547">
        <v>63</v>
      </c>
      <c r="O129" s="547">
        <v>71</v>
      </c>
      <c r="P129" s="547">
        <v>76</v>
      </c>
      <c r="Q129" s="565">
        <v>78</v>
      </c>
      <c r="R129" s="547">
        <v>87</v>
      </c>
      <c r="S129" s="547">
        <v>895</v>
      </c>
      <c r="T129" s="549">
        <v>68.84615384615384</v>
      </c>
      <c r="U129" s="550">
        <v>34</v>
      </c>
      <c r="V129" s="557"/>
      <c r="W129" s="558"/>
    </row>
    <row r="130" spans="1:23" ht="36.75" thickBot="1" x14ac:dyDescent="0.6">
      <c r="A130" s="845"/>
      <c r="B130" s="832"/>
      <c r="C130" s="830">
        <v>15</v>
      </c>
      <c r="D130" s="828"/>
      <c r="E130" s="546" t="s">
        <v>19</v>
      </c>
      <c r="F130" s="547">
        <v>90</v>
      </c>
      <c r="G130" s="565">
        <v>55</v>
      </c>
      <c r="H130" s="565">
        <v>64</v>
      </c>
      <c r="I130" s="565">
        <v>75</v>
      </c>
      <c r="J130" s="565">
        <v>66</v>
      </c>
      <c r="K130" s="547">
        <v>67</v>
      </c>
      <c r="L130" s="547">
        <v>50</v>
      </c>
      <c r="M130" s="547">
        <v>64</v>
      </c>
      <c r="N130" s="547">
        <v>51</v>
      </c>
      <c r="O130" s="547">
        <v>68</v>
      </c>
      <c r="P130" s="547">
        <v>90</v>
      </c>
      <c r="Q130" s="565">
        <v>82</v>
      </c>
      <c r="R130" s="547">
        <v>81</v>
      </c>
      <c r="S130" s="547">
        <v>903</v>
      </c>
      <c r="T130" s="549">
        <v>69.461538461538467</v>
      </c>
      <c r="U130" s="550">
        <v>35</v>
      </c>
      <c r="V130" s="557"/>
      <c r="W130" s="558"/>
    </row>
    <row r="131" spans="1:23" ht="36.75" thickBot="1" x14ac:dyDescent="0.6">
      <c r="A131" s="845"/>
      <c r="B131" s="832"/>
      <c r="C131" s="830">
        <v>15</v>
      </c>
      <c r="D131" s="829"/>
      <c r="E131" s="546" t="s">
        <v>13</v>
      </c>
      <c r="F131" s="547">
        <f>AVERAGE(F129:F130)</f>
        <v>86.5</v>
      </c>
      <c r="G131" s="547">
        <f t="shared" ref="G131:T131" si="42">AVERAGE(G129:G130)</f>
        <v>57</v>
      </c>
      <c r="H131" s="547">
        <f t="shared" si="42"/>
        <v>73.5</v>
      </c>
      <c r="I131" s="547">
        <f t="shared" si="42"/>
        <v>70</v>
      </c>
      <c r="J131" s="547">
        <f t="shared" si="42"/>
        <v>62</v>
      </c>
      <c r="K131" s="547">
        <f t="shared" si="42"/>
        <v>65.5</v>
      </c>
      <c r="L131" s="547">
        <f t="shared" si="42"/>
        <v>52</v>
      </c>
      <c r="M131" s="547">
        <v>59</v>
      </c>
      <c r="N131" s="547">
        <v>57</v>
      </c>
      <c r="O131" s="547">
        <f t="shared" si="42"/>
        <v>69.5</v>
      </c>
      <c r="P131" s="547">
        <f t="shared" si="42"/>
        <v>83</v>
      </c>
      <c r="Q131" s="547">
        <f>AVERAGE(Q129:Q130)</f>
        <v>80</v>
      </c>
      <c r="R131" s="547">
        <f t="shared" si="42"/>
        <v>84</v>
      </c>
      <c r="S131" s="547">
        <f t="shared" si="42"/>
        <v>899</v>
      </c>
      <c r="T131" s="549">
        <f t="shared" si="42"/>
        <v>69.15384615384616</v>
      </c>
      <c r="U131" s="550"/>
      <c r="V131" s="555"/>
      <c r="W131" s="556"/>
    </row>
    <row r="132" spans="1:23" ht="36.75" thickBot="1" x14ac:dyDescent="0.6">
      <c r="A132" s="845">
        <v>43</v>
      </c>
      <c r="B132" s="832"/>
      <c r="C132" s="830">
        <v>15</v>
      </c>
      <c r="D132" s="827" t="s">
        <v>17</v>
      </c>
      <c r="E132" s="546" t="s">
        <v>18</v>
      </c>
      <c r="F132" s="547">
        <v>93</v>
      </c>
      <c r="G132" s="565">
        <v>90</v>
      </c>
      <c r="H132" s="565">
        <v>88</v>
      </c>
      <c r="I132" s="565">
        <v>89</v>
      </c>
      <c r="J132" s="547">
        <v>80</v>
      </c>
      <c r="K132" s="565">
        <v>89</v>
      </c>
      <c r="L132" s="547">
        <v>81</v>
      </c>
      <c r="M132" s="565">
        <v>83</v>
      </c>
      <c r="N132" s="547">
        <v>88</v>
      </c>
      <c r="O132" s="547">
        <v>96</v>
      </c>
      <c r="P132" s="565">
        <v>95</v>
      </c>
      <c r="Q132" s="547">
        <v>94</v>
      </c>
      <c r="R132" s="565">
        <v>97</v>
      </c>
      <c r="S132" s="547">
        <v>1163</v>
      </c>
      <c r="T132" s="549">
        <v>89.461538461538467</v>
      </c>
      <c r="U132" s="550">
        <v>7</v>
      </c>
      <c r="V132" s="557"/>
      <c r="W132" s="558"/>
    </row>
    <row r="133" spans="1:23" ht="36.75" thickBot="1" x14ac:dyDescent="0.6">
      <c r="A133" s="845"/>
      <c r="B133" s="832"/>
      <c r="C133" s="830">
        <v>15</v>
      </c>
      <c r="D133" s="828"/>
      <c r="E133" s="546" t="s">
        <v>19</v>
      </c>
      <c r="F133" s="547">
        <v>96</v>
      </c>
      <c r="G133" s="565">
        <v>92</v>
      </c>
      <c r="H133" s="565">
        <v>93</v>
      </c>
      <c r="I133" s="565">
        <v>98</v>
      </c>
      <c r="J133" s="547">
        <v>98</v>
      </c>
      <c r="K133" s="565">
        <v>100</v>
      </c>
      <c r="L133" s="547">
        <v>92</v>
      </c>
      <c r="M133" s="565">
        <v>96</v>
      </c>
      <c r="N133" s="547">
        <v>96</v>
      </c>
      <c r="O133" s="547">
        <v>99</v>
      </c>
      <c r="P133" s="565">
        <v>99</v>
      </c>
      <c r="Q133" s="547">
        <v>100</v>
      </c>
      <c r="R133" s="565">
        <v>92</v>
      </c>
      <c r="S133" s="547">
        <v>1251</v>
      </c>
      <c r="T133" s="549">
        <v>96.230769230769226</v>
      </c>
      <c r="U133" s="550">
        <v>4</v>
      </c>
      <c r="V133" s="557"/>
      <c r="W133" s="558"/>
    </row>
    <row r="134" spans="1:23" ht="36.75" thickBot="1" x14ac:dyDescent="0.6">
      <c r="A134" s="860"/>
      <c r="B134" s="833"/>
      <c r="C134" s="831">
        <v>13</v>
      </c>
      <c r="D134" s="829"/>
      <c r="E134" s="566" t="s">
        <v>13</v>
      </c>
      <c r="F134" s="567">
        <f>AVERAGE(F132:F133)</f>
        <v>94.5</v>
      </c>
      <c r="G134" s="567">
        <f t="shared" ref="G134:T134" si="43">AVERAGE(G132:G133)</f>
        <v>91</v>
      </c>
      <c r="H134" s="567">
        <f t="shared" si="43"/>
        <v>90.5</v>
      </c>
      <c r="I134" s="567">
        <f t="shared" si="43"/>
        <v>93.5</v>
      </c>
      <c r="J134" s="567">
        <f t="shared" si="43"/>
        <v>89</v>
      </c>
      <c r="K134" s="567">
        <f t="shared" si="43"/>
        <v>94.5</v>
      </c>
      <c r="L134" s="567">
        <f t="shared" si="43"/>
        <v>86.5</v>
      </c>
      <c r="M134" s="567">
        <v>89.5</v>
      </c>
      <c r="N134" s="547">
        <v>92</v>
      </c>
      <c r="O134" s="567">
        <f t="shared" si="43"/>
        <v>97.5</v>
      </c>
      <c r="P134" s="567">
        <f t="shared" si="43"/>
        <v>97</v>
      </c>
      <c r="Q134" s="567">
        <f>AVERAGE(Q132:Q133)</f>
        <v>97</v>
      </c>
      <c r="R134" s="567">
        <f t="shared" si="43"/>
        <v>94.5</v>
      </c>
      <c r="S134" s="567">
        <f t="shared" si="43"/>
        <v>1207</v>
      </c>
      <c r="T134" s="568">
        <f t="shared" si="43"/>
        <v>92.84615384615384</v>
      </c>
      <c r="U134" s="550"/>
      <c r="V134" s="569"/>
      <c r="W134" s="570"/>
    </row>
    <row r="135" spans="1:23" ht="36.75" thickBot="1" x14ac:dyDescent="0.6">
      <c r="A135" s="837">
        <v>44</v>
      </c>
      <c r="B135" s="832"/>
      <c r="C135" s="830">
        <v>15</v>
      </c>
      <c r="D135" s="827" t="s">
        <v>17</v>
      </c>
      <c r="E135" s="546" t="s">
        <v>18</v>
      </c>
      <c r="F135" s="531">
        <v>76</v>
      </c>
      <c r="G135" s="531">
        <v>51</v>
      </c>
      <c r="H135" s="531">
        <v>77</v>
      </c>
      <c r="I135" s="531">
        <v>56</v>
      </c>
      <c r="J135" s="531">
        <v>56</v>
      </c>
      <c r="K135" s="531">
        <v>59</v>
      </c>
      <c r="L135" s="531">
        <v>83</v>
      </c>
      <c r="M135" s="531">
        <v>57</v>
      </c>
      <c r="N135" s="547">
        <v>63</v>
      </c>
      <c r="O135" s="531">
        <v>67</v>
      </c>
      <c r="P135" s="531">
        <v>84</v>
      </c>
      <c r="Q135" s="531">
        <v>63</v>
      </c>
      <c r="R135" s="531">
        <v>76</v>
      </c>
      <c r="S135" s="531">
        <v>868</v>
      </c>
      <c r="T135" s="792">
        <v>66.769230769230774</v>
      </c>
      <c r="U135" s="550">
        <v>36</v>
      </c>
      <c r="V135" s="793"/>
      <c r="W135" s="559"/>
    </row>
    <row r="136" spans="1:23" ht="36.75" thickBot="1" x14ac:dyDescent="0.6">
      <c r="A136" s="837"/>
      <c r="B136" s="832"/>
      <c r="C136" s="830">
        <v>15</v>
      </c>
      <c r="D136" s="828"/>
      <c r="E136" s="546" t="s">
        <v>19</v>
      </c>
      <c r="F136" s="531">
        <v>76</v>
      </c>
      <c r="G136" s="531">
        <v>50</v>
      </c>
      <c r="H136" s="531">
        <v>67</v>
      </c>
      <c r="I136" s="531">
        <v>64</v>
      </c>
      <c r="J136" s="531">
        <v>75</v>
      </c>
      <c r="K136" s="531">
        <v>63</v>
      </c>
      <c r="L136" s="531">
        <v>76</v>
      </c>
      <c r="M136" s="531">
        <v>75</v>
      </c>
      <c r="N136" s="547">
        <v>64</v>
      </c>
      <c r="O136" s="531">
        <v>75</v>
      </c>
      <c r="P136" s="531">
        <v>64</v>
      </c>
      <c r="Q136" s="531">
        <v>80</v>
      </c>
      <c r="R136" s="531">
        <v>91</v>
      </c>
      <c r="S136" s="531">
        <v>920</v>
      </c>
      <c r="T136" s="792">
        <v>70.769230769230774</v>
      </c>
      <c r="U136" s="550">
        <v>30</v>
      </c>
      <c r="V136" s="793"/>
      <c r="W136" s="559"/>
    </row>
    <row r="137" spans="1:23" ht="36.75" thickBot="1" x14ac:dyDescent="0.6">
      <c r="A137" s="837"/>
      <c r="B137" s="833"/>
      <c r="C137" s="831">
        <v>15</v>
      </c>
      <c r="D137" s="829"/>
      <c r="E137" s="566" t="s">
        <v>13</v>
      </c>
      <c r="F137" s="531">
        <f>AVERAGE(F135:F136)</f>
        <v>76</v>
      </c>
      <c r="G137" s="531">
        <f t="shared" ref="G137:T137" si="44">AVERAGE(G135:G136)</f>
        <v>50.5</v>
      </c>
      <c r="H137" s="531">
        <f t="shared" si="44"/>
        <v>72</v>
      </c>
      <c r="I137" s="531">
        <f t="shared" si="44"/>
        <v>60</v>
      </c>
      <c r="J137" s="531">
        <f t="shared" si="44"/>
        <v>65.5</v>
      </c>
      <c r="K137" s="531">
        <f t="shared" si="44"/>
        <v>61</v>
      </c>
      <c r="L137" s="531">
        <f t="shared" si="44"/>
        <v>79.5</v>
      </c>
      <c r="M137" s="531">
        <v>66</v>
      </c>
      <c r="N137" s="547">
        <v>63.5</v>
      </c>
      <c r="O137" s="531">
        <f t="shared" si="44"/>
        <v>71</v>
      </c>
      <c r="P137" s="531">
        <f t="shared" si="44"/>
        <v>74</v>
      </c>
      <c r="Q137" s="531">
        <f>AVERAGE(Q135:Q136)</f>
        <v>71.5</v>
      </c>
      <c r="R137" s="531">
        <f t="shared" si="44"/>
        <v>83.5</v>
      </c>
      <c r="S137" s="531">
        <f t="shared" si="44"/>
        <v>894</v>
      </c>
      <c r="T137" s="792">
        <f t="shared" si="44"/>
        <v>68.769230769230774</v>
      </c>
      <c r="U137" s="550"/>
      <c r="V137" s="793"/>
      <c r="W137" s="559"/>
    </row>
    <row r="138" spans="1:23" ht="36.75" thickBot="1" x14ac:dyDescent="0.6">
      <c r="A138" s="837">
        <v>45</v>
      </c>
      <c r="B138" s="832"/>
      <c r="C138" s="830">
        <v>14</v>
      </c>
      <c r="D138" s="827" t="s">
        <v>20</v>
      </c>
      <c r="E138" s="546" t="s">
        <v>18</v>
      </c>
      <c r="F138" s="531">
        <v>78</v>
      </c>
      <c r="G138" s="531">
        <v>63</v>
      </c>
      <c r="H138" s="531">
        <v>80</v>
      </c>
      <c r="I138" s="531">
        <v>61</v>
      </c>
      <c r="J138" s="531">
        <v>60</v>
      </c>
      <c r="K138" s="531">
        <v>64</v>
      </c>
      <c r="L138" s="531">
        <v>50</v>
      </c>
      <c r="M138" s="531">
        <v>55</v>
      </c>
      <c r="N138" s="547">
        <v>60</v>
      </c>
      <c r="O138" s="531">
        <v>71</v>
      </c>
      <c r="P138" s="531">
        <v>79</v>
      </c>
      <c r="Q138" s="531">
        <v>55</v>
      </c>
      <c r="R138" s="531">
        <v>69</v>
      </c>
      <c r="S138" s="531">
        <v>845</v>
      </c>
      <c r="T138" s="792">
        <v>65</v>
      </c>
      <c r="U138" s="550">
        <v>39</v>
      </c>
      <c r="V138" s="793"/>
      <c r="W138" s="559"/>
    </row>
    <row r="139" spans="1:23" ht="36.75" thickBot="1" x14ac:dyDescent="0.6">
      <c r="A139" s="837"/>
      <c r="B139" s="832"/>
      <c r="C139" s="830">
        <v>14</v>
      </c>
      <c r="D139" s="828"/>
      <c r="E139" s="546" t="s">
        <v>19</v>
      </c>
      <c r="F139" s="531">
        <v>84</v>
      </c>
      <c r="G139" s="531">
        <v>61</v>
      </c>
      <c r="H139" s="531">
        <v>59</v>
      </c>
      <c r="I139" s="531">
        <v>68</v>
      </c>
      <c r="J139" s="531">
        <v>60</v>
      </c>
      <c r="K139" s="531">
        <v>59</v>
      </c>
      <c r="L139" s="531">
        <v>60</v>
      </c>
      <c r="M139" s="531">
        <v>70</v>
      </c>
      <c r="N139" s="547">
        <v>57</v>
      </c>
      <c r="O139" s="531">
        <v>72</v>
      </c>
      <c r="P139" s="531">
        <v>65</v>
      </c>
      <c r="Q139" s="531">
        <v>86</v>
      </c>
      <c r="R139" s="531">
        <v>77</v>
      </c>
      <c r="S139" s="531">
        <v>878</v>
      </c>
      <c r="T139" s="792">
        <v>67.538461538461533</v>
      </c>
      <c r="U139" s="550">
        <v>36</v>
      </c>
      <c r="V139" s="793"/>
      <c r="W139" s="559"/>
    </row>
    <row r="140" spans="1:23" ht="36.75" thickBot="1" x14ac:dyDescent="0.6">
      <c r="A140" s="838"/>
      <c r="B140" s="833"/>
      <c r="C140" s="831">
        <v>14</v>
      </c>
      <c r="D140" s="829"/>
      <c r="E140" s="566" t="s">
        <v>13</v>
      </c>
      <c r="F140" s="531">
        <f>AVERAGE(F138:F139)</f>
        <v>81</v>
      </c>
      <c r="G140" s="531">
        <f t="shared" ref="G140:T140" si="45">AVERAGE(G138:G139)</f>
        <v>62</v>
      </c>
      <c r="H140" s="531">
        <f t="shared" si="45"/>
        <v>69.5</v>
      </c>
      <c r="I140" s="531">
        <f t="shared" si="45"/>
        <v>64.5</v>
      </c>
      <c r="J140" s="531">
        <f t="shared" si="45"/>
        <v>60</v>
      </c>
      <c r="K140" s="531">
        <f t="shared" si="45"/>
        <v>61.5</v>
      </c>
      <c r="L140" s="531">
        <f t="shared" si="45"/>
        <v>55</v>
      </c>
      <c r="M140" s="531">
        <v>62.5</v>
      </c>
      <c r="N140" s="547">
        <v>58.5</v>
      </c>
      <c r="O140" s="531">
        <f t="shared" si="45"/>
        <v>71.5</v>
      </c>
      <c r="P140" s="531">
        <f t="shared" si="45"/>
        <v>72</v>
      </c>
      <c r="Q140" s="531">
        <f>AVERAGE(Q138:Q139)</f>
        <v>70.5</v>
      </c>
      <c r="R140" s="531">
        <f t="shared" si="45"/>
        <v>73</v>
      </c>
      <c r="S140" s="531">
        <f t="shared" si="45"/>
        <v>861.5</v>
      </c>
      <c r="T140" s="792">
        <f t="shared" si="45"/>
        <v>66.269230769230774</v>
      </c>
      <c r="U140" s="550"/>
      <c r="V140" s="793"/>
      <c r="W140" s="559"/>
    </row>
    <row r="141" spans="1:23" ht="36.75" thickBot="1" x14ac:dyDescent="0.6">
      <c r="A141" s="837">
        <v>46</v>
      </c>
      <c r="B141" s="832"/>
      <c r="C141" s="830">
        <v>15</v>
      </c>
      <c r="D141" s="827" t="s">
        <v>20</v>
      </c>
      <c r="E141" s="546" t="s">
        <v>18</v>
      </c>
      <c r="F141" s="531">
        <v>83</v>
      </c>
      <c r="G141" s="531">
        <v>70</v>
      </c>
      <c r="H141" s="531">
        <v>78</v>
      </c>
      <c r="I141" s="531">
        <v>55</v>
      </c>
      <c r="J141" s="531">
        <v>57</v>
      </c>
      <c r="K141" s="531">
        <v>64</v>
      </c>
      <c r="L141" s="531">
        <v>61</v>
      </c>
      <c r="M141" s="531">
        <v>73</v>
      </c>
      <c r="N141" s="547">
        <v>63</v>
      </c>
      <c r="O141" s="531">
        <v>78</v>
      </c>
      <c r="P141" s="531">
        <v>89</v>
      </c>
      <c r="Q141" s="531">
        <v>76</v>
      </c>
      <c r="R141" s="531">
        <v>76</v>
      </c>
      <c r="S141" s="531">
        <v>923</v>
      </c>
      <c r="T141" s="792">
        <v>71</v>
      </c>
      <c r="U141" s="550">
        <v>40</v>
      </c>
      <c r="V141" s="793"/>
      <c r="W141" s="559"/>
    </row>
    <row r="142" spans="1:23" ht="36.75" thickBot="1" x14ac:dyDescent="0.6">
      <c r="A142" s="837"/>
      <c r="B142" s="832"/>
      <c r="C142" s="830">
        <v>15</v>
      </c>
      <c r="D142" s="828"/>
      <c r="E142" s="546" t="s">
        <v>19</v>
      </c>
      <c r="F142" s="531">
        <v>90</v>
      </c>
      <c r="G142" s="531">
        <v>71</v>
      </c>
      <c r="H142" s="531">
        <v>55</v>
      </c>
      <c r="I142" s="531">
        <v>63</v>
      </c>
      <c r="J142" s="531">
        <v>63</v>
      </c>
      <c r="K142" s="531">
        <v>46</v>
      </c>
      <c r="L142" s="531">
        <v>50</v>
      </c>
      <c r="M142" s="531">
        <v>57</v>
      </c>
      <c r="N142" s="547">
        <v>59</v>
      </c>
      <c r="O142" s="531">
        <v>72</v>
      </c>
      <c r="P142" s="531">
        <v>74</v>
      </c>
      <c r="Q142" s="531">
        <v>78</v>
      </c>
      <c r="R142" s="531">
        <v>79</v>
      </c>
      <c r="S142" s="531">
        <v>857</v>
      </c>
      <c r="T142" s="792">
        <v>65.92307692307692</v>
      </c>
      <c r="U142" s="550">
        <v>38</v>
      </c>
      <c r="V142" s="793"/>
      <c r="W142" s="559"/>
    </row>
    <row r="143" spans="1:23" ht="36.75" thickBot="1" x14ac:dyDescent="0.6">
      <c r="A143" s="837"/>
      <c r="B143" s="833"/>
      <c r="C143" s="831">
        <v>15</v>
      </c>
      <c r="D143" s="829"/>
      <c r="E143" s="566" t="s">
        <v>13</v>
      </c>
      <c r="F143" s="531">
        <f>AVERAGE(F141:F142)</f>
        <v>86.5</v>
      </c>
      <c r="G143" s="531">
        <f t="shared" ref="G143:T143" si="46">AVERAGE(G141:G142)</f>
        <v>70.5</v>
      </c>
      <c r="H143" s="531">
        <f t="shared" si="46"/>
        <v>66.5</v>
      </c>
      <c r="I143" s="531">
        <f t="shared" si="46"/>
        <v>59</v>
      </c>
      <c r="J143" s="531">
        <f t="shared" si="46"/>
        <v>60</v>
      </c>
      <c r="K143" s="531">
        <f t="shared" si="46"/>
        <v>55</v>
      </c>
      <c r="L143" s="531">
        <f t="shared" si="46"/>
        <v>55.5</v>
      </c>
      <c r="M143" s="531">
        <v>65</v>
      </c>
      <c r="N143" s="547">
        <v>61</v>
      </c>
      <c r="O143" s="531">
        <f t="shared" si="46"/>
        <v>75</v>
      </c>
      <c r="P143" s="531">
        <f t="shared" si="46"/>
        <v>81.5</v>
      </c>
      <c r="Q143" s="531">
        <f>AVERAGE(Q141:Q142)</f>
        <v>77</v>
      </c>
      <c r="R143" s="531">
        <f t="shared" si="46"/>
        <v>77.5</v>
      </c>
      <c r="S143" s="531">
        <f t="shared" si="46"/>
        <v>890</v>
      </c>
      <c r="T143" s="792">
        <f t="shared" si="46"/>
        <v>68.461538461538453</v>
      </c>
      <c r="U143" s="550"/>
      <c r="V143" s="793"/>
      <c r="W143" s="559"/>
    </row>
    <row r="144" spans="1:23" ht="36.75" thickBot="1" x14ac:dyDescent="0.6">
      <c r="A144" s="837">
        <v>47</v>
      </c>
      <c r="B144" s="832"/>
      <c r="C144" s="830">
        <v>16</v>
      </c>
      <c r="D144" s="827" t="s">
        <v>20</v>
      </c>
      <c r="E144" s="546" t="s">
        <v>18</v>
      </c>
      <c r="F144" s="531">
        <v>79</v>
      </c>
      <c r="G144" s="531">
        <v>53</v>
      </c>
      <c r="H144" s="531">
        <v>74</v>
      </c>
      <c r="I144" s="531">
        <v>51</v>
      </c>
      <c r="J144" s="531">
        <v>60</v>
      </c>
      <c r="K144" s="531">
        <v>57</v>
      </c>
      <c r="L144" s="531">
        <v>51</v>
      </c>
      <c r="M144" s="531">
        <v>57</v>
      </c>
      <c r="N144" s="547">
        <v>53</v>
      </c>
      <c r="O144" s="531">
        <v>62</v>
      </c>
      <c r="P144" s="531">
        <v>66</v>
      </c>
      <c r="Q144" s="531">
        <v>66</v>
      </c>
      <c r="R144" s="531">
        <v>82</v>
      </c>
      <c r="S144" s="531">
        <v>811</v>
      </c>
      <c r="T144" s="792">
        <v>62.384615384615387</v>
      </c>
      <c r="U144" s="550">
        <v>15</v>
      </c>
      <c r="V144" s="793"/>
      <c r="W144" s="559"/>
    </row>
    <row r="145" spans="1:23" ht="36.75" thickBot="1" x14ac:dyDescent="0.6">
      <c r="A145" s="837"/>
      <c r="B145" s="832"/>
      <c r="C145" s="830">
        <v>15</v>
      </c>
      <c r="D145" s="828"/>
      <c r="E145" s="546" t="s">
        <v>19</v>
      </c>
      <c r="F145" s="531">
        <v>74</v>
      </c>
      <c r="G145" s="531">
        <v>48</v>
      </c>
      <c r="H145" s="531">
        <v>51</v>
      </c>
      <c r="I145" s="531">
        <v>62</v>
      </c>
      <c r="J145" s="531">
        <v>58</v>
      </c>
      <c r="K145" s="531">
        <v>43</v>
      </c>
      <c r="L145" s="531">
        <v>56</v>
      </c>
      <c r="M145" s="531">
        <v>54</v>
      </c>
      <c r="N145" s="547">
        <v>62</v>
      </c>
      <c r="O145" s="531">
        <v>75</v>
      </c>
      <c r="P145" s="531">
        <v>73</v>
      </c>
      <c r="Q145" s="531">
        <v>78</v>
      </c>
      <c r="R145" s="531">
        <v>84</v>
      </c>
      <c r="S145" s="531">
        <v>818</v>
      </c>
      <c r="T145" s="792">
        <f>AVERAGE(F145:R145)</f>
        <v>62.92307692307692</v>
      </c>
      <c r="U145" s="550">
        <v>39</v>
      </c>
      <c r="V145" s="793"/>
      <c r="W145" s="559"/>
    </row>
    <row r="146" spans="1:23" ht="36.75" thickBot="1" x14ac:dyDescent="0.6">
      <c r="A146" s="838"/>
      <c r="B146" s="833"/>
      <c r="C146" s="831">
        <v>15</v>
      </c>
      <c r="D146" s="829"/>
      <c r="E146" s="566" t="s">
        <v>13</v>
      </c>
      <c r="F146" s="531">
        <f>AVERAGE(F144:F145)</f>
        <v>76.5</v>
      </c>
      <c r="G146" s="531">
        <f t="shared" ref="G146:T146" si="47">AVERAGE(G144:G145)</f>
        <v>50.5</v>
      </c>
      <c r="H146" s="531">
        <f t="shared" si="47"/>
        <v>62.5</v>
      </c>
      <c r="I146" s="531">
        <f t="shared" si="47"/>
        <v>56.5</v>
      </c>
      <c r="J146" s="531">
        <f t="shared" si="47"/>
        <v>59</v>
      </c>
      <c r="K146" s="531">
        <f t="shared" si="47"/>
        <v>50</v>
      </c>
      <c r="L146" s="531">
        <f t="shared" si="47"/>
        <v>53.5</v>
      </c>
      <c r="M146" s="531">
        <v>55.5</v>
      </c>
      <c r="N146" s="547">
        <v>57.5</v>
      </c>
      <c r="O146" s="531">
        <f t="shared" si="47"/>
        <v>68.5</v>
      </c>
      <c r="P146" s="531">
        <f t="shared" si="47"/>
        <v>69.5</v>
      </c>
      <c r="Q146" s="531">
        <f>AVERAGE(Q144:Q145)</f>
        <v>72</v>
      </c>
      <c r="R146" s="531">
        <f t="shared" si="47"/>
        <v>83</v>
      </c>
      <c r="S146" s="531">
        <f t="shared" si="47"/>
        <v>814.5</v>
      </c>
      <c r="T146" s="792">
        <f t="shared" si="47"/>
        <v>62.653846153846153</v>
      </c>
      <c r="U146" s="550"/>
      <c r="V146" s="793"/>
      <c r="W146" s="559"/>
    </row>
    <row r="147" spans="1:23" ht="36.75" thickBot="1" x14ac:dyDescent="0.6">
      <c r="A147" s="837">
        <v>48</v>
      </c>
      <c r="B147" s="832"/>
      <c r="C147" s="830">
        <v>15</v>
      </c>
      <c r="D147" s="827" t="s">
        <v>17</v>
      </c>
      <c r="E147" s="546" t="s">
        <v>18</v>
      </c>
      <c r="F147" s="531">
        <v>81</v>
      </c>
      <c r="G147" s="531">
        <v>78</v>
      </c>
      <c r="H147" s="531">
        <v>72</v>
      </c>
      <c r="I147" s="531">
        <v>85</v>
      </c>
      <c r="J147" s="531">
        <v>91</v>
      </c>
      <c r="K147" s="531">
        <v>94</v>
      </c>
      <c r="L147" s="531">
        <v>85</v>
      </c>
      <c r="M147" s="531">
        <v>86</v>
      </c>
      <c r="N147" s="547">
        <v>66</v>
      </c>
      <c r="O147" s="531">
        <v>88</v>
      </c>
      <c r="P147" s="531">
        <v>86</v>
      </c>
      <c r="Q147" s="531">
        <v>80</v>
      </c>
      <c r="R147" s="531">
        <v>89</v>
      </c>
      <c r="S147" s="531">
        <v>1081</v>
      </c>
      <c r="T147" s="792">
        <v>83.15384615384616</v>
      </c>
      <c r="U147" s="550">
        <v>23</v>
      </c>
      <c r="V147" s="793"/>
      <c r="W147" s="559"/>
    </row>
    <row r="148" spans="1:23" ht="36.75" thickBot="1" x14ac:dyDescent="0.6">
      <c r="A148" s="837"/>
      <c r="B148" s="832"/>
      <c r="C148" s="830">
        <v>15</v>
      </c>
      <c r="D148" s="828"/>
      <c r="E148" s="546" t="s">
        <v>19</v>
      </c>
      <c r="F148" s="531">
        <v>81</v>
      </c>
      <c r="G148" s="531">
        <v>79</v>
      </c>
      <c r="H148" s="531">
        <v>51</v>
      </c>
      <c r="I148" s="531">
        <v>94</v>
      </c>
      <c r="J148" s="531">
        <v>91</v>
      </c>
      <c r="K148" s="531">
        <v>96</v>
      </c>
      <c r="L148" s="531">
        <v>79</v>
      </c>
      <c r="M148" s="531">
        <v>91</v>
      </c>
      <c r="N148" s="547">
        <v>94</v>
      </c>
      <c r="O148" s="531">
        <v>80</v>
      </c>
      <c r="P148" s="531">
        <v>92</v>
      </c>
      <c r="Q148" s="531">
        <v>100</v>
      </c>
      <c r="R148" s="531">
        <v>92</v>
      </c>
      <c r="S148" s="531">
        <v>1120</v>
      </c>
      <c r="T148" s="792">
        <v>86.15384615384616</v>
      </c>
      <c r="U148" s="550">
        <v>11</v>
      </c>
      <c r="V148" s="793"/>
      <c r="W148" s="559"/>
    </row>
    <row r="149" spans="1:23" ht="36.75" thickBot="1" x14ac:dyDescent="0.6">
      <c r="A149" s="837"/>
      <c r="B149" s="833"/>
      <c r="C149" s="831">
        <v>15</v>
      </c>
      <c r="D149" s="829"/>
      <c r="E149" s="566" t="s">
        <v>13</v>
      </c>
      <c r="F149" s="531">
        <f>AVERAGE(F147:F148)</f>
        <v>81</v>
      </c>
      <c r="G149" s="531">
        <f t="shared" ref="G149:T149" si="48">AVERAGE(G147:G148)</f>
        <v>78.5</v>
      </c>
      <c r="H149" s="531">
        <f t="shared" si="48"/>
        <v>61.5</v>
      </c>
      <c r="I149" s="531">
        <f t="shared" si="48"/>
        <v>89.5</v>
      </c>
      <c r="J149" s="531">
        <f t="shared" si="48"/>
        <v>91</v>
      </c>
      <c r="K149" s="531">
        <f t="shared" si="48"/>
        <v>95</v>
      </c>
      <c r="L149" s="531">
        <f t="shared" si="48"/>
        <v>82</v>
      </c>
      <c r="M149" s="531">
        <v>88.5</v>
      </c>
      <c r="N149" s="547">
        <v>80</v>
      </c>
      <c r="O149" s="531">
        <f t="shared" si="48"/>
        <v>84</v>
      </c>
      <c r="P149" s="531">
        <f t="shared" si="48"/>
        <v>89</v>
      </c>
      <c r="Q149" s="531">
        <f>AVERAGE(Q147:Q148)</f>
        <v>90</v>
      </c>
      <c r="R149" s="531">
        <f t="shared" si="48"/>
        <v>90.5</v>
      </c>
      <c r="S149" s="531">
        <f t="shared" si="48"/>
        <v>1100.5</v>
      </c>
      <c r="T149" s="792">
        <f t="shared" si="48"/>
        <v>84.65384615384616</v>
      </c>
      <c r="U149" s="550"/>
      <c r="V149" s="793"/>
      <c r="W149" s="559"/>
    </row>
    <row r="150" spans="1:23" ht="36.75" thickBot="1" x14ac:dyDescent="0.6">
      <c r="A150" s="837">
        <v>49</v>
      </c>
      <c r="B150" s="832"/>
      <c r="C150" s="830">
        <v>15</v>
      </c>
      <c r="D150" s="827" t="s">
        <v>17</v>
      </c>
      <c r="E150" s="546" t="s">
        <v>18</v>
      </c>
      <c r="F150" s="531">
        <v>79</v>
      </c>
      <c r="G150" s="531">
        <v>86</v>
      </c>
      <c r="H150" s="531">
        <v>86</v>
      </c>
      <c r="I150" s="531">
        <v>69</v>
      </c>
      <c r="J150" s="531">
        <v>60</v>
      </c>
      <c r="K150" s="531">
        <v>77</v>
      </c>
      <c r="L150" s="531">
        <v>72</v>
      </c>
      <c r="M150" s="531">
        <v>79</v>
      </c>
      <c r="N150" s="547">
        <v>68</v>
      </c>
      <c r="O150" s="531">
        <v>78</v>
      </c>
      <c r="P150" s="531">
        <v>88</v>
      </c>
      <c r="Q150" s="531">
        <v>73</v>
      </c>
      <c r="R150" s="531">
        <v>97</v>
      </c>
      <c r="S150" s="531">
        <v>1012</v>
      </c>
      <c r="T150" s="792">
        <v>77.84615384615384</v>
      </c>
      <c r="U150" s="550">
        <v>23</v>
      </c>
      <c r="V150" s="793"/>
      <c r="W150" s="559"/>
    </row>
    <row r="151" spans="1:23" ht="36.75" thickBot="1" x14ac:dyDescent="0.6">
      <c r="A151" s="837"/>
      <c r="B151" s="832"/>
      <c r="C151" s="830">
        <v>14</v>
      </c>
      <c r="D151" s="828"/>
      <c r="E151" s="546" t="s">
        <v>19</v>
      </c>
      <c r="F151" s="531">
        <v>86</v>
      </c>
      <c r="G151" s="531">
        <v>79</v>
      </c>
      <c r="H151" s="531">
        <v>65</v>
      </c>
      <c r="I151" s="531">
        <v>79</v>
      </c>
      <c r="J151" s="531">
        <v>75</v>
      </c>
      <c r="K151" s="531">
        <v>63</v>
      </c>
      <c r="L151" s="531">
        <v>72</v>
      </c>
      <c r="M151" s="531">
        <v>74</v>
      </c>
      <c r="N151" s="547">
        <v>77</v>
      </c>
      <c r="O151" s="531">
        <v>84</v>
      </c>
      <c r="P151" s="531">
        <v>89</v>
      </c>
      <c r="Q151" s="531">
        <v>96</v>
      </c>
      <c r="R151" s="531">
        <v>71</v>
      </c>
      <c r="S151" s="531">
        <v>1010</v>
      </c>
      <c r="T151" s="792">
        <v>77.692307692307693</v>
      </c>
      <c r="U151" s="550">
        <v>19</v>
      </c>
      <c r="V151" s="793"/>
      <c r="W151" s="559"/>
    </row>
    <row r="152" spans="1:23" ht="36" x14ac:dyDescent="0.55000000000000004">
      <c r="A152" s="838"/>
      <c r="B152" s="833"/>
      <c r="C152" s="831">
        <v>15</v>
      </c>
      <c r="D152" s="852"/>
      <c r="E152" s="566" t="s">
        <v>13</v>
      </c>
      <c r="F152" s="531">
        <f>AVERAGE(F150:F151)</f>
        <v>82.5</v>
      </c>
      <c r="G152" s="531">
        <f t="shared" ref="G152:O152" si="49">AVERAGE(G150:G151)</f>
        <v>82.5</v>
      </c>
      <c r="H152" s="531">
        <f t="shared" si="49"/>
        <v>75.5</v>
      </c>
      <c r="I152" s="531">
        <f t="shared" si="49"/>
        <v>74</v>
      </c>
      <c r="J152" s="531">
        <f t="shared" si="49"/>
        <v>67.5</v>
      </c>
      <c r="K152" s="531">
        <f t="shared" si="49"/>
        <v>70</v>
      </c>
      <c r="L152" s="531">
        <f t="shared" si="49"/>
        <v>72</v>
      </c>
      <c r="M152" s="531">
        <v>76.5</v>
      </c>
      <c r="N152" s="547">
        <v>72.5</v>
      </c>
      <c r="O152" s="531">
        <f t="shared" si="49"/>
        <v>81</v>
      </c>
      <c r="P152" s="531">
        <f>AVERAGE(P150:P151)</f>
        <v>88.5</v>
      </c>
      <c r="Q152" s="531">
        <f>AVERAGE(Q150:Q151)</f>
        <v>84.5</v>
      </c>
      <c r="R152" s="531">
        <f>AVERAGE(R150:R151)</f>
        <v>84</v>
      </c>
      <c r="S152" s="531">
        <f>AVERAGE(S150:S151)</f>
        <v>1011</v>
      </c>
      <c r="T152" s="792">
        <f>AVERAGE(T150:T151)</f>
        <v>77.769230769230774</v>
      </c>
      <c r="U152" s="550"/>
      <c r="V152" s="793"/>
      <c r="W152" s="559"/>
    </row>
    <row r="153" spans="1:23" ht="36" x14ac:dyDescent="0.55000000000000004">
      <c r="A153" s="839">
        <v>50</v>
      </c>
      <c r="B153" s="826"/>
      <c r="C153" s="853">
        <v>15</v>
      </c>
      <c r="D153" s="834" t="s">
        <v>17</v>
      </c>
      <c r="E153" s="546" t="s">
        <v>18</v>
      </c>
      <c r="F153" s="531">
        <v>99</v>
      </c>
      <c r="G153" s="531">
        <v>100</v>
      </c>
      <c r="H153" s="531">
        <v>96</v>
      </c>
      <c r="I153" s="531">
        <v>99</v>
      </c>
      <c r="J153" s="531">
        <v>100</v>
      </c>
      <c r="K153" s="531">
        <v>100</v>
      </c>
      <c r="L153" s="531">
        <v>99</v>
      </c>
      <c r="M153" s="531">
        <v>100</v>
      </c>
      <c r="N153" s="547">
        <v>100</v>
      </c>
      <c r="O153" s="531">
        <v>99</v>
      </c>
      <c r="P153" s="531">
        <v>100</v>
      </c>
      <c r="Q153" s="531">
        <v>92</v>
      </c>
      <c r="R153" s="531">
        <v>97</v>
      </c>
      <c r="S153" s="531">
        <v>1281</v>
      </c>
      <c r="T153" s="792">
        <v>98.538461538461533</v>
      </c>
      <c r="U153" s="550">
        <v>1</v>
      </c>
      <c r="V153" s="793"/>
      <c r="W153" s="559"/>
    </row>
    <row r="154" spans="1:23" ht="36" x14ac:dyDescent="0.55000000000000004">
      <c r="A154" s="839"/>
      <c r="B154" s="826"/>
      <c r="C154" s="853">
        <v>15</v>
      </c>
      <c r="D154" s="835"/>
      <c r="E154" s="546" t="s">
        <v>19</v>
      </c>
      <c r="F154" s="531">
        <v>100</v>
      </c>
      <c r="G154" s="531">
        <v>98</v>
      </c>
      <c r="H154" s="531">
        <v>100</v>
      </c>
      <c r="I154" s="531">
        <v>99</v>
      </c>
      <c r="J154" s="531">
        <v>100</v>
      </c>
      <c r="K154" s="531">
        <v>100</v>
      </c>
      <c r="L154" s="531">
        <v>99</v>
      </c>
      <c r="M154" s="531">
        <v>100</v>
      </c>
      <c r="N154" s="547">
        <v>100</v>
      </c>
      <c r="O154" s="531">
        <v>100</v>
      </c>
      <c r="P154" s="531">
        <v>100</v>
      </c>
      <c r="Q154" s="531">
        <v>100</v>
      </c>
      <c r="R154" s="531">
        <v>100</v>
      </c>
      <c r="S154" s="531">
        <v>1296</v>
      </c>
      <c r="T154" s="792">
        <v>99.692307692307693</v>
      </c>
      <c r="U154" s="550">
        <v>1</v>
      </c>
      <c r="V154" s="793"/>
      <c r="W154" s="559"/>
    </row>
    <row r="155" spans="1:23" ht="36" x14ac:dyDescent="0.55000000000000004">
      <c r="A155" s="839"/>
      <c r="B155" s="826"/>
      <c r="C155" s="853">
        <v>15</v>
      </c>
      <c r="D155" s="836"/>
      <c r="E155" s="546" t="s">
        <v>13</v>
      </c>
      <c r="F155" s="531">
        <f>AVERAGE(F153:F154)</f>
        <v>99.5</v>
      </c>
      <c r="G155" s="531">
        <f t="shared" ref="G155:T155" si="50">AVERAGE(G153:G154)</f>
        <v>99</v>
      </c>
      <c r="H155" s="531">
        <f t="shared" si="50"/>
        <v>98</v>
      </c>
      <c r="I155" s="531">
        <f t="shared" si="50"/>
        <v>99</v>
      </c>
      <c r="J155" s="531">
        <f t="shared" si="50"/>
        <v>100</v>
      </c>
      <c r="K155" s="531">
        <f t="shared" si="50"/>
        <v>100</v>
      </c>
      <c r="L155" s="531">
        <f t="shared" si="50"/>
        <v>99</v>
      </c>
      <c r="M155" s="531">
        <v>100</v>
      </c>
      <c r="N155" s="547">
        <v>100</v>
      </c>
      <c r="O155" s="531">
        <f t="shared" si="50"/>
        <v>99.5</v>
      </c>
      <c r="P155" s="531">
        <f t="shared" si="50"/>
        <v>100</v>
      </c>
      <c r="Q155" s="531">
        <f>AVERAGE(Q153:Q154)</f>
        <v>96</v>
      </c>
      <c r="R155" s="531">
        <f t="shared" si="50"/>
        <v>98.5</v>
      </c>
      <c r="S155" s="531">
        <f t="shared" si="50"/>
        <v>1288.5</v>
      </c>
      <c r="T155" s="792">
        <f t="shared" si="50"/>
        <v>99.115384615384613</v>
      </c>
      <c r="U155" s="550"/>
      <c r="V155" s="793"/>
      <c r="W155" s="559"/>
    </row>
    <row r="156" spans="1:23" ht="15.75" customHeight="1" x14ac:dyDescent="0.25">
      <c r="I156"/>
    </row>
    <row r="157" spans="1:23" ht="15.75" customHeight="1" x14ac:dyDescent="0.25">
      <c r="I157"/>
    </row>
    <row r="158" spans="1:23" ht="15.75" customHeight="1" x14ac:dyDescent="0.25">
      <c r="I158"/>
    </row>
    <row r="159" spans="1:23" ht="15.75" customHeight="1" x14ac:dyDescent="0.25">
      <c r="I159"/>
    </row>
    <row r="160" spans="1:23" ht="15.75" customHeight="1" x14ac:dyDescent="0.25">
      <c r="I160"/>
    </row>
    <row r="161" spans="9:9" ht="15.75" customHeight="1" x14ac:dyDescent="0.25">
      <c r="I161"/>
    </row>
    <row r="162" spans="9:9" ht="15.75" customHeight="1" x14ac:dyDescent="0.25">
      <c r="I162"/>
    </row>
    <row r="163" spans="9:9" ht="15.75" customHeight="1" x14ac:dyDescent="0.25">
      <c r="I163"/>
    </row>
    <row r="164" spans="9:9" ht="15.75" customHeight="1" x14ac:dyDescent="0.25">
      <c r="I164"/>
    </row>
    <row r="165" spans="9:9" ht="15.75" customHeight="1" x14ac:dyDescent="0.25">
      <c r="I165"/>
    </row>
    <row r="166" spans="9:9" ht="15.75" customHeight="1" x14ac:dyDescent="0.25">
      <c r="I166"/>
    </row>
    <row r="167" spans="9:9" ht="15.75" customHeight="1" x14ac:dyDescent="0.25">
      <c r="I167"/>
    </row>
    <row r="168" spans="9:9" ht="15.75" customHeight="1" x14ac:dyDescent="0.25">
      <c r="I168"/>
    </row>
    <row r="169" spans="9:9" ht="15.75" customHeight="1" x14ac:dyDescent="0.25">
      <c r="I169"/>
    </row>
    <row r="170" spans="9:9" ht="15.75" customHeight="1" x14ac:dyDescent="0.25">
      <c r="I170"/>
    </row>
  </sheetData>
  <mergeCells count="202">
    <mergeCell ref="A3:W3"/>
    <mergeCell ref="A1:W1"/>
    <mergeCell ref="A129:A131"/>
    <mergeCell ref="A132:A134"/>
    <mergeCell ref="A90:A92"/>
    <mergeCell ref="B90:B92"/>
    <mergeCell ref="C90:C92"/>
    <mergeCell ref="D90:D92"/>
    <mergeCell ref="B129:B131"/>
    <mergeCell ref="C129:C131"/>
    <mergeCell ref="D129:D131"/>
    <mergeCell ref="B132:B134"/>
    <mergeCell ref="C132:C134"/>
    <mergeCell ref="D132:D134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17:A119"/>
    <mergeCell ref="B117:B119"/>
    <mergeCell ref="A120:A122"/>
    <mergeCell ref="B120:B122"/>
    <mergeCell ref="A87:A89"/>
    <mergeCell ref="B87:B89"/>
    <mergeCell ref="C87:C89"/>
    <mergeCell ref="D87:D89"/>
    <mergeCell ref="A75:A77"/>
    <mergeCell ref="B75:B77"/>
    <mergeCell ref="C75:C77"/>
    <mergeCell ref="D75:D77"/>
    <mergeCell ref="A78:A80"/>
    <mergeCell ref="B78:B80"/>
    <mergeCell ref="C78:C80"/>
    <mergeCell ref="D78:D80"/>
    <mergeCell ref="A81:A83"/>
    <mergeCell ref="B81:B83"/>
    <mergeCell ref="C81:C83"/>
    <mergeCell ref="D81:D83"/>
    <mergeCell ref="C120:C122"/>
    <mergeCell ref="D120:D122"/>
    <mergeCell ref="A111:A113"/>
    <mergeCell ref="B111:B113"/>
    <mergeCell ref="C111:C113"/>
    <mergeCell ref="D111:D113"/>
    <mergeCell ref="A48:A50"/>
    <mergeCell ref="B48:B50"/>
    <mergeCell ref="C48:C50"/>
    <mergeCell ref="D48:D50"/>
    <mergeCell ref="D57:D59"/>
    <mergeCell ref="D60:D62"/>
    <mergeCell ref="A63:A65"/>
    <mergeCell ref="B63:B65"/>
    <mergeCell ref="C63:C65"/>
    <mergeCell ref="D63:D65"/>
    <mergeCell ref="A51:A53"/>
    <mergeCell ref="B51:B53"/>
    <mergeCell ref="C51:C53"/>
    <mergeCell ref="D51:D53"/>
    <mergeCell ref="A54:A56"/>
    <mergeCell ref="B54:B56"/>
    <mergeCell ref="C54:C56"/>
    <mergeCell ref="D54:D56"/>
    <mergeCell ref="D39:D41"/>
    <mergeCell ref="A42:A44"/>
    <mergeCell ref="B42:B44"/>
    <mergeCell ref="C42:C44"/>
    <mergeCell ref="D42:D44"/>
    <mergeCell ref="A45:A47"/>
    <mergeCell ref="B45:B47"/>
    <mergeCell ref="C45:C47"/>
    <mergeCell ref="D45:D47"/>
    <mergeCell ref="D9:D11"/>
    <mergeCell ref="A12:A14"/>
    <mergeCell ref="B12:B14"/>
    <mergeCell ref="C12:C14"/>
    <mergeCell ref="D12:D14"/>
    <mergeCell ref="A21:A23"/>
    <mergeCell ref="B21:B23"/>
    <mergeCell ref="C21:C23"/>
    <mergeCell ref="D21:D23"/>
    <mergeCell ref="A24:A26"/>
    <mergeCell ref="B24:B26"/>
    <mergeCell ref="C24:C26"/>
    <mergeCell ref="D24:D26"/>
    <mergeCell ref="A39:A41"/>
    <mergeCell ref="B39:B41"/>
    <mergeCell ref="C39:C41"/>
    <mergeCell ref="C117:C119"/>
    <mergeCell ref="D117:D119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99:A101"/>
    <mergeCell ref="B99:B101"/>
    <mergeCell ref="C99:C101"/>
    <mergeCell ref="D99:D101"/>
    <mergeCell ref="A102:A104"/>
    <mergeCell ref="B102:B104"/>
    <mergeCell ref="C102:C104"/>
    <mergeCell ref="A114:A116"/>
    <mergeCell ref="B114:B116"/>
    <mergeCell ref="C114:C116"/>
    <mergeCell ref="D114:D116"/>
    <mergeCell ref="D102:D104"/>
    <mergeCell ref="A93:A95"/>
    <mergeCell ref="B93:B95"/>
    <mergeCell ref="C93:C95"/>
    <mergeCell ref="D93:D95"/>
    <mergeCell ref="A96:A98"/>
    <mergeCell ref="B96:B98"/>
    <mergeCell ref="C96:C98"/>
    <mergeCell ref="D96:D98"/>
    <mergeCell ref="C84:C86"/>
    <mergeCell ref="D84:D86"/>
    <mergeCell ref="D66:D68"/>
    <mergeCell ref="A57:A59"/>
    <mergeCell ref="B57:B59"/>
    <mergeCell ref="C57:C59"/>
    <mergeCell ref="A60:A62"/>
    <mergeCell ref="B60:B62"/>
    <mergeCell ref="C60:C62"/>
    <mergeCell ref="A66:A68"/>
    <mergeCell ref="B66:B68"/>
    <mergeCell ref="A69:A71"/>
    <mergeCell ref="B69:B71"/>
    <mergeCell ref="C69:C71"/>
    <mergeCell ref="D69:D71"/>
    <mergeCell ref="A72:A74"/>
    <mergeCell ref="B72:B74"/>
    <mergeCell ref="C72:C74"/>
    <mergeCell ref="D72:D74"/>
    <mergeCell ref="A27:A29"/>
    <mergeCell ref="B27:B29"/>
    <mergeCell ref="C27:C29"/>
    <mergeCell ref="D27:D29"/>
    <mergeCell ref="A135:A137"/>
    <mergeCell ref="A138:A140"/>
    <mergeCell ref="A141:A143"/>
    <mergeCell ref="A144:A146"/>
    <mergeCell ref="A147:A149"/>
    <mergeCell ref="A33:A35"/>
    <mergeCell ref="B33:B35"/>
    <mergeCell ref="C33:C35"/>
    <mergeCell ref="D33:D35"/>
    <mergeCell ref="A36:A38"/>
    <mergeCell ref="B36:B38"/>
    <mergeCell ref="C36:C38"/>
    <mergeCell ref="D36:D38"/>
    <mergeCell ref="A30:A32"/>
    <mergeCell ref="B30:B32"/>
    <mergeCell ref="C30:C32"/>
    <mergeCell ref="D30:D32"/>
    <mergeCell ref="C66:C68"/>
    <mergeCell ref="A84:A86"/>
    <mergeCell ref="B84:B86"/>
    <mergeCell ref="A150:A152"/>
    <mergeCell ref="A153:A155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147:D149"/>
    <mergeCell ref="C150:C152"/>
    <mergeCell ref="D150:D152"/>
    <mergeCell ref="C135:C137"/>
    <mergeCell ref="C153:C155"/>
    <mergeCell ref="B147:B149"/>
    <mergeCell ref="B150:B152"/>
    <mergeCell ref="B153:B155"/>
    <mergeCell ref="D135:D137"/>
    <mergeCell ref="C138:C140"/>
    <mergeCell ref="D138:D140"/>
    <mergeCell ref="C141:C143"/>
    <mergeCell ref="D141:D143"/>
    <mergeCell ref="C144:C146"/>
    <mergeCell ref="D144:D146"/>
    <mergeCell ref="B135:B137"/>
    <mergeCell ref="B138:B140"/>
    <mergeCell ref="B141:B143"/>
    <mergeCell ref="B144:B146"/>
    <mergeCell ref="C147:C149"/>
    <mergeCell ref="D153:D155"/>
  </mergeCells>
  <pageMargins left="0.7" right="0.7" top="0.75" bottom="0.75" header="0.3" footer="0.3"/>
  <pageSetup paperSize="9" scale="31" orientation="landscape" r:id="rId1"/>
  <rowBreaks count="2" manualBreakCount="2">
    <brk id="74" max="16383" man="1"/>
    <brk id="11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6"/>
  <sheetViews>
    <sheetView zoomScaleNormal="100" workbookViewId="0">
      <selection activeCell="B4" sqref="B4:B53"/>
    </sheetView>
  </sheetViews>
  <sheetFormatPr defaultRowHeight="15" x14ac:dyDescent="0.25"/>
  <cols>
    <col min="1" max="1" width="7.85546875" customWidth="1"/>
    <col min="2" max="2" width="37.5703125" customWidth="1"/>
    <col min="3" max="3" width="5.140625" customWidth="1"/>
    <col min="4" max="4" width="5.5703125" customWidth="1"/>
    <col min="5" max="5" width="7.7109375" customWidth="1"/>
    <col min="6" max="6" width="9.28515625" bestFit="1" customWidth="1"/>
    <col min="7" max="7" width="8.85546875" customWidth="1"/>
    <col min="8" max="8" width="6.28515625" customWidth="1"/>
    <col min="9" max="9" width="8.140625" customWidth="1"/>
    <col min="10" max="10" width="7.7109375" customWidth="1"/>
    <col min="11" max="11" width="8.85546875" customWidth="1"/>
    <col min="12" max="12" width="7.28515625" customWidth="1"/>
    <col min="13" max="13" width="10.42578125" customWidth="1"/>
    <col min="14" max="14" width="7.28515625" customWidth="1"/>
    <col min="15" max="15" width="7.7109375" customWidth="1"/>
    <col min="16" max="16" width="8" customWidth="1"/>
    <col min="17" max="17" width="8.140625" customWidth="1"/>
    <col min="18" max="18" width="9.42578125" customWidth="1"/>
    <col min="19" max="19" width="13.42578125" customWidth="1"/>
    <col min="20" max="20" width="9.85546875" customWidth="1"/>
    <col min="21" max="21" width="10.5703125" customWidth="1"/>
    <col min="22" max="22" width="11" customWidth="1"/>
  </cols>
  <sheetData>
    <row r="1" spans="1:23" ht="20.25" x14ac:dyDescent="0.25">
      <c r="A1" s="861" t="s">
        <v>30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3"/>
    </row>
    <row r="2" spans="1:23" ht="18" thickBot="1" x14ac:dyDescent="0.3">
      <c r="A2" s="864" t="s">
        <v>31</v>
      </c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864"/>
      <c r="V2" s="864"/>
    </row>
    <row r="3" spans="1:23" ht="87" customHeight="1" thickBot="1" x14ac:dyDescent="0.3">
      <c r="A3" s="329" t="s">
        <v>68</v>
      </c>
      <c r="B3" s="330" t="s">
        <v>1</v>
      </c>
      <c r="C3" s="331" t="s">
        <v>2</v>
      </c>
      <c r="D3" s="330" t="s">
        <v>3</v>
      </c>
      <c r="E3" s="334" t="s">
        <v>22</v>
      </c>
      <c r="F3" s="334" t="s">
        <v>5</v>
      </c>
      <c r="G3" s="334" t="s">
        <v>29</v>
      </c>
      <c r="H3" s="334" t="s">
        <v>70</v>
      </c>
      <c r="I3" s="334" t="s">
        <v>71</v>
      </c>
      <c r="J3" s="334" t="s">
        <v>72</v>
      </c>
      <c r="K3" s="334" t="s">
        <v>73</v>
      </c>
      <c r="L3" s="334" t="s">
        <v>24</v>
      </c>
      <c r="M3" s="334" t="s">
        <v>74</v>
      </c>
      <c r="N3" s="334" t="s">
        <v>75</v>
      </c>
      <c r="O3" s="334" t="s">
        <v>27</v>
      </c>
      <c r="P3" s="334" t="s">
        <v>26</v>
      </c>
      <c r="Q3" s="334" t="s">
        <v>28</v>
      </c>
      <c r="R3" s="332" t="s">
        <v>12</v>
      </c>
      <c r="S3" s="335" t="s">
        <v>13</v>
      </c>
      <c r="T3" s="335" t="s">
        <v>14</v>
      </c>
      <c r="U3" s="335" t="s">
        <v>15</v>
      </c>
      <c r="V3" s="336" t="s">
        <v>16</v>
      </c>
      <c r="W3" s="333"/>
    </row>
    <row r="4" spans="1:23" ht="26.25" customHeight="1" thickBot="1" x14ac:dyDescent="0.3">
      <c r="A4" s="357">
        <v>1</v>
      </c>
      <c r="B4" s="358"/>
      <c r="C4" s="363">
        <v>14</v>
      </c>
      <c r="D4" s="363" t="s">
        <v>20</v>
      </c>
      <c r="E4" s="347">
        <v>91</v>
      </c>
      <c r="F4" s="348">
        <v>96</v>
      </c>
      <c r="G4" s="348">
        <v>87</v>
      </c>
      <c r="H4" s="348">
        <v>89</v>
      </c>
      <c r="I4" s="348">
        <v>93</v>
      </c>
      <c r="J4" s="348">
        <v>86</v>
      </c>
      <c r="K4" s="348">
        <v>71</v>
      </c>
      <c r="L4" s="348">
        <v>77</v>
      </c>
      <c r="M4" s="348">
        <v>92</v>
      </c>
      <c r="N4" s="348">
        <v>89</v>
      </c>
      <c r="O4" s="348">
        <v>96</v>
      </c>
      <c r="P4" s="348">
        <v>93</v>
      </c>
      <c r="Q4" s="348">
        <v>81</v>
      </c>
      <c r="R4" s="349">
        <f>SUM(E4:Q4)</f>
        <v>1141</v>
      </c>
      <c r="S4" s="350">
        <f>AVERAGE(E4:Q4)</f>
        <v>87.769230769230774</v>
      </c>
      <c r="T4" s="349">
        <f>RANK(S4,$S$4:$S$53)</f>
        <v>8</v>
      </c>
      <c r="U4" s="3"/>
      <c r="V4" s="2"/>
    </row>
    <row r="5" spans="1:23" ht="39" customHeight="1" thickBot="1" x14ac:dyDescent="0.3">
      <c r="A5" s="359">
        <v>2</v>
      </c>
      <c r="B5" s="360"/>
      <c r="C5" s="320">
        <v>14</v>
      </c>
      <c r="D5" s="320" t="s">
        <v>20</v>
      </c>
      <c r="E5" s="351">
        <v>91</v>
      </c>
      <c r="F5" s="352">
        <v>67</v>
      </c>
      <c r="G5" s="352">
        <v>87</v>
      </c>
      <c r="H5" s="352">
        <v>64</v>
      </c>
      <c r="I5" s="352">
        <v>53</v>
      </c>
      <c r="J5" s="352">
        <v>72</v>
      </c>
      <c r="K5" s="352">
        <v>64</v>
      </c>
      <c r="L5" s="352">
        <v>56</v>
      </c>
      <c r="M5" s="352">
        <v>72</v>
      </c>
      <c r="N5" s="352">
        <v>70</v>
      </c>
      <c r="O5" s="352">
        <v>74</v>
      </c>
      <c r="P5" s="352">
        <v>75</v>
      </c>
      <c r="Q5" s="352">
        <v>87</v>
      </c>
      <c r="R5" s="349">
        <f t="shared" ref="R5:R53" si="0">SUM(E5:Q5)</f>
        <v>932</v>
      </c>
      <c r="S5" s="350">
        <f t="shared" ref="S5:S53" si="1">AVERAGE(E5:Q5)</f>
        <v>71.692307692307693</v>
      </c>
      <c r="T5" s="349">
        <f t="shared" ref="T5:T53" si="2">RANK(S5,$S$4:$S$53)</f>
        <v>28</v>
      </c>
      <c r="U5" s="1"/>
      <c r="V5" s="1"/>
    </row>
    <row r="6" spans="1:23" ht="37.5" customHeight="1" thickBot="1" x14ac:dyDescent="0.3">
      <c r="A6" s="359">
        <v>3</v>
      </c>
      <c r="B6" s="361"/>
      <c r="C6" s="364">
        <v>15</v>
      </c>
      <c r="D6" s="365" t="s">
        <v>20</v>
      </c>
      <c r="E6" s="351">
        <v>87</v>
      </c>
      <c r="F6" s="352">
        <v>67</v>
      </c>
      <c r="G6" s="352">
        <v>82</v>
      </c>
      <c r="H6" s="352">
        <v>56</v>
      </c>
      <c r="I6" s="352">
        <v>61</v>
      </c>
      <c r="J6" s="352">
        <v>66</v>
      </c>
      <c r="K6" s="352">
        <v>61</v>
      </c>
      <c r="L6" s="352">
        <v>63</v>
      </c>
      <c r="M6" s="352">
        <v>70</v>
      </c>
      <c r="N6" s="352">
        <v>72</v>
      </c>
      <c r="O6" s="352">
        <v>85</v>
      </c>
      <c r="P6" s="352">
        <v>91</v>
      </c>
      <c r="Q6" s="352">
        <v>83</v>
      </c>
      <c r="R6" s="349">
        <f t="shared" si="0"/>
        <v>944</v>
      </c>
      <c r="S6" s="350">
        <f t="shared" si="1"/>
        <v>72.615384615384613</v>
      </c>
      <c r="T6" s="349">
        <f t="shared" si="2"/>
        <v>27</v>
      </c>
      <c r="U6" s="1"/>
      <c r="V6" s="1"/>
    </row>
    <row r="7" spans="1:23" ht="36" customHeight="1" thickBot="1" x14ac:dyDescent="0.3">
      <c r="A7" s="359">
        <v>4</v>
      </c>
      <c r="B7" s="360"/>
      <c r="C7" s="320">
        <v>15</v>
      </c>
      <c r="D7" s="320" t="s">
        <v>17</v>
      </c>
      <c r="E7" s="351">
        <v>81</v>
      </c>
      <c r="F7" s="352">
        <v>79</v>
      </c>
      <c r="G7" s="352">
        <v>95</v>
      </c>
      <c r="H7" s="352">
        <v>46</v>
      </c>
      <c r="I7" s="352">
        <v>56</v>
      </c>
      <c r="J7" s="352">
        <v>66</v>
      </c>
      <c r="K7" s="352">
        <v>55</v>
      </c>
      <c r="L7" s="352">
        <v>64</v>
      </c>
      <c r="M7" s="352">
        <v>70</v>
      </c>
      <c r="N7" s="352">
        <v>70</v>
      </c>
      <c r="O7" s="352">
        <v>65</v>
      </c>
      <c r="P7" s="352">
        <v>83</v>
      </c>
      <c r="Q7" s="352">
        <v>79</v>
      </c>
      <c r="R7" s="349">
        <f t="shared" si="0"/>
        <v>909</v>
      </c>
      <c r="S7" s="350">
        <f t="shared" si="1"/>
        <v>69.92307692307692</v>
      </c>
      <c r="T7" s="349">
        <f t="shared" si="2"/>
        <v>33</v>
      </c>
      <c r="U7" s="1"/>
      <c r="V7" s="1"/>
    </row>
    <row r="8" spans="1:23" ht="39" customHeight="1" thickBot="1" x14ac:dyDescent="0.3">
      <c r="A8" s="359">
        <v>5</v>
      </c>
      <c r="B8" s="360"/>
      <c r="C8" s="320">
        <v>15</v>
      </c>
      <c r="D8" s="320" t="s">
        <v>17</v>
      </c>
      <c r="E8" s="351">
        <v>77</v>
      </c>
      <c r="F8" s="352">
        <v>51</v>
      </c>
      <c r="G8" s="352">
        <v>66</v>
      </c>
      <c r="H8" s="352">
        <v>40</v>
      </c>
      <c r="I8" s="352">
        <v>47</v>
      </c>
      <c r="J8" s="352">
        <v>43</v>
      </c>
      <c r="K8" s="352">
        <v>41</v>
      </c>
      <c r="L8" s="352">
        <v>40</v>
      </c>
      <c r="M8" s="352">
        <v>38</v>
      </c>
      <c r="N8" s="352">
        <v>58</v>
      </c>
      <c r="O8" s="352">
        <v>52</v>
      </c>
      <c r="P8" s="352">
        <v>70</v>
      </c>
      <c r="Q8" s="352">
        <v>64</v>
      </c>
      <c r="R8" s="349">
        <f t="shared" si="0"/>
        <v>687</v>
      </c>
      <c r="S8" s="350">
        <f t="shared" si="1"/>
        <v>52.846153846153847</v>
      </c>
      <c r="T8" s="349">
        <f t="shared" si="2"/>
        <v>49</v>
      </c>
      <c r="U8" s="1"/>
      <c r="V8" s="1"/>
    </row>
    <row r="9" spans="1:23" ht="23.25" customHeight="1" thickBot="1" x14ac:dyDescent="0.3">
      <c r="A9" s="359">
        <v>6</v>
      </c>
      <c r="B9" s="360"/>
      <c r="C9" s="320">
        <v>15</v>
      </c>
      <c r="D9" s="320" t="s">
        <v>17</v>
      </c>
      <c r="E9" s="351">
        <v>88</v>
      </c>
      <c r="F9" s="352">
        <v>86</v>
      </c>
      <c r="G9" s="352">
        <v>82</v>
      </c>
      <c r="H9" s="352">
        <v>70</v>
      </c>
      <c r="I9" s="352">
        <v>86</v>
      </c>
      <c r="J9" s="352">
        <v>78</v>
      </c>
      <c r="K9" s="352">
        <v>82</v>
      </c>
      <c r="L9" s="352">
        <v>75</v>
      </c>
      <c r="M9" s="352">
        <v>80</v>
      </c>
      <c r="N9" s="352">
        <v>88</v>
      </c>
      <c r="O9" s="352">
        <v>87</v>
      </c>
      <c r="P9" s="352">
        <v>92</v>
      </c>
      <c r="Q9" s="352">
        <v>93</v>
      </c>
      <c r="R9" s="349">
        <f t="shared" si="0"/>
        <v>1087</v>
      </c>
      <c r="S9" s="350">
        <f t="shared" si="1"/>
        <v>83.615384615384613</v>
      </c>
      <c r="T9" s="349">
        <f t="shared" si="2"/>
        <v>14</v>
      </c>
      <c r="U9" s="1"/>
      <c r="V9" s="1"/>
    </row>
    <row r="10" spans="1:23" ht="35.25" customHeight="1" thickBot="1" x14ac:dyDescent="0.3">
      <c r="A10" s="359">
        <v>7</v>
      </c>
      <c r="B10" s="361"/>
      <c r="C10" s="364">
        <v>15</v>
      </c>
      <c r="D10" s="364" t="s">
        <v>20</v>
      </c>
      <c r="E10" s="351">
        <v>93</v>
      </c>
      <c r="F10" s="352">
        <v>86</v>
      </c>
      <c r="G10" s="352">
        <v>86</v>
      </c>
      <c r="H10" s="352">
        <v>64</v>
      </c>
      <c r="I10" s="352">
        <v>60</v>
      </c>
      <c r="J10" s="352">
        <v>77</v>
      </c>
      <c r="K10" s="352">
        <v>67</v>
      </c>
      <c r="L10" s="352">
        <v>74</v>
      </c>
      <c r="M10" s="352">
        <v>75</v>
      </c>
      <c r="N10" s="352">
        <v>86</v>
      </c>
      <c r="O10" s="352">
        <v>90</v>
      </c>
      <c r="P10" s="352">
        <v>88</v>
      </c>
      <c r="Q10" s="352">
        <v>83</v>
      </c>
      <c r="R10" s="349">
        <f t="shared" si="0"/>
        <v>1029</v>
      </c>
      <c r="S10" s="350">
        <f t="shared" si="1"/>
        <v>79.15384615384616</v>
      </c>
      <c r="T10" s="349">
        <f t="shared" si="2"/>
        <v>20</v>
      </c>
      <c r="U10" s="1"/>
      <c r="V10" s="1"/>
    </row>
    <row r="11" spans="1:23" ht="36.75" customHeight="1" thickBot="1" x14ac:dyDescent="0.3">
      <c r="A11" s="359">
        <v>8</v>
      </c>
      <c r="B11" s="361"/>
      <c r="C11" s="364">
        <v>15</v>
      </c>
      <c r="D11" s="364" t="s">
        <v>20</v>
      </c>
      <c r="E11" s="351">
        <v>75</v>
      </c>
      <c r="F11" s="352">
        <v>54</v>
      </c>
      <c r="G11" s="352">
        <v>79</v>
      </c>
      <c r="H11" s="352">
        <v>45</v>
      </c>
      <c r="I11" s="352">
        <v>50</v>
      </c>
      <c r="J11" s="352">
        <v>45</v>
      </c>
      <c r="K11" s="352">
        <v>44</v>
      </c>
      <c r="L11" s="352">
        <v>44</v>
      </c>
      <c r="M11" s="352">
        <v>42</v>
      </c>
      <c r="N11" s="352">
        <v>42</v>
      </c>
      <c r="O11" s="352">
        <v>54</v>
      </c>
      <c r="P11" s="352">
        <v>87</v>
      </c>
      <c r="Q11" s="352">
        <v>74</v>
      </c>
      <c r="R11" s="349">
        <f t="shared" si="0"/>
        <v>735</v>
      </c>
      <c r="S11" s="350">
        <f t="shared" si="1"/>
        <v>56.53846153846154</v>
      </c>
      <c r="T11" s="349">
        <f t="shared" si="2"/>
        <v>44</v>
      </c>
      <c r="U11" s="1"/>
      <c r="V11" s="1"/>
    </row>
    <row r="12" spans="1:23" ht="31.5" customHeight="1" thickBot="1" x14ac:dyDescent="0.3">
      <c r="A12" s="359">
        <v>9</v>
      </c>
      <c r="B12" s="361"/>
      <c r="C12" s="364">
        <v>14</v>
      </c>
      <c r="D12" s="364" t="s">
        <v>17</v>
      </c>
      <c r="E12" s="351">
        <v>85</v>
      </c>
      <c r="F12" s="352">
        <v>64</v>
      </c>
      <c r="G12" s="352">
        <v>84</v>
      </c>
      <c r="H12" s="352">
        <v>59</v>
      </c>
      <c r="I12" s="352">
        <v>64</v>
      </c>
      <c r="J12" s="352">
        <v>64</v>
      </c>
      <c r="K12" s="352">
        <v>52</v>
      </c>
      <c r="L12" s="352">
        <v>56</v>
      </c>
      <c r="M12" s="352">
        <v>60</v>
      </c>
      <c r="N12" s="352">
        <v>66</v>
      </c>
      <c r="O12" s="352">
        <v>69</v>
      </c>
      <c r="P12" s="352">
        <v>78</v>
      </c>
      <c r="Q12" s="352">
        <v>85</v>
      </c>
      <c r="R12" s="349">
        <f t="shared" si="0"/>
        <v>886</v>
      </c>
      <c r="S12" s="350">
        <f t="shared" si="1"/>
        <v>68.15384615384616</v>
      </c>
      <c r="T12" s="349">
        <f t="shared" si="2"/>
        <v>35</v>
      </c>
      <c r="U12" s="1"/>
      <c r="V12" s="1"/>
    </row>
    <row r="13" spans="1:23" ht="23.25" customHeight="1" thickBot="1" x14ac:dyDescent="0.3">
      <c r="A13" s="359">
        <v>10</v>
      </c>
      <c r="B13" s="360"/>
      <c r="C13" s="320">
        <v>16</v>
      </c>
      <c r="D13" s="320" t="s">
        <v>17</v>
      </c>
      <c r="E13" s="351">
        <v>75</v>
      </c>
      <c r="F13" s="352">
        <v>63</v>
      </c>
      <c r="G13" s="352">
        <v>81</v>
      </c>
      <c r="H13" s="352">
        <v>51</v>
      </c>
      <c r="I13" s="352">
        <v>59</v>
      </c>
      <c r="J13" s="352">
        <v>67</v>
      </c>
      <c r="K13" s="352">
        <v>50</v>
      </c>
      <c r="L13" s="352">
        <v>57</v>
      </c>
      <c r="M13" s="352">
        <v>51</v>
      </c>
      <c r="N13" s="352">
        <v>68</v>
      </c>
      <c r="O13" s="352">
        <v>76</v>
      </c>
      <c r="P13" s="352">
        <v>80</v>
      </c>
      <c r="Q13" s="352">
        <v>84</v>
      </c>
      <c r="R13" s="349">
        <f t="shared" si="0"/>
        <v>862</v>
      </c>
      <c r="S13" s="350">
        <f t="shared" si="1"/>
        <v>66.307692307692307</v>
      </c>
      <c r="T13" s="349">
        <f t="shared" si="2"/>
        <v>37</v>
      </c>
      <c r="U13" s="1"/>
      <c r="V13" s="1"/>
    </row>
    <row r="14" spans="1:23" ht="22.5" customHeight="1" thickBot="1" x14ac:dyDescent="0.3">
      <c r="A14" s="359">
        <v>11</v>
      </c>
      <c r="B14" s="360"/>
      <c r="C14" s="320">
        <v>14</v>
      </c>
      <c r="D14" s="320" t="s">
        <v>20</v>
      </c>
      <c r="E14" s="351">
        <v>87</v>
      </c>
      <c r="F14" s="352">
        <v>83</v>
      </c>
      <c r="G14" s="352">
        <v>87</v>
      </c>
      <c r="H14" s="352">
        <v>68</v>
      </c>
      <c r="I14" s="352">
        <v>69</v>
      </c>
      <c r="J14" s="352">
        <v>68</v>
      </c>
      <c r="K14" s="352">
        <v>68</v>
      </c>
      <c r="L14" s="352">
        <v>72</v>
      </c>
      <c r="M14" s="352">
        <v>69</v>
      </c>
      <c r="N14" s="352">
        <v>85</v>
      </c>
      <c r="O14" s="352">
        <v>75</v>
      </c>
      <c r="P14" s="352">
        <v>89</v>
      </c>
      <c r="Q14" s="352">
        <v>92</v>
      </c>
      <c r="R14" s="349">
        <f t="shared" si="0"/>
        <v>1012</v>
      </c>
      <c r="S14" s="350">
        <f t="shared" si="1"/>
        <v>77.84615384615384</v>
      </c>
      <c r="T14" s="349">
        <f t="shared" si="2"/>
        <v>23</v>
      </c>
      <c r="U14" s="1"/>
      <c r="V14" s="1"/>
    </row>
    <row r="15" spans="1:23" ht="22.5" customHeight="1" thickBot="1" x14ac:dyDescent="0.3">
      <c r="A15" s="359">
        <v>12</v>
      </c>
      <c r="B15" s="360"/>
      <c r="C15" s="320">
        <v>15</v>
      </c>
      <c r="D15" s="320" t="s">
        <v>20</v>
      </c>
      <c r="E15" s="351">
        <v>84</v>
      </c>
      <c r="F15" s="352">
        <v>78</v>
      </c>
      <c r="G15" s="352">
        <v>93</v>
      </c>
      <c r="H15" s="352">
        <v>62</v>
      </c>
      <c r="I15" s="352">
        <v>70</v>
      </c>
      <c r="J15" s="352">
        <v>82</v>
      </c>
      <c r="K15" s="352">
        <v>61</v>
      </c>
      <c r="L15" s="352">
        <v>79</v>
      </c>
      <c r="M15" s="352">
        <v>80</v>
      </c>
      <c r="N15" s="352">
        <v>83</v>
      </c>
      <c r="O15" s="352">
        <v>92</v>
      </c>
      <c r="P15" s="352">
        <v>88</v>
      </c>
      <c r="Q15" s="352">
        <v>85</v>
      </c>
      <c r="R15" s="349">
        <f t="shared" si="0"/>
        <v>1037</v>
      </c>
      <c r="S15" s="350">
        <f t="shared" si="1"/>
        <v>79.769230769230774</v>
      </c>
      <c r="T15" s="349">
        <f t="shared" si="2"/>
        <v>19</v>
      </c>
      <c r="U15" s="1"/>
      <c r="V15" s="1"/>
    </row>
    <row r="16" spans="1:23" ht="26.25" customHeight="1" thickBot="1" x14ac:dyDescent="0.3">
      <c r="A16" s="359">
        <v>13</v>
      </c>
      <c r="B16" s="360"/>
      <c r="C16" s="320">
        <v>14</v>
      </c>
      <c r="D16" s="320" t="s">
        <v>20</v>
      </c>
      <c r="E16" s="351">
        <v>75</v>
      </c>
      <c r="F16" s="352">
        <v>44</v>
      </c>
      <c r="G16" s="352">
        <v>76</v>
      </c>
      <c r="H16" s="352">
        <v>46</v>
      </c>
      <c r="I16" s="352">
        <v>56</v>
      </c>
      <c r="J16" s="352">
        <v>55</v>
      </c>
      <c r="K16" s="352">
        <v>47</v>
      </c>
      <c r="L16" s="352">
        <v>48</v>
      </c>
      <c r="M16" s="352">
        <v>53</v>
      </c>
      <c r="N16" s="352">
        <v>59</v>
      </c>
      <c r="O16" s="352">
        <v>63</v>
      </c>
      <c r="P16" s="352">
        <v>83</v>
      </c>
      <c r="Q16" s="352">
        <v>77</v>
      </c>
      <c r="R16" s="349">
        <f t="shared" si="0"/>
        <v>782</v>
      </c>
      <c r="S16" s="350">
        <f t="shared" si="1"/>
        <v>60.153846153846153</v>
      </c>
      <c r="T16" s="349">
        <f t="shared" si="2"/>
        <v>41</v>
      </c>
      <c r="U16" s="1"/>
      <c r="V16" s="1"/>
    </row>
    <row r="17" spans="1:22" ht="23.25" customHeight="1" thickBot="1" x14ac:dyDescent="0.3">
      <c r="A17" s="359">
        <v>14</v>
      </c>
      <c r="B17" s="360"/>
      <c r="C17" s="320">
        <v>15</v>
      </c>
      <c r="D17" s="320" t="s">
        <v>20</v>
      </c>
      <c r="E17" s="351">
        <v>91</v>
      </c>
      <c r="F17" s="352">
        <v>81</v>
      </c>
      <c r="G17" s="352">
        <v>95</v>
      </c>
      <c r="H17" s="352">
        <v>66</v>
      </c>
      <c r="I17" s="352">
        <v>68</v>
      </c>
      <c r="J17" s="352">
        <v>84</v>
      </c>
      <c r="K17" s="352">
        <v>87</v>
      </c>
      <c r="L17" s="352">
        <v>82</v>
      </c>
      <c r="M17" s="352">
        <v>82</v>
      </c>
      <c r="N17" s="352">
        <v>94</v>
      </c>
      <c r="O17" s="352">
        <v>95</v>
      </c>
      <c r="P17" s="352">
        <v>92</v>
      </c>
      <c r="Q17" s="352">
        <v>90</v>
      </c>
      <c r="R17" s="349">
        <f t="shared" si="0"/>
        <v>1107</v>
      </c>
      <c r="S17" s="350">
        <f t="shared" si="1"/>
        <v>85.15384615384616</v>
      </c>
      <c r="T17" s="349">
        <f t="shared" si="2"/>
        <v>12</v>
      </c>
      <c r="U17" s="1"/>
      <c r="V17" s="1"/>
    </row>
    <row r="18" spans="1:22" ht="29.25" customHeight="1" thickBot="1" x14ac:dyDescent="0.3">
      <c r="A18" s="359">
        <v>15</v>
      </c>
      <c r="B18" s="360"/>
      <c r="C18" s="320">
        <v>15</v>
      </c>
      <c r="D18" s="320" t="s">
        <v>20</v>
      </c>
      <c r="E18" s="351">
        <v>87</v>
      </c>
      <c r="F18" s="352">
        <v>89</v>
      </c>
      <c r="G18" s="353">
        <v>98</v>
      </c>
      <c r="H18" s="352">
        <v>75</v>
      </c>
      <c r="I18" s="352">
        <v>77</v>
      </c>
      <c r="J18" s="352">
        <v>82</v>
      </c>
      <c r="K18" s="352">
        <v>74</v>
      </c>
      <c r="L18" s="352">
        <v>81</v>
      </c>
      <c r="M18" s="352">
        <v>84</v>
      </c>
      <c r="N18" s="352">
        <v>93</v>
      </c>
      <c r="O18" s="352">
        <v>97</v>
      </c>
      <c r="P18" s="352">
        <v>96</v>
      </c>
      <c r="Q18" s="352">
        <v>93</v>
      </c>
      <c r="R18" s="349">
        <f t="shared" si="0"/>
        <v>1126</v>
      </c>
      <c r="S18" s="350">
        <f t="shared" si="1"/>
        <v>86.615384615384613</v>
      </c>
      <c r="T18" s="349">
        <f t="shared" si="2"/>
        <v>9</v>
      </c>
      <c r="U18" s="1"/>
      <c r="V18" s="1"/>
    </row>
    <row r="19" spans="1:22" ht="28.5" customHeight="1" thickBot="1" x14ac:dyDescent="0.3">
      <c r="A19" s="359">
        <v>16</v>
      </c>
      <c r="B19" s="360"/>
      <c r="C19" s="320">
        <v>16</v>
      </c>
      <c r="D19" s="320" t="s">
        <v>20</v>
      </c>
      <c r="E19" s="351">
        <v>82</v>
      </c>
      <c r="F19" s="352">
        <v>55</v>
      </c>
      <c r="G19" s="352">
        <v>79</v>
      </c>
      <c r="H19" s="352">
        <v>71</v>
      </c>
      <c r="I19" s="352">
        <v>66</v>
      </c>
      <c r="J19" s="352">
        <v>61</v>
      </c>
      <c r="K19" s="352">
        <v>60</v>
      </c>
      <c r="L19" s="352">
        <v>62</v>
      </c>
      <c r="M19" s="352">
        <v>63</v>
      </c>
      <c r="N19" s="352">
        <v>62</v>
      </c>
      <c r="O19" s="352">
        <v>88</v>
      </c>
      <c r="P19" s="352">
        <v>86</v>
      </c>
      <c r="Q19" s="352">
        <v>84</v>
      </c>
      <c r="R19" s="349">
        <f t="shared" si="0"/>
        <v>919</v>
      </c>
      <c r="S19" s="350">
        <f t="shared" si="1"/>
        <v>70.692307692307693</v>
      </c>
      <c r="T19" s="349">
        <f t="shared" si="2"/>
        <v>32</v>
      </c>
      <c r="U19" s="1"/>
      <c r="V19" s="1"/>
    </row>
    <row r="20" spans="1:22" ht="25.5" customHeight="1" thickBot="1" x14ac:dyDescent="0.3">
      <c r="A20" s="359">
        <v>17</v>
      </c>
      <c r="B20" s="360"/>
      <c r="C20" s="320">
        <v>15</v>
      </c>
      <c r="D20" s="344" t="s">
        <v>20</v>
      </c>
      <c r="E20" s="351">
        <v>94</v>
      </c>
      <c r="F20" s="352">
        <v>97</v>
      </c>
      <c r="G20" s="352">
        <v>100</v>
      </c>
      <c r="H20" s="352">
        <v>89</v>
      </c>
      <c r="I20" s="352">
        <v>96</v>
      </c>
      <c r="J20" s="352">
        <v>95</v>
      </c>
      <c r="K20" s="352">
        <v>84</v>
      </c>
      <c r="L20" s="352">
        <v>91</v>
      </c>
      <c r="M20" s="352">
        <v>95</v>
      </c>
      <c r="N20" s="352">
        <v>91</v>
      </c>
      <c r="O20" s="352">
        <v>100</v>
      </c>
      <c r="P20" s="352">
        <v>97</v>
      </c>
      <c r="Q20" s="352">
        <v>94</v>
      </c>
      <c r="R20" s="349">
        <f t="shared" si="0"/>
        <v>1223</v>
      </c>
      <c r="S20" s="350">
        <f t="shared" si="1"/>
        <v>94.07692307692308</v>
      </c>
      <c r="T20" s="349">
        <f t="shared" si="2"/>
        <v>4</v>
      </c>
      <c r="U20" s="1"/>
      <c r="V20" s="1"/>
    </row>
    <row r="21" spans="1:22" ht="27" customHeight="1" thickBot="1" x14ac:dyDescent="0.3">
      <c r="A21" s="359">
        <v>18</v>
      </c>
      <c r="B21" s="360"/>
      <c r="C21" s="320">
        <v>15</v>
      </c>
      <c r="D21" s="344" t="s">
        <v>20</v>
      </c>
      <c r="E21" s="351">
        <v>81</v>
      </c>
      <c r="F21" s="352">
        <v>64</v>
      </c>
      <c r="G21" s="353">
        <v>85</v>
      </c>
      <c r="H21" s="352">
        <v>65</v>
      </c>
      <c r="I21" s="352">
        <v>64</v>
      </c>
      <c r="J21" s="352">
        <v>73</v>
      </c>
      <c r="K21" s="352">
        <v>65</v>
      </c>
      <c r="L21" s="352">
        <v>72</v>
      </c>
      <c r="M21" s="352">
        <v>64</v>
      </c>
      <c r="N21" s="352">
        <v>70</v>
      </c>
      <c r="O21" s="352">
        <v>87</v>
      </c>
      <c r="P21" s="352">
        <v>89</v>
      </c>
      <c r="Q21" s="352">
        <v>81</v>
      </c>
      <c r="R21" s="349">
        <f t="shared" si="0"/>
        <v>960</v>
      </c>
      <c r="S21" s="350">
        <f t="shared" si="1"/>
        <v>73.84615384615384</v>
      </c>
      <c r="T21" s="349">
        <f t="shared" si="2"/>
        <v>25</v>
      </c>
      <c r="U21" s="1"/>
      <c r="V21" s="1"/>
    </row>
    <row r="22" spans="1:22" ht="24" customHeight="1" thickBot="1" x14ac:dyDescent="0.3">
      <c r="A22" s="359">
        <v>19</v>
      </c>
      <c r="B22" s="360"/>
      <c r="C22" s="320">
        <v>14</v>
      </c>
      <c r="D22" s="320" t="s">
        <v>20</v>
      </c>
      <c r="E22" s="351">
        <v>80</v>
      </c>
      <c r="F22" s="352">
        <v>86</v>
      </c>
      <c r="G22" s="352">
        <v>87</v>
      </c>
      <c r="H22" s="352">
        <v>63</v>
      </c>
      <c r="I22" s="352">
        <v>66</v>
      </c>
      <c r="J22" s="352">
        <v>85</v>
      </c>
      <c r="K22" s="352">
        <v>78</v>
      </c>
      <c r="L22" s="352">
        <v>74</v>
      </c>
      <c r="M22" s="352">
        <v>69</v>
      </c>
      <c r="N22" s="352">
        <v>85</v>
      </c>
      <c r="O22" s="352">
        <v>93</v>
      </c>
      <c r="P22" s="352">
        <v>88</v>
      </c>
      <c r="Q22" s="352">
        <v>92</v>
      </c>
      <c r="R22" s="349">
        <f t="shared" si="0"/>
        <v>1046</v>
      </c>
      <c r="S22" s="350">
        <f t="shared" si="1"/>
        <v>80.461538461538467</v>
      </c>
      <c r="T22" s="349">
        <f t="shared" si="2"/>
        <v>18</v>
      </c>
      <c r="U22" s="1"/>
      <c r="V22" s="1"/>
    </row>
    <row r="23" spans="1:22" ht="25.5" customHeight="1" thickBot="1" x14ac:dyDescent="0.3">
      <c r="A23" s="359">
        <v>20</v>
      </c>
      <c r="B23" s="360"/>
      <c r="C23" s="320">
        <v>14</v>
      </c>
      <c r="D23" s="320" t="s">
        <v>20</v>
      </c>
      <c r="E23" s="351">
        <v>98</v>
      </c>
      <c r="F23" s="352">
        <v>87</v>
      </c>
      <c r="G23" s="352">
        <v>94</v>
      </c>
      <c r="H23" s="352">
        <v>90</v>
      </c>
      <c r="I23" s="352">
        <v>90</v>
      </c>
      <c r="J23" s="352">
        <v>97</v>
      </c>
      <c r="K23" s="352">
        <v>92</v>
      </c>
      <c r="L23" s="352">
        <v>90</v>
      </c>
      <c r="M23" s="352">
        <v>95</v>
      </c>
      <c r="N23" s="352">
        <v>96</v>
      </c>
      <c r="O23" s="352">
        <v>98</v>
      </c>
      <c r="P23" s="352">
        <v>94</v>
      </c>
      <c r="Q23" s="352">
        <v>94</v>
      </c>
      <c r="R23" s="349">
        <f t="shared" si="0"/>
        <v>1215</v>
      </c>
      <c r="S23" s="350">
        <f t="shared" si="1"/>
        <v>93.461538461538467</v>
      </c>
      <c r="T23" s="349">
        <f t="shared" si="2"/>
        <v>5</v>
      </c>
      <c r="U23" s="1"/>
      <c r="V23" s="1"/>
    </row>
    <row r="24" spans="1:22" ht="20.25" customHeight="1" thickBot="1" x14ac:dyDescent="0.3">
      <c r="A24" s="359">
        <v>21</v>
      </c>
      <c r="B24" s="360"/>
      <c r="C24" s="320">
        <v>14</v>
      </c>
      <c r="D24" s="320" t="s">
        <v>17</v>
      </c>
      <c r="E24" s="351">
        <v>83</v>
      </c>
      <c r="F24" s="352">
        <v>84</v>
      </c>
      <c r="G24" s="352">
        <v>78</v>
      </c>
      <c r="H24" s="352">
        <v>69</v>
      </c>
      <c r="I24" s="352">
        <v>75</v>
      </c>
      <c r="J24" s="352">
        <v>79</v>
      </c>
      <c r="K24" s="352">
        <v>82</v>
      </c>
      <c r="L24" s="352">
        <v>76</v>
      </c>
      <c r="M24" s="352">
        <v>83</v>
      </c>
      <c r="N24" s="352">
        <v>86</v>
      </c>
      <c r="O24" s="352">
        <v>95</v>
      </c>
      <c r="P24" s="352">
        <v>86</v>
      </c>
      <c r="Q24" s="352">
        <v>81</v>
      </c>
      <c r="R24" s="349">
        <f t="shared" si="0"/>
        <v>1057</v>
      </c>
      <c r="S24" s="350">
        <f t="shared" si="1"/>
        <v>81.307692307692307</v>
      </c>
      <c r="T24" s="349">
        <f t="shared" si="2"/>
        <v>17</v>
      </c>
      <c r="U24" s="1"/>
      <c r="V24" s="1"/>
    </row>
    <row r="25" spans="1:22" ht="27.75" customHeight="1" thickBot="1" x14ac:dyDescent="0.3">
      <c r="A25" s="359">
        <v>22</v>
      </c>
      <c r="B25" s="360"/>
      <c r="C25" s="320">
        <v>16</v>
      </c>
      <c r="D25" s="320" t="s">
        <v>20</v>
      </c>
      <c r="E25" s="351">
        <v>75</v>
      </c>
      <c r="F25" s="352">
        <v>55</v>
      </c>
      <c r="G25" s="352">
        <v>73</v>
      </c>
      <c r="H25" s="352">
        <v>43</v>
      </c>
      <c r="I25" s="352">
        <v>56</v>
      </c>
      <c r="J25" s="352">
        <v>68</v>
      </c>
      <c r="K25" s="352">
        <v>56</v>
      </c>
      <c r="L25" s="352">
        <v>67</v>
      </c>
      <c r="M25" s="352">
        <v>64</v>
      </c>
      <c r="N25" s="352">
        <v>72</v>
      </c>
      <c r="O25" s="352">
        <v>72</v>
      </c>
      <c r="P25" s="352">
        <v>67</v>
      </c>
      <c r="Q25" s="352">
        <v>80</v>
      </c>
      <c r="R25" s="349">
        <f t="shared" si="0"/>
        <v>848</v>
      </c>
      <c r="S25" s="350">
        <f t="shared" si="1"/>
        <v>65.230769230769226</v>
      </c>
      <c r="T25" s="349">
        <f t="shared" si="2"/>
        <v>38</v>
      </c>
      <c r="U25" s="1"/>
      <c r="V25" s="1"/>
    </row>
    <row r="26" spans="1:22" ht="21" customHeight="1" thickBot="1" x14ac:dyDescent="0.3">
      <c r="A26" s="359">
        <v>23</v>
      </c>
      <c r="B26" s="360"/>
      <c r="C26" s="320">
        <v>15</v>
      </c>
      <c r="D26" s="344" t="s">
        <v>20</v>
      </c>
      <c r="E26" s="351">
        <v>89</v>
      </c>
      <c r="F26" s="352">
        <v>83</v>
      </c>
      <c r="G26" s="352">
        <v>68</v>
      </c>
      <c r="H26" s="352">
        <v>69</v>
      </c>
      <c r="I26" s="352">
        <v>58</v>
      </c>
      <c r="J26" s="352">
        <v>70</v>
      </c>
      <c r="K26" s="352">
        <v>59</v>
      </c>
      <c r="L26" s="352">
        <v>59</v>
      </c>
      <c r="M26" s="352">
        <v>60</v>
      </c>
      <c r="N26" s="352">
        <v>76</v>
      </c>
      <c r="O26" s="352">
        <v>78</v>
      </c>
      <c r="P26" s="352">
        <v>78</v>
      </c>
      <c r="Q26" s="352">
        <v>75</v>
      </c>
      <c r="R26" s="349">
        <f t="shared" si="0"/>
        <v>922</v>
      </c>
      <c r="S26" s="350">
        <f t="shared" si="1"/>
        <v>70.92307692307692</v>
      </c>
      <c r="T26" s="349">
        <f t="shared" si="2"/>
        <v>31</v>
      </c>
      <c r="U26" s="1"/>
      <c r="V26" s="1"/>
    </row>
    <row r="27" spans="1:22" ht="22.5" customHeight="1" thickBot="1" x14ac:dyDescent="0.3">
      <c r="A27" s="359">
        <v>24</v>
      </c>
      <c r="B27" s="360"/>
      <c r="C27" s="320">
        <v>16</v>
      </c>
      <c r="D27" s="320" t="s">
        <v>20</v>
      </c>
      <c r="E27" s="351">
        <v>75</v>
      </c>
      <c r="F27" s="352">
        <v>44</v>
      </c>
      <c r="G27" s="353">
        <v>71</v>
      </c>
      <c r="H27" s="353">
        <v>48</v>
      </c>
      <c r="I27" s="352">
        <v>54</v>
      </c>
      <c r="J27" s="353">
        <v>44</v>
      </c>
      <c r="K27" s="352">
        <v>44</v>
      </c>
      <c r="L27" s="352">
        <v>47</v>
      </c>
      <c r="M27" s="352">
        <v>45</v>
      </c>
      <c r="N27" s="352">
        <v>52</v>
      </c>
      <c r="O27" s="352">
        <v>49</v>
      </c>
      <c r="P27" s="352">
        <v>65</v>
      </c>
      <c r="Q27" s="352">
        <v>66</v>
      </c>
      <c r="R27" s="349">
        <f t="shared" si="0"/>
        <v>704</v>
      </c>
      <c r="S27" s="350">
        <f t="shared" si="1"/>
        <v>54.153846153846153</v>
      </c>
      <c r="T27" s="349">
        <f t="shared" si="2"/>
        <v>45</v>
      </c>
      <c r="U27" s="1"/>
      <c r="V27" s="1"/>
    </row>
    <row r="28" spans="1:22" ht="27" customHeight="1" thickBot="1" x14ac:dyDescent="0.3">
      <c r="A28" s="359">
        <v>25</v>
      </c>
      <c r="B28" s="360"/>
      <c r="C28" s="320">
        <v>15</v>
      </c>
      <c r="D28" s="344" t="s">
        <v>20</v>
      </c>
      <c r="E28" s="351">
        <v>98</v>
      </c>
      <c r="F28" s="353">
        <v>97</v>
      </c>
      <c r="G28" s="353">
        <v>100</v>
      </c>
      <c r="H28" s="352">
        <v>91</v>
      </c>
      <c r="I28" s="353">
        <v>96</v>
      </c>
      <c r="J28" s="352">
        <v>100</v>
      </c>
      <c r="K28" s="352">
        <v>95</v>
      </c>
      <c r="L28" s="352">
        <v>98</v>
      </c>
      <c r="M28" s="352">
        <v>100</v>
      </c>
      <c r="N28" s="352">
        <v>98</v>
      </c>
      <c r="O28" s="352">
        <v>98</v>
      </c>
      <c r="P28" s="352">
        <v>100</v>
      </c>
      <c r="Q28" s="352">
        <v>100</v>
      </c>
      <c r="R28" s="349">
        <f t="shared" si="0"/>
        <v>1271</v>
      </c>
      <c r="S28" s="350">
        <f t="shared" si="1"/>
        <v>97.769230769230774</v>
      </c>
      <c r="T28" s="349">
        <f t="shared" si="2"/>
        <v>2</v>
      </c>
      <c r="U28" s="1"/>
      <c r="V28" s="1"/>
    </row>
    <row r="29" spans="1:22" ht="21" customHeight="1" thickBot="1" x14ac:dyDescent="0.3">
      <c r="A29" s="359">
        <v>26</v>
      </c>
      <c r="B29" s="360"/>
      <c r="C29" s="320">
        <v>15</v>
      </c>
      <c r="D29" s="344" t="s">
        <v>20</v>
      </c>
      <c r="E29" s="351">
        <v>86</v>
      </c>
      <c r="F29" s="352">
        <v>86</v>
      </c>
      <c r="G29" s="352">
        <v>100</v>
      </c>
      <c r="H29" s="352">
        <v>83</v>
      </c>
      <c r="I29" s="352">
        <v>73</v>
      </c>
      <c r="J29" s="352">
        <v>84</v>
      </c>
      <c r="K29" s="352">
        <v>75</v>
      </c>
      <c r="L29" s="352">
        <v>80</v>
      </c>
      <c r="M29" s="352">
        <v>88</v>
      </c>
      <c r="N29" s="352">
        <v>90</v>
      </c>
      <c r="O29" s="352">
        <v>95</v>
      </c>
      <c r="P29" s="352">
        <v>96</v>
      </c>
      <c r="Q29" s="352">
        <v>82</v>
      </c>
      <c r="R29" s="349">
        <f t="shared" si="0"/>
        <v>1118</v>
      </c>
      <c r="S29" s="350">
        <f t="shared" si="1"/>
        <v>86</v>
      </c>
      <c r="T29" s="349">
        <f t="shared" si="2"/>
        <v>11</v>
      </c>
      <c r="U29" s="1"/>
      <c r="V29" s="1"/>
    </row>
    <row r="30" spans="1:22" ht="29.25" customHeight="1" thickBot="1" x14ac:dyDescent="0.3">
      <c r="A30" s="359">
        <v>27</v>
      </c>
      <c r="B30" s="362"/>
      <c r="C30" s="366">
        <v>15</v>
      </c>
      <c r="D30" s="366" t="s">
        <v>20</v>
      </c>
      <c r="E30" s="351">
        <v>88</v>
      </c>
      <c r="F30" s="352">
        <v>84</v>
      </c>
      <c r="G30" s="353">
        <v>91</v>
      </c>
      <c r="H30" s="352">
        <v>72</v>
      </c>
      <c r="I30" s="352">
        <v>66</v>
      </c>
      <c r="J30" s="352">
        <v>77</v>
      </c>
      <c r="K30" s="352">
        <v>81</v>
      </c>
      <c r="L30" s="352">
        <v>77</v>
      </c>
      <c r="M30" s="352">
        <v>77</v>
      </c>
      <c r="N30" s="352">
        <v>83</v>
      </c>
      <c r="O30" s="352">
        <v>95</v>
      </c>
      <c r="P30" s="352">
        <v>85</v>
      </c>
      <c r="Q30" s="352">
        <v>83</v>
      </c>
      <c r="R30" s="349">
        <f t="shared" si="0"/>
        <v>1059</v>
      </c>
      <c r="S30" s="350">
        <f t="shared" si="1"/>
        <v>81.461538461538467</v>
      </c>
      <c r="T30" s="349">
        <f t="shared" si="2"/>
        <v>16</v>
      </c>
      <c r="U30" s="1"/>
      <c r="V30" s="1"/>
    </row>
    <row r="31" spans="1:22" ht="28.5" customHeight="1" thickBot="1" x14ac:dyDescent="0.3">
      <c r="A31" s="359">
        <v>28</v>
      </c>
      <c r="B31" s="360"/>
      <c r="C31" s="320">
        <v>15</v>
      </c>
      <c r="D31" s="344" t="s">
        <v>20</v>
      </c>
      <c r="E31" s="351">
        <v>91</v>
      </c>
      <c r="F31" s="352">
        <v>82</v>
      </c>
      <c r="G31" s="352">
        <v>91</v>
      </c>
      <c r="H31" s="352">
        <v>69</v>
      </c>
      <c r="I31" s="352">
        <v>62</v>
      </c>
      <c r="J31" s="352">
        <v>85</v>
      </c>
      <c r="K31" s="352">
        <v>69</v>
      </c>
      <c r="L31" s="352">
        <v>74</v>
      </c>
      <c r="M31" s="352">
        <v>98</v>
      </c>
      <c r="N31" s="352">
        <v>86</v>
      </c>
      <c r="O31" s="352">
        <v>96</v>
      </c>
      <c r="P31" s="352">
        <v>93</v>
      </c>
      <c r="Q31" s="352">
        <v>94</v>
      </c>
      <c r="R31" s="349">
        <f t="shared" si="0"/>
        <v>1090</v>
      </c>
      <c r="S31" s="350">
        <f t="shared" si="1"/>
        <v>83.84615384615384</v>
      </c>
      <c r="T31" s="349">
        <f t="shared" si="2"/>
        <v>13</v>
      </c>
      <c r="U31" s="1"/>
      <c r="V31" s="1"/>
    </row>
    <row r="32" spans="1:22" ht="28.5" customHeight="1" thickBot="1" x14ac:dyDescent="0.3">
      <c r="A32" s="359">
        <v>29</v>
      </c>
      <c r="B32" s="360"/>
      <c r="C32" s="320">
        <v>13</v>
      </c>
      <c r="D32" s="344" t="s">
        <v>20</v>
      </c>
      <c r="E32" s="351">
        <v>73</v>
      </c>
      <c r="F32" s="352">
        <v>85</v>
      </c>
      <c r="G32" s="352">
        <v>84</v>
      </c>
      <c r="H32" s="352">
        <v>74</v>
      </c>
      <c r="I32" s="352">
        <v>76</v>
      </c>
      <c r="J32" s="352">
        <v>75</v>
      </c>
      <c r="K32" s="352">
        <v>79</v>
      </c>
      <c r="L32" s="352">
        <v>71</v>
      </c>
      <c r="M32" s="352">
        <v>72</v>
      </c>
      <c r="N32" s="352">
        <v>81</v>
      </c>
      <c r="O32" s="352">
        <v>87</v>
      </c>
      <c r="P32" s="352">
        <v>82</v>
      </c>
      <c r="Q32" s="352">
        <v>89</v>
      </c>
      <c r="R32" s="349">
        <f t="shared" si="0"/>
        <v>1028</v>
      </c>
      <c r="S32" s="350">
        <f t="shared" si="1"/>
        <v>79.07692307692308</v>
      </c>
      <c r="T32" s="349">
        <f t="shared" si="2"/>
        <v>21</v>
      </c>
      <c r="U32" s="1"/>
      <c r="V32" s="1"/>
    </row>
    <row r="33" spans="1:22" ht="27.75" customHeight="1" thickBot="1" x14ac:dyDescent="0.3">
      <c r="A33" s="359">
        <v>30</v>
      </c>
      <c r="B33" s="360"/>
      <c r="C33" s="367">
        <v>15</v>
      </c>
      <c r="D33" s="344" t="s">
        <v>17</v>
      </c>
      <c r="E33" s="351">
        <v>68</v>
      </c>
      <c r="F33" s="353">
        <v>58</v>
      </c>
      <c r="G33" s="353">
        <v>75</v>
      </c>
      <c r="H33" s="353">
        <v>63</v>
      </c>
      <c r="I33" s="352">
        <v>51</v>
      </c>
      <c r="J33" s="352">
        <v>61</v>
      </c>
      <c r="K33" s="352">
        <v>43</v>
      </c>
      <c r="L33" s="352">
        <v>59</v>
      </c>
      <c r="M33" s="352">
        <v>50</v>
      </c>
      <c r="N33" s="352">
        <v>45</v>
      </c>
      <c r="O33" s="352">
        <v>67</v>
      </c>
      <c r="P33" s="353">
        <v>68</v>
      </c>
      <c r="Q33" s="353">
        <v>74</v>
      </c>
      <c r="R33" s="349">
        <f t="shared" si="0"/>
        <v>782</v>
      </c>
      <c r="S33" s="350">
        <f t="shared" si="1"/>
        <v>60.153846153846153</v>
      </c>
      <c r="T33" s="349">
        <f t="shared" si="2"/>
        <v>41</v>
      </c>
      <c r="U33" s="1"/>
      <c r="V33" s="1"/>
    </row>
    <row r="34" spans="1:22" ht="27.75" customHeight="1" thickBot="1" x14ac:dyDescent="0.3">
      <c r="A34" s="359">
        <v>31</v>
      </c>
      <c r="B34" s="360"/>
      <c r="C34" s="367">
        <v>15</v>
      </c>
      <c r="D34" s="367" t="s">
        <v>20</v>
      </c>
      <c r="E34" s="351">
        <v>94</v>
      </c>
      <c r="F34" s="352">
        <v>95</v>
      </c>
      <c r="G34" s="353">
        <v>96</v>
      </c>
      <c r="H34" s="352">
        <v>65</v>
      </c>
      <c r="I34" s="352">
        <v>74</v>
      </c>
      <c r="J34" s="352">
        <v>88</v>
      </c>
      <c r="K34" s="353">
        <v>89</v>
      </c>
      <c r="L34" s="352">
        <v>73</v>
      </c>
      <c r="M34" s="352">
        <v>88</v>
      </c>
      <c r="N34" s="352">
        <v>87</v>
      </c>
      <c r="O34" s="352">
        <v>97</v>
      </c>
      <c r="P34" s="352">
        <v>86</v>
      </c>
      <c r="Q34" s="352">
        <v>94</v>
      </c>
      <c r="R34" s="349">
        <f t="shared" si="0"/>
        <v>1126</v>
      </c>
      <c r="S34" s="350">
        <f t="shared" si="1"/>
        <v>86.615384615384613</v>
      </c>
      <c r="T34" s="349">
        <f t="shared" si="2"/>
        <v>9</v>
      </c>
      <c r="U34" s="1"/>
      <c r="V34" s="1"/>
    </row>
    <row r="35" spans="1:22" ht="27" customHeight="1" thickBot="1" x14ac:dyDescent="0.3">
      <c r="A35" s="359">
        <v>32</v>
      </c>
      <c r="B35" s="360"/>
      <c r="C35" s="367">
        <v>15</v>
      </c>
      <c r="D35" s="367" t="s">
        <v>20</v>
      </c>
      <c r="E35" s="351">
        <v>89</v>
      </c>
      <c r="F35" s="352">
        <v>57</v>
      </c>
      <c r="G35" s="352">
        <v>95</v>
      </c>
      <c r="H35" s="352">
        <v>68</v>
      </c>
      <c r="I35" s="352">
        <v>59</v>
      </c>
      <c r="J35" s="352">
        <v>74</v>
      </c>
      <c r="K35" s="352">
        <v>54</v>
      </c>
      <c r="L35" s="352">
        <v>65</v>
      </c>
      <c r="M35" s="352">
        <v>62</v>
      </c>
      <c r="N35" s="352">
        <v>70</v>
      </c>
      <c r="O35" s="352">
        <v>80</v>
      </c>
      <c r="P35" s="352">
        <v>79</v>
      </c>
      <c r="Q35" s="352">
        <v>75</v>
      </c>
      <c r="R35" s="349">
        <f t="shared" si="0"/>
        <v>927</v>
      </c>
      <c r="S35" s="350">
        <f t="shared" si="1"/>
        <v>71.307692307692307</v>
      </c>
      <c r="T35" s="349">
        <f t="shared" si="2"/>
        <v>29</v>
      </c>
      <c r="U35" s="1"/>
      <c r="V35" s="1"/>
    </row>
    <row r="36" spans="1:22" ht="28.5" customHeight="1" thickBot="1" x14ac:dyDescent="0.3">
      <c r="A36" s="359">
        <v>33</v>
      </c>
      <c r="B36" s="360"/>
      <c r="C36" s="367">
        <v>14</v>
      </c>
      <c r="D36" s="367" t="s">
        <v>20</v>
      </c>
      <c r="E36" s="351">
        <v>94</v>
      </c>
      <c r="F36" s="352">
        <v>93</v>
      </c>
      <c r="G36" s="353">
        <v>94</v>
      </c>
      <c r="H36" s="352">
        <v>85</v>
      </c>
      <c r="I36" s="352">
        <v>85</v>
      </c>
      <c r="J36" s="352">
        <v>100</v>
      </c>
      <c r="K36" s="352">
        <v>96</v>
      </c>
      <c r="L36" s="352">
        <v>88</v>
      </c>
      <c r="M36" s="352">
        <v>96</v>
      </c>
      <c r="N36" s="352">
        <v>92</v>
      </c>
      <c r="O36" s="352">
        <v>97</v>
      </c>
      <c r="P36" s="352">
        <v>94</v>
      </c>
      <c r="Q36" s="352">
        <v>98</v>
      </c>
      <c r="R36" s="349">
        <f t="shared" si="0"/>
        <v>1212</v>
      </c>
      <c r="S36" s="350">
        <f t="shared" si="1"/>
        <v>93.230769230769226</v>
      </c>
      <c r="T36" s="349">
        <f t="shared" si="2"/>
        <v>6</v>
      </c>
      <c r="U36" s="1"/>
      <c r="V36" s="1"/>
    </row>
    <row r="37" spans="1:22" ht="27.75" customHeight="1" thickBot="1" x14ac:dyDescent="0.3">
      <c r="A37" s="359">
        <v>34</v>
      </c>
      <c r="B37" s="360"/>
      <c r="C37" s="367">
        <v>14</v>
      </c>
      <c r="D37" s="367" t="s">
        <v>17</v>
      </c>
      <c r="E37" s="351">
        <v>76</v>
      </c>
      <c r="F37" s="352">
        <v>51</v>
      </c>
      <c r="G37" s="352">
        <v>72</v>
      </c>
      <c r="H37" s="352">
        <v>44</v>
      </c>
      <c r="I37" s="352">
        <v>55</v>
      </c>
      <c r="J37" s="352">
        <v>58</v>
      </c>
      <c r="K37" s="352">
        <v>48</v>
      </c>
      <c r="L37" s="352">
        <v>54</v>
      </c>
      <c r="M37" s="352">
        <v>44</v>
      </c>
      <c r="N37" s="352">
        <v>58</v>
      </c>
      <c r="O37" s="352">
        <v>72</v>
      </c>
      <c r="P37" s="352">
        <v>71</v>
      </c>
      <c r="Q37" s="352">
        <v>78</v>
      </c>
      <c r="R37" s="349">
        <f t="shared" si="0"/>
        <v>781</v>
      </c>
      <c r="S37" s="350">
        <f t="shared" si="1"/>
        <v>60.07692307692308</v>
      </c>
      <c r="T37" s="349">
        <f t="shared" si="2"/>
        <v>43</v>
      </c>
      <c r="U37" s="1"/>
      <c r="V37" s="1"/>
    </row>
    <row r="38" spans="1:22" ht="28.5" customHeight="1" thickBot="1" x14ac:dyDescent="0.3">
      <c r="A38" s="359">
        <v>35</v>
      </c>
      <c r="B38" s="360"/>
      <c r="C38" s="367">
        <v>14</v>
      </c>
      <c r="D38" s="367" t="s">
        <v>20</v>
      </c>
      <c r="E38" s="351">
        <v>69</v>
      </c>
      <c r="F38" s="352">
        <v>41</v>
      </c>
      <c r="G38" s="352">
        <v>76</v>
      </c>
      <c r="H38" s="352">
        <v>44</v>
      </c>
      <c r="I38" s="352">
        <v>52</v>
      </c>
      <c r="J38" s="352">
        <v>46</v>
      </c>
      <c r="K38" s="352">
        <v>38</v>
      </c>
      <c r="L38" s="352">
        <v>40</v>
      </c>
      <c r="M38" s="352">
        <v>44</v>
      </c>
      <c r="N38" s="352">
        <v>48</v>
      </c>
      <c r="O38" s="352">
        <v>60</v>
      </c>
      <c r="P38" s="352">
        <v>72</v>
      </c>
      <c r="Q38" s="352">
        <v>71</v>
      </c>
      <c r="R38" s="349">
        <f t="shared" si="0"/>
        <v>701</v>
      </c>
      <c r="S38" s="350">
        <f t="shared" si="1"/>
        <v>53.92307692307692</v>
      </c>
      <c r="T38" s="349">
        <f t="shared" si="2"/>
        <v>47</v>
      </c>
      <c r="U38" s="1"/>
      <c r="V38" s="1"/>
    </row>
    <row r="39" spans="1:22" ht="25.5" customHeight="1" thickBot="1" x14ac:dyDescent="0.3">
      <c r="A39" s="359">
        <v>36</v>
      </c>
      <c r="B39" s="360"/>
      <c r="C39" s="367">
        <v>15</v>
      </c>
      <c r="D39" s="367" t="s">
        <v>17</v>
      </c>
      <c r="E39" s="351">
        <v>79</v>
      </c>
      <c r="F39" s="352">
        <v>88</v>
      </c>
      <c r="G39" s="353">
        <v>73</v>
      </c>
      <c r="H39" s="352">
        <v>74</v>
      </c>
      <c r="I39" s="352">
        <v>64</v>
      </c>
      <c r="J39" s="352">
        <v>74</v>
      </c>
      <c r="K39" s="352">
        <v>65</v>
      </c>
      <c r="L39" s="352">
        <v>82</v>
      </c>
      <c r="M39" s="352">
        <v>74</v>
      </c>
      <c r="N39" s="352">
        <v>85</v>
      </c>
      <c r="O39" s="352">
        <v>97</v>
      </c>
      <c r="P39" s="352">
        <v>85</v>
      </c>
      <c r="Q39" s="352">
        <v>85</v>
      </c>
      <c r="R39" s="349">
        <f t="shared" si="0"/>
        <v>1025</v>
      </c>
      <c r="S39" s="350">
        <f t="shared" si="1"/>
        <v>78.84615384615384</v>
      </c>
      <c r="T39" s="349">
        <f t="shared" si="2"/>
        <v>22</v>
      </c>
      <c r="U39" s="1"/>
      <c r="V39" s="1"/>
    </row>
    <row r="40" spans="1:22" ht="24.75" customHeight="1" thickBot="1" x14ac:dyDescent="0.3">
      <c r="A40" s="359">
        <v>37</v>
      </c>
      <c r="B40" s="360"/>
      <c r="C40" s="367">
        <v>15</v>
      </c>
      <c r="D40" s="367" t="s">
        <v>20</v>
      </c>
      <c r="E40" s="351">
        <v>83</v>
      </c>
      <c r="F40" s="352">
        <v>71</v>
      </c>
      <c r="G40" s="352">
        <v>84</v>
      </c>
      <c r="H40" s="352">
        <v>65</v>
      </c>
      <c r="I40" s="352">
        <v>72</v>
      </c>
      <c r="J40" s="352">
        <v>69</v>
      </c>
      <c r="K40" s="352">
        <v>61</v>
      </c>
      <c r="L40" s="352">
        <v>65</v>
      </c>
      <c r="M40" s="352">
        <v>62</v>
      </c>
      <c r="N40" s="352">
        <v>73</v>
      </c>
      <c r="O40" s="352">
        <v>86</v>
      </c>
      <c r="P40" s="352">
        <v>87</v>
      </c>
      <c r="Q40" s="352">
        <v>82</v>
      </c>
      <c r="R40" s="349">
        <f t="shared" si="0"/>
        <v>960</v>
      </c>
      <c r="S40" s="350">
        <f t="shared" si="1"/>
        <v>73.84615384615384</v>
      </c>
      <c r="T40" s="349">
        <f t="shared" si="2"/>
        <v>25</v>
      </c>
      <c r="U40" s="1"/>
      <c r="V40" s="1"/>
    </row>
    <row r="41" spans="1:22" ht="30" customHeight="1" thickBot="1" x14ac:dyDescent="0.3">
      <c r="A41" s="359">
        <v>38</v>
      </c>
      <c r="B41" s="360"/>
      <c r="C41" s="367">
        <v>15</v>
      </c>
      <c r="D41" s="367" t="s">
        <v>20</v>
      </c>
      <c r="E41" s="351">
        <v>67</v>
      </c>
      <c r="F41" s="352">
        <v>56</v>
      </c>
      <c r="G41" s="352">
        <v>79</v>
      </c>
      <c r="H41" s="352">
        <v>36</v>
      </c>
      <c r="I41" s="352">
        <v>45</v>
      </c>
      <c r="J41" s="352">
        <v>44</v>
      </c>
      <c r="K41" s="352">
        <v>40</v>
      </c>
      <c r="L41" s="352">
        <v>41</v>
      </c>
      <c r="M41" s="352">
        <v>44</v>
      </c>
      <c r="N41" s="352">
        <v>50</v>
      </c>
      <c r="O41" s="352">
        <v>49</v>
      </c>
      <c r="P41" s="352">
        <v>65</v>
      </c>
      <c r="Q41" s="352">
        <v>70</v>
      </c>
      <c r="R41" s="349">
        <f t="shared" si="0"/>
        <v>686</v>
      </c>
      <c r="S41" s="350">
        <f t="shared" si="1"/>
        <v>52.769230769230766</v>
      </c>
      <c r="T41" s="349">
        <f t="shared" si="2"/>
        <v>50</v>
      </c>
      <c r="U41" s="1"/>
      <c r="V41" s="1"/>
    </row>
    <row r="42" spans="1:22" ht="27" customHeight="1" thickBot="1" x14ac:dyDescent="0.3">
      <c r="A42" s="359">
        <v>39</v>
      </c>
      <c r="B42" s="360"/>
      <c r="C42" s="367">
        <v>16</v>
      </c>
      <c r="D42" s="367" t="s">
        <v>20</v>
      </c>
      <c r="E42" s="351">
        <v>75</v>
      </c>
      <c r="F42" s="352">
        <v>62</v>
      </c>
      <c r="G42" s="353">
        <v>72</v>
      </c>
      <c r="H42" s="352">
        <v>34</v>
      </c>
      <c r="I42" s="352">
        <v>35</v>
      </c>
      <c r="J42" s="352">
        <v>48</v>
      </c>
      <c r="K42" s="352">
        <v>45</v>
      </c>
      <c r="L42" s="352">
        <v>45</v>
      </c>
      <c r="M42" s="352">
        <v>43</v>
      </c>
      <c r="N42" s="352">
        <v>56</v>
      </c>
      <c r="O42" s="352">
        <v>45</v>
      </c>
      <c r="P42" s="352">
        <v>62</v>
      </c>
      <c r="Q42" s="352">
        <v>81</v>
      </c>
      <c r="R42" s="349">
        <f t="shared" si="0"/>
        <v>703</v>
      </c>
      <c r="S42" s="350">
        <f t="shared" si="1"/>
        <v>54.07692307692308</v>
      </c>
      <c r="T42" s="349">
        <f t="shared" si="2"/>
        <v>46</v>
      </c>
      <c r="U42" s="1"/>
      <c r="V42" s="1"/>
    </row>
    <row r="43" spans="1:22" ht="29.25" customHeight="1" thickBot="1" x14ac:dyDescent="0.3">
      <c r="A43" s="359">
        <v>40</v>
      </c>
      <c r="B43" s="360"/>
      <c r="C43" s="367">
        <v>15</v>
      </c>
      <c r="D43" s="367" t="s">
        <v>20</v>
      </c>
      <c r="E43" s="351">
        <v>76</v>
      </c>
      <c r="F43" s="352">
        <v>52</v>
      </c>
      <c r="G43" s="352">
        <v>65</v>
      </c>
      <c r="H43" s="352">
        <v>32</v>
      </c>
      <c r="I43" s="352">
        <v>47</v>
      </c>
      <c r="J43" s="352">
        <v>44</v>
      </c>
      <c r="K43" s="353">
        <v>44</v>
      </c>
      <c r="L43" s="352">
        <v>45</v>
      </c>
      <c r="M43" s="352">
        <v>50</v>
      </c>
      <c r="N43" s="352">
        <v>51</v>
      </c>
      <c r="O43" s="352">
        <v>51</v>
      </c>
      <c r="P43" s="352">
        <v>66</v>
      </c>
      <c r="Q43" s="352">
        <v>75</v>
      </c>
      <c r="R43" s="349">
        <f t="shared" si="0"/>
        <v>698</v>
      </c>
      <c r="S43" s="350">
        <f t="shared" si="1"/>
        <v>53.692307692307693</v>
      </c>
      <c r="T43" s="349">
        <f t="shared" si="2"/>
        <v>48</v>
      </c>
      <c r="U43" s="1"/>
      <c r="V43" s="1"/>
    </row>
    <row r="44" spans="1:22" ht="24" customHeight="1" thickBot="1" x14ac:dyDescent="0.3">
      <c r="A44" s="359">
        <v>41</v>
      </c>
      <c r="B44" s="360"/>
      <c r="C44" s="367">
        <v>15</v>
      </c>
      <c r="D44" s="367" t="s">
        <v>20</v>
      </c>
      <c r="E44" s="351">
        <v>96</v>
      </c>
      <c r="F44" s="352">
        <v>94</v>
      </c>
      <c r="G44" s="352">
        <v>98</v>
      </c>
      <c r="H44" s="352">
        <v>98</v>
      </c>
      <c r="I44" s="352">
        <v>94</v>
      </c>
      <c r="J44" s="352">
        <v>98</v>
      </c>
      <c r="K44" s="352">
        <v>90</v>
      </c>
      <c r="L44" s="352">
        <v>96</v>
      </c>
      <c r="M44" s="352">
        <v>96</v>
      </c>
      <c r="N44" s="352">
        <v>94</v>
      </c>
      <c r="O44" s="352">
        <v>100</v>
      </c>
      <c r="P44" s="352">
        <v>98</v>
      </c>
      <c r="Q44" s="352">
        <v>100</v>
      </c>
      <c r="R44" s="349">
        <f t="shared" si="0"/>
        <v>1252</v>
      </c>
      <c r="S44" s="350">
        <f t="shared" si="1"/>
        <v>96.307692307692307</v>
      </c>
      <c r="T44" s="349">
        <f t="shared" si="2"/>
        <v>3</v>
      </c>
      <c r="U44" s="1"/>
      <c r="V44" s="1"/>
    </row>
    <row r="45" spans="1:22" ht="26.25" customHeight="1" thickBot="1" x14ac:dyDescent="0.3">
      <c r="A45" s="359">
        <v>42</v>
      </c>
      <c r="B45" s="360"/>
      <c r="C45" s="367">
        <v>15</v>
      </c>
      <c r="D45" s="367" t="s">
        <v>20</v>
      </c>
      <c r="E45" s="351">
        <v>83</v>
      </c>
      <c r="F45" s="353">
        <v>59</v>
      </c>
      <c r="G45" s="353">
        <v>83</v>
      </c>
      <c r="H45" s="353">
        <v>65</v>
      </c>
      <c r="I45" s="352">
        <v>58</v>
      </c>
      <c r="J45" s="352">
        <v>64</v>
      </c>
      <c r="K45" s="352">
        <v>54</v>
      </c>
      <c r="L45" s="352">
        <v>63</v>
      </c>
      <c r="M45" s="352">
        <v>54</v>
      </c>
      <c r="N45" s="353">
        <v>71</v>
      </c>
      <c r="O45" s="353">
        <v>78</v>
      </c>
      <c r="P45" s="352">
        <v>76</v>
      </c>
      <c r="Q45" s="352">
        <v>87</v>
      </c>
      <c r="R45" s="349">
        <f t="shared" si="0"/>
        <v>895</v>
      </c>
      <c r="S45" s="350">
        <f t="shared" si="1"/>
        <v>68.84615384615384</v>
      </c>
      <c r="T45" s="349">
        <f t="shared" si="2"/>
        <v>34</v>
      </c>
      <c r="U45" s="1"/>
      <c r="V45" s="1"/>
    </row>
    <row r="46" spans="1:22" ht="25.5" customHeight="1" thickBot="1" x14ac:dyDescent="0.3">
      <c r="A46" s="359">
        <v>43</v>
      </c>
      <c r="B46" s="360"/>
      <c r="C46" s="367">
        <v>15</v>
      </c>
      <c r="D46" s="367" t="s">
        <v>17</v>
      </c>
      <c r="E46" s="351">
        <v>93</v>
      </c>
      <c r="F46" s="353">
        <v>90</v>
      </c>
      <c r="G46" s="353">
        <v>88</v>
      </c>
      <c r="H46" s="352">
        <v>89</v>
      </c>
      <c r="I46" s="353">
        <v>80</v>
      </c>
      <c r="J46" s="352">
        <v>89</v>
      </c>
      <c r="K46" s="353">
        <v>81</v>
      </c>
      <c r="L46" s="353">
        <v>88</v>
      </c>
      <c r="M46" s="352">
        <v>83</v>
      </c>
      <c r="N46" s="352">
        <v>96</v>
      </c>
      <c r="O46" s="352">
        <v>94</v>
      </c>
      <c r="P46" s="353">
        <v>95</v>
      </c>
      <c r="Q46" s="353">
        <v>97</v>
      </c>
      <c r="R46" s="349">
        <f t="shared" si="0"/>
        <v>1163</v>
      </c>
      <c r="S46" s="350">
        <f t="shared" si="1"/>
        <v>89.461538461538467</v>
      </c>
      <c r="T46" s="349">
        <f t="shared" si="2"/>
        <v>7</v>
      </c>
      <c r="U46" s="1"/>
      <c r="V46" s="1"/>
    </row>
    <row r="47" spans="1:22" ht="24.75" customHeight="1" thickBot="1" x14ac:dyDescent="0.3">
      <c r="A47" s="359">
        <v>44</v>
      </c>
      <c r="B47" s="360"/>
      <c r="C47" s="367">
        <v>15</v>
      </c>
      <c r="D47" s="367" t="s">
        <v>20</v>
      </c>
      <c r="E47" s="351">
        <v>76</v>
      </c>
      <c r="F47" s="352">
        <v>51</v>
      </c>
      <c r="G47" s="352">
        <v>77</v>
      </c>
      <c r="H47" s="352">
        <v>56</v>
      </c>
      <c r="I47" s="352">
        <v>56</v>
      </c>
      <c r="J47" s="352">
        <v>59</v>
      </c>
      <c r="K47" s="352">
        <v>83</v>
      </c>
      <c r="L47" s="352">
        <v>63</v>
      </c>
      <c r="M47" s="352">
        <v>57</v>
      </c>
      <c r="N47" s="352">
        <v>67</v>
      </c>
      <c r="O47" s="352">
        <v>63</v>
      </c>
      <c r="P47" s="352">
        <v>84</v>
      </c>
      <c r="Q47" s="352">
        <v>76</v>
      </c>
      <c r="R47" s="349">
        <f t="shared" si="0"/>
        <v>868</v>
      </c>
      <c r="S47" s="350">
        <f t="shared" si="1"/>
        <v>66.769230769230774</v>
      </c>
      <c r="T47" s="349">
        <f t="shared" si="2"/>
        <v>36</v>
      </c>
      <c r="U47" s="1"/>
      <c r="V47" s="1"/>
    </row>
    <row r="48" spans="1:22" ht="20.25" customHeight="1" thickBot="1" x14ac:dyDescent="0.3">
      <c r="A48" s="359">
        <v>45</v>
      </c>
      <c r="B48" s="360"/>
      <c r="C48" s="367">
        <v>15</v>
      </c>
      <c r="D48" s="367" t="s">
        <v>20</v>
      </c>
      <c r="E48" s="351">
        <v>78</v>
      </c>
      <c r="F48" s="352">
        <v>63</v>
      </c>
      <c r="G48" s="352">
        <v>80</v>
      </c>
      <c r="H48" s="352">
        <v>61</v>
      </c>
      <c r="I48" s="352">
        <v>60</v>
      </c>
      <c r="J48" s="352">
        <v>64</v>
      </c>
      <c r="K48" s="352">
        <v>50</v>
      </c>
      <c r="L48" s="352">
        <v>60</v>
      </c>
      <c r="M48" s="352">
        <v>55</v>
      </c>
      <c r="N48" s="352">
        <v>71</v>
      </c>
      <c r="O48" s="352">
        <v>55</v>
      </c>
      <c r="P48" s="352">
        <v>79</v>
      </c>
      <c r="Q48" s="352">
        <v>69</v>
      </c>
      <c r="R48" s="349">
        <f t="shared" si="0"/>
        <v>845</v>
      </c>
      <c r="S48" s="350">
        <f t="shared" si="1"/>
        <v>65</v>
      </c>
      <c r="T48" s="349">
        <f t="shared" si="2"/>
        <v>39</v>
      </c>
      <c r="U48" s="1"/>
      <c r="V48" s="1"/>
    </row>
    <row r="49" spans="1:22" ht="23.25" customHeight="1" thickBot="1" x14ac:dyDescent="0.3">
      <c r="A49" s="359">
        <v>46</v>
      </c>
      <c r="B49" s="360"/>
      <c r="C49" s="367">
        <v>14</v>
      </c>
      <c r="D49" s="367" t="s">
        <v>20</v>
      </c>
      <c r="E49" s="351">
        <v>83</v>
      </c>
      <c r="F49" s="352">
        <v>70</v>
      </c>
      <c r="G49" s="352">
        <v>78</v>
      </c>
      <c r="H49" s="352">
        <v>55</v>
      </c>
      <c r="I49" s="352">
        <v>57</v>
      </c>
      <c r="J49" s="352">
        <v>64</v>
      </c>
      <c r="K49" s="353">
        <v>61</v>
      </c>
      <c r="L49" s="352">
        <v>63</v>
      </c>
      <c r="M49" s="352">
        <v>73</v>
      </c>
      <c r="N49" s="352">
        <v>78</v>
      </c>
      <c r="O49" s="352">
        <v>76</v>
      </c>
      <c r="P49" s="352">
        <v>89</v>
      </c>
      <c r="Q49" s="352">
        <v>76</v>
      </c>
      <c r="R49" s="349">
        <f t="shared" si="0"/>
        <v>923</v>
      </c>
      <c r="S49" s="350">
        <f t="shared" si="1"/>
        <v>71</v>
      </c>
      <c r="T49" s="349">
        <f t="shared" si="2"/>
        <v>30</v>
      </c>
      <c r="U49" s="1"/>
      <c r="V49" s="1"/>
    </row>
    <row r="50" spans="1:22" ht="25.5" customHeight="1" thickBot="1" x14ac:dyDescent="0.3">
      <c r="A50" s="359">
        <v>47</v>
      </c>
      <c r="B50" s="360"/>
      <c r="C50" s="367">
        <v>15</v>
      </c>
      <c r="D50" s="367" t="s">
        <v>17</v>
      </c>
      <c r="E50" s="351">
        <v>79</v>
      </c>
      <c r="F50" s="352">
        <v>53</v>
      </c>
      <c r="G50" s="352">
        <v>74</v>
      </c>
      <c r="H50" s="352">
        <v>51</v>
      </c>
      <c r="I50" s="352">
        <v>60</v>
      </c>
      <c r="J50" s="352">
        <v>57</v>
      </c>
      <c r="K50" s="352">
        <v>51</v>
      </c>
      <c r="L50" s="352">
        <v>53</v>
      </c>
      <c r="M50" s="352">
        <v>57</v>
      </c>
      <c r="N50" s="352">
        <v>62</v>
      </c>
      <c r="O50" s="352">
        <v>66</v>
      </c>
      <c r="P50" s="352">
        <v>66</v>
      </c>
      <c r="Q50" s="352">
        <v>82</v>
      </c>
      <c r="R50" s="349">
        <f t="shared" si="0"/>
        <v>811</v>
      </c>
      <c r="S50" s="350">
        <f t="shared" si="1"/>
        <v>62.384615384615387</v>
      </c>
      <c r="T50" s="349">
        <f t="shared" si="2"/>
        <v>40</v>
      </c>
      <c r="U50" s="1"/>
      <c r="V50" s="1"/>
    </row>
    <row r="51" spans="1:22" ht="23.25" customHeight="1" thickBot="1" x14ac:dyDescent="0.3">
      <c r="A51" s="359">
        <v>48</v>
      </c>
      <c r="B51" s="360"/>
      <c r="C51" s="367">
        <v>15</v>
      </c>
      <c r="D51" s="367" t="s">
        <v>17</v>
      </c>
      <c r="E51" s="351">
        <v>81</v>
      </c>
      <c r="F51" s="352">
        <v>78</v>
      </c>
      <c r="G51" s="352">
        <v>72</v>
      </c>
      <c r="H51" s="352">
        <v>85</v>
      </c>
      <c r="I51" s="352">
        <v>91</v>
      </c>
      <c r="J51" s="352">
        <v>94</v>
      </c>
      <c r="K51" s="352">
        <v>85</v>
      </c>
      <c r="L51" s="352">
        <v>66</v>
      </c>
      <c r="M51" s="352">
        <v>86</v>
      </c>
      <c r="N51" s="352">
        <v>88</v>
      </c>
      <c r="O51" s="352">
        <v>80</v>
      </c>
      <c r="P51" s="352">
        <v>86</v>
      </c>
      <c r="Q51" s="352">
        <v>89</v>
      </c>
      <c r="R51" s="349">
        <f t="shared" si="0"/>
        <v>1081</v>
      </c>
      <c r="S51" s="350">
        <f t="shared" si="1"/>
        <v>83.15384615384616</v>
      </c>
      <c r="T51" s="349">
        <f t="shared" si="2"/>
        <v>15</v>
      </c>
      <c r="U51" s="1"/>
      <c r="V51" s="1"/>
    </row>
    <row r="52" spans="1:22" ht="26.25" customHeight="1" thickBot="1" x14ac:dyDescent="0.3">
      <c r="A52" s="359">
        <v>49</v>
      </c>
      <c r="B52" s="360"/>
      <c r="C52" s="367">
        <v>15</v>
      </c>
      <c r="D52" s="367" t="s">
        <v>17</v>
      </c>
      <c r="E52" s="351">
        <v>79</v>
      </c>
      <c r="F52" s="352">
        <v>86</v>
      </c>
      <c r="G52" s="352">
        <v>86</v>
      </c>
      <c r="H52" s="352">
        <v>69</v>
      </c>
      <c r="I52" s="352">
        <v>60</v>
      </c>
      <c r="J52" s="352">
        <v>77</v>
      </c>
      <c r="K52" s="352">
        <v>72</v>
      </c>
      <c r="L52" s="352">
        <v>68</v>
      </c>
      <c r="M52" s="352">
        <v>79</v>
      </c>
      <c r="N52" s="352">
        <v>78</v>
      </c>
      <c r="O52" s="352">
        <v>73</v>
      </c>
      <c r="P52" s="352">
        <v>88</v>
      </c>
      <c r="Q52" s="352">
        <v>97</v>
      </c>
      <c r="R52" s="349">
        <f t="shared" si="0"/>
        <v>1012</v>
      </c>
      <c r="S52" s="350">
        <f t="shared" si="1"/>
        <v>77.84615384615384</v>
      </c>
      <c r="T52" s="349">
        <f t="shared" si="2"/>
        <v>23</v>
      </c>
      <c r="U52" s="1"/>
      <c r="V52" s="1"/>
    </row>
    <row r="53" spans="1:22" ht="25.5" customHeight="1" thickBot="1" x14ac:dyDescent="0.3">
      <c r="A53" s="359">
        <v>50</v>
      </c>
      <c r="B53" s="360"/>
      <c r="C53" s="367">
        <v>15</v>
      </c>
      <c r="D53" s="367" t="s">
        <v>17</v>
      </c>
      <c r="E53" s="351">
        <v>99</v>
      </c>
      <c r="F53" s="352">
        <v>100</v>
      </c>
      <c r="G53" s="352">
        <v>96</v>
      </c>
      <c r="H53" s="352">
        <v>99</v>
      </c>
      <c r="I53" s="352">
        <v>100</v>
      </c>
      <c r="J53" s="352">
        <v>100</v>
      </c>
      <c r="K53" s="352">
        <v>99</v>
      </c>
      <c r="L53" s="352">
        <v>100</v>
      </c>
      <c r="M53" s="352">
        <v>100</v>
      </c>
      <c r="N53" s="352">
        <v>99</v>
      </c>
      <c r="O53" s="352">
        <v>92</v>
      </c>
      <c r="P53" s="352">
        <v>100</v>
      </c>
      <c r="Q53" s="352">
        <v>97</v>
      </c>
      <c r="R53" s="349">
        <f t="shared" si="0"/>
        <v>1281</v>
      </c>
      <c r="S53" s="350">
        <f t="shared" si="1"/>
        <v>98.538461538461533</v>
      </c>
      <c r="T53" s="349">
        <f t="shared" si="2"/>
        <v>1</v>
      </c>
      <c r="U53" s="1"/>
      <c r="V53" s="1"/>
    </row>
    <row r="56" spans="1:22" ht="21" customHeight="1" x14ac:dyDescent="0.25"/>
  </sheetData>
  <mergeCells count="2">
    <mergeCell ref="A1:V1"/>
    <mergeCell ref="A2:V2"/>
  </mergeCells>
  <pageMargins left="0.7" right="0.7" top="0.75" bottom="0.75" header="0.3" footer="0.3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workbookViewId="0">
      <selection activeCell="B4" sqref="B4:B53"/>
    </sheetView>
  </sheetViews>
  <sheetFormatPr defaultRowHeight="15" x14ac:dyDescent="0.25"/>
  <cols>
    <col min="1" max="1" width="4" customWidth="1"/>
    <col min="2" max="2" width="34.28515625" customWidth="1"/>
    <col min="3" max="3" width="5.140625" customWidth="1"/>
    <col min="4" max="4" width="4.85546875" customWidth="1"/>
    <col min="5" max="5" width="8.140625" customWidth="1"/>
    <col min="7" max="7" width="9.140625" style="211"/>
    <col min="12" max="12" width="9.140625" style="211"/>
    <col min="15" max="15" width="9.140625" style="211"/>
  </cols>
  <sheetData>
    <row r="1" spans="1:22" ht="20.25" x14ac:dyDescent="0.25">
      <c r="A1" s="861" t="s">
        <v>30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3"/>
    </row>
    <row r="2" spans="1:22" ht="18" thickBot="1" x14ac:dyDescent="0.3">
      <c r="A2" s="864" t="s">
        <v>33</v>
      </c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864"/>
      <c r="V2" s="864"/>
    </row>
    <row r="3" spans="1:22" ht="52.5" thickBot="1" x14ac:dyDescent="0.3">
      <c r="A3" s="10" t="s">
        <v>32</v>
      </c>
      <c r="B3" s="11" t="s">
        <v>1</v>
      </c>
      <c r="C3" s="12" t="s">
        <v>2</v>
      </c>
      <c r="D3" s="11" t="s">
        <v>3</v>
      </c>
      <c r="E3" s="13" t="s">
        <v>22</v>
      </c>
      <c r="F3" s="13" t="s">
        <v>5</v>
      </c>
      <c r="G3" s="13" t="s">
        <v>29</v>
      </c>
      <c r="H3" s="13" t="s">
        <v>6</v>
      </c>
      <c r="I3" s="13" t="s">
        <v>7</v>
      </c>
      <c r="J3" s="13" t="s">
        <v>8</v>
      </c>
      <c r="K3" s="13" t="s">
        <v>9</v>
      </c>
      <c r="L3" s="262" t="s">
        <v>24</v>
      </c>
      <c r="M3" s="13" t="s">
        <v>23</v>
      </c>
      <c r="N3" s="14" t="s">
        <v>25</v>
      </c>
      <c r="O3" s="14" t="s">
        <v>27</v>
      </c>
      <c r="P3" s="14" t="s">
        <v>26</v>
      </c>
      <c r="Q3" s="13" t="s">
        <v>28</v>
      </c>
      <c r="R3" s="14" t="s">
        <v>12</v>
      </c>
      <c r="S3" s="13" t="s">
        <v>13</v>
      </c>
      <c r="T3" s="6" t="s">
        <v>14</v>
      </c>
      <c r="U3" s="7" t="s">
        <v>15</v>
      </c>
      <c r="V3" s="8" t="s">
        <v>16</v>
      </c>
    </row>
    <row r="4" spans="1:22" ht="19.5" thickBot="1" x14ac:dyDescent="0.3">
      <c r="A4" s="22">
        <v>1</v>
      </c>
      <c r="B4" s="358"/>
      <c r="C4" s="363">
        <v>14</v>
      </c>
      <c r="D4" s="363" t="s">
        <v>20</v>
      </c>
      <c r="E4" s="16">
        <v>88</v>
      </c>
      <c r="F4" s="16">
        <v>92</v>
      </c>
      <c r="G4" s="420">
        <v>72</v>
      </c>
      <c r="H4" s="16">
        <v>94</v>
      </c>
      <c r="I4" s="16">
        <v>91</v>
      </c>
      <c r="J4" s="16">
        <v>78</v>
      </c>
      <c r="K4" s="16">
        <v>84</v>
      </c>
      <c r="L4" s="288">
        <v>91</v>
      </c>
      <c r="M4" s="649">
        <v>86</v>
      </c>
      <c r="N4" s="407">
        <v>90</v>
      </c>
      <c r="O4" s="16">
        <v>90</v>
      </c>
      <c r="P4" s="16">
        <v>96</v>
      </c>
      <c r="Q4" s="16">
        <v>92</v>
      </c>
      <c r="R4" s="26">
        <f t="shared" ref="R4:R35" si="0">SUM(E4:Q4)</f>
        <v>1144</v>
      </c>
      <c r="S4" s="17">
        <f t="shared" ref="S4:S35" si="1">AVERAGE(E4:Q4)</f>
        <v>88</v>
      </c>
      <c r="T4" s="16">
        <f>RANK(S4,$S$4:$S$53)</f>
        <v>8</v>
      </c>
      <c r="U4" s="16"/>
      <c r="V4" s="16"/>
    </row>
    <row r="5" spans="1:22" ht="19.5" thickBot="1" x14ac:dyDescent="0.3">
      <c r="A5" s="20">
        <v>2</v>
      </c>
      <c r="B5" s="360"/>
      <c r="C5" s="320">
        <v>14</v>
      </c>
      <c r="D5" s="320" t="s">
        <v>20</v>
      </c>
      <c r="E5" s="4">
        <v>89</v>
      </c>
      <c r="F5" s="4">
        <v>71</v>
      </c>
      <c r="G5" s="421">
        <v>70</v>
      </c>
      <c r="H5" s="4">
        <v>75</v>
      </c>
      <c r="I5" s="4">
        <v>66</v>
      </c>
      <c r="J5" s="4">
        <v>62</v>
      </c>
      <c r="K5" s="4">
        <v>60</v>
      </c>
      <c r="L5" s="288">
        <v>75</v>
      </c>
      <c r="M5" s="650">
        <v>64</v>
      </c>
      <c r="N5" s="294">
        <v>80</v>
      </c>
      <c r="O5" s="4">
        <v>72</v>
      </c>
      <c r="P5" s="4">
        <v>89</v>
      </c>
      <c r="Q5" s="4">
        <v>75</v>
      </c>
      <c r="R5" s="26">
        <f t="shared" si="0"/>
        <v>948</v>
      </c>
      <c r="S5" s="87">
        <f t="shared" si="1"/>
        <v>72.92307692307692</v>
      </c>
      <c r="T5" s="86">
        <f t="shared" ref="T5:T53" si="2">RANK(S5,$S$4:$S$53)</f>
        <v>27</v>
      </c>
      <c r="U5" s="4"/>
      <c r="V5" s="4"/>
    </row>
    <row r="6" spans="1:22" ht="19.5" thickBot="1" x14ac:dyDescent="0.3">
      <c r="A6" s="21">
        <v>3</v>
      </c>
      <c r="B6" s="361"/>
      <c r="C6" s="364">
        <v>15</v>
      </c>
      <c r="D6" s="365" t="s">
        <v>20</v>
      </c>
      <c r="E6" s="4">
        <v>92</v>
      </c>
      <c r="F6" s="4">
        <v>69</v>
      </c>
      <c r="G6" s="422">
        <v>84</v>
      </c>
      <c r="H6" s="4">
        <v>65</v>
      </c>
      <c r="I6" s="4">
        <v>72</v>
      </c>
      <c r="J6" s="4">
        <v>64</v>
      </c>
      <c r="K6" s="4">
        <v>72</v>
      </c>
      <c r="L6" s="288">
        <v>75</v>
      </c>
      <c r="M6" s="651">
        <v>67</v>
      </c>
      <c r="N6" s="294">
        <v>78</v>
      </c>
      <c r="O6" s="4">
        <v>81</v>
      </c>
      <c r="P6" s="4">
        <v>94</v>
      </c>
      <c r="Q6" s="4">
        <v>97</v>
      </c>
      <c r="R6" s="26">
        <f t="shared" si="0"/>
        <v>1010</v>
      </c>
      <c r="S6" s="87">
        <f t="shared" si="1"/>
        <v>77.692307692307693</v>
      </c>
      <c r="T6" s="86">
        <f t="shared" si="2"/>
        <v>19</v>
      </c>
      <c r="U6" s="4"/>
      <c r="V6" s="4"/>
    </row>
    <row r="7" spans="1:22" ht="19.5" thickBot="1" x14ac:dyDescent="0.3">
      <c r="A7" s="20">
        <v>4</v>
      </c>
      <c r="B7" s="360"/>
      <c r="C7" s="320">
        <v>15</v>
      </c>
      <c r="D7" s="320" t="s">
        <v>17</v>
      </c>
      <c r="E7" s="4">
        <v>79</v>
      </c>
      <c r="F7" s="4">
        <v>80</v>
      </c>
      <c r="G7" s="421">
        <v>75</v>
      </c>
      <c r="H7" s="4">
        <v>62</v>
      </c>
      <c r="I7" s="4">
        <v>67</v>
      </c>
      <c r="J7" s="4">
        <v>46</v>
      </c>
      <c r="K7" s="4">
        <v>57</v>
      </c>
      <c r="L7" s="288">
        <v>66</v>
      </c>
      <c r="M7" s="650">
        <v>65</v>
      </c>
      <c r="N7" s="294">
        <v>76</v>
      </c>
      <c r="O7" s="4">
        <v>75</v>
      </c>
      <c r="P7" s="4">
        <v>83</v>
      </c>
      <c r="Q7" s="4">
        <v>84</v>
      </c>
      <c r="R7" s="26">
        <f t="shared" si="0"/>
        <v>915</v>
      </c>
      <c r="S7" s="87">
        <f t="shared" si="1"/>
        <v>70.384615384615387</v>
      </c>
      <c r="T7" s="86">
        <f t="shared" si="2"/>
        <v>32</v>
      </c>
      <c r="U7" s="4"/>
      <c r="V7" s="4"/>
    </row>
    <row r="8" spans="1:22" ht="19.5" thickBot="1" x14ac:dyDescent="0.3">
      <c r="A8" s="20">
        <v>5</v>
      </c>
      <c r="B8" s="360"/>
      <c r="C8" s="320">
        <v>15</v>
      </c>
      <c r="D8" s="320" t="s">
        <v>17</v>
      </c>
      <c r="E8" s="4">
        <v>79</v>
      </c>
      <c r="F8" s="4">
        <v>46</v>
      </c>
      <c r="G8" s="421">
        <v>57</v>
      </c>
      <c r="H8" s="4">
        <v>35</v>
      </c>
      <c r="I8" s="4">
        <v>38</v>
      </c>
      <c r="J8" s="4">
        <v>43</v>
      </c>
      <c r="K8" s="4">
        <v>36</v>
      </c>
      <c r="L8" s="288">
        <v>42</v>
      </c>
      <c r="M8" s="650">
        <v>43</v>
      </c>
      <c r="N8" s="294">
        <v>41</v>
      </c>
      <c r="O8" s="4">
        <v>52</v>
      </c>
      <c r="P8" s="4">
        <v>66</v>
      </c>
      <c r="Q8" s="4">
        <v>69</v>
      </c>
      <c r="R8" s="26">
        <f t="shared" si="0"/>
        <v>647</v>
      </c>
      <c r="S8" s="87">
        <f t="shared" si="1"/>
        <v>49.769230769230766</v>
      </c>
      <c r="T8" s="86">
        <f t="shared" si="2"/>
        <v>50</v>
      </c>
      <c r="U8" s="4"/>
      <c r="V8" s="4"/>
    </row>
    <row r="9" spans="1:22" ht="23.25" customHeight="1" thickBot="1" x14ac:dyDescent="0.3">
      <c r="A9" s="21">
        <v>6</v>
      </c>
      <c r="B9" s="360"/>
      <c r="C9" s="320">
        <v>15</v>
      </c>
      <c r="D9" s="320" t="s">
        <v>17</v>
      </c>
      <c r="E9" s="4">
        <v>86</v>
      </c>
      <c r="F9" s="4">
        <v>87</v>
      </c>
      <c r="G9" s="421">
        <v>77</v>
      </c>
      <c r="H9" s="4">
        <v>79</v>
      </c>
      <c r="I9" s="4">
        <v>87</v>
      </c>
      <c r="J9" s="4">
        <v>70</v>
      </c>
      <c r="K9" s="4">
        <v>79</v>
      </c>
      <c r="L9" s="288">
        <v>88</v>
      </c>
      <c r="M9" s="650">
        <v>75</v>
      </c>
      <c r="N9" s="294">
        <v>88</v>
      </c>
      <c r="O9" s="4">
        <v>96</v>
      </c>
      <c r="P9" s="4">
        <v>90</v>
      </c>
      <c r="Q9" s="4">
        <v>90</v>
      </c>
      <c r="R9" s="26">
        <f t="shared" si="0"/>
        <v>1092</v>
      </c>
      <c r="S9" s="87">
        <f t="shared" si="1"/>
        <v>84</v>
      </c>
      <c r="T9" s="86">
        <f t="shared" si="2"/>
        <v>16</v>
      </c>
      <c r="U9" s="4"/>
      <c r="V9" s="4"/>
    </row>
    <row r="10" spans="1:22" ht="19.5" thickBot="1" x14ac:dyDescent="0.3">
      <c r="A10" s="20">
        <v>7</v>
      </c>
      <c r="B10" s="361"/>
      <c r="C10" s="364">
        <v>15</v>
      </c>
      <c r="D10" s="364" t="s">
        <v>20</v>
      </c>
      <c r="E10" s="4">
        <v>84</v>
      </c>
      <c r="F10" s="4">
        <v>77</v>
      </c>
      <c r="G10" s="422">
        <v>66</v>
      </c>
      <c r="H10" s="4">
        <v>72</v>
      </c>
      <c r="I10" s="4">
        <v>74</v>
      </c>
      <c r="J10" s="4">
        <v>62</v>
      </c>
      <c r="K10" s="4">
        <v>68</v>
      </c>
      <c r="L10" s="288">
        <v>85</v>
      </c>
      <c r="M10" s="651">
        <v>79</v>
      </c>
      <c r="N10" s="294">
        <v>78</v>
      </c>
      <c r="O10" s="4">
        <v>87</v>
      </c>
      <c r="P10" s="4">
        <v>85</v>
      </c>
      <c r="Q10" s="4">
        <v>93</v>
      </c>
      <c r="R10" s="26">
        <f t="shared" si="0"/>
        <v>1010</v>
      </c>
      <c r="S10" s="87">
        <f t="shared" si="1"/>
        <v>77.692307692307693</v>
      </c>
      <c r="T10" s="86">
        <f t="shared" si="2"/>
        <v>19</v>
      </c>
      <c r="U10" s="4"/>
      <c r="V10" s="4"/>
    </row>
    <row r="11" spans="1:22" ht="19.5" customHeight="1" thickBot="1" x14ac:dyDescent="0.3">
      <c r="A11" s="20">
        <v>8</v>
      </c>
      <c r="B11" s="361"/>
      <c r="C11" s="364">
        <v>15</v>
      </c>
      <c r="D11" s="364" t="s">
        <v>20</v>
      </c>
      <c r="E11" s="4">
        <v>78</v>
      </c>
      <c r="F11" s="4">
        <v>50</v>
      </c>
      <c r="G11" s="422">
        <v>51</v>
      </c>
      <c r="H11" s="4">
        <v>46</v>
      </c>
      <c r="I11" s="4">
        <v>50</v>
      </c>
      <c r="J11" s="4">
        <v>42</v>
      </c>
      <c r="K11" s="4">
        <v>34</v>
      </c>
      <c r="L11" s="288">
        <v>44</v>
      </c>
      <c r="M11" s="651">
        <v>46</v>
      </c>
      <c r="N11" s="294">
        <v>74</v>
      </c>
      <c r="O11" s="4">
        <v>57</v>
      </c>
      <c r="P11" s="4">
        <v>72</v>
      </c>
      <c r="Q11" s="4">
        <v>75</v>
      </c>
      <c r="R11" s="26">
        <f t="shared" si="0"/>
        <v>719</v>
      </c>
      <c r="S11" s="87">
        <f t="shared" si="1"/>
        <v>55.307692307692307</v>
      </c>
      <c r="T11" s="86">
        <f t="shared" si="2"/>
        <v>48</v>
      </c>
      <c r="U11" s="4"/>
      <c r="V11" s="4"/>
    </row>
    <row r="12" spans="1:22" ht="19.5" thickBot="1" x14ac:dyDescent="0.3">
      <c r="A12" s="21">
        <v>9</v>
      </c>
      <c r="B12" s="361"/>
      <c r="C12" s="364">
        <v>14</v>
      </c>
      <c r="D12" s="364" t="s">
        <v>17</v>
      </c>
      <c r="E12" s="4">
        <v>77</v>
      </c>
      <c r="F12" s="4">
        <v>63</v>
      </c>
      <c r="G12" s="422">
        <v>68</v>
      </c>
      <c r="H12" s="4">
        <v>61</v>
      </c>
      <c r="I12" s="4">
        <v>58</v>
      </c>
      <c r="J12" s="4">
        <v>53</v>
      </c>
      <c r="K12" s="4">
        <v>53</v>
      </c>
      <c r="L12" s="288">
        <v>73</v>
      </c>
      <c r="M12" s="651">
        <v>59</v>
      </c>
      <c r="N12" s="294">
        <v>85</v>
      </c>
      <c r="O12" s="4">
        <v>72</v>
      </c>
      <c r="P12" s="4">
        <v>88</v>
      </c>
      <c r="Q12" s="4">
        <v>94</v>
      </c>
      <c r="R12" s="26">
        <f t="shared" si="0"/>
        <v>904</v>
      </c>
      <c r="S12" s="87">
        <f t="shared" si="1"/>
        <v>69.538461538461533</v>
      </c>
      <c r="T12" s="86">
        <f t="shared" si="2"/>
        <v>34</v>
      </c>
      <c r="U12" s="4"/>
      <c r="V12" s="4"/>
    </row>
    <row r="13" spans="1:22" ht="19.5" thickBot="1" x14ac:dyDescent="0.3">
      <c r="A13" s="20">
        <v>10</v>
      </c>
      <c r="B13" s="360"/>
      <c r="C13" s="320">
        <v>16</v>
      </c>
      <c r="D13" s="320" t="s">
        <v>17</v>
      </c>
      <c r="E13" s="4">
        <v>90</v>
      </c>
      <c r="F13" s="4">
        <v>59</v>
      </c>
      <c r="G13" s="421">
        <v>72</v>
      </c>
      <c r="H13" s="4">
        <v>66</v>
      </c>
      <c r="I13" s="4">
        <v>63</v>
      </c>
      <c r="J13" s="4">
        <v>59</v>
      </c>
      <c r="K13" s="4">
        <v>57</v>
      </c>
      <c r="L13" s="288">
        <v>69</v>
      </c>
      <c r="M13" s="650">
        <v>52</v>
      </c>
      <c r="N13" s="294">
        <v>77</v>
      </c>
      <c r="O13" s="4">
        <v>86</v>
      </c>
      <c r="P13" s="4">
        <v>85</v>
      </c>
      <c r="Q13" s="4">
        <v>86</v>
      </c>
      <c r="R13" s="26">
        <f t="shared" si="0"/>
        <v>921</v>
      </c>
      <c r="S13" s="87">
        <f t="shared" si="1"/>
        <v>70.84615384615384</v>
      </c>
      <c r="T13" s="86">
        <f t="shared" si="2"/>
        <v>29</v>
      </c>
      <c r="U13" s="4"/>
      <c r="V13" s="4"/>
    </row>
    <row r="14" spans="1:22" ht="17.25" customHeight="1" thickBot="1" x14ac:dyDescent="0.3">
      <c r="A14" s="21">
        <v>11</v>
      </c>
      <c r="B14" s="360"/>
      <c r="C14" s="320">
        <v>14</v>
      </c>
      <c r="D14" s="320" t="s">
        <v>20</v>
      </c>
      <c r="E14" s="4">
        <v>89</v>
      </c>
      <c r="F14" s="4">
        <v>83</v>
      </c>
      <c r="G14" s="421">
        <v>57</v>
      </c>
      <c r="H14" s="4">
        <v>65</v>
      </c>
      <c r="I14" s="4">
        <v>58</v>
      </c>
      <c r="J14" s="4">
        <v>54</v>
      </c>
      <c r="K14" s="4">
        <v>60</v>
      </c>
      <c r="L14" s="288">
        <v>78</v>
      </c>
      <c r="M14" s="650">
        <v>70</v>
      </c>
      <c r="N14" s="294">
        <v>86</v>
      </c>
      <c r="O14" s="4">
        <v>81</v>
      </c>
      <c r="P14" s="4">
        <v>86</v>
      </c>
      <c r="Q14" s="4">
        <v>90</v>
      </c>
      <c r="R14" s="26">
        <f t="shared" si="0"/>
        <v>957</v>
      </c>
      <c r="S14" s="87">
        <f t="shared" si="1"/>
        <v>73.615384615384613</v>
      </c>
      <c r="T14" s="86">
        <f t="shared" si="2"/>
        <v>25</v>
      </c>
      <c r="U14" s="4"/>
      <c r="V14" s="4"/>
    </row>
    <row r="15" spans="1:22" ht="19.5" thickBot="1" x14ac:dyDescent="0.3">
      <c r="A15" s="21">
        <v>12</v>
      </c>
      <c r="B15" s="360"/>
      <c r="C15" s="320">
        <v>15</v>
      </c>
      <c r="D15" s="320" t="s">
        <v>20</v>
      </c>
      <c r="E15" s="4">
        <v>83</v>
      </c>
      <c r="F15" s="4">
        <v>69</v>
      </c>
      <c r="G15" s="423">
        <v>85</v>
      </c>
      <c r="H15" s="4">
        <v>71</v>
      </c>
      <c r="I15" s="4">
        <v>68</v>
      </c>
      <c r="J15" s="4">
        <v>56</v>
      </c>
      <c r="K15" s="4">
        <v>60</v>
      </c>
      <c r="L15" s="288">
        <v>83</v>
      </c>
      <c r="M15" s="652">
        <v>83</v>
      </c>
      <c r="N15" s="294">
        <v>93</v>
      </c>
      <c r="O15" s="4">
        <v>87</v>
      </c>
      <c r="P15" s="4">
        <v>86</v>
      </c>
      <c r="Q15" s="4">
        <v>81</v>
      </c>
      <c r="R15" s="26">
        <f t="shared" si="0"/>
        <v>1005</v>
      </c>
      <c r="S15" s="87">
        <f t="shared" si="1"/>
        <v>77.307692307692307</v>
      </c>
      <c r="T15" s="86">
        <f t="shared" si="2"/>
        <v>22</v>
      </c>
      <c r="U15" s="4"/>
      <c r="V15" s="4"/>
    </row>
    <row r="16" spans="1:22" ht="19.5" thickBot="1" x14ac:dyDescent="0.3">
      <c r="A16" s="21">
        <v>13</v>
      </c>
      <c r="B16" s="360"/>
      <c r="C16" s="320">
        <v>14</v>
      </c>
      <c r="D16" s="320" t="s">
        <v>20</v>
      </c>
      <c r="E16" s="4">
        <v>72</v>
      </c>
      <c r="F16" s="4">
        <v>49</v>
      </c>
      <c r="G16" s="421">
        <v>50</v>
      </c>
      <c r="H16" s="4">
        <v>54</v>
      </c>
      <c r="I16" s="4">
        <v>51</v>
      </c>
      <c r="J16" s="4">
        <v>46</v>
      </c>
      <c r="K16" s="4">
        <v>43</v>
      </c>
      <c r="L16" s="288">
        <v>46</v>
      </c>
      <c r="M16" s="650">
        <v>46</v>
      </c>
      <c r="N16" s="294">
        <v>62</v>
      </c>
      <c r="O16" s="4">
        <v>67</v>
      </c>
      <c r="P16" s="4">
        <v>76</v>
      </c>
      <c r="Q16" s="4">
        <v>71</v>
      </c>
      <c r="R16" s="26">
        <f t="shared" si="0"/>
        <v>733</v>
      </c>
      <c r="S16" s="87">
        <f t="shared" si="1"/>
        <v>56.384615384615387</v>
      </c>
      <c r="T16" s="86">
        <f t="shared" si="2"/>
        <v>46</v>
      </c>
      <c r="U16" s="4"/>
      <c r="V16" s="4"/>
    </row>
    <row r="17" spans="1:22" ht="19.5" thickBot="1" x14ac:dyDescent="0.3">
      <c r="A17" s="20">
        <v>14</v>
      </c>
      <c r="B17" s="360"/>
      <c r="C17" s="320">
        <v>15</v>
      </c>
      <c r="D17" s="320" t="s">
        <v>20</v>
      </c>
      <c r="E17" s="4">
        <v>90</v>
      </c>
      <c r="F17" s="4">
        <v>73</v>
      </c>
      <c r="G17" s="423">
        <v>90</v>
      </c>
      <c r="H17" s="4">
        <v>84</v>
      </c>
      <c r="I17" s="4">
        <v>74</v>
      </c>
      <c r="J17" s="4">
        <v>83</v>
      </c>
      <c r="K17" s="4">
        <v>84</v>
      </c>
      <c r="L17" s="288">
        <v>91</v>
      </c>
      <c r="M17" s="652">
        <v>89</v>
      </c>
      <c r="N17" s="294">
        <v>93</v>
      </c>
      <c r="O17" s="4">
        <v>96</v>
      </c>
      <c r="P17" s="4">
        <v>95</v>
      </c>
      <c r="Q17" s="4">
        <v>99</v>
      </c>
      <c r="R17" s="26">
        <f t="shared" si="0"/>
        <v>1141</v>
      </c>
      <c r="S17" s="87">
        <f t="shared" si="1"/>
        <v>87.769230769230774</v>
      </c>
      <c r="T17" s="86">
        <f t="shared" si="2"/>
        <v>9</v>
      </c>
      <c r="U17" s="4"/>
      <c r="V17" s="4"/>
    </row>
    <row r="18" spans="1:22" ht="19.5" thickBot="1" x14ac:dyDescent="0.3">
      <c r="A18" s="21">
        <v>15</v>
      </c>
      <c r="B18" s="360"/>
      <c r="C18" s="320">
        <v>15</v>
      </c>
      <c r="D18" s="320" t="s">
        <v>20</v>
      </c>
      <c r="E18" s="4">
        <v>88</v>
      </c>
      <c r="F18" s="4">
        <v>84</v>
      </c>
      <c r="G18" s="423">
        <v>89</v>
      </c>
      <c r="H18" s="4">
        <v>89</v>
      </c>
      <c r="I18" s="4">
        <v>70</v>
      </c>
      <c r="J18" s="4">
        <v>68</v>
      </c>
      <c r="K18" s="4">
        <v>77</v>
      </c>
      <c r="L18" s="288">
        <v>89</v>
      </c>
      <c r="M18" s="652">
        <v>76</v>
      </c>
      <c r="N18" s="294">
        <v>90</v>
      </c>
      <c r="O18" s="4">
        <v>96</v>
      </c>
      <c r="P18" s="4">
        <v>99</v>
      </c>
      <c r="Q18" s="4">
        <v>96</v>
      </c>
      <c r="R18" s="26">
        <f t="shared" si="0"/>
        <v>1111</v>
      </c>
      <c r="S18" s="87">
        <f t="shared" si="1"/>
        <v>85.461538461538467</v>
      </c>
      <c r="T18" s="86">
        <f t="shared" si="2"/>
        <v>12</v>
      </c>
      <c r="U18" s="4"/>
      <c r="V18" s="4"/>
    </row>
    <row r="19" spans="1:22" ht="19.5" thickBot="1" x14ac:dyDescent="0.3">
      <c r="A19" s="20">
        <v>16</v>
      </c>
      <c r="B19" s="360"/>
      <c r="C19" s="320">
        <v>16</v>
      </c>
      <c r="D19" s="320" t="s">
        <v>20</v>
      </c>
      <c r="E19" s="4">
        <v>76</v>
      </c>
      <c r="F19" s="4">
        <v>49</v>
      </c>
      <c r="G19" s="421">
        <v>74</v>
      </c>
      <c r="H19" s="4">
        <v>77</v>
      </c>
      <c r="I19" s="4">
        <v>62</v>
      </c>
      <c r="J19" s="4">
        <v>59</v>
      </c>
      <c r="K19" s="4">
        <v>50</v>
      </c>
      <c r="L19" s="288">
        <v>55</v>
      </c>
      <c r="M19" s="650">
        <v>47</v>
      </c>
      <c r="N19" s="294">
        <v>62</v>
      </c>
      <c r="O19" s="4">
        <v>83</v>
      </c>
      <c r="P19" s="4">
        <v>83</v>
      </c>
      <c r="Q19" s="4">
        <v>92</v>
      </c>
      <c r="R19" s="26">
        <f t="shared" si="0"/>
        <v>869</v>
      </c>
      <c r="S19" s="87">
        <f t="shared" si="1"/>
        <v>66.84615384615384</v>
      </c>
      <c r="T19" s="86">
        <f t="shared" si="2"/>
        <v>37</v>
      </c>
      <c r="U19" s="4"/>
      <c r="V19" s="4"/>
    </row>
    <row r="20" spans="1:22" ht="19.5" thickBot="1" x14ac:dyDescent="0.3">
      <c r="A20" s="20">
        <v>17</v>
      </c>
      <c r="B20" s="360"/>
      <c r="C20" s="320">
        <v>15</v>
      </c>
      <c r="D20" s="344" t="s">
        <v>20</v>
      </c>
      <c r="E20" s="4">
        <v>97</v>
      </c>
      <c r="F20" s="4">
        <v>86</v>
      </c>
      <c r="G20" s="423">
        <v>94</v>
      </c>
      <c r="H20" s="4">
        <v>96</v>
      </c>
      <c r="I20" s="4">
        <v>93</v>
      </c>
      <c r="J20" s="4">
        <v>91</v>
      </c>
      <c r="K20" s="4">
        <v>91</v>
      </c>
      <c r="L20" s="288">
        <v>99</v>
      </c>
      <c r="M20" s="652">
        <v>91</v>
      </c>
      <c r="N20" s="294">
        <v>98</v>
      </c>
      <c r="O20" s="4">
        <v>99</v>
      </c>
      <c r="P20" s="4">
        <v>100</v>
      </c>
      <c r="Q20" s="4">
        <v>91</v>
      </c>
      <c r="R20" s="26">
        <f t="shared" si="0"/>
        <v>1226</v>
      </c>
      <c r="S20" s="87">
        <f t="shared" si="1"/>
        <v>94.307692307692307</v>
      </c>
      <c r="T20" s="86">
        <f t="shared" si="2"/>
        <v>6</v>
      </c>
      <c r="U20" s="4"/>
      <c r="V20" s="4"/>
    </row>
    <row r="21" spans="1:22" ht="19.5" thickBot="1" x14ac:dyDescent="0.3">
      <c r="A21" s="20">
        <v>18</v>
      </c>
      <c r="B21" s="360"/>
      <c r="C21" s="320">
        <v>15</v>
      </c>
      <c r="D21" s="344" t="s">
        <v>20</v>
      </c>
      <c r="E21" s="4">
        <v>90</v>
      </c>
      <c r="F21" s="4">
        <v>63</v>
      </c>
      <c r="G21" s="421">
        <v>61</v>
      </c>
      <c r="H21" s="4">
        <v>73</v>
      </c>
      <c r="I21" s="4">
        <v>63</v>
      </c>
      <c r="J21" s="4">
        <v>64</v>
      </c>
      <c r="K21" s="4">
        <v>63</v>
      </c>
      <c r="L21" s="288">
        <v>71</v>
      </c>
      <c r="M21" s="650">
        <v>65</v>
      </c>
      <c r="N21" s="294">
        <v>77</v>
      </c>
      <c r="O21" s="4">
        <v>76</v>
      </c>
      <c r="P21" s="4">
        <v>86</v>
      </c>
      <c r="Q21" s="4">
        <v>95</v>
      </c>
      <c r="R21" s="26">
        <f t="shared" si="0"/>
        <v>947</v>
      </c>
      <c r="S21" s="87">
        <f t="shared" si="1"/>
        <v>72.84615384615384</v>
      </c>
      <c r="T21" s="86">
        <f t="shared" si="2"/>
        <v>28</v>
      </c>
      <c r="U21" s="4"/>
      <c r="V21" s="4"/>
    </row>
    <row r="22" spans="1:22" ht="19.5" thickBot="1" x14ac:dyDescent="0.3">
      <c r="A22" s="21">
        <v>19</v>
      </c>
      <c r="B22" s="360"/>
      <c r="C22" s="320">
        <v>14</v>
      </c>
      <c r="D22" s="320" t="s">
        <v>20</v>
      </c>
      <c r="E22" s="4">
        <v>81</v>
      </c>
      <c r="F22" s="4">
        <v>80</v>
      </c>
      <c r="G22" s="421">
        <v>69</v>
      </c>
      <c r="H22" s="4">
        <v>66</v>
      </c>
      <c r="I22" s="4">
        <v>67</v>
      </c>
      <c r="J22" s="4">
        <v>58</v>
      </c>
      <c r="K22" s="4">
        <v>71</v>
      </c>
      <c r="L22" s="288">
        <v>72</v>
      </c>
      <c r="M22" s="650">
        <v>57</v>
      </c>
      <c r="N22" s="294">
        <v>84</v>
      </c>
      <c r="O22" s="4">
        <v>76</v>
      </c>
      <c r="P22" s="4">
        <v>83</v>
      </c>
      <c r="Q22" s="4">
        <v>86</v>
      </c>
      <c r="R22" s="26">
        <f t="shared" si="0"/>
        <v>950</v>
      </c>
      <c r="S22" s="87">
        <f t="shared" si="1"/>
        <v>73.07692307692308</v>
      </c>
      <c r="T22" s="86">
        <f t="shared" si="2"/>
        <v>26</v>
      </c>
      <c r="U22" s="4"/>
      <c r="V22" s="4"/>
    </row>
    <row r="23" spans="1:22" ht="19.5" thickBot="1" x14ac:dyDescent="0.3">
      <c r="A23" s="21">
        <v>20</v>
      </c>
      <c r="B23" s="360"/>
      <c r="C23" s="320">
        <v>14</v>
      </c>
      <c r="D23" s="320" t="s">
        <v>20</v>
      </c>
      <c r="E23" s="4">
        <v>97</v>
      </c>
      <c r="F23" s="4">
        <v>87</v>
      </c>
      <c r="G23" s="423">
        <v>93</v>
      </c>
      <c r="H23" s="4">
        <v>88</v>
      </c>
      <c r="I23" s="4">
        <v>91</v>
      </c>
      <c r="J23" s="4">
        <v>84</v>
      </c>
      <c r="K23" s="4">
        <v>91</v>
      </c>
      <c r="L23" s="288">
        <v>95</v>
      </c>
      <c r="M23" s="652">
        <v>93</v>
      </c>
      <c r="N23" s="294">
        <v>90</v>
      </c>
      <c r="O23" s="4">
        <v>96</v>
      </c>
      <c r="P23" s="4">
        <v>100</v>
      </c>
      <c r="Q23" s="4">
        <v>99</v>
      </c>
      <c r="R23" s="26">
        <f t="shared" si="0"/>
        <v>1204</v>
      </c>
      <c r="S23" s="87">
        <f t="shared" si="1"/>
        <v>92.615384615384613</v>
      </c>
      <c r="T23" s="86">
        <f t="shared" si="2"/>
        <v>7</v>
      </c>
      <c r="U23" s="4"/>
      <c r="V23" s="4"/>
    </row>
    <row r="24" spans="1:22" ht="19.5" thickBot="1" x14ac:dyDescent="0.3">
      <c r="A24" s="21">
        <v>21</v>
      </c>
      <c r="B24" s="360"/>
      <c r="C24" s="320">
        <v>14</v>
      </c>
      <c r="D24" s="320" t="s">
        <v>17</v>
      </c>
      <c r="E24" s="4">
        <v>85</v>
      </c>
      <c r="F24" s="4">
        <v>87</v>
      </c>
      <c r="G24" s="423">
        <v>52</v>
      </c>
      <c r="H24" s="4">
        <v>74</v>
      </c>
      <c r="I24" s="4">
        <v>61</v>
      </c>
      <c r="J24" s="4">
        <v>72</v>
      </c>
      <c r="K24" s="4">
        <v>68</v>
      </c>
      <c r="L24" s="288">
        <v>74</v>
      </c>
      <c r="M24" s="652">
        <v>73</v>
      </c>
      <c r="N24" s="294">
        <v>84</v>
      </c>
      <c r="O24" s="4">
        <v>80</v>
      </c>
      <c r="P24" s="4">
        <v>92</v>
      </c>
      <c r="Q24" s="4">
        <v>85</v>
      </c>
      <c r="R24" s="26">
        <f t="shared" si="0"/>
        <v>987</v>
      </c>
      <c r="S24" s="87">
        <f t="shared" si="1"/>
        <v>75.92307692307692</v>
      </c>
      <c r="T24" s="86">
        <f t="shared" si="2"/>
        <v>23</v>
      </c>
      <c r="U24" s="4"/>
      <c r="V24" s="4"/>
    </row>
    <row r="25" spans="1:22" ht="19.5" thickBot="1" x14ac:dyDescent="0.3">
      <c r="A25" s="20">
        <v>22</v>
      </c>
      <c r="B25" s="360"/>
      <c r="C25" s="320">
        <v>16</v>
      </c>
      <c r="D25" s="320" t="s">
        <v>20</v>
      </c>
      <c r="E25" s="4">
        <v>78</v>
      </c>
      <c r="F25" s="4">
        <v>52</v>
      </c>
      <c r="G25" s="421">
        <v>51</v>
      </c>
      <c r="H25" s="4">
        <v>55</v>
      </c>
      <c r="I25" s="4">
        <v>38</v>
      </c>
      <c r="J25" s="4">
        <v>40</v>
      </c>
      <c r="K25" s="4">
        <v>47</v>
      </c>
      <c r="L25" s="288">
        <v>61</v>
      </c>
      <c r="M25" s="650">
        <v>50</v>
      </c>
      <c r="N25" s="294">
        <v>90</v>
      </c>
      <c r="O25" s="4">
        <v>63</v>
      </c>
      <c r="P25" s="4">
        <v>79</v>
      </c>
      <c r="Q25" s="4">
        <v>82</v>
      </c>
      <c r="R25" s="26">
        <f t="shared" si="0"/>
        <v>786</v>
      </c>
      <c r="S25" s="87">
        <f t="shared" si="1"/>
        <v>60.46153846153846</v>
      </c>
      <c r="T25" s="86">
        <f t="shared" si="2"/>
        <v>41</v>
      </c>
      <c r="U25" s="4"/>
      <c r="V25" s="4"/>
    </row>
    <row r="26" spans="1:22" ht="19.5" thickBot="1" x14ac:dyDescent="0.3">
      <c r="A26" s="20">
        <v>23</v>
      </c>
      <c r="B26" s="360"/>
      <c r="C26" s="320">
        <v>15</v>
      </c>
      <c r="D26" s="344" t="s">
        <v>20</v>
      </c>
      <c r="E26" s="4">
        <v>85</v>
      </c>
      <c r="F26" s="4">
        <v>87</v>
      </c>
      <c r="G26" s="421">
        <v>50</v>
      </c>
      <c r="H26" s="4">
        <v>75</v>
      </c>
      <c r="I26" s="4">
        <v>57</v>
      </c>
      <c r="J26" s="4">
        <v>52</v>
      </c>
      <c r="K26" s="4">
        <v>60</v>
      </c>
      <c r="L26" s="288">
        <v>78</v>
      </c>
      <c r="M26" s="650">
        <v>55</v>
      </c>
      <c r="N26" s="294">
        <v>80</v>
      </c>
      <c r="O26" s="4">
        <v>74</v>
      </c>
      <c r="P26" s="4">
        <v>85</v>
      </c>
      <c r="Q26" s="4">
        <v>67</v>
      </c>
      <c r="R26" s="26">
        <f t="shared" si="0"/>
        <v>905</v>
      </c>
      <c r="S26" s="87">
        <f t="shared" si="1"/>
        <v>69.615384615384613</v>
      </c>
      <c r="T26" s="86">
        <f t="shared" si="2"/>
        <v>33</v>
      </c>
      <c r="U26" s="4"/>
      <c r="V26" s="4"/>
    </row>
    <row r="27" spans="1:22" ht="19.5" thickBot="1" x14ac:dyDescent="0.3">
      <c r="A27" s="21">
        <v>24</v>
      </c>
      <c r="B27" s="360"/>
      <c r="C27" s="320">
        <v>16</v>
      </c>
      <c r="D27" s="320" t="s">
        <v>20</v>
      </c>
      <c r="E27" s="4">
        <v>73</v>
      </c>
      <c r="F27" s="4">
        <v>44</v>
      </c>
      <c r="G27" s="421">
        <v>54</v>
      </c>
      <c r="H27" s="4">
        <v>58</v>
      </c>
      <c r="I27" s="4">
        <v>54</v>
      </c>
      <c r="J27" s="4">
        <v>51</v>
      </c>
      <c r="K27" s="4">
        <v>42</v>
      </c>
      <c r="L27" s="288">
        <v>42</v>
      </c>
      <c r="M27" s="650">
        <v>42</v>
      </c>
      <c r="N27" s="294">
        <v>55</v>
      </c>
      <c r="O27" s="4">
        <v>59</v>
      </c>
      <c r="P27" s="4">
        <v>71</v>
      </c>
      <c r="Q27" s="4">
        <v>77</v>
      </c>
      <c r="R27" s="26">
        <f t="shared" si="0"/>
        <v>722</v>
      </c>
      <c r="S27" s="87">
        <f t="shared" si="1"/>
        <v>55.53846153846154</v>
      </c>
      <c r="T27" s="86">
        <f t="shared" si="2"/>
        <v>47</v>
      </c>
      <c r="U27" s="4"/>
      <c r="V27" s="4"/>
    </row>
    <row r="28" spans="1:22" ht="19.5" thickBot="1" x14ac:dyDescent="0.3">
      <c r="A28" s="20">
        <v>25</v>
      </c>
      <c r="B28" s="360"/>
      <c r="C28" s="320">
        <v>15</v>
      </c>
      <c r="D28" s="344" t="s">
        <v>20</v>
      </c>
      <c r="E28" s="4">
        <v>98</v>
      </c>
      <c r="F28" s="4">
        <v>93</v>
      </c>
      <c r="G28" s="421">
        <v>94</v>
      </c>
      <c r="H28" s="4">
        <v>97</v>
      </c>
      <c r="I28" s="4">
        <v>100</v>
      </c>
      <c r="J28" s="4">
        <v>100</v>
      </c>
      <c r="K28" s="4">
        <v>98</v>
      </c>
      <c r="L28" s="288">
        <v>96</v>
      </c>
      <c r="M28" s="650">
        <v>100</v>
      </c>
      <c r="N28" s="294">
        <v>98</v>
      </c>
      <c r="O28" s="4">
        <v>99</v>
      </c>
      <c r="P28" s="4">
        <v>100</v>
      </c>
      <c r="Q28" s="4">
        <v>100</v>
      </c>
      <c r="R28" s="26">
        <f t="shared" si="0"/>
        <v>1273</v>
      </c>
      <c r="S28" s="87">
        <f t="shared" si="1"/>
        <v>97.92307692307692</v>
      </c>
      <c r="T28" s="86">
        <f t="shared" si="2"/>
        <v>2</v>
      </c>
      <c r="U28" s="4"/>
      <c r="V28" s="4"/>
    </row>
    <row r="29" spans="1:22" ht="19.5" thickBot="1" x14ac:dyDescent="0.3">
      <c r="A29" s="21">
        <v>26</v>
      </c>
      <c r="B29" s="360"/>
      <c r="C29" s="320">
        <v>15</v>
      </c>
      <c r="D29" s="344" t="s">
        <v>20</v>
      </c>
      <c r="E29" s="4">
        <v>93</v>
      </c>
      <c r="F29" s="4">
        <v>82</v>
      </c>
      <c r="G29" s="423">
        <v>100</v>
      </c>
      <c r="H29" s="4">
        <v>85</v>
      </c>
      <c r="I29" s="4">
        <v>84</v>
      </c>
      <c r="J29" s="4">
        <v>79</v>
      </c>
      <c r="K29" s="4">
        <v>74</v>
      </c>
      <c r="L29" s="288">
        <v>92</v>
      </c>
      <c r="M29" s="652">
        <v>84</v>
      </c>
      <c r="N29" s="294">
        <v>88</v>
      </c>
      <c r="O29" s="4">
        <v>91</v>
      </c>
      <c r="P29" s="4">
        <v>97</v>
      </c>
      <c r="Q29" s="4">
        <v>92</v>
      </c>
      <c r="R29" s="26">
        <f t="shared" si="0"/>
        <v>1141</v>
      </c>
      <c r="S29" s="87">
        <f t="shared" si="1"/>
        <v>87.769230769230774</v>
      </c>
      <c r="T29" s="86">
        <f t="shared" si="2"/>
        <v>9</v>
      </c>
      <c r="U29" s="4"/>
      <c r="V29" s="4"/>
    </row>
    <row r="30" spans="1:22" ht="22.5" customHeight="1" thickBot="1" x14ac:dyDescent="0.3">
      <c r="A30" s="21">
        <v>27</v>
      </c>
      <c r="B30" s="362"/>
      <c r="C30" s="366">
        <v>15</v>
      </c>
      <c r="D30" s="366" t="s">
        <v>20</v>
      </c>
      <c r="E30" s="4">
        <v>92</v>
      </c>
      <c r="F30" s="4">
        <v>83</v>
      </c>
      <c r="G30" s="424">
        <v>81</v>
      </c>
      <c r="H30" s="4">
        <v>74</v>
      </c>
      <c r="I30" s="4">
        <v>83</v>
      </c>
      <c r="J30" s="4">
        <v>72</v>
      </c>
      <c r="K30" s="4">
        <v>78</v>
      </c>
      <c r="L30" s="288">
        <v>81</v>
      </c>
      <c r="M30" s="653">
        <v>80</v>
      </c>
      <c r="N30" s="294">
        <v>94</v>
      </c>
      <c r="O30" s="4">
        <v>90</v>
      </c>
      <c r="P30" s="4">
        <v>95</v>
      </c>
      <c r="Q30" s="4">
        <v>97</v>
      </c>
      <c r="R30" s="26">
        <f t="shared" si="0"/>
        <v>1100</v>
      </c>
      <c r="S30" s="87">
        <f t="shared" si="1"/>
        <v>84.615384615384613</v>
      </c>
      <c r="T30" s="86">
        <f t="shared" si="2"/>
        <v>15</v>
      </c>
      <c r="U30" s="4"/>
      <c r="V30" s="4"/>
    </row>
    <row r="31" spans="1:22" ht="19.5" thickBot="1" x14ac:dyDescent="0.3">
      <c r="A31" s="21">
        <v>28</v>
      </c>
      <c r="B31" s="360"/>
      <c r="C31" s="320">
        <v>15</v>
      </c>
      <c r="D31" s="344" t="s">
        <v>20</v>
      </c>
      <c r="E31" s="4">
        <v>90</v>
      </c>
      <c r="F31" s="4">
        <v>83</v>
      </c>
      <c r="G31" s="423">
        <v>80</v>
      </c>
      <c r="H31" s="4">
        <v>81</v>
      </c>
      <c r="I31" s="4">
        <v>61</v>
      </c>
      <c r="J31" s="4">
        <v>80</v>
      </c>
      <c r="K31" s="4">
        <v>72</v>
      </c>
      <c r="L31" s="288">
        <v>90</v>
      </c>
      <c r="M31" s="652">
        <v>95</v>
      </c>
      <c r="N31" s="294">
        <v>95</v>
      </c>
      <c r="O31" s="4">
        <v>95</v>
      </c>
      <c r="P31" s="4">
        <v>91</v>
      </c>
      <c r="Q31" s="4">
        <v>93</v>
      </c>
      <c r="R31" s="26">
        <f t="shared" si="0"/>
        <v>1106</v>
      </c>
      <c r="S31" s="87">
        <f t="shared" si="1"/>
        <v>85.07692307692308</v>
      </c>
      <c r="T31" s="86">
        <f t="shared" si="2"/>
        <v>14</v>
      </c>
      <c r="U31" s="4"/>
      <c r="V31" s="4"/>
    </row>
    <row r="32" spans="1:22" ht="19.5" thickBot="1" x14ac:dyDescent="0.3">
      <c r="A32" s="20">
        <v>29</v>
      </c>
      <c r="B32" s="360"/>
      <c r="C32" s="320">
        <v>13</v>
      </c>
      <c r="D32" s="344" t="s">
        <v>20</v>
      </c>
      <c r="E32" s="4">
        <v>81</v>
      </c>
      <c r="F32" s="4">
        <v>88</v>
      </c>
      <c r="G32" s="423">
        <v>70</v>
      </c>
      <c r="H32" s="4">
        <v>80</v>
      </c>
      <c r="I32" s="4">
        <v>67</v>
      </c>
      <c r="J32" s="4">
        <v>70</v>
      </c>
      <c r="K32" s="4">
        <v>87</v>
      </c>
      <c r="L32" s="288">
        <v>89</v>
      </c>
      <c r="M32" s="652">
        <v>76</v>
      </c>
      <c r="N32" s="294">
        <v>81</v>
      </c>
      <c r="O32" s="4">
        <v>83</v>
      </c>
      <c r="P32" s="4">
        <v>92</v>
      </c>
      <c r="Q32" s="4">
        <v>71</v>
      </c>
      <c r="R32" s="26">
        <f t="shared" si="0"/>
        <v>1035</v>
      </c>
      <c r="S32" s="87">
        <f t="shared" si="1"/>
        <v>79.615384615384613</v>
      </c>
      <c r="T32" s="86">
        <f t="shared" si="2"/>
        <v>18</v>
      </c>
      <c r="U32" s="4"/>
      <c r="V32" s="4"/>
    </row>
    <row r="33" spans="1:22" ht="19.5" thickBot="1" x14ac:dyDescent="0.3">
      <c r="A33" s="21">
        <v>30</v>
      </c>
      <c r="B33" s="360"/>
      <c r="C33" s="367">
        <v>15</v>
      </c>
      <c r="D33" s="344" t="s">
        <v>17</v>
      </c>
      <c r="E33" s="4">
        <v>82</v>
      </c>
      <c r="F33" s="4">
        <v>43</v>
      </c>
      <c r="G33" s="423">
        <v>62</v>
      </c>
      <c r="H33" s="4">
        <v>62</v>
      </c>
      <c r="I33" s="4">
        <v>59</v>
      </c>
      <c r="J33" s="4">
        <v>50</v>
      </c>
      <c r="K33" s="4">
        <v>44</v>
      </c>
      <c r="L33" s="288">
        <v>64</v>
      </c>
      <c r="M33" s="652">
        <v>47</v>
      </c>
      <c r="N33" s="294">
        <v>65</v>
      </c>
      <c r="O33" s="4">
        <v>69</v>
      </c>
      <c r="P33" s="4">
        <v>80</v>
      </c>
      <c r="Q33" s="4">
        <v>77</v>
      </c>
      <c r="R33" s="26">
        <f t="shared" si="0"/>
        <v>804</v>
      </c>
      <c r="S33" s="87">
        <f t="shared" si="1"/>
        <v>61.846153846153847</v>
      </c>
      <c r="T33" s="86">
        <f t="shared" si="2"/>
        <v>40</v>
      </c>
      <c r="U33" s="4"/>
      <c r="V33" s="4"/>
    </row>
    <row r="34" spans="1:22" ht="22.5" customHeight="1" thickBot="1" x14ac:dyDescent="0.3">
      <c r="A34" s="20">
        <v>31</v>
      </c>
      <c r="B34" s="360"/>
      <c r="C34" s="367">
        <v>15</v>
      </c>
      <c r="D34" s="367" t="s">
        <v>20</v>
      </c>
      <c r="E34" s="4">
        <v>98</v>
      </c>
      <c r="F34" s="4">
        <v>91</v>
      </c>
      <c r="G34" s="421">
        <v>78</v>
      </c>
      <c r="H34" s="4">
        <v>77</v>
      </c>
      <c r="I34" s="4">
        <v>72</v>
      </c>
      <c r="J34" s="4">
        <v>71</v>
      </c>
      <c r="K34" s="4">
        <v>91</v>
      </c>
      <c r="L34" s="288">
        <v>76</v>
      </c>
      <c r="M34" s="650">
        <v>91</v>
      </c>
      <c r="N34" s="294">
        <v>88</v>
      </c>
      <c r="O34" s="4">
        <v>87</v>
      </c>
      <c r="P34" s="4">
        <v>93</v>
      </c>
      <c r="Q34" s="4">
        <v>96</v>
      </c>
      <c r="R34" s="26">
        <f t="shared" si="0"/>
        <v>1109</v>
      </c>
      <c r="S34" s="87">
        <f t="shared" si="1"/>
        <v>85.307692307692307</v>
      </c>
      <c r="T34" s="86">
        <f t="shared" si="2"/>
        <v>13</v>
      </c>
      <c r="U34" s="4"/>
      <c r="V34" s="4"/>
    </row>
    <row r="35" spans="1:22" ht="21" customHeight="1" thickBot="1" x14ac:dyDescent="0.3">
      <c r="A35" s="20">
        <v>32</v>
      </c>
      <c r="B35" s="360"/>
      <c r="C35" s="367">
        <v>15</v>
      </c>
      <c r="D35" s="367" t="s">
        <v>20</v>
      </c>
      <c r="E35" s="4">
        <v>89</v>
      </c>
      <c r="F35" s="4">
        <v>59</v>
      </c>
      <c r="G35" s="421">
        <v>92</v>
      </c>
      <c r="H35" s="4">
        <v>70</v>
      </c>
      <c r="I35" s="4">
        <v>61</v>
      </c>
      <c r="J35" s="4">
        <v>53</v>
      </c>
      <c r="K35" s="4">
        <v>51</v>
      </c>
      <c r="L35" s="288">
        <v>56</v>
      </c>
      <c r="M35" s="650">
        <v>56</v>
      </c>
      <c r="N35" s="294">
        <v>69</v>
      </c>
      <c r="O35" s="4">
        <v>84</v>
      </c>
      <c r="P35" s="4">
        <v>85</v>
      </c>
      <c r="Q35" s="4">
        <v>94</v>
      </c>
      <c r="R35" s="26">
        <f t="shared" si="0"/>
        <v>919</v>
      </c>
      <c r="S35" s="87">
        <f t="shared" si="1"/>
        <v>70.692307692307693</v>
      </c>
      <c r="T35" s="86">
        <f t="shared" si="2"/>
        <v>31</v>
      </c>
      <c r="U35" s="4"/>
      <c r="V35" s="4"/>
    </row>
    <row r="36" spans="1:22" ht="19.5" thickBot="1" x14ac:dyDescent="0.3">
      <c r="A36" s="20">
        <v>33</v>
      </c>
      <c r="B36" s="360"/>
      <c r="C36" s="367">
        <v>14</v>
      </c>
      <c r="D36" s="367" t="s">
        <v>20</v>
      </c>
      <c r="E36" s="4">
        <v>97</v>
      </c>
      <c r="F36" s="4">
        <v>91</v>
      </c>
      <c r="G36" s="421">
        <v>92</v>
      </c>
      <c r="H36" s="4">
        <v>88</v>
      </c>
      <c r="I36" s="4">
        <v>96</v>
      </c>
      <c r="J36" s="4">
        <v>98</v>
      </c>
      <c r="K36" s="4">
        <v>99</v>
      </c>
      <c r="L36" s="288">
        <v>96</v>
      </c>
      <c r="M36" s="650">
        <v>93</v>
      </c>
      <c r="N36" s="294">
        <v>95</v>
      </c>
      <c r="O36" s="4">
        <v>99</v>
      </c>
      <c r="P36" s="4">
        <v>93</v>
      </c>
      <c r="Q36" s="4">
        <v>95</v>
      </c>
      <c r="R36" s="26">
        <f t="shared" ref="R36:R53" si="3">SUM(E36:Q36)</f>
        <v>1232</v>
      </c>
      <c r="S36" s="87">
        <f t="shared" ref="S36:S53" si="4">AVERAGE(E36:Q36)</f>
        <v>94.769230769230774</v>
      </c>
      <c r="T36" s="86">
        <f t="shared" si="2"/>
        <v>5</v>
      </c>
      <c r="U36" s="4"/>
      <c r="V36" s="4"/>
    </row>
    <row r="37" spans="1:22" ht="19.5" thickBot="1" x14ac:dyDescent="0.3">
      <c r="A37" s="21">
        <v>34</v>
      </c>
      <c r="B37" s="360"/>
      <c r="C37" s="367">
        <v>14</v>
      </c>
      <c r="D37" s="367" t="s">
        <v>17</v>
      </c>
      <c r="E37" s="4">
        <v>71</v>
      </c>
      <c r="F37" s="4">
        <v>57</v>
      </c>
      <c r="G37" s="423">
        <v>45</v>
      </c>
      <c r="H37" s="4">
        <v>49</v>
      </c>
      <c r="I37" s="4">
        <v>54</v>
      </c>
      <c r="J37" s="4">
        <v>44</v>
      </c>
      <c r="K37" s="4">
        <v>45</v>
      </c>
      <c r="L37" s="288">
        <v>48</v>
      </c>
      <c r="M37" s="652">
        <v>44</v>
      </c>
      <c r="N37" s="294">
        <v>62</v>
      </c>
      <c r="O37" s="4">
        <v>60</v>
      </c>
      <c r="P37" s="4">
        <v>84</v>
      </c>
      <c r="Q37" s="4">
        <v>72</v>
      </c>
      <c r="R37" s="26">
        <f t="shared" si="3"/>
        <v>735</v>
      </c>
      <c r="S37" s="87">
        <f t="shared" si="4"/>
        <v>56.53846153846154</v>
      </c>
      <c r="T37" s="86">
        <f t="shared" si="2"/>
        <v>45</v>
      </c>
      <c r="U37" s="4"/>
      <c r="V37" s="4"/>
    </row>
    <row r="38" spans="1:22" ht="19.5" thickBot="1" x14ac:dyDescent="0.3">
      <c r="A38" s="21">
        <v>35</v>
      </c>
      <c r="B38" s="360"/>
      <c r="C38" s="367">
        <v>14</v>
      </c>
      <c r="D38" s="367" t="s">
        <v>20</v>
      </c>
      <c r="E38" s="4">
        <v>73</v>
      </c>
      <c r="F38" s="4">
        <v>38</v>
      </c>
      <c r="G38" s="421">
        <v>51</v>
      </c>
      <c r="H38" s="4">
        <v>47</v>
      </c>
      <c r="I38" s="4">
        <v>50</v>
      </c>
      <c r="J38" s="4">
        <v>44</v>
      </c>
      <c r="K38" s="4">
        <v>42</v>
      </c>
      <c r="L38" s="288">
        <v>42</v>
      </c>
      <c r="M38" s="650">
        <v>43</v>
      </c>
      <c r="N38" s="294">
        <v>52</v>
      </c>
      <c r="O38" s="4">
        <v>63</v>
      </c>
      <c r="P38" s="4">
        <v>65</v>
      </c>
      <c r="Q38" s="4">
        <v>69</v>
      </c>
      <c r="R38" s="26">
        <f t="shared" si="3"/>
        <v>679</v>
      </c>
      <c r="S38" s="87">
        <f t="shared" si="4"/>
        <v>52.230769230769234</v>
      </c>
      <c r="T38" s="86">
        <f t="shared" si="2"/>
        <v>49</v>
      </c>
      <c r="U38" s="4"/>
      <c r="V38" s="4"/>
    </row>
    <row r="39" spans="1:22" ht="19.5" thickBot="1" x14ac:dyDescent="0.3">
      <c r="A39" s="21">
        <v>36</v>
      </c>
      <c r="B39" s="360"/>
      <c r="C39" s="367">
        <v>15</v>
      </c>
      <c r="D39" s="367" t="s">
        <v>17</v>
      </c>
      <c r="E39" s="4">
        <v>82</v>
      </c>
      <c r="F39" s="4">
        <v>86</v>
      </c>
      <c r="G39" s="423">
        <v>52</v>
      </c>
      <c r="H39" s="4">
        <v>75</v>
      </c>
      <c r="I39" s="4">
        <v>78</v>
      </c>
      <c r="J39" s="4">
        <v>93</v>
      </c>
      <c r="K39" s="4">
        <v>89</v>
      </c>
      <c r="L39" s="288">
        <v>90</v>
      </c>
      <c r="M39" s="652">
        <v>73</v>
      </c>
      <c r="N39" s="294">
        <v>86</v>
      </c>
      <c r="O39" s="4">
        <v>90</v>
      </c>
      <c r="P39" s="4">
        <v>83</v>
      </c>
      <c r="Q39" s="4">
        <v>93</v>
      </c>
      <c r="R39" s="26">
        <f t="shared" si="3"/>
        <v>1070</v>
      </c>
      <c r="S39" s="87">
        <f t="shared" si="4"/>
        <v>82.307692307692307</v>
      </c>
      <c r="T39" s="86">
        <f t="shared" si="2"/>
        <v>17</v>
      </c>
      <c r="U39" s="4"/>
      <c r="V39" s="4"/>
    </row>
    <row r="40" spans="1:22" ht="19.5" thickBot="1" x14ac:dyDescent="0.3">
      <c r="A40" s="20">
        <v>37</v>
      </c>
      <c r="B40" s="360"/>
      <c r="C40" s="367">
        <v>15</v>
      </c>
      <c r="D40" s="367" t="s">
        <v>20</v>
      </c>
      <c r="E40" s="4">
        <v>84</v>
      </c>
      <c r="F40" s="4">
        <v>73</v>
      </c>
      <c r="G40" s="423">
        <v>69</v>
      </c>
      <c r="H40" s="4">
        <v>70</v>
      </c>
      <c r="I40" s="4">
        <v>65</v>
      </c>
      <c r="J40" s="4">
        <v>75</v>
      </c>
      <c r="K40" s="4">
        <v>65</v>
      </c>
      <c r="L40" s="288">
        <v>67</v>
      </c>
      <c r="M40" s="652">
        <v>67</v>
      </c>
      <c r="N40" s="294">
        <v>71</v>
      </c>
      <c r="O40" s="4">
        <v>74</v>
      </c>
      <c r="P40" s="4">
        <v>91</v>
      </c>
      <c r="Q40" s="4">
        <v>93</v>
      </c>
      <c r="R40" s="26">
        <f t="shared" si="3"/>
        <v>964</v>
      </c>
      <c r="S40" s="87">
        <f t="shared" si="4"/>
        <v>74.15384615384616</v>
      </c>
      <c r="T40" s="86">
        <f t="shared" si="2"/>
        <v>24</v>
      </c>
      <c r="U40" s="4"/>
      <c r="V40" s="4"/>
    </row>
    <row r="41" spans="1:22" ht="19.5" thickBot="1" x14ac:dyDescent="0.3">
      <c r="A41" s="20">
        <v>38</v>
      </c>
      <c r="B41" s="360"/>
      <c r="C41" s="367">
        <v>15</v>
      </c>
      <c r="D41" s="367" t="s">
        <v>20</v>
      </c>
      <c r="E41" s="4">
        <v>77</v>
      </c>
      <c r="F41" s="4">
        <v>55</v>
      </c>
      <c r="G41" s="421">
        <v>52</v>
      </c>
      <c r="H41" s="4">
        <v>51</v>
      </c>
      <c r="I41" s="4">
        <v>45</v>
      </c>
      <c r="J41" s="4">
        <v>45</v>
      </c>
      <c r="K41" s="4">
        <v>48</v>
      </c>
      <c r="L41" s="288">
        <v>52</v>
      </c>
      <c r="M41" s="650">
        <v>41</v>
      </c>
      <c r="N41" s="294">
        <v>65</v>
      </c>
      <c r="O41" s="4">
        <v>69</v>
      </c>
      <c r="P41" s="4">
        <v>74</v>
      </c>
      <c r="Q41" s="4">
        <v>74</v>
      </c>
      <c r="R41" s="26">
        <f t="shared" si="3"/>
        <v>748</v>
      </c>
      <c r="S41" s="87">
        <f t="shared" si="4"/>
        <v>57.53846153846154</v>
      </c>
      <c r="T41" s="86">
        <f t="shared" si="2"/>
        <v>42</v>
      </c>
      <c r="U41" s="4"/>
      <c r="V41" s="4"/>
    </row>
    <row r="42" spans="1:22" ht="19.5" thickBot="1" x14ac:dyDescent="0.3">
      <c r="A42" s="21">
        <v>39</v>
      </c>
      <c r="B42" s="360"/>
      <c r="C42" s="367">
        <v>16</v>
      </c>
      <c r="D42" s="367" t="s">
        <v>20</v>
      </c>
      <c r="E42" s="4">
        <v>80</v>
      </c>
      <c r="F42" s="4">
        <v>63</v>
      </c>
      <c r="G42" s="421">
        <v>59</v>
      </c>
      <c r="H42" s="4">
        <v>53</v>
      </c>
      <c r="I42" s="4">
        <v>44</v>
      </c>
      <c r="J42" s="4">
        <v>43</v>
      </c>
      <c r="K42" s="4">
        <v>44</v>
      </c>
      <c r="L42" s="288">
        <v>49</v>
      </c>
      <c r="M42" s="650">
        <v>45</v>
      </c>
      <c r="N42" s="294">
        <v>62</v>
      </c>
      <c r="O42" s="4">
        <v>52</v>
      </c>
      <c r="P42" s="4">
        <v>79</v>
      </c>
      <c r="Q42" s="4">
        <v>72</v>
      </c>
      <c r="R42" s="26">
        <f t="shared" si="3"/>
        <v>745</v>
      </c>
      <c r="S42" s="87">
        <f t="shared" si="4"/>
        <v>57.307692307692307</v>
      </c>
      <c r="T42" s="86">
        <f t="shared" si="2"/>
        <v>43</v>
      </c>
      <c r="U42" s="4"/>
      <c r="V42" s="4"/>
    </row>
    <row r="43" spans="1:22" ht="19.5" thickBot="1" x14ac:dyDescent="0.3">
      <c r="A43" s="20">
        <v>40</v>
      </c>
      <c r="B43" s="360"/>
      <c r="C43" s="367">
        <v>15</v>
      </c>
      <c r="D43" s="367" t="s">
        <v>20</v>
      </c>
      <c r="E43" s="4">
        <v>74</v>
      </c>
      <c r="F43" s="4">
        <v>54</v>
      </c>
      <c r="G43" s="423">
        <v>51</v>
      </c>
      <c r="H43" s="4">
        <v>37</v>
      </c>
      <c r="I43" s="4">
        <v>41</v>
      </c>
      <c r="J43" s="4">
        <v>52</v>
      </c>
      <c r="K43" s="4">
        <v>52</v>
      </c>
      <c r="L43" s="288">
        <v>52</v>
      </c>
      <c r="M43" s="652">
        <v>41</v>
      </c>
      <c r="N43" s="294">
        <v>64</v>
      </c>
      <c r="O43" s="4">
        <v>61</v>
      </c>
      <c r="P43" s="4">
        <v>74</v>
      </c>
      <c r="Q43" s="4">
        <v>83</v>
      </c>
      <c r="R43" s="26">
        <f t="shared" si="3"/>
        <v>736</v>
      </c>
      <c r="S43" s="87">
        <f t="shared" si="4"/>
        <v>56.615384615384613</v>
      </c>
      <c r="T43" s="86">
        <f t="shared" si="2"/>
        <v>44</v>
      </c>
      <c r="U43" s="4"/>
      <c r="V43" s="4"/>
    </row>
    <row r="44" spans="1:22" ht="19.5" thickBot="1" x14ac:dyDescent="0.3">
      <c r="A44" s="21">
        <v>41</v>
      </c>
      <c r="B44" s="360"/>
      <c r="C44" s="367">
        <v>15</v>
      </c>
      <c r="D44" s="367" t="s">
        <v>20</v>
      </c>
      <c r="E44" s="4">
        <v>99</v>
      </c>
      <c r="F44" s="4">
        <v>93</v>
      </c>
      <c r="G44" s="423">
        <v>100</v>
      </c>
      <c r="H44" s="4">
        <v>95</v>
      </c>
      <c r="I44" s="4">
        <v>97</v>
      </c>
      <c r="J44" s="4">
        <v>95</v>
      </c>
      <c r="K44" s="4">
        <v>93</v>
      </c>
      <c r="L44" s="288">
        <v>97</v>
      </c>
      <c r="M44" s="652">
        <v>94</v>
      </c>
      <c r="N44" s="294">
        <v>97</v>
      </c>
      <c r="O44" s="4">
        <v>100</v>
      </c>
      <c r="P44" s="4">
        <v>98</v>
      </c>
      <c r="Q44" s="4">
        <v>100</v>
      </c>
      <c r="R44" s="26">
        <f t="shared" si="3"/>
        <v>1258</v>
      </c>
      <c r="S44" s="87">
        <f t="shared" si="4"/>
        <v>96.769230769230774</v>
      </c>
      <c r="T44" s="86">
        <f t="shared" si="2"/>
        <v>3</v>
      </c>
      <c r="U44" s="4"/>
      <c r="V44" s="4"/>
    </row>
    <row r="45" spans="1:22" ht="21.75" customHeight="1" thickBot="1" x14ac:dyDescent="0.3">
      <c r="A45" s="21">
        <v>42</v>
      </c>
      <c r="B45" s="360"/>
      <c r="C45" s="367">
        <v>15</v>
      </c>
      <c r="D45" s="367" t="s">
        <v>20</v>
      </c>
      <c r="E45" s="4">
        <v>90</v>
      </c>
      <c r="F45" s="4">
        <v>55</v>
      </c>
      <c r="G45" s="423">
        <v>64</v>
      </c>
      <c r="H45" s="4">
        <v>75</v>
      </c>
      <c r="I45" s="4">
        <v>66</v>
      </c>
      <c r="J45" s="4">
        <v>67</v>
      </c>
      <c r="K45" s="4">
        <v>50</v>
      </c>
      <c r="L45" s="288">
        <v>64</v>
      </c>
      <c r="M45" s="652">
        <v>51</v>
      </c>
      <c r="N45" s="294">
        <v>68</v>
      </c>
      <c r="O45" s="4">
        <v>90</v>
      </c>
      <c r="P45" s="4">
        <v>82</v>
      </c>
      <c r="Q45" s="4">
        <v>81</v>
      </c>
      <c r="R45" s="26">
        <f t="shared" si="3"/>
        <v>903</v>
      </c>
      <c r="S45" s="87">
        <f t="shared" si="4"/>
        <v>69.461538461538467</v>
      </c>
      <c r="T45" s="86">
        <f t="shared" si="2"/>
        <v>35</v>
      </c>
      <c r="U45" s="4"/>
      <c r="V45" s="4"/>
    </row>
    <row r="46" spans="1:22" ht="19.5" thickBot="1" x14ac:dyDescent="0.3">
      <c r="A46" s="21">
        <v>43</v>
      </c>
      <c r="B46" s="360"/>
      <c r="C46" s="367">
        <v>15</v>
      </c>
      <c r="D46" s="367" t="s">
        <v>17</v>
      </c>
      <c r="E46" s="4">
        <v>96</v>
      </c>
      <c r="F46" s="4">
        <v>92</v>
      </c>
      <c r="G46" s="423">
        <v>93</v>
      </c>
      <c r="H46" s="4">
        <v>98</v>
      </c>
      <c r="I46" s="4">
        <v>98</v>
      </c>
      <c r="J46" s="4">
        <v>100</v>
      </c>
      <c r="K46" s="4">
        <v>92</v>
      </c>
      <c r="L46" s="288">
        <v>96</v>
      </c>
      <c r="M46" s="652">
        <v>96</v>
      </c>
      <c r="N46" s="294">
        <v>99</v>
      </c>
      <c r="O46" s="4">
        <v>99</v>
      </c>
      <c r="P46" s="4">
        <v>100</v>
      </c>
      <c r="Q46" s="25">
        <v>92</v>
      </c>
      <c r="R46" s="26">
        <f t="shared" si="3"/>
        <v>1251</v>
      </c>
      <c r="S46" s="87">
        <f t="shared" si="4"/>
        <v>96.230769230769226</v>
      </c>
      <c r="T46" s="86">
        <f t="shared" si="2"/>
        <v>4</v>
      </c>
      <c r="U46" s="4"/>
      <c r="V46" s="4"/>
    </row>
    <row r="47" spans="1:22" ht="19.5" thickBot="1" x14ac:dyDescent="0.3">
      <c r="A47" s="20">
        <v>44</v>
      </c>
      <c r="B47" s="360"/>
      <c r="C47" s="367">
        <v>15</v>
      </c>
      <c r="D47" s="367" t="s">
        <v>20</v>
      </c>
      <c r="E47" s="4">
        <v>76</v>
      </c>
      <c r="F47" s="4">
        <v>50</v>
      </c>
      <c r="G47" s="423">
        <v>67</v>
      </c>
      <c r="H47" s="4">
        <v>64</v>
      </c>
      <c r="I47" s="4">
        <v>75</v>
      </c>
      <c r="J47" s="4">
        <v>63</v>
      </c>
      <c r="K47" s="4">
        <v>76</v>
      </c>
      <c r="L47" s="288">
        <v>75</v>
      </c>
      <c r="M47" s="652">
        <v>64</v>
      </c>
      <c r="N47" s="294">
        <v>75</v>
      </c>
      <c r="O47" s="4">
        <v>64</v>
      </c>
      <c r="P47" s="4">
        <v>80</v>
      </c>
      <c r="Q47" s="4">
        <v>91</v>
      </c>
      <c r="R47" s="26">
        <f t="shared" si="3"/>
        <v>920</v>
      </c>
      <c r="S47" s="87">
        <f t="shared" si="4"/>
        <v>70.769230769230774</v>
      </c>
      <c r="T47" s="86">
        <f t="shared" si="2"/>
        <v>30</v>
      </c>
      <c r="U47" s="4"/>
      <c r="V47" s="4"/>
    </row>
    <row r="48" spans="1:22" ht="19.5" thickBot="1" x14ac:dyDescent="0.3">
      <c r="A48" s="21">
        <v>45</v>
      </c>
      <c r="B48" s="360"/>
      <c r="C48" s="367">
        <v>15</v>
      </c>
      <c r="D48" s="367" t="s">
        <v>20</v>
      </c>
      <c r="E48" s="4">
        <v>84</v>
      </c>
      <c r="F48" s="4">
        <v>61</v>
      </c>
      <c r="G48" s="423">
        <v>59</v>
      </c>
      <c r="H48" s="4">
        <v>68</v>
      </c>
      <c r="I48" s="4">
        <v>60</v>
      </c>
      <c r="J48" s="4">
        <v>59</v>
      </c>
      <c r="K48" s="4">
        <v>60</v>
      </c>
      <c r="L48" s="288">
        <v>70</v>
      </c>
      <c r="M48" s="652">
        <v>57</v>
      </c>
      <c r="N48" s="294">
        <v>72</v>
      </c>
      <c r="O48" s="4">
        <v>65</v>
      </c>
      <c r="P48" s="4">
        <v>86</v>
      </c>
      <c r="Q48" s="4">
        <v>77</v>
      </c>
      <c r="R48" s="26">
        <f t="shared" si="3"/>
        <v>878</v>
      </c>
      <c r="S48" s="87">
        <f t="shared" si="4"/>
        <v>67.538461538461533</v>
      </c>
      <c r="T48" s="86">
        <f t="shared" si="2"/>
        <v>36</v>
      </c>
      <c r="U48" s="4"/>
      <c r="V48" s="4"/>
    </row>
    <row r="49" spans="1:22" ht="19.5" thickBot="1" x14ac:dyDescent="0.3">
      <c r="A49" s="20">
        <v>46</v>
      </c>
      <c r="B49" s="360"/>
      <c r="C49" s="367">
        <v>14</v>
      </c>
      <c r="D49" s="367" t="s">
        <v>20</v>
      </c>
      <c r="E49" s="4">
        <v>90</v>
      </c>
      <c r="F49" s="4">
        <v>71</v>
      </c>
      <c r="G49" s="423">
        <v>55</v>
      </c>
      <c r="H49" s="4">
        <v>63</v>
      </c>
      <c r="I49" s="4">
        <v>63</v>
      </c>
      <c r="J49" s="4">
        <v>46</v>
      </c>
      <c r="K49" s="4">
        <v>50</v>
      </c>
      <c r="L49" s="288">
        <v>57</v>
      </c>
      <c r="M49" s="652">
        <v>59</v>
      </c>
      <c r="N49" s="294">
        <v>72</v>
      </c>
      <c r="O49" s="4">
        <v>74</v>
      </c>
      <c r="P49" s="4">
        <v>78</v>
      </c>
      <c r="Q49" s="4">
        <v>79</v>
      </c>
      <c r="R49" s="26">
        <f t="shared" si="3"/>
        <v>857</v>
      </c>
      <c r="S49" s="87">
        <f t="shared" si="4"/>
        <v>65.92307692307692</v>
      </c>
      <c r="T49" s="86">
        <f t="shared" si="2"/>
        <v>38</v>
      </c>
      <c r="U49" s="4"/>
      <c r="V49" s="4"/>
    </row>
    <row r="50" spans="1:22" ht="19.5" thickBot="1" x14ac:dyDescent="0.3">
      <c r="A50" s="20">
        <v>47</v>
      </c>
      <c r="B50" s="360"/>
      <c r="C50" s="367">
        <v>15</v>
      </c>
      <c r="D50" s="367" t="s">
        <v>17</v>
      </c>
      <c r="E50" s="4">
        <v>74</v>
      </c>
      <c r="F50" s="4">
        <v>48</v>
      </c>
      <c r="G50" s="423">
        <v>51</v>
      </c>
      <c r="H50" s="4">
        <v>62</v>
      </c>
      <c r="I50" s="4">
        <v>58</v>
      </c>
      <c r="J50" s="4">
        <v>43</v>
      </c>
      <c r="K50" s="4">
        <v>66</v>
      </c>
      <c r="L50" s="288">
        <v>54</v>
      </c>
      <c r="M50" s="652">
        <v>62</v>
      </c>
      <c r="N50" s="294">
        <v>75</v>
      </c>
      <c r="O50" s="4">
        <v>73</v>
      </c>
      <c r="P50" s="4">
        <v>78</v>
      </c>
      <c r="Q50" s="4">
        <v>84</v>
      </c>
      <c r="R50" s="26">
        <f t="shared" si="3"/>
        <v>828</v>
      </c>
      <c r="S50" s="87">
        <f t="shared" si="4"/>
        <v>63.692307692307693</v>
      </c>
      <c r="T50" s="86">
        <f t="shared" si="2"/>
        <v>39</v>
      </c>
      <c r="U50" s="4"/>
      <c r="V50" s="4"/>
    </row>
    <row r="51" spans="1:22" ht="19.5" thickBot="1" x14ac:dyDescent="0.3">
      <c r="A51" s="20">
        <v>48</v>
      </c>
      <c r="B51" s="360"/>
      <c r="C51" s="367">
        <v>15</v>
      </c>
      <c r="D51" s="367" t="s">
        <v>17</v>
      </c>
      <c r="E51" s="4">
        <v>81</v>
      </c>
      <c r="F51" s="4">
        <v>79</v>
      </c>
      <c r="G51" s="423">
        <v>51</v>
      </c>
      <c r="H51" s="4">
        <v>94</v>
      </c>
      <c r="I51" s="4">
        <v>91</v>
      </c>
      <c r="J51" s="4">
        <v>96</v>
      </c>
      <c r="K51" s="4">
        <v>79</v>
      </c>
      <c r="L51" s="288">
        <v>91</v>
      </c>
      <c r="M51" s="652">
        <v>94</v>
      </c>
      <c r="N51" s="294">
        <v>80</v>
      </c>
      <c r="O51" s="4">
        <v>92</v>
      </c>
      <c r="P51" s="4">
        <v>100</v>
      </c>
      <c r="Q51" s="4">
        <v>92</v>
      </c>
      <c r="R51" s="26">
        <f t="shared" si="3"/>
        <v>1120</v>
      </c>
      <c r="S51" s="87">
        <f t="shared" si="4"/>
        <v>86.15384615384616</v>
      </c>
      <c r="T51" s="86">
        <f t="shared" si="2"/>
        <v>11</v>
      </c>
      <c r="U51" s="4"/>
      <c r="V51" s="4"/>
    </row>
    <row r="52" spans="1:22" ht="19.5" thickBot="1" x14ac:dyDescent="0.3">
      <c r="A52" s="21">
        <v>49</v>
      </c>
      <c r="B52" s="360"/>
      <c r="C52" s="367">
        <v>15</v>
      </c>
      <c r="D52" s="367" t="s">
        <v>17</v>
      </c>
      <c r="E52" s="4">
        <v>86</v>
      </c>
      <c r="F52" s="4">
        <v>79</v>
      </c>
      <c r="G52" s="423">
        <v>65</v>
      </c>
      <c r="H52" s="4">
        <v>79</v>
      </c>
      <c r="I52" s="4">
        <v>75</v>
      </c>
      <c r="J52" s="4">
        <v>63</v>
      </c>
      <c r="K52" s="4">
        <v>72</v>
      </c>
      <c r="L52" s="288">
        <v>74</v>
      </c>
      <c r="M52" s="652">
        <v>77</v>
      </c>
      <c r="N52" s="294">
        <v>84</v>
      </c>
      <c r="O52" s="4">
        <v>89</v>
      </c>
      <c r="P52" s="4">
        <v>96</v>
      </c>
      <c r="Q52" s="4">
        <v>71</v>
      </c>
      <c r="R52" s="26">
        <f t="shared" si="3"/>
        <v>1010</v>
      </c>
      <c r="S52" s="87">
        <f t="shared" si="4"/>
        <v>77.692307692307693</v>
      </c>
      <c r="T52" s="86">
        <f t="shared" si="2"/>
        <v>19</v>
      </c>
      <c r="U52" s="4"/>
      <c r="V52" s="4"/>
    </row>
    <row r="53" spans="1:22" ht="19.5" thickBot="1" x14ac:dyDescent="0.3">
      <c r="A53" s="21">
        <v>50</v>
      </c>
      <c r="B53" s="360"/>
      <c r="C53" s="367">
        <v>15</v>
      </c>
      <c r="D53" s="367" t="s">
        <v>17</v>
      </c>
      <c r="E53" s="4">
        <v>100</v>
      </c>
      <c r="F53" s="4">
        <v>98</v>
      </c>
      <c r="G53" s="423">
        <v>100</v>
      </c>
      <c r="H53" s="4">
        <v>99</v>
      </c>
      <c r="I53" s="4">
        <v>100</v>
      </c>
      <c r="J53" s="4">
        <v>100</v>
      </c>
      <c r="K53" s="4">
        <v>99</v>
      </c>
      <c r="L53" s="288">
        <v>100</v>
      </c>
      <c r="M53" s="652">
        <v>100</v>
      </c>
      <c r="N53" s="294">
        <v>100</v>
      </c>
      <c r="O53" s="4">
        <v>100</v>
      </c>
      <c r="P53" s="4">
        <v>100</v>
      </c>
      <c r="Q53" s="4">
        <v>100</v>
      </c>
      <c r="R53" s="26">
        <f t="shared" si="3"/>
        <v>1296</v>
      </c>
      <c r="S53" s="87">
        <f t="shared" si="4"/>
        <v>99.692307692307693</v>
      </c>
      <c r="T53" s="86">
        <f t="shared" si="2"/>
        <v>1</v>
      </c>
      <c r="U53" s="4"/>
      <c r="V53" s="4"/>
    </row>
    <row r="54" spans="1:22" ht="16.5" thickBot="1" x14ac:dyDescent="0.3">
      <c r="A54" s="21">
        <v>51</v>
      </c>
      <c r="B54" s="18"/>
      <c r="C54" s="19"/>
      <c r="D54" s="19"/>
      <c r="E54" s="4"/>
      <c r="F54" s="4"/>
      <c r="G54" s="15"/>
      <c r="H54" s="4"/>
      <c r="I54" s="4"/>
      <c r="J54" s="4"/>
      <c r="K54" s="4"/>
      <c r="L54" s="288"/>
      <c r="M54" s="4"/>
      <c r="N54" s="4"/>
      <c r="O54" s="288"/>
      <c r="P54" s="4"/>
      <c r="Q54" s="4"/>
      <c r="R54" s="26"/>
      <c r="S54" s="17"/>
      <c r="T54" s="16"/>
      <c r="U54" s="4"/>
      <c r="V54" s="4"/>
    </row>
    <row r="55" spans="1:22" ht="16.5" thickBot="1" x14ac:dyDescent="0.3">
      <c r="A55" s="21">
        <v>52</v>
      </c>
      <c r="B55" s="18"/>
      <c r="C55" s="19"/>
      <c r="D55" s="19"/>
      <c r="E55" s="4"/>
      <c r="F55" s="4"/>
      <c r="G55" s="15"/>
      <c r="H55" s="4"/>
      <c r="I55" s="4"/>
      <c r="J55" s="4"/>
      <c r="K55" s="4"/>
      <c r="L55" s="288"/>
      <c r="M55" s="4"/>
      <c r="N55" s="4"/>
      <c r="O55" s="288"/>
      <c r="P55" s="4"/>
      <c r="Q55" s="4"/>
      <c r="R55" s="26"/>
      <c r="S55" s="17"/>
      <c r="T55" s="16"/>
      <c r="U55" s="4"/>
      <c r="V55" s="4"/>
    </row>
    <row r="56" spans="1:22" ht="16.5" thickBot="1" x14ac:dyDescent="0.3">
      <c r="A56" s="21">
        <v>53</v>
      </c>
      <c r="B56" s="23"/>
      <c r="C56" s="22"/>
      <c r="D56" s="22"/>
      <c r="E56" s="4"/>
      <c r="F56" s="4"/>
      <c r="G56" s="15"/>
      <c r="H56" s="4"/>
      <c r="I56" s="4"/>
      <c r="J56" s="4"/>
      <c r="K56" s="4"/>
      <c r="L56" s="288"/>
      <c r="M56" s="4"/>
      <c r="N56" s="4"/>
      <c r="O56" s="288"/>
      <c r="P56" s="4"/>
      <c r="Q56" s="4"/>
      <c r="R56" s="26"/>
      <c r="S56" s="17"/>
      <c r="T56" s="16"/>
      <c r="U56" s="4"/>
      <c r="V56" s="4"/>
    </row>
    <row r="57" spans="1:22" ht="16.5" thickBot="1" x14ac:dyDescent="0.3">
      <c r="A57" s="21">
        <v>54</v>
      </c>
      <c r="B57" s="24"/>
      <c r="C57" s="9"/>
      <c r="D57" s="9"/>
      <c r="E57" s="4"/>
      <c r="F57" s="4"/>
      <c r="G57" s="15"/>
      <c r="H57" s="4"/>
      <c r="I57" s="4"/>
      <c r="J57" s="4"/>
      <c r="K57" s="4"/>
      <c r="L57" s="288"/>
      <c r="M57" s="4"/>
      <c r="N57" s="4"/>
      <c r="O57" s="288"/>
      <c r="P57" s="4"/>
      <c r="Q57" s="4"/>
      <c r="R57" s="26"/>
      <c r="S57" s="17"/>
      <c r="T57" s="16"/>
      <c r="U57" s="4"/>
      <c r="V57" s="4"/>
    </row>
    <row r="58" spans="1:22" ht="15.75" x14ac:dyDescent="0.25">
      <c r="A58" s="21">
        <v>55</v>
      </c>
      <c r="B58" s="24"/>
      <c r="C58" s="9"/>
      <c r="D58" s="9"/>
      <c r="E58" s="4"/>
      <c r="F58" s="4"/>
      <c r="G58" s="15"/>
      <c r="H58" s="4"/>
      <c r="I58" s="4"/>
      <c r="J58" s="4"/>
      <c r="K58" s="4"/>
      <c r="L58" s="288"/>
      <c r="M58" s="4"/>
      <c r="N58" s="4"/>
      <c r="O58" s="288"/>
      <c r="P58" s="4"/>
      <c r="Q58" s="4"/>
      <c r="R58" s="27"/>
      <c r="S58" s="28"/>
      <c r="T58" s="5"/>
      <c r="U58" s="4"/>
      <c r="V58" s="4"/>
    </row>
  </sheetData>
  <mergeCells count="2">
    <mergeCell ref="A1:V1"/>
    <mergeCell ref="A2:V2"/>
  </mergeCells>
  <pageMargins left="0.7" right="0.7" top="0.75" bottom="0.75" header="0.3" footer="0.3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zoomScaleNormal="100" workbookViewId="0">
      <selection activeCell="B4" sqref="B4:B53"/>
    </sheetView>
  </sheetViews>
  <sheetFormatPr defaultRowHeight="15" x14ac:dyDescent="0.25"/>
  <cols>
    <col min="1" max="1" width="4.5703125" customWidth="1"/>
    <col min="2" max="2" width="36.5703125" customWidth="1"/>
    <col min="3" max="3" width="7.140625" customWidth="1"/>
    <col min="4" max="4" width="5" customWidth="1"/>
    <col min="5" max="5" width="14" customWidth="1"/>
    <col min="6" max="6" width="12.85546875" customWidth="1"/>
    <col min="7" max="7" width="12.5703125" customWidth="1"/>
    <col min="8" max="8" width="16.85546875" customWidth="1"/>
  </cols>
  <sheetData>
    <row r="1" spans="1:8" ht="20.25" x14ac:dyDescent="0.25">
      <c r="A1" s="865" t="s">
        <v>37</v>
      </c>
      <c r="B1" s="866"/>
      <c r="C1" s="866"/>
      <c r="D1" s="866"/>
      <c r="E1" s="866"/>
      <c r="F1" s="866"/>
      <c r="G1" s="866"/>
      <c r="H1" s="866"/>
    </row>
    <row r="2" spans="1:8" ht="18" x14ac:dyDescent="0.25">
      <c r="A2" s="867" t="s">
        <v>34</v>
      </c>
      <c r="B2" s="868"/>
      <c r="C2" s="868"/>
      <c r="D2" s="868"/>
      <c r="E2" s="868"/>
      <c r="F2" s="868"/>
      <c r="G2" s="868"/>
      <c r="H2" s="868"/>
    </row>
    <row r="3" spans="1:8" ht="38.25" thickBot="1" x14ac:dyDescent="0.3">
      <c r="A3" s="670" t="s">
        <v>97</v>
      </c>
      <c r="B3" s="721" t="s">
        <v>1</v>
      </c>
      <c r="C3" s="722" t="s">
        <v>2</v>
      </c>
      <c r="D3" s="721" t="s">
        <v>3</v>
      </c>
      <c r="E3" s="669" t="s">
        <v>35</v>
      </c>
      <c r="F3" s="723" t="s">
        <v>36</v>
      </c>
      <c r="G3" s="723" t="s">
        <v>13</v>
      </c>
      <c r="H3" s="666" t="s">
        <v>14</v>
      </c>
    </row>
    <row r="4" spans="1:8" ht="19.5" thickBot="1" x14ac:dyDescent="0.3">
      <c r="A4" s="680">
        <v>1</v>
      </c>
      <c r="B4" s="358"/>
      <c r="C4" s="724">
        <v>14</v>
      </c>
      <c r="D4" s="724" t="s">
        <v>20</v>
      </c>
      <c r="E4" s="725">
        <v>87.769230769230774</v>
      </c>
      <c r="F4" s="673">
        <v>88</v>
      </c>
      <c r="G4" s="673">
        <f>AVERAGE(E4:F4)</f>
        <v>87.884615384615387</v>
      </c>
      <c r="H4" s="390">
        <f>RANK(G4,$G$4:$G$53)</f>
        <v>8</v>
      </c>
    </row>
    <row r="5" spans="1:8" ht="19.5" thickBot="1" x14ac:dyDescent="0.3">
      <c r="A5" s="675">
        <v>2</v>
      </c>
      <c r="B5" s="360"/>
      <c r="C5" s="676">
        <v>14</v>
      </c>
      <c r="D5" s="676" t="s">
        <v>20</v>
      </c>
      <c r="E5" s="673">
        <v>71.692307692307693</v>
      </c>
      <c r="F5" s="673">
        <v>72.92307692307692</v>
      </c>
      <c r="G5" s="673">
        <f t="shared" ref="G5:G53" si="0">AVERAGE(E5:F5)</f>
        <v>72.307692307692307</v>
      </c>
      <c r="H5" s="390">
        <f t="shared" ref="H5:H53" si="1">RANK(G5,$G$4:$G$53)</f>
        <v>28</v>
      </c>
    </row>
    <row r="6" spans="1:8" ht="19.5" thickBot="1" x14ac:dyDescent="0.3">
      <c r="A6" s="675">
        <v>3</v>
      </c>
      <c r="B6" s="361"/>
      <c r="C6" s="678">
        <v>15</v>
      </c>
      <c r="D6" s="679" t="s">
        <v>20</v>
      </c>
      <c r="E6" s="673">
        <v>72.615384615384613</v>
      </c>
      <c r="F6" s="673">
        <v>77.692307692307693</v>
      </c>
      <c r="G6" s="673">
        <f t="shared" si="0"/>
        <v>75.15384615384616</v>
      </c>
      <c r="H6" s="390">
        <f t="shared" si="1"/>
        <v>25</v>
      </c>
    </row>
    <row r="7" spans="1:8" ht="19.5" thickBot="1" x14ac:dyDescent="0.3">
      <c r="A7" s="675">
        <v>4</v>
      </c>
      <c r="B7" s="360"/>
      <c r="C7" s="676">
        <v>15</v>
      </c>
      <c r="D7" s="676" t="s">
        <v>17</v>
      </c>
      <c r="E7" s="673">
        <v>69.92307692307692</v>
      </c>
      <c r="F7" s="673">
        <v>70.384615384615387</v>
      </c>
      <c r="G7" s="673">
        <f t="shared" si="0"/>
        <v>70.15384615384616</v>
      </c>
      <c r="H7" s="390">
        <f t="shared" si="1"/>
        <v>31</v>
      </c>
    </row>
    <row r="8" spans="1:8" ht="19.5" thickBot="1" x14ac:dyDescent="0.3">
      <c r="A8" s="675">
        <v>5</v>
      </c>
      <c r="B8" s="360"/>
      <c r="C8" s="676">
        <v>15</v>
      </c>
      <c r="D8" s="676" t="s">
        <v>17</v>
      </c>
      <c r="E8" s="673">
        <v>52.846153846153847</v>
      </c>
      <c r="F8" s="673">
        <v>49.769230769230766</v>
      </c>
      <c r="G8" s="673">
        <f t="shared" si="0"/>
        <v>51.307692307692307</v>
      </c>
      <c r="H8" s="390">
        <f t="shared" si="1"/>
        <v>50</v>
      </c>
    </row>
    <row r="9" spans="1:8" ht="19.5" thickBot="1" x14ac:dyDescent="0.3">
      <c r="A9" s="675">
        <v>6</v>
      </c>
      <c r="B9" s="360"/>
      <c r="C9" s="676">
        <v>15</v>
      </c>
      <c r="D9" s="676" t="s">
        <v>17</v>
      </c>
      <c r="E9" s="673">
        <v>83.615384615384613</v>
      </c>
      <c r="F9" s="673">
        <v>84</v>
      </c>
      <c r="G9" s="673">
        <f t="shared" si="0"/>
        <v>83.807692307692307</v>
      </c>
      <c r="H9" s="390">
        <f t="shared" si="1"/>
        <v>15</v>
      </c>
    </row>
    <row r="10" spans="1:8" ht="19.5" thickBot="1" x14ac:dyDescent="0.3">
      <c r="A10" s="675">
        <v>7</v>
      </c>
      <c r="B10" s="361"/>
      <c r="C10" s="678">
        <v>15</v>
      </c>
      <c r="D10" s="678" t="s">
        <v>20</v>
      </c>
      <c r="E10" s="673">
        <v>79.15384615384616</v>
      </c>
      <c r="F10" s="673">
        <v>77.692307692307693</v>
      </c>
      <c r="G10" s="673">
        <f t="shared" si="0"/>
        <v>78.423076923076934</v>
      </c>
      <c r="H10" s="390">
        <f t="shared" si="1"/>
        <v>21</v>
      </c>
    </row>
    <row r="11" spans="1:8" ht="19.5" thickBot="1" x14ac:dyDescent="0.3">
      <c r="A11" s="675">
        <v>8</v>
      </c>
      <c r="B11" s="361"/>
      <c r="C11" s="678">
        <v>15</v>
      </c>
      <c r="D11" s="678" t="s">
        <v>20</v>
      </c>
      <c r="E11" s="673">
        <v>56.53846153846154</v>
      </c>
      <c r="F11" s="673">
        <v>55.307692307692307</v>
      </c>
      <c r="G11" s="673">
        <f t="shared" si="0"/>
        <v>55.92307692307692</v>
      </c>
      <c r="H11" s="390">
        <f t="shared" si="1"/>
        <v>44</v>
      </c>
    </row>
    <row r="12" spans="1:8" ht="19.5" thickBot="1" x14ac:dyDescent="0.3">
      <c r="A12" s="675">
        <v>9</v>
      </c>
      <c r="B12" s="361"/>
      <c r="C12" s="678">
        <v>14</v>
      </c>
      <c r="D12" s="678" t="s">
        <v>17</v>
      </c>
      <c r="E12" s="673">
        <v>68.15384615384616</v>
      </c>
      <c r="F12" s="673">
        <v>69.538461538461533</v>
      </c>
      <c r="G12" s="673">
        <f t="shared" si="0"/>
        <v>68.84615384615384</v>
      </c>
      <c r="H12" s="390">
        <f t="shared" si="1"/>
        <v>33</v>
      </c>
    </row>
    <row r="13" spans="1:8" ht="19.5" thickBot="1" x14ac:dyDescent="0.3">
      <c r="A13" s="675">
        <v>10</v>
      </c>
      <c r="B13" s="360"/>
      <c r="C13" s="676">
        <v>16</v>
      </c>
      <c r="D13" s="676" t="s">
        <v>17</v>
      </c>
      <c r="E13" s="673">
        <v>66.307692307692307</v>
      </c>
      <c r="F13" s="673">
        <v>70.84615384615384</v>
      </c>
      <c r="G13" s="673">
        <f t="shared" si="0"/>
        <v>68.576923076923066</v>
      </c>
      <c r="H13" s="390">
        <f t="shared" si="1"/>
        <v>36</v>
      </c>
    </row>
    <row r="14" spans="1:8" ht="19.5" thickBot="1" x14ac:dyDescent="0.3">
      <c r="A14" s="675">
        <v>11</v>
      </c>
      <c r="B14" s="360"/>
      <c r="C14" s="676">
        <v>14</v>
      </c>
      <c r="D14" s="676" t="s">
        <v>20</v>
      </c>
      <c r="E14" s="673">
        <v>77.84615384615384</v>
      </c>
      <c r="F14" s="673">
        <v>73.615384615384613</v>
      </c>
      <c r="G14" s="673">
        <f t="shared" si="0"/>
        <v>75.730769230769226</v>
      </c>
      <c r="H14" s="390">
        <f t="shared" si="1"/>
        <v>24</v>
      </c>
    </row>
    <row r="15" spans="1:8" ht="19.5" thickBot="1" x14ac:dyDescent="0.3">
      <c r="A15" s="675">
        <v>12</v>
      </c>
      <c r="B15" s="360"/>
      <c r="C15" s="676">
        <v>15</v>
      </c>
      <c r="D15" s="676" t="s">
        <v>20</v>
      </c>
      <c r="E15" s="673">
        <v>79.769230769230774</v>
      </c>
      <c r="F15" s="673">
        <v>77.307692307692307</v>
      </c>
      <c r="G15" s="673">
        <f t="shared" si="0"/>
        <v>78.538461538461547</v>
      </c>
      <c r="H15" s="390">
        <f t="shared" si="1"/>
        <v>20</v>
      </c>
    </row>
    <row r="16" spans="1:8" ht="19.5" thickBot="1" x14ac:dyDescent="0.3">
      <c r="A16" s="675">
        <v>13</v>
      </c>
      <c r="B16" s="360"/>
      <c r="C16" s="676">
        <v>14</v>
      </c>
      <c r="D16" s="676" t="s">
        <v>20</v>
      </c>
      <c r="E16" s="673">
        <v>60.153846153846153</v>
      </c>
      <c r="F16" s="673">
        <v>56.307692307692307</v>
      </c>
      <c r="G16" s="673">
        <f t="shared" si="0"/>
        <v>58.230769230769226</v>
      </c>
      <c r="H16" s="390">
        <f t="shared" si="1"/>
        <v>43</v>
      </c>
    </row>
    <row r="17" spans="1:8" ht="19.5" thickBot="1" x14ac:dyDescent="0.3">
      <c r="A17" s="675">
        <v>14</v>
      </c>
      <c r="B17" s="360"/>
      <c r="C17" s="676">
        <v>15</v>
      </c>
      <c r="D17" s="676" t="s">
        <v>20</v>
      </c>
      <c r="E17" s="673">
        <v>85.15384615384616</v>
      </c>
      <c r="F17" s="673">
        <v>87.769230769230774</v>
      </c>
      <c r="G17" s="673">
        <f t="shared" si="0"/>
        <v>86.461538461538467</v>
      </c>
      <c r="H17" s="390">
        <f t="shared" si="1"/>
        <v>10</v>
      </c>
    </row>
    <row r="18" spans="1:8" ht="19.5" thickBot="1" x14ac:dyDescent="0.3">
      <c r="A18" s="675">
        <v>15</v>
      </c>
      <c r="B18" s="360"/>
      <c r="C18" s="676">
        <v>15</v>
      </c>
      <c r="D18" s="676" t="s">
        <v>20</v>
      </c>
      <c r="E18" s="673">
        <v>86.615384615384613</v>
      </c>
      <c r="F18" s="673">
        <v>85.461538461538467</v>
      </c>
      <c r="G18" s="673">
        <f t="shared" si="0"/>
        <v>86.038461538461547</v>
      </c>
      <c r="H18" s="390">
        <f t="shared" si="1"/>
        <v>11</v>
      </c>
    </row>
    <row r="19" spans="1:8" ht="19.5" thickBot="1" x14ac:dyDescent="0.3">
      <c r="A19" s="675">
        <v>16</v>
      </c>
      <c r="B19" s="360"/>
      <c r="C19" s="676">
        <v>16</v>
      </c>
      <c r="D19" s="676" t="s">
        <v>20</v>
      </c>
      <c r="E19" s="673">
        <v>70.692307692307693</v>
      </c>
      <c r="F19" s="673">
        <v>66.84615384615384</v>
      </c>
      <c r="G19" s="673">
        <f t="shared" si="0"/>
        <v>68.769230769230774</v>
      </c>
      <c r="H19" s="390">
        <f t="shared" si="1"/>
        <v>34</v>
      </c>
    </row>
    <row r="20" spans="1:8" ht="19.5" thickBot="1" x14ac:dyDescent="0.3">
      <c r="A20" s="675">
        <v>17</v>
      </c>
      <c r="B20" s="360"/>
      <c r="C20" s="676">
        <v>15</v>
      </c>
      <c r="D20" s="677" t="s">
        <v>20</v>
      </c>
      <c r="E20" s="673">
        <v>94.07692307692308</v>
      </c>
      <c r="F20" s="673">
        <v>94.307692307692307</v>
      </c>
      <c r="G20" s="673">
        <f t="shared" si="0"/>
        <v>94.192307692307693</v>
      </c>
      <c r="H20" s="390">
        <f t="shared" si="1"/>
        <v>4</v>
      </c>
    </row>
    <row r="21" spans="1:8" ht="19.5" thickBot="1" x14ac:dyDescent="0.3">
      <c r="A21" s="675">
        <v>18</v>
      </c>
      <c r="B21" s="360"/>
      <c r="C21" s="676">
        <v>15</v>
      </c>
      <c r="D21" s="677" t="s">
        <v>20</v>
      </c>
      <c r="E21" s="673">
        <v>73.84615384615384</v>
      </c>
      <c r="F21" s="673">
        <v>72.84615384615384</v>
      </c>
      <c r="G21" s="673">
        <f t="shared" si="0"/>
        <v>73.34615384615384</v>
      </c>
      <c r="H21" s="390">
        <f t="shared" si="1"/>
        <v>27</v>
      </c>
    </row>
    <row r="22" spans="1:8" ht="19.5" thickBot="1" x14ac:dyDescent="0.3">
      <c r="A22" s="675">
        <v>19</v>
      </c>
      <c r="B22" s="360"/>
      <c r="C22" s="676">
        <v>14</v>
      </c>
      <c r="D22" s="676" t="s">
        <v>20</v>
      </c>
      <c r="E22" s="673">
        <v>80.461538461538467</v>
      </c>
      <c r="F22" s="673">
        <v>73.07692307692308</v>
      </c>
      <c r="G22" s="673">
        <f t="shared" si="0"/>
        <v>76.769230769230774</v>
      </c>
      <c r="H22" s="390">
        <f t="shared" si="1"/>
        <v>23</v>
      </c>
    </row>
    <row r="23" spans="1:8" ht="19.5" thickBot="1" x14ac:dyDescent="0.3">
      <c r="A23" s="675">
        <v>20</v>
      </c>
      <c r="B23" s="360"/>
      <c r="C23" s="676">
        <v>14</v>
      </c>
      <c r="D23" s="676" t="s">
        <v>20</v>
      </c>
      <c r="E23" s="673">
        <v>93.461538461538467</v>
      </c>
      <c r="F23" s="673">
        <v>92.615384615384613</v>
      </c>
      <c r="G23" s="673">
        <f t="shared" si="0"/>
        <v>93.038461538461547</v>
      </c>
      <c r="H23" s="390">
        <f t="shared" si="1"/>
        <v>6</v>
      </c>
    </row>
    <row r="24" spans="1:8" ht="19.5" thickBot="1" x14ac:dyDescent="0.3">
      <c r="A24" s="675">
        <v>21</v>
      </c>
      <c r="B24" s="360"/>
      <c r="C24" s="676">
        <v>14</v>
      </c>
      <c r="D24" s="676" t="s">
        <v>17</v>
      </c>
      <c r="E24" s="673">
        <v>81.307692307692307</v>
      </c>
      <c r="F24" s="673">
        <v>75.92307692307692</v>
      </c>
      <c r="G24" s="673">
        <f t="shared" si="0"/>
        <v>78.615384615384613</v>
      </c>
      <c r="H24" s="390">
        <f t="shared" si="1"/>
        <v>19</v>
      </c>
    </row>
    <row r="25" spans="1:8" ht="19.5" thickBot="1" x14ac:dyDescent="0.3">
      <c r="A25" s="675">
        <v>22</v>
      </c>
      <c r="B25" s="360"/>
      <c r="C25" s="676">
        <v>16</v>
      </c>
      <c r="D25" s="676" t="s">
        <v>20</v>
      </c>
      <c r="E25" s="673">
        <v>65.230769230769226</v>
      </c>
      <c r="F25" s="673">
        <v>60.46153846153846</v>
      </c>
      <c r="G25" s="673">
        <f t="shared" si="0"/>
        <v>62.84615384615384</v>
      </c>
      <c r="H25" s="390">
        <f t="shared" si="1"/>
        <v>40</v>
      </c>
    </row>
    <row r="26" spans="1:8" ht="19.5" thickBot="1" x14ac:dyDescent="0.3">
      <c r="A26" s="675">
        <v>23</v>
      </c>
      <c r="B26" s="360"/>
      <c r="C26" s="676">
        <v>15</v>
      </c>
      <c r="D26" s="677" t="s">
        <v>20</v>
      </c>
      <c r="E26" s="673">
        <v>70.92307692307692</v>
      </c>
      <c r="F26" s="673">
        <v>69.615384615384613</v>
      </c>
      <c r="G26" s="673">
        <f t="shared" si="0"/>
        <v>70.269230769230774</v>
      </c>
      <c r="H26" s="390">
        <f t="shared" si="1"/>
        <v>30</v>
      </c>
    </row>
    <row r="27" spans="1:8" ht="19.5" thickBot="1" x14ac:dyDescent="0.3">
      <c r="A27" s="675">
        <v>24</v>
      </c>
      <c r="B27" s="360"/>
      <c r="C27" s="676">
        <v>16</v>
      </c>
      <c r="D27" s="676" t="s">
        <v>20</v>
      </c>
      <c r="E27" s="673">
        <v>54.153846153846153</v>
      </c>
      <c r="F27" s="673">
        <v>55.53846153846154</v>
      </c>
      <c r="G27" s="673">
        <f t="shared" si="0"/>
        <v>54.846153846153847</v>
      </c>
      <c r="H27" s="390">
        <f t="shared" si="1"/>
        <v>48</v>
      </c>
    </row>
    <row r="28" spans="1:8" ht="19.5" thickBot="1" x14ac:dyDescent="0.3">
      <c r="A28" s="675">
        <v>25</v>
      </c>
      <c r="B28" s="360"/>
      <c r="C28" s="676">
        <v>15</v>
      </c>
      <c r="D28" s="677" t="s">
        <v>20</v>
      </c>
      <c r="E28" s="673">
        <v>97.769230769230774</v>
      </c>
      <c r="F28" s="673">
        <v>97.92307692307692</v>
      </c>
      <c r="G28" s="673">
        <f t="shared" si="0"/>
        <v>97.84615384615384</v>
      </c>
      <c r="H28" s="390">
        <f t="shared" si="1"/>
        <v>2</v>
      </c>
    </row>
    <row r="29" spans="1:8" ht="19.5" thickBot="1" x14ac:dyDescent="0.3">
      <c r="A29" s="675">
        <v>26</v>
      </c>
      <c r="B29" s="360"/>
      <c r="C29" s="676">
        <v>15</v>
      </c>
      <c r="D29" s="677" t="s">
        <v>20</v>
      </c>
      <c r="E29" s="673">
        <v>86</v>
      </c>
      <c r="F29" s="673">
        <v>87.769230769230774</v>
      </c>
      <c r="G29" s="673">
        <f t="shared" si="0"/>
        <v>86.884615384615387</v>
      </c>
      <c r="H29" s="390">
        <f t="shared" si="1"/>
        <v>9</v>
      </c>
    </row>
    <row r="30" spans="1:8" ht="19.5" thickBot="1" x14ac:dyDescent="0.3">
      <c r="A30" s="675">
        <v>27</v>
      </c>
      <c r="B30" s="362"/>
      <c r="C30" s="672">
        <v>15</v>
      </c>
      <c r="D30" s="672" t="s">
        <v>20</v>
      </c>
      <c r="E30" s="673">
        <v>81.461538461538467</v>
      </c>
      <c r="F30" s="673">
        <v>84.615384615384613</v>
      </c>
      <c r="G30" s="673">
        <f t="shared" si="0"/>
        <v>83.038461538461547</v>
      </c>
      <c r="H30" s="390">
        <f t="shared" si="1"/>
        <v>16</v>
      </c>
    </row>
    <row r="31" spans="1:8" ht="19.5" thickBot="1" x14ac:dyDescent="0.3">
      <c r="A31" s="675">
        <v>28</v>
      </c>
      <c r="B31" s="360"/>
      <c r="C31" s="676">
        <v>15</v>
      </c>
      <c r="D31" s="677" t="s">
        <v>20</v>
      </c>
      <c r="E31" s="673">
        <v>83.84615384615384</v>
      </c>
      <c r="F31" s="673">
        <v>85.07692307692308</v>
      </c>
      <c r="G31" s="673">
        <f t="shared" si="0"/>
        <v>84.461538461538453</v>
      </c>
      <c r="H31" s="390">
        <f t="shared" si="1"/>
        <v>14</v>
      </c>
    </row>
    <row r="32" spans="1:8" ht="19.5" thickBot="1" x14ac:dyDescent="0.3">
      <c r="A32" s="675">
        <v>29</v>
      </c>
      <c r="B32" s="360"/>
      <c r="C32" s="676">
        <v>13</v>
      </c>
      <c r="D32" s="677" t="s">
        <v>20</v>
      </c>
      <c r="E32" s="673">
        <v>79.07692307692308</v>
      </c>
      <c r="F32" s="673">
        <v>79.615384615384613</v>
      </c>
      <c r="G32" s="673">
        <f t="shared" si="0"/>
        <v>79.34615384615384</v>
      </c>
      <c r="H32" s="390">
        <f t="shared" si="1"/>
        <v>18</v>
      </c>
    </row>
    <row r="33" spans="1:8" ht="19.5" thickBot="1" x14ac:dyDescent="0.3">
      <c r="A33" s="675">
        <v>30</v>
      </c>
      <c r="B33" s="360"/>
      <c r="C33" s="726">
        <v>15</v>
      </c>
      <c r="D33" s="677" t="s">
        <v>17</v>
      </c>
      <c r="E33" s="673">
        <v>60.153846153846153</v>
      </c>
      <c r="F33" s="673">
        <v>61.846153846153847</v>
      </c>
      <c r="G33" s="673">
        <f t="shared" si="0"/>
        <v>61</v>
      </c>
      <c r="H33" s="390">
        <f t="shared" si="1"/>
        <v>41</v>
      </c>
    </row>
    <row r="34" spans="1:8" ht="19.5" thickBot="1" x14ac:dyDescent="0.3">
      <c r="A34" s="675">
        <v>31</v>
      </c>
      <c r="B34" s="360"/>
      <c r="C34" s="726">
        <v>15</v>
      </c>
      <c r="D34" s="726" t="s">
        <v>20</v>
      </c>
      <c r="E34" s="673">
        <v>86.615384615384613</v>
      </c>
      <c r="F34" s="673">
        <v>85.307692307692307</v>
      </c>
      <c r="G34" s="673">
        <f t="shared" si="0"/>
        <v>85.961538461538453</v>
      </c>
      <c r="H34" s="390">
        <f t="shared" si="1"/>
        <v>12</v>
      </c>
    </row>
    <row r="35" spans="1:8" ht="19.5" thickBot="1" x14ac:dyDescent="0.3">
      <c r="A35" s="675">
        <v>32</v>
      </c>
      <c r="B35" s="360"/>
      <c r="C35" s="726">
        <v>15</v>
      </c>
      <c r="D35" s="726" t="s">
        <v>20</v>
      </c>
      <c r="E35" s="673">
        <v>71.307692307692307</v>
      </c>
      <c r="F35" s="673">
        <v>70.692307692307693</v>
      </c>
      <c r="G35" s="673">
        <f t="shared" si="0"/>
        <v>71</v>
      </c>
      <c r="H35" s="390">
        <f t="shared" si="1"/>
        <v>29</v>
      </c>
    </row>
    <row r="36" spans="1:8" ht="19.5" thickBot="1" x14ac:dyDescent="0.3">
      <c r="A36" s="675">
        <v>33</v>
      </c>
      <c r="B36" s="360"/>
      <c r="C36" s="726">
        <v>14</v>
      </c>
      <c r="D36" s="726" t="s">
        <v>20</v>
      </c>
      <c r="E36" s="673">
        <v>93.230769230769226</v>
      </c>
      <c r="F36" s="673">
        <v>94.769230769230774</v>
      </c>
      <c r="G36" s="673">
        <f t="shared" si="0"/>
        <v>94</v>
      </c>
      <c r="H36" s="390">
        <f t="shared" si="1"/>
        <v>5</v>
      </c>
    </row>
    <row r="37" spans="1:8" ht="19.5" thickBot="1" x14ac:dyDescent="0.3">
      <c r="A37" s="675">
        <v>34</v>
      </c>
      <c r="B37" s="360"/>
      <c r="C37" s="726">
        <v>14</v>
      </c>
      <c r="D37" s="726" t="s">
        <v>17</v>
      </c>
      <c r="E37" s="673">
        <v>60.07692307692308</v>
      </c>
      <c r="F37" s="673">
        <v>56.53846153846154</v>
      </c>
      <c r="G37" s="673">
        <f t="shared" si="0"/>
        <v>58.307692307692307</v>
      </c>
      <c r="H37" s="390">
        <f t="shared" si="1"/>
        <v>42</v>
      </c>
    </row>
    <row r="38" spans="1:8" ht="19.5" thickBot="1" x14ac:dyDescent="0.3">
      <c r="A38" s="675">
        <v>35</v>
      </c>
      <c r="B38" s="360"/>
      <c r="C38" s="726">
        <v>14</v>
      </c>
      <c r="D38" s="726" t="s">
        <v>20</v>
      </c>
      <c r="E38" s="673">
        <v>53.92307692307692</v>
      </c>
      <c r="F38" s="673">
        <v>52.230769230769234</v>
      </c>
      <c r="G38" s="673">
        <f t="shared" si="0"/>
        <v>53.07692307692308</v>
      </c>
      <c r="H38" s="390">
        <f t="shared" si="1"/>
        <v>49</v>
      </c>
    </row>
    <row r="39" spans="1:8" ht="19.5" thickBot="1" x14ac:dyDescent="0.3">
      <c r="A39" s="675">
        <v>36</v>
      </c>
      <c r="B39" s="360"/>
      <c r="C39" s="726">
        <v>15</v>
      </c>
      <c r="D39" s="726" t="s">
        <v>17</v>
      </c>
      <c r="E39" s="673">
        <v>78.84615384615384</v>
      </c>
      <c r="F39" s="673">
        <v>82.307692307692307</v>
      </c>
      <c r="G39" s="673">
        <f t="shared" si="0"/>
        <v>80.576923076923066</v>
      </c>
      <c r="H39" s="390">
        <f t="shared" si="1"/>
        <v>17</v>
      </c>
    </row>
    <row r="40" spans="1:8" ht="19.5" thickBot="1" x14ac:dyDescent="0.3">
      <c r="A40" s="675">
        <v>37</v>
      </c>
      <c r="B40" s="360"/>
      <c r="C40" s="726">
        <v>15</v>
      </c>
      <c r="D40" s="726" t="s">
        <v>20</v>
      </c>
      <c r="E40" s="673">
        <v>73.84615384615384</v>
      </c>
      <c r="F40" s="673">
        <v>74.15384615384616</v>
      </c>
      <c r="G40" s="673">
        <f t="shared" si="0"/>
        <v>74</v>
      </c>
      <c r="H40" s="390">
        <f t="shared" si="1"/>
        <v>26</v>
      </c>
    </row>
    <row r="41" spans="1:8" ht="19.5" thickBot="1" x14ac:dyDescent="0.3">
      <c r="A41" s="675">
        <v>38</v>
      </c>
      <c r="B41" s="360"/>
      <c r="C41" s="726">
        <v>15</v>
      </c>
      <c r="D41" s="726" t="s">
        <v>20</v>
      </c>
      <c r="E41" s="673">
        <v>52.769230769230766</v>
      </c>
      <c r="F41" s="673">
        <v>57.53846153846154</v>
      </c>
      <c r="G41" s="673">
        <f t="shared" si="0"/>
        <v>55.153846153846153</v>
      </c>
      <c r="H41" s="390">
        <f t="shared" si="1"/>
        <v>46</v>
      </c>
    </row>
    <row r="42" spans="1:8" ht="19.5" thickBot="1" x14ac:dyDescent="0.3">
      <c r="A42" s="675">
        <v>39</v>
      </c>
      <c r="B42" s="360"/>
      <c r="C42" s="726">
        <v>16</v>
      </c>
      <c r="D42" s="726" t="s">
        <v>20</v>
      </c>
      <c r="E42" s="673">
        <v>54.07692307692308</v>
      </c>
      <c r="F42" s="673">
        <v>57.307692307692307</v>
      </c>
      <c r="G42" s="673">
        <f t="shared" si="0"/>
        <v>55.692307692307693</v>
      </c>
      <c r="H42" s="390">
        <f t="shared" si="1"/>
        <v>45</v>
      </c>
    </row>
    <row r="43" spans="1:8" ht="19.5" thickBot="1" x14ac:dyDescent="0.3">
      <c r="A43" s="675">
        <v>40</v>
      </c>
      <c r="B43" s="360"/>
      <c r="C43" s="726">
        <v>15</v>
      </c>
      <c r="D43" s="726" t="s">
        <v>20</v>
      </c>
      <c r="E43" s="673">
        <v>53.692307692307693</v>
      </c>
      <c r="F43" s="673">
        <v>56.615384615384613</v>
      </c>
      <c r="G43" s="673">
        <f t="shared" si="0"/>
        <v>55.153846153846153</v>
      </c>
      <c r="H43" s="390">
        <f t="shared" si="1"/>
        <v>46</v>
      </c>
    </row>
    <row r="44" spans="1:8" ht="19.5" thickBot="1" x14ac:dyDescent="0.3">
      <c r="A44" s="675">
        <v>41</v>
      </c>
      <c r="B44" s="360"/>
      <c r="C44" s="726">
        <v>15</v>
      </c>
      <c r="D44" s="726" t="s">
        <v>20</v>
      </c>
      <c r="E44" s="673">
        <v>96.307692307692307</v>
      </c>
      <c r="F44" s="673">
        <v>96.769230769230774</v>
      </c>
      <c r="G44" s="673">
        <f t="shared" si="0"/>
        <v>96.538461538461547</v>
      </c>
      <c r="H44" s="390">
        <f t="shared" si="1"/>
        <v>3</v>
      </c>
    </row>
    <row r="45" spans="1:8" ht="19.5" thickBot="1" x14ac:dyDescent="0.3">
      <c r="A45" s="675">
        <v>42</v>
      </c>
      <c r="B45" s="360"/>
      <c r="C45" s="726">
        <v>15</v>
      </c>
      <c r="D45" s="726" t="s">
        <v>20</v>
      </c>
      <c r="E45" s="673">
        <v>68.84615384615384</v>
      </c>
      <c r="F45" s="673">
        <v>69.461538461538467</v>
      </c>
      <c r="G45" s="673">
        <f t="shared" si="0"/>
        <v>69.15384615384616</v>
      </c>
      <c r="H45" s="390">
        <f t="shared" si="1"/>
        <v>32</v>
      </c>
    </row>
    <row r="46" spans="1:8" ht="19.5" thickBot="1" x14ac:dyDescent="0.3">
      <c r="A46" s="675">
        <v>43</v>
      </c>
      <c r="B46" s="360"/>
      <c r="C46" s="726">
        <v>15</v>
      </c>
      <c r="D46" s="726" t="s">
        <v>17</v>
      </c>
      <c r="E46" s="673">
        <v>89.461538461538467</v>
      </c>
      <c r="F46" s="673">
        <v>96.230769230769226</v>
      </c>
      <c r="G46" s="673">
        <f t="shared" si="0"/>
        <v>92.84615384615384</v>
      </c>
      <c r="H46" s="390">
        <f t="shared" si="1"/>
        <v>7</v>
      </c>
    </row>
    <row r="47" spans="1:8" ht="19.5" thickBot="1" x14ac:dyDescent="0.3">
      <c r="A47" s="675">
        <v>44</v>
      </c>
      <c r="B47" s="360"/>
      <c r="C47" s="726">
        <v>15</v>
      </c>
      <c r="D47" s="726" t="s">
        <v>20</v>
      </c>
      <c r="E47" s="673">
        <v>66.769230769230774</v>
      </c>
      <c r="F47" s="673">
        <v>70.769230769230774</v>
      </c>
      <c r="G47" s="673">
        <f t="shared" si="0"/>
        <v>68.769230769230774</v>
      </c>
      <c r="H47" s="390">
        <f t="shared" si="1"/>
        <v>34</v>
      </c>
    </row>
    <row r="48" spans="1:8" ht="19.5" thickBot="1" x14ac:dyDescent="0.3">
      <c r="A48" s="675">
        <v>45</v>
      </c>
      <c r="B48" s="360"/>
      <c r="C48" s="726">
        <v>15</v>
      </c>
      <c r="D48" s="726" t="s">
        <v>20</v>
      </c>
      <c r="E48" s="673">
        <v>65</v>
      </c>
      <c r="F48" s="673">
        <v>67.538461538461533</v>
      </c>
      <c r="G48" s="673">
        <f t="shared" si="0"/>
        <v>66.269230769230774</v>
      </c>
      <c r="H48" s="390">
        <f t="shared" si="1"/>
        <v>38</v>
      </c>
    </row>
    <row r="49" spans="1:8" ht="19.5" thickBot="1" x14ac:dyDescent="0.3">
      <c r="A49" s="675">
        <v>46</v>
      </c>
      <c r="B49" s="360"/>
      <c r="C49" s="726">
        <v>14</v>
      </c>
      <c r="D49" s="726" t="s">
        <v>20</v>
      </c>
      <c r="E49" s="673">
        <v>71</v>
      </c>
      <c r="F49" s="673">
        <v>65.92307692307692</v>
      </c>
      <c r="G49" s="673">
        <f t="shared" si="0"/>
        <v>68.461538461538453</v>
      </c>
      <c r="H49" s="390">
        <f t="shared" si="1"/>
        <v>37</v>
      </c>
    </row>
    <row r="50" spans="1:8" ht="19.5" thickBot="1" x14ac:dyDescent="0.3">
      <c r="A50" s="675">
        <v>47</v>
      </c>
      <c r="B50" s="360"/>
      <c r="C50" s="726">
        <v>15</v>
      </c>
      <c r="D50" s="726" t="s">
        <v>17</v>
      </c>
      <c r="E50" s="673">
        <v>62.384615384615387</v>
      </c>
      <c r="F50" s="673">
        <v>63.692307692307693</v>
      </c>
      <c r="G50" s="673">
        <f t="shared" si="0"/>
        <v>63.03846153846154</v>
      </c>
      <c r="H50" s="390">
        <f t="shared" si="1"/>
        <v>39</v>
      </c>
    </row>
    <row r="51" spans="1:8" ht="19.5" thickBot="1" x14ac:dyDescent="0.3">
      <c r="A51" s="675">
        <v>48</v>
      </c>
      <c r="B51" s="360"/>
      <c r="C51" s="726">
        <v>15</v>
      </c>
      <c r="D51" s="726" t="s">
        <v>17</v>
      </c>
      <c r="E51" s="673">
        <v>83.15384615384616</v>
      </c>
      <c r="F51" s="673">
        <v>86.15384615384616</v>
      </c>
      <c r="G51" s="673">
        <f t="shared" si="0"/>
        <v>84.65384615384616</v>
      </c>
      <c r="H51" s="390">
        <f t="shared" si="1"/>
        <v>13</v>
      </c>
    </row>
    <row r="52" spans="1:8" ht="19.5" thickBot="1" x14ac:dyDescent="0.3">
      <c r="A52" s="675">
        <v>49</v>
      </c>
      <c r="B52" s="360"/>
      <c r="C52" s="726">
        <v>15</v>
      </c>
      <c r="D52" s="726" t="s">
        <v>17</v>
      </c>
      <c r="E52" s="673">
        <v>77.84615384615384</v>
      </c>
      <c r="F52" s="673">
        <v>77.692307692307693</v>
      </c>
      <c r="G52" s="673">
        <f t="shared" si="0"/>
        <v>77.769230769230774</v>
      </c>
      <c r="H52" s="390">
        <f t="shared" si="1"/>
        <v>22</v>
      </c>
    </row>
    <row r="53" spans="1:8" ht="19.5" thickBot="1" x14ac:dyDescent="0.3">
      <c r="A53" s="675">
        <v>50</v>
      </c>
      <c r="B53" s="360"/>
      <c r="C53" s="726">
        <v>15</v>
      </c>
      <c r="D53" s="726" t="s">
        <v>17</v>
      </c>
      <c r="E53" s="673">
        <v>98.538461538461533</v>
      </c>
      <c r="F53" s="673">
        <v>99.692307692307693</v>
      </c>
      <c r="G53" s="673">
        <f t="shared" si="0"/>
        <v>99.115384615384613</v>
      </c>
      <c r="H53" s="390">
        <f t="shared" si="1"/>
        <v>1</v>
      </c>
    </row>
    <row r="54" spans="1:8" ht="15.75" x14ac:dyDescent="0.25">
      <c r="A54" s="34">
        <v>51</v>
      </c>
      <c r="B54" s="32"/>
      <c r="C54" s="33"/>
      <c r="D54" s="33"/>
      <c r="E54" s="30"/>
      <c r="F54" s="30"/>
      <c r="G54" s="30"/>
      <c r="H54" s="29"/>
    </row>
    <row r="55" spans="1:8" ht="15.75" x14ac:dyDescent="0.25">
      <c r="A55" s="34">
        <v>52</v>
      </c>
      <c r="B55" s="32"/>
      <c r="C55" s="33"/>
      <c r="D55" s="33"/>
      <c r="E55" s="30"/>
      <c r="F55" s="30"/>
      <c r="G55" s="30"/>
      <c r="H55" s="29"/>
    </row>
    <row r="56" spans="1:8" ht="15.75" x14ac:dyDescent="0.25">
      <c r="A56" s="34">
        <v>53</v>
      </c>
      <c r="B56" s="36"/>
      <c r="C56" s="35"/>
      <c r="D56" s="35"/>
      <c r="E56" s="30"/>
      <c r="F56" s="30"/>
      <c r="G56" s="30"/>
      <c r="H56" s="29"/>
    </row>
    <row r="57" spans="1:8" ht="15.75" x14ac:dyDescent="0.25">
      <c r="A57" s="34">
        <v>54</v>
      </c>
      <c r="B57" s="37"/>
      <c r="C57" s="31"/>
      <c r="D57" s="31"/>
      <c r="E57" s="30"/>
      <c r="F57" s="30"/>
      <c r="G57" s="30"/>
      <c r="H57" s="29"/>
    </row>
    <row r="58" spans="1:8" ht="15.75" x14ac:dyDescent="0.25">
      <c r="A58" s="34">
        <v>55</v>
      </c>
      <c r="B58" s="37"/>
      <c r="C58" s="31"/>
      <c r="D58" s="31"/>
      <c r="E58" s="30"/>
      <c r="F58" s="30"/>
      <c r="G58" s="30"/>
      <c r="H58" s="29"/>
    </row>
  </sheetData>
  <mergeCells count="2">
    <mergeCell ref="A1:H1"/>
    <mergeCell ref="A2:H2"/>
  </mergeCells>
  <pageMargins left="0.7" right="0.7" top="0.75" bottom="0.75" header="0.3" footer="0.3"/>
  <pageSetup paperSize="9" scale="79" orientation="portrait" r:id="rId1"/>
  <rowBreaks count="1" manualBreakCount="1">
    <brk id="3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3"/>
  <sheetViews>
    <sheetView view="pageBreakPreview" topLeftCell="A149" zoomScale="60" zoomScaleNormal="100" workbookViewId="0">
      <selection activeCell="B159" sqref="B6:B161"/>
    </sheetView>
  </sheetViews>
  <sheetFormatPr defaultRowHeight="15" x14ac:dyDescent="0.25"/>
  <cols>
    <col min="1" max="1" width="5.7109375" customWidth="1"/>
    <col min="2" max="2" width="44.42578125" customWidth="1"/>
    <col min="3" max="3" width="12.5703125" customWidth="1"/>
    <col min="4" max="4" width="11.5703125" customWidth="1"/>
    <col min="5" max="5" width="19.42578125" customWidth="1"/>
    <col min="6" max="7" width="9.28515625" bestFit="1" customWidth="1"/>
    <col min="8" max="8" width="9.28515625" style="211" bestFit="1" customWidth="1"/>
    <col min="9" max="18" width="9.28515625" bestFit="1" customWidth="1"/>
    <col min="19" max="19" width="9.5703125" bestFit="1" customWidth="1"/>
    <col min="20" max="20" width="10.5703125" customWidth="1"/>
    <col min="21" max="21" width="9.28515625" bestFit="1" customWidth="1"/>
  </cols>
  <sheetData>
    <row r="1" spans="1:23" ht="26.25" x14ac:dyDescent="0.25">
      <c r="A1" s="877" t="s">
        <v>38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9"/>
    </row>
    <row r="2" spans="1:23" ht="26.25" x14ac:dyDescent="0.25">
      <c r="A2" s="701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  <c r="R2" s="702"/>
      <c r="S2" s="702"/>
      <c r="T2" s="702"/>
      <c r="U2" s="702"/>
      <c r="V2" s="702"/>
      <c r="W2" s="703"/>
    </row>
    <row r="3" spans="1:23" ht="25.5" x14ac:dyDescent="0.25">
      <c r="A3" s="880" t="s">
        <v>98</v>
      </c>
      <c r="B3" s="880"/>
      <c r="C3" s="880"/>
      <c r="D3" s="880"/>
      <c r="E3" s="880"/>
      <c r="F3" s="880"/>
      <c r="G3" s="880"/>
      <c r="H3" s="880"/>
      <c r="I3" s="880"/>
      <c r="J3" s="880"/>
      <c r="K3" s="880"/>
      <c r="L3" s="880"/>
      <c r="M3" s="880"/>
      <c r="N3" s="880"/>
      <c r="O3" s="880"/>
      <c r="P3" s="880"/>
      <c r="Q3" s="880"/>
      <c r="R3" s="880"/>
      <c r="S3" s="880"/>
      <c r="T3" s="880"/>
      <c r="U3" s="880"/>
      <c r="V3" s="880"/>
      <c r="W3" s="880"/>
    </row>
    <row r="4" spans="1:23" ht="26.25" thickBot="1" x14ac:dyDescent="0.3">
      <c r="A4" s="704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704"/>
      <c r="O4" s="704"/>
      <c r="P4" s="704"/>
      <c r="Q4" s="704"/>
      <c r="R4" s="704"/>
      <c r="S4" s="704"/>
      <c r="T4" s="704"/>
      <c r="U4" s="704"/>
      <c r="V4" s="704"/>
      <c r="W4" s="704"/>
    </row>
    <row r="5" spans="1:23" ht="114" thickBot="1" x14ac:dyDescent="0.3">
      <c r="A5" s="705" t="s">
        <v>82</v>
      </c>
      <c r="B5" s="705" t="s">
        <v>1</v>
      </c>
      <c r="C5" s="705" t="s">
        <v>2</v>
      </c>
      <c r="D5" s="705" t="s">
        <v>3</v>
      </c>
      <c r="E5" s="460" t="s">
        <v>4</v>
      </c>
      <c r="F5" s="608" t="s">
        <v>22</v>
      </c>
      <c r="G5" s="608" t="s">
        <v>5</v>
      </c>
      <c r="H5" s="608" t="s">
        <v>29</v>
      </c>
      <c r="I5" s="608" t="s">
        <v>6</v>
      </c>
      <c r="J5" s="608" t="s">
        <v>7</v>
      </c>
      <c r="K5" s="608" t="s">
        <v>8</v>
      </c>
      <c r="L5" s="608" t="s">
        <v>9</v>
      </c>
      <c r="M5" s="706" t="s">
        <v>24</v>
      </c>
      <c r="N5" s="707" t="s">
        <v>23</v>
      </c>
      <c r="O5" s="708" t="s">
        <v>25</v>
      </c>
      <c r="P5" s="608" t="s">
        <v>27</v>
      </c>
      <c r="Q5" s="608" t="s">
        <v>26</v>
      </c>
      <c r="R5" s="608" t="s">
        <v>28</v>
      </c>
      <c r="S5" s="608" t="s">
        <v>12</v>
      </c>
      <c r="T5" s="608" t="s">
        <v>13</v>
      </c>
      <c r="U5" s="608" t="s">
        <v>14</v>
      </c>
      <c r="V5" s="608" t="s">
        <v>15</v>
      </c>
      <c r="W5" s="609" t="s">
        <v>16</v>
      </c>
    </row>
    <row r="6" spans="1:23" ht="27" thickBot="1" x14ac:dyDescent="0.45">
      <c r="A6" s="881">
        <v>1</v>
      </c>
      <c r="B6" s="882"/>
      <c r="C6" s="885">
        <v>15</v>
      </c>
      <c r="D6" s="888" t="s">
        <v>17</v>
      </c>
      <c r="E6" s="709" t="s">
        <v>18</v>
      </c>
      <c r="F6" s="710">
        <v>67</v>
      </c>
      <c r="G6" s="710">
        <v>80</v>
      </c>
      <c r="H6" s="710">
        <v>68</v>
      </c>
      <c r="I6" s="710">
        <v>67</v>
      </c>
      <c r="J6" s="710">
        <v>67</v>
      </c>
      <c r="K6" s="710">
        <v>77</v>
      </c>
      <c r="L6" s="710">
        <v>75</v>
      </c>
      <c r="M6" s="710">
        <v>67</v>
      </c>
      <c r="N6" s="710">
        <v>71</v>
      </c>
      <c r="O6" s="710">
        <v>74</v>
      </c>
      <c r="P6" s="710">
        <v>78</v>
      </c>
      <c r="Q6" s="710">
        <v>74</v>
      </c>
      <c r="R6" s="710">
        <v>78</v>
      </c>
      <c r="S6" s="710">
        <v>943</v>
      </c>
      <c r="T6" s="711">
        <v>72.538461538461533</v>
      </c>
      <c r="U6" s="710">
        <v>23</v>
      </c>
      <c r="V6" s="712"/>
      <c r="W6" s="713"/>
    </row>
    <row r="7" spans="1:23" ht="27" thickBot="1" x14ac:dyDescent="0.45">
      <c r="A7" s="881"/>
      <c r="B7" s="883"/>
      <c r="C7" s="886"/>
      <c r="D7" s="889"/>
      <c r="E7" s="714" t="s">
        <v>19</v>
      </c>
      <c r="F7" s="472">
        <v>67</v>
      </c>
      <c r="G7" s="472">
        <v>68</v>
      </c>
      <c r="H7" s="472">
        <v>77</v>
      </c>
      <c r="I7" s="472">
        <v>77</v>
      </c>
      <c r="J7" s="472">
        <v>74</v>
      </c>
      <c r="K7" s="472">
        <v>63</v>
      </c>
      <c r="L7" s="472">
        <v>68</v>
      </c>
      <c r="M7" s="472">
        <v>64</v>
      </c>
      <c r="N7" s="472">
        <v>53</v>
      </c>
      <c r="O7" s="472">
        <v>70</v>
      </c>
      <c r="P7" s="472">
        <v>74</v>
      </c>
      <c r="Q7" s="472">
        <v>85</v>
      </c>
      <c r="R7" s="472">
        <v>83</v>
      </c>
      <c r="S7" s="715">
        <v>923</v>
      </c>
      <c r="T7" s="716">
        <v>71</v>
      </c>
      <c r="U7" s="715">
        <v>22</v>
      </c>
      <c r="V7" s="681"/>
      <c r="W7" s="717"/>
    </row>
    <row r="8" spans="1:23" ht="27" thickBot="1" x14ac:dyDescent="0.45">
      <c r="A8" s="881"/>
      <c r="B8" s="884"/>
      <c r="C8" s="887"/>
      <c r="D8" s="890"/>
      <c r="E8" s="714" t="s">
        <v>13</v>
      </c>
      <c r="F8" s="715">
        <f>AVERAGE(F6:F7)</f>
        <v>67</v>
      </c>
      <c r="G8" s="715">
        <f t="shared" ref="G8:T8" si="0">AVERAGE(G6:G7)</f>
        <v>74</v>
      </c>
      <c r="H8" s="715">
        <f t="shared" si="0"/>
        <v>72.5</v>
      </c>
      <c r="I8" s="715">
        <f t="shared" si="0"/>
        <v>72</v>
      </c>
      <c r="J8" s="715">
        <f t="shared" si="0"/>
        <v>70.5</v>
      </c>
      <c r="K8" s="715">
        <f t="shared" si="0"/>
        <v>70</v>
      </c>
      <c r="L8" s="715">
        <f t="shared" si="0"/>
        <v>71.5</v>
      </c>
      <c r="M8" s="715">
        <f t="shared" si="0"/>
        <v>65.5</v>
      </c>
      <c r="N8" s="715">
        <f t="shared" si="0"/>
        <v>62</v>
      </c>
      <c r="O8" s="715">
        <f t="shared" si="0"/>
        <v>72</v>
      </c>
      <c r="P8" s="715">
        <f t="shared" si="0"/>
        <v>76</v>
      </c>
      <c r="Q8" s="715">
        <f t="shared" si="0"/>
        <v>79.5</v>
      </c>
      <c r="R8" s="715">
        <f t="shared" si="0"/>
        <v>80.5</v>
      </c>
      <c r="S8" s="715">
        <f t="shared" si="0"/>
        <v>933</v>
      </c>
      <c r="T8" s="715">
        <f t="shared" si="0"/>
        <v>71.769230769230774</v>
      </c>
      <c r="U8" s="715">
        <v>23</v>
      </c>
      <c r="V8" s="715"/>
      <c r="W8" s="715"/>
    </row>
    <row r="9" spans="1:23" ht="27" thickBot="1" x14ac:dyDescent="0.45">
      <c r="A9" s="869">
        <v>2</v>
      </c>
      <c r="B9" s="871"/>
      <c r="C9" s="872">
        <v>15</v>
      </c>
      <c r="D9" s="873" t="s">
        <v>17</v>
      </c>
      <c r="E9" s="714" t="s">
        <v>18</v>
      </c>
      <c r="F9" s="715">
        <v>71</v>
      </c>
      <c r="G9" s="715">
        <v>47</v>
      </c>
      <c r="H9" s="715">
        <v>65</v>
      </c>
      <c r="I9" s="715">
        <v>45</v>
      </c>
      <c r="J9" s="715">
        <v>41</v>
      </c>
      <c r="K9" s="715">
        <v>62</v>
      </c>
      <c r="L9" s="715">
        <v>51</v>
      </c>
      <c r="M9" s="715">
        <v>60</v>
      </c>
      <c r="N9" s="715">
        <v>49</v>
      </c>
      <c r="O9" s="715">
        <v>56</v>
      </c>
      <c r="P9" s="715">
        <v>57</v>
      </c>
      <c r="Q9" s="715">
        <v>71</v>
      </c>
      <c r="R9" s="715">
        <v>82</v>
      </c>
      <c r="S9" s="715">
        <v>757</v>
      </c>
      <c r="T9" s="716">
        <v>58.230769230769234</v>
      </c>
      <c r="U9" s="715">
        <v>45</v>
      </c>
      <c r="V9" s="718"/>
      <c r="W9" s="718"/>
    </row>
    <row r="10" spans="1:23" ht="27" thickBot="1" x14ac:dyDescent="0.45">
      <c r="A10" s="869"/>
      <c r="B10" s="871"/>
      <c r="C10" s="872"/>
      <c r="D10" s="873"/>
      <c r="E10" s="714" t="s">
        <v>19</v>
      </c>
      <c r="F10" s="715">
        <v>68</v>
      </c>
      <c r="G10" s="715">
        <v>53</v>
      </c>
      <c r="H10" s="715">
        <v>43</v>
      </c>
      <c r="I10" s="715">
        <v>55</v>
      </c>
      <c r="J10" s="715">
        <v>57</v>
      </c>
      <c r="K10" s="715">
        <v>54</v>
      </c>
      <c r="L10" s="715">
        <v>68</v>
      </c>
      <c r="M10" s="715">
        <v>62</v>
      </c>
      <c r="N10" s="715">
        <v>55</v>
      </c>
      <c r="O10" s="715">
        <v>59</v>
      </c>
      <c r="P10" s="715">
        <v>67</v>
      </c>
      <c r="Q10" s="715">
        <v>75</v>
      </c>
      <c r="R10" s="715">
        <v>80</v>
      </c>
      <c r="S10" s="715">
        <v>796</v>
      </c>
      <c r="T10" s="716">
        <v>61.230769230769234</v>
      </c>
      <c r="U10" s="715">
        <v>41</v>
      </c>
      <c r="V10" s="718"/>
      <c r="W10" s="718"/>
    </row>
    <row r="11" spans="1:23" ht="27" thickBot="1" x14ac:dyDescent="0.45">
      <c r="A11" s="869"/>
      <c r="B11" s="871"/>
      <c r="C11" s="872"/>
      <c r="D11" s="873"/>
      <c r="E11" s="714" t="s">
        <v>13</v>
      </c>
      <c r="F11" s="715">
        <f>AVERAGE(F9:F10)</f>
        <v>69.5</v>
      </c>
      <c r="G11" s="715">
        <f t="shared" ref="G11:T11" si="1">AVERAGE(G9:G10)</f>
        <v>50</v>
      </c>
      <c r="H11" s="715">
        <f t="shared" si="1"/>
        <v>54</v>
      </c>
      <c r="I11" s="715">
        <f t="shared" si="1"/>
        <v>50</v>
      </c>
      <c r="J11" s="715">
        <f t="shared" si="1"/>
        <v>49</v>
      </c>
      <c r="K11" s="715">
        <f t="shared" si="1"/>
        <v>58</v>
      </c>
      <c r="L11" s="715">
        <f t="shared" si="1"/>
        <v>59.5</v>
      </c>
      <c r="M11" s="715">
        <f t="shared" si="1"/>
        <v>61</v>
      </c>
      <c r="N11" s="715">
        <f t="shared" si="1"/>
        <v>52</v>
      </c>
      <c r="O11" s="715">
        <f t="shared" si="1"/>
        <v>57.5</v>
      </c>
      <c r="P11" s="715">
        <f t="shared" si="1"/>
        <v>62</v>
      </c>
      <c r="Q11" s="715">
        <f t="shared" si="1"/>
        <v>73</v>
      </c>
      <c r="R11" s="715">
        <f t="shared" si="1"/>
        <v>81</v>
      </c>
      <c r="S11" s="715">
        <f t="shared" si="1"/>
        <v>776.5</v>
      </c>
      <c r="T11" s="715">
        <f t="shared" si="1"/>
        <v>59.730769230769234</v>
      </c>
      <c r="U11" s="715">
        <v>45</v>
      </c>
      <c r="V11" s="715"/>
      <c r="W11" s="715"/>
    </row>
    <row r="12" spans="1:23" ht="27" thickBot="1" x14ac:dyDescent="0.45">
      <c r="A12" s="869">
        <v>3</v>
      </c>
      <c r="B12" s="871"/>
      <c r="C12" s="872">
        <v>15</v>
      </c>
      <c r="D12" s="873" t="s">
        <v>17</v>
      </c>
      <c r="E12" s="714" t="s">
        <v>18</v>
      </c>
      <c r="F12" s="715">
        <v>90</v>
      </c>
      <c r="G12" s="715">
        <v>80</v>
      </c>
      <c r="H12" s="715">
        <v>76</v>
      </c>
      <c r="I12" s="715">
        <v>76</v>
      </c>
      <c r="J12" s="715">
        <v>69</v>
      </c>
      <c r="K12" s="715">
        <v>74</v>
      </c>
      <c r="L12" s="715">
        <v>64</v>
      </c>
      <c r="M12" s="715">
        <v>70</v>
      </c>
      <c r="N12" s="715">
        <v>77</v>
      </c>
      <c r="O12" s="715">
        <v>86</v>
      </c>
      <c r="P12" s="715">
        <v>84</v>
      </c>
      <c r="Q12" s="715">
        <v>85</v>
      </c>
      <c r="R12" s="715">
        <v>80</v>
      </c>
      <c r="S12" s="715">
        <v>1011</v>
      </c>
      <c r="T12" s="716">
        <v>77.769230769230774</v>
      </c>
      <c r="U12" s="715">
        <v>14</v>
      </c>
      <c r="V12" s="718"/>
      <c r="W12" s="718"/>
    </row>
    <row r="13" spans="1:23" ht="27" thickBot="1" x14ac:dyDescent="0.45">
      <c r="A13" s="869"/>
      <c r="B13" s="871"/>
      <c r="C13" s="872"/>
      <c r="D13" s="873"/>
      <c r="E13" s="714" t="s">
        <v>19</v>
      </c>
      <c r="F13" s="715">
        <v>88</v>
      </c>
      <c r="G13" s="715">
        <v>79</v>
      </c>
      <c r="H13" s="715">
        <v>62</v>
      </c>
      <c r="I13" s="715">
        <v>89</v>
      </c>
      <c r="J13" s="715">
        <v>72</v>
      </c>
      <c r="K13" s="715">
        <v>67</v>
      </c>
      <c r="L13" s="715">
        <v>70</v>
      </c>
      <c r="M13" s="715">
        <v>84</v>
      </c>
      <c r="N13" s="715">
        <v>81</v>
      </c>
      <c r="O13" s="715">
        <v>90</v>
      </c>
      <c r="P13" s="715">
        <v>90</v>
      </c>
      <c r="Q13" s="715">
        <v>97</v>
      </c>
      <c r="R13" s="715">
        <v>85</v>
      </c>
      <c r="S13" s="715">
        <v>1054</v>
      </c>
      <c r="T13" s="716">
        <v>81.07692307692308</v>
      </c>
      <c r="U13" s="715">
        <v>7</v>
      </c>
      <c r="V13" s="718"/>
      <c r="W13" s="718"/>
    </row>
    <row r="14" spans="1:23" ht="27" thickBot="1" x14ac:dyDescent="0.45">
      <c r="A14" s="869"/>
      <c r="B14" s="871"/>
      <c r="C14" s="872"/>
      <c r="D14" s="873"/>
      <c r="E14" s="714" t="s">
        <v>13</v>
      </c>
      <c r="F14" s="715">
        <f>AVERAGE(F12:F13)</f>
        <v>89</v>
      </c>
      <c r="G14" s="715">
        <f t="shared" ref="G14:T14" si="2">AVERAGE(G12:G13)</f>
        <v>79.5</v>
      </c>
      <c r="H14" s="715">
        <f t="shared" si="2"/>
        <v>69</v>
      </c>
      <c r="I14" s="715">
        <f t="shared" si="2"/>
        <v>82.5</v>
      </c>
      <c r="J14" s="715">
        <f t="shared" si="2"/>
        <v>70.5</v>
      </c>
      <c r="K14" s="715">
        <f t="shared" si="2"/>
        <v>70.5</v>
      </c>
      <c r="L14" s="715">
        <f t="shared" si="2"/>
        <v>67</v>
      </c>
      <c r="M14" s="715">
        <f t="shared" si="2"/>
        <v>77</v>
      </c>
      <c r="N14" s="715">
        <f t="shared" si="2"/>
        <v>79</v>
      </c>
      <c r="O14" s="715">
        <f t="shared" si="2"/>
        <v>88</v>
      </c>
      <c r="P14" s="715">
        <f t="shared" si="2"/>
        <v>87</v>
      </c>
      <c r="Q14" s="715">
        <f t="shared" si="2"/>
        <v>91</v>
      </c>
      <c r="R14" s="715">
        <f t="shared" si="2"/>
        <v>82.5</v>
      </c>
      <c r="S14" s="715">
        <f t="shared" si="2"/>
        <v>1032.5</v>
      </c>
      <c r="T14" s="715">
        <f t="shared" si="2"/>
        <v>79.423076923076934</v>
      </c>
      <c r="U14" s="715">
        <v>10</v>
      </c>
      <c r="V14" s="715"/>
      <c r="W14" s="715"/>
    </row>
    <row r="15" spans="1:23" ht="27" thickBot="1" x14ac:dyDescent="0.45">
      <c r="A15" s="869">
        <v>4</v>
      </c>
      <c r="B15" s="871"/>
      <c r="C15" s="872">
        <v>14</v>
      </c>
      <c r="D15" s="873" t="s">
        <v>17</v>
      </c>
      <c r="E15" s="714" t="s">
        <v>18</v>
      </c>
      <c r="F15" s="715">
        <v>72</v>
      </c>
      <c r="G15" s="715">
        <v>68</v>
      </c>
      <c r="H15" s="715">
        <v>72</v>
      </c>
      <c r="I15" s="715">
        <v>56</v>
      </c>
      <c r="J15" s="715">
        <v>55</v>
      </c>
      <c r="K15" s="715">
        <v>56</v>
      </c>
      <c r="L15" s="715">
        <v>45</v>
      </c>
      <c r="M15" s="715">
        <v>53</v>
      </c>
      <c r="N15" s="715">
        <v>45</v>
      </c>
      <c r="O15" s="715">
        <v>70</v>
      </c>
      <c r="P15" s="715">
        <v>73</v>
      </c>
      <c r="Q15" s="715">
        <v>71</v>
      </c>
      <c r="R15" s="715">
        <v>92</v>
      </c>
      <c r="S15" s="715">
        <v>828</v>
      </c>
      <c r="T15" s="716">
        <v>63.692307692307693</v>
      </c>
      <c r="U15" s="715">
        <v>33</v>
      </c>
      <c r="V15" s="718"/>
      <c r="W15" s="718"/>
    </row>
    <row r="16" spans="1:23" ht="27" thickBot="1" x14ac:dyDescent="0.45">
      <c r="A16" s="869"/>
      <c r="B16" s="871"/>
      <c r="C16" s="872"/>
      <c r="D16" s="873"/>
      <c r="E16" s="714" t="s">
        <v>19</v>
      </c>
      <c r="F16" s="715">
        <v>80</v>
      </c>
      <c r="G16" s="715">
        <v>71</v>
      </c>
      <c r="H16" s="715">
        <v>52</v>
      </c>
      <c r="I16" s="715">
        <v>57</v>
      </c>
      <c r="J16" s="715">
        <v>70</v>
      </c>
      <c r="K16" s="715">
        <v>50</v>
      </c>
      <c r="L16" s="715">
        <v>58</v>
      </c>
      <c r="M16" s="715">
        <v>57</v>
      </c>
      <c r="N16" s="715">
        <v>48</v>
      </c>
      <c r="O16" s="715">
        <v>67</v>
      </c>
      <c r="P16" s="715">
        <v>72</v>
      </c>
      <c r="Q16" s="715">
        <v>62</v>
      </c>
      <c r="R16" s="715">
        <v>84</v>
      </c>
      <c r="S16" s="715">
        <v>828</v>
      </c>
      <c r="T16" s="716">
        <v>63.692307692307693</v>
      </c>
      <c r="U16" s="715">
        <v>35</v>
      </c>
      <c r="V16" s="718"/>
      <c r="W16" s="718"/>
    </row>
    <row r="17" spans="1:23" ht="27" thickBot="1" x14ac:dyDescent="0.45">
      <c r="A17" s="869"/>
      <c r="B17" s="871"/>
      <c r="C17" s="872"/>
      <c r="D17" s="873"/>
      <c r="E17" s="714" t="s">
        <v>13</v>
      </c>
      <c r="F17" s="715">
        <f>AVERAGE(F15:F16)</f>
        <v>76</v>
      </c>
      <c r="G17" s="715">
        <f t="shared" ref="G17:T17" si="3">AVERAGE(G15:G16)</f>
        <v>69.5</v>
      </c>
      <c r="H17" s="715">
        <f t="shared" si="3"/>
        <v>62</v>
      </c>
      <c r="I17" s="715">
        <f t="shared" si="3"/>
        <v>56.5</v>
      </c>
      <c r="J17" s="715">
        <f t="shared" si="3"/>
        <v>62.5</v>
      </c>
      <c r="K17" s="715">
        <f t="shared" si="3"/>
        <v>53</v>
      </c>
      <c r="L17" s="715">
        <f t="shared" si="3"/>
        <v>51.5</v>
      </c>
      <c r="M17" s="715">
        <f t="shared" si="3"/>
        <v>55</v>
      </c>
      <c r="N17" s="715">
        <f t="shared" si="3"/>
        <v>46.5</v>
      </c>
      <c r="O17" s="715">
        <f t="shared" si="3"/>
        <v>68.5</v>
      </c>
      <c r="P17" s="715">
        <f t="shared" si="3"/>
        <v>72.5</v>
      </c>
      <c r="Q17" s="715">
        <f t="shared" si="3"/>
        <v>66.5</v>
      </c>
      <c r="R17" s="715">
        <f t="shared" si="3"/>
        <v>88</v>
      </c>
      <c r="S17" s="715">
        <f t="shared" si="3"/>
        <v>828</v>
      </c>
      <c r="T17" s="715">
        <f t="shared" si="3"/>
        <v>63.692307692307693</v>
      </c>
      <c r="U17" s="715">
        <v>35</v>
      </c>
      <c r="V17" s="715"/>
      <c r="W17" s="715"/>
    </row>
    <row r="18" spans="1:23" ht="27" thickBot="1" x14ac:dyDescent="0.45">
      <c r="A18" s="869">
        <v>5</v>
      </c>
      <c r="B18" s="871"/>
      <c r="C18" s="872">
        <v>14</v>
      </c>
      <c r="D18" s="873" t="s">
        <v>17</v>
      </c>
      <c r="E18" s="714" t="s">
        <v>18</v>
      </c>
      <c r="F18" s="715">
        <v>77</v>
      </c>
      <c r="G18" s="715">
        <v>86</v>
      </c>
      <c r="H18" s="715">
        <v>77</v>
      </c>
      <c r="I18" s="715">
        <v>58</v>
      </c>
      <c r="J18" s="715">
        <v>64</v>
      </c>
      <c r="K18" s="715">
        <v>80</v>
      </c>
      <c r="L18" s="715">
        <v>81</v>
      </c>
      <c r="M18" s="715">
        <v>67</v>
      </c>
      <c r="N18" s="715">
        <v>66</v>
      </c>
      <c r="O18" s="715">
        <v>83</v>
      </c>
      <c r="P18" s="715">
        <v>73</v>
      </c>
      <c r="Q18" s="715">
        <v>83</v>
      </c>
      <c r="R18" s="715">
        <v>92</v>
      </c>
      <c r="S18" s="715">
        <v>987</v>
      </c>
      <c r="T18" s="716">
        <v>75.92307692307692</v>
      </c>
      <c r="U18" s="715">
        <v>18</v>
      </c>
      <c r="V18" s="718"/>
      <c r="W18" s="718"/>
    </row>
    <row r="19" spans="1:23" ht="27" thickBot="1" x14ac:dyDescent="0.45">
      <c r="A19" s="869"/>
      <c r="B19" s="871"/>
      <c r="C19" s="872"/>
      <c r="D19" s="873"/>
      <c r="E19" s="714" t="s">
        <v>19</v>
      </c>
      <c r="F19" s="715">
        <v>78</v>
      </c>
      <c r="G19" s="715">
        <v>92</v>
      </c>
      <c r="H19" s="715">
        <v>58</v>
      </c>
      <c r="I19" s="715">
        <v>74</v>
      </c>
      <c r="J19" s="715">
        <v>70</v>
      </c>
      <c r="K19" s="715">
        <v>59</v>
      </c>
      <c r="L19" s="715">
        <v>82</v>
      </c>
      <c r="M19" s="715">
        <v>88</v>
      </c>
      <c r="N19" s="715">
        <v>64</v>
      </c>
      <c r="O19" s="715">
        <v>88</v>
      </c>
      <c r="P19" s="715">
        <v>85</v>
      </c>
      <c r="Q19" s="715">
        <v>91</v>
      </c>
      <c r="R19" s="715">
        <v>86</v>
      </c>
      <c r="S19" s="715">
        <v>1015</v>
      </c>
      <c r="T19" s="716">
        <v>78.07692307692308</v>
      </c>
      <c r="U19" s="715">
        <v>14</v>
      </c>
      <c r="V19" s="718"/>
      <c r="W19" s="718"/>
    </row>
    <row r="20" spans="1:23" ht="27" thickBot="1" x14ac:dyDescent="0.45">
      <c r="A20" s="869"/>
      <c r="B20" s="871"/>
      <c r="C20" s="872"/>
      <c r="D20" s="873"/>
      <c r="E20" s="714" t="s">
        <v>13</v>
      </c>
      <c r="F20" s="715">
        <f>AVERAGE(F18:F19)</f>
        <v>77.5</v>
      </c>
      <c r="G20" s="715">
        <f t="shared" ref="G20:T20" si="4">AVERAGE(G18:G19)</f>
        <v>89</v>
      </c>
      <c r="H20" s="715">
        <f t="shared" si="4"/>
        <v>67.5</v>
      </c>
      <c r="I20" s="715">
        <f t="shared" si="4"/>
        <v>66</v>
      </c>
      <c r="J20" s="715">
        <f t="shared" si="4"/>
        <v>67</v>
      </c>
      <c r="K20" s="715">
        <f t="shared" si="4"/>
        <v>69.5</v>
      </c>
      <c r="L20" s="715">
        <f t="shared" si="4"/>
        <v>81.5</v>
      </c>
      <c r="M20" s="715">
        <f t="shared" si="4"/>
        <v>77.5</v>
      </c>
      <c r="N20" s="715">
        <f t="shared" si="4"/>
        <v>65</v>
      </c>
      <c r="O20" s="715">
        <f t="shared" si="4"/>
        <v>85.5</v>
      </c>
      <c r="P20" s="715">
        <f t="shared" si="4"/>
        <v>79</v>
      </c>
      <c r="Q20" s="715">
        <f t="shared" si="4"/>
        <v>87</v>
      </c>
      <c r="R20" s="715">
        <f t="shared" si="4"/>
        <v>89</v>
      </c>
      <c r="S20" s="715">
        <f t="shared" si="4"/>
        <v>1001</v>
      </c>
      <c r="T20" s="715">
        <f t="shared" si="4"/>
        <v>77</v>
      </c>
      <c r="U20" s="715">
        <v>16</v>
      </c>
      <c r="V20" s="715"/>
      <c r="W20" s="715"/>
    </row>
    <row r="21" spans="1:23" ht="27" thickBot="1" x14ac:dyDescent="0.45">
      <c r="A21" s="869">
        <v>6</v>
      </c>
      <c r="B21" s="871"/>
      <c r="C21" s="872">
        <v>14</v>
      </c>
      <c r="D21" s="873" t="s">
        <v>17</v>
      </c>
      <c r="E21" s="714" t="s">
        <v>18</v>
      </c>
      <c r="F21" s="715">
        <v>79</v>
      </c>
      <c r="G21" s="715">
        <v>51</v>
      </c>
      <c r="H21" s="715">
        <v>69</v>
      </c>
      <c r="I21" s="715">
        <v>62</v>
      </c>
      <c r="J21" s="715">
        <v>53</v>
      </c>
      <c r="K21" s="715">
        <v>61</v>
      </c>
      <c r="L21" s="715">
        <v>53</v>
      </c>
      <c r="M21" s="715">
        <v>67</v>
      </c>
      <c r="N21" s="715">
        <v>42</v>
      </c>
      <c r="O21" s="715">
        <v>57</v>
      </c>
      <c r="P21" s="715">
        <v>65</v>
      </c>
      <c r="Q21" s="715">
        <v>77</v>
      </c>
      <c r="R21" s="715">
        <v>78</v>
      </c>
      <c r="S21" s="715">
        <v>814</v>
      </c>
      <c r="T21" s="716">
        <v>62.615384615384613</v>
      </c>
      <c r="U21" s="715">
        <v>38</v>
      </c>
      <c r="V21" s="718"/>
      <c r="W21" s="718"/>
    </row>
    <row r="22" spans="1:23" ht="27" thickBot="1" x14ac:dyDescent="0.45">
      <c r="A22" s="869"/>
      <c r="B22" s="871"/>
      <c r="C22" s="872"/>
      <c r="D22" s="873"/>
      <c r="E22" s="714" t="s">
        <v>19</v>
      </c>
      <c r="F22" s="715"/>
      <c r="G22" s="715"/>
      <c r="H22" s="715"/>
      <c r="I22" s="715"/>
      <c r="J22" s="715"/>
      <c r="K22" s="715"/>
      <c r="L22" s="715"/>
      <c r="M22" s="715"/>
      <c r="N22" s="715"/>
      <c r="O22" s="715"/>
      <c r="P22" s="715"/>
      <c r="Q22" s="715"/>
      <c r="R22" s="715"/>
      <c r="S22" s="715"/>
      <c r="T22" s="716"/>
      <c r="U22" s="715">
        <v>39</v>
      </c>
      <c r="V22" s="718"/>
      <c r="W22" s="718"/>
    </row>
    <row r="23" spans="1:23" ht="27" thickBot="1" x14ac:dyDescent="0.45">
      <c r="A23" s="869"/>
      <c r="B23" s="871"/>
      <c r="C23" s="872"/>
      <c r="D23" s="873"/>
      <c r="E23" s="714" t="s">
        <v>13</v>
      </c>
      <c r="F23" s="715">
        <v>79</v>
      </c>
      <c r="G23" s="715">
        <v>51</v>
      </c>
      <c r="H23" s="715">
        <v>69</v>
      </c>
      <c r="I23" s="715">
        <v>62</v>
      </c>
      <c r="J23" s="715">
        <v>53</v>
      </c>
      <c r="K23" s="715">
        <v>61</v>
      </c>
      <c r="L23" s="715">
        <v>53</v>
      </c>
      <c r="M23" s="715">
        <v>67</v>
      </c>
      <c r="N23" s="715">
        <v>42</v>
      </c>
      <c r="O23" s="715">
        <v>57</v>
      </c>
      <c r="P23" s="715">
        <v>65</v>
      </c>
      <c r="Q23" s="715">
        <v>77</v>
      </c>
      <c r="R23" s="715">
        <v>78</v>
      </c>
      <c r="S23" s="715">
        <v>814</v>
      </c>
      <c r="T23" s="716">
        <v>62.615384615384613</v>
      </c>
      <c r="U23" s="715"/>
      <c r="V23" s="715"/>
      <c r="W23" s="715"/>
    </row>
    <row r="24" spans="1:23" ht="27" thickBot="1" x14ac:dyDescent="0.45">
      <c r="A24" s="869">
        <v>7</v>
      </c>
      <c r="B24" s="871"/>
      <c r="C24" s="891">
        <v>15</v>
      </c>
      <c r="D24" s="892" t="s">
        <v>20</v>
      </c>
      <c r="E24" s="714" t="s">
        <v>18</v>
      </c>
      <c r="F24" s="715">
        <v>74</v>
      </c>
      <c r="G24" s="715">
        <v>70</v>
      </c>
      <c r="H24" s="715">
        <v>79</v>
      </c>
      <c r="I24" s="715">
        <v>68</v>
      </c>
      <c r="J24" s="715">
        <v>73</v>
      </c>
      <c r="K24" s="715">
        <v>80</v>
      </c>
      <c r="L24" s="715">
        <v>89</v>
      </c>
      <c r="M24" s="715">
        <v>74</v>
      </c>
      <c r="N24" s="715">
        <v>81</v>
      </c>
      <c r="O24" s="715">
        <v>85</v>
      </c>
      <c r="P24" s="715">
        <v>87</v>
      </c>
      <c r="Q24" s="715">
        <v>79</v>
      </c>
      <c r="R24" s="715">
        <v>85</v>
      </c>
      <c r="S24" s="715">
        <v>1024</v>
      </c>
      <c r="T24" s="716">
        <v>78.769230769230774</v>
      </c>
      <c r="U24" s="715">
        <v>12</v>
      </c>
      <c r="V24" s="718"/>
      <c r="W24" s="718"/>
    </row>
    <row r="25" spans="1:23" ht="27" thickBot="1" x14ac:dyDescent="0.45">
      <c r="A25" s="869"/>
      <c r="B25" s="871"/>
      <c r="C25" s="891"/>
      <c r="D25" s="892"/>
      <c r="E25" s="714" t="s">
        <v>19</v>
      </c>
      <c r="F25" s="715">
        <v>85</v>
      </c>
      <c r="G25" s="715">
        <v>79</v>
      </c>
      <c r="H25" s="715">
        <v>69</v>
      </c>
      <c r="I25" s="715">
        <v>73</v>
      </c>
      <c r="J25" s="715">
        <v>72</v>
      </c>
      <c r="K25" s="715">
        <v>68</v>
      </c>
      <c r="L25" s="715">
        <v>73</v>
      </c>
      <c r="M25" s="715">
        <v>90</v>
      </c>
      <c r="N25" s="715">
        <v>76</v>
      </c>
      <c r="O25" s="715">
        <v>78</v>
      </c>
      <c r="P25" s="715">
        <v>83</v>
      </c>
      <c r="Q25" s="715">
        <v>87</v>
      </c>
      <c r="R25" s="715">
        <v>81</v>
      </c>
      <c r="S25" s="715">
        <v>1014</v>
      </c>
      <c r="T25" s="716">
        <v>78</v>
      </c>
      <c r="U25" s="715">
        <v>15</v>
      </c>
      <c r="V25" s="718"/>
      <c r="W25" s="718"/>
    </row>
    <row r="26" spans="1:23" ht="27" thickBot="1" x14ac:dyDescent="0.45">
      <c r="A26" s="869"/>
      <c r="B26" s="871"/>
      <c r="C26" s="891"/>
      <c r="D26" s="892"/>
      <c r="E26" s="714" t="s">
        <v>13</v>
      </c>
      <c r="F26" s="715">
        <f>AVERAGE(F24:F25)</f>
        <v>79.5</v>
      </c>
      <c r="G26" s="715">
        <f t="shared" ref="G26:T26" si="5">AVERAGE(G24:G25)</f>
        <v>74.5</v>
      </c>
      <c r="H26" s="715">
        <f t="shared" si="5"/>
        <v>74</v>
      </c>
      <c r="I26" s="715">
        <f t="shared" si="5"/>
        <v>70.5</v>
      </c>
      <c r="J26" s="715">
        <f t="shared" si="5"/>
        <v>72.5</v>
      </c>
      <c r="K26" s="715">
        <f t="shared" si="5"/>
        <v>74</v>
      </c>
      <c r="L26" s="715">
        <f t="shared" si="5"/>
        <v>81</v>
      </c>
      <c r="M26" s="715">
        <f t="shared" si="5"/>
        <v>82</v>
      </c>
      <c r="N26" s="715">
        <f t="shared" si="5"/>
        <v>78.5</v>
      </c>
      <c r="O26" s="715">
        <f t="shared" si="5"/>
        <v>81.5</v>
      </c>
      <c r="P26" s="715">
        <f t="shared" si="5"/>
        <v>85</v>
      </c>
      <c r="Q26" s="715">
        <f t="shared" si="5"/>
        <v>83</v>
      </c>
      <c r="R26" s="715">
        <f t="shared" si="5"/>
        <v>83</v>
      </c>
      <c r="S26" s="715">
        <f t="shared" si="5"/>
        <v>1019</v>
      </c>
      <c r="T26" s="715">
        <f t="shared" si="5"/>
        <v>78.384615384615387</v>
      </c>
      <c r="U26" s="715">
        <v>12</v>
      </c>
      <c r="V26" s="715"/>
      <c r="W26" s="715"/>
    </row>
    <row r="27" spans="1:23" ht="27" thickBot="1" x14ac:dyDescent="0.45">
      <c r="A27" s="869">
        <v>8</v>
      </c>
      <c r="B27" s="871"/>
      <c r="C27" s="872">
        <v>15</v>
      </c>
      <c r="D27" s="873" t="s">
        <v>20</v>
      </c>
      <c r="E27" s="714" t="s">
        <v>18</v>
      </c>
      <c r="F27" s="715">
        <v>85</v>
      </c>
      <c r="G27" s="715">
        <v>88</v>
      </c>
      <c r="H27" s="715">
        <v>94</v>
      </c>
      <c r="I27" s="715">
        <v>78</v>
      </c>
      <c r="J27" s="715">
        <v>80</v>
      </c>
      <c r="K27" s="715">
        <v>84</v>
      </c>
      <c r="L27" s="715">
        <v>73</v>
      </c>
      <c r="M27" s="715">
        <v>73</v>
      </c>
      <c r="N27" s="715">
        <v>79</v>
      </c>
      <c r="O27" s="715">
        <v>88</v>
      </c>
      <c r="P27" s="715">
        <v>98</v>
      </c>
      <c r="Q27" s="715">
        <v>86</v>
      </c>
      <c r="R27" s="715">
        <v>93</v>
      </c>
      <c r="S27" s="715">
        <v>1099</v>
      </c>
      <c r="T27" s="716">
        <v>84.538461538461533</v>
      </c>
      <c r="U27" s="715">
        <v>4</v>
      </c>
      <c r="V27" s="718"/>
      <c r="W27" s="718"/>
    </row>
    <row r="28" spans="1:23" ht="27" thickBot="1" x14ac:dyDescent="0.45">
      <c r="A28" s="869"/>
      <c r="B28" s="871"/>
      <c r="C28" s="872"/>
      <c r="D28" s="873"/>
      <c r="E28" s="714" t="s">
        <v>19</v>
      </c>
      <c r="F28" s="715">
        <v>89</v>
      </c>
      <c r="G28" s="715">
        <v>86</v>
      </c>
      <c r="H28" s="715">
        <v>70</v>
      </c>
      <c r="I28" s="715">
        <v>91</v>
      </c>
      <c r="J28" s="715">
        <v>84</v>
      </c>
      <c r="K28" s="715">
        <v>66</v>
      </c>
      <c r="L28" s="715">
        <v>70</v>
      </c>
      <c r="M28" s="715">
        <v>87</v>
      </c>
      <c r="N28" s="715">
        <v>80</v>
      </c>
      <c r="O28" s="715">
        <v>81</v>
      </c>
      <c r="P28" s="715">
        <v>95</v>
      </c>
      <c r="Q28" s="715">
        <v>91</v>
      </c>
      <c r="R28" s="715">
        <v>97</v>
      </c>
      <c r="S28" s="715">
        <v>1087</v>
      </c>
      <c r="T28" s="716">
        <v>83.615384615384613</v>
      </c>
      <c r="U28" s="715">
        <v>5</v>
      </c>
      <c r="V28" s="718"/>
      <c r="W28" s="718"/>
    </row>
    <row r="29" spans="1:23" ht="27" thickBot="1" x14ac:dyDescent="0.45">
      <c r="A29" s="869"/>
      <c r="B29" s="871"/>
      <c r="C29" s="872"/>
      <c r="D29" s="873"/>
      <c r="E29" s="714" t="s">
        <v>13</v>
      </c>
      <c r="F29" s="715">
        <f>AVERAGE(F27:F28)</f>
        <v>87</v>
      </c>
      <c r="G29" s="715">
        <f t="shared" ref="G29:T29" si="6">AVERAGE(G27:G28)</f>
        <v>87</v>
      </c>
      <c r="H29" s="715">
        <f t="shared" si="6"/>
        <v>82</v>
      </c>
      <c r="I29" s="715">
        <f t="shared" si="6"/>
        <v>84.5</v>
      </c>
      <c r="J29" s="715">
        <f t="shared" si="6"/>
        <v>82</v>
      </c>
      <c r="K29" s="715">
        <f t="shared" si="6"/>
        <v>75</v>
      </c>
      <c r="L29" s="715">
        <f t="shared" si="6"/>
        <v>71.5</v>
      </c>
      <c r="M29" s="715">
        <f t="shared" si="6"/>
        <v>80</v>
      </c>
      <c r="N29" s="715">
        <f t="shared" si="6"/>
        <v>79.5</v>
      </c>
      <c r="O29" s="715">
        <f t="shared" si="6"/>
        <v>84.5</v>
      </c>
      <c r="P29" s="715">
        <f t="shared" si="6"/>
        <v>96.5</v>
      </c>
      <c r="Q29" s="715">
        <f t="shared" si="6"/>
        <v>88.5</v>
      </c>
      <c r="R29" s="715">
        <f t="shared" si="6"/>
        <v>95</v>
      </c>
      <c r="S29" s="715">
        <f t="shared" si="6"/>
        <v>1093</v>
      </c>
      <c r="T29" s="715">
        <f t="shared" si="6"/>
        <v>84.076923076923066</v>
      </c>
      <c r="U29" s="715">
        <v>4</v>
      </c>
      <c r="V29" s="715"/>
      <c r="W29" s="715"/>
    </row>
    <row r="30" spans="1:23" ht="27" thickBot="1" x14ac:dyDescent="0.45">
      <c r="A30" s="869">
        <v>9</v>
      </c>
      <c r="B30" s="871"/>
      <c r="C30" s="872">
        <v>15</v>
      </c>
      <c r="D30" s="873" t="s">
        <v>20</v>
      </c>
      <c r="E30" s="714" t="s">
        <v>18</v>
      </c>
      <c r="F30" s="715">
        <v>88</v>
      </c>
      <c r="G30" s="715">
        <v>89</v>
      </c>
      <c r="H30" s="715">
        <v>75</v>
      </c>
      <c r="I30" s="715">
        <v>64</v>
      </c>
      <c r="J30" s="715">
        <v>58</v>
      </c>
      <c r="K30" s="715">
        <v>67</v>
      </c>
      <c r="L30" s="715">
        <v>69</v>
      </c>
      <c r="M30" s="715">
        <v>68</v>
      </c>
      <c r="N30" s="715">
        <v>58</v>
      </c>
      <c r="O30" s="715">
        <v>81</v>
      </c>
      <c r="P30" s="715">
        <v>88</v>
      </c>
      <c r="Q30" s="715">
        <v>79</v>
      </c>
      <c r="R30" s="715">
        <v>90</v>
      </c>
      <c r="S30" s="715">
        <v>974</v>
      </c>
      <c r="T30" s="716">
        <v>74.92307692307692</v>
      </c>
      <c r="U30" s="715">
        <v>19</v>
      </c>
      <c r="V30" s="718"/>
      <c r="W30" s="718"/>
    </row>
    <row r="31" spans="1:23" ht="27" thickBot="1" x14ac:dyDescent="0.45">
      <c r="A31" s="869"/>
      <c r="B31" s="871"/>
      <c r="C31" s="872"/>
      <c r="D31" s="873"/>
      <c r="E31" s="714" t="s">
        <v>19</v>
      </c>
      <c r="F31" s="715">
        <v>87</v>
      </c>
      <c r="G31" s="715">
        <v>92</v>
      </c>
      <c r="H31" s="715">
        <v>55</v>
      </c>
      <c r="I31" s="715">
        <v>57</v>
      </c>
      <c r="J31" s="715">
        <v>58</v>
      </c>
      <c r="K31" s="715">
        <v>55</v>
      </c>
      <c r="L31" s="715">
        <v>58</v>
      </c>
      <c r="M31" s="715">
        <v>65</v>
      </c>
      <c r="N31" s="715">
        <v>50</v>
      </c>
      <c r="O31" s="715">
        <v>75</v>
      </c>
      <c r="P31" s="715">
        <v>68</v>
      </c>
      <c r="Q31" s="715">
        <v>78</v>
      </c>
      <c r="R31" s="715">
        <v>78</v>
      </c>
      <c r="S31" s="715">
        <v>876</v>
      </c>
      <c r="T31" s="716">
        <v>67.384615384615387</v>
      </c>
      <c r="U31" s="715">
        <v>26</v>
      </c>
      <c r="V31" s="718"/>
      <c r="W31" s="718"/>
    </row>
    <row r="32" spans="1:23" ht="27" thickBot="1" x14ac:dyDescent="0.45">
      <c r="A32" s="869"/>
      <c r="B32" s="871"/>
      <c r="C32" s="872"/>
      <c r="D32" s="873"/>
      <c r="E32" s="714" t="s">
        <v>13</v>
      </c>
      <c r="F32" s="715">
        <f>AVERAGE(F30:F31)</f>
        <v>87.5</v>
      </c>
      <c r="G32" s="715">
        <f t="shared" ref="G32:T32" si="7">AVERAGE(G30:G31)</f>
        <v>90.5</v>
      </c>
      <c r="H32" s="715">
        <f t="shared" si="7"/>
        <v>65</v>
      </c>
      <c r="I32" s="715">
        <f t="shared" si="7"/>
        <v>60.5</v>
      </c>
      <c r="J32" s="715">
        <f t="shared" si="7"/>
        <v>58</v>
      </c>
      <c r="K32" s="715">
        <f t="shared" si="7"/>
        <v>61</v>
      </c>
      <c r="L32" s="715">
        <f t="shared" si="7"/>
        <v>63.5</v>
      </c>
      <c r="M32" s="715">
        <f t="shared" si="7"/>
        <v>66.5</v>
      </c>
      <c r="N32" s="715">
        <f t="shared" si="7"/>
        <v>54</v>
      </c>
      <c r="O32" s="715">
        <f t="shared" si="7"/>
        <v>78</v>
      </c>
      <c r="P32" s="715">
        <f t="shared" si="7"/>
        <v>78</v>
      </c>
      <c r="Q32" s="715">
        <f t="shared" si="7"/>
        <v>78.5</v>
      </c>
      <c r="R32" s="715">
        <f t="shared" si="7"/>
        <v>84</v>
      </c>
      <c r="S32" s="715">
        <f t="shared" si="7"/>
        <v>925</v>
      </c>
      <c r="T32" s="715">
        <f t="shared" si="7"/>
        <v>71.15384615384616</v>
      </c>
      <c r="U32" s="715">
        <v>24</v>
      </c>
      <c r="V32" s="715"/>
      <c r="W32" s="715"/>
    </row>
    <row r="33" spans="1:23" ht="27" thickBot="1" x14ac:dyDescent="0.45">
      <c r="A33" s="869">
        <v>10</v>
      </c>
      <c r="B33" s="871"/>
      <c r="C33" s="872">
        <v>14</v>
      </c>
      <c r="D33" s="873" t="s">
        <v>17</v>
      </c>
      <c r="E33" s="714" t="s">
        <v>18</v>
      </c>
      <c r="F33" s="715">
        <v>61</v>
      </c>
      <c r="G33" s="715">
        <v>47</v>
      </c>
      <c r="H33" s="715">
        <v>60</v>
      </c>
      <c r="I33" s="715">
        <v>45</v>
      </c>
      <c r="J33" s="715">
        <v>44</v>
      </c>
      <c r="K33" s="715">
        <v>48</v>
      </c>
      <c r="L33" s="715">
        <v>42</v>
      </c>
      <c r="M33" s="715">
        <v>44</v>
      </c>
      <c r="N33" s="715">
        <v>39</v>
      </c>
      <c r="O33" s="715">
        <v>54</v>
      </c>
      <c r="P33" s="715">
        <v>56</v>
      </c>
      <c r="Q33" s="715">
        <v>65</v>
      </c>
      <c r="R33" s="715">
        <v>75</v>
      </c>
      <c r="S33" s="715">
        <v>680</v>
      </c>
      <c r="T33" s="716">
        <v>52.307692307692307</v>
      </c>
      <c r="U33" s="715">
        <v>52</v>
      </c>
      <c r="V33" s="718"/>
      <c r="W33" s="718"/>
    </row>
    <row r="34" spans="1:23" ht="27" thickBot="1" x14ac:dyDescent="0.45">
      <c r="A34" s="869"/>
      <c r="B34" s="871"/>
      <c r="C34" s="872"/>
      <c r="D34" s="873"/>
      <c r="E34" s="714" t="s">
        <v>19</v>
      </c>
      <c r="F34" s="715">
        <v>60</v>
      </c>
      <c r="G34" s="715">
        <v>47</v>
      </c>
      <c r="H34" s="715">
        <v>53</v>
      </c>
      <c r="I34" s="715">
        <v>53</v>
      </c>
      <c r="J34" s="715">
        <v>50</v>
      </c>
      <c r="K34" s="715">
        <v>53</v>
      </c>
      <c r="L34" s="715">
        <v>50</v>
      </c>
      <c r="M34" s="715">
        <v>55</v>
      </c>
      <c r="N34" s="715">
        <v>40</v>
      </c>
      <c r="O34" s="715">
        <v>46</v>
      </c>
      <c r="P34" s="715">
        <v>64</v>
      </c>
      <c r="Q34" s="715">
        <v>67</v>
      </c>
      <c r="R34" s="715">
        <v>78</v>
      </c>
      <c r="S34" s="715">
        <v>716</v>
      </c>
      <c r="T34" s="716">
        <v>55.07692307692308</v>
      </c>
      <c r="U34" s="715">
        <v>50</v>
      </c>
      <c r="V34" s="718"/>
      <c r="W34" s="718"/>
    </row>
    <row r="35" spans="1:23" ht="27" thickBot="1" x14ac:dyDescent="0.45">
      <c r="A35" s="869"/>
      <c r="B35" s="871"/>
      <c r="C35" s="872"/>
      <c r="D35" s="873"/>
      <c r="E35" s="714" t="s">
        <v>13</v>
      </c>
      <c r="F35" s="715">
        <f>AVERAGE(F33:F34)</f>
        <v>60.5</v>
      </c>
      <c r="G35" s="715">
        <f t="shared" ref="G35:T35" si="8">AVERAGE(G33:G34)</f>
        <v>47</v>
      </c>
      <c r="H35" s="715">
        <f t="shared" si="8"/>
        <v>56.5</v>
      </c>
      <c r="I35" s="715">
        <f t="shared" si="8"/>
        <v>49</v>
      </c>
      <c r="J35" s="715">
        <f t="shared" si="8"/>
        <v>47</v>
      </c>
      <c r="K35" s="715">
        <f t="shared" si="8"/>
        <v>50.5</v>
      </c>
      <c r="L35" s="715">
        <f t="shared" si="8"/>
        <v>46</v>
      </c>
      <c r="M35" s="715">
        <f t="shared" si="8"/>
        <v>49.5</v>
      </c>
      <c r="N35" s="715">
        <f t="shared" si="8"/>
        <v>39.5</v>
      </c>
      <c r="O35" s="715">
        <f t="shared" si="8"/>
        <v>50</v>
      </c>
      <c r="P35" s="715">
        <f t="shared" si="8"/>
        <v>60</v>
      </c>
      <c r="Q35" s="715">
        <f t="shared" si="8"/>
        <v>66</v>
      </c>
      <c r="R35" s="715">
        <f t="shared" si="8"/>
        <v>76.5</v>
      </c>
      <c r="S35" s="715">
        <f t="shared" si="8"/>
        <v>698</v>
      </c>
      <c r="T35" s="715">
        <f t="shared" si="8"/>
        <v>53.692307692307693</v>
      </c>
      <c r="U35" s="715">
        <v>51</v>
      </c>
      <c r="V35" s="715"/>
      <c r="W35" s="715"/>
    </row>
    <row r="36" spans="1:23" ht="27" thickBot="1" x14ac:dyDescent="0.45">
      <c r="A36" s="869">
        <v>11</v>
      </c>
      <c r="B36" s="871"/>
      <c r="C36" s="872">
        <v>15</v>
      </c>
      <c r="D36" s="873" t="s">
        <v>17</v>
      </c>
      <c r="E36" s="714" t="s">
        <v>18</v>
      </c>
      <c r="F36" s="715">
        <v>78</v>
      </c>
      <c r="G36" s="715">
        <v>60</v>
      </c>
      <c r="H36" s="715">
        <v>64</v>
      </c>
      <c r="I36" s="715">
        <v>44</v>
      </c>
      <c r="J36" s="715">
        <v>51</v>
      </c>
      <c r="K36" s="715">
        <v>58</v>
      </c>
      <c r="L36" s="715">
        <v>56</v>
      </c>
      <c r="M36" s="715">
        <v>61</v>
      </c>
      <c r="N36" s="715">
        <v>71</v>
      </c>
      <c r="O36" s="715">
        <v>70</v>
      </c>
      <c r="P36" s="715">
        <v>63</v>
      </c>
      <c r="Q36" s="715">
        <v>67</v>
      </c>
      <c r="R36" s="715">
        <v>76</v>
      </c>
      <c r="S36" s="715">
        <v>819</v>
      </c>
      <c r="T36" s="716">
        <v>63</v>
      </c>
      <c r="U36" s="715">
        <v>36</v>
      </c>
      <c r="V36" s="718"/>
      <c r="W36" s="718"/>
    </row>
    <row r="37" spans="1:23" ht="27" thickBot="1" x14ac:dyDescent="0.45">
      <c r="A37" s="869"/>
      <c r="B37" s="871"/>
      <c r="C37" s="872"/>
      <c r="D37" s="873"/>
      <c r="E37" s="714" t="s">
        <v>19</v>
      </c>
      <c r="F37" s="715">
        <v>79</v>
      </c>
      <c r="G37" s="715">
        <v>61</v>
      </c>
      <c r="H37" s="715">
        <v>50</v>
      </c>
      <c r="I37" s="715">
        <v>50</v>
      </c>
      <c r="J37" s="715">
        <v>50</v>
      </c>
      <c r="K37" s="715">
        <v>52</v>
      </c>
      <c r="L37" s="715">
        <v>59</v>
      </c>
      <c r="M37" s="715">
        <v>65</v>
      </c>
      <c r="N37" s="715">
        <v>61</v>
      </c>
      <c r="O37" s="715">
        <v>72</v>
      </c>
      <c r="P37" s="715">
        <v>68</v>
      </c>
      <c r="Q37" s="715">
        <v>78</v>
      </c>
      <c r="R37" s="715">
        <v>76</v>
      </c>
      <c r="S37" s="715">
        <v>821</v>
      </c>
      <c r="T37" s="716">
        <v>63.153846153846153</v>
      </c>
      <c r="U37" s="715">
        <v>38</v>
      </c>
      <c r="V37" s="718"/>
      <c r="W37" s="718"/>
    </row>
    <row r="38" spans="1:23" ht="27" thickBot="1" x14ac:dyDescent="0.45">
      <c r="A38" s="869"/>
      <c r="B38" s="871"/>
      <c r="C38" s="872"/>
      <c r="D38" s="873"/>
      <c r="E38" s="714" t="s">
        <v>13</v>
      </c>
      <c r="F38" s="715">
        <f>AVERAGE(F36:F37)</f>
        <v>78.5</v>
      </c>
      <c r="G38" s="715">
        <f t="shared" ref="G38:T38" si="9">AVERAGE(G36:G37)</f>
        <v>60.5</v>
      </c>
      <c r="H38" s="715">
        <f t="shared" si="9"/>
        <v>57</v>
      </c>
      <c r="I38" s="715">
        <f t="shared" si="9"/>
        <v>47</v>
      </c>
      <c r="J38" s="715">
        <f t="shared" si="9"/>
        <v>50.5</v>
      </c>
      <c r="K38" s="715">
        <f t="shared" si="9"/>
        <v>55</v>
      </c>
      <c r="L38" s="715">
        <f t="shared" si="9"/>
        <v>57.5</v>
      </c>
      <c r="M38" s="715">
        <f t="shared" si="9"/>
        <v>63</v>
      </c>
      <c r="N38" s="715">
        <f t="shared" si="9"/>
        <v>66</v>
      </c>
      <c r="O38" s="715">
        <f t="shared" si="9"/>
        <v>71</v>
      </c>
      <c r="P38" s="715">
        <f t="shared" si="9"/>
        <v>65.5</v>
      </c>
      <c r="Q38" s="715">
        <f t="shared" si="9"/>
        <v>72.5</v>
      </c>
      <c r="R38" s="715">
        <f t="shared" si="9"/>
        <v>76</v>
      </c>
      <c r="S38" s="715">
        <f t="shared" si="9"/>
        <v>820</v>
      </c>
      <c r="T38" s="715">
        <f t="shared" si="9"/>
        <v>63.07692307692308</v>
      </c>
      <c r="U38" s="715">
        <v>36</v>
      </c>
      <c r="V38" s="715"/>
      <c r="W38" s="715"/>
    </row>
    <row r="39" spans="1:23" ht="27" thickBot="1" x14ac:dyDescent="0.45">
      <c r="A39" s="869">
        <v>12</v>
      </c>
      <c r="B39" s="871"/>
      <c r="C39" s="872">
        <v>14</v>
      </c>
      <c r="D39" s="873" t="s">
        <v>20</v>
      </c>
      <c r="E39" s="714" t="s">
        <v>18</v>
      </c>
      <c r="F39" s="715">
        <v>93</v>
      </c>
      <c r="G39" s="715">
        <v>73</v>
      </c>
      <c r="H39" s="715">
        <v>80</v>
      </c>
      <c r="I39" s="715">
        <v>66</v>
      </c>
      <c r="J39" s="715">
        <v>63</v>
      </c>
      <c r="K39" s="715">
        <v>72</v>
      </c>
      <c r="L39" s="715">
        <v>64</v>
      </c>
      <c r="M39" s="715">
        <v>63</v>
      </c>
      <c r="N39" s="715">
        <v>67</v>
      </c>
      <c r="O39" s="715">
        <v>80</v>
      </c>
      <c r="P39" s="715">
        <v>78</v>
      </c>
      <c r="Q39" s="715">
        <v>84</v>
      </c>
      <c r="R39" s="715">
        <v>86</v>
      </c>
      <c r="S39" s="715">
        <v>969</v>
      </c>
      <c r="T39" s="716">
        <v>74.538461538461533</v>
      </c>
      <c r="U39" s="715">
        <v>21</v>
      </c>
      <c r="V39" s="718"/>
      <c r="W39" s="718"/>
    </row>
    <row r="40" spans="1:23" ht="27" thickBot="1" x14ac:dyDescent="0.45">
      <c r="A40" s="869"/>
      <c r="B40" s="871"/>
      <c r="C40" s="872"/>
      <c r="D40" s="873"/>
      <c r="E40" s="714" t="s">
        <v>19</v>
      </c>
      <c r="F40" s="715">
        <v>85</v>
      </c>
      <c r="G40" s="715">
        <v>72</v>
      </c>
      <c r="H40" s="715">
        <v>70</v>
      </c>
      <c r="I40" s="715">
        <v>71</v>
      </c>
      <c r="J40" s="715">
        <v>72</v>
      </c>
      <c r="K40" s="715">
        <v>60</v>
      </c>
      <c r="L40" s="715">
        <v>69</v>
      </c>
      <c r="M40" s="715">
        <v>84</v>
      </c>
      <c r="N40" s="715">
        <v>59</v>
      </c>
      <c r="O40" s="715">
        <v>74</v>
      </c>
      <c r="P40" s="715">
        <v>81</v>
      </c>
      <c r="Q40" s="715">
        <v>89</v>
      </c>
      <c r="R40" s="715">
        <v>82</v>
      </c>
      <c r="S40" s="715">
        <v>968</v>
      </c>
      <c r="T40" s="716">
        <v>74.461538461538467</v>
      </c>
      <c r="U40" s="715">
        <v>17</v>
      </c>
      <c r="V40" s="718"/>
      <c r="W40" s="718"/>
    </row>
    <row r="41" spans="1:23" ht="27" thickBot="1" x14ac:dyDescent="0.45">
      <c r="A41" s="869"/>
      <c r="B41" s="871"/>
      <c r="C41" s="872"/>
      <c r="D41" s="873"/>
      <c r="E41" s="714" t="s">
        <v>13</v>
      </c>
      <c r="F41" s="715">
        <f>AVERAGE(F39:F40)</f>
        <v>89</v>
      </c>
      <c r="G41" s="715">
        <f t="shared" ref="G41:T41" si="10">AVERAGE(G39:G40)</f>
        <v>72.5</v>
      </c>
      <c r="H41" s="715">
        <f t="shared" si="10"/>
        <v>75</v>
      </c>
      <c r="I41" s="715">
        <f t="shared" si="10"/>
        <v>68.5</v>
      </c>
      <c r="J41" s="715">
        <f t="shared" si="10"/>
        <v>67.5</v>
      </c>
      <c r="K41" s="715">
        <f t="shared" si="10"/>
        <v>66</v>
      </c>
      <c r="L41" s="715">
        <f t="shared" si="10"/>
        <v>66.5</v>
      </c>
      <c r="M41" s="715">
        <f t="shared" si="10"/>
        <v>73.5</v>
      </c>
      <c r="N41" s="715">
        <f t="shared" si="10"/>
        <v>63</v>
      </c>
      <c r="O41" s="715">
        <f t="shared" si="10"/>
        <v>77</v>
      </c>
      <c r="P41" s="715">
        <f t="shared" si="10"/>
        <v>79.5</v>
      </c>
      <c r="Q41" s="715">
        <f t="shared" si="10"/>
        <v>86.5</v>
      </c>
      <c r="R41" s="715">
        <f t="shared" si="10"/>
        <v>84</v>
      </c>
      <c r="S41" s="715">
        <f t="shared" si="10"/>
        <v>968.5</v>
      </c>
      <c r="T41" s="715">
        <f t="shared" si="10"/>
        <v>74.5</v>
      </c>
      <c r="U41" s="715">
        <v>19</v>
      </c>
      <c r="V41" s="715"/>
      <c r="W41" s="715"/>
    </row>
    <row r="42" spans="1:23" ht="27" thickBot="1" x14ac:dyDescent="0.45">
      <c r="A42" s="869">
        <v>13</v>
      </c>
      <c r="B42" s="871"/>
      <c r="C42" s="872">
        <v>14</v>
      </c>
      <c r="D42" s="873" t="s">
        <v>20</v>
      </c>
      <c r="E42" s="714" t="s">
        <v>18</v>
      </c>
      <c r="F42" s="715">
        <v>79</v>
      </c>
      <c r="G42" s="715">
        <v>49</v>
      </c>
      <c r="H42" s="715">
        <v>100</v>
      </c>
      <c r="I42" s="715">
        <v>60</v>
      </c>
      <c r="J42" s="715">
        <v>57</v>
      </c>
      <c r="K42" s="715">
        <v>57</v>
      </c>
      <c r="L42" s="715">
        <v>51</v>
      </c>
      <c r="M42" s="715">
        <v>48</v>
      </c>
      <c r="N42" s="715">
        <v>52</v>
      </c>
      <c r="O42" s="715">
        <v>65</v>
      </c>
      <c r="P42" s="715">
        <v>64</v>
      </c>
      <c r="Q42" s="715">
        <v>65</v>
      </c>
      <c r="R42" s="715">
        <v>84</v>
      </c>
      <c r="S42" s="715">
        <v>831</v>
      </c>
      <c r="T42" s="716">
        <v>63.92307692307692</v>
      </c>
      <c r="U42" s="715">
        <v>32</v>
      </c>
      <c r="V42" s="718"/>
      <c r="W42" s="718"/>
    </row>
    <row r="43" spans="1:23" ht="27" thickBot="1" x14ac:dyDescent="0.45">
      <c r="A43" s="869"/>
      <c r="B43" s="871"/>
      <c r="C43" s="872"/>
      <c r="D43" s="873"/>
      <c r="E43" s="714" t="s">
        <v>19</v>
      </c>
      <c r="F43" s="715">
        <v>82</v>
      </c>
      <c r="G43" s="715">
        <v>55</v>
      </c>
      <c r="H43" s="715">
        <v>78</v>
      </c>
      <c r="I43" s="715">
        <v>62</v>
      </c>
      <c r="J43" s="715">
        <v>61</v>
      </c>
      <c r="K43" s="715">
        <v>53</v>
      </c>
      <c r="L43" s="715">
        <v>54</v>
      </c>
      <c r="M43" s="715">
        <v>55</v>
      </c>
      <c r="N43" s="715">
        <v>62</v>
      </c>
      <c r="O43" s="715">
        <v>76</v>
      </c>
      <c r="P43" s="715">
        <v>65</v>
      </c>
      <c r="Q43" s="715">
        <v>74</v>
      </c>
      <c r="R43" s="715">
        <v>76</v>
      </c>
      <c r="S43" s="715">
        <v>853</v>
      </c>
      <c r="T43" s="716">
        <v>65.615384615384613</v>
      </c>
      <c r="U43" s="715">
        <v>29</v>
      </c>
      <c r="V43" s="718"/>
      <c r="W43" s="718"/>
    </row>
    <row r="44" spans="1:23" ht="27" thickBot="1" x14ac:dyDescent="0.45">
      <c r="A44" s="869"/>
      <c r="B44" s="871"/>
      <c r="C44" s="872"/>
      <c r="D44" s="873"/>
      <c r="E44" s="714" t="s">
        <v>13</v>
      </c>
      <c r="F44" s="715">
        <f>AVERAGE(F42:F43)</f>
        <v>80.5</v>
      </c>
      <c r="G44" s="715">
        <f t="shared" ref="G44:T44" si="11">AVERAGE(G42:G43)</f>
        <v>52</v>
      </c>
      <c r="H44" s="715">
        <f t="shared" si="11"/>
        <v>89</v>
      </c>
      <c r="I44" s="715">
        <f t="shared" si="11"/>
        <v>61</v>
      </c>
      <c r="J44" s="715">
        <f t="shared" si="11"/>
        <v>59</v>
      </c>
      <c r="K44" s="715">
        <f t="shared" si="11"/>
        <v>55</v>
      </c>
      <c r="L44" s="715">
        <f t="shared" si="11"/>
        <v>52.5</v>
      </c>
      <c r="M44" s="715">
        <f t="shared" si="11"/>
        <v>51.5</v>
      </c>
      <c r="N44" s="715">
        <f t="shared" si="11"/>
        <v>57</v>
      </c>
      <c r="O44" s="715">
        <f t="shared" si="11"/>
        <v>70.5</v>
      </c>
      <c r="P44" s="715">
        <f t="shared" si="11"/>
        <v>64.5</v>
      </c>
      <c r="Q44" s="715">
        <f t="shared" si="11"/>
        <v>69.5</v>
      </c>
      <c r="R44" s="715">
        <f t="shared" si="11"/>
        <v>80</v>
      </c>
      <c r="S44" s="715">
        <f t="shared" si="11"/>
        <v>842</v>
      </c>
      <c r="T44" s="715">
        <f t="shared" si="11"/>
        <v>64.769230769230774</v>
      </c>
      <c r="U44" s="715">
        <v>32</v>
      </c>
      <c r="V44" s="715"/>
      <c r="W44" s="715"/>
    </row>
    <row r="45" spans="1:23" ht="27" thickBot="1" x14ac:dyDescent="0.45">
      <c r="A45" s="869">
        <v>14</v>
      </c>
      <c r="B45" s="871"/>
      <c r="C45" s="872">
        <v>15</v>
      </c>
      <c r="D45" s="873" t="s">
        <v>20</v>
      </c>
      <c r="E45" s="714" t="s">
        <v>18</v>
      </c>
      <c r="F45" s="715">
        <v>80</v>
      </c>
      <c r="G45" s="715">
        <v>51</v>
      </c>
      <c r="H45" s="715">
        <v>80</v>
      </c>
      <c r="I45" s="715">
        <v>48</v>
      </c>
      <c r="J45" s="715">
        <v>60</v>
      </c>
      <c r="K45" s="715">
        <v>61</v>
      </c>
      <c r="L45" s="715">
        <v>50</v>
      </c>
      <c r="M45" s="715">
        <v>54</v>
      </c>
      <c r="N45" s="715">
        <v>42</v>
      </c>
      <c r="O45" s="715">
        <v>54</v>
      </c>
      <c r="P45" s="715">
        <v>61</v>
      </c>
      <c r="Q45" s="715">
        <v>68</v>
      </c>
      <c r="R45" s="715">
        <v>78</v>
      </c>
      <c r="S45" s="715">
        <v>787</v>
      </c>
      <c r="T45" s="716">
        <v>60.53846153846154</v>
      </c>
      <c r="U45" s="715">
        <v>43</v>
      </c>
      <c r="V45" s="718"/>
      <c r="W45" s="718"/>
    </row>
    <row r="46" spans="1:23" ht="27" thickBot="1" x14ac:dyDescent="0.45">
      <c r="A46" s="869"/>
      <c r="B46" s="871"/>
      <c r="C46" s="872"/>
      <c r="D46" s="873"/>
      <c r="E46" s="714" t="s">
        <v>19</v>
      </c>
      <c r="F46" s="715">
        <v>80</v>
      </c>
      <c r="G46" s="715">
        <v>56</v>
      </c>
      <c r="H46" s="715">
        <v>63</v>
      </c>
      <c r="I46" s="715">
        <v>61</v>
      </c>
      <c r="J46" s="715">
        <v>53</v>
      </c>
      <c r="K46" s="715">
        <v>47</v>
      </c>
      <c r="L46" s="715">
        <v>54</v>
      </c>
      <c r="M46" s="715">
        <v>58</v>
      </c>
      <c r="N46" s="715">
        <v>44</v>
      </c>
      <c r="O46" s="715">
        <v>64</v>
      </c>
      <c r="P46" s="715">
        <v>74</v>
      </c>
      <c r="Q46" s="715">
        <v>70</v>
      </c>
      <c r="R46" s="715">
        <v>87</v>
      </c>
      <c r="S46" s="715">
        <v>811</v>
      </c>
      <c r="T46" s="716">
        <v>62.384615384615387</v>
      </c>
      <c r="U46" s="715">
        <v>40</v>
      </c>
      <c r="V46" s="718"/>
      <c r="W46" s="718"/>
    </row>
    <row r="47" spans="1:23" ht="27" thickBot="1" x14ac:dyDescent="0.45">
      <c r="A47" s="869"/>
      <c r="B47" s="871"/>
      <c r="C47" s="872"/>
      <c r="D47" s="873"/>
      <c r="E47" s="714" t="s">
        <v>13</v>
      </c>
      <c r="F47" s="715">
        <f>AVERAGE(F45:F46)</f>
        <v>80</v>
      </c>
      <c r="G47" s="715">
        <f t="shared" ref="G47:T47" si="12">AVERAGE(G45:G46)</f>
        <v>53.5</v>
      </c>
      <c r="H47" s="715">
        <f t="shared" si="12"/>
        <v>71.5</v>
      </c>
      <c r="I47" s="715">
        <f t="shared" si="12"/>
        <v>54.5</v>
      </c>
      <c r="J47" s="715">
        <f t="shared" si="12"/>
        <v>56.5</v>
      </c>
      <c r="K47" s="715">
        <f t="shared" si="12"/>
        <v>54</v>
      </c>
      <c r="L47" s="715">
        <f t="shared" si="12"/>
        <v>52</v>
      </c>
      <c r="M47" s="715">
        <f t="shared" si="12"/>
        <v>56</v>
      </c>
      <c r="N47" s="715">
        <f t="shared" si="12"/>
        <v>43</v>
      </c>
      <c r="O47" s="715">
        <f t="shared" si="12"/>
        <v>59</v>
      </c>
      <c r="P47" s="715">
        <f t="shared" si="12"/>
        <v>67.5</v>
      </c>
      <c r="Q47" s="715">
        <f t="shared" si="12"/>
        <v>69</v>
      </c>
      <c r="R47" s="715">
        <f t="shared" si="12"/>
        <v>82.5</v>
      </c>
      <c r="S47" s="715">
        <f t="shared" si="12"/>
        <v>799</v>
      </c>
      <c r="T47" s="715">
        <f t="shared" si="12"/>
        <v>61.461538461538467</v>
      </c>
      <c r="U47" s="715">
        <v>41</v>
      </c>
      <c r="V47" s="715"/>
      <c r="W47" s="715"/>
    </row>
    <row r="48" spans="1:23" ht="27" thickBot="1" x14ac:dyDescent="0.45">
      <c r="A48" s="869">
        <v>15</v>
      </c>
      <c r="B48" s="871"/>
      <c r="C48" s="872">
        <v>16</v>
      </c>
      <c r="D48" s="873" t="s">
        <v>20</v>
      </c>
      <c r="E48" s="714" t="s">
        <v>18</v>
      </c>
      <c r="F48" s="715">
        <v>79</v>
      </c>
      <c r="G48" s="715">
        <v>51</v>
      </c>
      <c r="H48" s="715">
        <v>78</v>
      </c>
      <c r="I48" s="719">
        <v>43</v>
      </c>
      <c r="J48" s="715">
        <v>48</v>
      </c>
      <c r="K48" s="715">
        <v>46</v>
      </c>
      <c r="L48" s="715">
        <v>43</v>
      </c>
      <c r="M48" s="715">
        <v>45</v>
      </c>
      <c r="N48" s="715">
        <v>51</v>
      </c>
      <c r="O48" s="715">
        <v>48</v>
      </c>
      <c r="P48" s="715">
        <v>56</v>
      </c>
      <c r="Q48" s="715">
        <v>74</v>
      </c>
      <c r="R48" s="715">
        <v>79</v>
      </c>
      <c r="S48" s="715">
        <v>741</v>
      </c>
      <c r="T48" s="716">
        <v>57</v>
      </c>
      <c r="U48" s="715">
        <v>48</v>
      </c>
      <c r="V48" s="718"/>
      <c r="W48" s="718"/>
    </row>
    <row r="49" spans="1:23" ht="27" thickBot="1" x14ac:dyDescent="0.45">
      <c r="A49" s="869"/>
      <c r="B49" s="871"/>
      <c r="C49" s="872"/>
      <c r="D49" s="873"/>
      <c r="E49" s="714" t="s">
        <v>19</v>
      </c>
      <c r="F49" s="715">
        <v>75</v>
      </c>
      <c r="G49" s="715">
        <v>53</v>
      </c>
      <c r="H49" s="715">
        <v>62</v>
      </c>
      <c r="I49" s="719">
        <v>49</v>
      </c>
      <c r="J49" s="715">
        <v>56</v>
      </c>
      <c r="K49" s="715">
        <v>55</v>
      </c>
      <c r="L49" s="715">
        <v>43</v>
      </c>
      <c r="M49" s="715">
        <v>55</v>
      </c>
      <c r="N49" s="715">
        <v>52</v>
      </c>
      <c r="O49" s="715">
        <v>71</v>
      </c>
      <c r="P49" s="715">
        <v>65</v>
      </c>
      <c r="Q49" s="715">
        <v>78</v>
      </c>
      <c r="R49" s="715">
        <v>76</v>
      </c>
      <c r="S49" s="715">
        <v>790</v>
      </c>
      <c r="T49" s="716">
        <v>60.769230769230766</v>
      </c>
      <c r="U49" s="715">
        <v>43</v>
      </c>
      <c r="V49" s="718"/>
      <c r="W49" s="718"/>
    </row>
    <row r="50" spans="1:23" ht="27" thickBot="1" x14ac:dyDescent="0.45">
      <c r="A50" s="869"/>
      <c r="B50" s="871"/>
      <c r="C50" s="872"/>
      <c r="D50" s="873"/>
      <c r="E50" s="714" t="s">
        <v>13</v>
      </c>
      <c r="F50" s="715">
        <f>AVERAGE(F48:F49)</f>
        <v>77</v>
      </c>
      <c r="G50" s="715">
        <f t="shared" ref="G50:T50" si="13">AVERAGE(G48:G49)</f>
        <v>52</v>
      </c>
      <c r="H50" s="715">
        <f t="shared" si="13"/>
        <v>70</v>
      </c>
      <c r="I50" s="715">
        <f t="shared" si="13"/>
        <v>46</v>
      </c>
      <c r="J50" s="715">
        <f t="shared" si="13"/>
        <v>52</v>
      </c>
      <c r="K50" s="715">
        <f t="shared" si="13"/>
        <v>50.5</v>
      </c>
      <c r="L50" s="715">
        <f t="shared" si="13"/>
        <v>43</v>
      </c>
      <c r="M50" s="715">
        <f t="shared" si="13"/>
        <v>50</v>
      </c>
      <c r="N50" s="715">
        <f t="shared" si="13"/>
        <v>51.5</v>
      </c>
      <c r="O50" s="715">
        <f t="shared" si="13"/>
        <v>59.5</v>
      </c>
      <c r="P50" s="715">
        <f t="shared" si="13"/>
        <v>60.5</v>
      </c>
      <c r="Q50" s="715">
        <f t="shared" si="13"/>
        <v>76</v>
      </c>
      <c r="R50" s="715">
        <f t="shared" si="13"/>
        <v>77.5</v>
      </c>
      <c r="S50" s="715">
        <f t="shared" si="13"/>
        <v>765.5</v>
      </c>
      <c r="T50" s="715">
        <f t="shared" si="13"/>
        <v>58.884615384615387</v>
      </c>
      <c r="U50" s="715">
        <v>47</v>
      </c>
      <c r="V50" s="715"/>
      <c r="W50" s="715"/>
    </row>
    <row r="51" spans="1:23" ht="27" thickBot="1" x14ac:dyDescent="0.45">
      <c r="A51" s="869">
        <v>16</v>
      </c>
      <c r="B51" s="871"/>
      <c r="C51" s="872">
        <v>16</v>
      </c>
      <c r="D51" s="873" t="s">
        <v>20</v>
      </c>
      <c r="E51" s="714" t="s">
        <v>18</v>
      </c>
      <c r="F51" s="715">
        <v>86</v>
      </c>
      <c r="G51" s="715">
        <v>71</v>
      </c>
      <c r="H51" s="715">
        <v>85</v>
      </c>
      <c r="I51" s="715">
        <v>80</v>
      </c>
      <c r="J51" s="715">
        <v>71</v>
      </c>
      <c r="K51" s="715">
        <v>74</v>
      </c>
      <c r="L51" s="715">
        <v>65</v>
      </c>
      <c r="M51" s="715">
        <v>68</v>
      </c>
      <c r="N51" s="715">
        <v>74</v>
      </c>
      <c r="O51" s="715">
        <v>75</v>
      </c>
      <c r="P51" s="715">
        <v>84</v>
      </c>
      <c r="Q51" s="715">
        <v>82</v>
      </c>
      <c r="R51" s="715">
        <v>90</v>
      </c>
      <c r="S51" s="715">
        <v>1005</v>
      </c>
      <c r="T51" s="716">
        <v>77.307692307692307</v>
      </c>
      <c r="U51" s="715">
        <v>15</v>
      </c>
      <c r="V51" s="718"/>
      <c r="W51" s="718"/>
    </row>
    <row r="52" spans="1:23" ht="27" thickBot="1" x14ac:dyDescent="0.45">
      <c r="A52" s="869"/>
      <c r="B52" s="871"/>
      <c r="C52" s="872"/>
      <c r="D52" s="873"/>
      <c r="E52" s="714" t="s">
        <v>19</v>
      </c>
      <c r="F52" s="715">
        <v>89</v>
      </c>
      <c r="G52" s="715">
        <v>70</v>
      </c>
      <c r="H52" s="715">
        <v>79</v>
      </c>
      <c r="I52" s="715">
        <v>87</v>
      </c>
      <c r="J52" s="715">
        <v>80</v>
      </c>
      <c r="K52" s="715">
        <v>67</v>
      </c>
      <c r="L52" s="715">
        <v>72</v>
      </c>
      <c r="M52" s="715">
        <v>78</v>
      </c>
      <c r="N52" s="715">
        <v>53</v>
      </c>
      <c r="O52" s="715">
        <v>78</v>
      </c>
      <c r="P52" s="715">
        <v>85</v>
      </c>
      <c r="Q52" s="715">
        <v>77</v>
      </c>
      <c r="R52" s="715">
        <v>92</v>
      </c>
      <c r="S52" s="715">
        <v>1007</v>
      </c>
      <c r="T52" s="716">
        <v>77.461538461538467</v>
      </c>
      <c r="U52" s="715">
        <v>16</v>
      </c>
      <c r="V52" s="718"/>
      <c r="W52" s="718"/>
    </row>
    <row r="53" spans="1:23" ht="27" thickBot="1" x14ac:dyDescent="0.45">
      <c r="A53" s="869"/>
      <c r="B53" s="871"/>
      <c r="C53" s="872"/>
      <c r="D53" s="873"/>
      <c r="E53" s="714" t="s">
        <v>13</v>
      </c>
      <c r="F53" s="715">
        <f>AVERAGE(F51:F52)</f>
        <v>87.5</v>
      </c>
      <c r="G53" s="715">
        <f t="shared" ref="G53:T53" si="14">AVERAGE(G51:G52)</f>
        <v>70.5</v>
      </c>
      <c r="H53" s="715">
        <f t="shared" si="14"/>
        <v>82</v>
      </c>
      <c r="I53" s="715">
        <f t="shared" si="14"/>
        <v>83.5</v>
      </c>
      <c r="J53" s="715">
        <f t="shared" si="14"/>
        <v>75.5</v>
      </c>
      <c r="K53" s="715">
        <f t="shared" si="14"/>
        <v>70.5</v>
      </c>
      <c r="L53" s="715">
        <f t="shared" si="14"/>
        <v>68.5</v>
      </c>
      <c r="M53" s="715">
        <f t="shared" si="14"/>
        <v>73</v>
      </c>
      <c r="N53" s="715">
        <f t="shared" si="14"/>
        <v>63.5</v>
      </c>
      <c r="O53" s="715">
        <f t="shared" si="14"/>
        <v>76.5</v>
      </c>
      <c r="P53" s="715">
        <f t="shared" si="14"/>
        <v>84.5</v>
      </c>
      <c r="Q53" s="715">
        <f t="shared" si="14"/>
        <v>79.5</v>
      </c>
      <c r="R53" s="715">
        <f t="shared" si="14"/>
        <v>91</v>
      </c>
      <c r="S53" s="715">
        <f t="shared" si="14"/>
        <v>1006</v>
      </c>
      <c r="T53" s="715">
        <f t="shared" si="14"/>
        <v>77.384615384615387</v>
      </c>
      <c r="U53" s="715">
        <v>15</v>
      </c>
      <c r="V53" s="715"/>
      <c r="W53" s="715"/>
    </row>
    <row r="54" spans="1:23" ht="27" thickBot="1" x14ac:dyDescent="0.45">
      <c r="A54" s="869">
        <v>17</v>
      </c>
      <c r="B54" s="871"/>
      <c r="C54" s="872">
        <v>14</v>
      </c>
      <c r="D54" s="873" t="s">
        <v>20</v>
      </c>
      <c r="E54" s="714" t="s">
        <v>18</v>
      </c>
      <c r="F54" s="715">
        <v>78</v>
      </c>
      <c r="G54" s="715">
        <v>49</v>
      </c>
      <c r="H54" s="715">
        <v>73</v>
      </c>
      <c r="I54" s="715">
        <v>59</v>
      </c>
      <c r="J54" s="715">
        <v>50</v>
      </c>
      <c r="K54" s="715">
        <v>54</v>
      </c>
      <c r="L54" s="715">
        <v>51</v>
      </c>
      <c r="M54" s="715">
        <v>50</v>
      </c>
      <c r="N54" s="715">
        <v>41</v>
      </c>
      <c r="O54" s="715">
        <v>52</v>
      </c>
      <c r="P54" s="715">
        <v>40</v>
      </c>
      <c r="Q54" s="715">
        <v>61</v>
      </c>
      <c r="R54" s="715">
        <v>69</v>
      </c>
      <c r="S54" s="715">
        <v>727</v>
      </c>
      <c r="T54" s="716">
        <v>55.92307692307692</v>
      </c>
      <c r="U54" s="715">
        <v>49</v>
      </c>
      <c r="V54" s="718"/>
      <c r="W54" s="718"/>
    </row>
    <row r="55" spans="1:23" ht="27" thickBot="1" x14ac:dyDescent="0.45">
      <c r="A55" s="869"/>
      <c r="B55" s="871"/>
      <c r="C55" s="872"/>
      <c r="D55" s="873"/>
      <c r="E55" s="714" t="s">
        <v>19</v>
      </c>
      <c r="F55" s="715">
        <v>76</v>
      </c>
      <c r="G55" s="715">
        <v>55</v>
      </c>
      <c r="H55" s="715">
        <v>65</v>
      </c>
      <c r="I55" s="715">
        <v>67</v>
      </c>
      <c r="J55" s="715">
        <v>39</v>
      </c>
      <c r="K55" s="715">
        <v>59</v>
      </c>
      <c r="L55" s="715">
        <v>52</v>
      </c>
      <c r="M55" s="715">
        <v>59</v>
      </c>
      <c r="N55" s="715">
        <v>43</v>
      </c>
      <c r="O55" s="715">
        <v>51</v>
      </c>
      <c r="P55" s="715">
        <v>40</v>
      </c>
      <c r="Q55" s="715">
        <v>75</v>
      </c>
      <c r="R55" s="715">
        <v>78</v>
      </c>
      <c r="S55" s="715">
        <v>759</v>
      </c>
      <c r="T55" s="716">
        <v>58.384615384615387</v>
      </c>
      <c r="U55" s="715">
        <v>46</v>
      </c>
      <c r="V55" s="718"/>
      <c r="W55" s="718"/>
    </row>
    <row r="56" spans="1:23" ht="27" thickBot="1" x14ac:dyDescent="0.45">
      <c r="A56" s="869"/>
      <c r="B56" s="871"/>
      <c r="C56" s="872"/>
      <c r="D56" s="873"/>
      <c r="E56" s="714" t="s">
        <v>13</v>
      </c>
      <c r="F56" s="715">
        <f>AVERAGE(F54:F55)</f>
        <v>77</v>
      </c>
      <c r="G56" s="715">
        <f t="shared" ref="G56:T56" si="15">AVERAGE(G54:G55)</f>
        <v>52</v>
      </c>
      <c r="H56" s="715">
        <f t="shared" si="15"/>
        <v>69</v>
      </c>
      <c r="I56" s="715">
        <f t="shared" si="15"/>
        <v>63</v>
      </c>
      <c r="J56" s="715">
        <f t="shared" si="15"/>
        <v>44.5</v>
      </c>
      <c r="K56" s="715">
        <f t="shared" si="15"/>
        <v>56.5</v>
      </c>
      <c r="L56" s="715">
        <f t="shared" si="15"/>
        <v>51.5</v>
      </c>
      <c r="M56" s="715">
        <f t="shared" si="15"/>
        <v>54.5</v>
      </c>
      <c r="N56" s="715">
        <f t="shared" si="15"/>
        <v>42</v>
      </c>
      <c r="O56" s="715">
        <f t="shared" si="15"/>
        <v>51.5</v>
      </c>
      <c r="P56" s="715">
        <f t="shared" si="15"/>
        <v>40</v>
      </c>
      <c r="Q56" s="715">
        <f t="shared" si="15"/>
        <v>68</v>
      </c>
      <c r="R56" s="715">
        <f t="shared" si="15"/>
        <v>73.5</v>
      </c>
      <c r="S56" s="715">
        <f t="shared" si="15"/>
        <v>743</v>
      </c>
      <c r="T56" s="715">
        <f t="shared" si="15"/>
        <v>57.153846153846153</v>
      </c>
      <c r="U56" s="715">
        <v>48</v>
      </c>
      <c r="V56" s="715"/>
      <c r="W56" s="715"/>
    </row>
    <row r="57" spans="1:23" ht="27" thickBot="1" x14ac:dyDescent="0.45">
      <c r="A57" s="869">
        <v>18</v>
      </c>
      <c r="B57" s="871"/>
      <c r="C57" s="872">
        <v>14</v>
      </c>
      <c r="D57" s="873" t="s">
        <v>17</v>
      </c>
      <c r="E57" s="714" t="s">
        <v>18</v>
      </c>
      <c r="F57" s="715">
        <v>71</v>
      </c>
      <c r="G57" s="715">
        <v>59</v>
      </c>
      <c r="H57" s="715">
        <v>66</v>
      </c>
      <c r="I57" s="719">
        <v>49</v>
      </c>
      <c r="J57" s="715">
        <v>52</v>
      </c>
      <c r="K57" s="715">
        <v>54</v>
      </c>
      <c r="L57" s="715">
        <v>43</v>
      </c>
      <c r="M57" s="715">
        <v>48</v>
      </c>
      <c r="N57" s="715">
        <v>38</v>
      </c>
      <c r="O57" s="715">
        <v>61</v>
      </c>
      <c r="P57" s="715">
        <v>63</v>
      </c>
      <c r="Q57" s="715">
        <v>73</v>
      </c>
      <c r="R57" s="715">
        <v>72</v>
      </c>
      <c r="S57" s="715">
        <v>749</v>
      </c>
      <c r="T57" s="716">
        <v>57.615384615384613</v>
      </c>
      <c r="U57" s="715">
        <v>47</v>
      </c>
      <c r="V57" s="718"/>
      <c r="W57" s="718"/>
    </row>
    <row r="58" spans="1:23" ht="27" thickBot="1" x14ac:dyDescent="0.45">
      <c r="A58" s="869"/>
      <c r="B58" s="871"/>
      <c r="C58" s="872"/>
      <c r="D58" s="873"/>
      <c r="E58" s="714" t="s">
        <v>19</v>
      </c>
      <c r="F58" s="715">
        <v>78</v>
      </c>
      <c r="G58" s="715">
        <v>59</v>
      </c>
      <c r="H58" s="715">
        <v>75</v>
      </c>
      <c r="I58" s="719">
        <v>59</v>
      </c>
      <c r="J58" s="715">
        <v>50</v>
      </c>
      <c r="K58" s="715">
        <v>56</v>
      </c>
      <c r="L58" s="715">
        <v>57</v>
      </c>
      <c r="M58" s="715">
        <v>58</v>
      </c>
      <c r="N58" s="715">
        <v>41</v>
      </c>
      <c r="O58" s="715">
        <v>68</v>
      </c>
      <c r="P58" s="715">
        <v>59</v>
      </c>
      <c r="Q58" s="715">
        <v>70</v>
      </c>
      <c r="R58" s="715">
        <v>65</v>
      </c>
      <c r="S58" s="715">
        <v>795</v>
      </c>
      <c r="T58" s="716">
        <v>61.153846153846153</v>
      </c>
      <c r="U58" s="715">
        <v>42</v>
      </c>
      <c r="V58" s="718"/>
      <c r="W58" s="718"/>
    </row>
    <row r="59" spans="1:23" ht="27" thickBot="1" x14ac:dyDescent="0.45">
      <c r="A59" s="869"/>
      <c r="B59" s="871"/>
      <c r="C59" s="872"/>
      <c r="D59" s="873"/>
      <c r="E59" s="714" t="s">
        <v>13</v>
      </c>
      <c r="F59" s="715">
        <f>AVERAGE(F57:F58)</f>
        <v>74.5</v>
      </c>
      <c r="G59" s="715">
        <f t="shared" ref="G59:T59" si="16">AVERAGE(G57:G58)</f>
        <v>59</v>
      </c>
      <c r="H59" s="715">
        <f t="shared" si="16"/>
        <v>70.5</v>
      </c>
      <c r="I59" s="715">
        <f t="shared" si="16"/>
        <v>54</v>
      </c>
      <c r="J59" s="715">
        <f t="shared" si="16"/>
        <v>51</v>
      </c>
      <c r="K59" s="715">
        <f t="shared" si="16"/>
        <v>55</v>
      </c>
      <c r="L59" s="715">
        <f t="shared" si="16"/>
        <v>50</v>
      </c>
      <c r="M59" s="715">
        <f t="shared" si="16"/>
        <v>53</v>
      </c>
      <c r="N59" s="715">
        <f t="shared" si="16"/>
        <v>39.5</v>
      </c>
      <c r="O59" s="715">
        <f t="shared" si="16"/>
        <v>64.5</v>
      </c>
      <c r="P59" s="715">
        <f t="shared" si="16"/>
        <v>61</v>
      </c>
      <c r="Q59" s="715">
        <f t="shared" si="16"/>
        <v>71.5</v>
      </c>
      <c r="R59" s="715">
        <f t="shared" si="16"/>
        <v>68.5</v>
      </c>
      <c r="S59" s="715">
        <f t="shared" si="16"/>
        <v>772</v>
      </c>
      <c r="T59" s="715">
        <f t="shared" si="16"/>
        <v>59.384615384615387</v>
      </c>
      <c r="U59" s="715">
        <v>46</v>
      </c>
      <c r="V59" s="715"/>
      <c r="W59" s="715"/>
    </row>
    <row r="60" spans="1:23" ht="27" thickBot="1" x14ac:dyDescent="0.45">
      <c r="A60" s="869">
        <v>19</v>
      </c>
      <c r="B60" s="871"/>
      <c r="C60" s="872">
        <v>15</v>
      </c>
      <c r="D60" s="873" t="s">
        <v>20</v>
      </c>
      <c r="E60" s="714" t="s">
        <v>18</v>
      </c>
      <c r="F60" s="715">
        <v>77</v>
      </c>
      <c r="G60" s="715">
        <v>49</v>
      </c>
      <c r="H60" s="715">
        <v>79</v>
      </c>
      <c r="I60" s="715">
        <v>48</v>
      </c>
      <c r="J60" s="715">
        <v>53</v>
      </c>
      <c r="K60" s="715">
        <v>52</v>
      </c>
      <c r="L60" s="715">
        <v>44</v>
      </c>
      <c r="M60" s="715">
        <v>47</v>
      </c>
      <c r="N60" s="715">
        <v>41</v>
      </c>
      <c r="O60" s="715">
        <v>54</v>
      </c>
      <c r="P60" s="715">
        <v>61</v>
      </c>
      <c r="Q60" s="715">
        <v>67</v>
      </c>
      <c r="R60" s="715">
        <v>83</v>
      </c>
      <c r="S60" s="715">
        <v>755</v>
      </c>
      <c r="T60" s="716">
        <v>58.07692307692308</v>
      </c>
      <c r="U60" s="715">
        <v>46</v>
      </c>
      <c r="V60" s="718"/>
      <c r="W60" s="718"/>
    </row>
    <row r="61" spans="1:23" ht="27" thickBot="1" x14ac:dyDescent="0.45">
      <c r="A61" s="869"/>
      <c r="B61" s="871"/>
      <c r="C61" s="872"/>
      <c r="D61" s="873"/>
      <c r="E61" s="714" t="s">
        <v>19</v>
      </c>
      <c r="F61" s="715">
        <v>77</v>
      </c>
      <c r="G61" s="715">
        <v>50</v>
      </c>
      <c r="H61" s="715">
        <v>59</v>
      </c>
      <c r="I61" s="715">
        <v>50</v>
      </c>
      <c r="J61" s="715">
        <v>57</v>
      </c>
      <c r="K61" s="715">
        <v>50</v>
      </c>
      <c r="L61" s="715">
        <v>41</v>
      </c>
      <c r="M61" s="715">
        <v>44</v>
      </c>
      <c r="N61" s="715">
        <v>46</v>
      </c>
      <c r="O61" s="715">
        <v>56</v>
      </c>
      <c r="P61" s="715">
        <v>58</v>
      </c>
      <c r="Q61" s="715">
        <v>65</v>
      </c>
      <c r="R61" s="715">
        <v>75</v>
      </c>
      <c r="S61" s="715">
        <v>728</v>
      </c>
      <c r="T61" s="716">
        <v>56</v>
      </c>
      <c r="U61" s="715">
        <v>48</v>
      </c>
      <c r="V61" s="718"/>
      <c r="W61" s="718"/>
    </row>
    <row r="62" spans="1:23" ht="27" thickBot="1" x14ac:dyDescent="0.45">
      <c r="A62" s="869"/>
      <c r="B62" s="871"/>
      <c r="C62" s="872"/>
      <c r="D62" s="873"/>
      <c r="E62" s="714" t="s">
        <v>13</v>
      </c>
      <c r="F62" s="715">
        <f>AVERAGE(F60:F61)</f>
        <v>77</v>
      </c>
      <c r="G62" s="715">
        <f t="shared" ref="G62:T62" si="17">AVERAGE(G60:G61)</f>
        <v>49.5</v>
      </c>
      <c r="H62" s="715">
        <f t="shared" si="17"/>
        <v>69</v>
      </c>
      <c r="I62" s="715">
        <f t="shared" si="17"/>
        <v>49</v>
      </c>
      <c r="J62" s="715">
        <f t="shared" si="17"/>
        <v>55</v>
      </c>
      <c r="K62" s="715">
        <f t="shared" si="17"/>
        <v>51</v>
      </c>
      <c r="L62" s="715">
        <f t="shared" si="17"/>
        <v>42.5</v>
      </c>
      <c r="M62" s="715">
        <f t="shared" si="17"/>
        <v>45.5</v>
      </c>
      <c r="N62" s="715">
        <f t="shared" si="17"/>
        <v>43.5</v>
      </c>
      <c r="O62" s="715">
        <f t="shared" si="17"/>
        <v>55</v>
      </c>
      <c r="P62" s="715">
        <f t="shared" si="17"/>
        <v>59.5</v>
      </c>
      <c r="Q62" s="715">
        <f t="shared" si="17"/>
        <v>66</v>
      </c>
      <c r="R62" s="715">
        <f t="shared" si="17"/>
        <v>79</v>
      </c>
      <c r="S62" s="715">
        <f t="shared" si="17"/>
        <v>741.5</v>
      </c>
      <c r="T62" s="715">
        <f t="shared" si="17"/>
        <v>57.03846153846154</v>
      </c>
      <c r="U62" s="715">
        <v>49</v>
      </c>
      <c r="V62" s="715"/>
      <c r="W62" s="715"/>
    </row>
    <row r="63" spans="1:23" ht="27" thickBot="1" x14ac:dyDescent="0.45">
      <c r="A63" s="869">
        <v>20</v>
      </c>
      <c r="B63" s="871"/>
      <c r="C63" s="872">
        <v>17</v>
      </c>
      <c r="D63" s="873" t="s">
        <v>17</v>
      </c>
      <c r="E63" s="714" t="s">
        <v>18</v>
      </c>
      <c r="F63" s="715">
        <v>78</v>
      </c>
      <c r="G63" s="715">
        <v>62</v>
      </c>
      <c r="H63" s="715">
        <v>69</v>
      </c>
      <c r="I63" s="715">
        <v>51</v>
      </c>
      <c r="J63" s="715">
        <v>69</v>
      </c>
      <c r="K63" s="715">
        <v>73</v>
      </c>
      <c r="L63" s="715">
        <v>60</v>
      </c>
      <c r="M63" s="715">
        <v>65</v>
      </c>
      <c r="N63" s="715">
        <v>69</v>
      </c>
      <c r="O63" s="715">
        <v>74</v>
      </c>
      <c r="P63" s="715">
        <v>78</v>
      </c>
      <c r="Q63" s="715">
        <v>80</v>
      </c>
      <c r="R63" s="715">
        <v>84</v>
      </c>
      <c r="S63" s="715">
        <v>912</v>
      </c>
      <c r="T63" s="716">
        <v>70.15384615384616</v>
      </c>
      <c r="U63" s="715">
        <v>25</v>
      </c>
      <c r="V63" s="718"/>
      <c r="W63" s="718"/>
    </row>
    <row r="64" spans="1:23" ht="27" thickBot="1" x14ac:dyDescent="0.45">
      <c r="A64" s="869"/>
      <c r="B64" s="871"/>
      <c r="C64" s="872"/>
      <c r="D64" s="873"/>
      <c r="E64" s="714" t="s">
        <v>19</v>
      </c>
      <c r="F64" s="715">
        <v>78</v>
      </c>
      <c r="G64" s="715">
        <v>49</v>
      </c>
      <c r="H64" s="715">
        <v>51</v>
      </c>
      <c r="I64" s="715">
        <v>67</v>
      </c>
      <c r="J64" s="715">
        <v>52</v>
      </c>
      <c r="K64" s="715">
        <v>52</v>
      </c>
      <c r="L64" s="715">
        <v>61</v>
      </c>
      <c r="M64" s="715">
        <v>64</v>
      </c>
      <c r="N64" s="715">
        <v>50</v>
      </c>
      <c r="O64" s="715">
        <v>71</v>
      </c>
      <c r="P64" s="715">
        <v>70</v>
      </c>
      <c r="Q64" s="715">
        <v>77</v>
      </c>
      <c r="R64" s="715">
        <v>81</v>
      </c>
      <c r="S64" s="715">
        <v>823</v>
      </c>
      <c r="T64" s="716">
        <v>63.307692307692307</v>
      </c>
      <c r="U64" s="715">
        <v>37</v>
      </c>
      <c r="V64" s="718"/>
      <c r="W64" s="718"/>
    </row>
    <row r="65" spans="1:23" ht="27" thickBot="1" x14ac:dyDescent="0.45">
      <c r="A65" s="869"/>
      <c r="B65" s="871"/>
      <c r="C65" s="872"/>
      <c r="D65" s="873"/>
      <c r="E65" s="714" t="s">
        <v>13</v>
      </c>
      <c r="F65" s="715">
        <f>AVERAGE(F63:F64)</f>
        <v>78</v>
      </c>
      <c r="G65" s="715">
        <f t="shared" ref="G65:T65" si="18">AVERAGE(G63:G64)</f>
        <v>55.5</v>
      </c>
      <c r="H65" s="715">
        <f t="shared" si="18"/>
        <v>60</v>
      </c>
      <c r="I65" s="715">
        <f t="shared" si="18"/>
        <v>59</v>
      </c>
      <c r="J65" s="715">
        <f t="shared" si="18"/>
        <v>60.5</v>
      </c>
      <c r="K65" s="715">
        <f t="shared" si="18"/>
        <v>62.5</v>
      </c>
      <c r="L65" s="715">
        <f t="shared" si="18"/>
        <v>60.5</v>
      </c>
      <c r="M65" s="715">
        <f t="shared" si="18"/>
        <v>64.5</v>
      </c>
      <c r="N65" s="715">
        <f t="shared" si="18"/>
        <v>59.5</v>
      </c>
      <c r="O65" s="715">
        <f t="shared" si="18"/>
        <v>72.5</v>
      </c>
      <c r="P65" s="715">
        <f t="shared" si="18"/>
        <v>74</v>
      </c>
      <c r="Q65" s="715">
        <f t="shared" si="18"/>
        <v>78.5</v>
      </c>
      <c r="R65" s="715">
        <f t="shared" si="18"/>
        <v>82.5</v>
      </c>
      <c r="S65" s="715">
        <f t="shared" si="18"/>
        <v>867.5</v>
      </c>
      <c r="T65" s="715">
        <f t="shared" si="18"/>
        <v>66.730769230769226</v>
      </c>
      <c r="U65" s="715">
        <v>28</v>
      </c>
      <c r="V65" s="715"/>
      <c r="W65" s="715"/>
    </row>
    <row r="66" spans="1:23" ht="27" thickBot="1" x14ac:dyDescent="0.45">
      <c r="A66" s="869">
        <v>21</v>
      </c>
      <c r="B66" s="871"/>
      <c r="C66" s="872">
        <v>15</v>
      </c>
      <c r="D66" s="873" t="s">
        <v>20</v>
      </c>
      <c r="E66" s="714" t="s">
        <v>18</v>
      </c>
      <c r="F66" s="715">
        <v>81</v>
      </c>
      <c r="G66" s="715">
        <v>62</v>
      </c>
      <c r="H66" s="715">
        <v>84</v>
      </c>
      <c r="I66" s="715">
        <v>68</v>
      </c>
      <c r="J66" s="715">
        <v>57</v>
      </c>
      <c r="K66" s="715">
        <v>58</v>
      </c>
      <c r="L66" s="715">
        <v>64</v>
      </c>
      <c r="M66" s="715">
        <v>65</v>
      </c>
      <c r="N66" s="715">
        <v>55</v>
      </c>
      <c r="O66" s="715">
        <v>69</v>
      </c>
      <c r="P66" s="715">
        <v>65</v>
      </c>
      <c r="Q66" s="715">
        <v>75</v>
      </c>
      <c r="R66" s="715">
        <v>80</v>
      </c>
      <c r="S66" s="715">
        <v>883</v>
      </c>
      <c r="T66" s="716">
        <v>67.92307692307692</v>
      </c>
      <c r="U66" s="715">
        <v>28</v>
      </c>
      <c r="V66" s="718"/>
      <c r="W66" s="718"/>
    </row>
    <row r="67" spans="1:23" ht="27" thickBot="1" x14ac:dyDescent="0.45">
      <c r="A67" s="869"/>
      <c r="B67" s="871"/>
      <c r="C67" s="872"/>
      <c r="D67" s="873"/>
      <c r="E67" s="714" t="s">
        <v>19</v>
      </c>
      <c r="F67" s="715">
        <v>84</v>
      </c>
      <c r="G67" s="715">
        <v>56</v>
      </c>
      <c r="H67" s="715">
        <v>63</v>
      </c>
      <c r="I67" s="715">
        <v>64</v>
      </c>
      <c r="J67" s="715">
        <v>58</v>
      </c>
      <c r="K67" s="715">
        <v>62</v>
      </c>
      <c r="L67" s="715">
        <v>65</v>
      </c>
      <c r="M67" s="715">
        <v>68</v>
      </c>
      <c r="N67" s="715">
        <v>63</v>
      </c>
      <c r="O67" s="715">
        <v>64</v>
      </c>
      <c r="P67" s="715">
        <v>74</v>
      </c>
      <c r="Q67" s="715">
        <v>81</v>
      </c>
      <c r="R67" s="715">
        <v>87</v>
      </c>
      <c r="S67" s="715">
        <v>889</v>
      </c>
      <c r="T67" s="716">
        <v>68.384615384615387</v>
      </c>
      <c r="U67" s="715">
        <v>24</v>
      </c>
      <c r="V67" s="718"/>
      <c r="W67" s="718"/>
    </row>
    <row r="68" spans="1:23" ht="27" thickBot="1" x14ac:dyDescent="0.45">
      <c r="A68" s="869"/>
      <c r="B68" s="871"/>
      <c r="C68" s="872"/>
      <c r="D68" s="873"/>
      <c r="E68" s="714" t="s">
        <v>13</v>
      </c>
      <c r="F68" s="715">
        <f>AVERAGE(F66:F67)</f>
        <v>82.5</v>
      </c>
      <c r="G68" s="715">
        <f t="shared" ref="G68:T68" si="19">AVERAGE(G66:G67)</f>
        <v>59</v>
      </c>
      <c r="H68" s="715">
        <f t="shared" si="19"/>
        <v>73.5</v>
      </c>
      <c r="I68" s="715">
        <f t="shared" si="19"/>
        <v>66</v>
      </c>
      <c r="J68" s="715">
        <f t="shared" si="19"/>
        <v>57.5</v>
      </c>
      <c r="K68" s="715">
        <f t="shared" si="19"/>
        <v>60</v>
      </c>
      <c r="L68" s="715">
        <f t="shared" si="19"/>
        <v>64.5</v>
      </c>
      <c r="M68" s="715">
        <f t="shared" si="19"/>
        <v>66.5</v>
      </c>
      <c r="N68" s="715">
        <f t="shared" si="19"/>
        <v>59</v>
      </c>
      <c r="O68" s="715">
        <f t="shared" si="19"/>
        <v>66.5</v>
      </c>
      <c r="P68" s="715">
        <f t="shared" si="19"/>
        <v>69.5</v>
      </c>
      <c r="Q68" s="715">
        <f t="shared" si="19"/>
        <v>78</v>
      </c>
      <c r="R68" s="715">
        <f t="shared" si="19"/>
        <v>83.5</v>
      </c>
      <c r="S68" s="715">
        <f t="shared" si="19"/>
        <v>886</v>
      </c>
      <c r="T68" s="715">
        <f t="shared" si="19"/>
        <v>68.15384615384616</v>
      </c>
      <c r="U68" s="715">
        <v>26</v>
      </c>
      <c r="V68" s="715"/>
      <c r="W68" s="715"/>
    </row>
    <row r="69" spans="1:23" ht="27" thickBot="1" x14ac:dyDescent="0.45">
      <c r="A69" s="869">
        <v>22</v>
      </c>
      <c r="B69" s="871"/>
      <c r="C69" s="872">
        <v>15</v>
      </c>
      <c r="D69" s="873" t="s">
        <v>17</v>
      </c>
      <c r="E69" s="714" t="s">
        <v>18</v>
      </c>
      <c r="F69" s="715">
        <v>69</v>
      </c>
      <c r="G69" s="715">
        <v>78</v>
      </c>
      <c r="H69" s="715">
        <v>69</v>
      </c>
      <c r="I69" s="715">
        <v>64</v>
      </c>
      <c r="J69" s="715">
        <v>63</v>
      </c>
      <c r="K69" s="715">
        <v>68</v>
      </c>
      <c r="L69" s="715">
        <v>65</v>
      </c>
      <c r="M69" s="715">
        <v>51</v>
      </c>
      <c r="N69" s="715">
        <v>64</v>
      </c>
      <c r="O69" s="715">
        <v>70</v>
      </c>
      <c r="P69" s="715">
        <v>88</v>
      </c>
      <c r="Q69" s="715">
        <v>83</v>
      </c>
      <c r="R69" s="715">
        <v>71</v>
      </c>
      <c r="S69" s="715">
        <v>903</v>
      </c>
      <c r="T69" s="716">
        <v>69.461538461538467</v>
      </c>
      <c r="U69" s="715">
        <v>26</v>
      </c>
      <c r="V69" s="718"/>
      <c r="W69" s="718"/>
    </row>
    <row r="70" spans="1:23" ht="27" thickBot="1" x14ac:dyDescent="0.45">
      <c r="A70" s="869"/>
      <c r="B70" s="871"/>
      <c r="C70" s="872"/>
      <c r="D70" s="873"/>
      <c r="E70" s="714" t="s">
        <v>19</v>
      </c>
      <c r="F70" s="715">
        <v>74</v>
      </c>
      <c r="G70" s="715">
        <v>72</v>
      </c>
      <c r="H70" s="715">
        <v>50</v>
      </c>
      <c r="I70" s="715">
        <v>60</v>
      </c>
      <c r="J70" s="715">
        <v>68</v>
      </c>
      <c r="K70" s="715">
        <v>56</v>
      </c>
      <c r="L70" s="715">
        <v>61</v>
      </c>
      <c r="M70" s="715">
        <v>67</v>
      </c>
      <c r="N70" s="715">
        <v>51</v>
      </c>
      <c r="O70" s="715">
        <v>70</v>
      </c>
      <c r="P70" s="715">
        <v>77</v>
      </c>
      <c r="Q70" s="715">
        <v>74</v>
      </c>
      <c r="R70" s="715">
        <v>76</v>
      </c>
      <c r="S70" s="715">
        <v>856</v>
      </c>
      <c r="T70" s="716">
        <v>65.84615384615384</v>
      </c>
      <c r="U70" s="715">
        <v>28</v>
      </c>
      <c r="V70" s="718"/>
      <c r="W70" s="718"/>
    </row>
    <row r="71" spans="1:23" ht="27" thickBot="1" x14ac:dyDescent="0.45">
      <c r="A71" s="869"/>
      <c r="B71" s="871"/>
      <c r="C71" s="872"/>
      <c r="D71" s="873"/>
      <c r="E71" s="714" t="s">
        <v>13</v>
      </c>
      <c r="F71" s="715">
        <f>AVERAGE(F69:F70)</f>
        <v>71.5</v>
      </c>
      <c r="G71" s="715">
        <f t="shared" ref="G71:T71" si="20">AVERAGE(G69:G70)</f>
        <v>75</v>
      </c>
      <c r="H71" s="715">
        <f t="shared" si="20"/>
        <v>59.5</v>
      </c>
      <c r="I71" s="715">
        <f t="shared" si="20"/>
        <v>62</v>
      </c>
      <c r="J71" s="715">
        <f t="shared" si="20"/>
        <v>65.5</v>
      </c>
      <c r="K71" s="715">
        <f t="shared" si="20"/>
        <v>62</v>
      </c>
      <c r="L71" s="715">
        <f t="shared" si="20"/>
        <v>63</v>
      </c>
      <c r="M71" s="715">
        <f t="shared" si="20"/>
        <v>59</v>
      </c>
      <c r="N71" s="715">
        <f t="shared" si="20"/>
        <v>57.5</v>
      </c>
      <c r="O71" s="715">
        <f t="shared" si="20"/>
        <v>70</v>
      </c>
      <c r="P71" s="715">
        <f t="shared" si="20"/>
        <v>82.5</v>
      </c>
      <c r="Q71" s="715">
        <f t="shared" si="20"/>
        <v>78.5</v>
      </c>
      <c r="R71" s="715">
        <f t="shared" si="20"/>
        <v>73.5</v>
      </c>
      <c r="S71" s="715">
        <f t="shared" si="20"/>
        <v>879.5</v>
      </c>
      <c r="T71" s="715">
        <f t="shared" si="20"/>
        <v>67.65384615384616</v>
      </c>
      <c r="U71" s="715">
        <v>27</v>
      </c>
      <c r="V71" s="715"/>
      <c r="W71" s="715"/>
    </row>
    <row r="72" spans="1:23" ht="27" thickBot="1" x14ac:dyDescent="0.45">
      <c r="A72" s="869">
        <v>23</v>
      </c>
      <c r="B72" s="871"/>
      <c r="C72" s="872">
        <v>15</v>
      </c>
      <c r="D72" s="873" t="s">
        <v>20</v>
      </c>
      <c r="E72" s="714" t="s">
        <v>18</v>
      </c>
      <c r="F72" s="715">
        <v>56</v>
      </c>
      <c r="G72" s="715">
        <v>50</v>
      </c>
      <c r="H72" s="715">
        <v>75</v>
      </c>
      <c r="I72" s="715">
        <v>50</v>
      </c>
      <c r="J72" s="715">
        <v>40</v>
      </c>
      <c r="K72" s="715">
        <v>54</v>
      </c>
      <c r="L72" s="715">
        <v>54</v>
      </c>
      <c r="M72" s="715">
        <v>55</v>
      </c>
      <c r="N72" s="715">
        <v>43</v>
      </c>
      <c r="O72" s="715">
        <v>60</v>
      </c>
      <c r="P72" s="715">
        <v>55</v>
      </c>
      <c r="Q72" s="715">
        <v>58</v>
      </c>
      <c r="R72" s="715">
        <v>73</v>
      </c>
      <c r="S72" s="715">
        <v>723</v>
      </c>
      <c r="T72" s="716">
        <v>55.615384615384613</v>
      </c>
      <c r="U72" s="715">
        <v>50</v>
      </c>
      <c r="V72" s="718"/>
      <c r="W72" s="718"/>
    </row>
    <row r="73" spans="1:23" ht="27" thickBot="1" x14ac:dyDescent="0.45">
      <c r="A73" s="869"/>
      <c r="B73" s="871"/>
      <c r="C73" s="872"/>
      <c r="D73" s="873"/>
      <c r="E73" s="714" t="s">
        <v>19</v>
      </c>
      <c r="F73" s="715">
        <v>66</v>
      </c>
      <c r="G73" s="715">
        <v>42</v>
      </c>
      <c r="H73" s="715">
        <v>50</v>
      </c>
      <c r="I73" s="715">
        <v>50</v>
      </c>
      <c r="J73" s="715">
        <v>53</v>
      </c>
      <c r="K73" s="715">
        <v>54</v>
      </c>
      <c r="L73" s="715">
        <v>47</v>
      </c>
      <c r="M73" s="715">
        <v>54</v>
      </c>
      <c r="N73" s="715">
        <v>44</v>
      </c>
      <c r="O73" s="715">
        <v>66</v>
      </c>
      <c r="P73" s="715">
        <v>53</v>
      </c>
      <c r="Q73" s="715">
        <v>59</v>
      </c>
      <c r="R73" s="715">
        <v>84</v>
      </c>
      <c r="S73" s="715">
        <v>722</v>
      </c>
      <c r="T73" s="716">
        <v>55.53846153846154</v>
      </c>
      <c r="U73" s="715">
        <v>49</v>
      </c>
      <c r="V73" s="718"/>
      <c r="W73" s="718"/>
    </row>
    <row r="74" spans="1:23" ht="27" thickBot="1" x14ac:dyDescent="0.45">
      <c r="A74" s="869"/>
      <c r="B74" s="871"/>
      <c r="C74" s="872"/>
      <c r="D74" s="873"/>
      <c r="E74" s="714" t="s">
        <v>13</v>
      </c>
      <c r="F74" s="715">
        <f>AVERAGE(F72:F73)</f>
        <v>61</v>
      </c>
      <c r="G74" s="715">
        <f t="shared" ref="G74:T74" si="21">AVERAGE(G72:G73)</f>
        <v>46</v>
      </c>
      <c r="H74" s="715">
        <f t="shared" si="21"/>
        <v>62.5</v>
      </c>
      <c r="I74" s="715">
        <f t="shared" si="21"/>
        <v>50</v>
      </c>
      <c r="J74" s="715">
        <f t="shared" si="21"/>
        <v>46.5</v>
      </c>
      <c r="K74" s="715">
        <f t="shared" si="21"/>
        <v>54</v>
      </c>
      <c r="L74" s="715">
        <f t="shared" si="21"/>
        <v>50.5</v>
      </c>
      <c r="M74" s="715">
        <f t="shared" si="21"/>
        <v>54.5</v>
      </c>
      <c r="N74" s="715">
        <f t="shared" si="21"/>
        <v>43.5</v>
      </c>
      <c r="O74" s="715">
        <f t="shared" si="21"/>
        <v>63</v>
      </c>
      <c r="P74" s="715">
        <f t="shared" si="21"/>
        <v>54</v>
      </c>
      <c r="Q74" s="715">
        <f t="shared" si="21"/>
        <v>58.5</v>
      </c>
      <c r="R74" s="715">
        <f t="shared" si="21"/>
        <v>78.5</v>
      </c>
      <c r="S74" s="715">
        <f t="shared" si="21"/>
        <v>722.5</v>
      </c>
      <c r="T74" s="715">
        <f t="shared" si="21"/>
        <v>55.57692307692308</v>
      </c>
      <c r="U74" s="715">
        <v>50</v>
      </c>
      <c r="V74" s="715"/>
      <c r="W74" s="715"/>
    </row>
    <row r="75" spans="1:23" ht="27" thickBot="1" x14ac:dyDescent="0.45">
      <c r="A75" s="869">
        <v>24</v>
      </c>
      <c r="B75" s="871"/>
      <c r="C75" s="872">
        <v>15</v>
      </c>
      <c r="D75" s="873" t="s">
        <v>20</v>
      </c>
      <c r="E75" s="714" t="s">
        <v>18</v>
      </c>
      <c r="F75" s="715">
        <v>71</v>
      </c>
      <c r="G75" s="715">
        <v>58</v>
      </c>
      <c r="H75" s="715">
        <v>85</v>
      </c>
      <c r="I75" s="719">
        <v>59</v>
      </c>
      <c r="J75" s="719">
        <v>51</v>
      </c>
      <c r="K75" s="715">
        <v>60</v>
      </c>
      <c r="L75" s="719">
        <v>54</v>
      </c>
      <c r="M75" s="715">
        <v>60</v>
      </c>
      <c r="N75" s="715">
        <v>46</v>
      </c>
      <c r="O75" s="715">
        <v>56</v>
      </c>
      <c r="P75" s="715">
        <v>76</v>
      </c>
      <c r="Q75" s="715">
        <v>66</v>
      </c>
      <c r="R75" s="715">
        <v>81</v>
      </c>
      <c r="S75" s="715">
        <v>823</v>
      </c>
      <c r="T75" s="716">
        <v>63.307692307692307</v>
      </c>
      <c r="U75" s="715">
        <v>35</v>
      </c>
      <c r="V75" s="718"/>
      <c r="W75" s="718"/>
    </row>
    <row r="76" spans="1:23" ht="27" thickBot="1" x14ac:dyDescent="0.45">
      <c r="A76" s="869"/>
      <c r="B76" s="871"/>
      <c r="C76" s="872"/>
      <c r="D76" s="873"/>
      <c r="E76" s="714" t="s">
        <v>19</v>
      </c>
      <c r="F76" s="715">
        <v>77</v>
      </c>
      <c r="G76" s="715">
        <v>60</v>
      </c>
      <c r="H76" s="715">
        <v>60</v>
      </c>
      <c r="I76" s="719">
        <v>61</v>
      </c>
      <c r="J76" s="719">
        <v>60</v>
      </c>
      <c r="K76" s="715">
        <v>56</v>
      </c>
      <c r="L76" s="719">
        <v>54</v>
      </c>
      <c r="M76" s="715">
        <v>59</v>
      </c>
      <c r="N76" s="715">
        <v>54</v>
      </c>
      <c r="O76" s="715">
        <v>67</v>
      </c>
      <c r="P76" s="715">
        <v>65</v>
      </c>
      <c r="Q76" s="715">
        <v>88</v>
      </c>
      <c r="R76" s="715">
        <v>86</v>
      </c>
      <c r="S76" s="715">
        <v>847</v>
      </c>
      <c r="T76" s="716">
        <v>65.15384615384616</v>
      </c>
      <c r="U76" s="715">
        <v>31</v>
      </c>
      <c r="V76" s="718"/>
      <c r="W76" s="718"/>
    </row>
    <row r="77" spans="1:23" ht="27" thickBot="1" x14ac:dyDescent="0.45">
      <c r="A77" s="869"/>
      <c r="B77" s="871"/>
      <c r="C77" s="872"/>
      <c r="D77" s="873"/>
      <c r="E77" s="714" t="s">
        <v>13</v>
      </c>
      <c r="F77" s="715">
        <f>AVERAGE(F75:F76)</f>
        <v>74</v>
      </c>
      <c r="G77" s="715">
        <f t="shared" ref="G77:T77" si="22">AVERAGE(G75:G76)</f>
        <v>59</v>
      </c>
      <c r="H77" s="715">
        <f t="shared" si="22"/>
        <v>72.5</v>
      </c>
      <c r="I77" s="715">
        <f t="shared" si="22"/>
        <v>60</v>
      </c>
      <c r="J77" s="715">
        <f t="shared" si="22"/>
        <v>55.5</v>
      </c>
      <c r="K77" s="715">
        <f t="shared" si="22"/>
        <v>58</v>
      </c>
      <c r="L77" s="715">
        <f t="shared" si="22"/>
        <v>54</v>
      </c>
      <c r="M77" s="715">
        <f t="shared" si="22"/>
        <v>59.5</v>
      </c>
      <c r="N77" s="715">
        <f t="shared" si="22"/>
        <v>50</v>
      </c>
      <c r="O77" s="715">
        <f t="shared" si="22"/>
        <v>61.5</v>
      </c>
      <c r="P77" s="715">
        <f t="shared" si="22"/>
        <v>70.5</v>
      </c>
      <c r="Q77" s="715">
        <f t="shared" si="22"/>
        <v>77</v>
      </c>
      <c r="R77" s="715">
        <f t="shared" si="22"/>
        <v>83.5</v>
      </c>
      <c r="S77" s="715">
        <f t="shared" si="22"/>
        <v>835</v>
      </c>
      <c r="T77" s="715">
        <f t="shared" si="22"/>
        <v>64.230769230769226</v>
      </c>
      <c r="U77" s="715">
        <v>33</v>
      </c>
      <c r="V77" s="715"/>
      <c r="W77" s="715"/>
    </row>
    <row r="78" spans="1:23" ht="27" thickBot="1" x14ac:dyDescent="0.45">
      <c r="A78" s="869">
        <v>25</v>
      </c>
      <c r="B78" s="871"/>
      <c r="C78" s="872">
        <v>16</v>
      </c>
      <c r="D78" s="873" t="s">
        <v>20</v>
      </c>
      <c r="E78" s="714" t="s">
        <v>18</v>
      </c>
      <c r="F78" s="715">
        <v>91</v>
      </c>
      <c r="G78" s="719">
        <v>87</v>
      </c>
      <c r="H78" s="719">
        <v>91</v>
      </c>
      <c r="I78" s="719">
        <v>76</v>
      </c>
      <c r="J78" s="715">
        <v>74</v>
      </c>
      <c r="K78" s="719">
        <v>90</v>
      </c>
      <c r="L78" s="715">
        <v>80</v>
      </c>
      <c r="M78" s="715">
        <v>76</v>
      </c>
      <c r="N78" s="715">
        <v>93</v>
      </c>
      <c r="O78" s="715">
        <v>93</v>
      </c>
      <c r="P78" s="715">
        <v>99</v>
      </c>
      <c r="Q78" s="715">
        <v>94</v>
      </c>
      <c r="R78" s="715">
        <v>97</v>
      </c>
      <c r="S78" s="715">
        <v>1141</v>
      </c>
      <c r="T78" s="716">
        <v>87.769230769230774</v>
      </c>
      <c r="U78" s="715">
        <v>2</v>
      </c>
      <c r="V78" s="718"/>
      <c r="W78" s="718"/>
    </row>
    <row r="79" spans="1:23" ht="27" thickBot="1" x14ac:dyDescent="0.45">
      <c r="A79" s="869"/>
      <c r="B79" s="871"/>
      <c r="C79" s="872"/>
      <c r="D79" s="873"/>
      <c r="E79" s="714" t="s">
        <v>19</v>
      </c>
      <c r="F79" s="715">
        <v>97</v>
      </c>
      <c r="G79" s="719">
        <v>86</v>
      </c>
      <c r="H79" s="719">
        <v>72</v>
      </c>
      <c r="I79" s="719">
        <v>92</v>
      </c>
      <c r="J79" s="715">
        <v>98</v>
      </c>
      <c r="K79" s="719">
        <v>88</v>
      </c>
      <c r="L79" s="715">
        <v>91</v>
      </c>
      <c r="M79" s="715">
        <v>93</v>
      </c>
      <c r="N79" s="715">
        <v>90</v>
      </c>
      <c r="O79" s="715">
        <v>100</v>
      </c>
      <c r="P79" s="715">
        <v>100</v>
      </c>
      <c r="Q79" s="715">
        <v>92</v>
      </c>
      <c r="R79" s="715">
        <v>94</v>
      </c>
      <c r="S79" s="715">
        <v>1193</v>
      </c>
      <c r="T79" s="716">
        <v>91.769230769230774</v>
      </c>
      <c r="U79" s="715">
        <v>2</v>
      </c>
      <c r="V79" s="718"/>
      <c r="W79" s="718"/>
    </row>
    <row r="80" spans="1:23" ht="27" thickBot="1" x14ac:dyDescent="0.45">
      <c r="A80" s="869"/>
      <c r="B80" s="871"/>
      <c r="C80" s="872"/>
      <c r="D80" s="873"/>
      <c r="E80" s="714" t="s">
        <v>13</v>
      </c>
      <c r="F80" s="715">
        <f>AVERAGE(F78:F79)</f>
        <v>94</v>
      </c>
      <c r="G80" s="715">
        <f t="shared" ref="G80:T80" si="23">AVERAGE(G78:G79)</f>
        <v>86.5</v>
      </c>
      <c r="H80" s="715">
        <f t="shared" si="23"/>
        <v>81.5</v>
      </c>
      <c r="I80" s="715">
        <f t="shared" si="23"/>
        <v>84</v>
      </c>
      <c r="J80" s="715">
        <f t="shared" si="23"/>
        <v>86</v>
      </c>
      <c r="K80" s="715">
        <f t="shared" si="23"/>
        <v>89</v>
      </c>
      <c r="L80" s="715">
        <f t="shared" si="23"/>
        <v>85.5</v>
      </c>
      <c r="M80" s="715">
        <f t="shared" si="23"/>
        <v>84.5</v>
      </c>
      <c r="N80" s="715">
        <f t="shared" si="23"/>
        <v>91.5</v>
      </c>
      <c r="O80" s="715">
        <f t="shared" si="23"/>
        <v>96.5</v>
      </c>
      <c r="P80" s="715">
        <f t="shared" si="23"/>
        <v>99.5</v>
      </c>
      <c r="Q80" s="715">
        <f t="shared" si="23"/>
        <v>93</v>
      </c>
      <c r="R80" s="715">
        <f t="shared" si="23"/>
        <v>95.5</v>
      </c>
      <c r="S80" s="715">
        <f t="shared" si="23"/>
        <v>1167</v>
      </c>
      <c r="T80" s="715">
        <f t="shared" si="23"/>
        <v>89.769230769230774</v>
      </c>
      <c r="U80" s="715">
        <v>2</v>
      </c>
      <c r="V80" s="715"/>
      <c r="W80" s="715"/>
    </row>
    <row r="81" spans="1:23" ht="27" thickBot="1" x14ac:dyDescent="0.45">
      <c r="A81" s="869">
        <v>26</v>
      </c>
      <c r="B81" s="871"/>
      <c r="C81" s="891">
        <v>14</v>
      </c>
      <c r="D81" s="892" t="s">
        <v>17</v>
      </c>
      <c r="E81" s="714" t="s">
        <v>18</v>
      </c>
      <c r="F81" s="715">
        <v>83</v>
      </c>
      <c r="G81" s="715">
        <v>43</v>
      </c>
      <c r="H81" s="715">
        <v>73</v>
      </c>
      <c r="I81" s="715">
        <v>42</v>
      </c>
      <c r="J81" s="715">
        <v>41</v>
      </c>
      <c r="K81" s="715">
        <v>48</v>
      </c>
      <c r="L81" s="715">
        <v>42</v>
      </c>
      <c r="M81" s="715">
        <v>52</v>
      </c>
      <c r="N81" s="715">
        <v>36</v>
      </c>
      <c r="O81" s="715">
        <v>52</v>
      </c>
      <c r="P81" s="715">
        <v>58</v>
      </c>
      <c r="Q81" s="715">
        <v>55</v>
      </c>
      <c r="R81" s="715">
        <v>66</v>
      </c>
      <c r="S81" s="715">
        <v>691</v>
      </c>
      <c r="T81" s="716">
        <v>53.153846153846153</v>
      </c>
      <c r="U81" s="715">
        <v>51</v>
      </c>
      <c r="V81" s="718"/>
      <c r="W81" s="718"/>
    </row>
    <row r="82" spans="1:23" ht="27" thickBot="1" x14ac:dyDescent="0.45">
      <c r="A82" s="869"/>
      <c r="B82" s="871"/>
      <c r="C82" s="891"/>
      <c r="D82" s="892"/>
      <c r="E82" s="714" t="s">
        <v>19</v>
      </c>
      <c r="F82" s="715">
        <v>71</v>
      </c>
      <c r="G82" s="715">
        <v>52</v>
      </c>
      <c r="H82" s="715">
        <v>51</v>
      </c>
      <c r="I82" s="715">
        <v>43</v>
      </c>
      <c r="J82" s="715">
        <v>44</v>
      </c>
      <c r="K82" s="715">
        <v>40</v>
      </c>
      <c r="L82" s="715">
        <v>43</v>
      </c>
      <c r="M82" s="715">
        <v>53</v>
      </c>
      <c r="N82" s="715">
        <v>50</v>
      </c>
      <c r="O82" s="715">
        <v>48</v>
      </c>
      <c r="P82" s="715">
        <v>60</v>
      </c>
      <c r="Q82" s="715">
        <v>59</v>
      </c>
      <c r="R82" s="715">
        <v>80</v>
      </c>
      <c r="S82" s="715">
        <v>694</v>
      </c>
      <c r="T82" s="716">
        <v>53.384615384615387</v>
      </c>
      <c r="U82" s="715">
        <v>51</v>
      </c>
      <c r="V82" s="718"/>
      <c r="W82" s="718"/>
    </row>
    <row r="83" spans="1:23" ht="27" thickBot="1" x14ac:dyDescent="0.45">
      <c r="A83" s="869"/>
      <c r="B83" s="871"/>
      <c r="C83" s="891"/>
      <c r="D83" s="892"/>
      <c r="E83" s="714" t="s">
        <v>13</v>
      </c>
      <c r="F83" s="715">
        <f>AVERAGE(F81:F82)</f>
        <v>77</v>
      </c>
      <c r="G83" s="715">
        <f t="shared" ref="G83:T83" si="24">AVERAGE(G81:G82)</f>
        <v>47.5</v>
      </c>
      <c r="H83" s="715">
        <f t="shared" si="24"/>
        <v>62</v>
      </c>
      <c r="I83" s="715">
        <f t="shared" si="24"/>
        <v>42.5</v>
      </c>
      <c r="J83" s="715">
        <f t="shared" si="24"/>
        <v>42.5</v>
      </c>
      <c r="K83" s="715">
        <f t="shared" si="24"/>
        <v>44</v>
      </c>
      <c r="L83" s="715">
        <f t="shared" si="24"/>
        <v>42.5</v>
      </c>
      <c r="M83" s="715">
        <f t="shared" si="24"/>
        <v>52.5</v>
      </c>
      <c r="N83" s="715">
        <f t="shared" si="24"/>
        <v>43</v>
      </c>
      <c r="O83" s="715">
        <f t="shared" si="24"/>
        <v>50</v>
      </c>
      <c r="P83" s="715">
        <f t="shared" si="24"/>
        <v>59</v>
      </c>
      <c r="Q83" s="715">
        <f t="shared" si="24"/>
        <v>57</v>
      </c>
      <c r="R83" s="715">
        <f t="shared" si="24"/>
        <v>73</v>
      </c>
      <c r="S83" s="715">
        <f t="shared" si="24"/>
        <v>692.5</v>
      </c>
      <c r="T83" s="715">
        <f t="shared" si="24"/>
        <v>53.269230769230774</v>
      </c>
      <c r="U83" s="715">
        <v>52</v>
      </c>
      <c r="V83" s="715"/>
      <c r="W83" s="715"/>
    </row>
    <row r="84" spans="1:23" ht="27" thickBot="1" x14ac:dyDescent="0.45">
      <c r="A84" s="869">
        <v>27</v>
      </c>
      <c r="B84" s="871"/>
      <c r="C84" s="872">
        <v>15</v>
      </c>
      <c r="D84" s="873" t="s">
        <v>20</v>
      </c>
      <c r="E84" s="714" t="s">
        <v>18</v>
      </c>
      <c r="F84" s="715">
        <v>97</v>
      </c>
      <c r="G84" s="715">
        <v>94</v>
      </c>
      <c r="H84" s="715">
        <v>99</v>
      </c>
      <c r="I84" s="719">
        <v>94</v>
      </c>
      <c r="J84" s="715">
        <v>96</v>
      </c>
      <c r="K84" s="715">
        <v>99</v>
      </c>
      <c r="L84" s="715">
        <v>96</v>
      </c>
      <c r="M84" s="715">
        <v>100</v>
      </c>
      <c r="N84" s="715">
        <v>98</v>
      </c>
      <c r="O84" s="715">
        <v>98</v>
      </c>
      <c r="P84" s="715">
        <v>100</v>
      </c>
      <c r="Q84" s="715">
        <v>96</v>
      </c>
      <c r="R84" s="715">
        <v>96</v>
      </c>
      <c r="S84" s="715">
        <v>1263</v>
      </c>
      <c r="T84" s="716">
        <v>97.15384615384616</v>
      </c>
      <c r="U84" s="715">
        <v>1</v>
      </c>
      <c r="V84" s="718"/>
      <c r="W84" s="718"/>
    </row>
    <row r="85" spans="1:23" ht="27" thickBot="1" x14ac:dyDescent="0.45">
      <c r="A85" s="869"/>
      <c r="B85" s="871"/>
      <c r="C85" s="872"/>
      <c r="D85" s="873"/>
      <c r="E85" s="714" t="s">
        <v>19</v>
      </c>
      <c r="F85" s="715">
        <v>100</v>
      </c>
      <c r="G85" s="715">
        <v>84</v>
      </c>
      <c r="H85" s="715">
        <v>94</v>
      </c>
      <c r="I85" s="719">
        <v>100</v>
      </c>
      <c r="J85" s="715">
        <v>100</v>
      </c>
      <c r="K85" s="715">
        <v>100</v>
      </c>
      <c r="L85" s="715">
        <v>98</v>
      </c>
      <c r="M85" s="715">
        <v>100</v>
      </c>
      <c r="N85" s="715">
        <v>100</v>
      </c>
      <c r="O85" s="715">
        <v>100</v>
      </c>
      <c r="P85" s="715">
        <v>100</v>
      </c>
      <c r="Q85" s="715">
        <v>98</v>
      </c>
      <c r="R85" s="715">
        <v>100</v>
      </c>
      <c r="S85" s="715">
        <v>1274</v>
      </c>
      <c r="T85" s="716">
        <v>98</v>
      </c>
      <c r="U85" s="715">
        <v>1</v>
      </c>
      <c r="V85" s="718"/>
      <c r="W85" s="718"/>
    </row>
    <row r="86" spans="1:23" ht="27" thickBot="1" x14ac:dyDescent="0.45">
      <c r="A86" s="869"/>
      <c r="B86" s="871"/>
      <c r="C86" s="872"/>
      <c r="D86" s="873"/>
      <c r="E86" s="714" t="s">
        <v>13</v>
      </c>
      <c r="F86" s="715">
        <f>AVERAGE(F84:F85)</f>
        <v>98.5</v>
      </c>
      <c r="G86" s="715">
        <f t="shared" ref="G86:T86" si="25">AVERAGE(G84:G85)</f>
        <v>89</v>
      </c>
      <c r="H86" s="715">
        <f t="shared" si="25"/>
        <v>96.5</v>
      </c>
      <c r="I86" s="715">
        <f t="shared" si="25"/>
        <v>97</v>
      </c>
      <c r="J86" s="715">
        <f t="shared" si="25"/>
        <v>98</v>
      </c>
      <c r="K86" s="715">
        <f t="shared" si="25"/>
        <v>99.5</v>
      </c>
      <c r="L86" s="715">
        <f t="shared" si="25"/>
        <v>97</v>
      </c>
      <c r="M86" s="715">
        <f t="shared" si="25"/>
        <v>100</v>
      </c>
      <c r="N86" s="715">
        <f t="shared" si="25"/>
        <v>99</v>
      </c>
      <c r="O86" s="715">
        <f t="shared" si="25"/>
        <v>99</v>
      </c>
      <c r="P86" s="715">
        <f t="shared" si="25"/>
        <v>100</v>
      </c>
      <c r="Q86" s="715">
        <f t="shared" si="25"/>
        <v>97</v>
      </c>
      <c r="R86" s="715">
        <f t="shared" si="25"/>
        <v>98</v>
      </c>
      <c r="S86" s="715">
        <f t="shared" si="25"/>
        <v>1268.5</v>
      </c>
      <c r="T86" s="715">
        <f t="shared" si="25"/>
        <v>97.57692307692308</v>
      </c>
      <c r="U86" s="715">
        <v>1</v>
      </c>
      <c r="V86" s="715"/>
      <c r="W86" s="715"/>
    </row>
    <row r="87" spans="1:23" ht="27" thickBot="1" x14ac:dyDescent="0.45">
      <c r="A87" s="869">
        <v>28</v>
      </c>
      <c r="B87" s="869"/>
      <c r="C87" s="891">
        <v>16</v>
      </c>
      <c r="D87" s="892" t="s">
        <v>20</v>
      </c>
      <c r="E87" s="714" t="s">
        <v>18</v>
      </c>
      <c r="F87" s="715">
        <v>83</v>
      </c>
      <c r="G87" s="715">
        <v>61</v>
      </c>
      <c r="H87" s="715">
        <v>78</v>
      </c>
      <c r="I87" s="715">
        <v>53</v>
      </c>
      <c r="J87" s="715">
        <v>44</v>
      </c>
      <c r="K87" s="715">
        <v>69</v>
      </c>
      <c r="L87" s="715">
        <v>60</v>
      </c>
      <c r="M87" s="715">
        <v>55</v>
      </c>
      <c r="N87" s="715">
        <v>61</v>
      </c>
      <c r="O87" s="715">
        <v>64</v>
      </c>
      <c r="P87" s="715">
        <v>77</v>
      </c>
      <c r="Q87" s="715">
        <v>66</v>
      </c>
      <c r="R87" s="715">
        <v>87</v>
      </c>
      <c r="S87" s="715">
        <v>858</v>
      </c>
      <c r="T87" s="716">
        <v>66</v>
      </c>
      <c r="U87" s="715">
        <v>30</v>
      </c>
      <c r="V87" s="718"/>
      <c r="W87" s="718"/>
    </row>
    <row r="88" spans="1:23" ht="27" thickBot="1" x14ac:dyDescent="0.45">
      <c r="A88" s="869"/>
      <c r="B88" s="869"/>
      <c r="C88" s="891"/>
      <c r="D88" s="892"/>
      <c r="E88" s="714" t="s">
        <v>19</v>
      </c>
      <c r="F88" s="715">
        <v>84</v>
      </c>
      <c r="G88" s="715">
        <v>59</v>
      </c>
      <c r="H88" s="715">
        <v>72</v>
      </c>
      <c r="I88" s="715">
        <v>57</v>
      </c>
      <c r="J88" s="715">
        <v>53</v>
      </c>
      <c r="K88" s="715">
        <v>60</v>
      </c>
      <c r="L88" s="715">
        <v>60</v>
      </c>
      <c r="M88" s="715">
        <v>60</v>
      </c>
      <c r="N88" s="715">
        <v>51</v>
      </c>
      <c r="O88" s="715">
        <v>77</v>
      </c>
      <c r="P88" s="715">
        <v>66</v>
      </c>
      <c r="Q88" s="715">
        <v>74</v>
      </c>
      <c r="R88" s="715">
        <v>76</v>
      </c>
      <c r="S88" s="715">
        <v>849</v>
      </c>
      <c r="T88" s="716">
        <v>65.307692307692307</v>
      </c>
      <c r="U88" s="715">
        <v>30</v>
      </c>
      <c r="V88" s="718"/>
      <c r="W88" s="718"/>
    </row>
    <row r="89" spans="1:23" ht="27" thickBot="1" x14ac:dyDescent="0.45">
      <c r="A89" s="869"/>
      <c r="B89" s="869"/>
      <c r="C89" s="891"/>
      <c r="D89" s="892"/>
      <c r="E89" s="714" t="s">
        <v>13</v>
      </c>
      <c r="F89" s="715">
        <f>AVERAGE(F87:F88)</f>
        <v>83.5</v>
      </c>
      <c r="G89" s="715">
        <f t="shared" ref="G89:T89" si="26">AVERAGE(G87:G88)</f>
        <v>60</v>
      </c>
      <c r="H89" s="715">
        <f t="shared" si="26"/>
        <v>75</v>
      </c>
      <c r="I89" s="715">
        <f t="shared" si="26"/>
        <v>55</v>
      </c>
      <c r="J89" s="715">
        <f t="shared" si="26"/>
        <v>48.5</v>
      </c>
      <c r="K89" s="715">
        <f t="shared" si="26"/>
        <v>64.5</v>
      </c>
      <c r="L89" s="715">
        <f t="shared" si="26"/>
        <v>60</v>
      </c>
      <c r="M89" s="715">
        <f t="shared" si="26"/>
        <v>57.5</v>
      </c>
      <c r="N89" s="715">
        <f t="shared" si="26"/>
        <v>56</v>
      </c>
      <c r="O89" s="715">
        <f t="shared" si="26"/>
        <v>70.5</v>
      </c>
      <c r="P89" s="715">
        <f t="shared" si="26"/>
        <v>71.5</v>
      </c>
      <c r="Q89" s="715">
        <f t="shared" si="26"/>
        <v>70</v>
      </c>
      <c r="R89" s="715">
        <f t="shared" si="26"/>
        <v>81.5</v>
      </c>
      <c r="S89" s="715">
        <f t="shared" si="26"/>
        <v>853.5</v>
      </c>
      <c r="T89" s="715">
        <f t="shared" si="26"/>
        <v>65.65384615384616</v>
      </c>
      <c r="U89" s="715">
        <v>30</v>
      </c>
      <c r="V89" s="715"/>
      <c r="W89" s="715"/>
    </row>
    <row r="90" spans="1:23" ht="27" thickBot="1" x14ac:dyDescent="0.45">
      <c r="A90" s="869">
        <v>29</v>
      </c>
      <c r="B90" s="871"/>
      <c r="C90" s="872">
        <v>17</v>
      </c>
      <c r="D90" s="873" t="s">
        <v>20</v>
      </c>
      <c r="E90" s="714" t="s">
        <v>18</v>
      </c>
      <c r="F90" s="715">
        <v>70</v>
      </c>
      <c r="G90" s="715">
        <v>58</v>
      </c>
      <c r="H90" s="715">
        <v>96</v>
      </c>
      <c r="I90" s="715">
        <v>53</v>
      </c>
      <c r="J90" s="715">
        <v>53</v>
      </c>
      <c r="K90" s="715">
        <v>58</v>
      </c>
      <c r="L90" s="715">
        <v>47</v>
      </c>
      <c r="M90" s="715">
        <v>58</v>
      </c>
      <c r="N90" s="715">
        <v>41</v>
      </c>
      <c r="O90" s="715">
        <v>58</v>
      </c>
      <c r="P90" s="715">
        <v>66</v>
      </c>
      <c r="Q90" s="715">
        <v>68</v>
      </c>
      <c r="R90" s="715">
        <v>80</v>
      </c>
      <c r="S90" s="715">
        <v>806</v>
      </c>
      <c r="T90" s="716">
        <v>62</v>
      </c>
      <c r="U90" s="715">
        <v>40</v>
      </c>
      <c r="V90" s="718"/>
      <c r="W90" s="718"/>
    </row>
    <row r="91" spans="1:23" ht="27" thickBot="1" x14ac:dyDescent="0.45">
      <c r="A91" s="869"/>
      <c r="B91" s="871"/>
      <c r="C91" s="872"/>
      <c r="D91" s="873"/>
      <c r="E91" s="714" t="s">
        <v>19</v>
      </c>
      <c r="F91" s="715">
        <v>68</v>
      </c>
      <c r="G91" s="715">
        <v>60</v>
      </c>
      <c r="H91" s="715">
        <v>85</v>
      </c>
      <c r="I91" s="715">
        <v>51</v>
      </c>
      <c r="J91" s="715">
        <v>51</v>
      </c>
      <c r="K91" s="715">
        <v>48</v>
      </c>
      <c r="L91" s="715">
        <v>44</v>
      </c>
      <c r="M91" s="715">
        <v>50</v>
      </c>
      <c r="N91" s="715">
        <v>36</v>
      </c>
      <c r="O91" s="715">
        <v>51</v>
      </c>
      <c r="P91" s="715">
        <v>73</v>
      </c>
      <c r="Q91" s="715">
        <v>73</v>
      </c>
      <c r="R91" s="715">
        <v>74</v>
      </c>
      <c r="S91" s="715">
        <v>764</v>
      </c>
      <c r="T91" s="716">
        <v>58.769230769230766</v>
      </c>
      <c r="U91" s="715">
        <v>45</v>
      </c>
      <c r="V91" s="718"/>
      <c r="W91" s="718"/>
    </row>
    <row r="92" spans="1:23" ht="27" thickBot="1" x14ac:dyDescent="0.45">
      <c r="A92" s="869"/>
      <c r="B92" s="871"/>
      <c r="C92" s="872"/>
      <c r="D92" s="873"/>
      <c r="E92" s="714" t="s">
        <v>13</v>
      </c>
      <c r="F92" s="715">
        <f>AVERAGE(F90:F91)</f>
        <v>69</v>
      </c>
      <c r="G92" s="715">
        <f t="shared" ref="G92:T92" si="27">AVERAGE(G90:G91)</f>
        <v>59</v>
      </c>
      <c r="H92" s="715">
        <f t="shared" si="27"/>
        <v>90.5</v>
      </c>
      <c r="I92" s="715">
        <f t="shared" si="27"/>
        <v>52</v>
      </c>
      <c r="J92" s="715">
        <f t="shared" si="27"/>
        <v>52</v>
      </c>
      <c r="K92" s="715">
        <f t="shared" si="27"/>
        <v>53</v>
      </c>
      <c r="L92" s="715">
        <f t="shared" si="27"/>
        <v>45.5</v>
      </c>
      <c r="M92" s="715">
        <f t="shared" si="27"/>
        <v>54</v>
      </c>
      <c r="N92" s="715">
        <f t="shared" si="27"/>
        <v>38.5</v>
      </c>
      <c r="O92" s="715">
        <f t="shared" si="27"/>
        <v>54.5</v>
      </c>
      <c r="P92" s="715">
        <f t="shared" si="27"/>
        <v>69.5</v>
      </c>
      <c r="Q92" s="715">
        <f t="shared" si="27"/>
        <v>70.5</v>
      </c>
      <c r="R92" s="715">
        <f t="shared" si="27"/>
        <v>77</v>
      </c>
      <c r="S92" s="715">
        <f t="shared" si="27"/>
        <v>785</v>
      </c>
      <c r="T92" s="715">
        <f t="shared" si="27"/>
        <v>60.384615384615387</v>
      </c>
      <c r="U92" s="715">
        <v>43</v>
      </c>
      <c r="V92" s="715"/>
      <c r="W92" s="715"/>
    </row>
    <row r="93" spans="1:23" ht="27" thickBot="1" x14ac:dyDescent="0.45">
      <c r="A93" s="869">
        <v>30</v>
      </c>
      <c r="B93" s="871"/>
      <c r="C93" s="872">
        <v>15</v>
      </c>
      <c r="D93" s="873" t="s">
        <v>17</v>
      </c>
      <c r="E93" s="714" t="s">
        <v>18</v>
      </c>
      <c r="F93" s="715">
        <v>77</v>
      </c>
      <c r="G93" s="719">
        <v>76</v>
      </c>
      <c r="H93" s="719">
        <v>69</v>
      </c>
      <c r="I93" s="719">
        <v>65</v>
      </c>
      <c r="J93" s="719">
        <v>60</v>
      </c>
      <c r="K93" s="715">
        <v>74</v>
      </c>
      <c r="L93" s="715">
        <v>60</v>
      </c>
      <c r="M93" s="715">
        <v>56</v>
      </c>
      <c r="N93" s="715">
        <v>55</v>
      </c>
      <c r="O93" s="715">
        <v>68</v>
      </c>
      <c r="P93" s="715">
        <v>67</v>
      </c>
      <c r="Q93" s="719">
        <v>89</v>
      </c>
      <c r="R93" s="719">
        <v>83</v>
      </c>
      <c r="S93" s="715">
        <v>899</v>
      </c>
      <c r="T93" s="716">
        <v>69.15384615384616</v>
      </c>
      <c r="U93" s="715">
        <v>27</v>
      </c>
      <c r="V93" s="718"/>
      <c r="W93" s="718"/>
    </row>
    <row r="94" spans="1:23" ht="27" thickBot="1" x14ac:dyDescent="0.45">
      <c r="A94" s="869"/>
      <c r="B94" s="871"/>
      <c r="C94" s="872"/>
      <c r="D94" s="873"/>
      <c r="E94" s="714" t="s">
        <v>19</v>
      </c>
      <c r="F94" s="715">
        <v>73</v>
      </c>
      <c r="G94" s="719">
        <v>72</v>
      </c>
      <c r="H94" s="719">
        <v>53</v>
      </c>
      <c r="I94" s="719">
        <v>73</v>
      </c>
      <c r="J94" s="719">
        <v>66</v>
      </c>
      <c r="K94" s="715">
        <v>61</v>
      </c>
      <c r="L94" s="715">
        <v>64</v>
      </c>
      <c r="M94" s="715">
        <v>63</v>
      </c>
      <c r="N94" s="715">
        <v>48</v>
      </c>
      <c r="O94" s="715">
        <v>69</v>
      </c>
      <c r="P94" s="715">
        <v>81</v>
      </c>
      <c r="Q94" s="719">
        <v>77</v>
      </c>
      <c r="R94" s="719">
        <v>81</v>
      </c>
      <c r="S94" s="715">
        <v>881</v>
      </c>
      <c r="T94" s="716">
        <v>67.769230769230774</v>
      </c>
      <c r="U94" s="715">
        <v>25</v>
      </c>
      <c r="V94" s="718"/>
      <c r="W94" s="718"/>
    </row>
    <row r="95" spans="1:23" ht="27" thickBot="1" x14ac:dyDescent="0.45">
      <c r="A95" s="869"/>
      <c r="B95" s="871"/>
      <c r="C95" s="872"/>
      <c r="D95" s="873"/>
      <c r="E95" s="714" t="s">
        <v>13</v>
      </c>
      <c r="F95" s="715">
        <f>AVERAGE(F93:F94)</f>
        <v>75</v>
      </c>
      <c r="G95" s="715">
        <f t="shared" ref="G95:T95" si="28">AVERAGE(G93:G94)</f>
        <v>74</v>
      </c>
      <c r="H95" s="715">
        <f t="shared" si="28"/>
        <v>61</v>
      </c>
      <c r="I95" s="715">
        <f t="shared" si="28"/>
        <v>69</v>
      </c>
      <c r="J95" s="715">
        <f t="shared" si="28"/>
        <v>63</v>
      </c>
      <c r="K95" s="715">
        <f t="shared" si="28"/>
        <v>67.5</v>
      </c>
      <c r="L95" s="715">
        <f t="shared" si="28"/>
        <v>62</v>
      </c>
      <c r="M95" s="715">
        <f t="shared" si="28"/>
        <v>59.5</v>
      </c>
      <c r="N95" s="715">
        <f t="shared" si="28"/>
        <v>51.5</v>
      </c>
      <c r="O95" s="715">
        <f t="shared" si="28"/>
        <v>68.5</v>
      </c>
      <c r="P95" s="715">
        <f t="shared" si="28"/>
        <v>74</v>
      </c>
      <c r="Q95" s="715">
        <f t="shared" si="28"/>
        <v>83</v>
      </c>
      <c r="R95" s="715">
        <f t="shared" si="28"/>
        <v>82</v>
      </c>
      <c r="S95" s="715">
        <f t="shared" si="28"/>
        <v>890</v>
      </c>
      <c r="T95" s="715">
        <f t="shared" si="28"/>
        <v>68.461538461538467</v>
      </c>
      <c r="U95" s="715">
        <v>25</v>
      </c>
      <c r="V95" s="715"/>
      <c r="W95" s="715"/>
    </row>
    <row r="96" spans="1:23" ht="27" thickBot="1" x14ac:dyDescent="0.45">
      <c r="A96" s="869">
        <v>31</v>
      </c>
      <c r="B96" s="871"/>
      <c r="C96" s="872">
        <v>14</v>
      </c>
      <c r="D96" s="873" t="s">
        <v>20</v>
      </c>
      <c r="E96" s="714" t="s">
        <v>18</v>
      </c>
      <c r="F96" s="715">
        <v>87</v>
      </c>
      <c r="G96" s="715">
        <v>87</v>
      </c>
      <c r="H96" s="715">
        <v>90</v>
      </c>
      <c r="I96" s="719">
        <v>74</v>
      </c>
      <c r="J96" s="715">
        <v>55</v>
      </c>
      <c r="K96" s="715">
        <v>81</v>
      </c>
      <c r="L96" s="715">
        <v>71</v>
      </c>
      <c r="M96" s="719">
        <v>77</v>
      </c>
      <c r="N96" s="715">
        <v>81</v>
      </c>
      <c r="O96" s="715">
        <v>86</v>
      </c>
      <c r="P96" s="715">
        <v>91</v>
      </c>
      <c r="Q96" s="715">
        <v>85</v>
      </c>
      <c r="R96" s="715">
        <v>80</v>
      </c>
      <c r="S96" s="715">
        <v>1045</v>
      </c>
      <c r="T96" s="716">
        <v>80.384615384615387</v>
      </c>
      <c r="U96" s="715">
        <v>8</v>
      </c>
      <c r="V96" s="718"/>
      <c r="W96" s="718"/>
    </row>
    <row r="97" spans="1:23" ht="27" thickBot="1" x14ac:dyDescent="0.45">
      <c r="A97" s="869"/>
      <c r="B97" s="871"/>
      <c r="C97" s="872"/>
      <c r="D97" s="873"/>
      <c r="E97" s="714" t="s">
        <v>19</v>
      </c>
      <c r="F97" s="715">
        <v>95</v>
      </c>
      <c r="G97" s="715">
        <v>84</v>
      </c>
      <c r="H97" s="715">
        <v>68</v>
      </c>
      <c r="I97" s="719">
        <v>85</v>
      </c>
      <c r="J97" s="715">
        <v>80</v>
      </c>
      <c r="K97" s="715">
        <v>76</v>
      </c>
      <c r="L97" s="715">
        <v>79</v>
      </c>
      <c r="M97" s="719">
        <v>86</v>
      </c>
      <c r="N97" s="715">
        <v>86</v>
      </c>
      <c r="O97" s="715">
        <v>84</v>
      </c>
      <c r="P97" s="715">
        <v>99</v>
      </c>
      <c r="Q97" s="715">
        <v>80</v>
      </c>
      <c r="R97" s="715">
        <v>77</v>
      </c>
      <c r="S97" s="715">
        <v>1079</v>
      </c>
      <c r="T97" s="716">
        <v>83</v>
      </c>
      <c r="U97" s="715">
        <v>6</v>
      </c>
      <c r="V97" s="718"/>
      <c r="W97" s="718"/>
    </row>
    <row r="98" spans="1:23" ht="27" thickBot="1" x14ac:dyDescent="0.45">
      <c r="A98" s="869"/>
      <c r="B98" s="871"/>
      <c r="C98" s="872"/>
      <c r="D98" s="873"/>
      <c r="E98" s="714" t="s">
        <v>13</v>
      </c>
      <c r="F98" s="715">
        <f>AVERAGE(F96:F97)</f>
        <v>91</v>
      </c>
      <c r="G98" s="715">
        <f t="shared" ref="G98:T98" si="29">AVERAGE(G96:G97)</f>
        <v>85.5</v>
      </c>
      <c r="H98" s="715">
        <f t="shared" si="29"/>
        <v>79</v>
      </c>
      <c r="I98" s="715">
        <f t="shared" si="29"/>
        <v>79.5</v>
      </c>
      <c r="J98" s="715">
        <f t="shared" si="29"/>
        <v>67.5</v>
      </c>
      <c r="K98" s="715">
        <f t="shared" si="29"/>
        <v>78.5</v>
      </c>
      <c r="L98" s="715">
        <f t="shared" si="29"/>
        <v>75</v>
      </c>
      <c r="M98" s="715">
        <f t="shared" si="29"/>
        <v>81.5</v>
      </c>
      <c r="N98" s="715">
        <f t="shared" si="29"/>
        <v>83.5</v>
      </c>
      <c r="O98" s="715">
        <f t="shared" si="29"/>
        <v>85</v>
      </c>
      <c r="P98" s="715">
        <f t="shared" si="29"/>
        <v>95</v>
      </c>
      <c r="Q98" s="715">
        <f t="shared" si="29"/>
        <v>82.5</v>
      </c>
      <c r="R98" s="715">
        <f t="shared" si="29"/>
        <v>78.5</v>
      </c>
      <c r="S98" s="715">
        <f t="shared" si="29"/>
        <v>1062</v>
      </c>
      <c r="T98" s="715">
        <f t="shared" si="29"/>
        <v>81.692307692307693</v>
      </c>
      <c r="U98" s="715">
        <v>7</v>
      </c>
      <c r="V98" s="715"/>
      <c r="W98" s="715"/>
    </row>
    <row r="99" spans="1:23" ht="27" thickBot="1" x14ac:dyDescent="0.45">
      <c r="A99" s="869">
        <v>32</v>
      </c>
      <c r="B99" s="871"/>
      <c r="C99" s="872">
        <v>16</v>
      </c>
      <c r="D99" s="873" t="s">
        <v>20</v>
      </c>
      <c r="E99" s="714" t="s">
        <v>18</v>
      </c>
      <c r="F99" s="715">
        <v>74</v>
      </c>
      <c r="G99" s="715">
        <v>64</v>
      </c>
      <c r="H99" s="715">
        <v>81</v>
      </c>
      <c r="I99" s="715">
        <v>49</v>
      </c>
      <c r="J99" s="715">
        <v>52</v>
      </c>
      <c r="K99" s="715">
        <v>62</v>
      </c>
      <c r="L99" s="715">
        <v>50</v>
      </c>
      <c r="M99" s="715">
        <v>60</v>
      </c>
      <c r="N99" s="715">
        <v>56</v>
      </c>
      <c r="O99" s="715">
        <v>59</v>
      </c>
      <c r="P99" s="715">
        <v>61</v>
      </c>
      <c r="Q99" s="715">
        <v>70</v>
      </c>
      <c r="R99" s="715">
        <v>81</v>
      </c>
      <c r="S99" s="715">
        <v>819</v>
      </c>
      <c r="T99" s="716">
        <v>63</v>
      </c>
      <c r="U99" s="715">
        <v>36</v>
      </c>
      <c r="V99" s="718"/>
      <c r="W99" s="718"/>
    </row>
    <row r="100" spans="1:23" ht="27" thickBot="1" x14ac:dyDescent="0.45">
      <c r="A100" s="869"/>
      <c r="B100" s="871"/>
      <c r="C100" s="872"/>
      <c r="D100" s="873"/>
      <c r="E100" s="714" t="s">
        <v>19</v>
      </c>
      <c r="F100" s="715">
        <v>74</v>
      </c>
      <c r="G100" s="715">
        <v>54</v>
      </c>
      <c r="H100" s="715">
        <v>64</v>
      </c>
      <c r="I100" s="715">
        <v>51</v>
      </c>
      <c r="J100" s="715">
        <v>50</v>
      </c>
      <c r="K100" s="715">
        <v>45</v>
      </c>
      <c r="L100" s="715">
        <v>43</v>
      </c>
      <c r="M100" s="715">
        <v>58</v>
      </c>
      <c r="N100" s="715">
        <v>50</v>
      </c>
      <c r="O100" s="715">
        <v>54</v>
      </c>
      <c r="P100" s="715">
        <v>61</v>
      </c>
      <c r="Q100" s="715">
        <v>57</v>
      </c>
      <c r="R100" s="715">
        <v>83</v>
      </c>
      <c r="S100" s="715">
        <v>744</v>
      </c>
      <c r="T100" s="716">
        <v>57.230769230769234</v>
      </c>
      <c r="U100" s="715">
        <v>47</v>
      </c>
      <c r="V100" s="718"/>
      <c r="W100" s="718"/>
    </row>
    <row r="101" spans="1:23" ht="27" thickBot="1" x14ac:dyDescent="0.45">
      <c r="A101" s="869"/>
      <c r="B101" s="871"/>
      <c r="C101" s="872"/>
      <c r="D101" s="873"/>
      <c r="E101" s="714" t="s">
        <v>13</v>
      </c>
      <c r="F101" s="715">
        <f>AVERAGE(F99:F100)</f>
        <v>74</v>
      </c>
      <c r="G101" s="715">
        <f t="shared" ref="G101:T101" si="30">AVERAGE(G99:G100)</f>
        <v>59</v>
      </c>
      <c r="H101" s="715">
        <f t="shared" si="30"/>
        <v>72.5</v>
      </c>
      <c r="I101" s="715">
        <f t="shared" si="30"/>
        <v>50</v>
      </c>
      <c r="J101" s="715">
        <f t="shared" si="30"/>
        <v>51</v>
      </c>
      <c r="K101" s="715">
        <f t="shared" si="30"/>
        <v>53.5</v>
      </c>
      <c r="L101" s="715">
        <f t="shared" si="30"/>
        <v>46.5</v>
      </c>
      <c r="M101" s="715">
        <f t="shared" si="30"/>
        <v>59</v>
      </c>
      <c r="N101" s="715">
        <f t="shared" si="30"/>
        <v>53</v>
      </c>
      <c r="O101" s="715">
        <f t="shared" si="30"/>
        <v>56.5</v>
      </c>
      <c r="P101" s="715">
        <f t="shared" si="30"/>
        <v>61</v>
      </c>
      <c r="Q101" s="715">
        <f t="shared" si="30"/>
        <v>63.5</v>
      </c>
      <c r="R101" s="715">
        <f t="shared" si="30"/>
        <v>82</v>
      </c>
      <c r="S101" s="715">
        <f t="shared" si="30"/>
        <v>781.5</v>
      </c>
      <c r="T101" s="715">
        <f t="shared" si="30"/>
        <v>60.115384615384613</v>
      </c>
      <c r="U101" s="715">
        <v>44</v>
      </c>
      <c r="V101" s="715"/>
      <c r="W101" s="715"/>
    </row>
    <row r="102" spans="1:23" ht="27" thickBot="1" x14ac:dyDescent="0.45">
      <c r="A102" s="869">
        <v>33</v>
      </c>
      <c r="B102" s="871"/>
      <c r="C102" s="872">
        <v>14</v>
      </c>
      <c r="D102" s="873" t="s">
        <v>20</v>
      </c>
      <c r="E102" s="714" t="s">
        <v>18</v>
      </c>
      <c r="F102" s="715">
        <v>78</v>
      </c>
      <c r="G102" s="715">
        <v>72</v>
      </c>
      <c r="H102" s="715">
        <v>79</v>
      </c>
      <c r="I102" s="719">
        <v>48</v>
      </c>
      <c r="J102" s="715">
        <v>58</v>
      </c>
      <c r="K102" s="715">
        <v>58</v>
      </c>
      <c r="L102" s="715">
        <v>53</v>
      </c>
      <c r="M102" s="715">
        <v>70</v>
      </c>
      <c r="N102" s="715">
        <v>53</v>
      </c>
      <c r="O102" s="715">
        <v>67</v>
      </c>
      <c r="P102" s="715">
        <v>80</v>
      </c>
      <c r="Q102" s="715">
        <v>82</v>
      </c>
      <c r="R102" s="715">
        <v>77</v>
      </c>
      <c r="S102" s="715">
        <v>875</v>
      </c>
      <c r="T102" s="716">
        <v>67.307692307692307</v>
      </c>
      <c r="U102" s="715">
        <v>29</v>
      </c>
      <c r="V102" s="718"/>
      <c r="W102" s="718"/>
    </row>
    <row r="103" spans="1:23" ht="27" thickBot="1" x14ac:dyDescent="0.45">
      <c r="A103" s="869"/>
      <c r="B103" s="871"/>
      <c r="C103" s="872"/>
      <c r="D103" s="873"/>
      <c r="E103" s="714" t="s">
        <v>19</v>
      </c>
      <c r="F103" s="715">
        <v>77</v>
      </c>
      <c r="G103" s="715">
        <v>71</v>
      </c>
      <c r="H103" s="715">
        <v>65</v>
      </c>
      <c r="I103" s="719">
        <v>49</v>
      </c>
      <c r="J103" s="715">
        <v>51</v>
      </c>
      <c r="K103" s="715">
        <v>46</v>
      </c>
      <c r="L103" s="715">
        <v>47</v>
      </c>
      <c r="M103" s="715">
        <v>67</v>
      </c>
      <c r="N103" s="715">
        <v>47</v>
      </c>
      <c r="O103" s="715">
        <v>72</v>
      </c>
      <c r="P103" s="715">
        <v>69</v>
      </c>
      <c r="Q103" s="715">
        <v>81</v>
      </c>
      <c r="R103" s="715">
        <v>85</v>
      </c>
      <c r="S103" s="715">
        <v>827</v>
      </c>
      <c r="T103" s="716">
        <v>63.615384615384613</v>
      </c>
      <c r="U103" s="715">
        <v>36</v>
      </c>
      <c r="V103" s="718"/>
      <c r="W103" s="718"/>
    </row>
    <row r="104" spans="1:23" ht="27" thickBot="1" x14ac:dyDescent="0.45">
      <c r="A104" s="869"/>
      <c r="B104" s="871"/>
      <c r="C104" s="872"/>
      <c r="D104" s="873"/>
      <c r="E104" s="714" t="s">
        <v>13</v>
      </c>
      <c r="F104" s="715">
        <f>AVERAGE(F102:F103)</f>
        <v>77.5</v>
      </c>
      <c r="G104" s="715">
        <f t="shared" ref="G104:T104" si="31">AVERAGE(G102:G103)</f>
        <v>71.5</v>
      </c>
      <c r="H104" s="715">
        <f t="shared" si="31"/>
        <v>72</v>
      </c>
      <c r="I104" s="715">
        <f t="shared" si="31"/>
        <v>48.5</v>
      </c>
      <c r="J104" s="715">
        <f t="shared" si="31"/>
        <v>54.5</v>
      </c>
      <c r="K104" s="715">
        <f t="shared" si="31"/>
        <v>52</v>
      </c>
      <c r="L104" s="715">
        <f t="shared" si="31"/>
        <v>50</v>
      </c>
      <c r="M104" s="715">
        <f t="shared" si="31"/>
        <v>68.5</v>
      </c>
      <c r="N104" s="715">
        <f t="shared" si="31"/>
        <v>50</v>
      </c>
      <c r="O104" s="715">
        <f t="shared" si="31"/>
        <v>69.5</v>
      </c>
      <c r="P104" s="715">
        <f t="shared" si="31"/>
        <v>74.5</v>
      </c>
      <c r="Q104" s="715">
        <f t="shared" si="31"/>
        <v>81.5</v>
      </c>
      <c r="R104" s="715">
        <f t="shared" si="31"/>
        <v>81</v>
      </c>
      <c r="S104" s="715">
        <f t="shared" si="31"/>
        <v>851</v>
      </c>
      <c r="T104" s="715">
        <f t="shared" si="31"/>
        <v>65.461538461538453</v>
      </c>
      <c r="U104" s="715">
        <v>31</v>
      </c>
      <c r="V104" s="715"/>
      <c r="W104" s="715"/>
    </row>
    <row r="105" spans="1:23" ht="27" thickBot="1" x14ac:dyDescent="0.45">
      <c r="A105" s="869">
        <v>34</v>
      </c>
      <c r="B105" s="871"/>
      <c r="C105" s="872">
        <v>15</v>
      </c>
      <c r="D105" s="873" t="s">
        <v>20</v>
      </c>
      <c r="E105" s="714" t="s">
        <v>18</v>
      </c>
      <c r="F105" s="715">
        <v>87</v>
      </c>
      <c r="G105" s="715">
        <v>69</v>
      </c>
      <c r="H105" s="715">
        <v>85</v>
      </c>
      <c r="I105" s="715">
        <v>50</v>
      </c>
      <c r="J105" s="715">
        <v>65</v>
      </c>
      <c r="K105" s="715">
        <v>64</v>
      </c>
      <c r="L105" s="715">
        <v>78</v>
      </c>
      <c r="M105" s="715">
        <v>66</v>
      </c>
      <c r="N105" s="715">
        <v>83</v>
      </c>
      <c r="O105" s="715">
        <v>85</v>
      </c>
      <c r="P105" s="715">
        <v>83</v>
      </c>
      <c r="Q105" s="715">
        <v>72</v>
      </c>
      <c r="R105" s="715">
        <v>86</v>
      </c>
      <c r="S105" s="715">
        <v>973</v>
      </c>
      <c r="T105" s="716">
        <v>74.84615384615384</v>
      </c>
      <c r="U105" s="715">
        <v>20</v>
      </c>
      <c r="V105" s="718"/>
      <c r="W105" s="718"/>
    </row>
    <row r="106" spans="1:23" ht="27" thickBot="1" x14ac:dyDescent="0.45">
      <c r="A106" s="869"/>
      <c r="B106" s="871"/>
      <c r="C106" s="872"/>
      <c r="D106" s="873"/>
      <c r="E106" s="714" t="s">
        <v>19</v>
      </c>
      <c r="F106" s="715">
        <v>84</v>
      </c>
      <c r="G106" s="715">
        <v>64</v>
      </c>
      <c r="H106" s="715">
        <v>69</v>
      </c>
      <c r="I106" s="715">
        <v>56</v>
      </c>
      <c r="J106" s="715">
        <v>61</v>
      </c>
      <c r="K106" s="715">
        <v>58</v>
      </c>
      <c r="L106" s="715">
        <v>73</v>
      </c>
      <c r="M106" s="715">
        <v>65</v>
      </c>
      <c r="N106" s="715">
        <v>72</v>
      </c>
      <c r="O106" s="715">
        <v>87</v>
      </c>
      <c r="P106" s="715">
        <v>84</v>
      </c>
      <c r="Q106" s="715">
        <v>81</v>
      </c>
      <c r="R106" s="715">
        <v>65</v>
      </c>
      <c r="S106" s="715">
        <v>919</v>
      </c>
      <c r="T106" s="716">
        <v>70.692307692307693</v>
      </c>
      <c r="U106" s="715">
        <v>23</v>
      </c>
      <c r="V106" s="718"/>
      <c r="W106" s="718"/>
    </row>
    <row r="107" spans="1:23" ht="27" thickBot="1" x14ac:dyDescent="0.45">
      <c r="A107" s="869"/>
      <c r="B107" s="871"/>
      <c r="C107" s="872"/>
      <c r="D107" s="873"/>
      <c r="E107" s="714" t="s">
        <v>13</v>
      </c>
      <c r="F107" s="715">
        <f>AVERAGE(F105:F106)</f>
        <v>85.5</v>
      </c>
      <c r="G107" s="715">
        <f t="shared" ref="G107:T107" si="32">AVERAGE(G105:G106)</f>
        <v>66.5</v>
      </c>
      <c r="H107" s="715">
        <f t="shared" si="32"/>
        <v>77</v>
      </c>
      <c r="I107" s="715">
        <f t="shared" si="32"/>
        <v>53</v>
      </c>
      <c r="J107" s="715">
        <f t="shared" si="32"/>
        <v>63</v>
      </c>
      <c r="K107" s="715">
        <f t="shared" si="32"/>
        <v>61</v>
      </c>
      <c r="L107" s="715">
        <f t="shared" si="32"/>
        <v>75.5</v>
      </c>
      <c r="M107" s="715">
        <f t="shared" si="32"/>
        <v>65.5</v>
      </c>
      <c r="N107" s="715">
        <f t="shared" si="32"/>
        <v>77.5</v>
      </c>
      <c r="O107" s="715">
        <f t="shared" si="32"/>
        <v>86</v>
      </c>
      <c r="P107" s="715">
        <f t="shared" si="32"/>
        <v>83.5</v>
      </c>
      <c r="Q107" s="715">
        <f t="shared" si="32"/>
        <v>76.5</v>
      </c>
      <c r="R107" s="715">
        <f t="shared" si="32"/>
        <v>75.5</v>
      </c>
      <c r="S107" s="715">
        <f t="shared" si="32"/>
        <v>946</v>
      </c>
      <c r="T107" s="715">
        <f t="shared" si="32"/>
        <v>72.769230769230774</v>
      </c>
      <c r="U107" s="715">
        <v>22</v>
      </c>
      <c r="V107" s="715"/>
      <c r="W107" s="715"/>
    </row>
    <row r="108" spans="1:23" ht="27" thickBot="1" x14ac:dyDescent="0.45">
      <c r="A108" s="869">
        <v>35</v>
      </c>
      <c r="B108" s="871"/>
      <c r="C108" s="872">
        <v>15</v>
      </c>
      <c r="D108" s="873" t="s">
        <v>17</v>
      </c>
      <c r="E108" s="714" t="s">
        <v>18</v>
      </c>
      <c r="F108" s="715">
        <v>75</v>
      </c>
      <c r="G108" s="715">
        <v>71</v>
      </c>
      <c r="H108" s="715">
        <v>82</v>
      </c>
      <c r="I108" s="715">
        <v>66</v>
      </c>
      <c r="J108" s="715">
        <v>52</v>
      </c>
      <c r="K108" s="715">
        <v>62</v>
      </c>
      <c r="L108" s="715">
        <v>57</v>
      </c>
      <c r="M108" s="715">
        <v>62</v>
      </c>
      <c r="N108" s="715">
        <v>58</v>
      </c>
      <c r="O108" s="715">
        <v>53</v>
      </c>
      <c r="P108" s="715">
        <v>51</v>
      </c>
      <c r="Q108" s="715">
        <v>78</v>
      </c>
      <c r="R108" s="715">
        <v>75</v>
      </c>
      <c r="S108" s="715">
        <v>842</v>
      </c>
      <c r="T108" s="716">
        <v>64.769230769230774</v>
      </c>
      <c r="U108" s="715">
        <v>31</v>
      </c>
      <c r="V108" s="718"/>
      <c r="W108" s="718"/>
    </row>
    <row r="109" spans="1:23" ht="27" thickBot="1" x14ac:dyDescent="0.45">
      <c r="A109" s="869"/>
      <c r="B109" s="871"/>
      <c r="C109" s="872"/>
      <c r="D109" s="873"/>
      <c r="E109" s="714" t="s">
        <v>19</v>
      </c>
      <c r="F109" s="715">
        <v>74</v>
      </c>
      <c r="G109" s="715">
        <v>68</v>
      </c>
      <c r="H109" s="715">
        <v>63</v>
      </c>
      <c r="I109" s="715">
        <v>67</v>
      </c>
      <c r="J109" s="715">
        <v>65</v>
      </c>
      <c r="K109" s="715">
        <v>54</v>
      </c>
      <c r="L109" s="715">
        <v>59</v>
      </c>
      <c r="M109" s="715">
        <v>54</v>
      </c>
      <c r="N109" s="715">
        <v>54</v>
      </c>
      <c r="O109" s="715">
        <v>68</v>
      </c>
      <c r="P109" s="715">
        <v>76</v>
      </c>
      <c r="Q109" s="715">
        <v>87</v>
      </c>
      <c r="R109" s="715">
        <v>77</v>
      </c>
      <c r="S109" s="715">
        <v>866</v>
      </c>
      <c r="T109" s="716">
        <v>66.615384615384613</v>
      </c>
      <c r="U109" s="715">
        <v>27</v>
      </c>
      <c r="V109" s="718"/>
      <c r="W109" s="718"/>
    </row>
    <row r="110" spans="1:23" ht="27" thickBot="1" x14ac:dyDescent="0.45">
      <c r="A110" s="869"/>
      <c r="B110" s="871"/>
      <c r="C110" s="872"/>
      <c r="D110" s="873"/>
      <c r="E110" s="714" t="s">
        <v>13</v>
      </c>
      <c r="F110" s="715">
        <f>AVERAGE(F108:F109)</f>
        <v>74.5</v>
      </c>
      <c r="G110" s="715">
        <f t="shared" ref="G110:T110" si="33">AVERAGE(G108:G109)</f>
        <v>69.5</v>
      </c>
      <c r="H110" s="715">
        <f t="shared" si="33"/>
        <v>72.5</v>
      </c>
      <c r="I110" s="715">
        <f t="shared" si="33"/>
        <v>66.5</v>
      </c>
      <c r="J110" s="715">
        <f t="shared" si="33"/>
        <v>58.5</v>
      </c>
      <c r="K110" s="715">
        <f t="shared" si="33"/>
        <v>58</v>
      </c>
      <c r="L110" s="715">
        <f t="shared" si="33"/>
        <v>58</v>
      </c>
      <c r="M110" s="715">
        <f t="shared" si="33"/>
        <v>58</v>
      </c>
      <c r="N110" s="715">
        <f t="shared" si="33"/>
        <v>56</v>
      </c>
      <c r="O110" s="715">
        <f t="shared" si="33"/>
        <v>60.5</v>
      </c>
      <c r="P110" s="715">
        <f t="shared" si="33"/>
        <v>63.5</v>
      </c>
      <c r="Q110" s="715">
        <f t="shared" si="33"/>
        <v>82.5</v>
      </c>
      <c r="R110" s="715">
        <f t="shared" si="33"/>
        <v>76</v>
      </c>
      <c r="S110" s="715">
        <f t="shared" si="33"/>
        <v>854</v>
      </c>
      <c r="T110" s="715">
        <f t="shared" si="33"/>
        <v>65.692307692307693</v>
      </c>
      <c r="U110" s="715">
        <v>29</v>
      </c>
      <c r="V110" s="715"/>
      <c r="W110" s="715"/>
    </row>
    <row r="111" spans="1:23" ht="27" thickBot="1" x14ac:dyDescent="0.45">
      <c r="A111" s="869">
        <v>36</v>
      </c>
      <c r="B111" s="871"/>
      <c r="C111" s="872">
        <v>16</v>
      </c>
      <c r="D111" s="873" t="s">
        <v>17</v>
      </c>
      <c r="E111" s="714" t="s">
        <v>18</v>
      </c>
      <c r="F111" s="715">
        <v>63</v>
      </c>
      <c r="G111" s="715">
        <v>68</v>
      </c>
      <c r="H111" s="715">
        <v>78</v>
      </c>
      <c r="I111" s="719">
        <v>42</v>
      </c>
      <c r="J111" s="715">
        <v>49</v>
      </c>
      <c r="K111" s="715">
        <v>60</v>
      </c>
      <c r="L111" s="715">
        <v>54</v>
      </c>
      <c r="M111" s="715">
        <v>57</v>
      </c>
      <c r="N111" s="715">
        <v>69</v>
      </c>
      <c r="O111" s="715">
        <v>62</v>
      </c>
      <c r="P111" s="715">
        <v>65</v>
      </c>
      <c r="Q111" s="715">
        <v>71</v>
      </c>
      <c r="R111" s="715">
        <v>86</v>
      </c>
      <c r="S111" s="715">
        <v>824</v>
      </c>
      <c r="T111" s="716">
        <v>63.384615384615387</v>
      </c>
      <c r="U111" s="715">
        <v>34</v>
      </c>
      <c r="V111" s="718"/>
      <c r="W111" s="718"/>
    </row>
    <row r="112" spans="1:23" ht="27" thickBot="1" x14ac:dyDescent="0.45">
      <c r="A112" s="869"/>
      <c r="B112" s="871"/>
      <c r="C112" s="872"/>
      <c r="D112" s="873"/>
      <c r="E112" s="714" t="s">
        <v>19</v>
      </c>
      <c r="F112" s="715">
        <v>78</v>
      </c>
      <c r="G112" s="715">
        <v>65</v>
      </c>
      <c r="H112" s="715">
        <v>58</v>
      </c>
      <c r="I112" s="719">
        <v>51</v>
      </c>
      <c r="J112" s="715">
        <v>54</v>
      </c>
      <c r="K112" s="715">
        <v>59</v>
      </c>
      <c r="L112" s="715">
        <v>52</v>
      </c>
      <c r="M112" s="715">
        <v>63</v>
      </c>
      <c r="N112" s="715">
        <v>59</v>
      </c>
      <c r="O112" s="715">
        <v>69</v>
      </c>
      <c r="P112" s="715">
        <v>63</v>
      </c>
      <c r="Q112" s="715">
        <v>81</v>
      </c>
      <c r="R112" s="715">
        <v>83</v>
      </c>
      <c r="S112" s="715">
        <v>835</v>
      </c>
      <c r="T112" s="716">
        <v>64.230769230769226</v>
      </c>
      <c r="U112" s="715">
        <v>34</v>
      </c>
      <c r="V112" s="718"/>
      <c r="W112" s="718"/>
    </row>
    <row r="113" spans="1:23" ht="27" thickBot="1" x14ac:dyDescent="0.45">
      <c r="A113" s="869"/>
      <c r="B113" s="871"/>
      <c r="C113" s="872"/>
      <c r="D113" s="873"/>
      <c r="E113" s="714" t="s">
        <v>13</v>
      </c>
      <c r="F113" s="715">
        <f>AVERAGE(F111:F112)</f>
        <v>70.5</v>
      </c>
      <c r="G113" s="715">
        <f t="shared" ref="G113:T113" si="34">AVERAGE(G111:G112)</f>
        <v>66.5</v>
      </c>
      <c r="H113" s="715">
        <f t="shared" si="34"/>
        <v>68</v>
      </c>
      <c r="I113" s="715">
        <f t="shared" si="34"/>
        <v>46.5</v>
      </c>
      <c r="J113" s="715">
        <f t="shared" si="34"/>
        <v>51.5</v>
      </c>
      <c r="K113" s="715">
        <f t="shared" si="34"/>
        <v>59.5</v>
      </c>
      <c r="L113" s="715">
        <f t="shared" si="34"/>
        <v>53</v>
      </c>
      <c r="M113" s="715">
        <f t="shared" si="34"/>
        <v>60</v>
      </c>
      <c r="N113" s="715">
        <f t="shared" si="34"/>
        <v>64</v>
      </c>
      <c r="O113" s="715">
        <f t="shared" si="34"/>
        <v>65.5</v>
      </c>
      <c r="P113" s="715">
        <f t="shared" si="34"/>
        <v>64</v>
      </c>
      <c r="Q113" s="715">
        <f t="shared" si="34"/>
        <v>76</v>
      </c>
      <c r="R113" s="715">
        <f t="shared" si="34"/>
        <v>84.5</v>
      </c>
      <c r="S113" s="715">
        <f t="shared" si="34"/>
        <v>829.5</v>
      </c>
      <c r="T113" s="715">
        <f t="shared" si="34"/>
        <v>63.807692307692307</v>
      </c>
      <c r="U113" s="715">
        <v>34</v>
      </c>
      <c r="V113" s="715"/>
      <c r="W113" s="715"/>
    </row>
    <row r="114" spans="1:23" ht="27" thickBot="1" x14ac:dyDescent="0.45">
      <c r="A114" s="869">
        <v>37</v>
      </c>
      <c r="B114" s="871"/>
      <c r="C114" s="872">
        <v>15</v>
      </c>
      <c r="D114" s="873" t="s">
        <v>17</v>
      </c>
      <c r="E114" s="714" t="s">
        <v>18</v>
      </c>
      <c r="F114" s="715">
        <v>68</v>
      </c>
      <c r="G114" s="715">
        <v>46</v>
      </c>
      <c r="H114" s="715">
        <v>64</v>
      </c>
      <c r="I114" s="715">
        <v>56</v>
      </c>
      <c r="J114" s="715">
        <v>54</v>
      </c>
      <c r="K114" s="715">
        <v>57</v>
      </c>
      <c r="L114" s="715">
        <v>51</v>
      </c>
      <c r="M114" s="715">
        <v>56</v>
      </c>
      <c r="N114" s="715">
        <v>59</v>
      </c>
      <c r="O114" s="715">
        <v>61</v>
      </c>
      <c r="P114" s="715">
        <v>79</v>
      </c>
      <c r="Q114" s="715">
        <v>77</v>
      </c>
      <c r="R114" s="715">
        <v>85</v>
      </c>
      <c r="S114" s="715">
        <v>813</v>
      </c>
      <c r="T114" s="716">
        <v>62.53846153846154</v>
      </c>
      <c r="U114" s="715">
        <v>39</v>
      </c>
      <c r="V114" s="718"/>
      <c r="W114" s="718"/>
    </row>
    <row r="115" spans="1:23" ht="27" thickBot="1" x14ac:dyDescent="0.45">
      <c r="A115" s="869"/>
      <c r="B115" s="871"/>
      <c r="C115" s="872"/>
      <c r="D115" s="873"/>
      <c r="E115" s="714" t="s">
        <v>19</v>
      </c>
      <c r="F115" s="715">
        <v>76</v>
      </c>
      <c r="G115" s="715">
        <v>61</v>
      </c>
      <c r="H115" s="715">
        <v>52</v>
      </c>
      <c r="I115" s="715">
        <v>56</v>
      </c>
      <c r="J115" s="715">
        <v>57</v>
      </c>
      <c r="K115" s="715">
        <v>49</v>
      </c>
      <c r="L115" s="715">
        <v>61</v>
      </c>
      <c r="M115" s="715">
        <v>47</v>
      </c>
      <c r="N115" s="715">
        <v>50</v>
      </c>
      <c r="O115" s="715">
        <v>66</v>
      </c>
      <c r="P115" s="715">
        <v>65</v>
      </c>
      <c r="Q115" s="715">
        <v>71</v>
      </c>
      <c r="R115" s="715">
        <v>77</v>
      </c>
      <c r="S115" s="715">
        <v>788</v>
      </c>
      <c r="T115" s="716">
        <v>60.615384615384613</v>
      </c>
      <c r="U115" s="715">
        <v>44</v>
      </c>
      <c r="V115" s="718"/>
      <c r="W115" s="718"/>
    </row>
    <row r="116" spans="1:23" ht="27" thickBot="1" x14ac:dyDescent="0.45">
      <c r="A116" s="869"/>
      <c r="B116" s="871"/>
      <c r="C116" s="872"/>
      <c r="D116" s="873"/>
      <c r="E116" s="714" t="s">
        <v>13</v>
      </c>
      <c r="F116" s="715">
        <f>AVERAGE(F114:F115)</f>
        <v>72</v>
      </c>
      <c r="G116" s="715">
        <f t="shared" ref="G116:T116" si="35">AVERAGE(G114:G115)</f>
        <v>53.5</v>
      </c>
      <c r="H116" s="715">
        <f t="shared" si="35"/>
        <v>58</v>
      </c>
      <c r="I116" s="715">
        <f t="shared" si="35"/>
        <v>56</v>
      </c>
      <c r="J116" s="715">
        <f t="shared" si="35"/>
        <v>55.5</v>
      </c>
      <c r="K116" s="715">
        <f t="shared" si="35"/>
        <v>53</v>
      </c>
      <c r="L116" s="715">
        <f t="shared" si="35"/>
        <v>56</v>
      </c>
      <c r="M116" s="715">
        <f t="shared" si="35"/>
        <v>51.5</v>
      </c>
      <c r="N116" s="715">
        <f t="shared" si="35"/>
        <v>54.5</v>
      </c>
      <c r="O116" s="715">
        <f t="shared" si="35"/>
        <v>63.5</v>
      </c>
      <c r="P116" s="715">
        <f t="shared" si="35"/>
        <v>72</v>
      </c>
      <c r="Q116" s="715">
        <f t="shared" si="35"/>
        <v>74</v>
      </c>
      <c r="R116" s="715">
        <f t="shared" si="35"/>
        <v>81</v>
      </c>
      <c r="S116" s="715">
        <f t="shared" si="35"/>
        <v>800.5</v>
      </c>
      <c r="T116" s="715">
        <f t="shared" si="35"/>
        <v>61.57692307692308</v>
      </c>
      <c r="U116" s="715">
        <v>40</v>
      </c>
      <c r="V116" s="715"/>
      <c r="W116" s="715"/>
    </row>
    <row r="117" spans="1:23" ht="27" thickBot="1" x14ac:dyDescent="0.45">
      <c r="A117" s="869">
        <v>38</v>
      </c>
      <c r="B117" s="871"/>
      <c r="C117" s="872">
        <v>15</v>
      </c>
      <c r="D117" s="873" t="s">
        <v>20</v>
      </c>
      <c r="E117" s="714" t="s">
        <v>18</v>
      </c>
      <c r="F117" s="715">
        <v>94</v>
      </c>
      <c r="G117" s="715">
        <v>68</v>
      </c>
      <c r="H117" s="715">
        <v>82</v>
      </c>
      <c r="I117" s="715">
        <v>72</v>
      </c>
      <c r="J117" s="715">
        <v>69</v>
      </c>
      <c r="K117" s="715">
        <v>84</v>
      </c>
      <c r="L117" s="715">
        <v>78</v>
      </c>
      <c r="M117" s="715">
        <v>81</v>
      </c>
      <c r="N117" s="715">
        <v>78</v>
      </c>
      <c r="O117" s="715">
        <v>80</v>
      </c>
      <c r="P117" s="715">
        <v>88</v>
      </c>
      <c r="Q117" s="715">
        <v>89</v>
      </c>
      <c r="R117" s="715">
        <v>90</v>
      </c>
      <c r="S117" s="715">
        <v>1053</v>
      </c>
      <c r="T117" s="716">
        <v>81</v>
      </c>
      <c r="U117" s="715">
        <v>7</v>
      </c>
      <c r="V117" s="718"/>
      <c r="W117" s="718"/>
    </row>
    <row r="118" spans="1:23" ht="27" thickBot="1" x14ac:dyDescent="0.45">
      <c r="A118" s="869"/>
      <c r="B118" s="871"/>
      <c r="C118" s="872"/>
      <c r="D118" s="873"/>
      <c r="E118" s="714" t="s">
        <v>19</v>
      </c>
      <c r="F118" s="715">
        <v>98</v>
      </c>
      <c r="G118" s="715">
        <v>68</v>
      </c>
      <c r="H118" s="715">
        <v>73</v>
      </c>
      <c r="I118" s="715">
        <v>76</v>
      </c>
      <c r="J118" s="715">
        <v>70</v>
      </c>
      <c r="K118" s="715">
        <v>67</v>
      </c>
      <c r="L118" s="715">
        <v>70</v>
      </c>
      <c r="M118" s="715">
        <v>89</v>
      </c>
      <c r="N118" s="715">
        <v>72</v>
      </c>
      <c r="O118" s="715">
        <v>86</v>
      </c>
      <c r="P118" s="715">
        <v>89</v>
      </c>
      <c r="Q118" s="715">
        <v>86</v>
      </c>
      <c r="R118" s="715">
        <v>86</v>
      </c>
      <c r="S118" s="715">
        <v>1030</v>
      </c>
      <c r="T118" s="716">
        <v>79.230769230769226</v>
      </c>
      <c r="U118" s="715">
        <v>11</v>
      </c>
      <c r="V118" s="718"/>
      <c r="W118" s="718"/>
    </row>
    <row r="119" spans="1:23" ht="27" thickBot="1" x14ac:dyDescent="0.45">
      <c r="A119" s="869"/>
      <c r="B119" s="871"/>
      <c r="C119" s="872"/>
      <c r="D119" s="873"/>
      <c r="E119" s="714" t="s">
        <v>13</v>
      </c>
      <c r="F119" s="715">
        <f>AVERAGE(F117:F118)</f>
        <v>96</v>
      </c>
      <c r="G119" s="715">
        <f t="shared" ref="G119:T119" si="36">AVERAGE(G117:G118)</f>
        <v>68</v>
      </c>
      <c r="H119" s="715">
        <f t="shared" si="36"/>
        <v>77.5</v>
      </c>
      <c r="I119" s="715">
        <f t="shared" si="36"/>
        <v>74</v>
      </c>
      <c r="J119" s="715">
        <f t="shared" si="36"/>
        <v>69.5</v>
      </c>
      <c r="K119" s="715">
        <f t="shared" si="36"/>
        <v>75.5</v>
      </c>
      <c r="L119" s="715">
        <f t="shared" si="36"/>
        <v>74</v>
      </c>
      <c r="M119" s="715">
        <f t="shared" si="36"/>
        <v>85</v>
      </c>
      <c r="N119" s="715">
        <f t="shared" si="36"/>
        <v>75</v>
      </c>
      <c r="O119" s="715">
        <f t="shared" si="36"/>
        <v>83</v>
      </c>
      <c r="P119" s="715">
        <f t="shared" si="36"/>
        <v>88.5</v>
      </c>
      <c r="Q119" s="715">
        <f t="shared" si="36"/>
        <v>87.5</v>
      </c>
      <c r="R119" s="715">
        <f t="shared" si="36"/>
        <v>88</v>
      </c>
      <c r="S119" s="715">
        <f t="shared" si="36"/>
        <v>1041.5</v>
      </c>
      <c r="T119" s="715">
        <f t="shared" si="36"/>
        <v>80.115384615384613</v>
      </c>
      <c r="U119" s="715">
        <v>8</v>
      </c>
      <c r="V119" s="715"/>
      <c r="W119" s="715"/>
    </row>
    <row r="120" spans="1:23" ht="27" thickBot="1" x14ac:dyDescent="0.45">
      <c r="A120" s="869">
        <v>39</v>
      </c>
      <c r="B120" s="871"/>
      <c r="C120" s="872">
        <v>14</v>
      </c>
      <c r="D120" s="873" t="s">
        <v>20</v>
      </c>
      <c r="E120" s="714" t="s">
        <v>18</v>
      </c>
      <c r="F120" s="715">
        <v>79</v>
      </c>
      <c r="G120" s="715">
        <v>54</v>
      </c>
      <c r="H120" s="715">
        <v>83</v>
      </c>
      <c r="I120" s="719">
        <v>51</v>
      </c>
      <c r="J120" s="715">
        <v>55</v>
      </c>
      <c r="K120" s="715">
        <v>58</v>
      </c>
      <c r="L120" s="715">
        <v>45</v>
      </c>
      <c r="M120" s="715">
        <v>54</v>
      </c>
      <c r="N120" s="715">
        <v>56</v>
      </c>
      <c r="O120" s="715">
        <v>53</v>
      </c>
      <c r="P120" s="715">
        <v>72</v>
      </c>
      <c r="Q120" s="715">
        <v>65</v>
      </c>
      <c r="R120" s="715">
        <v>74</v>
      </c>
      <c r="S120" s="715">
        <v>799</v>
      </c>
      <c r="T120" s="716">
        <v>61.46153846153846</v>
      </c>
      <c r="U120" s="715">
        <v>41</v>
      </c>
      <c r="V120" s="718"/>
      <c r="W120" s="718"/>
    </row>
    <row r="121" spans="1:23" ht="27" thickBot="1" x14ac:dyDescent="0.45">
      <c r="A121" s="869"/>
      <c r="B121" s="871"/>
      <c r="C121" s="872"/>
      <c r="D121" s="873"/>
      <c r="E121" s="714" t="s">
        <v>19</v>
      </c>
      <c r="F121" s="715">
        <v>79</v>
      </c>
      <c r="G121" s="715">
        <v>51</v>
      </c>
      <c r="H121" s="715">
        <v>59</v>
      </c>
      <c r="I121" s="719">
        <v>59</v>
      </c>
      <c r="J121" s="715">
        <v>62</v>
      </c>
      <c r="K121" s="715">
        <v>57</v>
      </c>
      <c r="L121" s="715">
        <v>53</v>
      </c>
      <c r="M121" s="715">
        <v>60</v>
      </c>
      <c r="N121" s="715">
        <v>53</v>
      </c>
      <c r="O121" s="715">
        <v>77</v>
      </c>
      <c r="P121" s="715">
        <v>70</v>
      </c>
      <c r="Q121" s="715">
        <v>82</v>
      </c>
      <c r="R121" s="715">
        <v>79</v>
      </c>
      <c r="S121" s="715">
        <v>841</v>
      </c>
      <c r="T121" s="716">
        <v>64.692307692307693</v>
      </c>
      <c r="U121" s="715">
        <v>33</v>
      </c>
      <c r="V121" s="718"/>
      <c r="W121" s="718"/>
    </row>
    <row r="122" spans="1:23" ht="27" thickBot="1" x14ac:dyDescent="0.45">
      <c r="A122" s="869"/>
      <c r="B122" s="871"/>
      <c r="C122" s="872"/>
      <c r="D122" s="873"/>
      <c r="E122" s="714" t="s">
        <v>13</v>
      </c>
      <c r="F122" s="715">
        <f>AVERAGE(F120:F121)</f>
        <v>79</v>
      </c>
      <c r="G122" s="715">
        <f t="shared" ref="G122:T122" si="37">AVERAGE(G120:G121)</f>
        <v>52.5</v>
      </c>
      <c r="H122" s="715">
        <f t="shared" si="37"/>
        <v>71</v>
      </c>
      <c r="I122" s="715">
        <f t="shared" si="37"/>
        <v>55</v>
      </c>
      <c r="J122" s="715">
        <f t="shared" si="37"/>
        <v>58.5</v>
      </c>
      <c r="K122" s="715">
        <f t="shared" si="37"/>
        <v>57.5</v>
      </c>
      <c r="L122" s="715">
        <f t="shared" si="37"/>
        <v>49</v>
      </c>
      <c r="M122" s="715">
        <f t="shared" si="37"/>
        <v>57</v>
      </c>
      <c r="N122" s="715">
        <f t="shared" si="37"/>
        <v>54.5</v>
      </c>
      <c r="O122" s="715">
        <f t="shared" si="37"/>
        <v>65</v>
      </c>
      <c r="P122" s="715">
        <f t="shared" si="37"/>
        <v>71</v>
      </c>
      <c r="Q122" s="715">
        <f t="shared" si="37"/>
        <v>73.5</v>
      </c>
      <c r="R122" s="715">
        <f t="shared" si="37"/>
        <v>76.5</v>
      </c>
      <c r="S122" s="715">
        <f t="shared" si="37"/>
        <v>820</v>
      </c>
      <c r="T122" s="715">
        <f t="shared" si="37"/>
        <v>63.07692307692308</v>
      </c>
      <c r="U122" s="715">
        <v>36</v>
      </c>
      <c r="V122" s="715"/>
      <c r="W122" s="715"/>
    </row>
    <row r="123" spans="1:23" ht="27" thickBot="1" x14ac:dyDescent="0.45">
      <c r="A123" s="869">
        <v>40</v>
      </c>
      <c r="B123" s="871"/>
      <c r="C123" s="872">
        <v>14</v>
      </c>
      <c r="D123" s="873" t="s">
        <v>17</v>
      </c>
      <c r="E123" s="714" t="s">
        <v>18</v>
      </c>
      <c r="F123" s="715">
        <v>86</v>
      </c>
      <c r="G123" s="715">
        <v>75</v>
      </c>
      <c r="H123" s="715">
        <v>80</v>
      </c>
      <c r="I123" s="715">
        <v>73</v>
      </c>
      <c r="J123" s="715">
        <v>67</v>
      </c>
      <c r="K123" s="715">
        <v>77</v>
      </c>
      <c r="L123" s="715">
        <v>72</v>
      </c>
      <c r="M123" s="719">
        <v>76</v>
      </c>
      <c r="N123" s="715">
        <v>75</v>
      </c>
      <c r="O123" s="715">
        <v>85</v>
      </c>
      <c r="P123" s="715">
        <v>92</v>
      </c>
      <c r="Q123" s="715">
        <v>83</v>
      </c>
      <c r="R123" s="715">
        <v>97</v>
      </c>
      <c r="S123" s="715">
        <v>1038</v>
      </c>
      <c r="T123" s="716">
        <v>79.84615384615384</v>
      </c>
      <c r="U123" s="715">
        <v>10</v>
      </c>
      <c r="V123" s="718"/>
      <c r="W123" s="718"/>
    </row>
    <row r="124" spans="1:23" ht="27" thickBot="1" x14ac:dyDescent="0.45">
      <c r="A124" s="869"/>
      <c r="B124" s="871"/>
      <c r="C124" s="872"/>
      <c r="D124" s="873"/>
      <c r="E124" s="714" t="s">
        <v>19</v>
      </c>
      <c r="F124" s="715">
        <v>83</v>
      </c>
      <c r="G124" s="715">
        <v>74</v>
      </c>
      <c r="H124" s="715">
        <v>50</v>
      </c>
      <c r="I124" s="715">
        <v>82</v>
      </c>
      <c r="J124" s="715">
        <v>68</v>
      </c>
      <c r="K124" s="715">
        <v>65</v>
      </c>
      <c r="L124" s="715">
        <v>67</v>
      </c>
      <c r="M124" s="719">
        <v>76</v>
      </c>
      <c r="N124" s="715">
        <v>61</v>
      </c>
      <c r="O124" s="715">
        <v>80</v>
      </c>
      <c r="P124" s="715">
        <v>84</v>
      </c>
      <c r="Q124" s="715">
        <v>77</v>
      </c>
      <c r="R124" s="715">
        <v>84</v>
      </c>
      <c r="S124" s="715">
        <v>951</v>
      </c>
      <c r="T124" s="716">
        <v>73.15384615384616</v>
      </c>
      <c r="U124" s="715">
        <v>20</v>
      </c>
      <c r="V124" s="718"/>
      <c r="W124" s="718"/>
    </row>
    <row r="125" spans="1:23" ht="27" thickBot="1" x14ac:dyDescent="0.45">
      <c r="A125" s="869"/>
      <c r="B125" s="871"/>
      <c r="C125" s="872"/>
      <c r="D125" s="873"/>
      <c r="E125" s="714" t="s">
        <v>13</v>
      </c>
      <c r="F125" s="715">
        <f>AVERAGE(F123:F124)</f>
        <v>84.5</v>
      </c>
      <c r="G125" s="715">
        <f t="shared" ref="G125:T125" si="38">AVERAGE(G123:G124)</f>
        <v>74.5</v>
      </c>
      <c r="H125" s="715">
        <f t="shared" si="38"/>
        <v>65</v>
      </c>
      <c r="I125" s="715">
        <f t="shared" si="38"/>
        <v>77.5</v>
      </c>
      <c r="J125" s="715">
        <f t="shared" si="38"/>
        <v>67.5</v>
      </c>
      <c r="K125" s="715">
        <f t="shared" si="38"/>
        <v>71</v>
      </c>
      <c r="L125" s="715">
        <f t="shared" si="38"/>
        <v>69.5</v>
      </c>
      <c r="M125" s="715">
        <f t="shared" si="38"/>
        <v>76</v>
      </c>
      <c r="N125" s="715">
        <f t="shared" si="38"/>
        <v>68</v>
      </c>
      <c r="O125" s="715">
        <f t="shared" si="38"/>
        <v>82.5</v>
      </c>
      <c r="P125" s="715">
        <f t="shared" si="38"/>
        <v>88</v>
      </c>
      <c r="Q125" s="715">
        <f t="shared" si="38"/>
        <v>80</v>
      </c>
      <c r="R125" s="715">
        <f t="shared" si="38"/>
        <v>90.5</v>
      </c>
      <c r="S125" s="715">
        <f t="shared" si="38"/>
        <v>994.5</v>
      </c>
      <c r="T125" s="715">
        <f t="shared" si="38"/>
        <v>76.5</v>
      </c>
      <c r="U125" s="715">
        <v>17</v>
      </c>
      <c r="V125" s="715"/>
      <c r="W125" s="715"/>
    </row>
    <row r="126" spans="1:23" ht="27" thickBot="1" x14ac:dyDescent="0.45">
      <c r="A126" s="869">
        <v>41</v>
      </c>
      <c r="B126" s="871"/>
      <c r="C126" s="872">
        <v>15</v>
      </c>
      <c r="D126" s="873" t="s">
        <v>20</v>
      </c>
      <c r="E126" s="714" t="s">
        <v>18</v>
      </c>
      <c r="F126" s="715">
        <v>83</v>
      </c>
      <c r="G126" s="715">
        <v>69</v>
      </c>
      <c r="H126" s="715">
        <v>83</v>
      </c>
      <c r="I126" s="715">
        <v>69</v>
      </c>
      <c r="J126" s="715">
        <v>64</v>
      </c>
      <c r="K126" s="715">
        <v>67</v>
      </c>
      <c r="L126" s="715">
        <v>61</v>
      </c>
      <c r="M126" s="715">
        <v>72</v>
      </c>
      <c r="N126" s="715">
        <v>68</v>
      </c>
      <c r="O126" s="715">
        <v>76</v>
      </c>
      <c r="P126" s="715">
        <v>87</v>
      </c>
      <c r="Q126" s="715">
        <v>78</v>
      </c>
      <c r="R126" s="715">
        <v>87</v>
      </c>
      <c r="S126" s="715">
        <v>964</v>
      </c>
      <c r="T126" s="716">
        <v>74.15384615384616</v>
      </c>
      <c r="U126" s="715">
        <v>22</v>
      </c>
      <c r="V126" s="718"/>
      <c r="W126" s="718"/>
    </row>
    <row r="127" spans="1:23" ht="27" thickBot="1" x14ac:dyDescent="0.45">
      <c r="A127" s="869"/>
      <c r="B127" s="871"/>
      <c r="C127" s="872"/>
      <c r="D127" s="873"/>
      <c r="E127" s="714" t="s">
        <v>19</v>
      </c>
      <c r="F127" s="715">
        <v>91</v>
      </c>
      <c r="G127" s="715">
        <v>61</v>
      </c>
      <c r="H127" s="715">
        <v>64</v>
      </c>
      <c r="I127" s="715">
        <v>74</v>
      </c>
      <c r="J127" s="715">
        <v>73</v>
      </c>
      <c r="K127" s="715">
        <v>63</v>
      </c>
      <c r="L127" s="715">
        <v>61</v>
      </c>
      <c r="M127" s="715">
        <v>70</v>
      </c>
      <c r="N127" s="715">
        <v>63</v>
      </c>
      <c r="O127" s="715">
        <v>81</v>
      </c>
      <c r="P127" s="715">
        <v>78</v>
      </c>
      <c r="Q127" s="715">
        <v>83</v>
      </c>
      <c r="R127" s="715">
        <v>89</v>
      </c>
      <c r="S127" s="715">
        <v>951</v>
      </c>
      <c r="T127" s="716">
        <v>73.15384615384616</v>
      </c>
      <c r="U127" s="715">
        <v>20</v>
      </c>
      <c r="V127" s="718"/>
      <c r="W127" s="718"/>
    </row>
    <row r="128" spans="1:23" ht="27" thickBot="1" x14ac:dyDescent="0.45">
      <c r="A128" s="869"/>
      <c r="B128" s="871"/>
      <c r="C128" s="872"/>
      <c r="D128" s="873"/>
      <c r="E128" s="714" t="s">
        <v>13</v>
      </c>
      <c r="F128" s="715">
        <f>AVERAGE(F126:F127)</f>
        <v>87</v>
      </c>
      <c r="G128" s="715">
        <f t="shared" ref="G128:T128" si="39">AVERAGE(G126:G127)</f>
        <v>65</v>
      </c>
      <c r="H128" s="715">
        <f t="shared" si="39"/>
        <v>73.5</v>
      </c>
      <c r="I128" s="715">
        <f t="shared" si="39"/>
        <v>71.5</v>
      </c>
      <c r="J128" s="715">
        <f t="shared" si="39"/>
        <v>68.5</v>
      </c>
      <c r="K128" s="715">
        <f t="shared" si="39"/>
        <v>65</v>
      </c>
      <c r="L128" s="715">
        <f t="shared" si="39"/>
        <v>61</v>
      </c>
      <c r="M128" s="715">
        <f t="shared" si="39"/>
        <v>71</v>
      </c>
      <c r="N128" s="715">
        <f t="shared" si="39"/>
        <v>65.5</v>
      </c>
      <c r="O128" s="715">
        <f t="shared" si="39"/>
        <v>78.5</v>
      </c>
      <c r="P128" s="715">
        <f t="shared" si="39"/>
        <v>82.5</v>
      </c>
      <c r="Q128" s="715">
        <f t="shared" si="39"/>
        <v>80.5</v>
      </c>
      <c r="R128" s="715">
        <f t="shared" si="39"/>
        <v>88</v>
      </c>
      <c r="S128" s="715">
        <f t="shared" si="39"/>
        <v>957.5</v>
      </c>
      <c r="T128" s="715">
        <f t="shared" si="39"/>
        <v>73.65384615384616</v>
      </c>
      <c r="U128" s="715">
        <v>20</v>
      </c>
      <c r="V128" s="715"/>
      <c r="W128" s="715"/>
    </row>
    <row r="129" spans="1:23" ht="27" thickBot="1" x14ac:dyDescent="0.45">
      <c r="A129" s="869">
        <v>42</v>
      </c>
      <c r="B129" s="871"/>
      <c r="C129" s="872">
        <v>14</v>
      </c>
      <c r="D129" s="873" t="s">
        <v>20</v>
      </c>
      <c r="E129" s="714" t="s">
        <v>18</v>
      </c>
      <c r="F129" s="715">
        <v>87</v>
      </c>
      <c r="G129" s="719">
        <v>84</v>
      </c>
      <c r="H129" s="719">
        <v>84</v>
      </c>
      <c r="I129" s="719">
        <v>64</v>
      </c>
      <c r="J129" s="719">
        <v>70</v>
      </c>
      <c r="K129" s="715">
        <v>74</v>
      </c>
      <c r="L129" s="715">
        <v>72</v>
      </c>
      <c r="M129" s="715">
        <v>74</v>
      </c>
      <c r="N129" s="715">
        <v>79</v>
      </c>
      <c r="O129" s="715">
        <v>85</v>
      </c>
      <c r="P129" s="719">
        <v>88</v>
      </c>
      <c r="Q129" s="715">
        <v>83</v>
      </c>
      <c r="R129" s="715">
        <v>90</v>
      </c>
      <c r="S129" s="715">
        <v>1034</v>
      </c>
      <c r="T129" s="716">
        <v>79.538461538461533</v>
      </c>
      <c r="U129" s="715">
        <v>11</v>
      </c>
      <c r="V129" s="718"/>
      <c r="W129" s="718"/>
    </row>
    <row r="130" spans="1:23" ht="27" thickBot="1" x14ac:dyDescent="0.45">
      <c r="A130" s="869"/>
      <c r="B130" s="871"/>
      <c r="C130" s="872"/>
      <c r="D130" s="873"/>
      <c r="E130" s="714" t="s">
        <v>19</v>
      </c>
      <c r="F130" s="715">
        <v>84</v>
      </c>
      <c r="G130" s="719">
        <v>78</v>
      </c>
      <c r="H130" s="719">
        <v>71</v>
      </c>
      <c r="I130" s="719">
        <v>78</v>
      </c>
      <c r="J130" s="719">
        <v>64</v>
      </c>
      <c r="K130" s="715">
        <v>69</v>
      </c>
      <c r="L130" s="715">
        <v>74</v>
      </c>
      <c r="M130" s="715">
        <v>79</v>
      </c>
      <c r="N130" s="715">
        <v>70</v>
      </c>
      <c r="O130" s="715">
        <v>89</v>
      </c>
      <c r="P130" s="719">
        <v>80</v>
      </c>
      <c r="Q130" s="715">
        <v>97</v>
      </c>
      <c r="R130" s="715">
        <v>92</v>
      </c>
      <c r="S130" s="715">
        <v>1025</v>
      </c>
      <c r="T130" s="716">
        <v>78.84615384615384</v>
      </c>
      <c r="U130" s="715">
        <v>12</v>
      </c>
      <c r="V130" s="718"/>
      <c r="W130" s="718"/>
    </row>
    <row r="131" spans="1:23" ht="27" thickBot="1" x14ac:dyDescent="0.45">
      <c r="A131" s="869"/>
      <c r="B131" s="871"/>
      <c r="C131" s="872"/>
      <c r="D131" s="873"/>
      <c r="E131" s="714" t="s">
        <v>13</v>
      </c>
      <c r="F131" s="715">
        <f>AVERAGE(F129:F130)</f>
        <v>85.5</v>
      </c>
      <c r="G131" s="715">
        <f t="shared" ref="G131:T131" si="40">AVERAGE(G129:G130)</f>
        <v>81</v>
      </c>
      <c r="H131" s="715">
        <f t="shared" si="40"/>
        <v>77.5</v>
      </c>
      <c r="I131" s="715">
        <f t="shared" si="40"/>
        <v>71</v>
      </c>
      <c r="J131" s="715">
        <f t="shared" si="40"/>
        <v>67</v>
      </c>
      <c r="K131" s="715">
        <f t="shared" si="40"/>
        <v>71.5</v>
      </c>
      <c r="L131" s="715">
        <f t="shared" si="40"/>
        <v>73</v>
      </c>
      <c r="M131" s="715">
        <f t="shared" si="40"/>
        <v>76.5</v>
      </c>
      <c r="N131" s="715">
        <f t="shared" si="40"/>
        <v>74.5</v>
      </c>
      <c r="O131" s="715">
        <f t="shared" si="40"/>
        <v>87</v>
      </c>
      <c r="P131" s="715">
        <f t="shared" si="40"/>
        <v>84</v>
      </c>
      <c r="Q131" s="715">
        <f t="shared" si="40"/>
        <v>90</v>
      </c>
      <c r="R131" s="715">
        <f t="shared" si="40"/>
        <v>91</v>
      </c>
      <c r="S131" s="715">
        <f t="shared" si="40"/>
        <v>1029.5</v>
      </c>
      <c r="T131" s="715">
        <f t="shared" si="40"/>
        <v>79.192307692307679</v>
      </c>
      <c r="U131" s="715">
        <v>11</v>
      </c>
      <c r="V131" s="715"/>
      <c r="W131" s="715"/>
    </row>
    <row r="132" spans="1:23" ht="27" thickBot="1" x14ac:dyDescent="0.45">
      <c r="A132" s="869">
        <v>43</v>
      </c>
      <c r="B132" s="871"/>
      <c r="C132" s="872">
        <v>14</v>
      </c>
      <c r="D132" s="873" t="s">
        <v>20</v>
      </c>
      <c r="E132" s="714" t="s">
        <v>18</v>
      </c>
      <c r="F132" s="715">
        <v>86</v>
      </c>
      <c r="G132" s="719">
        <v>79</v>
      </c>
      <c r="H132" s="719">
        <v>85</v>
      </c>
      <c r="I132" s="719">
        <v>74</v>
      </c>
      <c r="J132" s="715">
        <v>58</v>
      </c>
      <c r="K132" s="719">
        <v>78</v>
      </c>
      <c r="L132" s="715">
        <v>88</v>
      </c>
      <c r="M132" s="719">
        <v>82</v>
      </c>
      <c r="N132" s="719">
        <v>89</v>
      </c>
      <c r="O132" s="715">
        <v>91</v>
      </c>
      <c r="P132" s="715">
        <v>94</v>
      </c>
      <c r="Q132" s="719">
        <v>84</v>
      </c>
      <c r="R132" s="719">
        <v>88</v>
      </c>
      <c r="S132" s="715">
        <v>1076</v>
      </c>
      <c r="T132" s="716">
        <v>82.769230769230774</v>
      </c>
      <c r="U132" s="715">
        <v>5</v>
      </c>
      <c r="V132" s="718"/>
      <c r="W132" s="718"/>
    </row>
    <row r="133" spans="1:23" ht="27" thickBot="1" x14ac:dyDescent="0.45">
      <c r="A133" s="869"/>
      <c r="B133" s="871"/>
      <c r="C133" s="872"/>
      <c r="D133" s="873"/>
      <c r="E133" s="714" t="s">
        <v>19</v>
      </c>
      <c r="F133" s="715">
        <v>91</v>
      </c>
      <c r="G133" s="719">
        <v>80</v>
      </c>
      <c r="H133" s="719">
        <v>81</v>
      </c>
      <c r="I133" s="719">
        <v>77</v>
      </c>
      <c r="J133" s="715">
        <v>76</v>
      </c>
      <c r="K133" s="719">
        <v>81</v>
      </c>
      <c r="L133" s="715">
        <v>89</v>
      </c>
      <c r="M133" s="719">
        <v>90</v>
      </c>
      <c r="N133" s="719">
        <v>92</v>
      </c>
      <c r="O133" s="715">
        <v>95</v>
      </c>
      <c r="P133" s="715">
        <v>99</v>
      </c>
      <c r="Q133" s="719">
        <v>90</v>
      </c>
      <c r="R133" s="719">
        <v>86</v>
      </c>
      <c r="S133" s="715">
        <v>1127</v>
      </c>
      <c r="T133" s="716">
        <v>86.692307692307693</v>
      </c>
      <c r="U133" s="715">
        <v>3</v>
      </c>
      <c r="V133" s="718"/>
      <c r="W133" s="718"/>
    </row>
    <row r="134" spans="1:23" ht="27" thickBot="1" x14ac:dyDescent="0.45">
      <c r="A134" s="869"/>
      <c r="B134" s="871"/>
      <c r="C134" s="872"/>
      <c r="D134" s="873"/>
      <c r="E134" s="714" t="s">
        <v>13</v>
      </c>
      <c r="F134" s="715">
        <f>AVERAGE(F132:F133)</f>
        <v>88.5</v>
      </c>
      <c r="G134" s="715">
        <f t="shared" ref="G134:T134" si="41">AVERAGE(G132:G133)</f>
        <v>79.5</v>
      </c>
      <c r="H134" s="715">
        <f t="shared" si="41"/>
        <v>83</v>
      </c>
      <c r="I134" s="715">
        <f t="shared" si="41"/>
        <v>75.5</v>
      </c>
      <c r="J134" s="715">
        <f t="shared" si="41"/>
        <v>67</v>
      </c>
      <c r="K134" s="715">
        <f t="shared" si="41"/>
        <v>79.5</v>
      </c>
      <c r="L134" s="715">
        <f t="shared" si="41"/>
        <v>88.5</v>
      </c>
      <c r="M134" s="715">
        <f t="shared" si="41"/>
        <v>86</v>
      </c>
      <c r="N134" s="715">
        <f t="shared" si="41"/>
        <v>90.5</v>
      </c>
      <c r="O134" s="715">
        <f t="shared" si="41"/>
        <v>93</v>
      </c>
      <c r="P134" s="715">
        <f t="shared" si="41"/>
        <v>96.5</v>
      </c>
      <c r="Q134" s="715">
        <f t="shared" si="41"/>
        <v>87</v>
      </c>
      <c r="R134" s="715">
        <f t="shared" si="41"/>
        <v>87</v>
      </c>
      <c r="S134" s="715">
        <f t="shared" si="41"/>
        <v>1101.5</v>
      </c>
      <c r="T134" s="715">
        <f t="shared" si="41"/>
        <v>84.730769230769226</v>
      </c>
      <c r="U134" s="715">
        <v>3</v>
      </c>
      <c r="V134" s="715"/>
      <c r="W134" s="715"/>
    </row>
    <row r="135" spans="1:23" ht="27" thickBot="1" x14ac:dyDescent="0.45">
      <c r="A135" s="869">
        <v>44</v>
      </c>
      <c r="B135" s="871"/>
      <c r="C135" s="872">
        <v>14</v>
      </c>
      <c r="D135" s="873" t="s">
        <v>20</v>
      </c>
      <c r="E135" s="714" t="s">
        <v>18</v>
      </c>
      <c r="F135" s="715">
        <v>78</v>
      </c>
      <c r="G135" s="715">
        <v>69</v>
      </c>
      <c r="H135" s="715">
        <v>86</v>
      </c>
      <c r="I135" s="715">
        <v>61</v>
      </c>
      <c r="J135" s="715">
        <v>60</v>
      </c>
      <c r="K135" s="715">
        <v>71</v>
      </c>
      <c r="L135" s="715">
        <v>64</v>
      </c>
      <c r="M135" s="715">
        <v>63</v>
      </c>
      <c r="N135" s="715">
        <v>73</v>
      </c>
      <c r="O135" s="715">
        <v>74</v>
      </c>
      <c r="P135" s="715">
        <v>85</v>
      </c>
      <c r="Q135" s="715">
        <v>77</v>
      </c>
      <c r="R135" s="715">
        <v>76</v>
      </c>
      <c r="S135" s="715">
        <v>937</v>
      </c>
      <c r="T135" s="716">
        <v>72.07692307692308</v>
      </c>
      <c r="U135" s="715">
        <v>24</v>
      </c>
      <c r="V135" s="718"/>
      <c r="W135" s="718"/>
    </row>
    <row r="136" spans="1:23" ht="27" thickBot="1" x14ac:dyDescent="0.45">
      <c r="A136" s="869"/>
      <c r="B136" s="871"/>
      <c r="C136" s="872"/>
      <c r="D136" s="873"/>
      <c r="E136" s="714" t="s">
        <v>19</v>
      </c>
      <c r="F136" s="715">
        <v>86</v>
      </c>
      <c r="G136" s="715">
        <v>72</v>
      </c>
      <c r="H136" s="715">
        <v>78</v>
      </c>
      <c r="I136" s="715">
        <v>71</v>
      </c>
      <c r="J136" s="715">
        <v>65</v>
      </c>
      <c r="K136" s="715">
        <v>65</v>
      </c>
      <c r="L136" s="715">
        <v>77</v>
      </c>
      <c r="M136" s="715">
        <v>75</v>
      </c>
      <c r="N136" s="715">
        <v>63</v>
      </c>
      <c r="O136" s="715">
        <v>70</v>
      </c>
      <c r="P136" s="715">
        <v>81</v>
      </c>
      <c r="Q136" s="715">
        <v>84</v>
      </c>
      <c r="R136" s="715">
        <v>78</v>
      </c>
      <c r="S136" s="715">
        <v>965</v>
      </c>
      <c r="T136" s="716">
        <v>74.230769230769226</v>
      </c>
      <c r="U136" s="715">
        <v>18</v>
      </c>
      <c r="V136" s="718"/>
      <c r="W136" s="718"/>
    </row>
    <row r="137" spans="1:23" ht="27" thickBot="1" x14ac:dyDescent="0.45">
      <c r="A137" s="869"/>
      <c r="B137" s="871"/>
      <c r="C137" s="872"/>
      <c r="D137" s="873"/>
      <c r="E137" s="714" t="s">
        <v>13</v>
      </c>
      <c r="F137" s="715">
        <f>AVERAGE(F135:F136)</f>
        <v>82</v>
      </c>
      <c r="G137" s="715">
        <f t="shared" ref="G137:T137" si="42">AVERAGE(G135:G136)</f>
        <v>70.5</v>
      </c>
      <c r="H137" s="715">
        <f t="shared" si="42"/>
        <v>82</v>
      </c>
      <c r="I137" s="715">
        <f t="shared" si="42"/>
        <v>66</v>
      </c>
      <c r="J137" s="715">
        <f t="shared" si="42"/>
        <v>62.5</v>
      </c>
      <c r="K137" s="715">
        <f t="shared" si="42"/>
        <v>68</v>
      </c>
      <c r="L137" s="715">
        <f t="shared" si="42"/>
        <v>70.5</v>
      </c>
      <c r="M137" s="715">
        <f t="shared" si="42"/>
        <v>69</v>
      </c>
      <c r="N137" s="715">
        <f t="shared" si="42"/>
        <v>68</v>
      </c>
      <c r="O137" s="715">
        <f t="shared" si="42"/>
        <v>72</v>
      </c>
      <c r="P137" s="715">
        <f t="shared" si="42"/>
        <v>83</v>
      </c>
      <c r="Q137" s="715">
        <f t="shared" si="42"/>
        <v>80.5</v>
      </c>
      <c r="R137" s="715">
        <f t="shared" si="42"/>
        <v>77</v>
      </c>
      <c r="S137" s="715">
        <f t="shared" si="42"/>
        <v>951</v>
      </c>
      <c r="T137" s="715">
        <f t="shared" si="42"/>
        <v>73.15384615384616</v>
      </c>
      <c r="U137" s="715">
        <v>21</v>
      </c>
      <c r="V137" s="715"/>
      <c r="W137" s="715"/>
    </row>
    <row r="138" spans="1:23" ht="27" thickBot="1" x14ac:dyDescent="0.45">
      <c r="A138" s="869">
        <v>45</v>
      </c>
      <c r="B138" s="871"/>
      <c r="C138" s="872">
        <v>14</v>
      </c>
      <c r="D138" s="873" t="s">
        <v>20</v>
      </c>
      <c r="E138" s="714" t="s">
        <v>18</v>
      </c>
      <c r="F138" s="715">
        <v>87</v>
      </c>
      <c r="G138" s="715">
        <v>91</v>
      </c>
      <c r="H138" s="715">
        <v>81</v>
      </c>
      <c r="I138" s="715">
        <v>77</v>
      </c>
      <c r="J138" s="715">
        <v>82</v>
      </c>
      <c r="K138" s="715">
        <v>78</v>
      </c>
      <c r="L138" s="715">
        <v>82</v>
      </c>
      <c r="M138" s="715">
        <v>82</v>
      </c>
      <c r="N138" s="715">
        <v>84</v>
      </c>
      <c r="O138" s="715">
        <v>91</v>
      </c>
      <c r="P138" s="715">
        <v>91</v>
      </c>
      <c r="Q138" s="715">
        <v>85</v>
      </c>
      <c r="R138" s="715">
        <v>90</v>
      </c>
      <c r="S138" s="715">
        <v>1101</v>
      </c>
      <c r="T138" s="716">
        <v>84.692307692307693</v>
      </c>
      <c r="U138" s="715">
        <v>3</v>
      </c>
      <c r="V138" s="718"/>
      <c r="W138" s="718"/>
    </row>
    <row r="139" spans="1:23" ht="27" thickBot="1" x14ac:dyDescent="0.45">
      <c r="A139" s="869"/>
      <c r="B139" s="871"/>
      <c r="C139" s="872"/>
      <c r="D139" s="873"/>
      <c r="E139" s="714" t="s">
        <v>19</v>
      </c>
      <c r="F139" s="715">
        <v>81</v>
      </c>
      <c r="G139" s="715">
        <v>93</v>
      </c>
      <c r="H139" s="715">
        <v>70</v>
      </c>
      <c r="I139" s="715">
        <v>80</v>
      </c>
      <c r="J139" s="715">
        <v>62</v>
      </c>
      <c r="K139" s="715">
        <v>66</v>
      </c>
      <c r="L139" s="715">
        <v>71</v>
      </c>
      <c r="M139" s="715">
        <v>88</v>
      </c>
      <c r="N139" s="715">
        <v>80</v>
      </c>
      <c r="O139" s="715">
        <v>83</v>
      </c>
      <c r="P139" s="715">
        <v>87</v>
      </c>
      <c r="Q139" s="715">
        <v>92</v>
      </c>
      <c r="R139" s="715">
        <v>78</v>
      </c>
      <c r="S139" s="715">
        <v>1031</v>
      </c>
      <c r="T139" s="716">
        <v>79.307692307692307</v>
      </c>
      <c r="U139" s="715">
        <v>10</v>
      </c>
      <c r="V139" s="718"/>
      <c r="W139" s="718"/>
    </row>
    <row r="140" spans="1:23" ht="27" thickBot="1" x14ac:dyDescent="0.45">
      <c r="A140" s="869"/>
      <c r="B140" s="871"/>
      <c r="C140" s="872"/>
      <c r="D140" s="873"/>
      <c r="E140" s="714" t="s">
        <v>13</v>
      </c>
      <c r="F140" s="715">
        <f>AVERAGE(F138:F139)</f>
        <v>84</v>
      </c>
      <c r="G140" s="715">
        <f t="shared" ref="G140:T140" si="43">AVERAGE(G138:G139)</f>
        <v>92</v>
      </c>
      <c r="H140" s="715">
        <f t="shared" si="43"/>
        <v>75.5</v>
      </c>
      <c r="I140" s="715">
        <f t="shared" si="43"/>
        <v>78.5</v>
      </c>
      <c r="J140" s="715">
        <f t="shared" si="43"/>
        <v>72</v>
      </c>
      <c r="K140" s="715">
        <f t="shared" si="43"/>
        <v>72</v>
      </c>
      <c r="L140" s="715">
        <f t="shared" si="43"/>
        <v>76.5</v>
      </c>
      <c r="M140" s="715">
        <f t="shared" si="43"/>
        <v>85</v>
      </c>
      <c r="N140" s="715">
        <f t="shared" si="43"/>
        <v>82</v>
      </c>
      <c r="O140" s="715">
        <f t="shared" si="43"/>
        <v>87</v>
      </c>
      <c r="P140" s="715">
        <f t="shared" si="43"/>
        <v>89</v>
      </c>
      <c r="Q140" s="715">
        <f t="shared" si="43"/>
        <v>88.5</v>
      </c>
      <c r="R140" s="715">
        <f t="shared" si="43"/>
        <v>84</v>
      </c>
      <c r="S140" s="715">
        <f t="shared" si="43"/>
        <v>1066</v>
      </c>
      <c r="T140" s="715">
        <f t="shared" si="43"/>
        <v>82</v>
      </c>
      <c r="U140" s="715">
        <v>6</v>
      </c>
      <c r="V140" s="715"/>
      <c r="W140" s="715"/>
    </row>
    <row r="141" spans="1:23" ht="27" thickBot="1" x14ac:dyDescent="0.45">
      <c r="A141" s="869">
        <v>46</v>
      </c>
      <c r="B141" s="871"/>
      <c r="C141" s="872">
        <v>15</v>
      </c>
      <c r="D141" s="873" t="s">
        <v>20</v>
      </c>
      <c r="E141" s="714" t="s">
        <v>18</v>
      </c>
      <c r="F141" s="715">
        <v>90</v>
      </c>
      <c r="G141" s="715">
        <v>76</v>
      </c>
      <c r="H141" s="715">
        <v>79</v>
      </c>
      <c r="I141" s="715">
        <v>79</v>
      </c>
      <c r="J141" s="715">
        <v>73</v>
      </c>
      <c r="K141" s="715">
        <v>83</v>
      </c>
      <c r="L141" s="715">
        <v>79</v>
      </c>
      <c r="M141" s="719">
        <v>63</v>
      </c>
      <c r="N141" s="715">
        <v>75</v>
      </c>
      <c r="O141" s="715">
        <v>84</v>
      </c>
      <c r="P141" s="715">
        <v>94</v>
      </c>
      <c r="Q141" s="715">
        <v>83</v>
      </c>
      <c r="R141" s="715">
        <v>96</v>
      </c>
      <c r="S141" s="715">
        <v>1054</v>
      </c>
      <c r="T141" s="716">
        <v>81.07692307692308</v>
      </c>
      <c r="U141" s="715">
        <v>6</v>
      </c>
      <c r="V141" s="718"/>
      <c r="W141" s="718"/>
    </row>
    <row r="142" spans="1:23" ht="27" thickBot="1" x14ac:dyDescent="0.45">
      <c r="A142" s="869"/>
      <c r="B142" s="871"/>
      <c r="C142" s="872"/>
      <c r="D142" s="873"/>
      <c r="E142" s="714" t="s">
        <v>19</v>
      </c>
      <c r="F142" s="715">
        <v>91</v>
      </c>
      <c r="G142" s="715">
        <v>64</v>
      </c>
      <c r="H142" s="715">
        <v>73</v>
      </c>
      <c r="I142" s="715">
        <v>94</v>
      </c>
      <c r="J142" s="715">
        <v>82</v>
      </c>
      <c r="K142" s="715">
        <v>87</v>
      </c>
      <c r="L142" s="715">
        <v>89</v>
      </c>
      <c r="M142" s="719">
        <v>88</v>
      </c>
      <c r="N142" s="715">
        <v>71</v>
      </c>
      <c r="O142" s="715">
        <v>80</v>
      </c>
      <c r="P142" s="715">
        <v>90</v>
      </c>
      <c r="Q142" s="715">
        <v>96</v>
      </c>
      <c r="R142" s="715">
        <v>92</v>
      </c>
      <c r="S142" s="715">
        <v>1097</v>
      </c>
      <c r="T142" s="716">
        <v>84.384615384615387</v>
      </c>
      <c r="U142" s="715">
        <v>4</v>
      </c>
      <c r="V142" s="718"/>
      <c r="W142" s="718"/>
    </row>
    <row r="143" spans="1:23" ht="27" thickBot="1" x14ac:dyDescent="0.45">
      <c r="A143" s="869"/>
      <c r="B143" s="871"/>
      <c r="C143" s="872"/>
      <c r="D143" s="873"/>
      <c r="E143" s="714" t="s">
        <v>13</v>
      </c>
      <c r="F143" s="715">
        <f>AVERAGE(F141:F142)</f>
        <v>90.5</v>
      </c>
      <c r="G143" s="715">
        <f t="shared" ref="G143:T143" si="44">AVERAGE(G141:G142)</f>
        <v>70</v>
      </c>
      <c r="H143" s="715">
        <f t="shared" si="44"/>
        <v>76</v>
      </c>
      <c r="I143" s="715">
        <f t="shared" si="44"/>
        <v>86.5</v>
      </c>
      <c r="J143" s="715">
        <f t="shared" si="44"/>
        <v>77.5</v>
      </c>
      <c r="K143" s="715">
        <f t="shared" si="44"/>
        <v>85</v>
      </c>
      <c r="L143" s="715">
        <f t="shared" si="44"/>
        <v>84</v>
      </c>
      <c r="M143" s="715">
        <f t="shared" si="44"/>
        <v>75.5</v>
      </c>
      <c r="N143" s="715">
        <f t="shared" si="44"/>
        <v>73</v>
      </c>
      <c r="O143" s="715">
        <f t="shared" si="44"/>
        <v>82</v>
      </c>
      <c r="P143" s="715">
        <f t="shared" si="44"/>
        <v>92</v>
      </c>
      <c r="Q143" s="715">
        <f t="shared" si="44"/>
        <v>89.5</v>
      </c>
      <c r="R143" s="715">
        <f t="shared" si="44"/>
        <v>94</v>
      </c>
      <c r="S143" s="715">
        <f t="shared" si="44"/>
        <v>1075.5</v>
      </c>
      <c r="T143" s="715">
        <f t="shared" si="44"/>
        <v>82.730769230769226</v>
      </c>
      <c r="U143" s="715">
        <v>5</v>
      </c>
      <c r="V143" s="715"/>
      <c r="W143" s="715"/>
    </row>
    <row r="144" spans="1:23" ht="27" thickBot="1" x14ac:dyDescent="0.45">
      <c r="A144" s="869">
        <v>47</v>
      </c>
      <c r="B144" s="871"/>
      <c r="C144" s="872">
        <v>14</v>
      </c>
      <c r="D144" s="873" t="s">
        <v>17</v>
      </c>
      <c r="E144" s="714" t="s">
        <v>18</v>
      </c>
      <c r="F144" s="715">
        <v>77</v>
      </c>
      <c r="G144" s="715">
        <v>69</v>
      </c>
      <c r="H144" s="715">
        <v>71</v>
      </c>
      <c r="I144" s="715">
        <v>41</v>
      </c>
      <c r="J144" s="715">
        <v>47</v>
      </c>
      <c r="K144" s="715">
        <v>57</v>
      </c>
      <c r="L144" s="715">
        <v>58</v>
      </c>
      <c r="M144" s="715">
        <v>51</v>
      </c>
      <c r="N144" s="715">
        <v>51</v>
      </c>
      <c r="O144" s="715">
        <v>69</v>
      </c>
      <c r="P144" s="715">
        <v>47</v>
      </c>
      <c r="Q144" s="715">
        <v>72</v>
      </c>
      <c r="R144" s="715">
        <v>81</v>
      </c>
      <c r="S144" s="715">
        <v>791</v>
      </c>
      <c r="T144" s="716">
        <v>60.846153846153847</v>
      </c>
      <c r="U144" s="715">
        <v>42</v>
      </c>
      <c r="V144" s="718"/>
      <c r="W144" s="718"/>
    </row>
    <row r="145" spans="1:23" ht="27" thickBot="1" x14ac:dyDescent="0.45">
      <c r="A145" s="869"/>
      <c r="B145" s="871"/>
      <c r="C145" s="872"/>
      <c r="D145" s="873"/>
      <c r="E145" s="714" t="s">
        <v>19</v>
      </c>
      <c r="F145" s="715">
        <v>68</v>
      </c>
      <c r="G145" s="715">
        <v>63</v>
      </c>
      <c r="H145" s="715">
        <v>58</v>
      </c>
      <c r="I145" s="715">
        <v>61</v>
      </c>
      <c r="J145" s="715">
        <v>55</v>
      </c>
      <c r="K145" s="715">
        <v>60</v>
      </c>
      <c r="L145" s="715">
        <v>64</v>
      </c>
      <c r="M145" s="715">
        <v>68</v>
      </c>
      <c r="N145" s="715">
        <v>48</v>
      </c>
      <c r="O145" s="715">
        <v>69</v>
      </c>
      <c r="P145" s="715">
        <v>67</v>
      </c>
      <c r="Q145" s="715">
        <v>85</v>
      </c>
      <c r="R145" s="715">
        <v>77</v>
      </c>
      <c r="S145" s="715">
        <v>843</v>
      </c>
      <c r="T145" s="716">
        <v>64.84615384615384</v>
      </c>
      <c r="U145" s="715">
        <v>32</v>
      </c>
      <c r="V145" s="718"/>
      <c r="W145" s="718"/>
    </row>
    <row r="146" spans="1:23" ht="27" thickBot="1" x14ac:dyDescent="0.45">
      <c r="A146" s="869"/>
      <c r="B146" s="871"/>
      <c r="C146" s="872"/>
      <c r="D146" s="873"/>
      <c r="E146" s="714" t="s">
        <v>13</v>
      </c>
      <c r="F146" s="715">
        <f>AVERAGE(F144:F145)</f>
        <v>72.5</v>
      </c>
      <c r="G146" s="715">
        <f t="shared" ref="G146:T146" si="45">AVERAGE(G144:G145)</f>
        <v>66</v>
      </c>
      <c r="H146" s="715">
        <f t="shared" si="45"/>
        <v>64.5</v>
      </c>
      <c r="I146" s="715">
        <f t="shared" si="45"/>
        <v>51</v>
      </c>
      <c r="J146" s="715">
        <f t="shared" si="45"/>
        <v>51</v>
      </c>
      <c r="K146" s="715">
        <f t="shared" si="45"/>
        <v>58.5</v>
      </c>
      <c r="L146" s="715">
        <f t="shared" si="45"/>
        <v>61</v>
      </c>
      <c r="M146" s="715">
        <f t="shared" si="45"/>
        <v>59.5</v>
      </c>
      <c r="N146" s="715">
        <f t="shared" si="45"/>
        <v>49.5</v>
      </c>
      <c r="O146" s="715">
        <f t="shared" si="45"/>
        <v>69</v>
      </c>
      <c r="P146" s="715">
        <f t="shared" si="45"/>
        <v>57</v>
      </c>
      <c r="Q146" s="715">
        <f t="shared" si="45"/>
        <v>78.5</v>
      </c>
      <c r="R146" s="715">
        <f t="shared" si="45"/>
        <v>79</v>
      </c>
      <c r="S146" s="715">
        <f t="shared" si="45"/>
        <v>817</v>
      </c>
      <c r="T146" s="715">
        <f t="shared" si="45"/>
        <v>62.84615384615384</v>
      </c>
      <c r="U146" s="715">
        <v>38</v>
      </c>
      <c r="V146" s="715"/>
      <c r="W146" s="715"/>
    </row>
    <row r="147" spans="1:23" ht="27" thickBot="1" x14ac:dyDescent="0.45">
      <c r="A147" s="869">
        <v>48</v>
      </c>
      <c r="B147" s="871"/>
      <c r="C147" s="872">
        <v>15</v>
      </c>
      <c r="D147" s="873" t="s">
        <v>17</v>
      </c>
      <c r="E147" s="714" t="s">
        <v>18</v>
      </c>
      <c r="F147" s="715">
        <v>91</v>
      </c>
      <c r="G147" s="715">
        <v>79</v>
      </c>
      <c r="H147" s="715">
        <v>75</v>
      </c>
      <c r="I147" s="715">
        <v>74</v>
      </c>
      <c r="J147" s="715">
        <v>67</v>
      </c>
      <c r="K147" s="715">
        <v>74</v>
      </c>
      <c r="L147" s="715">
        <v>63</v>
      </c>
      <c r="M147" s="715">
        <v>65</v>
      </c>
      <c r="N147" s="715">
        <v>61</v>
      </c>
      <c r="O147" s="715">
        <v>84</v>
      </c>
      <c r="P147" s="715">
        <v>82</v>
      </c>
      <c r="Q147" s="715">
        <v>93</v>
      </c>
      <c r="R147" s="715">
        <v>80</v>
      </c>
      <c r="S147" s="715">
        <v>988</v>
      </c>
      <c r="T147" s="716">
        <v>76</v>
      </c>
      <c r="U147" s="715">
        <v>17</v>
      </c>
      <c r="V147" s="681"/>
      <c r="W147" s="681"/>
    </row>
    <row r="148" spans="1:23" ht="27" thickBot="1" x14ac:dyDescent="0.45">
      <c r="A148" s="869"/>
      <c r="B148" s="871"/>
      <c r="C148" s="872"/>
      <c r="D148" s="873"/>
      <c r="E148" s="714" t="s">
        <v>19</v>
      </c>
      <c r="F148" s="715">
        <v>81</v>
      </c>
      <c r="G148" s="715">
        <v>80</v>
      </c>
      <c r="H148" s="715">
        <v>60</v>
      </c>
      <c r="I148" s="715">
        <v>87</v>
      </c>
      <c r="J148" s="715">
        <v>70</v>
      </c>
      <c r="K148" s="715">
        <v>73</v>
      </c>
      <c r="L148" s="715">
        <v>77</v>
      </c>
      <c r="M148" s="715">
        <v>80</v>
      </c>
      <c r="N148" s="715">
        <v>68</v>
      </c>
      <c r="O148" s="715">
        <v>79</v>
      </c>
      <c r="P148" s="715">
        <v>92</v>
      </c>
      <c r="Q148" s="715">
        <v>94</v>
      </c>
      <c r="R148" s="715">
        <v>93</v>
      </c>
      <c r="S148" s="715">
        <v>1034</v>
      </c>
      <c r="T148" s="716">
        <v>79.538461538461533</v>
      </c>
      <c r="U148" s="715">
        <v>9</v>
      </c>
      <c r="V148" s="681"/>
      <c r="W148" s="681"/>
    </row>
    <row r="149" spans="1:23" ht="27" thickBot="1" x14ac:dyDescent="0.45">
      <c r="A149" s="869"/>
      <c r="B149" s="871"/>
      <c r="C149" s="872"/>
      <c r="D149" s="873"/>
      <c r="E149" s="714" t="s">
        <v>13</v>
      </c>
      <c r="F149" s="715">
        <f>AVERAGE(F147:F148)</f>
        <v>86</v>
      </c>
      <c r="G149" s="715">
        <f t="shared" ref="G149:T149" si="46">AVERAGE(G147:G148)</f>
        <v>79.5</v>
      </c>
      <c r="H149" s="715">
        <f t="shared" si="46"/>
        <v>67.5</v>
      </c>
      <c r="I149" s="715">
        <f t="shared" si="46"/>
        <v>80.5</v>
      </c>
      <c r="J149" s="715">
        <f t="shared" si="46"/>
        <v>68.5</v>
      </c>
      <c r="K149" s="715">
        <f t="shared" si="46"/>
        <v>73.5</v>
      </c>
      <c r="L149" s="715">
        <f t="shared" si="46"/>
        <v>70</v>
      </c>
      <c r="M149" s="715">
        <f t="shared" si="46"/>
        <v>72.5</v>
      </c>
      <c r="N149" s="715">
        <f t="shared" si="46"/>
        <v>64.5</v>
      </c>
      <c r="O149" s="715">
        <f t="shared" si="46"/>
        <v>81.5</v>
      </c>
      <c r="P149" s="715">
        <f t="shared" si="46"/>
        <v>87</v>
      </c>
      <c r="Q149" s="715">
        <f t="shared" si="46"/>
        <v>93.5</v>
      </c>
      <c r="R149" s="715">
        <f t="shared" si="46"/>
        <v>86.5</v>
      </c>
      <c r="S149" s="715">
        <f t="shared" si="46"/>
        <v>1011</v>
      </c>
      <c r="T149" s="715">
        <f t="shared" si="46"/>
        <v>77.769230769230774</v>
      </c>
      <c r="U149" s="715">
        <v>14</v>
      </c>
      <c r="V149" s="715"/>
      <c r="W149" s="715"/>
    </row>
    <row r="150" spans="1:23" ht="27" thickBot="1" x14ac:dyDescent="0.45">
      <c r="A150" s="869">
        <v>49</v>
      </c>
      <c r="B150" s="871"/>
      <c r="C150" s="872">
        <v>15</v>
      </c>
      <c r="D150" s="873" t="s">
        <v>17</v>
      </c>
      <c r="E150" s="714" t="s">
        <v>18</v>
      </c>
      <c r="F150" s="715">
        <v>64</v>
      </c>
      <c r="G150" s="715">
        <v>43</v>
      </c>
      <c r="H150" s="715">
        <v>76</v>
      </c>
      <c r="I150" s="715">
        <v>49</v>
      </c>
      <c r="J150" s="715">
        <v>57</v>
      </c>
      <c r="K150" s="715">
        <v>54</v>
      </c>
      <c r="L150" s="715">
        <v>46</v>
      </c>
      <c r="M150" s="715">
        <v>54</v>
      </c>
      <c r="N150" s="715">
        <v>53</v>
      </c>
      <c r="O150" s="715">
        <v>59</v>
      </c>
      <c r="P150" s="715">
        <v>63</v>
      </c>
      <c r="Q150" s="715">
        <v>67</v>
      </c>
      <c r="R150" s="715">
        <v>80</v>
      </c>
      <c r="S150" s="715">
        <v>765</v>
      </c>
      <c r="T150" s="716">
        <v>58.846153846153847</v>
      </c>
      <c r="U150" s="715">
        <v>44</v>
      </c>
      <c r="V150" s="681"/>
      <c r="W150" s="681"/>
    </row>
    <row r="151" spans="1:23" ht="27" thickBot="1" x14ac:dyDescent="0.45">
      <c r="A151" s="869"/>
      <c r="B151" s="871"/>
      <c r="C151" s="872"/>
      <c r="D151" s="873"/>
      <c r="E151" s="714" t="s">
        <v>19</v>
      </c>
      <c r="F151" s="715">
        <v>64</v>
      </c>
      <c r="G151" s="715">
        <v>52</v>
      </c>
      <c r="H151" s="715">
        <v>63</v>
      </c>
      <c r="I151" s="715">
        <v>74</v>
      </c>
      <c r="J151" s="715">
        <v>68</v>
      </c>
      <c r="K151" s="715">
        <v>50</v>
      </c>
      <c r="L151" s="715">
        <v>61</v>
      </c>
      <c r="M151" s="715">
        <v>48</v>
      </c>
      <c r="N151" s="715">
        <v>54</v>
      </c>
      <c r="O151" s="715">
        <v>65</v>
      </c>
      <c r="P151" s="715">
        <v>67</v>
      </c>
      <c r="Q151" s="715">
        <v>74</v>
      </c>
      <c r="R151" s="715">
        <v>78</v>
      </c>
      <c r="S151" s="715">
        <v>818</v>
      </c>
      <c r="T151" s="716">
        <v>62.92307692307692</v>
      </c>
      <c r="U151" s="715">
        <v>39</v>
      </c>
      <c r="V151" s="681"/>
      <c r="W151" s="681"/>
    </row>
    <row r="152" spans="1:23" ht="27" thickBot="1" x14ac:dyDescent="0.45">
      <c r="A152" s="869"/>
      <c r="B152" s="871"/>
      <c r="C152" s="872"/>
      <c r="D152" s="873"/>
      <c r="E152" s="714" t="s">
        <v>13</v>
      </c>
      <c r="F152" s="715">
        <f>AVERAGE(F150:F151)</f>
        <v>64</v>
      </c>
      <c r="G152" s="715">
        <f t="shared" ref="G152:T152" si="47">AVERAGE(G150:G151)</f>
        <v>47.5</v>
      </c>
      <c r="H152" s="715">
        <f t="shared" si="47"/>
        <v>69.5</v>
      </c>
      <c r="I152" s="715">
        <f t="shared" si="47"/>
        <v>61.5</v>
      </c>
      <c r="J152" s="715">
        <f t="shared" si="47"/>
        <v>62.5</v>
      </c>
      <c r="K152" s="715">
        <f t="shared" si="47"/>
        <v>52</v>
      </c>
      <c r="L152" s="715">
        <f t="shared" si="47"/>
        <v>53.5</v>
      </c>
      <c r="M152" s="715">
        <f t="shared" si="47"/>
        <v>51</v>
      </c>
      <c r="N152" s="715">
        <f t="shared" si="47"/>
        <v>53.5</v>
      </c>
      <c r="O152" s="715">
        <f t="shared" si="47"/>
        <v>62</v>
      </c>
      <c r="P152" s="715">
        <f t="shared" si="47"/>
        <v>65</v>
      </c>
      <c r="Q152" s="715">
        <f t="shared" si="47"/>
        <v>70.5</v>
      </c>
      <c r="R152" s="715">
        <f t="shared" si="47"/>
        <v>79</v>
      </c>
      <c r="S152" s="715">
        <f t="shared" si="47"/>
        <v>791.5</v>
      </c>
      <c r="T152" s="715">
        <f t="shared" si="47"/>
        <v>60.884615384615387</v>
      </c>
      <c r="U152" s="715">
        <v>42</v>
      </c>
      <c r="V152" s="715"/>
      <c r="W152" s="715"/>
    </row>
    <row r="153" spans="1:23" ht="27" thickBot="1" x14ac:dyDescent="0.45">
      <c r="A153" s="869">
        <v>50</v>
      </c>
      <c r="B153" s="871"/>
      <c r="C153" s="872">
        <v>14</v>
      </c>
      <c r="D153" s="873" t="s">
        <v>17</v>
      </c>
      <c r="E153" s="714" t="s">
        <v>18</v>
      </c>
      <c r="F153" s="715">
        <v>82</v>
      </c>
      <c r="G153" s="715">
        <v>76</v>
      </c>
      <c r="H153" s="715">
        <v>75</v>
      </c>
      <c r="I153" s="715">
        <v>78</v>
      </c>
      <c r="J153" s="715">
        <v>84</v>
      </c>
      <c r="K153" s="715">
        <v>77</v>
      </c>
      <c r="L153" s="715">
        <v>66</v>
      </c>
      <c r="M153" s="715">
        <v>57</v>
      </c>
      <c r="N153" s="715">
        <v>59</v>
      </c>
      <c r="O153" s="715">
        <v>85</v>
      </c>
      <c r="P153" s="715">
        <v>83</v>
      </c>
      <c r="Q153" s="715">
        <v>83</v>
      </c>
      <c r="R153" s="715">
        <v>86</v>
      </c>
      <c r="S153" s="715">
        <v>991</v>
      </c>
      <c r="T153" s="716">
        <v>76.230769230769226</v>
      </c>
      <c r="U153" s="715">
        <v>16</v>
      </c>
      <c r="V153" s="681"/>
      <c r="W153" s="681"/>
    </row>
    <row r="154" spans="1:23" ht="27" thickBot="1" x14ac:dyDescent="0.45">
      <c r="A154" s="869"/>
      <c r="B154" s="871"/>
      <c r="C154" s="872"/>
      <c r="D154" s="873"/>
      <c r="E154" s="714" t="s">
        <v>19</v>
      </c>
      <c r="F154" s="715">
        <v>74</v>
      </c>
      <c r="G154" s="715">
        <v>71</v>
      </c>
      <c r="H154" s="715">
        <v>52</v>
      </c>
      <c r="I154" s="715">
        <v>83</v>
      </c>
      <c r="J154" s="715">
        <v>80</v>
      </c>
      <c r="K154" s="715">
        <v>63</v>
      </c>
      <c r="L154" s="715">
        <v>65</v>
      </c>
      <c r="M154" s="715">
        <v>73</v>
      </c>
      <c r="N154" s="715">
        <v>50</v>
      </c>
      <c r="O154" s="715">
        <v>78</v>
      </c>
      <c r="P154" s="715">
        <v>88</v>
      </c>
      <c r="Q154" s="715">
        <v>92</v>
      </c>
      <c r="R154" s="715">
        <v>86</v>
      </c>
      <c r="S154" s="715">
        <v>955</v>
      </c>
      <c r="T154" s="716">
        <v>73.461538461538467</v>
      </c>
      <c r="U154" s="715">
        <v>19</v>
      </c>
      <c r="V154" s="681"/>
      <c r="W154" s="681"/>
    </row>
    <row r="155" spans="1:23" ht="27" thickBot="1" x14ac:dyDescent="0.45">
      <c r="A155" s="869"/>
      <c r="B155" s="871"/>
      <c r="C155" s="872"/>
      <c r="D155" s="873"/>
      <c r="E155" s="714" t="s">
        <v>13</v>
      </c>
      <c r="F155" s="715">
        <f>AVERAGE(F153:F154)</f>
        <v>78</v>
      </c>
      <c r="G155" s="715">
        <f t="shared" ref="G155:T155" si="48">AVERAGE(G153:G154)</f>
        <v>73.5</v>
      </c>
      <c r="H155" s="715">
        <f t="shared" si="48"/>
        <v>63.5</v>
      </c>
      <c r="I155" s="715">
        <f t="shared" si="48"/>
        <v>80.5</v>
      </c>
      <c r="J155" s="715">
        <f t="shared" si="48"/>
        <v>82</v>
      </c>
      <c r="K155" s="715">
        <f t="shared" si="48"/>
        <v>70</v>
      </c>
      <c r="L155" s="715">
        <f t="shared" si="48"/>
        <v>65.5</v>
      </c>
      <c r="M155" s="715">
        <f t="shared" si="48"/>
        <v>65</v>
      </c>
      <c r="N155" s="715">
        <f t="shared" si="48"/>
        <v>54.5</v>
      </c>
      <c r="O155" s="715">
        <f t="shared" si="48"/>
        <v>81.5</v>
      </c>
      <c r="P155" s="715">
        <f t="shared" si="48"/>
        <v>85.5</v>
      </c>
      <c r="Q155" s="715">
        <f t="shared" si="48"/>
        <v>87.5</v>
      </c>
      <c r="R155" s="715">
        <f t="shared" si="48"/>
        <v>86</v>
      </c>
      <c r="S155" s="715">
        <f t="shared" si="48"/>
        <v>973</v>
      </c>
      <c r="T155" s="715">
        <f t="shared" si="48"/>
        <v>74.84615384615384</v>
      </c>
      <c r="U155" s="715">
        <v>18</v>
      </c>
      <c r="V155" s="715"/>
      <c r="W155" s="715"/>
    </row>
    <row r="156" spans="1:23" ht="27" thickBot="1" x14ac:dyDescent="0.45">
      <c r="A156" s="869">
        <v>51</v>
      </c>
      <c r="B156" s="871"/>
      <c r="C156" s="872">
        <v>14</v>
      </c>
      <c r="D156" s="873" t="s">
        <v>20</v>
      </c>
      <c r="E156" s="714" t="s">
        <v>18</v>
      </c>
      <c r="F156" s="715">
        <v>86</v>
      </c>
      <c r="G156" s="715">
        <v>86</v>
      </c>
      <c r="H156" s="715">
        <v>85</v>
      </c>
      <c r="I156" s="715">
        <v>63</v>
      </c>
      <c r="J156" s="715">
        <v>67</v>
      </c>
      <c r="K156" s="715">
        <v>80</v>
      </c>
      <c r="L156" s="715">
        <v>82</v>
      </c>
      <c r="M156" s="715">
        <v>67</v>
      </c>
      <c r="N156" s="715">
        <v>84</v>
      </c>
      <c r="O156" s="715">
        <v>81</v>
      </c>
      <c r="P156" s="715">
        <v>89</v>
      </c>
      <c r="Q156" s="715">
        <v>78</v>
      </c>
      <c r="R156" s="715">
        <v>93</v>
      </c>
      <c r="S156" s="715">
        <v>1041</v>
      </c>
      <c r="T156" s="716">
        <v>80.07692307692308</v>
      </c>
      <c r="U156" s="715">
        <v>9</v>
      </c>
      <c r="V156" s="681"/>
      <c r="W156" s="681"/>
    </row>
    <row r="157" spans="1:23" ht="27" thickBot="1" x14ac:dyDescent="0.45">
      <c r="A157" s="869"/>
      <c r="B157" s="871"/>
      <c r="C157" s="872"/>
      <c r="D157" s="873"/>
      <c r="E157" s="714" t="s">
        <v>19</v>
      </c>
      <c r="F157" s="715">
        <v>96</v>
      </c>
      <c r="G157" s="472">
        <v>72</v>
      </c>
      <c r="H157" s="472">
        <v>72</v>
      </c>
      <c r="I157" s="472">
        <v>63</v>
      </c>
      <c r="J157" s="472">
        <v>76</v>
      </c>
      <c r="K157" s="472">
        <v>68</v>
      </c>
      <c r="L157" s="472">
        <v>86</v>
      </c>
      <c r="M157" s="472">
        <v>80</v>
      </c>
      <c r="N157" s="472">
        <v>97</v>
      </c>
      <c r="O157" s="472">
        <v>83</v>
      </c>
      <c r="P157" s="715">
        <v>78</v>
      </c>
      <c r="Q157" s="472">
        <v>82</v>
      </c>
      <c r="R157" s="472">
        <v>85</v>
      </c>
      <c r="S157" s="715">
        <v>1038</v>
      </c>
      <c r="T157" s="716">
        <v>79.84615384615384</v>
      </c>
      <c r="U157" s="715">
        <v>8</v>
      </c>
      <c r="V157" s="472"/>
      <c r="W157" s="472"/>
    </row>
    <row r="158" spans="1:23" ht="27" thickBot="1" x14ac:dyDescent="0.45">
      <c r="A158" s="869"/>
      <c r="B158" s="871"/>
      <c r="C158" s="872"/>
      <c r="D158" s="873"/>
      <c r="E158" s="714" t="s">
        <v>13</v>
      </c>
      <c r="F158" s="715">
        <f>AVERAGE(F156:F157)</f>
        <v>91</v>
      </c>
      <c r="G158" s="715">
        <f t="shared" ref="G158:T158" si="49">AVERAGE(G156:G157)</f>
        <v>79</v>
      </c>
      <c r="H158" s="715">
        <f t="shared" si="49"/>
        <v>78.5</v>
      </c>
      <c r="I158" s="715">
        <f t="shared" si="49"/>
        <v>63</v>
      </c>
      <c r="J158" s="715">
        <f t="shared" si="49"/>
        <v>71.5</v>
      </c>
      <c r="K158" s="715">
        <f t="shared" si="49"/>
        <v>74</v>
      </c>
      <c r="L158" s="715">
        <f t="shared" si="49"/>
        <v>84</v>
      </c>
      <c r="M158" s="715">
        <f t="shared" si="49"/>
        <v>73.5</v>
      </c>
      <c r="N158" s="715">
        <f t="shared" si="49"/>
        <v>90.5</v>
      </c>
      <c r="O158" s="715">
        <f t="shared" si="49"/>
        <v>82</v>
      </c>
      <c r="P158" s="715">
        <f t="shared" si="49"/>
        <v>83.5</v>
      </c>
      <c r="Q158" s="715">
        <f t="shared" si="49"/>
        <v>80</v>
      </c>
      <c r="R158" s="715">
        <f t="shared" si="49"/>
        <v>89</v>
      </c>
      <c r="S158" s="715">
        <f t="shared" si="49"/>
        <v>1039.5</v>
      </c>
      <c r="T158" s="715">
        <f t="shared" si="49"/>
        <v>79.961538461538453</v>
      </c>
      <c r="U158" s="715">
        <v>9</v>
      </c>
      <c r="V158" s="715"/>
      <c r="W158" s="715"/>
    </row>
    <row r="159" spans="1:23" ht="27" thickBot="1" x14ac:dyDescent="0.45">
      <c r="A159" s="869">
        <v>52</v>
      </c>
      <c r="B159" s="871"/>
      <c r="C159" s="872">
        <v>14</v>
      </c>
      <c r="D159" s="873" t="s">
        <v>17</v>
      </c>
      <c r="E159" s="714" t="s">
        <v>18</v>
      </c>
      <c r="F159" s="681">
        <v>83</v>
      </c>
      <c r="G159" s="681">
        <v>76</v>
      </c>
      <c r="H159" s="681">
        <v>80</v>
      </c>
      <c r="I159" s="681">
        <v>68</v>
      </c>
      <c r="J159" s="681">
        <v>58</v>
      </c>
      <c r="K159" s="681">
        <v>97</v>
      </c>
      <c r="L159" s="681">
        <v>73</v>
      </c>
      <c r="M159" s="681">
        <v>77</v>
      </c>
      <c r="N159" s="681">
        <v>79</v>
      </c>
      <c r="O159" s="681">
        <v>86</v>
      </c>
      <c r="P159" s="681">
        <v>82</v>
      </c>
      <c r="Q159" s="681">
        <v>73</v>
      </c>
      <c r="R159" s="681">
        <v>84</v>
      </c>
      <c r="S159" s="681">
        <v>1016</v>
      </c>
      <c r="T159" s="720">
        <v>78.15384615384616</v>
      </c>
      <c r="U159" s="681">
        <v>13</v>
      </c>
      <c r="V159" s="681"/>
      <c r="W159" s="681"/>
    </row>
    <row r="160" spans="1:23" ht="27" thickBot="1" x14ac:dyDescent="0.45">
      <c r="A160" s="869"/>
      <c r="B160" s="871"/>
      <c r="C160" s="872"/>
      <c r="D160" s="873"/>
      <c r="E160" s="714" t="s">
        <v>19</v>
      </c>
      <c r="F160" s="681">
        <v>92</v>
      </c>
      <c r="G160" s="681">
        <v>78</v>
      </c>
      <c r="H160" s="681">
        <v>65</v>
      </c>
      <c r="I160" s="681">
        <v>73</v>
      </c>
      <c r="J160" s="681">
        <v>71</v>
      </c>
      <c r="K160" s="681">
        <v>69</v>
      </c>
      <c r="L160" s="681">
        <v>77</v>
      </c>
      <c r="M160" s="681">
        <v>85</v>
      </c>
      <c r="N160" s="681">
        <v>79</v>
      </c>
      <c r="O160" s="681">
        <v>79</v>
      </c>
      <c r="P160" s="681">
        <v>90</v>
      </c>
      <c r="Q160" s="681">
        <v>78</v>
      </c>
      <c r="R160" s="681">
        <v>86</v>
      </c>
      <c r="S160" s="681">
        <v>1022</v>
      </c>
      <c r="T160" s="720">
        <v>78.615384615384613</v>
      </c>
      <c r="U160" s="681">
        <v>13</v>
      </c>
      <c r="V160" s="681"/>
      <c r="W160" s="681"/>
    </row>
    <row r="161" spans="1:23" ht="27" thickBot="1" x14ac:dyDescent="0.45">
      <c r="A161" s="869"/>
      <c r="B161" s="871"/>
      <c r="C161" s="872"/>
      <c r="D161" s="873"/>
      <c r="E161" s="714" t="s">
        <v>13</v>
      </c>
      <c r="F161" s="681">
        <f>AVERAGE(F159:F160)</f>
        <v>87.5</v>
      </c>
      <c r="G161" s="681">
        <f t="shared" ref="G161:T161" si="50">AVERAGE(G159:G160)</f>
        <v>77</v>
      </c>
      <c r="H161" s="681">
        <f t="shared" si="50"/>
        <v>72.5</v>
      </c>
      <c r="I161" s="681">
        <f t="shared" si="50"/>
        <v>70.5</v>
      </c>
      <c r="J161" s="681">
        <f t="shared" si="50"/>
        <v>64.5</v>
      </c>
      <c r="K161" s="681">
        <f t="shared" si="50"/>
        <v>83</v>
      </c>
      <c r="L161" s="681">
        <f t="shared" si="50"/>
        <v>75</v>
      </c>
      <c r="M161" s="681">
        <f t="shared" si="50"/>
        <v>81</v>
      </c>
      <c r="N161" s="681">
        <f t="shared" si="50"/>
        <v>79</v>
      </c>
      <c r="O161" s="681">
        <f t="shared" si="50"/>
        <v>82.5</v>
      </c>
      <c r="P161" s="681">
        <f t="shared" si="50"/>
        <v>86</v>
      </c>
      <c r="Q161" s="681">
        <f t="shared" si="50"/>
        <v>75.5</v>
      </c>
      <c r="R161" s="681">
        <f t="shared" si="50"/>
        <v>85</v>
      </c>
      <c r="S161" s="681">
        <f t="shared" si="50"/>
        <v>1019</v>
      </c>
      <c r="T161" s="681">
        <f t="shared" si="50"/>
        <v>78.384615384615387</v>
      </c>
      <c r="U161" s="681">
        <v>12</v>
      </c>
      <c r="V161" s="681"/>
      <c r="W161" s="681"/>
    </row>
    <row r="162" spans="1:23" ht="16.5" thickBot="1" x14ac:dyDescent="0.3">
      <c r="A162" s="870">
        <v>53</v>
      </c>
      <c r="B162" s="874"/>
      <c r="C162" s="875"/>
      <c r="D162" s="876"/>
      <c r="E162" s="402" t="s">
        <v>18</v>
      </c>
      <c r="F162" s="38"/>
      <c r="G162" s="38"/>
      <c r="H162" s="81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9"/>
      <c r="U162" s="38"/>
      <c r="V162" s="38"/>
      <c r="W162" s="38"/>
    </row>
    <row r="163" spans="1:23" ht="16.5" thickBot="1" x14ac:dyDescent="0.3">
      <c r="A163" s="870"/>
      <c r="B163" s="874"/>
      <c r="C163" s="875"/>
      <c r="D163" s="876"/>
      <c r="E163" s="402" t="s">
        <v>19</v>
      </c>
      <c r="F163" s="38"/>
      <c r="G163" s="38"/>
      <c r="H163" s="81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9"/>
      <c r="U163" s="38"/>
      <c r="V163" s="38"/>
      <c r="W163" s="38"/>
    </row>
    <row r="164" spans="1:23" ht="16.5" thickBot="1" x14ac:dyDescent="0.3">
      <c r="A164" s="870"/>
      <c r="B164" s="874"/>
      <c r="C164" s="875"/>
      <c r="D164" s="876"/>
      <c r="E164" s="402" t="s">
        <v>13</v>
      </c>
      <c r="F164" s="38"/>
      <c r="G164" s="38"/>
      <c r="H164" s="81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9"/>
      <c r="U164" s="38"/>
      <c r="V164" s="38"/>
      <c r="W164" s="38"/>
    </row>
    <row r="165" spans="1:23" ht="16.5" thickBot="1" x14ac:dyDescent="0.3">
      <c r="A165" s="870">
        <v>54</v>
      </c>
      <c r="B165" s="874"/>
      <c r="C165" s="875"/>
      <c r="D165" s="876"/>
      <c r="E165" s="402" t="s">
        <v>18</v>
      </c>
      <c r="F165" s="38"/>
      <c r="G165" s="38"/>
      <c r="H165" s="81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9"/>
      <c r="U165" s="38"/>
      <c r="V165" s="38"/>
      <c r="W165" s="38"/>
    </row>
    <row r="166" spans="1:23" ht="16.5" thickBot="1" x14ac:dyDescent="0.3">
      <c r="A166" s="870"/>
      <c r="B166" s="874"/>
      <c r="C166" s="875"/>
      <c r="D166" s="876"/>
      <c r="E166" s="402" t="s">
        <v>19</v>
      </c>
      <c r="F166" s="38"/>
      <c r="G166" s="38"/>
      <c r="H166" s="81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9"/>
      <c r="U166" s="38"/>
      <c r="V166" s="38"/>
      <c r="W166" s="38"/>
    </row>
    <row r="167" spans="1:23" ht="16.5" thickBot="1" x14ac:dyDescent="0.3">
      <c r="A167" s="870"/>
      <c r="B167" s="874"/>
      <c r="C167" s="875"/>
      <c r="D167" s="876"/>
      <c r="E167" s="402" t="s">
        <v>13</v>
      </c>
      <c r="F167" s="38"/>
      <c r="G167" s="38"/>
      <c r="H167" s="81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9"/>
      <c r="U167" s="38"/>
      <c r="V167" s="38"/>
      <c r="W167" s="38"/>
    </row>
    <row r="168" spans="1:23" ht="16.5" thickBot="1" x14ac:dyDescent="0.3">
      <c r="A168" s="870">
        <v>55</v>
      </c>
      <c r="B168" s="874"/>
      <c r="C168" s="875"/>
      <c r="D168" s="876"/>
      <c r="E168" s="402" t="s">
        <v>18</v>
      </c>
      <c r="F168" s="38"/>
      <c r="G168" s="38"/>
      <c r="H168" s="81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9"/>
      <c r="U168" s="38"/>
      <c r="V168" s="38"/>
      <c r="W168" s="38"/>
    </row>
    <row r="169" spans="1:23" ht="16.5" thickBot="1" x14ac:dyDescent="0.3">
      <c r="A169" s="870"/>
      <c r="B169" s="874"/>
      <c r="C169" s="875"/>
      <c r="D169" s="876"/>
      <c r="E169" s="402" t="s">
        <v>19</v>
      </c>
      <c r="F169" s="38"/>
      <c r="G169" s="38"/>
      <c r="H169" s="81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9"/>
      <c r="U169" s="38"/>
      <c r="V169" s="38"/>
      <c r="W169" s="38"/>
    </row>
    <row r="170" spans="1:23" ht="16.5" thickBot="1" x14ac:dyDescent="0.3">
      <c r="A170" s="870"/>
      <c r="B170" s="874"/>
      <c r="C170" s="875"/>
      <c r="D170" s="876"/>
      <c r="E170" s="402" t="s">
        <v>13</v>
      </c>
      <c r="F170" s="38"/>
      <c r="G170" s="38"/>
      <c r="H170" s="81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9"/>
      <c r="U170" s="38"/>
      <c r="V170" s="38"/>
      <c r="W170" s="38"/>
    </row>
    <row r="171" spans="1:23" ht="16.5" thickBot="1" x14ac:dyDescent="0.3">
      <c r="A171" s="870">
        <v>56</v>
      </c>
      <c r="B171" s="874"/>
      <c r="C171" s="875"/>
      <c r="D171" s="876"/>
      <c r="E171" s="402" t="s">
        <v>18</v>
      </c>
      <c r="F171" s="38"/>
      <c r="G171" s="38"/>
      <c r="H171" s="81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9"/>
      <c r="U171" s="38"/>
      <c r="V171" s="38"/>
      <c r="W171" s="38"/>
    </row>
    <row r="172" spans="1:23" ht="16.5" thickBot="1" x14ac:dyDescent="0.3">
      <c r="A172" s="870"/>
      <c r="B172" s="874"/>
      <c r="C172" s="875"/>
      <c r="D172" s="876"/>
      <c r="E172" s="402" t="s">
        <v>19</v>
      </c>
      <c r="F172" s="38"/>
      <c r="G172" s="38"/>
      <c r="H172" s="81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9"/>
      <c r="U172" s="38"/>
      <c r="V172" s="38"/>
      <c r="W172" s="38"/>
    </row>
    <row r="173" spans="1:23" ht="32.25" thickBot="1" x14ac:dyDescent="0.55000000000000004">
      <c r="A173" s="870"/>
      <c r="B173" s="874"/>
      <c r="C173" s="875"/>
      <c r="D173" s="876"/>
      <c r="E173" s="402" t="s">
        <v>13</v>
      </c>
      <c r="F173" s="38"/>
      <c r="G173" s="38"/>
      <c r="H173" s="81"/>
      <c r="I173" s="38"/>
      <c r="J173" s="38"/>
      <c r="K173" s="38"/>
      <c r="L173" s="38"/>
      <c r="M173" s="38"/>
      <c r="N173" s="38"/>
      <c r="O173" s="38"/>
      <c r="P173" s="38"/>
      <c r="Q173" s="683"/>
      <c r="R173" s="683"/>
      <c r="S173" s="683"/>
      <c r="T173" s="39"/>
      <c r="U173" s="38"/>
      <c r="V173" s="38"/>
      <c r="W173" s="38"/>
    </row>
  </sheetData>
  <mergeCells count="226">
    <mergeCell ref="A153:A155"/>
    <mergeCell ref="B153:B155"/>
    <mergeCell ref="C153:C155"/>
    <mergeCell ref="D153:D155"/>
    <mergeCell ref="A156:A158"/>
    <mergeCell ref="B156:B158"/>
    <mergeCell ref="C156:C158"/>
    <mergeCell ref="D156:D158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93:A95"/>
    <mergeCell ref="B93:B95"/>
    <mergeCell ref="C93:C95"/>
    <mergeCell ref="D93:D95"/>
    <mergeCell ref="A96:A98"/>
    <mergeCell ref="B96:B98"/>
    <mergeCell ref="C96:C98"/>
    <mergeCell ref="D96:D98"/>
    <mergeCell ref="A87:A89"/>
    <mergeCell ref="B87:B89"/>
    <mergeCell ref="C87:C89"/>
    <mergeCell ref="D87:D89"/>
    <mergeCell ref="A90:A92"/>
    <mergeCell ref="B90:B92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  <mergeCell ref="A75:A77"/>
    <mergeCell ref="B75:B77"/>
    <mergeCell ref="C75:C77"/>
    <mergeCell ref="D75:D77"/>
    <mergeCell ref="A78:A80"/>
    <mergeCell ref="B78:B80"/>
    <mergeCell ref="C78:C80"/>
    <mergeCell ref="D78:D80"/>
    <mergeCell ref="A69:A71"/>
    <mergeCell ref="B69:B71"/>
    <mergeCell ref="C69:C71"/>
    <mergeCell ref="D69:D71"/>
    <mergeCell ref="A72:A74"/>
    <mergeCell ref="B72:B74"/>
    <mergeCell ref="C72:C74"/>
    <mergeCell ref="D72:D74"/>
    <mergeCell ref="A63:A65"/>
    <mergeCell ref="B63:B65"/>
    <mergeCell ref="C63:C65"/>
    <mergeCell ref="D63:D65"/>
    <mergeCell ref="A66:A68"/>
    <mergeCell ref="B66:B68"/>
    <mergeCell ref="C66:C68"/>
    <mergeCell ref="D66:D68"/>
    <mergeCell ref="A57:A59"/>
    <mergeCell ref="B57:B59"/>
    <mergeCell ref="C57:C59"/>
    <mergeCell ref="D57:D59"/>
    <mergeCell ref="A60:A62"/>
    <mergeCell ref="B60:B62"/>
    <mergeCell ref="C60:C62"/>
    <mergeCell ref="D60:D62"/>
    <mergeCell ref="A51:A53"/>
    <mergeCell ref="B51:B53"/>
    <mergeCell ref="C51:C53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1:W1"/>
    <mergeCell ref="A3:W3"/>
    <mergeCell ref="A6:A8"/>
    <mergeCell ref="B6:B8"/>
    <mergeCell ref="C6:C8"/>
    <mergeCell ref="D6:D8"/>
    <mergeCell ref="A159:A161"/>
    <mergeCell ref="A162:A164"/>
    <mergeCell ref="A165:A167"/>
    <mergeCell ref="A168:A170"/>
    <mergeCell ref="A171:A173"/>
    <mergeCell ref="B159:B161"/>
    <mergeCell ref="C159:C161"/>
    <mergeCell ref="D159:D161"/>
    <mergeCell ref="B162:B164"/>
    <mergeCell ref="C162:C164"/>
    <mergeCell ref="D162:D164"/>
    <mergeCell ref="B165:B167"/>
    <mergeCell ref="C165:C167"/>
    <mergeCell ref="D165:D167"/>
    <mergeCell ref="B168:B170"/>
    <mergeCell ref="C168:C170"/>
    <mergeCell ref="D168:D170"/>
    <mergeCell ref="B171:B173"/>
    <mergeCell ref="C171:C173"/>
    <mergeCell ref="D171:D173"/>
  </mergeCells>
  <pageMargins left="0.7" right="0.7" top="0.75" bottom="0.75" header="0.3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5"/>
  <sheetViews>
    <sheetView view="pageBreakPreview" topLeftCell="B1" zoomScale="60" zoomScaleNormal="100" workbookViewId="0">
      <selection activeCell="B4" sqref="B4:B55"/>
    </sheetView>
  </sheetViews>
  <sheetFormatPr defaultRowHeight="15" x14ac:dyDescent="0.25"/>
  <cols>
    <col min="1" max="1" width="8.28515625" customWidth="1"/>
    <col min="2" max="2" width="33.85546875" customWidth="1"/>
    <col min="3" max="3" width="6.5703125" customWidth="1"/>
    <col min="4" max="4" width="5.85546875" customWidth="1"/>
    <col min="5" max="5" width="12.140625" customWidth="1"/>
    <col min="6" max="6" width="10.28515625" customWidth="1"/>
    <col min="7" max="7" width="10" customWidth="1"/>
    <col min="8" max="8" width="10.42578125" customWidth="1"/>
    <col min="9" max="9" width="11.140625" customWidth="1"/>
    <col min="10" max="17" width="9.28515625" bestFit="1" customWidth="1"/>
    <col min="18" max="18" width="12" customWidth="1"/>
    <col min="19" max="19" width="12.28515625" customWidth="1"/>
    <col min="20" max="20" width="9.28515625" bestFit="1" customWidth="1"/>
  </cols>
  <sheetData>
    <row r="1" spans="1:22" ht="20.25" x14ac:dyDescent="0.25">
      <c r="A1" s="861" t="s">
        <v>38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3"/>
    </row>
    <row r="2" spans="1:22" ht="18" thickBot="1" x14ac:dyDescent="0.3">
      <c r="A2" s="864" t="s">
        <v>39</v>
      </c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864"/>
      <c r="V2" s="864"/>
    </row>
    <row r="3" spans="1:22" ht="84.75" thickBot="1" x14ac:dyDescent="0.3">
      <c r="A3" s="43" t="s">
        <v>32</v>
      </c>
      <c r="B3" s="44" t="s">
        <v>1</v>
      </c>
      <c r="C3" s="45" t="s">
        <v>2</v>
      </c>
      <c r="D3" s="337" t="s">
        <v>3</v>
      </c>
      <c r="E3" s="338" t="s">
        <v>22</v>
      </c>
      <c r="F3" s="338" t="s">
        <v>5</v>
      </c>
      <c r="G3" s="338" t="s">
        <v>29</v>
      </c>
      <c r="H3" s="338" t="s">
        <v>70</v>
      </c>
      <c r="I3" s="338" t="s">
        <v>71</v>
      </c>
      <c r="J3" s="338" t="s">
        <v>72</v>
      </c>
      <c r="K3" s="338" t="s">
        <v>73</v>
      </c>
      <c r="L3" s="338" t="s">
        <v>24</v>
      </c>
      <c r="M3" s="338" t="s">
        <v>74</v>
      </c>
      <c r="N3" s="338" t="s">
        <v>75</v>
      </c>
      <c r="O3" s="338" t="s">
        <v>27</v>
      </c>
      <c r="P3" s="338" t="s">
        <v>26</v>
      </c>
      <c r="Q3" s="338" t="s">
        <v>28</v>
      </c>
      <c r="R3" s="339" t="s">
        <v>12</v>
      </c>
      <c r="S3" s="339" t="s">
        <v>13</v>
      </c>
      <c r="T3" s="339" t="s">
        <v>14</v>
      </c>
      <c r="U3" s="339" t="s">
        <v>15</v>
      </c>
      <c r="V3" s="340" t="s">
        <v>16</v>
      </c>
    </row>
    <row r="4" spans="1:22" ht="33" customHeight="1" thickBot="1" x14ac:dyDescent="0.3">
      <c r="A4" s="48">
        <v>1</v>
      </c>
      <c r="B4" s="356"/>
      <c r="C4" s="366">
        <v>15</v>
      </c>
      <c r="D4" s="368" t="s">
        <v>17</v>
      </c>
      <c r="E4" s="347">
        <v>67</v>
      </c>
      <c r="F4" s="348">
        <v>80</v>
      </c>
      <c r="G4" s="348">
        <v>68</v>
      </c>
      <c r="H4" s="348">
        <v>67</v>
      </c>
      <c r="I4" s="348">
        <v>67</v>
      </c>
      <c r="J4" s="348">
        <v>77</v>
      </c>
      <c r="K4" s="348">
        <v>75</v>
      </c>
      <c r="L4" s="348">
        <v>67</v>
      </c>
      <c r="M4" s="348">
        <v>71</v>
      </c>
      <c r="N4" s="348">
        <v>74</v>
      </c>
      <c r="O4" s="348">
        <v>78</v>
      </c>
      <c r="P4" s="347">
        <v>74</v>
      </c>
      <c r="Q4" s="347">
        <v>78</v>
      </c>
      <c r="R4" s="375">
        <f>SUM(E4:Q4)</f>
        <v>943</v>
      </c>
      <c r="S4" s="350">
        <f>AVERAGE(E4:Q4)</f>
        <v>72.538461538461533</v>
      </c>
      <c r="T4" s="349">
        <f>RANK(S4,$S$4:$S$55)</f>
        <v>23</v>
      </c>
      <c r="U4" s="42"/>
      <c r="V4" s="41"/>
    </row>
    <row r="5" spans="1:22" ht="31.5" customHeight="1" thickBot="1" x14ac:dyDescent="0.3">
      <c r="A5" s="46">
        <v>2</v>
      </c>
      <c r="B5" s="354"/>
      <c r="C5" s="320">
        <v>15</v>
      </c>
      <c r="D5" s="344" t="s">
        <v>17</v>
      </c>
      <c r="E5" s="351">
        <v>71</v>
      </c>
      <c r="F5" s="352">
        <v>47</v>
      </c>
      <c r="G5" s="352">
        <v>65</v>
      </c>
      <c r="H5" s="352">
        <v>45</v>
      </c>
      <c r="I5" s="352">
        <v>41</v>
      </c>
      <c r="J5" s="352">
        <v>62</v>
      </c>
      <c r="K5" s="352">
        <v>51</v>
      </c>
      <c r="L5" s="352">
        <v>60</v>
      </c>
      <c r="M5" s="352">
        <v>49</v>
      </c>
      <c r="N5" s="352">
        <v>56</v>
      </c>
      <c r="O5" s="352">
        <v>57</v>
      </c>
      <c r="P5" s="347">
        <v>71</v>
      </c>
      <c r="Q5" s="347">
        <v>82</v>
      </c>
      <c r="R5" s="375">
        <f t="shared" ref="R5:R55" si="0">SUM(E5:Q5)</f>
        <v>757</v>
      </c>
      <c r="S5" s="350">
        <f t="shared" ref="S5:S55" si="1">AVERAGE(E5:Q5)</f>
        <v>58.230769230769234</v>
      </c>
      <c r="T5" s="349">
        <f t="shared" ref="T5:T55" si="2">RANK(S5,$S$4:$S$55)</f>
        <v>45</v>
      </c>
      <c r="U5" s="40"/>
      <c r="V5" s="40"/>
    </row>
    <row r="6" spans="1:22" ht="31.5" customHeight="1" thickBot="1" x14ac:dyDescent="0.3">
      <c r="A6" s="47">
        <v>3</v>
      </c>
      <c r="B6" s="354"/>
      <c r="C6" s="320">
        <v>15</v>
      </c>
      <c r="D6" s="344" t="s">
        <v>17</v>
      </c>
      <c r="E6" s="351">
        <v>90</v>
      </c>
      <c r="F6" s="352">
        <v>80</v>
      </c>
      <c r="G6" s="352">
        <v>76</v>
      </c>
      <c r="H6" s="352">
        <v>76</v>
      </c>
      <c r="I6" s="352">
        <v>69</v>
      </c>
      <c r="J6" s="352">
        <v>74</v>
      </c>
      <c r="K6" s="352">
        <v>64</v>
      </c>
      <c r="L6" s="352">
        <v>70</v>
      </c>
      <c r="M6" s="352">
        <v>77</v>
      </c>
      <c r="N6" s="352">
        <v>86</v>
      </c>
      <c r="O6" s="352">
        <v>84</v>
      </c>
      <c r="P6" s="347">
        <v>85</v>
      </c>
      <c r="Q6" s="347">
        <v>80</v>
      </c>
      <c r="R6" s="375">
        <f t="shared" si="0"/>
        <v>1011</v>
      </c>
      <c r="S6" s="350">
        <f t="shared" si="1"/>
        <v>77.769230769230774</v>
      </c>
      <c r="T6" s="349">
        <f t="shared" si="2"/>
        <v>14</v>
      </c>
      <c r="U6" s="40"/>
      <c r="V6" s="40"/>
    </row>
    <row r="7" spans="1:22" ht="27.75" customHeight="1" thickBot="1" x14ac:dyDescent="0.3">
      <c r="A7" s="46">
        <v>4</v>
      </c>
      <c r="B7" s="354"/>
      <c r="C7" s="320">
        <v>14</v>
      </c>
      <c r="D7" s="344" t="s">
        <v>17</v>
      </c>
      <c r="E7" s="351">
        <v>72</v>
      </c>
      <c r="F7" s="352">
        <v>68</v>
      </c>
      <c r="G7" s="352">
        <v>72</v>
      </c>
      <c r="H7" s="352">
        <v>56</v>
      </c>
      <c r="I7" s="352">
        <v>55</v>
      </c>
      <c r="J7" s="352">
        <v>56</v>
      </c>
      <c r="K7" s="352">
        <v>45</v>
      </c>
      <c r="L7" s="352">
        <v>53</v>
      </c>
      <c r="M7" s="352">
        <v>45</v>
      </c>
      <c r="N7" s="352">
        <v>70</v>
      </c>
      <c r="O7" s="352">
        <v>73</v>
      </c>
      <c r="P7" s="347">
        <v>71</v>
      </c>
      <c r="Q7" s="347">
        <v>92</v>
      </c>
      <c r="R7" s="375">
        <f t="shared" si="0"/>
        <v>828</v>
      </c>
      <c r="S7" s="350">
        <f t="shared" si="1"/>
        <v>63.692307692307693</v>
      </c>
      <c r="T7" s="349">
        <f t="shared" si="2"/>
        <v>33</v>
      </c>
      <c r="U7" s="40"/>
      <c r="V7" s="40"/>
    </row>
    <row r="8" spans="1:22" ht="33" customHeight="1" thickBot="1" x14ac:dyDescent="0.3">
      <c r="A8" s="46">
        <v>5</v>
      </c>
      <c r="B8" s="354"/>
      <c r="C8" s="320">
        <v>14</v>
      </c>
      <c r="D8" s="344" t="s">
        <v>62</v>
      </c>
      <c r="E8" s="351">
        <v>77</v>
      </c>
      <c r="F8" s="352">
        <v>86</v>
      </c>
      <c r="G8" s="352">
        <v>77</v>
      </c>
      <c r="H8" s="352">
        <v>58</v>
      </c>
      <c r="I8" s="352">
        <v>64</v>
      </c>
      <c r="J8" s="352">
        <v>80</v>
      </c>
      <c r="K8" s="352">
        <v>81</v>
      </c>
      <c r="L8" s="352">
        <v>67</v>
      </c>
      <c r="M8" s="352">
        <v>66</v>
      </c>
      <c r="N8" s="352">
        <v>83</v>
      </c>
      <c r="O8" s="352">
        <v>73</v>
      </c>
      <c r="P8" s="347">
        <v>83</v>
      </c>
      <c r="Q8" s="347">
        <v>92</v>
      </c>
      <c r="R8" s="375">
        <f t="shared" si="0"/>
        <v>987</v>
      </c>
      <c r="S8" s="350">
        <f t="shared" si="1"/>
        <v>75.92307692307692</v>
      </c>
      <c r="T8" s="349">
        <f t="shared" si="2"/>
        <v>18</v>
      </c>
      <c r="U8" s="40"/>
      <c r="V8" s="40"/>
    </row>
    <row r="9" spans="1:22" ht="29.25" customHeight="1" thickBot="1" x14ac:dyDescent="0.3">
      <c r="A9" s="47">
        <v>6</v>
      </c>
      <c r="B9" s="354"/>
      <c r="C9" s="320">
        <v>15</v>
      </c>
      <c r="D9" s="344" t="s">
        <v>17</v>
      </c>
      <c r="E9" s="351">
        <v>79</v>
      </c>
      <c r="F9" s="352">
        <v>51</v>
      </c>
      <c r="G9" s="352">
        <v>69</v>
      </c>
      <c r="H9" s="352">
        <v>62</v>
      </c>
      <c r="I9" s="352">
        <v>53</v>
      </c>
      <c r="J9" s="352">
        <v>61</v>
      </c>
      <c r="K9" s="352">
        <v>53</v>
      </c>
      <c r="L9" s="352">
        <v>67</v>
      </c>
      <c r="M9" s="352">
        <v>42</v>
      </c>
      <c r="N9" s="352">
        <v>57</v>
      </c>
      <c r="O9" s="352">
        <v>65</v>
      </c>
      <c r="P9" s="347">
        <v>77</v>
      </c>
      <c r="Q9" s="347">
        <v>78</v>
      </c>
      <c r="R9" s="375">
        <f t="shared" si="0"/>
        <v>814</v>
      </c>
      <c r="S9" s="350">
        <f t="shared" si="1"/>
        <v>62.615384615384613</v>
      </c>
      <c r="T9" s="349">
        <f t="shared" si="2"/>
        <v>38</v>
      </c>
      <c r="U9" s="40"/>
      <c r="V9" s="40"/>
    </row>
    <row r="10" spans="1:22" ht="33" customHeight="1" thickBot="1" x14ac:dyDescent="0.3">
      <c r="A10" s="46">
        <v>7</v>
      </c>
      <c r="B10" s="354"/>
      <c r="C10" s="320">
        <v>15</v>
      </c>
      <c r="D10" s="344" t="s">
        <v>17</v>
      </c>
      <c r="E10" s="351">
        <v>74</v>
      </c>
      <c r="F10" s="352">
        <v>70</v>
      </c>
      <c r="G10" s="352">
        <v>79</v>
      </c>
      <c r="H10" s="352">
        <v>68</v>
      </c>
      <c r="I10" s="352">
        <v>73</v>
      </c>
      <c r="J10" s="352">
        <v>80</v>
      </c>
      <c r="K10" s="352">
        <v>89</v>
      </c>
      <c r="L10" s="352">
        <v>74</v>
      </c>
      <c r="M10" s="352">
        <v>81</v>
      </c>
      <c r="N10" s="352">
        <v>85</v>
      </c>
      <c r="O10" s="352">
        <v>87</v>
      </c>
      <c r="P10" s="347">
        <v>79</v>
      </c>
      <c r="Q10" s="347">
        <v>85</v>
      </c>
      <c r="R10" s="375">
        <f t="shared" si="0"/>
        <v>1024</v>
      </c>
      <c r="S10" s="350">
        <f t="shared" si="1"/>
        <v>78.769230769230774</v>
      </c>
      <c r="T10" s="349">
        <f t="shared" si="2"/>
        <v>12</v>
      </c>
      <c r="U10" s="40"/>
      <c r="V10" s="40"/>
    </row>
    <row r="11" spans="1:22" ht="29.25" customHeight="1" thickBot="1" x14ac:dyDescent="0.3">
      <c r="A11" s="46">
        <v>8</v>
      </c>
      <c r="B11" s="354"/>
      <c r="C11" s="320">
        <v>15</v>
      </c>
      <c r="D11" s="344" t="s">
        <v>20</v>
      </c>
      <c r="E11" s="351">
        <v>85</v>
      </c>
      <c r="F11" s="352">
        <v>88</v>
      </c>
      <c r="G11" s="352">
        <v>94</v>
      </c>
      <c r="H11" s="352">
        <v>78</v>
      </c>
      <c r="I11" s="352">
        <v>80</v>
      </c>
      <c r="J11" s="352">
        <v>84</v>
      </c>
      <c r="K11" s="352">
        <v>73</v>
      </c>
      <c r="L11" s="352">
        <v>73</v>
      </c>
      <c r="M11" s="352">
        <v>79</v>
      </c>
      <c r="N11" s="352">
        <v>88</v>
      </c>
      <c r="O11" s="352">
        <v>98</v>
      </c>
      <c r="P11" s="347">
        <v>86</v>
      </c>
      <c r="Q11" s="347">
        <v>93</v>
      </c>
      <c r="R11" s="375">
        <f t="shared" si="0"/>
        <v>1099</v>
      </c>
      <c r="S11" s="350">
        <f t="shared" si="1"/>
        <v>84.538461538461533</v>
      </c>
      <c r="T11" s="349">
        <f t="shared" si="2"/>
        <v>4</v>
      </c>
      <c r="U11" s="40"/>
      <c r="V11" s="40"/>
    </row>
    <row r="12" spans="1:22" ht="36" customHeight="1" thickBot="1" x14ac:dyDescent="0.3">
      <c r="A12" s="47">
        <v>9</v>
      </c>
      <c r="B12" s="354"/>
      <c r="C12" s="320">
        <v>15</v>
      </c>
      <c r="D12" s="344" t="s">
        <v>20</v>
      </c>
      <c r="E12" s="351">
        <v>88</v>
      </c>
      <c r="F12" s="352">
        <v>89</v>
      </c>
      <c r="G12" s="352">
        <v>75</v>
      </c>
      <c r="H12" s="352">
        <v>64</v>
      </c>
      <c r="I12" s="352">
        <v>58</v>
      </c>
      <c r="J12" s="352">
        <v>67</v>
      </c>
      <c r="K12" s="352">
        <v>69</v>
      </c>
      <c r="L12" s="352">
        <v>68</v>
      </c>
      <c r="M12" s="352">
        <v>58</v>
      </c>
      <c r="N12" s="352">
        <v>81</v>
      </c>
      <c r="O12" s="352">
        <v>88</v>
      </c>
      <c r="P12" s="347">
        <v>79</v>
      </c>
      <c r="Q12" s="347">
        <v>90</v>
      </c>
      <c r="R12" s="375">
        <f t="shared" si="0"/>
        <v>974</v>
      </c>
      <c r="S12" s="350">
        <f t="shared" si="1"/>
        <v>74.92307692307692</v>
      </c>
      <c r="T12" s="349">
        <f t="shared" si="2"/>
        <v>19</v>
      </c>
      <c r="U12" s="40"/>
      <c r="V12" s="40"/>
    </row>
    <row r="13" spans="1:22" ht="33.75" customHeight="1" thickBot="1" x14ac:dyDescent="0.3">
      <c r="A13" s="46">
        <v>10</v>
      </c>
      <c r="B13" s="354"/>
      <c r="C13" s="320">
        <v>14</v>
      </c>
      <c r="D13" s="344" t="s">
        <v>20</v>
      </c>
      <c r="E13" s="351">
        <v>61</v>
      </c>
      <c r="F13" s="352">
        <v>47</v>
      </c>
      <c r="G13" s="352">
        <v>60</v>
      </c>
      <c r="H13" s="352">
        <v>45</v>
      </c>
      <c r="I13" s="352">
        <v>44</v>
      </c>
      <c r="J13" s="352">
        <v>48</v>
      </c>
      <c r="K13" s="352">
        <v>42</v>
      </c>
      <c r="L13" s="352">
        <v>44</v>
      </c>
      <c r="M13" s="352">
        <v>39</v>
      </c>
      <c r="N13" s="352">
        <v>54</v>
      </c>
      <c r="O13" s="352">
        <v>56</v>
      </c>
      <c r="P13" s="347">
        <v>65</v>
      </c>
      <c r="Q13" s="347">
        <v>75</v>
      </c>
      <c r="R13" s="375">
        <f t="shared" si="0"/>
        <v>680</v>
      </c>
      <c r="S13" s="350">
        <f t="shared" si="1"/>
        <v>52.307692307692307</v>
      </c>
      <c r="T13" s="349">
        <f t="shared" si="2"/>
        <v>52</v>
      </c>
      <c r="U13" s="40"/>
      <c r="V13" s="40"/>
    </row>
    <row r="14" spans="1:22" ht="30" customHeight="1" thickBot="1" x14ac:dyDescent="0.3">
      <c r="A14" s="47">
        <v>11</v>
      </c>
      <c r="B14" s="354"/>
      <c r="C14" s="320">
        <v>15</v>
      </c>
      <c r="D14" s="344" t="s">
        <v>17</v>
      </c>
      <c r="E14" s="351">
        <v>78</v>
      </c>
      <c r="F14" s="352">
        <v>60</v>
      </c>
      <c r="G14" s="352">
        <v>64</v>
      </c>
      <c r="H14" s="352">
        <v>44</v>
      </c>
      <c r="I14" s="352">
        <v>51</v>
      </c>
      <c r="J14" s="352">
        <v>58</v>
      </c>
      <c r="K14" s="352">
        <v>56</v>
      </c>
      <c r="L14" s="352">
        <v>61</v>
      </c>
      <c r="M14" s="352">
        <v>71</v>
      </c>
      <c r="N14" s="352">
        <v>70</v>
      </c>
      <c r="O14" s="352">
        <v>63</v>
      </c>
      <c r="P14" s="347">
        <v>67</v>
      </c>
      <c r="Q14" s="347">
        <v>76</v>
      </c>
      <c r="R14" s="375">
        <f t="shared" si="0"/>
        <v>819</v>
      </c>
      <c r="S14" s="350">
        <f t="shared" si="1"/>
        <v>63</v>
      </c>
      <c r="T14" s="349">
        <f t="shared" si="2"/>
        <v>36</v>
      </c>
      <c r="U14" s="40"/>
      <c r="V14" s="40"/>
    </row>
    <row r="15" spans="1:22" ht="36" customHeight="1" thickBot="1" x14ac:dyDescent="0.3">
      <c r="A15" s="47">
        <v>12</v>
      </c>
      <c r="B15" s="354"/>
      <c r="C15" s="320">
        <v>14</v>
      </c>
      <c r="D15" s="344" t="s">
        <v>17</v>
      </c>
      <c r="E15" s="351">
        <v>93</v>
      </c>
      <c r="F15" s="352">
        <v>73</v>
      </c>
      <c r="G15" s="352">
        <v>80</v>
      </c>
      <c r="H15" s="352">
        <v>66</v>
      </c>
      <c r="I15" s="352">
        <v>63</v>
      </c>
      <c r="J15" s="352">
        <v>72</v>
      </c>
      <c r="K15" s="352">
        <v>64</v>
      </c>
      <c r="L15" s="352">
        <v>63</v>
      </c>
      <c r="M15" s="352">
        <v>67</v>
      </c>
      <c r="N15" s="352">
        <v>80</v>
      </c>
      <c r="O15" s="352">
        <v>78</v>
      </c>
      <c r="P15" s="347">
        <v>84</v>
      </c>
      <c r="Q15" s="347">
        <v>86</v>
      </c>
      <c r="R15" s="375">
        <f t="shared" si="0"/>
        <v>969</v>
      </c>
      <c r="S15" s="350">
        <f t="shared" si="1"/>
        <v>74.538461538461533</v>
      </c>
      <c r="T15" s="349">
        <f t="shared" si="2"/>
        <v>21</v>
      </c>
      <c r="U15" s="40"/>
      <c r="V15" s="40"/>
    </row>
    <row r="16" spans="1:22" ht="29.25" customHeight="1" thickBot="1" x14ac:dyDescent="0.3">
      <c r="A16" s="47">
        <v>13</v>
      </c>
      <c r="B16" s="354"/>
      <c r="C16" s="320">
        <v>14</v>
      </c>
      <c r="D16" s="344" t="s">
        <v>20</v>
      </c>
      <c r="E16" s="351">
        <v>79</v>
      </c>
      <c r="F16" s="352">
        <v>49</v>
      </c>
      <c r="G16" s="352">
        <v>100</v>
      </c>
      <c r="H16" s="352">
        <v>60</v>
      </c>
      <c r="I16" s="352">
        <v>57</v>
      </c>
      <c r="J16" s="352">
        <v>57</v>
      </c>
      <c r="K16" s="352">
        <v>51</v>
      </c>
      <c r="L16" s="352">
        <v>48</v>
      </c>
      <c r="M16" s="352">
        <v>52</v>
      </c>
      <c r="N16" s="352">
        <v>65</v>
      </c>
      <c r="O16" s="352">
        <v>64</v>
      </c>
      <c r="P16" s="347">
        <v>65</v>
      </c>
      <c r="Q16" s="347">
        <v>84</v>
      </c>
      <c r="R16" s="375">
        <f t="shared" si="0"/>
        <v>831</v>
      </c>
      <c r="S16" s="350">
        <f t="shared" si="1"/>
        <v>63.92307692307692</v>
      </c>
      <c r="T16" s="349">
        <f t="shared" si="2"/>
        <v>32</v>
      </c>
      <c r="U16" s="40"/>
      <c r="V16" s="40"/>
    </row>
    <row r="17" spans="1:22" ht="30" customHeight="1" thickBot="1" x14ac:dyDescent="0.3">
      <c r="A17" s="46">
        <v>14</v>
      </c>
      <c r="B17" s="354"/>
      <c r="C17" s="320">
        <v>15</v>
      </c>
      <c r="D17" s="344" t="s">
        <v>20</v>
      </c>
      <c r="E17" s="351">
        <v>80</v>
      </c>
      <c r="F17" s="352">
        <v>51</v>
      </c>
      <c r="G17" s="352">
        <v>80</v>
      </c>
      <c r="H17" s="352">
        <v>48</v>
      </c>
      <c r="I17" s="352">
        <v>60</v>
      </c>
      <c r="J17" s="352">
        <v>61</v>
      </c>
      <c r="K17" s="352">
        <v>50</v>
      </c>
      <c r="L17" s="352">
        <v>54</v>
      </c>
      <c r="M17" s="352">
        <v>42</v>
      </c>
      <c r="N17" s="352">
        <v>54</v>
      </c>
      <c r="O17" s="352">
        <v>61</v>
      </c>
      <c r="P17" s="347">
        <v>68</v>
      </c>
      <c r="Q17" s="347">
        <v>78</v>
      </c>
      <c r="R17" s="375">
        <f t="shared" si="0"/>
        <v>787</v>
      </c>
      <c r="S17" s="350">
        <f t="shared" si="1"/>
        <v>60.53846153846154</v>
      </c>
      <c r="T17" s="349">
        <f t="shared" si="2"/>
        <v>43</v>
      </c>
      <c r="U17" s="40"/>
      <c r="V17" s="40"/>
    </row>
    <row r="18" spans="1:22" ht="26.25" customHeight="1" thickBot="1" x14ac:dyDescent="0.3">
      <c r="A18" s="47">
        <v>15</v>
      </c>
      <c r="B18" s="354"/>
      <c r="C18" s="320">
        <v>16</v>
      </c>
      <c r="D18" s="344" t="s">
        <v>20</v>
      </c>
      <c r="E18" s="351">
        <v>79</v>
      </c>
      <c r="F18" s="352">
        <v>51</v>
      </c>
      <c r="G18" s="352">
        <v>78</v>
      </c>
      <c r="H18" s="352">
        <v>43</v>
      </c>
      <c r="I18" s="352">
        <v>48</v>
      </c>
      <c r="J18" s="352">
        <v>46</v>
      </c>
      <c r="K18" s="352">
        <v>43</v>
      </c>
      <c r="L18" s="352">
        <v>45</v>
      </c>
      <c r="M18" s="352">
        <v>51</v>
      </c>
      <c r="N18" s="352">
        <v>48</v>
      </c>
      <c r="O18" s="352">
        <v>56</v>
      </c>
      <c r="P18" s="347">
        <v>74</v>
      </c>
      <c r="Q18" s="347">
        <v>79</v>
      </c>
      <c r="R18" s="375">
        <f t="shared" si="0"/>
        <v>741</v>
      </c>
      <c r="S18" s="350">
        <f t="shared" si="1"/>
        <v>57</v>
      </c>
      <c r="T18" s="349">
        <f t="shared" si="2"/>
        <v>48</v>
      </c>
      <c r="U18" s="40"/>
      <c r="V18" s="40"/>
    </row>
    <row r="19" spans="1:22" ht="27.75" customHeight="1" thickBot="1" x14ac:dyDescent="0.3">
      <c r="A19" s="46">
        <v>16</v>
      </c>
      <c r="B19" s="354"/>
      <c r="C19" s="320">
        <v>16</v>
      </c>
      <c r="D19" s="344" t="s">
        <v>20</v>
      </c>
      <c r="E19" s="351">
        <v>86</v>
      </c>
      <c r="F19" s="352">
        <v>71</v>
      </c>
      <c r="G19" s="352">
        <v>85</v>
      </c>
      <c r="H19" s="352">
        <v>80</v>
      </c>
      <c r="I19" s="352">
        <v>71</v>
      </c>
      <c r="J19" s="352">
        <v>74</v>
      </c>
      <c r="K19" s="352">
        <v>65</v>
      </c>
      <c r="L19" s="352">
        <v>68</v>
      </c>
      <c r="M19" s="352">
        <v>74</v>
      </c>
      <c r="N19" s="352">
        <v>75</v>
      </c>
      <c r="O19" s="352">
        <v>84</v>
      </c>
      <c r="P19" s="347">
        <v>82</v>
      </c>
      <c r="Q19" s="347">
        <v>90</v>
      </c>
      <c r="R19" s="375">
        <f t="shared" si="0"/>
        <v>1005</v>
      </c>
      <c r="S19" s="350">
        <f t="shared" si="1"/>
        <v>77.307692307692307</v>
      </c>
      <c r="T19" s="349">
        <f t="shared" si="2"/>
        <v>15</v>
      </c>
      <c r="U19" s="40"/>
      <c r="V19" s="40"/>
    </row>
    <row r="20" spans="1:22" ht="25.5" customHeight="1" thickBot="1" x14ac:dyDescent="0.3">
      <c r="A20" s="46">
        <v>17</v>
      </c>
      <c r="B20" s="354"/>
      <c r="C20" s="320">
        <v>14</v>
      </c>
      <c r="D20" s="344" t="s">
        <v>20</v>
      </c>
      <c r="E20" s="351">
        <v>78</v>
      </c>
      <c r="F20" s="352">
        <v>49</v>
      </c>
      <c r="G20" s="352">
        <v>73</v>
      </c>
      <c r="H20" s="352">
        <v>59</v>
      </c>
      <c r="I20" s="352">
        <v>50</v>
      </c>
      <c r="J20" s="352">
        <v>54</v>
      </c>
      <c r="K20" s="352">
        <v>51</v>
      </c>
      <c r="L20" s="352">
        <v>50</v>
      </c>
      <c r="M20" s="352">
        <v>41</v>
      </c>
      <c r="N20" s="352">
        <v>52</v>
      </c>
      <c r="O20" s="352">
        <v>40</v>
      </c>
      <c r="P20" s="347">
        <v>61</v>
      </c>
      <c r="Q20" s="347">
        <v>69</v>
      </c>
      <c r="R20" s="375">
        <f t="shared" si="0"/>
        <v>727</v>
      </c>
      <c r="S20" s="350">
        <f t="shared" si="1"/>
        <v>55.92307692307692</v>
      </c>
      <c r="T20" s="349">
        <f t="shared" si="2"/>
        <v>49</v>
      </c>
      <c r="U20" s="40"/>
      <c r="V20" s="40"/>
    </row>
    <row r="21" spans="1:22" ht="28.5" customHeight="1" thickBot="1" x14ac:dyDescent="0.3">
      <c r="A21" s="46">
        <v>18</v>
      </c>
      <c r="B21" s="354"/>
      <c r="C21" s="320">
        <v>14</v>
      </c>
      <c r="D21" s="344" t="s">
        <v>20</v>
      </c>
      <c r="E21" s="351">
        <v>71</v>
      </c>
      <c r="F21" s="352">
        <v>59</v>
      </c>
      <c r="G21" s="352">
        <v>66</v>
      </c>
      <c r="H21" s="352">
        <v>49</v>
      </c>
      <c r="I21" s="352">
        <v>52</v>
      </c>
      <c r="J21" s="352">
        <v>54</v>
      </c>
      <c r="K21" s="352">
        <v>43</v>
      </c>
      <c r="L21" s="352">
        <v>48</v>
      </c>
      <c r="M21" s="352">
        <v>38</v>
      </c>
      <c r="N21" s="352">
        <v>61</v>
      </c>
      <c r="O21" s="352">
        <v>63</v>
      </c>
      <c r="P21" s="347">
        <v>73</v>
      </c>
      <c r="Q21" s="347">
        <v>72</v>
      </c>
      <c r="R21" s="375">
        <f t="shared" si="0"/>
        <v>749</v>
      </c>
      <c r="S21" s="350">
        <f t="shared" si="1"/>
        <v>57.615384615384613</v>
      </c>
      <c r="T21" s="349">
        <f t="shared" si="2"/>
        <v>47</v>
      </c>
      <c r="U21" s="40"/>
      <c r="V21" s="40"/>
    </row>
    <row r="22" spans="1:22" ht="29.25" customHeight="1" thickBot="1" x14ac:dyDescent="0.3">
      <c r="A22" s="47">
        <v>19</v>
      </c>
      <c r="B22" s="354"/>
      <c r="C22" s="320">
        <v>15</v>
      </c>
      <c r="D22" s="344" t="s">
        <v>17</v>
      </c>
      <c r="E22" s="351">
        <v>77</v>
      </c>
      <c r="F22" s="352">
        <v>49</v>
      </c>
      <c r="G22" s="353">
        <v>79</v>
      </c>
      <c r="H22" s="352">
        <v>48</v>
      </c>
      <c r="I22" s="352">
        <v>53</v>
      </c>
      <c r="J22" s="352">
        <v>52</v>
      </c>
      <c r="K22" s="352">
        <v>44</v>
      </c>
      <c r="L22" s="352">
        <v>47</v>
      </c>
      <c r="M22" s="352">
        <v>41</v>
      </c>
      <c r="N22" s="352">
        <v>54</v>
      </c>
      <c r="O22" s="352">
        <v>61</v>
      </c>
      <c r="P22" s="347">
        <v>67</v>
      </c>
      <c r="Q22" s="347">
        <v>83</v>
      </c>
      <c r="R22" s="375">
        <f t="shared" si="0"/>
        <v>755</v>
      </c>
      <c r="S22" s="350">
        <f t="shared" si="1"/>
        <v>58.07692307692308</v>
      </c>
      <c r="T22" s="349">
        <f t="shared" si="2"/>
        <v>46</v>
      </c>
      <c r="U22" s="40"/>
      <c r="V22" s="40"/>
    </row>
    <row r="23" spans="1:22" ht="27.75" customHeight="1" thickBot="1" x14ac:dyDescent="0.3">
      <c r="A23" s="47">
        <v>20</v>
      </c>
      <c r="B23" s="354"/>
      <c r="C23" s="320">
        <v>17</v>
      </c>
      <c r="D23" s="344" t="s">
        <v>20</v>
      </c>
      <c r="E23" s="351">
        <v>78</v>
      </c>
      <c r="F23" s="352">
        <v>62</v>
      </c>
      <c r="G23" s="352">
        <v>69</v>
      </c>
      <c r="H23" s="352">
        <v>51</v>
      </c>
      <c r="I23" s="352">
        <v>69</v>
      </c>
      <c r="J23" s="352">
        <v>73</v>
      </c>
      <c r="K23" s="352">
        <v>60</v>
      </c>
      <c r="L23" s="352">
        <v>65</v>
      </c>
      <c r="M23" s="352">
        <v>69</v>
      </c>
      <c r="N23" s="352">
        <v>74</v>
      </c>
      <c r="O23" s="352">
        <v>78</v>
      </c>
      <c r="P23" s="347">
        <v>80</v>
      </c>
      <c r="Q23" s="347">
        <v>84</v>
      </c>
      <c r="R23" s="375">
        <f t="shared" si="0"/>
        <v>912</v>
      </c>
      <c r="S23" s="350">
        <f t="shared" si="1"/>
        <v>70.15384615384616</v>
      </c>
      <c r="T23" s="349">
        <f t="shared" si="2"/>
        <v>25</v>
      </c>
      <c r="U23" s="40"/>
      <c r="V23" s="40"/>
    </row>
    <row r="24" spans="1:22" ht="30" customHeight="1" thickBot="1" x14ac:dyDescent="0.3">
      <c r="A24" s="47">
        <v>21</v>
      </c>
      <c r="B24" s="355"/>
      <c r="C24" s="364">
        <v>15</v>
      </c>
      <c r="D24" s="365" t="s">
        <v>17</v>
      </c>
      <c r="E24" s="351">
        <v>81</v>
      </c>
      <c r="F24" s="352">
        <v>62</v>
      </c>
      <c r="G24" s="352">
        <v>84</v>
      </c>
      <c r="H24" s="352">
        <v>68</v>
      </c>
      <c r="I24" s="352">
        <v>57</v>
      </c>
      <c r="J24" s="352">
        <v>58</v>
      </c>
      <c r="K24" s="352">
        <v>64</v>
      </c>
      <c r="L24" s="352">
        <v>65</v>
      </c>
      <c r="M24" s="352">
        <v>55</v>
      </c>
      <c r="N24" s="352">
        <v>69</v>
      </c>
      <c r="O24" s="352">
        <v>65</v>
      </c>
      <c r="P24" s="347">
        <v>75</v>
      </c>
      <c r="Q24" s="347">
        <v>80</v>
      </c>
      <c r="R24" s="375">
        <f t="shared" si="0"/>
        <v>883</v>
      </c>
      <c r="S24" s="350">
        <f t="shared" si="1"/>
        <v>67.92307692307692</v>
      </c>
      <c r="T24" s="349">
        <f t="shared" si="2"/>
        <v>28</v>
      </c>
      <c r="U24" s="40"/>
      <c r="V24" s="40"/>
    </row>
    <row r="25" spans="1:22" ht="33.75" customHeight="1" thickBot="1" x14ac:dyDescent="0.3">
      <c r="A25" s="46">
        <v>22</v>
      </c>
      <c r="B25" s="355"/>
      <c r="C25" s="364">
        <v>15</v>
      </c>
      <c r="D25" s="365" t="s">
        <v>20</v>
      </c>
      <c r="E25" s="351">
        <v>69</v>
      </c>
      <c r="F25" s="352">
        <v>78</v>
      </c>
      <c r="G25" s="353">
        <v>69</v>
      </c>
      <c r="H25" s="352">
        <v>64</v>
      </c>
      <c r="I25" s="352">
        <v>63</v>
      </c>
      <c r="J25" s="352">
        <v>68</v>
      </c>
      <c r="K25" s="352">
        <v>65</v>
      </c>
      <c r="L25" s="352">
        <v>51</v>
      </c>
      <c r="M25" s="352">
        <v>64</v>
      </c>
      <c r="N25" s="352">
        <v>70</v>
      </c>
      <c r="O25" s="352">
        <v>88</v>
      </c>
      <c r="P25" s="347">
        <v>83</v>
      </c>
      <c r="Q25" s="347">
        <v>71</v>
      </c>
      <c r="R25" s="375">
        <f t="shared" si="0"/>
        <v>903</v>
      </c>
      <c r="S25" s="350">
        <f t="shared" si="1"/>
        <v>69.461538461538467</v>
      </c>
      <c r="T25" s="349">
        <f t="shared" si="2"/>
        <v>26</v>
      </c>
      <c r="U25" s="40"/>
      <c r="V25" s="40"/>
    </row>
    <row r="26" spans="1:22" ht="38.25" customHeight="1" thickBot="1" x14ac:dyDescent="0.3">
      <c r="A26" s="46">
        <v>23</v>
      </c>
      <c r="B26" s="355"/>
      <c r="C26" s="364">
        <v>15</v>
      </c>
      <c r="D26" s="365" t="s">
        <v>17</v>
      </c>
      <c r="E26" s="351">
        <v>56</v>
      </c>
      <c r="F26" s="352">
        <v>50</v>
      </c>
      <c r="G26" s="352">
        <v>75</v>
      </c>
      <c r="H26" s="352">
        <v>50</v>
      </c>
      <c r="I26" s="352">
        <v>40</v>
      </c>
      <c r="J26" s="352">
        <v>54</v>
      </c>
      <c r="K26" s="352">
        <v>54</v>
      </c>
      <c r="L26" s="352">
        <v>55</v>
      </c>
      <c r="M26" s="352">
        <v>43</v>
      </c>
      <c r="N26" s="352">
        <v>60</v>
      </c>
      <c r="O26" s="352">
        <v>55</v>
      </c>
      <c r="P26" s="347">
        <v>58</v>
      </c>
      <c r="Q26" s="347">
        <v>73</v>
      </c>
      <c r="R26" s="375">
        <f t="shared" si="0"/>
        <v>723</v>
      </c>
      <c r="S26" s="350">
        <f t="shared" si="1"/>
        <v>55.615384615384613</v>
      </c>
      <c r="T26" s="349">
        <f t="shared" si="2"/>
        <v>50</v>
      </c>
      <c r="U26" s="40"/>
      <c r="V26" s="40"/>
    </row>
    <row r="27" spans="1:22" ht="32.25" customHeight="1" thickBot="1" x14ac:dyDescent="0.3">
      <c r="A27" s="47">
        <v>24</v>
      </c>
      <c r="B27" s="355"/>
      <c r="C27" s="364">
        <v>15</v>
      </c>
      <c r="D27" s="365" t="s">
        <v>20</v>
      </c>
      <c r="E27" s="351">
        <v>71</v>
      </c>
      <c r="F27" s="352">
        <v>58</v>
      </c>
      <c r="G27" s="352">
        <v>85</v>
      </c>
      <c r="H27" s="352">
        <v>59</v>
      </c>
      <c r="I27" s="352">
        <v>51</v>
      </c>
      <c r="J27" s="352">
        <v>60</v>
      </c>
      <c r="K27" s="352">
        <v>54</v>
      </c>
      <c r="L27" s="352">
        <v>60</v>
      </c>
      <c r="M27" s="352">
        <v>46</v>
      </c>
      <c r="N27" s="352">
        <v>56</v>
      </c>
      <c r="O27" s="352">
        <v>76</v>
      </c>
      <c r="P27" s="347">
        <v>66</v>
      </c>
      <c r="Q27" s="347">
        <v>81</v>
      </c>
      <c r="R27" s="375">
        <f t="shared" si="0"/>
        <v>823</v>
      </c>
      <c r="S27" s="350">
        <f t="shared" si="1"/>
        <v>63.307692307692307</v>
      </c>
      <c r="T27" s="349">
        <f t="shared" si="2"/>
        <v>35</v>
      </c>
      <c r="U27" s="40"/>
      <c r="V27" s="40"/>
    </row>
    <row r="28" spans="1:22" ht="33" customHeight="1" thickBot="1" x14ac:dyDescent="0.3">
      <c r="A28" s="46">
        <v>25</v>
      </c>
      <c r="B28" s="355"/>
      <c r="C28" s="364">
        <v>16</v>
      </c>
      <c r="D28" s="365" t="s">
        <v>20</v>
      </c>
      <c r="E28" s="351">
        <v>91</v>
      </c>
      <c r="F28" s="352">
        <v>87</v>
      </c>
      <c r="G28" s="352">
        <v>91</v>
      </c>
      <c r="H28" s="352">
        <v>76</v>
      </c>
      <c r="I28" s="352">
        <v>74</v>
      </c>
      <c r="J28" s="352">
        <v>90</v>
      </c>
      <c r="K28" s="352">
        <v>80</v>
      </c>
      <c r="L28" s="352">
        <v>76</v>
      </c>
      <c r="M28" s="352">
        <v>93</v>
      </c>
      <c r="N28" s="352">
        <v>93</v>
      </c>
      <c r="O28" s="352">
        <v>99</v>
      </c>
      <c r="P28" s="347">
        <v>94</v>
      </c>
      <c r="Q28" s="347">
        <v>97</v>
      </c>
      <c r="R28" s="375">
        <f t="shared" si="0"/>
        <v>1141</v>
      </c>
      <c r="S28" s="350">
        <f t="shared" si="1"/>
        <v>87.769230769230774</v>
      </c>
      <c r="T28" s="349">
        <f t="shared" si="2"/>
        <v>2</v>
      </c>
      <c r="U28" s="40"/>
      <c r="V28" s="40"/>
    </row>
    <row r="29" spans="1:22" ht="25.5" customHeight="1" thickBot="1" x14ac:dyDescent="0.3">
      <c r="A29" s="47">
        <v>26</v>
      </c>
      <c r="B29" s="355"/>
      <c r="C29" s="364">
        <v>14</v>
      </c>
      <c r="D29" s="365" t="s">
        <v>20</v>
      </c>
      <c r="E29" s="351">
        <v>83</v>
      </c>
      <c r="F29" s="352">
        <v>43</v>
      </c>
      <c r="G29" s="352">
        <v>73</v>
      </c>
      <c r="H29" s="352">
        <v>42</v>
      </c>
      <c r="I29" s="352">
        <v>41</v>
      </c>
      <c r="J29" s="352">
        <v>48</v>
      </c>
      <c r="K29" s="352">
        <v>42</v>
      </c>
      <c r="L29" s="352">
        <v>52</v>
      </c>
      <c r="M29" s="352">
        <v>36</v>
      </c>
      <c r="N29" s="352">
        <v>52</v>
      </c>
      <c r="O29" s="352">
        <v>58</v>
      </c>
      <c r="P29" s="347">
        <v>55</v>
      </c>
      <c r="Q29" s="347">
        <v>66</v>
      </c>
      <c r="R29" s="375">
        <f t="shared" si="0"/>
        <v>691</v>
      </c>
      <c r="S29" s="350">
        <f t="shared" si="1"/>
        <v>53.153846153846153</v>
      </c>
      <c r="T29" s="349">
        <f t="shared" si="2"/>
        <v>51</v>
      </c>
      <c r="U29" s="40"/>
      <c r="V29" s="40"/>
    </row>
    <row r="30" spans="1:22" ht="30" customHeight="1" thickBot="1" x14ac:dyDescent="0.3">
      <c r="A30" s="47">
        <v>27</v>
      </c>
      <c r="B30" s="369"/>
      <c r="C30" s="370">
        <v>15</v>
      </c>
      <c r="D30" s="371" t="s">
        <v>20</v>
      </c>
      <c r="E30" s="351">
        <v>97</v>
      </c>
      <c r="F30" s="352">
        <v>94</v>
      </c>
      <c r="G30" s="352">
        <v>99</v>
      </c>
      <c r="H30" s="352">
        <v>94</v>
      </c>
      <c r="I30" s="352">
        <v>96</v>
      </c>
      <c r="J30" s="352">
        <v>99</v>
      </c>
      <c r="K30" s="352">
        <v>96</v>
      </c>
      <c r="L30" s="352">
        <v>100</v>
      </c>
      <c r="M30" s="352">
        <v>98</v>
      </c>
      <c r="N30" s="352">
        <v>98</v>
      </c>
      <c r="O30" s="352">
        <v>100</v>
      </c>
      <c r="P30" s="347">
        <v>96</v>
      </c>
      <c r="Q30" s="347">
        <v>96</v>
      </c>
      <c r="R30" s="375">
        <f t="shared" si="0"/>
        <v>1263</v>
      </c>
      <c r="S30" s="350">
        <f t="shared" si="1"/>
        <v>97.15384615384616</v>
      </c>
      <c r="T30" s="349">
        <f t="shared" si="2"/>
        <v>1</v>
      </c>
      <c r="U30" s="40"/>
      <c r="V30" s="40"/>
    </row>
    <row r="31" spans="1:22" ht="33.75" customHeight="1" thickBot="1" x14ac:dyDescent="0.3">
      <c r="A31" s="47">
        <v>28</v>
      </c>
      <c r="B31" s="355"/>
      <c r="C31" s="364">
        <v>16</v>
      </c>
      <c r="D31" s="365" t="s">
        <v>20</v>
      </c>
      <c r="E31" s="351">
        <v>83</v>
      </c>
      <c r="F31" s="352">
        <v>61</v>
      </c>
      <c r="G31" s="353">
        <v>78</v>
      </c>
      <c r="H31" s="353">
        <v>53</v>
      </c>
      <c r="I31" s="352">
        <v>44</v>
      </c>
      <c r="J31" s="353">
        <v>69</v>
      </c>
      <c r="K31" s="352">
        <v>60</v>
      </c>
      <c r="L31" s="352">
        <v>55</v>
      </c>
      <c r="M31" s="352">
        <v>61</v>
      </c>
      <c r="N31" s="352">
        <v>64</v>
      </c>
      <c r="O31" s="352">
        <v>77</v>
      </c>
      <c r="P31" s="347">
        <v>66</v>
      </c>
      <c r="Q31" s="347">
        <v>87</v>
      </c>
      <c r="R31" s="375">
        <f t="shared" si="0"/>
        <v>858</v>
      </c>
      <c r="S31" s="350">
        <f t="shared" si="1"/>
        <v>66</v>
      </c>
      <c r="T31" s="349">
        <f t="shared" si="2"/>
        <v>30</v>
      </c>
      <c r="U31" s="40"/>
      <c r="V31" s="40"/>
    </row>
    <row r="32" spans="1:22" ht="30" customHeight="1" thickBot="1" x14ac:dyDescent="0.3">
      <c r="A32" s="46">
        <v>29</v>
      </c>
      <c r="B32" s="355"/>
      <c r="C32" s="364">
        <v>17</v>
      </c>
      <c r="D32" s="365" t="s">
        <v>20</v>
      </c>
      <c r="E32" s="351">
        <v>70</v>
      </c>
      <c r="F32" s="353">
        <v>58</v>
      </c>
      <c r="G32" s="353">
        <v>96</v>
      </c>
      <c r="H32" s="352">
        <v>53</v>
      </c>
      <c r="I32" s="353">
        <v>53</v>
      </c>
      <c r="J32" s="352">
        <v>58</v>
      </c>
      <c r="K32" s="352">
        <v>47</v>
      </c>
      <c r="L32" s="352">
        <v>58</v>
      </c>
      <c r="M32" s="352">
        <v>41</v>
      </c>
      <c r="N32" s="352">
        <v>58</v>
      </c>
      <c r="O32" s="352">
        <v>66</v>
      </c>
      <c r="P32" s="347">
        <v>68</v>
      </c>
      <c r="Q32" s="347">
        <v>80</v>
      </c>
      <c r="R32" s="375">
        <f t="shared" si="0"/>
        <v>806</v>
      </c>
      <c r="S32" s="350">
        <f t="shared" si="1"/>
        <v>62</v>
      </c>
      <c r="T32" s="349">
        <f t="shared" si="2"/>
        <v>40</v>
      </c>
      <c r="U32" s="40"/>
      <c r="V32" s="40"/>
    </row>
    <row r="33" spans="1:22" ht="34.5" customHeight="1" thickBot="1" x14ac:dyDescent="0.3">
      <c r="A33" s="47">
        <v>30</v>
      </c>
      <c r="B33" s="355"/>
      <c r="C33" s="364">
        <v>15</v>
      </c>
      <c r="D33" s="365" t="s">
        <v>17</v>
      </c>
      <c r="E33" s="351">
        <v>77</v>
      </c>
      <c r="F33" s="352">
        <v>76</v>
      </c>
      <c r="G33" s="352">
        <v>69</v>
      </c>
      <c r="H33" s="352">
        <v>65</v>
      </c>
      <c r="I33" s="352">
        <v>60</v>
      </c>
      <c r="J33" s="352">
        <v>74</v>
      </c>
      <c r="K33" s="352">
        <v>60</v>
      </c>
      <c r="L33" s="352">
        <v>56</v>
      </c>
      <c r="M33" s="352">
        <v>55</v>
      </c>
      <c r="N33" s="352">
        <v>68</v>
      </c>
      <c r="O33" s="352">
        <v>67</v>
      </c>
      <c r="P33" s="347">
        <v>89</v>
      </c>
      <c r="Q33" s="347">
        <v>83</v>
      </c>
      <c r="R33" s="375">
        <f t="shared" si="0"/>
        <v>899</v>
      </c>
      <c r="S33" s="350">
        <f t="shared" si="1"/>
        <v>69.15384615384616</v>
      </c>
      <c r="T33" s="349">
        <f t="shared" si="2"/>
        <v>27</v>
      </c>
      <c r="U33" s="40"/>
      <c r="V33" s="40"/>
    </row>
    <row r="34" spans="1:22" ht="26.25" customHeight="1" thickBot="1" x14ac:dyDescent="0.3">
      <c r="A34" s="46">
        <v>31</v>
      </c>
      <c r="B34" s="355"/>
      <c r="C34" s="364">
        <v>14</v>
      </c>
      <c r="D34" s="365" t="s">
        <v>20</v>
      </c>
      <c r="E34" s="351">
        <v>87</v>
      </c>
      <c r="F34" s="352">
        <v>87</v>
      </c>
      <c r="G34" s="353">
        <v>90</v>
      </c>
      <c r="H34" s="352">
        <v>74</v>
      </c>
      <c r="I34" s="352">
        <v>55</v>
      </c>
      <c r="J34" s="352">
        <v>81</v>
      </c>
      <c r="K34" s="352">
        <v>71</v>
      </c>
      <c r="L34" s="352">
        <v>77</v>
      </c>
      <c r="M34" s="352">
        <v>81</v>
      </c>
      <c r="N34" s="352">
        <v>86</v>
      </c>
      <c r="O34" s="352">
        <v>91</v>
      </c>
      <c r="P34" s="347">
        <v>85</v>
      </c>
      <c r="Q34" s="347">
        <v>80</v>
      </c>
      <c r="R34" s="375">
        <f t="shared" si="0"/>
        <v>1045</v>
      </c>
      <c r="S34" s="350">
        <f t="shared" si="1"/>
        <v>80.384615384615387</v>
      </c>
      <c r="T34" s="349">
        <f t="shared" si="2"/>
        <v>8</v>
      </c>
      <c r="U34" s="40"/>
      <c r="V34" s="40"/>
    </row>
    <row r="35" spans="1:22" ht="31.5" customHeight="1" thickBot="1" x14ac:dyDescent="0.3">
      <c r="A35" s="46">
        <v>32</v>
      </c>
      <c r="B35" s="355"/>
      <c r="C35" s="364">
        <v>16</v>
      </c>
      <c r="D35" s="365" t="s">
        <v>20</v>
      </c>
      <c r="E35" s="351">
        <v>74</v>
      </c>
      <c r="F35" s="352">
        <v>64</v>
      </c>
      <c r="G35" s="352">
        <v>81</v>
      </c>
      <c r="H35" s="352">
        <v>49</v>
      </c>
      <c r="I35" s="352">
        <v>52</v>
      </c>
      <c r="J35" s="352">
        <v>62</v>
      </c>
      <c r="K35" s="352">
        <v>50</v>
      </c>
      <c r="L35" s="352">
        <v>60</v>
      </c>
      <c r="M35" s="352">
        <v>56</v>
      </c>
      <c r="N35" s="352">
        <v>59</v>
      </c>
      <c r="O35" s="352">
        <v>61</v>
      </c>
      <c r="P35" s="347">
        <v>70</v>
      </c>
      <c r="Q35" s="347">
        <v>81</v>
      </c>
      <c r="R35" s="375">
        <f t="shared" si="0"/>
        <v>819</v>
      </c>
      <c r="S35" s="350">
        <f t="shared" si="1"/>
        <v>63</v>
      </c>
      <c r="T35" s="349">
        <f t="shared" si="2"/>
        <v>36</v>
      </c>
      <c r="U35" s="40"/>
      <c r="V35" s="40"/>
    </row>
    <row r="36" spans="1:22" ht="36" customHeight="1" thickBot="1" x14ac:dyDescent="0.3">
      <c r="A36" s="46">
        <v>33</v>
      </c>
      <c r="B36" s="355"/>
      <c r="C36" s="364">
        <v>14</v>
      </c>
      <c r="D36" s="365" t="s">
        <v>20</v>
      </c>
      <c r="E36" s="351">
        <v>78</v>
      </c>
      <c r="F36" s="352">
        <v>72</v>
      </c>
      <c r="G36" s="352">
        <v>79</v>
      </c>
      <c r="H36" s="352">
        <v>48</v>
      </c>
      <c r="I36" s="352">
        <v>58</v>
      </c>
      <c r="J36" s="352">
        <v>58</v>
      </c>
      <c r="K36" s="352">
        <v>53</v>
      </c>
      <c r="L36" s="352">
        <v>70</v>
      </c>
      <c r="M36" s="352">
        <v>53</v>
      </c>
      <c r="N36" s="352">
        <v>67</v>
      </c>
      <c r="O36" s="352">
        <v>80</v>
      </c>
      <c r="P36" s="347">
        <v>82</v>
      </c>
      <c r="Q36" s="347">
        <v>77</v>
      </c>
      <c r="R36" s="375">
        <f t="shared" si="0"/>
        <v>875</v>
      </c>
      <c r="S36" s="350">
        <f t="shared" si="1"/>
        <v>67.307692307692307</v>
      </c>
      <c r="T36" s="349">
        <f t="shared" si="2"/>
        <v>29</v>
      </c>
      <c r="U36" s="40"/>
      <c r="V36" s="40"/>
    </row>
    <row r="37" spans="1:22" ht="33" customHeight="1" thickBot="1" x14ac:dyDescent="0.3">
      <c r="A37" s="47">
        <v>34</v>
      </c>
      <c r="B37" s="355"/>
      <c r="C37" s="364">
        <v>15</v>
      </c>
      <c r="D37" s="365" t="s">
        <v>20</v>
      </c>
      <c r="E37" s="351">
        <v>87</v>
      </c>
      <c r="F37" s="353">
        <v>69</v>
      </c>
      <c r="G37" s="353">
        <v>85</v>
      </c>
      <c r="H37" s="353">
        <v>50</v>
      </c>
      <c r="I37" s="352">
        <v>65</v>
      </c>
      <c r="J37" s="352">
        <v>64</v>
      </c>
      <c r="K37" s="352">
        <v>78</v>
      </c>
      <c r="L37" s="352">
        <v>66</v>
      </c>
      <c r="M37" s="352">
        <v>83</v>
      </c>
      <c r="N37" s="352">
        <v>85</v>
      </c>
      <c r="O37" s="353">
        <v>83</v>
      </c>
      <c r="P37" s="376">
        <v>72</v>
      </c>
      <c r="Q37" s="376">
        <v>86</v>
      </c>
      <c r="R37" s="375">
        <f t="shared" si="0"/>
        <v>973</v>
      </c>
      <c r="S37" s="350">
        <f t="shared" si="1"/>
        <v>74.84615384615384</v>
      </c>
      <c r="T37" s="349">
        <f t="shared" si="2"/>
        <v>20</v>
      </c>
      <c r="U37" s="40"/>
      <c r="V37" s="40"/>
    </row>
    <row r="38" spans="1:22" ht="27.75" customHeight="1" thickBot="1" x14ac:dyDescent="0.3">
      <c r="A38" s="47">
        <v>35</v>
      </c>
      <c r="B38" s="355"/>
      <c r="C38" s="364">
        <v>15</v>
      </c>
      <c r="D38" s="365" t="s">
        <v>17</v>
      </c>
      <c r="E38" s="351">
        <v>75</v>
      </c>
      <c r="F38" s="352">
        <v>71</v>
      </c>
      <c r="G38" s="353">
        <v>82</v>
      </c>
      <c r="H38" s="352">
        <v>66</v>
      </c>
      <c r="I38" s="352">
        <v>52</v>
      </c>
      <c r="J38" s="352">
        <v>62</v>
      </c>
      <c r="K38" s="353">
        <v>57</v>
      </c>
      <c r="L38" s="352">
        <v>62</v>
      </c>
      <c r="M38" s="352">
        <v>58</v>
      </c>
      <c r="N38" s="352">
        <v>53</v>
      </c>
      <c r="O38" s="352">
        <v>51</v>
      </c>
      <c r="P38" s="347">
        <v>78</v>
      </c>
      <c r="Q38" s="347">
        <v>75</v>
      </c>
      <c r="R38" s="375">
        <f t="shared" si="0"/>
        <v>842</v>
      </c>
      <c r="S38" s="350">
        <f t="shared" si="1"/>
        <v>64.769230769230774</v>
      </c>
      <c r="T38" s="349">
        <f t="shared" si="2"/>
        <v>31</v>
      </c>
      <c r="U38" s="40"/>
      <c r="V38" s="40"/>
    </row>
    <row r="39" spans="1:22" ht="36" customHeight="1" thickBot="1" x14ac:dyDescent="0.3">
      <c r="A39" s="47">
        <v>36</v>
      </c>
      <c r="B39" s="355"/>
      <c r="C39" s="364">
        <v>16</v>
      </c>
      <c r="D39" s="365" t="s">
        <v>17</v>
      </c>
      <c r="E39" s="351">
        <v>63</v>
      </c>
      <c r="F39" s="352">
        <v>68</v>
      </c>
      <c r="G39" s="352">
        <v>78</v>
      </c>
      <c r="H39" s="352">
        <v>42</v>
      </c>
      <c r="I39" s="352">
        <v>49</v>
      </c>
      <c r="J39" s="352">
        <v>60</v>
      </c>
      <c r="K39" s="352">
        <v>54</v>
      </c>
      <c r="L39" s="352">
        <v>57</v>
      </c>
      <c r="M39" s="352">
        <v>69</v>
      </c>
      <c r="N39" s="352">
        <v>62</v>
      </c>
      <c r="O39" s="352">
        <v>65</v>
      </c>
      <c r="P39" s="347">
        <v>71</v>
      </c>
      <c r="Q39" s="347">
        <v>86</v>
      </c>
      <c r="R39" s="375">
        <f t="shared" si="0"/>
        <v>824</v>
      </c>
      <c r="S39" s="350">
        <f t="shared" si="1"/>
        <v>63.384615384615387</v>
      </c>
      <c r="T39" s="349">
        <f t="shared" si="2"/>
        <v>34</v>
      </c>
      <c r="U39" s="40"/>
      <c r="V39" s="40"/>
    </row>
    <row r="40" spans="1:22" ht="26.25" customHeight="1" thickBot="1" x14ac:dyDescent="0.3">
      <c r="A40" s="46">
        <v>37</v>
      </c>
      <c r="B40" s="355"/>
      <c r="C40" s="364">
        <v>15</v>
      </c>
      <c r="D40" s="365" t="s">
        <v>17</v>
      </c>
      <c r="E40" s="351">
        <v>68</v>
      </c>
      <c r="F40" s="352">
        <v>46</v>
      </c>
      <c r="G40" s="353">
        <v>64</v>
      </c>
      <c r="H40" s="352">
        <v>56</v>
      </c>
      <c r="I40" s="352">
        <v>54</v>
      </c>
      <c r="J40" s="352">
        <v>57</v>
      </c>
      <c r="K40" s="352">
        <v>51</v>
      </c>
      <c r="L40" s="352">
        <v>56</v>
      </c>
      <c r="M40" s="352">
        <v>59</v>
      </c>
      <c r="N40" s="352">
        <v>61</v>
      </c>
      <c r="O40" s="352">
        <v>79</v>
      </c>
      <c r="P40" s="347">
        <v>77</v>
      </c>
      <c r="Q40" s="347">
        <v>85</v>
      </c>
      <c r="R40" s="375">
        <f t="shared" si="0"/>
        <v>813</v>
      </c>
      <c r="S40" s="350">
        <f t="shared" si="1"/>
        <v>62.53846153846154</v>
      </c>
      <c r="T40" s="349">
        <f t="shared" si="2"/>
        <v>39</v>
      </c>
      <c r="U40" s="40"/>
      <c r="V40" s="40"/>
    </row>
    <row r="41" spans="1:22" ht="33.75" customHeight="1" thickBot="1" x14ac:dyDescent="0.3">
      <c r="A41" s="46">
        <v>38</v>
      </c>
      <c r="B41" s="355"/>
      <c r="C41" s="364">
        <v>15</v>
      </c>
      <c r="D41" s="365" t="s">
        <v>20</v>
      </c>
      <c r="E41" s="351">
        <v>94</v>
      </c>
      <c r="F41" s="352">
        <v>68</v>
      </c>
      <c r="G41" s="352">
        <v>82</v>
      </c>
      <c r="H41" s="352">
        <v>72</v>
      </c>
      <c r="I41" s="352">
        <v>69</v>
      </c>
      <c r="J41" s="352">
        <v>84</v>
      </c>
      <c r="K41" s="352">
        <v>78</v>
      </c>
      <c r="L41" s="352">
        <v>81</v>
      </c>
      <c r="M41" s="352">
        <v>78</v>
      </c>
      <c r="N41" s="352">
        <v>80</v>
      </c>
      <c r="O41" s="352">
        <v>88</v>
      </c>
      <c r="P41" s="347">
        <v>89</v>
      </c>
      <c r="Q41" s="347">
        <v>90</v>
      </c>
      <c r="R41" s="375">
        <f t="shared" si="0"/>
        <v>1053</v>
      </c>
      <c r="S41" s="350">
        <f t="shared" si="1"/>
        <v>81</v>
      </c>
      <c r="T41" s="349">
        <f t="shared" si="2"/>
        <v>7</v>
      </c>
      <c r="U41" s="40"/>
      <c r="V41" s="40"/>
    </row>
    <row r="42" spans="1:22" ht="30.75" customHeight="1" thickBot="1" x14ac:dyDescent="0.3">
      <c r="A42" s="47">
        <v>39</v>
      </c>
      <c r="B42" s="355"/>
      <c r="C42" s="364">
        <v>14</v>
      </c>
      <c r="D42" s="365" t="s">
        <v>20</v>
      </c>
      <c r="E42" s="351">
        <v>79</v>
      </c>
      <c r="F42" s="352">
        <v>54</v>
      </c>
      <c r="G42" s="352">
        <v>83</v>
      </c>
      <c r="H42" s="352">
        <v>51</v>
      </c>
      <c r="I42" s="352">
        <v>55</v>
      </c>
      <c r="J42" s="352">
        <v>58</v>
      </c>
      <c r="K42" s="352">
        <v>45</v>
      </c>
      <c r="L42" s="352">
        <v>54</v>
      </c>
      <c r="M42" s="352">
        <v>56</v>
      </c>
      <c r="N42" s="352">
        <v>53</v>
      </c>
      <c r="O42" s="352">
        <v>72</v>
      </c>
      <c r="P42" s="347">
        <v>65</v>
      </c>
      <c r="Q42" s="347">
        <v>74</v>
      </c>
      <c r="R42" s="375">
        <f t="shared" si="0"/>
        <v>799</v>
      </c>
      <c r="S42" s="350">
        <f t="shared" si="1"/>
        <v>61.46153846153846</v>
      </c>
      <c r="T42" s="349">
        <f t="shared" si="2"/>
        <v>41</v>
      </c>
      <c r="U42" s="40"/>
      <c r="V42" s="40"/>
    </row>
    <row r="43" spans="1:22" ht="24" customHeight="1" thickBot="1" x14ac:dyDescent="0.3">
      <c r="A43" s="46">
        <v>40</v>
      </c>
      <c r="B43" s="355"/>
      <c r="C43" s="364">
        <v>14</v>
      </c>
      <c r="D43" s="365" t="s">
        <v>17</v>
      </c>
      <c r="E43" s="351">
        <v>86</v>
      </c>
      <c r="F43" s="352">
        <v>75</v>
      </c>
      <c r="G43" s="353">
        <v>80</v>
      </c>
      <c r="H43" s="352">
        <v>73</v>
      </c>
      <c r="I43" s="352">
        <v>67</v>
      </c>
      <c r="J43" s="352">
        <v>77</v>
      </c>
      <c r="K43" s="352">
        <v>72</v>
      </c>
      <c r="L43" s="352">
        <v>76</v>
      </c>
      <c r="M43" s="352">
        <v>75</v>
      </c>
      <c r="N43" s="352">
        <v>85</v>
      </c>
      <c r="O43" s="352">
        <v>92</v>
      </c>
      <c r="P43" s="347">
        <v>83</v>
      </c>
      <c r="Q43" s="347">
        <v>97</v>
      </c>
      <c r="R43" s="375">
        <f t="shared" si="0"/>
        <v>1038</v>
      </c>
      <c r="S43" s="350">
        <f t="shared" si="1"/>
        <v>79.84615384615384</v>
      </c>
      <c r="T43" s="349">
        <f t="shared" si="2"/>
        <v>10</v>
      </c>
      <c r="U43" s="40"/>
      <c r="V43" s="40"/>
    </row>
    <row r="44" spans="1:22" ht="31.5" customHeight="1" thickBot="1" x14ac:dyDescent="0.3">
      <c r="A44" s="47">
        <v>41</v>
      </c>
      <c r="B44" s="355"/>
      <c r="C44" s="364">
        <v>15</v>
      </c>
      <c r="D44" s="365" t="s">
        <v>20</v>
      </c>
      <c r="E44" s="351">
        <v>83</v>
      </c>
      <c r="F44" s="352">
        <v>69</v>
      </c>
      <c r="G44" s="352">
        <v>83</v>
      </c>
      <c r="H44" s="352">
        <v>69</v>
      </c>
      <c r="I44" s="352">
        <v>64</v>
      </c>
      <c r="J44" s="352">
        <v>67</v>
      </c>
      <c r="K44" s="352">
        <v>61</v>
      </c>
      <c r="L44" s="352">
        <v>72</v>
      </c>
      <c r="M44" s="352">
        <v>68</v>
      </c>
      <c r="N44" s="352">
        <v>76</v>
      </c>
      <c r="O44" s="352">
        <v>87</v>
      </c>
      <c r="P44" s="347">
        <v>78</v>
      </c>
      <c r="Q44" s="347">
        <v>87</v>
      </c>
      <c r="R44" s="375">
        <f t="shared" si="0"/>
        <v>964</v>
      </c>
      <c r="S44" s="350">
        <f t="shared" si="1"/>
        <v>74.15384615384616</v>
      </c>
      <c r="T44" s="349">
        <f t="shared" si="2"/>
        <v>22</v>
      </c>
      <c r="U44" s="40"/>
      <c r="V44" s="40"/>
    </row>
    <row r="45" spans="1:22" ht="26.25" customHeight="1" thickBot="1" x14ac:dyDescent="0.3">
      <c r="A45" s="47">
        <v>42</v>
      </c>
      <c r="B45" s="355"/>
      <c r="C45" s="364">
        <v>14</v>
      </c>
      <c r="D45" s="365" t="s">
        <v>20</v>
      </c>
      <c r="E45" s="351">
        <v>87</v>
      </c>
      <c r="F45" s="352">
        <v>84</v>
      </c>
      <c r="G45" s="352">
        <v>84</v>
      </c>
      <c r="H45" s="352">
        <v>64</v>
      </c>
      <c r="I45" s="352">
        <v>70</v>
      </c>
      <c r="J45" s="352">
        <v>74</v>
      </c>
      <c r="K45" s="352">
        <v>72</v>
      </c>
      <c r="L45" s="352">
        <v>74</v>
      </c>
      <c r="M45" s="352">
        <v>79</v>
      </c>
      <c r="N45" s="352">
        <v>85</v>
      </c>
      <c r="O45" s="352">
        <v>88</v>
      </c>
      <c r="P45" s="351">
        <v>83</v>
      </c>
      <c r="Q45" s="351">
        <v>90</v>
      </c>
      <c r="R45" s="375">
        <f t="shared" si="0"/>
        <v>1034</v>
      </c>
      <c r="S45" s="350">
        <f t="shared" si="1"/>
        <v>79.538461538461533</v>
      </c>
      <c r="T45" s="349">
        <f t="shared" si="2"/>
        <v>11</v>
      </c>
      <c r="U45" s="40"/>
      <c r="V45" s="40"/>
    </row>
    <row r="46" spans="1:22" ht="27.75" customHeight="1" thickBot="1" x14ac:dyDescent="0.3">
      <c r="A46" s="47">
        <v>43</v>
      </c>
      <c r="B46" s="355"/>
      <c r="C46" s="364">
        <v>14</v>
      </c>
      <c r="D46" s="365" t="s">
        <v>20</v>
      </c>
      <c r="E46" s="351">
        <v>86</v>
      </c>
      <c r="F46" s="352">
        <v>79</v>
      </c>
      <c r="G46" s="353">
        <v>85</v>
      </c>
      <c r="H46" s="352">
        <v>74</v>
      </c>
      <c r="I46" s="352">
        <v>58</v>
      </c>
      <c r="J46" s="352">
        <v>78</v>
      </c>
      <c r="K46" s="352">
        <v>88</v>
      </c>
      <c r="L46" s="352">
        <v>82</v>
      </c>
      <c r="M46" s="352">
        <v>89</v>
      </c>
      <c r="N46" s="352">
        <v>91</v>
      </c>
      <c r="O46" s="352">
        <v>94</v>
      </c>
      <c r="P46" s="351">
        <v>84</v>
      </c>
      <c r="Q46" s="351">
        <v>88</v>
      </c>
      <c r="R46" s="375">
        <f t="shared" si="0"/>
        <v>1076</v>
      </c>
      <c r="S46" s="350">
        <f t="shared" si="1"/>
        <v>82.769230769230774</v>
      </c>
      <c r="T46" s="349">
        <f t="shared" si="2"/>
        <v>5</v>
      </c>
      <c r="U46" s="40"/>
      <c r="V46" s="40"/>
    </row>
    <row r="47" spans="1:22" ht="25.5" customHeight="1" thickBot="1" x14ac:dyDescent="0.3">
      <c r="A47" s="46">
        <v>44</v>
      </c>
      <c r="B47" s="355"/>
      <c r="C47" s="364">
        <v>14</v>
      </c>
      <c r="D47" s="365" t="s">
        <v>20</v>
      </c>
      <c r="E47" s="351">
        <v>78</v>
      </c>
      <c r="F47" s="352">
        <v>69</v>
      </c>
      <c r="G47" s="352">
        <v>86</v>
      </c>
      <c r="H47" s="352">
        <v>61</v>
      </c>
      <c r="I47" s="352">
        <v>60</v>
      </c>
      <c r="J47" s="352">
        <v>71</v>
      </c>
      <c r="K47" s="353">
        <v>64</v>
      </c>
      <c r="L47" s="352">
        <v>63</v>
      </c>
      <c r="M47" s="352">
        <v>73</v>
      </c>
      <c r="N47" s="352">
        <v>74</v>
      </c>
      <c r="O47" s="352">
        <v>85</v>
      </c>
      <c r="P47" s="351">
        <v>77</v>
      </c>
      <c r="Q47" s="351">
        <v>76</v>
      </c>
      <c r="R47" s="375">
        <f t="shared" si="0"/>
        <v>937</v>
      </c>
      <c r="S47" s="350">
        <f t="shared" si="1"/>
        <v>72.07692307692308</v>
      </c>
      <c r="T47" s="349">
        <f t="shared" si="2"/>
        <v>24</v>
      </c>
      <c r="U47" s="40"/>
      <c r="V47" s="40"/>
    </row>
    <row r="48" spans="1:22" ht="26.25" customHeight="1" thickBot="1" x14ac:dyDescent="0.3">
      <c r="A48" s="47">
        <v>45</v>
      </c>
      <c r="B48" s="355"/>
      <c r="C48" s="364">
        <v>14</v>
      </c>
      <c r="D48" s="365" t="s">
        <v>20</v>
      </c>
      <c r="E48" s="351">
        <v>87</v>
      </c>
      <c r="F48" s="352">
        <v>91</v>
      </c>
      <c r="G48" s="352">
        <v>81</v>
      </c>
      <c r="H48" s="352">
        <v>77</v>
      </c>
      <c r="I48" s="352">
        <v>82</v>
      </c>
      <c r="J48" s="352">
        <v>78</v>
      </c>
      <c r="K48" s="352">
        <v>82</v>
      </c>
      <c r="L48" s="352">
        <v>82</v>
      </c>
      <c r="M48" s="352">
        <v>84</v>
      </c>
      <c r="N48" s="352">
        <v>91</v>
      </c>
      <c r="O48" s="352">
        <v>91</v>
      </c>
      <c r="P48" s="351">
        <v>85</v>
      </c>
      <c r="Q48" s="351">
        <v>90</v>
      </c>
      <c r="R48" s="375">
        <f t="shared" si="0"/>
        <v>1101</v>
      </c>
      <c r="S48" s="350">
        <f t="shared" si="1"/>
        <v>84.692307692307693</v>
      </c>
      <c r="T48" s="349">
        <f t="shared" si="2"/>
        <v>3</v>
      </c>
      <c r="U48" s="40"/>
      <c r="V48" s="40"/>
    </row>
    <row r="49" spans="1:22" ht="33.75" customHeight="1" thickBot="1" x14ac:dyDescent="0.3">
      <c r="A49" s="46">
        <v>46</v>
      </c>
      <c r="B49" s="355"/>
      <c r="C49" s="364">
        <v>15</v>
      </c>
      <c r="D49" s="365" t="s">
        <v>20</v>
      </c>
      <c r="E49" s="351">
        <v>90</v>
      </c>
      <c r="F49" s="353">
        <v>76</v>
      </c>
      <c r="G49" s="353">
        <v>79</v>
      </c>
      <c r="H49" s="353">
        <v>79</v>
      </c>
      <c r="I49" s="352">
        <v>73</v>
      </c>
      <c r="J49" s="352">
        <v>83</v>
      </c>
      <c r="K49" s="352">
        <v>79</v>
      </c>
      <c r="L49" s="352">
        <v>63</v>
      </c>
      <c r="M49" s="352">
        <v>75</v>
      </c>
      <c r="N49" s="353">
        <v>84</v>
      </c>
      <c r="O49" s="352">
        <v>94</v>
      </c>
      <c r="P49" s="351">
        <v>83</v>
      </c>
      <c r="Q49" s="351">
        <v>96</v>
      </c>
      <c r="R49" s="375">
        <f t="shared" si="0"/>
        <v>1054</v>
      </c>
      <c r="S49" s="350">
        <f t="shared" si="1"/>
        <v>81.07692307692308</v>
      </c>
      <c r="T49" s="349">
        <f t="shared" si="2"/>
        <v>6</v>
      </c>
      <c r="U49" s="40"/>
      <c r="V49" s="40"/>
    </row>
    <row r="50" spans="1:22" ht="29.25" customHeight="1" thickBot="1" x14ac:dyDescent="0.3">
      <c r="A50" s="46">
        <v>47</v>
      </c>
      <c r="B50" s="355"/>
      <c r="C50" s="364">
        <v>14</v>
      </c>
      <c r="D50" s="365" t="s">
        <v>17</v>
      </c>
      <c r="E50" s="351">
        <v>77</v>
      </c>
      <c r="F50" s="353">
        <v>69</v>
      </c>
      <c r="G50" s="353">
        <v>71</v>
      </c>
      <c r="H50" s="352">
        <v>41</v>
      </c>
      <c r="I50" s="353">
        <v>47</v>
      </c>
      <c r="J50" s="352">
        <v>57</v>
      </c>
      <c r="K50" s="353">
        <v>58</v>
      </c>
      <c r="L50" s="353">
        <v>51</v>
      </c>
      <c r="M50" s="352">
        <v>51</v>
      </c>
      <c r="N50" s="352">
        <v>69</v>
      </c>
      <c r="O50" s="353">
        <v>47</v>
      </c>
      <c r="P50" s="377">
        <v>72</v>
      </c>
      <c r="Q50" s="377">
        <v>81</v>
      </c>
      <c r="R50" s="375">
        <f t="shared" si="0"/>
        <v>791</v>
      </c>
      <c r="S50" s="350">
        <f t="shared" si="1"/>
        <v>60.846153846153847</v>
      </c>
      <c r="T50" s="349">
        <f t="shared" si="2"/>
        <v>42</v>
      </c>
      <c r="U50" s="40"/>
      <c r="V50" s="40"/>
    </row>
    <row r="51" spans="1:22" ht="26.25" customHeight="1" thickBot="1" x14ac:dyDescent="0.3">
      <c r="A51" s="46">
        <v>48</v>
      </c>
      <c r="B51" s="355"/>
      <c r="C51" s="364">
        <v>15</v>
      </c>
      <c r="D51" s="365" t="s">
        <v>17</v>
      </c>
      <c r="E51" s="351">
        <v>91</v>
      </c>
      <c r="F51" s="352">
        <v>79</v>
      </c>
      <c r="G51" s="352">
        <v>75</v>
      </c>
      <c r="H51" s="352">
        <v>74</v>
      </c>
      <c r="I51" s="352">
        <v>67</v>
      </c>
      <c r="J51" s="352">
        <v>74</v>
      </c>
      <c r="K51" s="352">
        <v>63</v>
      </c>
      <c r="L51" s="352">
        <v>65</v>
      </c>
      <c r="M51" s="352">
        <v>61</v>
      </c>
      <c r="N51" s="352">
        <v>84</v>
      </c>
      <c r="O51" s="352">
        <v>82</v>
      </c>
      <c r="P51" s="351">
        <v>93</v>
      </c>
      <c r="Q51" s="351">
        <v>80</v>
      </c>
      <c r="R51" s="375">
        <f t="shared" si="0"/>
        <v>988</v>
      </c>
      <c r="S51" s="350">
        <f t="shared" si="1"/>
        <v>76</v>
      </c>
      <c r="T51" s="349">
        <f t="shared" si="2"/>
        <v>17</v>
      </c>
      <c r="U51" s="40"/>
      <c r="V51" s="40"/>
    </row>
    <row r="52" spans="1:22" ht="34.5" customHeight="1" thickBot="1" x14ac:dyDescent="0.3">
      <c r="A52" s="47">
        <v>49</v>
      </c>
      <c r="B52" s="355"/>
      <c r="C52" s="364">
        <v>15</v>
      </c>
      <c r="D52" s="365" t="s">
        <v>17</v>
      </c>
      <c r="E52" s="351">
        <v>64</v>
      </c>
      <c r="F52" s="352">
        <v>43</v>
      </c>
      <c r="G52" s="352">
        <v>76</v>
      </c>
      <c r="H52" s="352">
        <v>49</v>
      </c>
      <c r="I52" s="352">
        <v>57</v>
      </c>
      <c r="J52" s="352">
        <v>54</v>
      </c>
      <c r="K52" s="352">
        <v>46</v>
      </c>
      <c r="L52" s="352">
        <v>54</v>
      </c>
      <c r="M52" s="352">
        <v>53</v>
      </c>
      <c r="N52" s="352">
        <v>59</v>
      </c>
      <c r="O52" s="352">
        <v>63</v>
      </c>
      <c r="P52" s="351">
        <v>67</v>
      </c>
      <c r="Q52" s="351">
        <v>80</v>
      </c>
      <c r="R52" s="375">
        <f t="shared" si="0"/>
        <v>765</v>
      </c>
      <c r="S52" s="350">
        <f t="shared" si="1"/>
        <v>58.846153846153847</v>
      </c>
      <c r="T52" s="349">
        <f t="shared" si="2"/>
        <v>44</v>
      </c>
      <c r="U52" s="40"/>
      <c r="V52" s="40"/>
    </row>
    <row r="53" spans="1:22" ht="27.75" customHeight="1" thickBot="1" x14ac:dyDescent="0.3">
      <c r="A53" s="47">
        <v>50</v>
      </c>
      <c r="B53" s="355"/>
      <c r="C53" s="364">
        <v>14</v>
      </c>
      <c r="D53" s="365" t="s">
        <v>17</v>
      </c>
      <c r="E53" s="351">
        <v>82</v>
      </c>
      <c r="F53" s="352">
        <v>76</v>
      </c>
      <c r="G53" s="352">
        <v>75</v>
      </c>
      <c r="H53" s="352">
        <v>78</v>
      </c>
      <c r="I53" s="352">
        <v>84</v>
      </c>
      <c r="J53" s="352">
        <v>77</v>
      </c>
      <c r="K53" s="353">
        <v>66</v>
      </c>
      <c r="L53" s="352">
        <v>57</v>
      </c>
      <c r="M53" s="352">
        <v>59</v>
      </c>
      <c r="N53" s="352">
        <v>85</v>
      </c>
      <c r="O53" s="352">
        <v>83</v>
      </c>
      <c r="P53" s="351">
        <v>83</v>
      </c>
      <c r="Q53" s="351">
        <v>86</v>
      </c>
      <c r="R53" s="375">
        <f t="shared" si="0"/>
        <v>991</v>
      </c>
      <c r="S53" s="350">
        <f t="shared" si="1"/>
        <v>76.230769230769226</v>
      </c>
      <c r="T53" s="349">
        <f t="shared" si="2"/>
        <v>16</v>
      </c>
      <c r="U53" s="40"/>
      <c r="V53" s="40"/>
    </row>
    <row r="54" spans="1:22" ht="36.75" customHeight="1" thickBot="1" x14ac:dyDescent="0.3">
      <c r="A54" s="47">
        <v>51</v>
      </c>
      <c r="B54" s="355"/>
      <c r="C54" s="364">
        <v>14</v>
      </c>
      <c r="D54" s="365" t="s">
        <v>20</v>
      </c>
      <c r="E54" s="351">
        <v>86</v>
      </c>
      <c r="F54" s="352">
        <v>86</v>
      </c>
      <c r="G54" s="352">
        <v>85</v>
      </c>
      <c r="H54" s="352">
        <v>63</v>
      </c>
      <c r="I54" s="352">
        <v>67</v>
      </c>
      <c r="J54" s="352">
        <v>80</v>
      </c>
      <c r="K54" s="352">
        <v>82</v>
      </c>
      <c r="L54" s="352">
        <v>67</v>
      </c>
      <c r="M54" s="352">
        <v>84</v>
      </c>
      <c r="N54" s="352">
        <v>81</v>
      </c>
      <c r="O54" s="352">
        <v>89</v>
      </c>
      <c r="P54" s="351">
        <v>78</v>
      </c>
      <c r="Q54" s="351">
        <v>93</v>
      </c>
      <c r="R54" s="375">
        <f t="shared" si="0"/>
        <v>1041</v>
      </c>
      <c r="S54" s="350">
        <f t="shared" si="1"/>
        <v>80.07692307692308</v>
      </c>
      <c r="T54" s="349">
        <f t="shared" si="2"/>
        <v>9</v>
      </c>
      <c r="U54" s="40"/>
      <c r="V54" s="40"/>
    </row>
    <row r="55" spans="1:22" ht="33.75" customHeight="1" thickBot="1" x14ac:dyDescent="0.3">
      <c r="A55" s="47">
        <v>52</v>
      </c>
      <c r="B55" s="355"/>
      <c r="C55" s="364">
        <v>14</v>
      </c>
      <c r="D55" s="365" t="s">
        <v>17</v>
      </c>
      <c r="E55" s="388">
        <v>83</v>
      </c>
      <c r="F55" s="389">
        <v>76</v>
      </c>
      <c r="G55" s="389">
        <v>80</v>
      </c>
      <c r="H55" s="389">
        <v>68</v>
      </c>
      <c r="I55" s="389">
        <v>58</v>
      </c>
      <c r="J55" s="389">
        <v>97</v>
      </c>
      <c r="K55" s="389">
        <v>73</v>
      </c>
      <c r="L55" s="389">
        <v>77</v>
      </c>
      <c r="M55" s="389">
        <v>79</v>
      </c>
      <c r="N55" s="389">
        <v>86</v>
      </c>
      <c r="O55" s="389">
        <v>82</v>
      </c>
      <c r="P55" s="389">
        <v>73</v>
      </c>
      <c r="Q55" s="389">
        <v>84</v>
      </c>
      <c r="R55" s="375">
        <f t="shared" si="0"/>
        <v>1016</v>
      </c>
      <c r="S55" s="350">
        <f t="shared" si="1"/>
        <v>78.15384615384616</v>
      </c>
      <c r="T55" s="349">
        <f t="shared" si="2"/>
        <v>13</v>
      </c>
      <c r="U55" s="40"/>
      <c r="V55" s="40"/>
    </row>
  </sheetData>
  <mergeCells count="2">
    <mergeCell ref="A1:V1"/>
    <mergeCell ref="A2:V2"/>
  </mergeCells>
  <pageMargins left="0.7" right="0.7" top="0.75" bottom="0.75" header="0.3" footer="0.3"/>
  <pageSetup paperSize="9" scale="5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view="pageBreakPreview" zoomScale="60" zoomScaleNormal="100" workbookViewId="0">
      <selection activeCell="B4" sqref="B4:B55"/>
    </sheetView>
  </sheetViews>
  <sheetFormatPr defaultRowHeight="15" x14ac:dyDescent="0.25"/>
  <cols>
    <col min="1" max="1" width="6" customWidth="1"/>
    <col min="2" max="2" width="55.28515625" customWidth="1"/>
    <col min="3" max="3" width="11.28515625" customWidth="1"/>
    <col min="4" max="4" width="6.5703125" customWidth="1"/>
    <col min="5" max="6" width="9.42578125" bestFit="1" customWidth="1"/>
    <col min="7" max="7" width="9.42578125" style="211" customWidth="1"/>
    <col min="8" max="11" width="9.42578125" bestFit="1" customWidth="1"/>
    <col min="12" max="12" width="9.85546875" bestFit="1" customWidth="1"/>
    <col min="13" max="13" width="9.85546875" style="211" customWidth="1"/>
    <col min="14" max="14" width="9.42578125" bestFit="1" customWidth="1"/>
    <col min="15" max="15" width="9.42578125" style="211" customWidth="1"/>
    <col min="16" max="17" width="9.42578125" bestFit="1" customWidth="1"/>
    <col min="18" max="18" width="10.5703125" bestFit="1" customWidth="1"/>
    <col min="19" max="19" width="11.85546875" customWidth="1"/>
    <col min="20" max="20" width="9.42578125" bestFit="1" customWidth="1"/>
  </cols>
  <sheetData>
    <row r="1" spans="1:22" ht="27.75" x14ac:dyDescent="0.25">
      <c r="A1" s="893" t="s">
        <v>38</v>
      </c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4"/>
      <c r="N1" s="894"/>
      <c r="O1" s="894"/>
      <c r="P1" s="894"/>
      <c r="Q1" s="894"/>
      <c r="R1" s="894"/>
      <c r="S1" s="894"/>
      <c r="T1" s="894"/>
      <c r="U1" s="894"/>
      <c r="V1" s="895"/>
    </row>
    <row r="2" spans="1:22" ht="31.5" thickBot="1" x14ac:dyDescent="0.3">
      <c r="A2" s="896" t="s">
        <v>89</v>
      </c>
      <c r="B2" s="896"/>
      <c r="C2" s="896"/>
      <c r="D2" s="896"/>
      <c r="E2" s="896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</row>
    <row r="3" spans="1:22" ht="123.75" thickBot="1" x14ac:dyDescent="0.3">
      <c r="A3" s="426" t="s">
        <v>80</v>
      </c>
      <c r="B3" s="427" t="s">
        <v>1</v>
      </c>
      <c r="C3" s="428" t="s">
        <v>2</v>
      </c>
      <c r="D3" s="427" t="s">
        <v>3</v>
      </c>
      <c r="E3" s="610" t="s">
        <v>22</v>
      </c>
      <c r="F3" s="610" t="s">
        <v>5</v>
      </c>
      <c r="G3" s="610" t="s">
        <v>29</v>
      </c>
      <c r="H3" s="610" t="s">
        <v>6</v>
      </c>
      <c r="I3" s="610" t="s">
        <v>7</v>
      </c>
      <c r="J3" s="610" t="s">
        <v>8</v>
      </c>
      <c r="K3" s="610" t="s">
        <v>9</v>
      </c>
      <c r="L3" s="611" t="s">
        <v>24</v>
      </c>
      <c r="M3" s="610" t="s">
        <v>23</v>
      </c>
      <c r="N3" s="610" t="s">
        <v>25</v>
      </c>
      <c r="O3" s="610" t="s">
        <v>27</v>
      </c>
      <c r="P3" s="610" t="s">
        <v>26</v>
      </c>
      <c r="Q3" s="610" t="s">
        <v>28</v>
      </c>
      <c r="R3" s="611" t="s">
        <v>12</v>
      </c>
      <c r="S3" s="611" t="s">
        <v>13</v>
      </c>
      <c r="T3" s="611" t="s">
        <v>14</v>
      </c>
      <c r="U3" s="611" t="s">
        <v>15</v>
      </c>
      <c r="V3" s="612" t="s">
        <v>16</v>
      </c>
    </row>
    <row r="4" spans="1:22" ht="29.25" thickBot="1" x14ac:dyDescent="0.3">
      <c r="A4" s="433">
        <v>1</v>
      </c>
      <c r="B4" s="434"/>
      <c r="C4" s="613">
        <v>15</v>
      </c>
      <c r="D4" s="614" t="s">
        <v>17</v>
      </c>
      <c r="E4" s="440">
        <v>67</v>
      </c>
      <c r="F4" s="440">
        <v>68</v>
      </c>
      <c r="G4" s="618">
        <v>77</v>
      </c>
      <c r="H4" s="440">
        <v>77</v>
      </c>
      <c r="I4" s="440">
        <v>74</v>
      </c>
      <c r="J4" s="440">
        <v>63</v>
      </c>
      <c r="K4" s="440">
        <v>68</v>
      </c>
      <c r="L4" s="615">
        <v>64</v>
      </c>
      <c r="M4" s="645">
        <v>53</v>
      </c>
      <c r="N4" s="616">
        <v>70</v>
      </c>
      <c r="O4" s="440">
        <v>74</v>
      </c>
      <c r="P4" s="440">
        <v>85</v>
      </c>
      <c r="Q4" s="617">
        <v>83</v>
      </c>
      <c r="R4" s="617">
        <f>SUM(E4:Q4)</f>
        <v>923</v>
      </c>
      <c r="S4" s="619">
        <f>AVERAGE(E4:Q4)</f>
        <v>71</v>
      </c>
      <c r="T4" s="617">
        <f>RANK(S4,$S$4:$S$55)</f>
        <v>22</v>
      </c>
      <c r="U4" s="440"/>
      <c r="V4" s="440"/>
    </row>
    <row r="5" spans="1:22" ht="29.25" thickBot="1" x14ac:dyDescent="0.3">
      <c r="A5" s="441">
        <v>2</v>
      </c>
      <c r="B5" s="442"/>
      <c r="C5" s="620">
        <v>15</v>
      </c>
      <c r="D5" s="621" t="s">
        <v>17</v>
      </c>
      <c r="E5" s="445">
        <v>68</v>
      </c>
      <c r="F5" s="445">
        <v>53</v>
      </c>
      <c r="G5" s="623">
        <v>43</v>
      </c>
      <c r="H5" s="445">
        <v>55</v>
      </c>
      <c r="I5" s="445">
        <v>57</v>
      </c>
      <c r="J5" s="445">
        <v>54</v>
      </c>
      <c r="K5" s="445">
        <v>68</v>
      </c>
      <c r="L5" s="615">
        <v>62</v>
      </c>
      <c r="M5" s="646">
        <v>55</v>
      </c>
      <c r="N5" s="622">
        <v>59</v>
      </c>
      <c r="O5" s="445">
        <v>67</v>
      </c>
      <c r="P5" s="445">
        <v>75</v>
      </c>
      <c r="Q5" s="445">
        <v>80</v>
      </c>
      <c r="R5" s="617">
        <f>SUM(E5:Q5)</f>
        <v>796</v>
      </c>
      <c r="S5" s="619">
        <f>AVERAGE(E5:Q5)</f>
        <v>61.230769230769234</v>
      </c>
      <c r="T5" s="617">
        <f t="shared" ref="T5:T55" si="0">RANK(S5,$S$4:$S$55)</f>
        <v>41</v>
      </c>
      <c r="U5" s="445"/>
      <c r="V5" s="445"/>
    </row>
    <row r="6" spans="1:22" ht="29.25" thickBot="1" x14ac:dyDescent="0.3">
      <c r="A6" s="441">
        <v>3</v>
      </c>
      <c r="B6" s="442"/>
      <c r="C6" s="620">
        <v>15</v>
      </c>
      <c r="D6" s="621" t="s">
        <v>17</v>
      </c>
      <c r="E6" s="445">
        <v>88</v>
      </c>
      <c r="F6" s="445">
        <v>79</v>
      </c>
      <c r="G6" s="623">
        <v>62</v>
      </c>
      <c r="H6" s="445">
        <v>89</v>
      </c>
      <c r="I6" s="445">
        <v>72</v>
      </c>
      <c r="J6" s="445">
        <v>67</v>
      </c>
      <c r="K6" s="445">
        <v>70</v>
      </c>
      <c r="L6" s="615">
        <v>84</v>
      </c>
      <c r="M6" s="646">
        <v>81</v>
      </c>
      <c r="N6" s="622">
        <v>90</v>
      </c>
      <c r="O6" s="445">
        <v>90</v>
      </c>
      <c r="P6" s="445">
        <v>97</v>
      </c>
      <c r="Q6" s="445">
        <v>85</v>
      </c>
      <c r="R6" s="617">
        <f>SUM(E6:Q6)</f>
        <v>1054</v>
      </c>
      <c r="S6" s="619">
        <f>AVERAGE(E6:Q6)</f>
        <v>81.07692307692308</v>
      </c>
      <c r="T6" s="617">
        <f t="shared" si="0"/>
        <v>7</v>
      </c>
      <c r="U6" s="445"/>
      <c r="V6" s="445"/>
    </row>
    <row r="7" spans="1:22" ht="29.25" thickBot="1" x14ac:dyDescent="0.3">
      <c r="A7" s="441">
        <v>4</v>
      </c>
      <c r="B7" s="442"/>
      <c r="C7" s="620">
        <v>14</v>
      </c>
      <c r="D7" s="621" t="s">
        <v>17</v>
      </c>
      <c r="E7" s="445">
        <v>80</v>
      </c>
      <c r="F7" s="445">
        <v>71</v>
      </c>
      <c r="G7" s="623">
        <v>52</v>
      </c>
      <c r="H7" s="445">
        <v>57</v>
      </c>
      <c r="I7" s="445">
        <v>70</v>
      </c>
      <c r="J7" s="445">
        <v>50</v>
      </c>
      <c r="K7" s="445">
        <v>58</v>
      </c>
      <c r="L7" s="615">
        <v>57</v>
      </c>
      <c r="M7" s="646">
        <v>48</v>
      </c>
      <c r="N7" s="622">
        <v>67</v>
      </c>
      <c r="O7" s="445">
        <v>72</v>
      </c>
      <c r="P7" s="445">
        <v>62</v>
      </c>
      <c r="Q7" s="445">
        <v>84</v>
      </c>
      <c r="R7" s="617">
        <f>SUM(E7:Q7)</f>
        <v>828</v>
      </c>
      <c r="S7" s="619">
        <f>AVERAGE(E7:Q7)</f>
        <v>63.692307692307693</v>
      </c>
      <c r="T7" s="617">
        <f t="shared" si="0"/>
        <v>35</v>
      </c>
      <c r="U7" s="445"/>
      <c r="V7" s="445"/>
    </row>
    <row r="8" spans="1:22" ht="29.25" thickBot="1" x14ac:dyDescent="0.3">
      <c r="A8" s="441">
        <v>5</v>
      </c>
      <c r="B8" s="442"/>
      <c r="C8" s="620">
        <v>14</v>
      </c>
      <c r="D8" s="621" t="s">
        <v>62</v>
      </c>
      <c r="E8" s="445">
        <v>78</v>
      </c>
      <c r="F8" s="445">
        <v>92</v>
      </c>
      <c r="G8" s="623">
        <v>58</v>
      </c>
      <c r="H8" s="445">
        <v>74</v>
      </c>
      <c r="I8" s="445">
        <v>70</v>
      </c>
      <c r="J8" s="445">
        <v>59</v>
      </c>
      <c r="K8" s="445">
        <v>82</v>
      </c>
      <c r="L8" s="615">
        <v>88</v>
      </c>
      <c r="M8" s="646">
        <v>64</v>
      </c>
      <c r="N8" s="622">
        <v>88</v>
      </c>
      <c r="O8" s="445">
        <v>85</v>
      </c>
      <c r="P8" s="445">
        <v>91</v>
      </c>
      <c r="Q8" s="445">
        <v>86</v>
      </c>
      <c r="R8" s="617">
        <f>SUM(E8:Q8)</f>
        <v>1015</v>
      </c>
      <c r="S8" s="619">
        <f>AVERAGE(E8:Q8)</f>
        <v>78.07692307692308</v>
      </c>
      <c r="T8" s="617">
        <f t="shared" si="0"/>
        <v>14</v>
      </c>
      <c r="U8" s="445"/>
      <c r="V8" s="445"/>
    </row>
    <row r="9" spans="1:22" ht="29.25" thickBot="1" x14ac:dyDescent="0.5">
      <c r="A9" s="441">
        <v>6</v>
      </c>
      <c r="B9" s="442"/>
      <c r="C9" s="620">
        <v>15</v>
      </c>
      <c r="D9" s="621" t="s">
        <v>17</v>
      </c>
      <c r="E9" s="445"/>
      <c r="F9" s="445"/>
      <c r="G9" s="623"/>
      <c r="H9" s="445"/>
      <c r="I9" s="445"/>
      <c r="J9" s="445"/>
      <c r="K9" s="445"/>
      <c r="L9" s="615"/>
      <c r="M9" s="646" t="s">
        <v>76</v>
      </c>
      <c r="N9" s="622"/>
      <c r="O9" s="445"/>
      <c r="P9" s="445"/>
      <c r="Q9" s="432"/>
      <c r="R9" s="617"/>
      <c r="S9" s="619"/>
      <c r="T9" s="617"/>
      <c r="U9" s="445"/>
      <c r="V9" s="445"/>
    </row>
    <row r="10" spans="1:22" ht="29.25" thickBot="1" x14ac:dyDescent="0.3">
      <c r="A10" s="441">
        <v>7</v>
      </c>
      <c r="B10" s="442"/>
      <c r="C10" s="620">
        <v>15</v>
      </c>
      <c r="D10" s="621" t="s">
        <v>17</v>
      </c>
      <c r="E10" s="445">
        <v>85</v>
      </c>
      <c r="F10" s="445">
        <v>79</v>
      </c>
      <c r="G10" s="623">
        <v>69</v>
      </c>
      <c r="H10" s="445">
        <v>73</v>
      </c>
      <c r="I10" s="445">
        <v>72</v>
      </c>
      <c r="J10" s="445">
        <v>68</v>
      </c>
      <c r="K10" s="445">
        <v>73</v>
      </c>
      <c r="L10" s="615">
        <v>90</v>
      </c>
      <c r="M10" s="646">
        <v>76</v>
      </c>
      <c r="N10" s="622">
        <v>78</v>
      </c>
      <c r="O10" s="445">
        <v>83</v>
      </c>
      <c r="P10" s="445">
        <v>87</v>
      </c>
      <c r="Q10" s="445">
        <v>81</v>
      </c>
      <c r="R10" s="617">
        <f t="shared" ref="R10:R55" si="1">SUM(E10:Q10)</f>
        <v>1014</v>
      </c>
      <c r="S10" s="619">
        <f t="shared" ref="S10:S55" si="2">AVERAGE(E10:Q10)</f>
        <v>78</v>
      </c>
      <c r="T10" s="617">
        <f t="shared" si="0"/>
        <v>15</v>
      </c>
      <c r="U10" s="445"/>
      <c r="V10" s="445"/>
    </row>
    <row r="11" spans="1:22" ht="29.25" thickBot="1" x14ac:dyDescent="0.3">
      <c r="A11" s="441">
        <v>8</v>
      </c>
      <c r="B11" s="442"/>
      <c r="C11" s="620">
        <v>15</v>
      </c>
      <c r="D11" s="621" t="s">
        <v>20</v>
      </c>
      <c r="E11" s="445">
        <v>89</v>
      </c>
      <c r="F11" s="445">
        <v>86</v>
      </c>
      <c r="G11" s="623">
        <v>70</v>
      </c>
      <c r="H11" s="445">
        <v>91</v>
      </c>
      <c r="I11" s="445">
        <v>84</v>
      </c>
      <c r="J11" s="445">
        <v>66</v>
      </c>
      <c r="K11" s="445">
        <v>70</v>
      </c>
      <c r="L11" s="615">
        <v>87</v>
      </c>
      <c r="M11" s="646">
        <v>80</v>
      </c>
      <c r="N11" s="622">
        <v>81</v>
      </c>
      <c r="O11" s="445">
        <v>95</v>
      </c>
      <c r="P11" s="445">
        <v>91</v>
      </c>
      <c r="Q11" s="445">
        <v>97</v>
      </c>
      <c r="R11" s="617">
        <f t="shared" si="1"/>
        <v>1087</v>
      </c>
      <c r="S11" s="619">
        <f t="shared" si="2"/>
        <v>83.615384615384613</v>
      </c>
      <c r="T11" s="617">
        <f t="shared" si="0"/>
        <v>5</v>
      </c>
      <c r="U11" s="445"/>
      <c r="V11" s="445"/>
    </row>
    <row r="12" spans="1:22" ht="29.25" thickBot="1" x14ac:dyDescent="0.3">
      <c r="A12" s="441">
        <v>9</v>
      </c>
      <c r="B12" s="442"/>
      <c r="C12" s="620">
        <v>15</v>
      </c>
      <c r="D12" s="621" t="s">
        <v>20</v>
      </c>
      <c r="E12" s="445">
        <v>87</v>
      </c>
      <c r="F12" s="445">
        <v>92</v>
      </c>
      <c r="G12" s="623">
        <v>55</v>
      </c>
      <c r="H12" s="445">
        <v>57</v>
      </c>
      <c r="I12" s="445">
        <v>58</v>
      </c>
      <c r="J12" s="445">
        <v>55</v>
      </c>
      <c r="K12" s="445">
        <v>58</v>
      </c>
      <c r="L12" s="615">
        <v>65</v>
      </c>
      <c r="M12" s="646">
        <v>50</v>
      </c>
      <c r="N12" s="622">
        <v>75</v>
      </c>
      <c r="O12" s="445">
        <v>68</v>
      </c>
      <c r="P12" s="445">
        <v>78</v>
      </c>
      <c r="Q12" s="445">
        <v>78</v>
      </c>
      <c r="R12" s="617">
        <f t="shared" si="1"/>
        <v>876</v>
      </c>
      <c r="S12" s="619">
        <f t="shared" si="2"/>
        <v>67.384615384615387</v>
      </c>
      <c r="T12" s="617">
        <f t="shared" si="0"/>
        <v>26</v>
      </c>
      <c r="U12" s="445"/>
      <c r="V12" s="445"/>
    </row>
    <row r="13" spans="1:22" ht="29.25" thickBot="1" x14ac:dyDescent="0.3">
      <c r="A13" s="441">
        <v>10</v>
      </c>
      <c r="B13" s="442"/>
      <c r="C13" s="620">
        <v>14</v>
      </c>
      <c r="D13" s="621" t="s">
        <v>20</v>
      </c>
      <c r="E13" s="445">
        <v>60</v>
      </c>
      <c r="F13" s="445">
        <v>47</v>
      </c>
      <c r="G13" s="623">
        <v>53</v>
      </c>
      <c r="H13" s="445">
        <v>53</v>
      </c>
      <c r="I13" s="445">
        <v>50</v>
      </c>
      <c r="J13" s="445">
        <v>53</v>
      </c>
      <c r="K13" s="445">
        <v>50</v>
      </c>
      <c r="L13" s="615">
        <v>55</v>
      </c>
      <c r="M13" s="646">
        <v>40</v>
      </c>
      <c r="N13" s="622">
        <v>46</v>
      </c>
      <c r="O13" s="445">
        <v>64</v>
      </c>
      <c r="P13" s="445">
        <v>67</v>
      </c>
      <c r="Q13" s="445">
        <v>78</v>
      </c>
      <c r="R13" s="617">
        <f t="shared" si="1"/>
        <v>716</v>
      </c>
      <c r="S13" s="619">
        <f t="shared" si="2"/>
        <v>55.07692307692308</v>
      </c>
      <c r="T13" s="617">
        <f t="shared" si="0"/>
        <v>50</v>
      </c>
      <c r="U13" s="445"/>
      <c r="V13" s="445"/>
    </row>
    <row r="14" spans="1:22" ht="29.25" thickBot="1" x14ac:dyDescent="0.3">
      <c r="A14" s="441">
        <v>11</v>
      </c>
      <c r="B14" s="442"/>
      <c r="C14" s="620">
        <v>15</v>
      </c>
      <c r="D14" s="621" t="s">
        <v>17</v>
      </c>
      <c r="E14" s="445">
        <v>79</v>
      </c>
      <c r="F14" s="445">
        <v>61</v>
      </c>
      <c r="G14" s="623">
        <v>50</v>
      </c>
      <c r="H14" s="445">
        <v>50</v>
      </c>
      <c r="I14" s="445">
        <v>50</v>
      </c>
      <c r="J14" s="445">
        <v>52</v>
      </c>
      <c r="K14" s="445">
        <v>59</v>
      </c>
      <c r="L14" s="615">
        <v>65</v>
      </c>
      <c r="M14" s="646">
        <v>61</v>
      </c>
      <c r="N14" s="622">
        <v>72</v>
      </c>
      <c r="O14" s="445">
        <v>68</v>
      </c>
      <c r="P14" s="445">
        <v>78</v>
      </c>
      <c r="Q14" s="445">
        <v>76</v>
      </c>
      <c r="R14" s="617">
        <f t="shared" si="1"/>
        <v>821</v>
      </c>
      <c r="S14" s="619">
        <f t="shared" si="2"/>
        <v>63.153846153846153</v>
      </c>
      <c r="T14" s="617">
        <f t="shared" si="0"/>
        <v>38</v>
      </c>
      <c r="U14" s="445"/>
      <c r="V14" s="445"/>
    </row>
    <row r="15" spans="1:22" ht="29.25" thickBot="1" x14ac:dyDescent="0.3">
      <c r="A15" s="441">
        <v>12</v>
      </c>
      <c r="B15" s="442"/>
      <c r="C15" s="620">
        <v>14</v>
      </c>
      <c r="D15" s="621" t="s">
        <v>17</v>
      </c>
      <c r="E15" s="445">
        <v>85</v>
      </c>
      <c r="F15" s="445">
        <v>72</v>
      </c>
      <c r="G15" s="623">
        <v>70</v>
      </c>
      <c r="H15" s="445">
        <v>71</v>
      </c>
      <c r="I15" s="445">
        <v>72</v>
      </c>
      <c r="J15" s="445">
        <v>60</v>
      </c>
      <c r="K15" s="445">
        <v>69</v>
      </c>
      <c r="L15" s="615">
        <v>84</v>
      </c>
      <c r="M15" s="646">
        <v>59</v>
      </c>
      <c r="N15" s="622">
        <v>74</v>
      </c>
      <c r="O15" s="445">
        <v>81</v>
      </c>
      <c r="P15" s="445">
        <v>89</v>
      </c>
      <c r="Q15" s="445">
        <v>82</v>
      </c>
      <c r="R15" s="617">
        <f t="shared" si="1"/>
        <v>968</v>
      </c>
      <c r="S15" s="619">
        <f t="shared" si="2"/>
        <v>74.461538461538467</v>
      </c>
      <c r="T15" s="617">
        <f t="shared" si="0"/>
        <v>17</v>
      </c>
      <c r="U15" s="445"/>
      <c r="V15" s="445"/>
    </row>
    <row r="16" spans="1:22" ht="29.25" thickBot="1" x14ac:dyDescent="0.3">
      <c r="A16" s="441">
        <v>13</v>
      </c>
      <c r="B16" s="442"/>
      <c r="C16" s="620">
        <v>14</v>
      </c>
      <c r="D16" s="621" t="s">
        <v>20</v>
      </c>
      <c r="E16" s="445">
        <v>82</v>
      </c>
      <c r="F16" s="445">
        <v>55</v>
      </c>
      <c r="G16" s="623">
        <v>78</v>
      </c>
      <c r="H16" s="445">
        <v>62</v>
      </c>
      <c r="I16" s="445">
        <v>61</v>
      </c>
      <c r="J16" s="445">
        <v>53</v>
      </c>
      <c r="K16" s="445">
        <v>54</v>
      </c>
      <c r="L16" s="615">
        <v>55</v>
      </c>
      <c r="M16" s="646">
        <v>62</v>
      </c>
      <c r="N16" s="622">
        <v>76</v>
      </c>
      <c r="O16" s="445">
        <v>65</v>
      </c>
      <c r="P16" s="445">
        <v>74</v>
      </c>
      <c r="Q16" s="445">
        <v>76</v>
      </c>
      <c r="R16" s="617">
        <f t="shared" si="1"/>
        <v>853</v>
      </c>
      <c r="S16" s="619">
        <f t="shared" si="2"/>
        <v>65.615384615384613</v>
      </c>
      <c r="T16" s="617">
        <f t="shared" si="0"/>
        <v>29</v>
      </c>
      <c r="U16" s="445"/>
      <c r="V16" s="445"/>
    </row>
    <row r="17" spans="1:22" ht="29.25" thickBot="1" x14ac:dyDescent="0.3">
      <c r="A17" s="441">
        <v>14</v>
      </c>
      <c r="B17" s="442"/>
      <c r="C17" s="620">
        <v>15</v>
      </c>
      <c r="D17" s="621" t="s">
        <v>20</v>
      </c>
      <c r="E17" s="445">
        <v>80</v>
      </c>
      <c r="F17" s="445">
        <v>56</v>
      </c>
      <c r="G17" s="623">
        <v>63</v>
      </c>
      <c r="H17" s="445">
        <v>61</v>
      </c>
      <c r="I17" s="445">
        <v>53</v>
      </c>
      <c r="J17" s="445">
        <v>47</v>
      </c>
      <c r="K17" s="445">
        <v>54</v>
      </c>
      <c r="L17" s="615">
        <v>58</v>
      </c>
      <c r="M17" s="646">
        <v>44</v>
      </c>
      <c r="N17" s="622">
        <v>64</v>
      </c>
      <c r="O17" s="445">
        <v>74</v>
      </c>
      <c r="P17" s="445">
        <v>70</v>
      </c>
      <c r="Q17" s="445">
        <v>87</v>
      </c>
      <c r="R17" s="617">
        <f t="shared" si="1"/>
        <v>811</v>
      </c>
      <c r="S17" s="619">
        <f t="shared" si="2"/>
        <v>62.384615384615387</v>
      </c>
      <c r="T17" s="617">
        <f t="shared" si="0"/>
        <v>40</v>
      </c>
      <c r="U17" s="445"/>
      <c r="V17" s="445"/>
    </row>
    <row r="18" spans="1:22" ht="29.25" thickBot="1" x14ac:dyDescent="0.3">
      <c r="A18" s="441">
        <v>15</v>
      </c>
      <c r="B18" s="442"/>
      <c r="C18" s="620">
        <v>16</v>
      </c>
      <c r="D18" s="621" t="s">
        <v>20</v>
      </c>
      <c r="E18" s="445">
        <v>75</v>
      </c>
      <c r="F18" s="445">
        <v>53</v>
      </c>
      <c r="G18" s="623">
        <v>62</v>
      </c>
      <c r="H18" s="445">
        <v>49</v>
      </c>
      <c r="I18" s="445">
        <v>56</v>
      </c>
      <c r="J18" s="445">
        <v>55</v>
      </c>
      <c r="K18" s="445">
        <v>43</v>
      </c>
      <c r="L18" s="615">
        <v>55</v>
      </c>
      <c r="M18" s="646">
        <v>52</v>
      </c>
      <c r="N18" s="622">
        <v>71</v>
      </c>
      <c r="O18" s="445">
        <v>65</v>
      </c>
      <c r="P18" s="445">
        <v>78</v>
      </c>
      <c r="Q18" s="445">
        <v>76</v>
      </c>
      <c r="R18" s="617">
        <f t="shared" si="1"/>
        <v>790</v>
      </c>
      <c r="S18" s="619">
        <f t="shared" si="2"/>
        <v>60.769230769230766</v>
      </c>
      <c r="T18" s="617">
        <f t="shared" si="0"/>
        <v>43</v>
      </c>
      <c r="U18" s="445"/>
      <c r="V18" s="445"/>
    </row>
    <row r="19" spans="1:22" ht="29.25" thickBot="1" x14ac:dyDescent="0.3">
      <c r="A19" s="441">
        <v>16</v>
      </c>
      <c r="B19" s="442"/>
      <c r="C19" s="620">
        <v>16</v>
      </c>
      <c r="D19" s="621" t="s">
        <v>20</v>
      </c>
      <c r="E19" s="445">
        <v>89</v>
      </c>
      <c r="F19" s="445">
        <v>70</v>
      </c>
      <c r="G19" s="623">
        <v>79</v>
      </c>
      <c r="H19" s="445">
        <v>87</v>
      </c>
      <c r="I19" s="445">
        <v>80</v>
      </c>
      <c r="J19" s="445">
        <v>67</v>
      </c>
      <c r="K19" s="445">
        <v>72</v>
      </c>
      <c r="L19" s="615">
        <v>78</v>
      </c>
      <c r="M19" s="646">
        <v>53</v>
      </c>
      <c r="N19" s="622">
        <v>78</v>
      </c>
      <c r="O19" s="445">
        <v>85</v>
      </c>
      <c r="P19" s="445">
        <v>77</v>
      </c>
      <c r="Q19" s="445">
        <v>92</v>
      </c>
      <c r="R19" s="617">
        <f t="shared" si="1"/>
        <v>1007</v>
      </c>
      <c r="S19" s="619">
        <f t="shared" si="2"/>
        <v>77.461538461538467</v>
      </c>
      <c r="T19" s="617">
        <f t="shared" si="0"/>
        <v>16</v>
      </c>
      <c r="U19" s="445"/>
      <c r="V19" s="445"/>
    </row>
    <row r="20" spans="1:22" ht="29.25" thickBot="1" x14ac:dyDescent="0.3">
      <c r="A20" s="441">
        <v>17</v>
      </c>
      <c r="B20" s="442"/>
      <c r="C20" s="620">
        <v>14</v>
      </c>
      <c r="D20" s="621" t="s">
        <v>20</v>
      </c>
      <c r="E20" s="445">
        <v>76</v>
      </c>
      <c r="F20" s="445">
        <v>55</v>
      </c>
      <c r="G20" s="623">
        <v>65</v>
      </c>
      <c r="H20" s="445">
        <v>67</v>
      </c>
      <c r="I20" s="445">
        <v>39</v>
      </c>
      <c r="J20" s="445">
        <v>59</v>
      </c>
      <c r="K20" s="445">
        <v>52</v>
      </c>
      <c r="L20" s="615">
        <v>59</v>
      </c>
      <c r="M20" s="646">
        <v>43</v>
      </c>
      <c r="N20" s="622">
        <v>51</v>
      </c>
      <c r="O20" s="445">
        <v>40</v>
      </c>
      <c r="P20" s="445">
        <v>75</v>
      </c>
      <c r="Q20" s="445">
        <v>78</v>
      </c>
      <c r="R20" s="617">
        <f t="shared" si="1"/>
        <v>759</v>
      </c>
      <c r="S20" s="619">
        <f t="shared" si="2"/>
        <v>58.384615384615387</v>
      </c>
      <c r="T20" s="617">
        <f t="shared" si="0"/>
        <v>46</v>
      </c>
      <c r="U20" s="445"/>
      <c r="V20" s="445"/>
    </row>
    <row r="21" spans="1:22" ht="29.25" thickBot="1" x14ac:dyDescent="0.3">
      <c r="A21" s="441">
        <v>18</v>
      </c>
      <c r="B21" s="442"/>
      <c r="C21" s="620">
        <v>14</v>
      </c>
      <c r="D21" s="621" t="s">
        <v>20</v>
      </c>
      <c r="E21" s="445">
        <v>78</v>
      </c>
      <c r="F21" s="445">
        <v>59</v>
      </c>
      <c r="G21" s="623">
        <v>75</v>
      </c>
      <c r="H21" s="445">
        <v>59</v>
      </c>
      <c r="I21" s="445">
        <v>50</v>
      </c>
      <c r="J21" s="445">
        <v>56</v>
      </c>
      <c r="K21" s="445">
        <v>57</v>
      </c>
      <c r="L21" s="615">
        <v>58</v>
      </c>
      <c r="M21" s="646">
        <v>41</v>
      </c>
      <c r="N21" s="622">
        <v>68</v>
      </c>
      <c r="O21" s="445">
        <v>59</v>
      </c>
      <c r="P21" s="445">
        <v>70</v>
      </c>
      <c r="Q21" s="445">
        <v>65</v>
      </c>
      <c r="R21" s="617">
        <f t="shared" si="1"/>
        <v>795</v>
      </c>
      <c r="S21" s="619">
        <f t="shared" si="2"/>
        <v>61.153846153846153</v>
      </c>
      <c r="T21" s="617">
        <f t="shared" si="0"/>
        <v>42</v>
      </c>
      <c r="U21" s="445"/>
      <c r="V21" s="445"/>
    </row>
    <row r="22" spans="1:22" ht="29.25" thickBot="1" x14ac:dyDescent="0.3">
      <c r="A22" s="441">
        <v>19</v>
      </c>
      <c r="B22" s="442"/>
      <c r="C22" s="620">
        <v>15</v>
      </c>
      <c r="D22" s="621" t="s">
        <v>17</v>
      </c>
      <c r="E22" s="445">
        <v>77</v>
      </c>
      <c r="F22" s="445">
        <v>50</v>
      </c>
      <c r="G22" s="623">
        <v>59</v>
      </c>
      <c r="H22" s="445">
        <v>50</v>
      </c>
      <c r="I22" s="445">
        <v>57</v>
      </c>
      <c r="J22" s="445">
        <v>50</v>
      </c>
      <c r="K22" s="445">
        <v>41</v>
      </c>
      <c r="L22" s="615">
        <v>44</v>
      </c>
      <c r="M22" s="646">
        <v>46</v>
      </c>
      <c r="N22" s="622">
        <v>56</v>
      </c>
      <c r="O22" s="445">
        <v>58</v>
      </c>
      <c r="P22" s="445">
        <v>65</v>
      </c>
      <c r="Q22" s="445">
        <v>75</v>
      </c>
      <c r="R22" s="617">
        <f t="shared" si="1"/>
        <v>728</v>
      </c>
      <c r="S22" s="619">
        <f t="shared" si="2"/>
        <v>56</v>
      </c>
      <c r="T22" s="617">
        <f t="shared" si="0"/>
        <v>48</v>
      </c>
      <c r="U22" s="445"/>
      <c r="V22" s="445"/>
    </row>
    <row r="23" spans="1:22" ht="29.25" thickBot="1" x14ac:dyDescent="0.3">
      <c r="A23" s="441">
        <v>20</v>
      </c>
      <c r="B23" s="442"/>
      <c r="C23" s="620">
        <v>17</v>
      </c>
      <c r="D23" s="621" t="s">
        <v>20</v>
      </c>
      <c r="E23" s="445">
        <v>78</v>
      </c>
      <c r="F23" s="445">
        <v>49</v>
      </c>
      <c r="G23" s="623">
        <v>51</v>
      </c>
      <c r="H23" s="445">
        <v>67</v>
      </c>
      <c r="I23" s="445">
        <v>52</v>
      </c>
      <c r="J23" s="445">
        <v>52</v>
      </c>
      <c r="K23" s="445">
        <v>61</v>
      </c>
      <c r="L23" s="615">
        <v>64</v>
      </c>
      <c r="M23" s="646">
        <v>50</v>
      </c>
      <c r="N23" s="622">
        <v>71</v>
      </c>
      <c r="O23" s="445">
        <v>70</v>
      </c>
      <c r="P23" s="445">
        <v>77</v>
      </c>
      <c r="Q23" s="445">
        <v>81</v>
      </c>
      <c r="R23" s="617">
        <f t="shared" si="1"/>
        <v>823</v>
      </c>
      <c r="S23" s="619">
        <f t="shared" si="2"/>
        <v>63.307692307692307</v>
      </c>
      <c r="T23" s="617">
        <f t="shared" si="0"/>
        <v>37</v>
      </c>
      <c r="U23" s="445"/>
      <c r="V23" s="445"/>
    </row>
    <row r="24" spans="1:22" ht="29.25" thickBot="1" x14ac:dyDescent="0.3">
      <c r="A24" s="441">
        <v>21</v>
      </c>
      <c r="B24" s="446"/>
      <c r="C24" s="624">
        <v>15</v>
      </c>
      <c r="D24" s="625" t="s">
        <v>17</v>
      </c>
      <c r="E24" s="445">
        <v>84</v>
      </c>
      <c r="F24" s="445">
        <v>56</v>
      </c>
      <c r="G24" s="626">
        <v>63</v>
      </c>
      <c r="H24" s="445">
        <v>64</v>
      </c>
      <c r="I24" s="445">
        <v>58</v>
      </c>
      <c r="J24" s="445">
        <v>62</v>
      </c>
      <c r="K24" s="445">
        <v>65</v>
      </c>
      <c r="L24" s="615">
        <v>68</v>
      </c>
      <c r="M24" s="647">
        <v>63</v>
      </c>
      <c r="N24" s="622">
        <v>64</v>
      </c>
      <c r="O24" s="445">
        <v>74</v>
      </c>
      <c r="P24" s="445">
        <v>81</v>
      </c>
      <c r="Q24" s="445">
        <v>87</v>
      </c>
      <c r="R24" s="617">
        <f t="shared" si="1"/>
        <v>889</v>
      </c>
      <c r="S24" s="619">
        <f t="shared" si="2"/>
        <v>68.384615384615387</v>
      </c>
      <c r="T24" s="617">
        <f t="shared" si="0"/>
        <v>24</v>
      </c>
      <c r="U24" s="445"/>
      <c r="V24" s="445"/>
    </row>
    <row r="25" spans="1:22" ht="29.25" thickBot="1" x14ac:dyDescent="0.3">
      <c r="A25" s="441">
        <v>22</v>
      </c>
      <c r="B25" s="446"/>
      <c r="C25" s="624">
        <v>15</v>
      </c>
      <c r="D25" s="625" t="s">
        <v>20</v>
      </c>
      <c r="E25" s="445">
        <v>74</v>
      </c>
      <c r="F25" s="445">
        <v>72</v>
      </c>
      <c r="G25" s="626">
        <v>50</v>
      </c>
      <c r="H25" s="445">
        <v>60</v>
      </c>
      <c r="I25" s="445">
        <v>68</v>
      </c>
      <c r="J25" s="445">
        <v>56</v>
      </c>
      <c r="K25" s="445">
        <v>61</v>
      </c>
      <c r="L25" s="615">
        <v>67</v>
      </c>
      <c r="M25" s="647">
        <v>51</v>
      </c>
      <c r="N25" s="622">
        <v>70</v>
      </c>
      <c r="O25" s="445">
        <v>77</v>
      </c>
      <c r="P25" s="445">
        <v>74</v>
      </c>
      <c r="Q25" s="445">
        <v>76</v>
      </c>
      <c r="R25" s="617">
        <f t="shared" si="1"/>
        <v>856</v>
      </c>
      <c r="S25" s="619">
        <f t="shared" si="2"/>
        <v>65.84615384615384</v>
      </c>
      <c r="T25" s="617">
        <f t="shared" si="0"/>
        <v>28</v>
      </c>
      <c r="U25" s="445"/>
      <c r="V25" s="445"/>
    </row>
    <row r="26" spans="1:22" ht="29.25" thickBot="1" x14ac:dyDescent="0.3">
      <c r="A26" s="441">
        <v>23</v>
      </c>
      <c r="B26" s="446"/>
      <c r="C26" s="624">
        <v>15</v>
      </c>
      <c r="D26" s="625" t="s">
        <v>17</v>
      </c>
      <c r="E26" s="445">
        <v>66</v>
      </c>
      <c r="F26" s="445">
        <v>42</v>
      </c>
      <c r="G26" s="626">
        <v>50</v>
      </c>
      <c r="H26" s="445">
        <v>50</v>
      </c>
      <c r="I26" s="445">
        <v>53</v>
      </c>
      <c r="J26" s="445">
        <v>54</v>
      </c>
      <c r="K26" s="445">
        <v>47</v>
      </c>
      <c r="L26" s="615">
        <v>54</v>
      </c>
      <c r="M26" s="647">
        <v>44</v>
      </c>
      <c r="N26" s="622">
        <v>66</v>
      </c>
      <c r="O26" s="445">
        <v>53</v>
      </c>
      <c r="P26" s="445">
        <v>59</v>
      </c>
      <c r="Q26" s="445">
        <v>84</v>
      </c>
      <c r="R26" s="617">
        <f t="shared" si="1"/>
        <v>722</v>
      </c>
      <c r="S26" s="619">
        <f t="shared" si="2"/>
        <v>55.53846153846154</v>
      </c>
      <c r="T26" s="617">
        <f t="shared" si="0"/>
        <v>49</v>
      </c>
      <c r="U26" s="445"/>
      <c r="V26" s="445"/>
    </row>
    <row r="27" spans="1:22" ht="29.25" thickBot="1" x14ac:dyDescent="0.3">
      <c r="A27" s="441">
        <v>24</v>
      </c>
      <c r="B27" s="446"/>
      <c r="C27" s="624">
        <v>15</v>
      </c>
      <c r="D27" s="625" t="s">
        <v>20</v>
      </c>
      <c r="E27" s="445">
        <v>77</v>
      </c>
      <c r="F27" s="445">
        <v>60</v>
      </c>
      <c r="G27" s="626">
        <v>60</v>
      </c>
      <c r="H27" s="445">
        <v>61</v>
      </c>
      <c r="I27" s="445">
        <v>60</v>
      </c>
      <c r="J27" s="445">
        <v>56</v>
      </c>
      <c r="K27" s="445">
        <v>54</v>
      </c>
      <c r="L27" s="615">
        <v>59</v>
      </c>
      <c r="M27" s="647">
        <v>54</v>
      </c>
      <c r="N27" s="622">
        <v>67</v>
      </c>
      <c r="O27" s="445">
        <v>65</v>
      </c>
      <c r="P27" s="445">
        <v>88</v>
      </c>
      <c r="Q27" s="445">
        <v>86</v>
      </c>
      <c r="R27" s="617">
        <f t="shared" si="1"/>
        <v>847</v>
      </c>
      <c r="S27" s="619">
        <f t="shared" si="2"/>
        <v>65.15384615384616</v>
      </c>
      <c r="T27" s="617">
        <f t="shared" si="0"/>
        <v>31</v>
      </c>
      <c r="U27" s="445"/>
      <c r="V27" s="445"/>
    </row>
    <row r="28" spans="1:22" ht="29.25" thickBot="1" x14ac:dyDescent="0.3">
      <c r="A28" s="441">
        <v>25</v>
      </c>
      <c r="B28" s="446"/>
      <c r="C28" s="624">
        <v>16</v>
      </c>
      <c r="D28" s="625" t="s">
        <v>20</v>
      </c>
      <c r="E28" s="445">
        <v>97</v>
      </c>
      <c r="F28" s="445">
        <v>86</v>
      </c>
      <c r="G28" s="626">
        <v>72</v>
      </c>
      <c r="H28" s="445">
        <v>92</v>
      </c>
      <c r="I28" s="445">
        <v>98</v>
      </c>
      <c r="J28" s="445">
        <v>88</v>
      </c>
      <c r="K28" s="445">
        <v>91</v>
      </c>
      <c r="L28" s="615">
        <v>93</v>
      </c>
      <c r="M28" s="647">
        <v>90</v>
      </c>
      <c r="N28" s="622">
        <v>100</v>
      </c>
      <c r="O28" s="445">
        <v>100</v>
      </c>
      <c r="P28" s="445">
        <v>92</v>
      </c>
      <c r="Q28" s="445">
        <v>94</v>
      </c>
      <c r="R28" s="617">
        <f t="shared" si="1"/>
        <v>1193</v>
      </c>
      <c r="S28" s="619">
        <f t="shared" si="2"/>
        <v>91.769230769230774</v>
      </c>
      <c r="T28" s="617">
        <f t="shared" si="0"/>
        <v>2</v>
      </c>
      <c r="U28" s="445"/>
      <c r="V28" s="445"/>
    </row>
    <row r="29" spans="1:22" ht="29.25" thickBot="1" x14ac:dyDescent="0.3">
      <c r="A29" s="441">
        <v>26</v>
      </c>
      <c r="B29" s="446"/>
      <c r="C29" s="624">
        <v>14</v>
      </c>
      <c r="D29" s="625" t="s">
        <v>20</v>
      </c>
      <c r="E29" s="445">
        <v>71</v>
      </c>
      <c r="F29" s="445">
        <v>52</v>
      </c>
      <c r="G29" s="626">
        <v>51</v>
      </c>
      <c r="H29" s="445">
        <v>43</v>
      </c>
      <c r="I29" s="445">
        <v>44</v>
      </c>
      <c r="J29" s="445">
        <v>40</v>
      </c>
      <c r="K29" s="445">
        <v>43</v>
      </c>
      <c r="L29" s="627">
        <v>53</v>
      </c>
      <c r="M29" s="647">
        <v>50</v>
      </c>
      <c r="N29" s="622">
        <v>48</v>
      </c>
      <c r="O29" s="445">
        <v>60</v>
      </c>
      <c r="P29" s="445">
        <v>59</v>
      </c>
      <c r="Q29" s="445">
        <v>80</v>
      </c>
      <c r="R29" s="617">
        <f t="shared" si="1"/>
        <v>694</v>
      </c>
      <c r="S29" s="619">
        <f t="shared" si="2"/>
        <v>53.384615384615387</v>
      </c>
      <c r="T29" s="617">
        <f t="shared" si="0"/>
        <v>51</v>
      </c>
      <c r="U29" s="445"/>
      <c r="V29" s="445"/>
    </row>
    <row r="30" spans="1:22" ht="29.25" thickBot="1" x14ac:dyDescent="0.3">
      <c r="A30" s="441">
        <v>27</v>
      </c>
      <c r="B30" s="453"/>
      <c r="C30" s="628">
        <v>15</v>
      </c>
      <c r="D30" s="629" t="s">
        <v>20</v>
      </c>
      <c r="E30" s="445">
        <v>100</v>
      </c>
      <c r="F30" s="445">
        <v>84</v>
      </c>
      <c r="G30" s="630">
        <v>94</v>
      </c>
      <c r="H30" s="445">
        <v>100</v>
      </c>
      <c r="I30" s="445">
        <v>100</v>
      </c>
      <c r="J30" s="445">
        <v>100</v>
      </c>
      <c r="K30" s="445">
        <v>98</v>
      </c>
      <c r="L30" s="615">
        <v>100</v>
      </c>
      <c r="M30" s="648">
        <v>100</v>
      </c>
      <c r="N30" s="622">
        <v>100</v>
      </c>
      <c r="O30" s="445">
        <v>100</v>
      </c>
      <c r="P30" s="445">
        <v>98</v>
      </c>
      <c r="Q30" s="445">
        <v>100</v>
      </c>
      <c r="R30" s="617">
        <f t="shared" si="1"/>
        <v>1274</v>
      </c>
      <c r="S30" s="619">
        <f t="shared" si="2"/>
        <v>98</v>
      </c>
      <c r="T30" s="617">
        <f t="shared" si="0"/>
        <v>1</v>
      </c>
      <c r="U30" s="445"/>
      <c r="V30" s="445"/>
    </row>
    <row r="31" spans="1:22" ht="29.25" thickBot="1" x14ac:dyDescent="0.3">
      <c r="A31" s="441">
        <v>28</v>
      </c>
      <c r="B31" s="446"/>
      <c r="C31" s="624">
        <v>16</v>
      </c>
      <c r="D31" s="625" t="s">
        <v>20</v>
      </c>
      <c r="E31" s="445">
        <v>84</v>
      </c>
      <c r="F31" s="445">
        <v>59</v>
      </c>
      <c r="G31" s="626">
        <v>72</v>
      </c>
      <c r="H31" s="445">
        <v>57</v>
      </c>
      <c r="I31" s="445">
        <v>53</v>
      </c>
      <c r="J31" s="445">
        <v>60</v>
      </c>
      <c r="K31" s="445">
        <v>60</v>
      </c>
      <c r="L31" s="615">
        <v>60</v>
      </c>
      <c r="M31" s="647">
        <v>51</v>
      </c>
      <c r="N31" s="622">
        <v>77</v>
      </c>
      <c r="O31" s="445">
        <v>66</v>
      </c>
      <c r="P31" s="445">
        <v>74</v>
      </c>
      <c r="Q31" s="445">
        <v>76</v>
      </c>
      <c r="R31" s="617">
        <f t="shared" si="1"/>
        <v>849</v>
      </c>
      <c r="S31" s="619">
        <f t="shared" si="2"/>
        <v>65.307692307692307</v>
      </c>
      <c r="T31" s="617">
        <f t="shared" si="0"/>
        <v>30</v>
      </c>
      <c r="U31" s="445"/>
      <c r="V31" s="445"/>
    </row>
    <row r="32" spans="1:22" ht="29.25" thickBot="1" x14ac:dyDescent="0.3">
      <c r="A32" s="441">
        <v>29</v>
      </c>
      <c r="B32" s="446"/>
      <c r="C32" s="624">
        <v>17</v>
      </c>
      <c r="D32" s="625" t="s">
        <v>20</v>
      </c>
      <c r="E32" s="445">
        <v>68</v>
      </c>
      <c r="F32" s="445">
        <v>60</v>
      </c>
      <c r="G32" s="626">
        <v>85</v>
      </c>
      <c r="H32" s="445">
        <v>51</v>
      </c>
      <c r="I32" s="445">
        <v>51</v>
      </c>
      <c r="J32" s="445">
        <v>48</v>
      </c>
      <c r="K32" s="445">
        <v>44</v>
      </c>
      <c r="L32" s="615">
        <v>50</v>
      </c>
      <c r="M32" s="647">
        <v>36</v>
      </c>
      <c r="N32" s="622">
        <v>51</v>
      </c>
      <c r="O32" s="445">
        <v>73</v>
      </c>
      <c r="P32" s="445">
        <v>73</v>
      </c>
      <c r="Q32" s="445">
        <v>74</v>
      </c>
      <c r="R32" s="617">
        <f t="shared" si="1"/>
        <v>764</v>
      </c>
      <c r="S32" s="619">
        <f t="shared" si="2"/>
        <v>58.769230769230766</v>
      </c>
      <c r="T32" s="617">
        <f t="shared" si="0"/>
        <v>45</v>
      </c>
      <c r="U32" s="445"/>
      <c r="V32" s="445"/>
    </row>
    <row r="33" spans="1:22" ht="29.25" thickBot="1" x14ac:dyDescent="0.3">
      <c r="A33" s="441">
        <v>30</v>
      </c>
      <c r="B33" s="446"/>
      <c r="C33" s="624">
        <v>15</v>
      </c>
      <c r="D33" s="625" t="s">
        <v>17</v>
      </c>
      <c r="E33" s="445">
        <v>73</v>
      </c>
      <c r="F33" s="445">
        <v>72</v>
      </c>
      <c r="G33" s="626">
        <v>53</v>
      </c>
      <c r="H33" s="445">
        <v>73</v>
      </c>
      <c r="I33" s="445">
        <v>66</v>
      </c>
      <c r="J33" s="445">
        <v>61</v>
      </c>
      <c r="K33" s="445">
        <v>64</v>
      </c>
      <c r="L33" s="615">
        <v>63</v>
      </c>
      <c r="M33" s="647">
        <v>48</v>
      </c>
      <c r="N33" s="622">
        <v>69</v>
      </c>
      <c r="O33" s="445">
        <v>81</v>
      </c>
      <c r="P33" s="445">
        <v>77</v>
      </c>
      <c r="Q33" s="445">
        <v>81</v>
      </c>
      <c r="R33" s="617">
        <f t="shared" si="1"/>
        <v>881</v>
      </c>
      <c r="S33" s="619">
        <f t="shared" si="2"/>
        <v>67.769230769230774</v>
      </c>
      <c r="T33" s="617">
        <f t="shared" si="0"/>
        <v>25</v>
      </c>
      <c r="U33" s="445"/>
      <c r="V33" s="445"/>
    </row>
    <row r="34" spans="1:22" ht="29.25" thickBot="1" x14ac:dyDescent="0.3">
      <c r="A34" s="441">
        <v>31</v>
      </c>
      <c r="B34" s="446"/>
      <c r="C34" s="624">
        <v>14</v>
      </c>
      <c r="D34" s="625" t="s">
        <v>20</v>
      </c>
      <c r="E34" s="445">
        <v>95</v>
      </c>
      <c r="F34" s="445">
        <v>84</v>
      </c>
      <c r="G34" s="626">
        <v>68</v>
      </c>
      <c r="H34" s="445">
        <v>85</v>
      </c>
      <c r="I34" s="445">
        <v>80</v>
      </c>
      <c r="J34" s="445">
        <v>76</v>
      </c>
      <c r="K34" s="445">
        <v>79</v>
      </c>
      <c r="L34" s="615">
        <v>86</v>
      </c>
      <c r="M34" s="647">
        <v>86</v>
      </c>
      <c r="N34" s="622">
        <v>84</v>
      </c>
      <c r="O34" s="445">
        <v>99</v>
      </c>
      <c r="P34" s="445">
        <v>80</v>
      </c>
      <c r="Q34" s="445">
        <v>77</v>
      </c>
      <c r="R34" s="617">
        <f t="shared" si="1"/>
        <v>1079</v>
      </c>
      <c r="S34" s="619">
        <f t="shared" si="2"/>
        <v>83</v>
      </c>
      <c r="T34" s="617">
        <f t="shared" si="0"/>
        <v>6</v>
      </c>
      <c r="U34" s="445"/>
      <c r="V34" s="445"/>
    </row>
    <row r="35" spans="1:22" ht="29.25" thickBot="1" x14ac:dyDescent="0.3">
      <c r="A35" s="441">
        <v>32</v>
      </c>
      <c r="B35" s="446"/>
      <c r="C35" s="624">
        <v>16</v>
      </c>
      <c r="D35" s="625" t="s">
        <v>20</v>
      </c>
      <c r="E35" s="445">
        <v>74</v>
      </c>
      <c r="F35" s="445">
        <v>54</v>
      </c>
      <c r="G35" s="626">
        <v>64</v>
      </c>
      <c r="H35" s="445">
        <v>51</v>
      </c>
      <c r="I35" s="445">
        <v>50</v>
      </c>
      <c r="J35" s="445">
        <v>45</v>
      </c>
      <c r="K35" s="445">
        <v>43</v>
      </c>
      <c r="L35" s="615">
        <v>58</v>
      </c>
      <c r="M35" s="647">
        <v>50</v>
      </c>
      <c r="N35" s="622">
        <v>54</v>
      </c>
      <c r="O35" s="445">
        <v>61</v>
      </c>
      <c r="P35" s="445">
        <v>57</v>
      </c>
      <c r="Q35" s="445">
        <v>83</v>
      </c>
      <c r="R35" s="617">
        <f t="shared" si="1"/>
        <v>744</v>
      </c>
      <c r="S35" s="619">
        <f t="shared" si="2"/>
        <v>57.230769230769234</v>
      </c>
      <c r="T35" s="617">
        <f t="shared" si="0"/>
        <v>47</v>
      </c>
      <c r="U35" s="445"/>
      <c r="V35" s="445"/>
    </row>
    <row r="36" spans="1:22" ht="29.25" thickBot="1" x14ac:dyDescent="0.3">
      <c r="A36" s="441">
        <v>33</v>
      </c>
      <c r="B36" s="446"/>
      <c r="C36" s="624">
        <v>14</v>
      </c>
      <c r="D36" s="625" t="s">
        <v>20</v>
      </c>
      <c r="E36" s="445">
        <v>77</v>
      </c>
      <c r="F36" s="445">
        <v>71</v>
      </c>
      <c r="G36" s="626">
        <v>65</v>
      </c>
      <c r="H36" s="445">
        <v>49</v>
      </c>
      <c r="I36" s="445">
        <v>51</v>
      </c>
      <c r="J36" s="445">
        <v>46</v>
      </c>
      <c r="K36" s="445">
        <v>47</v>
      </c>
      <c r="L36" s="615">
        <v>67</v>
      </c>
      <c r="M36" s="647">
        <v>47</v>
      </c>
      <c r="N36" s="622">
        <v>72</v>
      </c>
      <c r="O36" s="445">
        <v>69</v>
      </c>
      <c r="P36" s="445">
        <v>81</v>
      </c>
      <c r="Q36" s="445">
        <v>85</v>
      </c>
      <c r="R36" s="617">
        <f t="shared" si="1"/>
        <v>827</v>
      </c>
      <c r="S36" s="619">
        <f t="shared" si="2"/>
        <v>63.615384615384613</v>
      </c>
      <c r="T36" s="617">
        <f t="shared" si="0"/>
        <v>36</v>
      </c>
      <c r="U36" s="445"/>
      <c r="V36" s="445"/>
    </row>
    <row r="37" spans="1:22" ht="29.25" thickBot="1" x14ac:dyDescent="0.3">
      <c r="A37" s="441">
        <v>34</v>
      </c>
      <c r="B37" s="446"/>
      <c r="C37" s="624">
        <v>15</v>
      </c>
      <c r="D37" s="625" t="s">
        <v>20</v>
      </c>
      <c r="E37" s="445">
        <v>84</v>
      </c>
      <c r="F37" s="445">
        <v>64</v>
      </c>
      <c r="G37" s="626">
        <v>69</v>
      </c>
      <c r="H37" s="445">
        <v>56</v>
      </c>
      <c r="I37" s="445">
        <v>61</v>
      </c>
      <c r="J37" s="445">
        <v>58</v>
      </c>
      <c r="K37" s="445">
        <v>73</v>
      </c>
      <c r="L37" s="615">
        <v>65</v>
      </c>
      <c r="M37" s="647">
        <v>72</v>
      </c>
      <c r="N37" s="622">
        <v>87</v>
      </c>
      <c r="O37" s="445">
        <v>84</v>
      </c>
      <c r="P37" s="445">
        <v>81</v>
      </c>
      <c r="Q37" s="445">
        <v>65</v>
      </c>
      <c r="R37" s="617">
        <f t="shared" si="1"/>
        <v>919</v>
      </c>
      <c r="S37" s="619">
        <f t="shared" si="2"/>
        <v>70.692307692307693</v>
      </c>
      <c r="T37" s="617">
        <f t="shared" si="0"/>
        <v>23</v>
      </c>
      <c r="U37" s="445"/>
      <c r="V37" s="445"/>
    </row>
    <row r="38" spans="1:22" ht="29.25" thickBot="1" x14ac:dyDescent="0.3">
      <c r="A38" s="441">
        <v>35</v>
      </c>
      <c r="B38" s="446"/>
      <c r="C38" s="624">
        <v>15</v>
      </c>
      <c r="D38" s="625" t="s">
        <v>17</v>
      </c>
      <c r="E38" s="445">
        <v>74</v>
      </c>
      <c r="F38" s="445">
        <v>68</v>
      </c>
      <c r="G38" s="626">
        <v>63</v>
      </c>
      <c r="H38" s="445">
        <v>67</v>
      </c>
      <c r="I38" s="445">
        <v>65</v>
      </c>
      <c r="J38" s="445">
        <v>54</v>
      </c>
      <c r="K38" s="445">
        <v>59</v>
      </c>
      <c r="L38" s="615">
        <v>54</v>
      </c>
      <c r="M38" s="647">
        <v>54</v>
      </c>
      <c r="N38" s="622">
        <v>68</v>
      </c>
      <c r="O38" s="445">
        <v>76</v>
      </c>
      <c r="P38" s="445">
        <v>87</v>
      </c>
      <c r="Q38" s="445">
        <v>77</v>
      </c>
      <c r="R38" s="617">
        <f t="shared" si="1"/>
        <v>866</v>
      </c>
      <c r="S38" s="619">
        <f t="shared" si="2"/>
        <v>66.615384615384613</v>
      </c>
      <c r="T38" s="617">
        <f t="shared" si="0"/>
        <v>27</v>
      </c>
      <c r="U38" s="445"/>
      <c r="V38" s="445"/>
    </row>
    <row r="39" spans="1:22" ht="29.25" thickBot="1" x14ac:dyDescent="0.3">
      <c r="A39" s="441">
        <v>36</v>
      </c>
      <c r="B39" s="446"/>
      <c r="C39" s="624">
        <v>16</v>
      </c>
      <c r="D39" s="625" t="s">
        <v>17</v>
      </c>
      <c r="E39" s="445">
        <v>78</v>
      </c>
      <c r="F39" s="445">
        <v>65</v>
      </c>
      <c r="G39" s="626">
        <v>58</v>
      </c>
      <c r="H39" s="445">
        <v>51</v>
      </c>
      <c r="I39" s="445">
        <v>54</v>
      </c>
      <c r="J39" s="445">
        <v>59</v>
      </c>
      <c r="K39" s="445">
        <v>52</v>
      </c>
      <c r="L39" s="615">
        <v>63</v>
      </c>
      <c r="M39" s="647">
        <v>59</v>
      </c>
      <c r="N39" s="622">
        <v>69</v>
      </c>
      <c r="O39" s="445">
        <v>63</v>
      </c>
      <c r="P39" s="445">
        <v>81</v>
      </c>
      <c r="Q39" s="445">
        <v>83</v>
      </c>
      <c r="R39" s="617">
        <f t="shared" si="1"/>
        <v>835</v>
      </c>
      <c r="S39" s="619">
        <f t="shared" si="2"/>
        <v>64.230769230769226</v>
      </c>
      <c r="T39" s="617">
        <f t="shared" si="0"/>
        <v>34</v>
      </c>
      <c r="U39" s="445"/>
      <c r="V39" s="445"/>
    </row>
    <row r="40" spans="1:22" ht="29.25" thickBot="1" x14ac:dyDescent="0.3">
      <c r="A40" s="441">
        <v>37</v>
      </c>
      <c r="B40" s="446"/>
      <c r="C40" s="624">
        <v>15</v>
      </c>
      <c r="D40" s="625" t="s">
        <v>17</v>
      </c>
      <c r="E40" s="445">
        <v>76</v>
      </c>
      <c r="F40" s="445">
        <v>61</v>
      </c>
      <c r="G40" s="626">
        <v>52</v>
      </c>
      <c r="H40" s="445">
        <v>56</v>
      </c>
      <c r="I40" s="445">
        <v>57</v>
      </c>
      <c r="J40" s="445">
        <v>49</v>
      </c>
      <c r="K40" s="445">
        <v>61</v>
      </c>
      <c r="L40" s="615">
        <v>47</v>
      </c>
      <c r="M40" s="647">
        <v>50</v>
      </c>
      <c r="N40" s="622">
        <v>66</v>
      </c>
      <c r="O40" s="445">
        <v>65</v>
      </c>
      <c r="P40" s="445">
        <v>71</v>
      </c>
      <c r="Q40" s="445">
        <v>77</v>
      </c>
      <c r="R40" s="617">
        <f t="shared" si="1"/>
        <v>788</v>
      </c>
      <c r="S40" s="619">
        <f t="shared" si="2"/>
        <v>60.615384615384613</v>
      </c>
      <c r="T40" s="617">
        <f t="shared" si="0"/>
        <v>44</v>
      </c>
      <c r="U40" s="445"/>
      <c r="V40" s="445"/>
    </row>
    <row r="41" spans="1:22" ht="29.25" thickBot="1" x14ac:dyDescent="0.3">
      <c r="A41" s="441">
        <v>38</v>
      </c>
      <c r="B41" s="446"/>
      <c r="C41" s="624">
        <v>15</v>
      </c>
      <c r="D41" s="625" t="s">
        <v>20</v>
      </c>
      <c r="E41" s="445">
        <v>98</v>
      </c>
      <c r="F41" s="445">
        <v>68</v>
      </c>
      <c r="G41" s="626">
        <v>73</v>
      </c>
      <c r="H41" s="445">
        <v>76</v>
      </c>
      <c r="I41" s="445">
        <v>70</v>
      </c>
      <c r="J41" s="445">
        <v>67</v>
      </c>
      <c r="K41" s="445">
        <v>70</v>
      </c>
      <c r="L41" s="615">
        <v>89</v>
      </c>
      <c r="M41" s="647">
        <v>72</v>
      </c>
      <c r="N41" s="622">
        <v>86</v>
      </c>
      <c r="O41" s="445">
        <v>89</v>
      </c>
      <c r="P41" s="445">
        <v>86</v>
      </c>
      <c r="Q41" s="445">
        <v>86</v>
      </c>
      <c r="R41" s="617">
        <f t="shared" si="1"/>
        <v>1030</v>
      </c>
      <c r="S41" s="619">
        <f t="shared" si="2"/>
        <v>79.230769230769226</v>
      </c>
      <c r="T41" s="617">
        <f t="shared" si="0"/>
        <v>11</v>
      </c>
      <c r="U41" s="445"/>
      <c r="V41" s="445"/>
    </row>
    <row r="42" spans="1:22" ht="29.25" thickBot="1" x14ac:dyDescent="0.3">
      <c r="A42" s="441">
        <v>39</v>
      </c>
      <c r="B42" s="446"/>
      <c r="C42" s="624">
        <v>14</v>
      </c>
      <c r="D42" s="625" t="s">
        <v>20</v>
      </c>
      <c r="E42" s="445">
        <v>79</v>
      </c>
      <c r="F42" s="445">
        <v>51</v>
      </c>
      <c r="G42" s="626">
        <v>59</v>
      </c>
      <c r="H42" s="445">
        <v>59</v>
      </c>
      <c r="I42" s="445">
        <v>62</v>
      </c>
      <c r="J42" s="445">
        <v>57</v>
      </c>
      <c r="K42" s="445">
        <v>53</v>
      </c>
      <c r="L42" s="615">
        <v>60</v>
      </c>
      <c r="M42" s="647">
        <v>53</v>
      </c>
      <c r="N42" s="622">
        <v>77</v>
      </c>
      <c r="O42" s="445">
        <v>70</v>
      </c>
      <c r="P42" s="445">
        <v>82</v>
      </c>
      <c r="Q42" s="445">
        <v>79</v>
      </c>
      <c r="R42" s="617">
        <f t="shared" si="1"/>
        <v>841</v>
      </c>
      <c r="S42" s="619">
        <f t="shared" si="2"/>
        <v>64.692307692307693</v>
      </c>
      <c r="T42" s="617">
        <f t="shared" si="0"/>
        <v>33</v>
      </c>
      <c r="U42" s="445"/>
      <c r="V42" s="445"/>
    </row>
    <row r="43" spans="1:22" ht="29.25" thickBot="1" x14ac:dyDescent="0.3">
      <c r="A43" s="441">
        <v>40</v>
      </c>
      <c r="B43" s="446"/>
      <c r="C43" s="624">
        <v>14</v>
      </c>
      <c r="D43" s="625" t="s">
        <v>17</v>
      </c>
      <c r="E43" s="445">
        <v>83</v>
      </c>
      <c r="F43" s="445">
        <v>74</v>
      </c>
      <c r="G43" s="626">
        <v>50</v>
      </c>
      <c r="H43" s="445">
        <v>82</v>
      </c>
      <c r="I43" s="445">
        <v>68</v>
      </c>
      <c r="J43" s="445">
        <v>65</v>
      </c>
      <c r="K43" s="445">
        <v>67</v>
      </c>
      <c r="L43" s="615">
        <v>76</v>
      </c>
      <c r="M43" s="647">
        <v>61</v>
      </c>
      <c r="N43" s="622">
        <v>80</v>
      </c>
      <c r="O43" s="445">
        <v>84</v>
      </c>
      <c r="P43" s="445">
        <v>77</v>
      </c>
      <c r="Q43" s="445">
        <v>84</v>
      </c>
      <c r="R43" s="617">
        <f t="shared" si="1"/>
        <v>951</v>
      </c>
      <c r="S43" s="619">
        <f t="shared" si="2"/>
        <v>73.15384615384616</v>
      </c>
      <c r="T43" s="617">
        <f t="shared" si="0"/>
        <v>20</v>
      </c>
      <c r="U43" s="445"/>
      <c r="V43" s="445"/>
    </row>
    <row r="44" spans="1:22" ht="29.25" thickBot="1" x14ac:dyDescent="0.3">
      <c r="A44" s="441">
        <v>41</v>
      </c>
      <c r="B44" s="446"/>
      <c r="C44" s="624">
        <v>15</v>
      </c>
      <c r="D44" s="625" t="s">
        <v>20</v>
      </c>
      <c r="E44" s="445">
        <v>91</v>
      </c>
      <c r="F44" s="445">
        <v>61</v>
      </c>
      <c r="G44" s="626">
        <v>64</v>
      </c>
      <c r="H44" s="445">
        <v>74</v>
      </c>
      <c r="I44" s="445">
        <v>73</v>
      </c>
      <c r="J44" s="445">
        <v>63</v>
      </c>
      <c r="K44" s="445">
        <v>61</v>
      </c>
      <c r="L44" s="615">
        <v>70</v>
      </c>
      <c r="M44" s="647">
        <v>63</v>
      </c>
      <c r="N44" s="622">
        <v>81</v>
      </c>
      <c r="O44" s="445">
        <v>78</v>
      </c>
      <c r="P44" s="445">
        <v>83</v>
      </c>
      <c r="Q44" s="445">
        <v>89</v>
      </c>
      <c r="R44" s="617">
        <f t="shared" si="1"/>
        <v>951</v>
      </c>
      <c r="S44" s="619">
        <f t="shared" si="2"/>
        <v>73.15384615384616</v>
      </c>
      <c r="T44" s="617">
        <f t="shared" si="0"/>
        <v>20</v>
      </c>
      <c r="U44" s="445"/>
      <c r="V44" s="445"/>
    </row>
    <row r="45" spans="1:22" ht="29.25" thickBot="1" x14ac:dyDescent="0.3">
      <c r="A45" s="441">
        <v>42</v>
      </c>
      <c r="B45" s="446"/>
      <c r="C45" s="624">
        <v>14</v>
      </c>
      <c r="D45" s="625" t="s">
        <v>20</v>
      </c>
      <c r="E45" s="445">
        <v>84</v>
      </c>
      <c r="F45" s="445">
        <v>78</v>
      </c>
      <c r="G45" s="626">
        <v>71</v>
      </c>
      <c r="H45" s="445">
        <v>78</v>
      </c>
      <c r="I45" s="445">
        <v>64</v>
      </c>
      <c r="J45" s="445">
        <v>69</v>
      </c>
      <c r="K45" s="445">
        <v>74</v>
      </c>
      <c r="L45" s="615">
        <v>79</v>
      </c>
      <c r="M45" s="647">
        <v>70</v>
      </c>
      <c r="N45" s="622">
        <v>89</v>
      </c>
      <c r="O45" s="445">
        <v>80</v>
      </c>
      <c r="P45" s="445">
        <v>97</v>
      </c>
      <c r="Q45" s="445">
        <v>92</v>
      </c>
      <c r="R45" s="617">
        <f t="shared" si="1"/>
        <v>1025</v>
      </c>
      <c r="S45" s="619">
        <f t="shared" si="2"/>
        <v>78.84615384615384</v>
      </c>
      <c r="T45" s="617">
        <f t="shared" si="0"/>
        <v>12</v>
      </c>
      <c r="U45" s="445"/>
      <c r="V45" s="445"/>
    </row>
    <row r="46" spans="1:22" ht="29.25" thickBot="1" x14ac:dyDescent="0.3">
      <c r="A46" s="441">
        <v>43</v>
      </c>
      <c r="B46" s="446"/>
      <c r="C46" s="624">
        <v>14</v>
      </c>
      <c r="D46" s="625" t="s">
        <v>20</v>
      </c>
      <c r="E46" s="445">
        <v>91</v>
      </c>
      <c r="F46" s="445">
        <v>80</v>
      </c>
      <c r="G46" s="626">
        <v>81</v>
      </c>
      <c r="H46" s="445">
        <v>77</v>
      </c>
      <c r="I46" s="445">
        <v>76</v>
      </c>
      <c r="J46" s="445">
        <v>81</v>
      </c>
      <c r="K46" s="445">
        <v>89</v>
      </c>
      <c r="L46" s="615">
        <v>90</v>
      </c>
      <c r="M46" s="647">
        <v>92</v>
      </c>
      <c r="N46" s="622">
        <v>95</v>
      </c>
      <c r="O46" s="445">
        <v>99</v>
      </c>
      <c r="P46" s="445">
        <v>90</v>
      </c>
      <c r="Q46" s="445">
        <v>86</v>
      </c>
      <c r="R46" s="617">
        <f t="shared" si="1"/>
        <v>1127</v>
      </c>
      <c r="S46" s="619">
        <f t="shared" si="2"/>
        <v>86.692307692307693</v>
      </c>
      <c r="T46" s="617">
        <f t="shared" si="0"/>
        <v>3</v>
      </c>
      <c r="U46" s="445"/>
      <c r="V46" s="445"/>
    </row>
    <row r="47" spans="1:22" ht="29.25" thickBot="1" x14ac:dyDescent="0.3">
      <c r="A47" s="441">
        <v>44</v>
      </c>
      <c r="B47" s="446"/>
      <c r="C47" s="624">
        <v>14</v>
      </c>
      <c r="D47" s="625" t="s">
        <v>20</v>
      </c>
      <c r="E47" s="445">
        <v>86</v>
      </c>
      <c r="F47" s="445">
        <v>72</v>
      </c>
      <c r="G47" s="626">
        <v>78</v>
      </c>
      <c r="H47" s="445">
        <v>71</v>
      </c>
      <c r="I47" s="445">
        <v>65</v>
      </c>
      <c r="J47" s="445">
        <v>65</v>
      </c>
      <c r="K47" s="445">
        <v>77</v>
      </c>
      <c r="L47" s="615">
        <v>75</v>
      </c>
      <c r="M47" s="647">
        <v>63</v>
      </c>
      <c r="N47" s="622">
        <v>70</v>
      </c>
      <c r="O47" s="445">
        <v>81</v>
      </c>
      <c r="P47" s="445">
        <v>84</v>
      </c>
      <c r="Q47" s="445">
        <v>78</v>
      </c>
      <c r="R47" s="617">
        <f t="shared" si="1"/>
        <v>965</v>
      </c>
      <c r="S47" s="619">
        <f t="shared" si="2"/>
        <v>74.230769230769226</v>
      </c>
      <c r="T47" s="617">
        <f t="shared" si="0"/>
        <v>18</v>
      </c>
      <c r="U47" s="445"/>
      <c r="V47" s="445"/>
    </row>
    <row r="48" spans="1:22" ht="29.25" thickBot="1" x14ac:dyDescent="0.3">
      <c r="A48" s="441">
        <v>45</v>
      </c>
      <c r="B48" s="446"/>
      <c r="C48" s="624">
        <v>14</v>
      </c>
      <c r="D48" s="625" t="s">
        <v>20</v>
      </c>
      <c r="E48" s="445">
        <v>81</v>
      </c>
      <c r="F48" s="445">
        <v>93</v>
      </c>
      <c r="G48" s="626">
        <v>70</v>
      </c>
      <c r="H48" s="445">
        <v>80</v>
      </c>
      <c r="I48" s="445">
        <v>62</v>
      </c>
      <c r="J48" s="445">
        <v>66</v>
      </c>
      <c r="K48" s="445">
        <v>71</v>
      </c>
      <c r="L48" s="615">
        <v>88</v>
      </c>
      <c r="M48" s="647">
        <v>80</v>
      </c>
      <c r="N48" s="622">
        <v>83</v>
      </c>
      <c r="O48" s="445">
        <v>87</v>
      </c>
      <c r="P48" s="445">
        <v>92</v>
      </c>
      <c r="Q48" s="445">
        <v>78</v>
      </c>
      <c r="R48" s="617">
        <f t="shared" si="1"/>
        <v>1031</v>
      </c>
      <c r="S48" s="619">
        <f t="shared" si="2"/>
        <v>79.307692307692307</v>
      </c>
      <c r="T48" s="617">
        <f t="shared" si="0"/>
        <v>10</v>
      </c>
      <c r="U48" s="445"/>
      <c r="V48" s="445"/>
    </row>
    <row r="49" spans="1:22" ht="29.25" thickBot="1" x14ac:dyDescent="0.3">
      <c r="A49" s="441">
        <v>46</v>
      </c>
      <c r="B49" s="446"/>
      <c r="C49" s="624">
        <v>15</v>
      </c>
      <c r="D49" s="625" t="s">
        <v>20</v>
      </c>
      <c r="E49" s="445">
        <v>91</v>
      </c>
      <c r="F49" s="445">
        <v>64</v>
      </c>
      <c r="G49" s="626">
        <v>73</v>
      </c>
      <c r="H49" s="445">
        <v>94</v>
      </c>
      <c r="I49" s="445">
        <v>82</v>
      </c>
      <c r="J49" s="445">
        <v>87</v>
      </c>
      <c r="K49" s="445">
        <v>89</v>
      </c>
      <c r="L49" s="615">
        <v>88</v>
      </c>
      <c r="M49" s="647">
        <v>71</v>
      </c>
      <c r="N49" s="622">
        <v>80</v>
      </c>
      <c r="O49" s="445">
        <v>90</v>
      </c>
      <c r="P49" s="445">
        <v>96</v>
      </c>
      <c r="Q49" s="445">
        <v>92</v>
      </c>
      <c r="R49" s="617">
        <f t="shared" si="1"/>
        <v>1097</v>
      </c>
      <c r="S49" s="619">
        <f t="shared" si="2"/>
        <v>84.384615384615387</v>
      </c>
      <c r="T49" s="617">
        <f t="shared" si="0"/>
        <v>4</v>
      </c>
      <c r="U49" s="445"/>
      <c r="V49" s="445"/>
    </row>
    <row r="50" spans="1:22" ht="29.25" thickBot="1" x14ac:dyDescent="0.3">
      <c r="A50" s="441">
        <v>47</v>
      </c>
      <c r="B50" s="446"/>
      <c r="C50" s="624">
        <v>14</v>
      </c>
      <c r="D50" s="625" t="s">
        <v>17</v>
      </c>
      <c r="E50" s="445">
        <v>68</v>
      </c>
      <c r="F50" s="445">
        <v>63</v>
      </c>
      <c r="G50" s="626">
        <v>58</v>
      </c>
      <c r="H50" s="445">
        <v>61</v>
      </c>
      <c r="I50" s="445">
        <v>55</v>
      </c>
      <c r="J50" s="445">
        <v>60</v>
      </c>
      <c r="K50" s="445">
        <v>64</v>
      </c>
      <c r="L50" s="615">
        <v>68</v>
      </c>
      <c r="M50" s="647">
        <v>48</v>
      </c>
      <c r="N50" s="622">
        <v>69</v>
      </c>
      <c r="O50" s="445">
        <v>67</v>
      </c>
      <c r="P50" s="445">
        <v>85</v>
      </c>
      <c r="Q50" s="445">
        <v>77</v>
      </c>
      <c r="R50" s="617">
        <f t="shared" si="1"/>
        <v>843</v>
      </c>
      <c r="S50" s="619">
        <f t="shared" si="2"/>
        <v>64.84615384615384</v>
      </c>
      <c r="T50" s="617">
        <f t="shared" si="0"/>
        <v>32</v>
      </c>
      <c r="U50" s="445"/>
      <c r="V50" s="445"/>
    </row>
    <row r="51" spans="1:22" ht="29.25" thickBot="1" x14ac:dyDescent="0.3">
      <c r="A51" s="441">
        <v>48</v>
      </c>
      <c r="B51" s="446"/>
      <c r="C51" s="624">
        <v>15</v>
      </c>
      <c r="D51" s="625" t="s">
        <v>17</v>
      </c>
      <c r="E51" s="445">
        <v>81</v>
      </c>
      <c r="F51" s="445">
        <v>80</v>
      </c>
      <c r="G51" s="626">
        <v>60</v>
      </c>
      <c r="H51" s="445">
        <v>87</v>
      </c>
      <c r="I51" s="445">
        <v>70</v>
      </c>
      <c r="J51" s="445">
        <v>73</v>
      </c>
      <c r="K51" s="445">
        <v>77</v>
      </c>
      <c r="L51" s="615">
        <v>80</v>
      </c>
      <c r="M51" s="647">
        <v>68</v>
      </c>
      <c r="N51" s="622">
        <v>79</v>
      </c>
      <c r="O51" s="445">
        <v>92</v>
      </c>
      <c r="P51" s="445">
        <v>94</v>
      </c>
      <c r="Q51" s="445">
        <v>93</v>
      </c>
      <c r="R51" s="617">
        <f t="shared" si="1"/>
        <v>1034</v>
      </c>
      <c r="S51" s="619">
        <f t="shared" si="2"/>
        <v>79.538461538461533</v>
      </c>
      <c r="T51" s="617">
        <f t="shared" si="0"/>
        <v>9</v>
      </c>
      <c r="U51" s="445"/>
      <c r="V51" s="445"/>
    </row>
    <row r="52" spans="1:22" ht="29.25" thickBot="1" x14ac:dyDescent="0.3">
      <c r="A52" s="441">
        <v>49</v>
      </c>
      <c r="B52" s="446"/>
      <c r="C52" s="624">
        <v>15</v>
      </c>
      <c r="D52" s="625" t="s">
        <v>17</v>
      </c>
      <c r="E52" s="445">
        <v>64</v>
      </c>
      <c r="F52" s="445">
        <v>52</v>
      </c>
      <c r="G52" s="626">
        <v>63</v>
      </c>
      <c r="H52" s="445">
        <v>74</v>
      </c>
      <c r="I52" s="445">
        <v>68</v>
      </c>
      <c r="J52" s="445">
        <v>50</v>
      </c>
      <c r="K52" s="445">
        <v>61</v>
      </c>
      <c r="L52" s="615">
        <v>48</v>
      </c>
      <c r="M52" s="647">
        <v>54</v>
      </c>
      <c r="N52" s="622">
        <v>65</v>
      </c>
      <c r="O52" s="445">
        <v>67</v>
      </c>
      <c r="P52" s="445">
        <v>74</v>
      </c>
      <c r="Q52" s="445">
        <v>78</v>
      </c>
      <c r="R52" s="617">
        <f t="shared" si="1"/>
        <v>818</v>
      </c>
      <c r="S52" s="619">
        <f t="shared" si="2"/>
        <v>62.92307692307692</v>
      </c>
      <c r="T52" s="617">
        <f t="shared" si="0"/>
        <v>39</v>
      </c>
      <c r="U52" s="445"/>
      <c r="V52" s="445"/>
    </row>
    <row r="53" spans="1:22" ht="29.25" thickBot="1" x14ac:dyDescent="0.3">
      <c r="A53" s="441">
        <v>50</v>
      </c>
      <c r="B53" s="446"/>
      <c r="C53" s="624">
        <v>14</v>
      </c>
      <c r="D53" s="625" t="s">
        <v>17</v>
      </c>
      <c r="E53" s="445">
        <v>74</v>
      </c>
      <c r="F53" s="445">
        <v>71</v>
      </c>
      <c r="G53" s="626">
        <v>52</v>
      </c>
      <c r="H53" s="445">
        <v>83</v>
      </c>
      <c r="I53" s="445">
        <v>80</v>
      </c>
      <c r="J53" s="445">
        <v>63</v>
      </c>
      <c r="K53" s="445">
        <v>65</v>
      </c>
      <c r="L53" s="615">
        <v>73</v>
      </c>
      <c r="M53" s="647">
        <v>50</v>
      </c>
      <c r="N53" s="622">
        <v>78</v>
      </c>
      <c r="O53" s="445">
        <v>88</v>
      </c>
      <c r="P53" s="445">
        <v>92</v>
      </c>
      <c r="Q53" s="445">
        <v>86</v>
      </c>
      <c r="R53" s="617">
        <f t="shared" si="1"/>
        <v>955</v>
      </c>
      <c r="S53" s="619">
        <f t="shared" si="2"/>
        <v>73.461538461538467</v>
      </c>
      <c r="T53" s="617">
        <f t="shared" si="0"/>
        <v>19</v>
      </c>
      <c r="U53" s="445"/>
      <c r="V53" s="445"/>
    </row>
    <row r="54" spans="1:22" ht="29.25" thickBot="1" x14ac:dyDescent="0.3">
      <c r="A54" s="441">
        <v>51</v>
      </c>
      <c r="B54" s="446"/>
      <c r="C54" s="624">
        <v>14</v>
      </c>
      <c r="D54" s="625" t="s">
        <v>20</v>
      </c>
      <c r="E54" s="445">
        <v>96</v>
      </c>
      <c r="F54" s="445">
        <v>72</v>
      </c>
      <c r="G54" s="626">
        <v>72</v>
      </c>
      <c r="H54" s="445">
        <v>63</v>
      </c>
      <c r="I54" s="445">
        <v>76</v>
      </c>
      <c r="J54" s="445">
        <v>68</v>
      </c>
      <c r="K54" s="445">
        <v>86</v>
      </c>
      <c r="L54" s="615">
        <v>80</v>
      </c>
      <c r="M54" s="647">
        <v>97</v>
      </c>
      <c r="N54" s="622">
        <v>83</v>
      </c>
      <c r="O54" s="445">
        <v>78</v>
      </c>
      <c r="P54" s="445">
        <v>82</v>
      </c>
      <c r="Q54" s="631">
        <v>85</v>
      </c>
      <c r="R54" s="617">
        <f t="shared" si="1"/>
        <v>1038</v>
      </c>
      <c r="S54" s="619">
        <f t="shared" si="2"/>
        <v>79.84615384615384</v>
      </c>
      <c r="T54" s="617">
        <f t="shared" si="0"/>
        <v>8</v>
      </c>
      <c r="U54" s="445"/>
      <c r="V54" s="445"/>
    </row>
    <row r="55" spans="1:22" ht="29.25" thickBot="1" x14ac:dyDescent="0.3">
      <c r="A55" s="441">
        <v>52</v>
      </c>
      <c r="B55" s="446"/>
      <c r="C55" s="624">
        <v>14</v>
      </c>
      <c r="D55" s="625" t="s">
        <v>17</v>
      </c>
      <c r="E55" s="445">
        <v>92</v>
      </c>
      <c r="F55" s="445">
        <v>78</v>
      </c>
      <c r="G55" s="626">
        <v>65</v>
      </c>
      <c r="H55" s="445">
        <v>73</v>
      </c>
      <c r="I55" s="445">
        <v>71</v>
      </c>
      <c r="J55" s="445">
        <v>69</v>
      </c>
      <c r="K55" s="445">
        <v>77</v>
      </c>
      <c r="L55" s="615">
        <v>85</v>
      </c>
      <c r="M55" s="647">
        <v>79</v>
      </c>
      <c r="N55" s="622">
        <v>79</v>
      </c>
      <c r="O55" s="445">
        <v>90</v>
      </c>
      <c r="P55" s="445">
        <v>78</v>
      </c>
      <c r="Q55" s="445">
        <v>86</v>
      </c>
      <c r="R55" s="617">
        <f t="shared" si="1"/>
        <v>1022</v>
      </c>
      <c r="S55" s="619">
        <f t="shared" si="2"/>
        <v>78.615384615384613</v>
      </c>
      <c r="T55" s="617">
        <f t="shared" si="0"/>
        <v>13</v>
      </c>
      <c r="U55" s="445"/>
      <c r="V55" s="445"/>
    </row>
    <row r="56" spans="1:22" ht="16.5" thickBot="1" x14ac:dyDescent="0.3">
      <c r="A56" s="56">
        <v>53</v>
      </c>
      <c r="B56" s="54"/>
      <c r="C56" s="57"/>
      <c r="D56" s="57"/>
      <c r="E56" s="49"/>
      <c r="F56" s="49"/>
      <c r="G56" s="288"/>
      <c r="H56" s="49"/>
      <c r="I56" s="49"/>
      <c r="J56" s="49"/>
      <c r="K56" s="49"/>
      <c r="L56" s="49"/>
      <c r="M56" s="76"/>
      <c r="N56" s="49"/>
      <c r="O56" s="644"/>
      <c r="Q56" s="49"/>
      <c r="R56" s="52"/>
      <c r="S56" s="53"/>
      <c r="T56" s="52"/>
      <c r="U56" s="49"/>
      <c r="V56" s="49"/>
    </row>
    <row r="57" spans="1:22" ht="16.5" thickBot="1" x14ac:dyDescent="0.3">
      <c r="A57" s="56">
        <v>54</v>
      </c>
      <c r="B57" s="55"/>
      <c r="C57" s="51"/>
      <c r="D57" s="51"/>
      <c r="E57" s="49"/>
      <c r="F57" s="49"/>
      <c r="G57" s="288"/>
      <c r="H57" s="49"/>
      <c r="I57" s="49"/>
      <c r="J57" s="49"/>
      <c r="K57" s="49"/>
      <c r="L57" s="49"/>
      <c r="M57" s="288"/>
      <c r="N57" s="49"/>
      <c r="O57" s="288"/>
      <c r="P57" s="49"/>
      <c r="Q57" s="49"/>
      <c r="R57" s="52"/>
      <c r="S57" s="53"/>
      <c r="T57" s="52"/>
      <c r="U57" s="49"/>
      <c r="V57" s="49"/>
    </row>
    <row r="58" spans="1:22" ht="16.5" thickBot="1" x14ac:dyDescent="0.3">
      <c r="A58" s="56">
        <v>55</v>
      </c>
      <c r="B58" s="55"/>
      <c r="C58" s="51"/>
      <c r="D58" s="51"/>
      <c r="E58" s="49"/>
      <c r="F58" s="49"/>
      <c r="G58" s="288"/>
      <c r="H58" s="49"/>
      <c r="I58" s="49"/>
      <c r="J58" s="49"/>
      <c r="K58" s="49"/>
      <c r="L58" s="49"/>
      <c r="M58" s="288"/>
      <c r="N58" s="49"/>
      <c r="O58" s="288"/>
      <c r="P58" s="49"/>
      <c r="Q58" s="49"/>
      <c r="R58" s="52"/>
      <c r="S58" s="53"/>
      <c r="T58" s="52"/>
      <c r="U58" s="49"/>
      <c r="V58" s="49"/>
    </row>
    <row r="59" spans="1:22" ht="15.75" x14ac:dyDescent="0.25">
      <c r="A59" s="56">
        <v>56</v>
      </c>
      <c r="B59" s="55"/>
      <c r="C59" s="51"/>
      <c r="D59" s="51"/>
      <c r="E59" s="49"/>
      <c r="F59" s="49"/>
      <c r="G59" s="288"/>
      <c r="H59" s="49"/>
      <c r="I59" s="49"/>
      <c r="J59" s="49"/>
      <c r="K59" s="49"/>
      <c r="L59" s="49"/>
      <c r="M59" s="288"/>
      <c r="N59" s="49"/>
      <c r="O59" s="288"/>
      <c r="P59" s="49"/>
      <c r="Q59" s="49"/>
      <c r="R59" s="50"/>
      <c r="S59" s="58"/>
      <c r="T59" s="50"/>
      <c r="U59" s="49"/>
      <c r="V59" s="49"/>
    </row>
  </sheetData>
  <mergeCells count="2">
    <mergeCell ref="A1:V1"/>
    <mergeCell ref="A2:V2"/>
  </mergeCells>
  <pageMargins left="0.7" right="0.7" top="0.75" bottom="0.75" header="0.3" footer="0.3"/>
  <pageSetup paperSize="9" scale="5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selection activeCell="B4" sqref="B4:B55"/>
    </sheetView>
  </sheetViews>
  <sheetFormatPr defaultRowHeight="15" x14ac:dyDescent="0.25"/>
  <cols>
    <col min="1" max="1" width="8.5703125" customWidth="1"/>
    <col min="2" max="2" width="27.42578125" customWidth="1"/>
    <col min="3" max="3" width="4.42578125" customWidth="1"/>
    <col min="4" max="4" width="5.85546875" customWidth="1"/>
    <col min="8" max="8" width="12" customWidth="1"/>
  </cols>
  <sheetData>
    <row r="1" spans="1:8" ht="20.25" x14ac:dyDescent="0.25">
      <c r="A1" s="865" t="s">
        <v>38</v>
      </c>
      <c r="B1" s="866"/>
      <c r="C1" s="866"/>
      <c r="D1" s="866"/>
      <c r="E1" s="866"/>
      <c r="F1" s="866"/>
      <c r="G1" s="866"/>
      <c r="H1" s="866"/>
    </row>
    <row r="2" spans="1:8" x14ac:dyDescent="0.25">
      <c r="A2" s="897" t="s">
        <v>40</v>
      </c>
      <c r="B2" s="898"/>
      <c r="C2" s="898"/>
      <c r="D2" s="898"/>
      <c r="E2" s="898"/>
      <c r="F2" s="898"/>
      <c r="G2" s="898"/>
      <c r="H2" s="898"/>
    </row>
    <row r="3" spans="1:8" ht="45.75" thickBot="1" x14ac:dyDescent="0.3">
      <c r="A3" s="62" t="s">
        <v>32</v>
      </c>
      <c r="B3" s="63" t="s">
        <v>1</v>
      </c>
      <c r="C3" s="64" t="s">
        <v>2</v>
      </c>
      <c r="D3" s="63" t="s">
        <v>3</v>
      </c>
      <c r="E3" s="69" t="s">
        <v>35</v>
      </c>
      <c r="F3" s="69" t="s">
        <v>36</v>
      </c>
      <c r="G3" s="69" t="s">
        <v>13</v>
      </c>
      <c r="H3" s="70" t="s">
        <v>14</v>
      </c>
    </row>
    <row r="4" spans="1:8" ht="16.5" thickBot="1" x14ac:dyDescent="0.3">
      <c r="A4" s="98">
        <v>1</v>
      </c>
      <c r="B4" s="356"/>
      <c r="C4" s="366">
        <v>15</v>
      </c>
      <c r="D4" s="368" t="s">
        <v>17</v>
      </c>
      <c r="E4" s="67">
        <v>72.538461538461533</v>
      </c>
      <c r="F4" s="67">
        <v>71</v>
      </c>
      <c r="G4" s="67">
        <f>AVERAGE(E4:F4)</f>
        <v>71.769230769230774</v>
      </c>
      <c r="H4" s="81">
        <f>RANK(G4,$G$4:$G$55)</f>
        <v>23</v>
      </c>
    </row>
    <row r="5" spans="1:8" ht="16.5" thickBot="1" x14ac:dyDescent="0.3">
      <c r="A5" s="90">
        <v>2</v>
      </c>
      <c r="B5" s="354"/>
      <c r="C5" s="320">
        <v>15</v>
      </c>
      <c r="D5" s="344" t="s">
        <v>17</v>
      </c>
      <c r="E5" s="67">
        <v>58.230769230769234</v>
      </c>
      <c r="F5" s="67">
        <v>61.230769230769234</v>
      </c>
      <c r="G5" s="293">
        <f t="shared" ref="G5:G55" si="0">AVERAGE(E5:F5)</f>
        <v>59.730769230769234</v>
      </c>
      <c r="H5" s="81">
        <f t="shared" ref="H5:H55" si="1">RANK(G5,$G$4:$G$55)</f>
        <v>45</v>
      </c>
    </row>
    <row r="6" spans="1:8" ht="16.5" thickBot="1" x14ac:dyDescent="0.3">
      <c r="A6" s="95">
        <v>3</v>
      </c>
      <c r="B6" s="354"/>
      <c r="C6" s="320">
        <v>15</v>
      </c>
      <c r="D6" s="344" t="s">
        <v>17</v>
      </c>
      <c r="E6" s="67">
        <v>77.769230769230774</v>
      </c>
      <c r="F6" s="67">
        <v>81.07692307692308</v>
      </c>
      <c r="G6" s="293">
        <f t="shared" si="0"/>
        <v>79.423076923076934</v>
      </c>
      <c r="H6" s="81">
        <f t="shared" si="1"/>
        <v>10</v>
      </c>
    </row>
    <row r="7" spans="1:8" ht="16.5" thickBot="1" x14ac:dyDescent="0.3">
      <c r="A7" s="90">
        <v>4</v>
      </c>
      <c r="B7" s="354"/>
      <c r="C7" s="320">
        <v>14</v>
      </c>
      <c r="D7" s="344" t="s">
        <v>17</v>
      </c>
      <c r="E7" s="67">
        <v>63.692307692307693</v>
      </c>
      <c r="F7" s="67">
        <v>63.692307692307693</v>
      </c>
      <c r="G7" s="293">
        <f t="shared" si="0"/>
        <v>63.692307692307693</v>
      </c>
      <c r="H7" s="81">
        <f t="shared" si="1"/>
        <v>35</v>
      </c>
    </row>
    <row r="8" spans="1:8" ht="16.5" thickBot="1" x14ac:dyDescent="0.3">
      <c r="A8" s="90">
        <v>5</v>
      </c>
      <c r="B8" s="354"/>
      <c r="C8" s="320">
        <v>14</v>
      </c>
      <c r="D8" s="344" t="s">
        <v>62</v>
      </c>
      <c r="E8" s="67">
        <v>75.92307692307692</v>
      </c>
      <c r="F8" s="67">
        <v>78.07692307692308</v>
      </c>
      <c r="G8" s="293">
        <f t="shared" si="0"/>
        <v>77</v>
      </c>
      <c r="H8" s="81">
        <f t="shared" si="1"/>
        <v>16</v>
      </c>
    </row>
    <row r="9" spans="1:8" ht="16.5" thickBot="1" x14ac:dyDescent="0.3">
      <c r="A9" s="95">
        <v>6</v>
      </c>
      <c r="B9" s="354"/>
      <c r="C9" s="320">
        <v>15</v>
      </c>
      <c r="D9" s="344" t="s">
        <v>17</v>
      </c>
      <c r="E9" s="67">
        <v>62.615384615384613</v>
      </c>
      <c r="F9" s="67"/>
      <c r="G9" s="293">
        <f t="shared" si="0"/>
        <v>62.615384615384613</v>
      </c>
      <c r="H9" s="81">
        <f t="shared" si="1"/>
        <v>39</v>
      </c>
    </row>
    <row r="10" spans="1:8" ht="16.5" thickBot="1" x14ac:dyDescent="0.3">
      <c r="A10" s="90">
        <v>7</v>
      </c>
      <c r="B10" s="354"/>
      <c r="C10" s="320">
        <v>15</v>
      </c>
      <c r="D10" s="344" t="s">
        <v>17</v>
      </c>
      <c r="E10" s="67">
        <v>78.769230769230774</v>
      </c>
      <c r="F10" s="67">
        <v>78</v>
      </c>
      <c r="G10" s="293">
        <f t="shared" si="0"/>
        <v>78.384615384615387</v>
      </c>
      <c r="H10" s="81">
        <f t="shared" si="1"/>
        <v>12</v>
      </c>
    </row>
    <row r="11" spans="1:8" ht="16.5" thickBot="1" x14ac:dyDescent="0.3">
      <c r="A11" s="90">
        <v>8</v>
      </c>
      <c r="B11" s="354"/>
      <c r="C11" s="320">
        <v>15</v>
      </c>
      <c r="D11" s="344" t="s">
        <v>20</v>
      </c>
      <c r="E11" s="67">
        <v>84.538461538461533</v>
      </c>
      <c r="F11" s="67">
        <v>83.615384615384613</v>
      </c>
      <c r="G11" s="293">
        <f t="shared" si="0"/>
        <v>84.076923076923066</v>
      </c>
      <c r="H11" s="81">
        <f t="shared" si="1"/>
        <v>4</v>
      </c>
    </row>
    <row r="12" spans="1:8" ht="16.5" thickBot="1" x14ac:dyDescent="0.3">
      <c r="A12" s="95">
        <v>9</v>
      </c>
      <c r="B12" s="354"/>
      <c r="C12" s="320">
        <v>15</v>
      </c>
      <c r="D12" s="344" t="s">
        <v>20</v>
      </c>
      <c r="E12" s="67">
        <v>74.92307692307692</v>
      </c>
      <c r="F12" s="67">
        <v>67.384615384615387</v>
      </c>
      <c r="G12" s="293">
        <f t="shared" si="0"/>
        <v>71.15384615384616</v>
      </c>
      <c r="H12" s="81">
        <f t="shared" si="1"/>
        <v>24</v>
      </c>
    </row>
    <row r="13" spans="1:8" ht="16.5" thickBot="1" x14ac:dyDescent="0.3">
      <c r="A13" s="90">
        <v>10</v>
      </c>
      <c r="B13" s="354"/>
      <c r="C13" s="320">
        <v>14</v>
      </c>
      <c r="D13" s="344" t="s">
        <v>20</v>
      </c>
      <c r="E13" s="67">
        <v>52.307692307692307</v>
      </c>
      <c r="F13" s="67">
        <v>55.07692307692308</v>
      </c>
      <c r="G13" s="293">
        <f t="shared" si="0"/>
        <v>53.692307692307693</v>
      </c>
      <c r="H13" s="81">
        <f t="shared" si="1"/>
        <v>51</v>
      </c>
    </row>
    <row r="14" spans="1:8" ht="16.5" thickBot="1" x14ac:dyDescent="0.3">
      <c r="A14" s="95">
        <v>11</v>
      </c>
      <c r="B14" s="354"/>
      <c r="C14" s="320">
        <v>15</v>
      </c>
      <c r="D14" s="344" t="s">
        <v>17</v>
      </c>
      <c r="E14" s="67">
        <v>63</v>
      </c>
      <c r="F14" s="67">
        <v>63.153846153846153</v>
      </c>
      <c r="G14" s="293">
        <f t="shared" si="0"/>
        <v>63.07692307692308</v>
      </c>
      <c r="H14" s="81">
        <f t="shared" si="1"/>
        <v>36</v>
      </c>
    </row>
    <row r="15" spans="1:8" ht="16.5" thickBot="1" x14ac:dyDescent="0.3">
      <c r="A15" s="95">
        <v>12</v>
      </c>
      <c r="B15" s="354"/>
      <c r="C15" s="320">
        <v>14</v>
      </c>
      <c r="D15" s="344" t="s">
        <v>17</v>
      </c>
      <c r="E15" s="67">
        <v>74.538461538461533</v>
      </c>
      <c r="F15" s="67">
        <v>74.461538461538467</v>
      </c>
      <c r="G15" s="293">
        <f t="shared" si="0"/>
        <v>74.5</v>
      </c>
      <c r="H15" s="81">
        <f t="shared" si="1"/>
        <v>19</v>
      </c>
    </row>
    <row r="16" spans="1:8" ht="16.5" thickBot="1" x14ac:dyDescent="0.3">
      <c r="A16" s="95">
        <v>13</v>
      </c>
      <c r="B16" s="354"/>
      <c r="C16" s="320">
        <v>14</v>
      </c>
      <c r="D16" s="344" t="s">
        <v>20</v>
      </c>
      <c r="E16" s="67">
        <v>63.92307692307692</v>
      </c>
      <c r="F16" s="67">
        <v>65.615384615384613</v>
      </c>
      <c r="G16" s="293">
        <f t="shared" si="0"/>
        <v>64.769230769230774</v>
      </c>
      <c r="H16" s="81">
        <f t="shared" si="1"/>
        <v>32</v>
      </c>
    </row>
    <row r="17" spans="1:8" ht="16.5" thickBot="1" x14ac:dyDescent="0.3">
      <c r="A17" s="90">
        <v>14</v>
      </c>
      <c r="B17" s="354"/>
      <c r="C17" s="320">
        <v>15</v>
      </c>
      <c r="D17" s="344" t="s">
        <v>20</v>
      </c>
      <c r="E17" s="67">
        <v>60.53846153846154</v>
      </c>
      <c r="F17" s="67">
        <v>62.384615384615387</v>
      </c>
      <c r="G17" s="293">
        <f t="shared" si="0"/>
        <v>61.461538461538467</v>
      </c>
      <c r="H17" s="81">
        <f t="shared" si="1"/>
        <v>41</v>
      </c>
    </row>
    <row r="18" spans="1:8" ht="16.5" thickBot="1" x14ac:dyDescent="0.3">
      <c r="A18" s="95">
        <v>15</v>
      </c>
      <c r="B18" s="354"/>
      <c r="C18" s="320">
        <v>16</v>
      </c>
      <c r="D18" s="344" t="s">
        <v>20</v>
      </c>
      <c r="E18" s="67">
        <v>57</v>
      </c>
      <c r="F18" s="67">
        <v>60.769230769230766</v>
      </c>
      <c r="G18" s="293">
        <f t="shared" si="0"/>
        <v>58.884615384615387</v>
      </c>
      <c r="H18" s="81">
        <f t="shared" si="1"/>
        <v>47</v>
      </c>
    </row>
    <row r="19" spans="1:8" ht="16.5" thickBot="1" x14ac:dyDescent="0.3">
      <c r="A19" s="90">
        <v>16</v>
      </c>
      <c r="B19" s="354"/>
      <c r="C19" s="320">
        <v>16</v>
      </c>
      <c r="D19" s="344" t="s">
        <v>20</v>
      </c>
      <c r="E19" s="67">
        <v>77.307692307692307</v>
      </c>
      <c r="F19" s="67">
        <v>77.461538461538467</v>
      </c>
      <c r="G19" s="293">
        <f t="shared" si="0"/>
        <v>77.384615384615387</v>
      </c>
      <c r="H19" s="81">
        <f t="shared" si="1"/>
        <v>15</v>
      </c>
    </row>
    <row r="20" spans="1:8" ht="16.5" thickBot="1" x14ac:dyDescent="0.3">
      <c r="A20" s="90">
        <v>17</v>
      </c>
      <c r="B20" s="354"/>
      <c r="C20" s="320">
        <v>14</v>
      </c>
      <c r="D20" s="344" t="s">
        <v>20</v>
      </c>
      <c r="E20" s="67">
        <v>55.92307692307692</v>
      </c>
      <c r="F20" s="67">
        <v>58.384615384615387</v>
      </c>
      <c r="G20" s="293">
        <f t="shared" si="0"/>
        <v>57.153846153846153</v>
      </c>
      <c r="H20" s="81">
        <f t="shared" si="1"/>
        <v>48</v>
      </c>
    </row>
    <row r="21" spans="1:8" ht="16.5" thickBot="1" x14ac:dyDescent="0.3">
      <c r="A21" s="90">
        <v>18</v>
      </c>
      <c r="B21" s="354"/>
      <c r="C21" s="320">
        <v>14</v>
      </c>
      <c r="D21" s="344" t="s">
        <v>20</v>
      </c>
      <c r="E21" s="67">
        <v>57.615384615384613</v>
      </c>
      <c r="F21" s="67">
        <v>61.153846153846153</v>
      </c>
      <c r="G21" s="293">
        <f t="shared" si="0"/>
        <v>59.384615384615387</v>
      </c>
      <c r="H21" s="81">
        <f t="shared" si="1"/>
        <v>46</v>
      </c>
    </row>
    <row r="22" spans="1:8" ht="16.5" thickBot="1" x14ac:dyDescent="0.3">
      <c r="A22" s="95">
        <v>19</v>
      </c>
      <c r="B22" s="354"/>
      <c r="C22" s="320">
        <v>15</v>
      </c>
      <c r="D22" s="344" t="s">
        <v>17</v>
      </c>
      <c r="E22" s="67">
        <v>58.07692307692308</v>
      </c>
      <c r="F22" s="67">
        <v>56</v>
      </c>
      <c r="G22" s="293">
        <f t="shared" si="0"/>
        <v>57.03846153846154</v>
      </c>
      <c r="H22" s="81">
        <f t="shared" si="1"/>
        <v>49</v>
      </c>
    </row>
    <row r="23" spans="1:8" ht="16.5" thickBot="1" x14ac:dyDescent="0.3">
      <c r="A23" s="95">
        <v>20</v>
      </c>
      <c r="B23" s="354"/>
      <c r="C23" s="320">
        <v>17</v>
      </c>
      <c r="D23" s="344" t="s">
        <v>20</v>
      </c>
      <c r="E23" s="67">
        <v>70.15384615384616</v>
      </c>
      <c r="F23" s="67">
        <v>63.307692307692307</v>
      </c>
      <c r="G23" s="293">
        <f t="shared" si="0"/>
        <v>66.730769230769226</v>
      </c>
      <c r="H23" s="81">
        <f t="shared" si="1"/>
        <v>28</v>
      </c>
    </row>
    <row r="24" spans="1:8" ht="16.5" thickBot="1" x14ac:dyDescent="0.3">
      <c r="A24" s="95">
        <v>21</v>
      </c>
      <c r="B24" s="355"/>
      <c r="C24" s="364">
        <v>15</v>
      </c>
      <c r="D24" s="365" t="s">
        <v>17</v>
      </c>
      <c r="E24" s="67">
        <v>67.92307692307692</v>
      </c>
      <c r="F24" s="67">
        <v>68.384615384615387</v>
      </c>
      <c r="G24" s="293">
        <f t="shared" si="0"/>
        <v>68.15384615384616</v>
      </c>
      <c r="H24" s="81">
        <f t="shared" si="1"/>
        <v>26</v>
      </c>
    </row>
    <row r="25" spans="1:8" ht="16.5" thickBot="1" x14ac:dyDescent="0.3">
      <c r="A25" s="90">
        <v>22</v>
      </c>
      <c r="B25" s="355"/>
      <c r="C25" s="364">
        <v>15</v>
      </c>
      <c r="D25" s="365" t="s">
        <v>20</v>
      </c>
      <c r="E25" s="67">
        <v>69.461538461538467</v>
      </c>
      <c r="F25" s="67">
        <v>65.84615384615384</v>
      </c>
      <c r="G25" s="293">
        <f t="shared" si="0"/>
        <v>67.65384615384616</v>
      </c>
      <c r="H25" s="81">
        <f t="shared" si="1"/>
        <v>27</v>
      </c>
    </row>
    <row r="26" spans="1:8" ht="16.5" thickBot="1" x14ac:dyDescent="0.3">
      <c r="A26" s="90">
        <v>23</v>
      </c>
      <c r="B26" s="355"/>
      <c r="C26" s="364">
        <v>15</v>
      </c>
      <c r="D26" s="365" t="s">
        <v>17</v>
      </c>
      <c r="E26" s="67">
        <v>55.615384615384613</v>
      </c>
      <c r="F26" s="67">
        <v>55.53846153846154</v>
      </c>
      <c r="G26" s="293">
        <f t="shared" si="0"/>
        <v>55.57692307692308</v>
      </c>
      <c r="H26" s="81">
        <f t="shared" si="1"/>
        <v>50</v>
      </c>
    </row>
    <row r="27" spans="1:8" ht="16.5" thickBot="1" x14ac:dyDescent="0.3">
      <c r="A27" s="95">
        <v>24</v>
      </c>
      <c r="B27" s="355"/>
      <c r="C27" s="364">
        <v>15</v>
      </c>
      <c r="D27" s="365" t="s">
        <v>20</v>
      </c>
      <c r="E27" s="67">
        <v>63.307692307692307</v>
      </c>
      <c r="F27" s="67">
        <v>65.15384615384616</v>
      </c>
      <c r="G27" s="293">
        <f t="shared" si="0"/>
        <v>64.230769230769226</v>
      </c>
      <c r="H27" s="81">
        <f t="shared" si="1"/>
        <v>33</v>
      </c>
    </row>
    <row r="28" spans="1:8" ht="16.5" thickBot="1" x14ac:dyDescent="0.3">
      <c r="A28" s="90">
        <v>25</v>
      </c>
      <c r="B28" s="355"/>
      <c r="C28" s="364">
        <v>16</v>
      </c>
      <c r="D28" s="365" t="s">
        <v>20</v>
      </c>
      <c r="E28" s="67">
        <v>87.769230769230774</v>
      </c>
      <c r="F28" s="67">
        <v>91.769230769230774</v>
      </c>
      <c r="G28" s="293">
        <f t="shared" si="0"/>
        <v>89.769230769230774</v>
      </c>
      <c r="H28" s="81">
        <f t="shared" si="1"/>
        <v>2</v>
      </c>
    </row>
    <row r="29" spans="1:8" ht="16.5" thickBot="1" x14ac:dyDescent="0.3">
      <c r="A29" s="95">
        <v>26</v>
      </c>
      <c r="B29" s="355"/>
      <c r="C29" s="364">
        <v>14</v>
      </c>
      <c r="D29" s="365" t="s">
        <v>20</v>
      </c>
      <c r="E29" s="67">
        <v>53.153846153846153</v>
      </c>
      <c r="F29" s="67">
        <v>53.384615384615387</v>
      </c>
      <c r="G29" s="293">
        <f t="shared" si="0"/>
        <v>53.269230769230774</v>
      </c>
      <c r="H29" s="81">
        <f t="shared" si="1"/>
        <v>52</v>
      </c>
    </row>
    <row r="30" spans="1:8" ht="16.5" thickBot="1" x14ac:dyDescent="0.3">
      <c r="A30" s="95">
        <v>27</v>
      </c>
      <c r="B30" s="369"/>
      <c r="C30" s="370">
        <v>15</v>
      </c>
      <c r="D30" s="371" t="s">
        <v>20</v>
      </c>
      <c r="E30" s="67">
        <v>97.15384615384616</v>
      </c>
      <c r="F30" s="67">
        <v>98</v>
      </c>
      <c r="G30" s="293">
        <f t="shared" si="0"/>
        <v>97.57692307692308</v>
      </c>
      <c r="H30" s="81">
        <f t="shared" si="1"/>
        <v>1</v>
      </c>
    </row>
    <row r="31" spans="1:8" ht="16.5" thickBot="1" x14ac:dyDescent="0.3">
      <c r="A31" s="95">
        <v>28</v>
      </c>
      <c r="B31" s="355"/>
      <c r="C31" s="364">
        <v>16</v>
      </c>
      <c r="D31" s="365" t="s">
        <v>20</v>
      </c>
      <c r="E31" s="67">
        <v>66</v>
      </c>
      <c r="F31" s="67">
        <v>65.307692307692307</v>
      </c>
      <c r="G31" s="293">
        <f t="shared" si="0"/>
        <v>65.65384615384616</v>
      </c>
      <c r="H31" s="81">
        <f t="shared" si="1"/>
        <v>30</v>
      </c>
    </row>
    <row r="32" spans="1:8" ht="16.5" thickBot="1" x14ac:dyDescent="0.3">
      <c r="A32" s="90">
        <v>29</v>
      </c>
      <c r="B32" s="355"/>
      <c r="C32" s="364">
        <v>17</v>
      </c>
      <c r="D32" s="365" t="s">
        <v>20</v>
      </c>
      <c r="E32" s="67">
        <v>62</v>
      </c>
      <c r="F32" s="67">
        <v>58.769230769230766</v>
      </c>
      <c r="G32" s="293">
        <f t="shared" si="0"/>
        <v>60.384615384615387</v>
      </c>
      <c r="H32" s="81">
        <f t="shared" si="1"/>
        <v>43</v>
      </c>
    </row>
    <row r="33" spans="1:8" ht="16.5" thickBot="1" x14ac:dyDescent="0.3">
      <c r="A33" s="95">
        <v>30</v>
      </c>
      <c r="B33" s="355"/>
      <c r="C33" s="364">
        <v>15</v>
      </c>
      <c r="D33" s="365" t="s">
        <v>17</v>
      </c>
      <c r="E33" s="67">
        <v>69.15384615384616</v>
      </c>
      <c r="F33" s="67">
        <v>67.769230769230774</v>
      </c>
      <c r="G33" s="293">
        <f t="shared" si="0"/>
        <v>68.461538461538467</v>
      </c>
      <c r="H33" s="81">
        <f t="shared" si="1"/>
        <v>25</v>
      </c>
    </row>
    <row r="34" spans="1:8" ht="16.5" thickBot="1" x14ac:dyDescent="0.3">
      <c r="A34" s="90">
        <v>31</v>
      </c>
      <c r="B34" s="355"/>
      <c r="C34" s="364">
        <v>14</v>
      </c>
      <c r="D34" s="365" t="s">
        <v>20</v>
      </c>
      <c r="E34" s="67">
        <v>80.384615384615387</v>
      </c>
      <c r="F34" s="67">
        <v>83</v>
      </c>
      <c r="G34" s="293">
        <f t="shared" si="0"/>
        <v>81.692307692307693</v>
      </c>
      <c r="H34" s="81">
        <f t="shared" si="1"/>
        <v>7</v>
      </c>
    </row>
    <row r="35" spans="1:8" ht="16.5" thickBot="1" x14ac:dyDescent="0.3">
      <c r="A35" s="90">
        <v>32</v>
      </c>
      <c r="B35" s="355"/>
      <c r="C35" s="364">
        <v>16</v>
      </c>
      <c r="D35" s="365" t="s">
        <v>20</v>
      </c>
      <c r="E35" s="67">
        <v>63</v>
      </c>
      <c r="F35" s="67">
        <v>57.230769230769234</v>
      </c>
      <c r="G35" s="293">
        <f t="shared" si="0"/>
        <v>60.115384615384613</v>
      </c>
      <c r="H35" s="81">
        <f t="shared" si="1"/>
        <v>44</v>
      </c>
    </row>
    <row r="36" spans="1:8" ht="16.5" thickBot="1" x14ac:dyDescent="0.3">
      <c r="A36" s="90">
        <v>33</v>
      </c>
      <c r="B36" s="355"/>
      <c r="C36" s="364">
        <v>14</v>
      </c>
      <c r="D36" s="365" t="s">
        <v>20</v>
      </c>
      <c r="E36" s="67">
        <v>67.307692307692307</v>
      </c>
      <c r="F36" s="67">
        <v>63.615384615384613</v>
      </c>
      <c r="G36" s="293">
        <f t="shared" si="0"/>
        <v>65.461538461538453</v>
      </c>
      <c r="H36" s="81">
        <f t="shared" si="1"/>
        <v>31</v>
      </c>
    </row>
    <row r="37" spans="1:8" ht="16.5" thickBot="1" x14ac:dyDescent="0.3">
      <c r="A37" s="95">
        <v>34</v>
      </c>
      <c r="B37" s="355"/>
      <c r="C37" s="364">
        <v>15</v>
      </c>
      <c r="D37" s="365" t="s">
        <v>20</v>
      </c>
      <c r="E37" s="67">
        <v>74.84615384615384</v>
      </c>
      <c r="F37" s="67">
        <v>70.692307692307693</v>
      </c>
      <c r="G37" s="293">
        <f t="shared" si="0"/>
        <v>72.769230769230774</v>
      </c>
      <c r="H37" s="81">
        <f t="shared" si="1"/>
        <v>22</v>
      </c>
    </row>
    <row r="38" spans="1:8" ht="16.5" thickBot="1" x14ac:dyDescent="0.3">
      <c r="A38" s="95">
        <v>35</v>
      </c>
      <c r="B38" s="355"/>
      <c r="C38" s="364">
        <v>15</v>
      </c>
      <c r="D38" s="365" t="s">
        <v>17</v>
      </c>
      <c r="E38" s="67">
        <v>64.769230769230774</v>
      </c>
      <c r="F38" s="67">
        <v>66.615384615384613</v>
      </c>
      <c r="G38" s="293">
        <f t="shared" si="0"/>
        <v>65.692307692307693</v>
      </c>
      <c r="H38" s="81">
        <f t="shared" si="1"/>
        <v>29</v>
      </c>
    </row>
    <row r="39" spans="1:8" ht="16.5" thickBot="1" x14ac:dyDescent="0.3">
      <c r="A39" s="95">
        <v>36</v>
      </c>
      <c r="B39" s="355"/>
      <c r="C39" s="364">
        <v>16</v>
      </c>
      <c r="D39" s="365" t="s">
        <v>17</v>
      </c>
      <c r="E39" s="67">
        <v>63.384615384615387</v>
      </c>
      <c r="F39" s="67">
        <v>64.230769230769226</v>
      </c>
      <c r="G39" s="293">
        <f t="shared" si="0"/>
        <v>63.807692307692307</v>
      </c>
      <c r="H39" s="81">
        <f t="shared" si="1"/>
        <v>34</v>
      </c>
    </row>
    <row r="40" spans="1:8" ht="16.5" thickBot="1" x14ac:dyDescent="0.3">
      <c r="A40" s="90">
        <v>37</v>
      </c>
      <c r="B40" s="355"/>
      <c r="C40" s="364">
        <v>15</v>
      </c>
      <c r="D40" s="365" t="s">
        <v>17</v>
      </c>
      <c r="E40" s="67">
        <v>62.53846153846154</v>
      </c>
      <c r="F40" s="67">
        <v>60.615384615384613</v>
      </c>
      <c r="G40" s="293">
        <f t="shared" si="0"/>
        <v>61.57692307692308</v>
      </c>
      <c r="H40" s="81">
        <f t="shared" si="1"/>
        <v>40</v>
      </c>
    </row>
    <row r="41" spans="1:8" ht="16.5" thickBot="1" x14ac:dyDescent="0.3">
      <c r="A41" s="90">
        <v>38</v>
      </c>
      <c r="B41" s="355"/>
      <c r="C41" s="364">
        <v>15</v>
      </c>
      <c r="D41" s="365" t="s">
        <v>20</v>
      </c>
      <c r="E41" s="67">
        <v>81</v>
      </c>
      <c r="F41" s="67">
        <v>79.230769230769226</v>
      </c>
      <c r="G41" s="293">
        <f t="shared" si="0"/>
        <v>80.115384615384613</v>
      </c>
      <c r="H41" s="81">
        <f t="shared" si="1"/>
        <v>8</v>
      </c>
    </row>
    <row r="42" spans="1:8" ht="16.5" thickBot="1" x14ac:dyDescent="0.3">
      <c r="A42" s="95">
        <v>39</v>
      </c>
      <c r="B42" s="355"/>
      <c r="C42" s="364">
        <v>14</v>
      </c>
      <c r="D42" s="365" t="s">
        <v>20</v>
      </c>
      <c r="E42" s="67">
        <v>61.46153846153846</v>
      </c>
      <c r="F42" s="67">
        <v>64.692307692307693</v>
      </c>
      <c r="G42" s="293">
        <f t="shared" si="0"/>
        <v>63.07692307692308</v>
      </c>
      <c r="H42" s="81">
        <f t="shared" si="1"/>
        <v>36</v>
      </c>
    </row>
    <row r="43" spans="1:8" ht="16.5" thickBot="1" x14ac:dyDescent="0.3">
      <c r="A43" s="90">
        <v>40</v>
      </c>
      <c r="B43" s="355"/>
      <c r="C43" s="364">
        <v>14</v>
      </c>
      <c r="D43" s="365" t="s">
        <v>17</v>
      </c>
      <c r="E43" s="67">
        <v>79.84615384615384</v>
      </c>
      <c r="F43" s="67">
        <v>73.15384615384616</v>
      </c>
      <c r="G43" s="293">
        <f t="shared" si="0"/>
        <v>76.5</v>
      </c>
      <c r="H43" s="81">
        <f t="shared" si="1"/>
        <v>17</v>
      </c>
    </row>
    <row r="44" spans="1:8" ht="16.5" thickBot="1" x14ac:dyDescent="0.3">
      <c r="A44" s="95">
        <v>41</v>
      </c>
      <c r="B44" s="355"/>
      <c r="C44" s="364">
        <v>15</v>
      </c>
      <c r="D44" s="365" t="s">
        <v>20</v>
      </c>
      <c r="E44" s="67">
        <v>74.15384615384616</v>
      </c>
      <c r="F44" s="67">
        <v>73.15384615384616</v>
      </c>
      <c r="G44" s="293">
        <f t="shared" si="0"/>
        <v>73.65384615384616</v>
      </c>
      <c r="H44" s="81">
        <f t="shared" si="1"/>
        <v>20</v>
      </c>
    </row>
    <row r="45" spans="1:8" ht="16.5" thickBot="1" x14ac:dyDescent="0.3">
      <c r="A45" s="95">
        <v>42</v>
      </c>
      <c r="B45" s="355"/>
      <c r="C45" s="364">
        <v>14</v>
      </c>
      <c r="D45" s="365" t="s">
        <v>20</v>
      </c>
      <c r="E45" s="67">
        <v>79.538461538461533</v>
      </c>
      <c r="F45" s="67">
        <v>78.84615384615384</v>
      </c>
      <c r="G45" s="293">
        <f t="shared" si="0"/>
        <v>79.192307692307679</v>
      </c>
      <c r="H45" s="81">
        <f t="shared" si="1"/>
        <v>11</v>
      </c>
    </row>
    <row r="46" spans="1:8" ht="16.5" thickBot="1" x14ac:dyDescent="0.3">
      <c r="A46" s="95">
        <v>43</v>
      </c>
      <c r="B46" s="355"/>
      <c r="C46" s="364">
        <v>14</v>
      </c>
      <c r="D46" s="365" t="s">
        <v>20</v>
      </c>
      <c r="E46" s="67">
        <v>82.769230769230774</v>
      </c>
      <c r="F46" s="67">
        <v>86.692307692307693</v>
      </c>
      <c r="G46" s="293">
        <f t="shared" si="0"/>
        <v>84.730769230769226</v>
      </c>
      <c r="H46" s="81">
        <f t="shared" si="1"/>
        <v>3</v>
      </c>
    </row>
    <row r="47" spans="1:8" ht="16.5" thickBot="1" x14ac:dyDescent="0.3">
      <c r="A47" s="90">
        <v>44</v>
      </c>
      <c r="B47" s="355"/>
      <c r="C47" s="364">
        <v>14</v>
      </c>
      <c r="D47" s="365" t="s">
        <v>20</v>
      </c>
      <c r="E47" s="67">
        <v>72.07692307692308</v>
      </c>
      <c r="F47" s="67">
        <v>74.230769230769226</v>
      </c>
      <c r="G47" s="293">
        <f t="shared" si="0"/>
        <v>73.15384615384616</v>
      </c>
      <c r="H47" s="81">
        <f t="shared" si="1"/>
        <v>21</v>
      </c>
    </row>
    <row r="48" spans="1:8" ht="16.5" thickBot="1" x14ac:dyDescent="0.3">
      <c r="A48" s="95">
        <v>45</v>
      </c>
      <c r="B48" s="355"/>
      <c r="C48" s="364">
        <v>14</v>
      </c>
      <c r="D48" s="365" t="s">
        <v>20</v>
      </c>
      <c r="E48" s="67">
        <v>84.692307692307693</v>
      </c>
      <c r="F48" s="67">
        <v>79.307692307692307</v>
      </c>
      <c r="G48" s="293">
        <f t="shared" si="0"/>
        <v>82</v>
      </c>
      <c r="H48" s="81">
        <f t="shared" si="1"/>
        <v>6</v>
      </c>
    </row>
    <row r="49" spans="1:8" ht="16.5" thickBot="1" x14ac:dyDescent="0.3">
      <c r="A49" s="90">
        <v>46</v>
      </c>
      <c r="B49" s="355"/>
      <c r="C49" s="364">
        <v>15</v>
      </c>
      <c r="D49" s="365" t="s">
        <v>20</v>
      </c>
      <c r="E49" s="67">
        <v>81.07692307692308</v>
      </c>
      <c r="F49" s="67">
        <v>84.384615384615387</v>
      </c>
      <c r="G49" s="293">
        <f t="shared" si="0"/>
        <v>82.730769230769226</v>
      </c>
      <c r="H49" s="81">
        <f t="shared" si="1"/>
        <v>5</v>
      </c>
    </row>
    <row r="50" spans="1:8" ht="16.5" thickBot="1" x14ac:dyDescent="0.3">
      <c r="A50" s="90">
        <v>47</v>
      </c>
      <c r="B50" s="355"/>
      <c r="C50" s="364">
        <v>14</v>
      </c>
      <c r="D50" s="365" t="s">
        <v>17</v>
      </c>
      <c r="E50" s="67">
        <v>60.846153846153847</v>
      </c>
      <c r="F50" s="67">
        <v>64.84615384615384</v>
      </c>
      <c r="G50" s="293">
        <f t="shared" si="0"/>
        <v>62.84615384615384</v>
      </c>
      <c r="H50" s="81">
        <f t="shared" si="1"/>
        <v>38</v>
      </c>
    </row>
    <row r="51" spans="1:8" ht="16.5" thickBot="1" x14ac:dyDescent="0.3">
      <c r="A51" s="90">
        <v>48</v>
      </c>
      <c r="B51" s="355"/>
      <c r="C51" s="364">
        <v>15</v>
      </c>
      <c r="D51" s="365" t="s">
        <v>17</v>
      </c>
      <c r="E51" s="67">
        <v>76</v>
      </c>
      <c r="F51" s="67">
        <v>79.538461538461533</v>
      </c>
      <c r="G51" s="293">
        <f t="shared" si="0"/>
        <v>77.769230769230774</v>
      </c>
      <c r="H51" s="81">
        <f t="shared" si="1"/>
        <v>14</v>
      </c>
    </row>
    <row r="52" spans="1:8" ht="16.5" thickBot="1" x14ac:dyDescent="0.3">
      <c r="A52" s="95">
        <v>49</v>
      </c>
      <c r="B52" s="355"/>
      <c r="C52" s="364">
        <v>15</v>
      </c>
      <c r="D52" s="365" t="s">
        <v>17</v>
      </c>
      <c r="E52" s="67">
        <v>58.846153846153847</v>
      </c>
      <c r="F52" s="67">
        <v>62.92307692307692</v>
      </c>
      <c r="G52" s="293">
        <f t="shared" si="0"/>
        <v>60.884615384615387</v>
      </c>
      <c r="H52" s="81">
        <f t="shared" si="1"/>
        <v>42</v>
      </c>
    </row>
    <row r="53" spans="1:8" ht="16.5" thickBot="1" x14ac:dyDescent="0.3">
      <c r="A53" s="95">
        <v>50</v>
      </c>
      <c r="B53" s="355"/>
      <c r="C53" s="364">
        <v>14</v>
      </c>
      <c r="D53" s="365" t="s">
        <v>17</v>
      </c>
      <c r="E53" s="67">
        <v>76.230769230769226</v>
      </c>
      <c r="F53" s="67">
        <v>73.461538461538467</v>
      </c>
      <c r="G53" s="293">
        <f t="shared" si="0"/>
        <v>74.84615384615384</v>
      </c>
      <c r="H53" s="81">
        <f t="shared" si="1"/>
        <v>18</v>
      </c>
    </row>
    <row r="54" spans="1:8" ht="16.5" thickBot="1" x14ac:dyDescent="0.3">
      <c r="A54" s="95">
        <v>51</v>
      </c>
      <c r="B54" s="355"/>
      <c r="C54" s="364">
        <v>14</v>
      </c>
      <c r="D54" s="365" t="s">
        <v>20</v>
      </c>
      <c r="E54" s="67">
        <v>80.07692307692308</v>
      </c>
      <c r="F54" s="67">
        <v>79.84615384615384</v>
      </c>
      <c r="G54" s="293">
        <f t="shared" si="0"/>
        <v>79.961538461538453</v>
      </c>
      <c r="H54" s="81">
        <f t="shared" si="1"/>
        <v>9</v>
      </c>
    </row>
    <row r="55" spans="1:8" ht="16.5" thickBot="1" x14ac:dyDescent="0.3">
      <c r="A55" s="95">
        <v>52</v>
      </c>
      <c r="B55" s="355"/>
      <c r="C55" s="364">
        <v>14</v>
      </c>
      <c r="D55" s="365" t="s">
        <v>17</v>
      </c>
      <c r="E55" s="67">
        <v>78.15384615384616</v>
      </c>
      <c r="F55" s="67">
        <v>78.615384615384613</v>
      </c>
      <c r="G55" s="293">
        <f t="shared" si="0"/>
        <v>78.384615384615387</v>
      </c>
      <c r="H55" s="81">
        <f t="shared" si="1"/>
        <v>12</v>
      </c>
    </row>
    <row r="56" spans="1:8" ht="15.75" x14ac:dyDescent="0.25">
      <c r="A56" s="95">
        <v>53</v>
      </c>
      <c r="B56" s="91"/>
      <c r="C56" s="96"/>
      <c r="D56" s="96"/>
      <c r="E56" s="67"/>
      <c r="F56" s="67"/>
      <c r="G56" s="67"/>
      <c r="H56" s="81"/>
    </row>
    <row r="57" spans="1:8" ht="15.75" x14ac:dyDescent="0.25">
      <c r="A57" s="95">
        <v>54</v>
      </c>
      <c r="B57" s="92"/>
      <c r="C57" s="72"/>
      <c r="D57" s="72"/>
      <c r="E57" s="67"/>
      <c r="F57" s="67"/>
      <c r="G57" s="67"/>
      <c r="H57" s="81"/>
    </row>
    <row r="58" spans="1:8" ht="15.75" x14ac:dyDescent="0.25">
      <c r="A58" s="95">
        <v>55</v>
      </c>
      <c r="B58" s="92"/>
      <c r="C58" s="72"/>
      <c r="D58" s="72"/>
      <c r="E58" s="67"/>
      <c r="F58" s="67"/>
      <c r="G58" s="67"/>
      <c r="H58" s="61"/>
    </row>
    <row r="59" spans="1:8" ht="15.75" x14ac:dyDescent="0.25">
      <c r="A59" s="95">
        <v>56</v>
      </c>
      <c r="B59" s="92"/>
      <c r="C59" s="72"/>
      <c r="D59" s="72"/>
      <c r="E59" s="60"/>
      <c r="F59" s="60"/>
      <c r="G59" s="60"/>
      <c r="H59" s="61"/>
    </row>
  </sheetData>
  <mergeCells count="2">
    <mergeCell ref="A1:H1"/>
    <mergeCell ref="A2:H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3"/>
  <sheetViews>
    <sheetView view="pageBreakPreview" zoomScale="60" zoomScaleNormal="100" workbookViewId="0">
      <selection activeCell="B6" sqref="B6:B146"/>
    </sheetView>
  </sheetViews>
  <sheetFormatPr defaultRowHeight="15" x14ac:dyDescent="0.25"/>
  <cols>
    <col min="1" max="1" width="4.85546875" customWidth="1"/>
    <col min="2" max="2" width="40.85546875" customWidth="1"/>
    <col min="3" max="4" width="8" customWidth="1"/>
    <col min="5" max="5" width="19.85546875" customWidth="1"/>
    <col min="8" max="8" width="9.140625" style="211"/>
  </cols>
  <sheetData>
    <row r="1" spans="1:23" ht="23.25" x14ac:dyDescent="0.25">
      <c r="A1" s="915" t="s">
        <v>42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7"/>
    </row>
    <row r="2" spans="1:23" ht="23.25" x14ac:dyDescent="0.25">
      <c r="A2" s="684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6"/>
    </row>
    <row r="3" spans="1:23" ht="23.25" x14ac:dyDescent="0.25">
      <c r="A3" s="918" t="s">
        <v>101</v>
      </c>
      <c r="B3" s="918"/>
      <c r="C3" s="918"/>
      <c r="D3" s="918"/>
      <c r="E3" s="918"/>
      <c r="F3" s="918"/>
      <c r="G3" s="918"/>
      <c r="H3" s="918"/>
      <c r="I3" s="918"/>
      <c r="J3" s="918"/>
      <c r="K3" s="918"/>
      <c r="L3" s="918"/>
      <c r="M3" s="918"/>
      <c r="N3" s="918"/>
      <c r="O3" s="918"/>
      <c r="P3" s="918"/>
      <c r="Q3" s="918"/>
      <c r="R3" s="918"/>
      <c r="S3" s="918"/>
      <c r="T3" s="918"/>
      <c r="U3" s="918"/>
      <c r="V3" s="918"/>
      <c r="W3" s="918"/>
    </row>
    <row r="4" spans="1:23" ht="24" thickBot="1" x14ac:dyDescent="0.3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</row>
    <row r="5" spans="1:23" ht="102" thickBot="1" x14ac:dyDescent="0.3">
      <c r="A5" s="688" t="s">
        <v>88</v>
      </c>
      <c r="B5" s="688" t="s">
        <v>1</v>
      </c>
      <c r="C5" s="688" t="s">
        <v>2</v>
      </c>
      <c r="D5" s="688" t="s">
        <v>3</v>
      </c>
      <c r="E5" s="578" t="s">
        <v>4</v>
      </c>
      <c r="F5" s="578" t="s">
        <v>22</v>
      </c>
      <c r="G5" s="578" t="s">
        <v>5</v>
      </c>
      <c r="H5" s="578" t="s">
        <v>29</v>
      </c>
      <c r="I5" s="578" t="s">
        <v>6</v>
      </c>
      <c r="J5" s="578" t="s">
        <v>7</v>
      </c>
      <c r="K5" s="578" t="s">
        <v>8</v>
      </c>
      <c r="L5" s="578" t="s">
        <v>9</v>
      </c>
      <c r="M5" s="689" t="s">
        <v>24</v>
      </c>
      <c r="N5" s="690" t="s">
        <v>74</v>
      </c>
      <c r="O5" s="691" t="s">
        <v>25</v>
      </c>
      <c r="P5" s="689" t="s">
        <v>27</v>
      </c>
      <c r="Q5" s="690" t="s">
        <v>26</v>
      </c>
      <c r="R5" s="691" t="s">
        <v>28</v>
      </c>
      <c r="S5" s="578" t="s">
        <v>12</v>
      </c>
      <c r="T5" s="578" t="s">
        <v>13</v>
      </c>
      <c r="U5" s="578" t="s">
        <v>14</v>
      </c>
      <c r="V5" s="578" t="s">
        <v>15</v>
      </c>
      <c r="W5" s="580" t="s">
        <v>16</v>
      </c>
    </row>
    <row r="6" spans="1:23" ht="24" thickBot="1" x14ac:dyDescent="0.4">
      <c r="A6" s="919">
        <v>1</v>
      </c>
      <c r="B6" s="901"/>
      <c r="C6" s="902">
        <v>16</v>
      </c>
      <c r="D6" s="903" t="s">
        <v>17</v>
      </c>
      <c r="E6" s="731" t="s">
        <v>18</v>
      </c>
      <c r="F6" s="692">
        <v>83</v>
      </c>
      <c r="G6" s="692">
        <v>86</v>
      </c>
      <c r="H6" s="692">
        <v>82</v>
      </c>
      <c r="I6" s="692">
        <v>70</v>
      </c>
      <c r="J6" s="692">
        <v>64</v>
      </c>
      <c r="K6" s="692">
        <v>79</v>
      </c>
      <c r="L6" s="692">
        <v>63</v>
      </c>
      <c r="M6" s="692">
        <v>78</v>
      </c>
      <c r="N6" s="692">
        <v>92</v>
      </c>
      <c r="O6" s="692">
        <v>89</v>
      </c>
      <c r="P6" s="692">
        <v>92</v>
      </c>
      <c r="Q6" s="692">
        <v>94</v>
      </c>
      <c r="R6" s="692">
        <v>94</v>
      </c>
      <c r="S6" s="692">
        <v>1066</v>
      </c>
      <c r="T6" s="693">
        <v>82</v>
      </c>
      <c r="U6" s="692">
        <v>17</v>
      </c>
      <c r="V6" s="694"/>
      <c r="W6" s="695"/>
    </row>
    <row r="7" spans="1:23" ht="24" thickBot="1" x14ac:dyDescent="0.4">
      <c r="A7" s="919"/>
      <c r="B7" s="901"/>
      <c r="C7" s="902"/>
      <c r="D7" s="903"/>
      <c r="E7" s="732" t="s">
        <v>19</v>
      </c>
      <c r="F7" s="595">
        <v>76</v>
      </c>
      <c r="G7" s="595">
        <v>83</v>
      </c>
      <c r="H7" s="595">
        <v>60</v>
      </c>
      <c r="I7" s="595">
        <v>80</v>
      </c>
      <c r="J7" s="595">
        <v>60</v>
      </c>
      <c r="K7" s="595">
        <v>62</v>
      </c>
      <c r="L7" s="595">
        <v>55</v>
      </c>
      <c r="M7" s="595">
        <v>73</v>
      </c>
      <c r="N7" s="595">
        <v>84</v>
      </c>
      <c r="O7" s="595">
        <v>87</v>
      </c>
      <c r="P7" s="595">
        <v>84</v>
      </c>
      <c r="Q7" s="595">
        <v>87</v>
      </c>
      <c r="R7" s="595">
        <v>80</v>
      </c>
      <c r="S7" s="696">
        <v>971</v>
      </c>
      <c r="T7" s="697">
        <v>74.692307692307693</v>
      </c>
      <c r="U7" s="696">
        <v>26</v>
      </c>
      <c r="V7" s="665"/>
      <c r="W7" s="698"/>
    </row>
    <row r="8" spans="1:23" ht="24" thickBot="1" x14ac:dyDescent="0.4">
      <c r="A8" s="919"/>
      <c r="B8" s="901"/>
      <c r="C8" s="902"/>
      <c r="D8" s="903"/>
      <c r="E8" s="732" t="s">
        <v>13</v>
      </c>
      <c r="F8" s="696">
        <f>AVERAGE(F6:F7)</f>
        <v>79.5</v>
      </c>
      <c r="G8" s="696">
        <f t="shared" ref="G8:T8" si="0">AVERAGE(G6:G7)</f>
        <v>84.5</v>
      </c>
      <c r="H8" s="696">
        <f t="shared" si="0"/>
        <v>71</v>
      </c>
      <c r="I8" s="696">
        <f t="shared" si="0"/>
        <v>75</v>
      </c>
      <c r="J8" s="696">
        <f t="shared" si="0"/>
        <v>62</v>
      </c>
      <c r="K8" s="696">
        <f t="shared" si="0"/>
        <v>70.5</v>
      </c>
      <c r="L8" s="696">
        <f t="shared" si="0"/>
        <v>59</v>
      </c>
      <c r="M8" s="696">
        <f t="shared" si="0"/>
        <v>75.5</v>
      </c>
      <c r="N8" s="696">
        <f t="shared" si="0"/>
        <v>88</v>
      </c>
      <c r="O8" s="696">
        <f t="shared" si="0"/>
        <v>88</v>
      </c>
      <c r="P8" s="696">
        <f t="shared" si="0"/>
        <v>88</v>
      </c>
      <c r="Q8" s="696">
        <f t="shared" si="0"/>
        <v>90.5</v>
      </c>
      <c r="R8" s="696">
        <f t="shared" si="0"/>
        <v>87</v>
      </c>
      <c r="S8" s="696">
        <f t="shared" si="0"/>
        <v>1018.5</v>
      </c>
      <c r="T8" s="696">
        <f t="shared" si="0"/>
        <v>78.34615384615384</v>
      </c>
      <c r="U8" s="696">
        <v>22</v>
      </c>
      <c r="V8" s="696"/>
      <c r="W8" s="696"/>
    </row>
    <row r="9" spans="1:23" ht="24" thickBot="1" x14ac:dyDescent="0.4">
      <c r="A9" s="900">
        <v>2</v>
      </c>
      <c r="B9" s="906"/>
      <c r="C9" s="909">
        <v>15</v>
      </c>
      <c r="D9" s="912" t="s">
        <v>17</v>
      </c>
      <c r="E9" s="732" t="s">
        <v>18</v>
      </c>
      <c r="F9" s="696">
        <v>79</v>
      </c>
      <c r="G9" s="696">
        <v>57</v>
      </c>
      <c r="H9" s="696">
        <v>71</v>
      </c>
      <c r="I9" s="696">
        <v>40</v>
      </c>
      <c r="J9" s="696">
        <v>55</v>
      </c>
      <c r="K9" s="696">
        <v>57</v>
      </c>
      <c r="L9" s="696">
        <v>50</v>
      </c>
      <c r="M9" s="696">
        <v>55</v>
      </c>
      <c r="N9" s="696">
        <v>49</v>
      </c>
      <c r="O9" s="696">
        <v>62</v>
      </c>
      <c r="P9" s="696">
        <v>57</v>
      </c>
      <c r="Q9" s="696">
        <v>74</v>
      </c>
      <c r="R9" s="696">
        <v>85</v>
      </c>
      <c r="S9" s="696">
        <v>791</v>
      </c>
      <c r="T9" s="697">
        <v>60.846153846153847</v>
      </c>
      <c r="U9" s="696">
        <v>42</v>
      </c>
      <c r="V9" s="699"/>
      <c r="W9" s="699"/>
    </row>
    <row r="10" spans="1:23" ht="24" thickBot="1" x14ac:dyDescent="0.4">
      <c r="A10" s="900"/>
      <c r="B10" s="907"/>
      <c r="C10" s="910"/>
      <c r="D10" s="913"/>
      <c r="E10" s="732" t="s">
        <v>19</v>
      </c>
      <c r="F10" s="696">
        <v>87</v>
      </c>
      <c r="G10" s="696">
        <v>63</v>
      </c>
      <c r="H10" s="696">
        <v>61</v>
      </c>
      <c r="I10" s="696">
        <v>51</v>
      </c>
      <c r="J10" s="696">
        <v>52</v>
      </c>
      <c r="K10" s="696">
        <v>51</v>
      </c>
      <c r="L10" s="696">
        <v>66</v>
      </c>
      <c r="M10" s="696">
        <v>48</v>
      </c>
      <c r="N10" s="696">
        <v>69</v>
      </c>
      <c r="O10" s="696">
        <v>76</v>
      </c>
      <c r="P10" s="696">
        <v>67</v>
      </c>
      <c r="Q10" s="696">
        <v>86</v>
      </c>
      <c r="R10" s="696">
        <v>68</v>
      </c>
      <c r="S10" s="696">
        <v>845</v>
      </c>
      <c r="T10" s="697">
        <v>65</v>
      </c>
      <c r="U10" s="696">
        <v>37</v>
      </c>
      <c r="V10" s="699"/>
      <c r="W10" s="699"/>
    </row>
    <row r="11" spans="1:23" ht="24" thickBot="1" x14ac:dyDescent="0.4">
      <c r="A11" s="900"/>
      <c r="B11" s="908"/>
      <c r="C11" s="911"/>
      <c r="D11" s="914"/>
      <c r="E11" s="732" t="s">
        <v>13</v>
      </c>
      <c r="F11" s="696">
        <f>AVERAGE(F9:F10)</f>
        <v>83</v>
      </c>
      <c r="G11" s="696">
        <f t="shared" ref="G11:T11" si="1">AVERAGE(G9:G10)</f>
        <v>60</v>
      </c>
      <c r="H11" s="696">
        <f t="shared" si="1"/>
        <v>66</v>
      </c>
      <c r="I11" s="696">
        <f t="shared" si="1"/>
        <v>45.5</v>
      </c>
      <c r="J11" s="696">
        <f t="shared" si="1"/>
        <v>53.5</v>
      </c>
      <c r="K11" s="696">
        <f t="shared" si="1"/>
        <v>54</v>
      </c>
      <c r="L11" s="696">
        <f t="shared" si="1"/>
        <v>58</v>
      </c>
      <c r="M11" s="696">
        <f t="shared" si="1"/>
        <v>51.5</v>
      </c>
      <c r="N11" s="696">
        <f t="shared" si="1"/>
        <v>59</v>
      </c>
      <c r="O11" s="696">
        <f t="shared" si="1"/>
        <v>69</v>
      </c>
      <c r="P11" s="696">
        <f t="shared" si="1"/>
        <v>62</v>
      </c>
      <c r="Q11" s="696">
        <f t="shared" si="1"/>
        <v>80</v>
      </c>
      <c r="R11" s="696">
        <f t="shared" si="1"/>
        <v>76.5</v>
      </c>
      <c r="S11" s="696">
        <f t="shared" si="1"/>
        <v>818</v>
      </c>
      <c r="T11" s="696">
        <f t="shared" si="1"/>
        <v>62.92307692307692</v>
      </c>
      <c r="U11" s="696">
        <v>39</v>
      </c>
      <c r="V11" s="696"/>
      <c r="W11" s="696"/>
    </row>
    <row r="12" spans="1:23" ht="24" thickBot="1" x14ac:dyDescent="0.4">
      <c r="A12" s="900">
        <v>3</v>
      </c>
      <c r="B12" s="901"/>
      <c r="C12" s="902">
        <v>15</v>
      </c>
      <c r="D12" s="903" t="s">
        <v>17</v>
      </c>
      <c r="E12" s="732" t="s">
        <v>18</v>
      </c>
      <c r="F12" s="696">
        <v>86</v>
      </c>
      <c r="G12" s="696">
        <v>61</v>
      </c>
      <c r="H12" s="696">
        <v>75</v>
      </c>
      <c r="I12" s="696">
        <v>56</v>
      </c>
      <c r="J12" s="696">
        <v>51</v>
      </c>
      <c r="K12" s="696">
        <v>67</v>
      </c>
      <c r="L12" s="696">
        <v>54</v>
      </c>
      <c r="M12" s="696">
        <v>67</v>
      </c>
      <c r="N12" s="696">
        <v>65</v>
      </c>
      <c r="O12" s="696">
        <v>74</v>
      </c>
      <c r="P12" s="696">
        <v>66</v>
      </c>
      <c r="Q12" s="696">
        <v>82</v>
      </c>
      <c r="R12" s="696">
        <v>85</v>
      </c>
      <c r="S12" s="696">
        <v>889</v>
      </c>
      <c r="T12" s="697">
        <v>68.384615384615387</v>
      </c>
      <c r="U12" s="696">
        <v>36</v>
      </c>
      <c r="V12" s="699"/>
      <c r="W12" s="699"/>
    </row>
    <row r="13" spans="1:23" ht="24" thickBot="1" x14ac:dyDescent="0.4">
      <c r="A13" s="900"/>
      <c r="B13" s="901"/>
      <c r="C13" s="902"/>
      <c r="D13" s="903"/>
      <c r="E13" s="732" t="s">
        <v>19</v>
      </c>
      <c r="F13" s="696">
        <v>78</v>
      </c>
      <c r="G13" s="696">
        <v>61</v>
      </c>
      <c r="H13" s="696">
        <v>56</v>
      </c>
      <c r="I13" s="696">
        <v>61</v>
      </c>
      <c r="J13" s="696">
        <v>50</v>
      </c>
      <c r="K13" s="696">
        <v>57</v>
      </c>
      <c r="L13" s="696">
        <v>59</v>
      </c>
      <c r="M13" s="696">
        <v>70</v>
      </c>
      <c r="N13" s="696">
        <v>69</v>
      </c>
      <c r="O13" s="696">
        <v>80</v>
      </c>
      <c r="P13" s="696">
        <v>71</v>
      </c>
      <c r="Q13" s="696">
        <v>87</v>
      </c>
      <c r="R13" s="696">
        <v>71</v>
      </c>
      <c r="S13" s="696">
        <v>870</v>
      </c>
      <c r="T13" s="697">
        <v>66.92307692307692</v>
      </c>
      <c r="U13" s="696">
        <v>35</v>
      </c>
      <c r="V13" s="699"/>
      <c r="W13" s="699"/>
    </row>
    <row r="14" spans="1:23" ht="24" thickBot="1" x14ac:dyDescent="0.4">
      <c r="A14" s="900"/>
      <c r="B14" s="901"/>
      <c r="C14" s="902"/>
      <c r="D14" s="903"/>
      <c r="E14" s="732" t="s">
        <v>13</v>
      </c>
      <c r="F14" s="696">
        <f>AVERAGE(F12:F13)</f>
        <v>82</v>
      </c>
      <c r="G14" s="696">
        <f t="shared" ref="G14:T14" si="2">AVERAGE(G12:G13)</f>
        <v>61</v>
      </c>
      <c r="H14" s="696">
        <f t="shared" si="2"/>
        <v>65.5</v>
      </c>
      <c r="I14" s="696">
        <f t="shared" si="2"/>
        <v>58.5</v>
      </c>
      <c r="J14" s="696">
        <f t="shared" si="2"/>
        <v>50.5</v>
      </c>
      <c r="K14" s="696">
        <f t="shared" si="2"/>
        <v>62</v>
      </c>
      <c r="L14" s="696">
        <f t="shared" si="2"/>
        <v>56.5</v>
      </c>
      <c r="M14" s="696">
        <f t="shared" si="2"/>
        <v>68.5</v>
      </c>
      <c r="N14" s="696">
        <f t="shared" si="2"/>
        <v>67</v>
      </c>
      <c r="O14" s="696">
        <f t="shared" si="2"/>
        <v>77</v>
      </c>
      <c r="P14" s="696">
        <f t="shared" si="2"/>
        <v>68.5</v>
      </c>
      <c r="Q14" s="696">
        <f t="shared" si="2"/>
        <v>84.5</v>
      </c>
      <c r="R14" s="696">
        <f t="shared" si="2"/>
        <v>78</v>
      </c>
      <c r="S14" s="696">
        <f t="shared" si="2"/>
        <v>879.5</v>
      </c>
      <c r="T14" s="696">
        <f t="shared" si="2"/>
        <v>67.65384615384616</v>
      </c>
      <c r="U14" s="696">
        <v>35</v>
      </c>
      <c r="V14" s="696"/>
      <c r="W14" s="696"/>
    </row>
    <row r="15" spans="1:23" ht="24" thickBot="1" x14ac:dyDescent="0.4">
      <c r="A15" s="900">
        <v>4</v>
      </c>
      <c r="B15" s="901"/>
      <c r="C15" s="902">
        <v>15</v>
      </c>
      <c r="D15" s="903" t="s">
        <v>17</v>
      </c>
      <c r="E15" s="732" t="s">
        <v>18</v>
      </c>
      <c r="F15" s="696">
        <v>69</v>
      </c>
      <c r="G15" s="696">
        <v>71</v>
      </c>
      <c r="H15" s="696">
        <v>73</v>
      </c>
      <c r="I15" s="696">
        <v>44</v>
      </c>
      <c r="J15" s="696">
        <v>65</v>
      </c>
      <c r="K15" s="696">
        <v>61</v>
      </c>
      <c r="L15" s="696">
        <v>57</v>
      </c>
      <c r="M15" s="696">
        <v>63</v>
      </c>
      <c r="N15" s="696">
        <v>77</v>
      </c>
      <c r="O15" s="696">
        <v>64</v>
      </c>
      <c r="P15" s="696">
        <v>73</v>
      </c>
      <c r="Q15" s="696">
        <v>88</v>
      </c>
      <c r="R15" s="696">
        <v>93</v>
      </c>
      <c r="S15" s="696">
        <v>898</v>
      </c>
      <c r="T15" s="697">
        <v>69.07692307692308</v>
      </c>
      <c r="U15" s="696">
        <v>35</v>
      </c>
      <c r="V15" s="699"/>
      <c r="W15" s="699"/>
    </row>
    <row r="16" spans="1:23" ht="24" thickBot="1" x14ac:dyDescent="0.4">
      <c r="A16" s="900"/>
      <c r="B16" s="901"/>
      <c r="C16" s="902"/>
      <c r="D16" s="903"/>
      <c r="E16" s="732" t="s">
        <v>19</v>
      </c>
      <c r="F16" s="696">
        <v>64</v>
      </c>
      <c r="G16" s="696">
        <v>70</v>
      </c>
      <c r="H16" s="696">
        <v>52</v>
      </c>
      <c r="I16" s="696">
        <v>63</v>
      </c>
      <c r="J16" s="696">
        <v>45</v>
      </c>
      <c r="K16" s="696">
        <v>53</v>
      </c>
      <c r="L16" s="696">
        <v>57</v>
      </c>
      <c r="M16" s="696">
        <v>57</v>
      </c>
      <c r="N16" s="696">
        <v>61</v>
      </c>
      <c r="O16" s="696">
        <v>73</v>
      </c>
      <c r="P16" s="696">
        <v>74</v>
      </c>
      <c r="Q16" s="696">
        <v>88</v>
      </c>
      <c r="R16" s="696">
        <v>82</v>
      </c>
      <c r="S16" s="696">
        <v>839</v>
      </c>
      <c r="T16" s="697">
        <v>64.538461538461533</v>
      </c>
      <c r="U16" s="696">
        <v>38</v>
      </c>
      <c r="V16" s="699"/>
      <c r="W16" s="699"/>
    </row>
    <row r="17" spans="1:23" ht="24" thickBot="1" x14ac:dyDescent="0.4">
      <c r="A17" s="900"/>
      <c r="B17" s="901"/>
      <c r="C17" s="902"/>
      <c r="D17" s="903"/>
      <c r="E17" s="732" t="s">
        <v>13</v>
      </c>
      <c r="F17" s="696">
        <f>AVERAGE(F15:F16)</f>
        <v>66.5</v>
      </c>
      <c r="G17" s="696">
        <f t="shared" ref="G17:T17" si="3">AVERAGE(G15:G16)</f>
        <v>70.5</v>
      </c>
      <c r="H17" s="696">
        <f t="shared" si="3"/>
        <v>62.5</v>
      </c>
      <c r="I17" s="696">
        <f t="shared" si="3"/>
        <v>53.5</v>
      </c>
      <c r="J17" s="696">
        <f t="shared" si="3"/>
        <v>55</v>
      </c>
      <c r="K17" s="696">
        <f t="shared" si="3"/>
        <v>57</v>
      </c>
      <c r="L17" s="696">
        <f t="shared" si="3"/>
        <v>57</v>
      </c>
      <c r="M17" s="696">
        <f t="shared" si="3"/>
        <v>60</v>
      </c>
      <c r="N17" s="696">
        <f t="shared" si="3"/>
        <v>69</v>
      </c>
      <c r="O17" s="696">
        <f t="shared" si="3"/>
        <v>68.5</v>
      </c>
      <c r="P17" s="696">
        <f t="shared" si="3"/>
        <v>73.5</v>
      </c>
      <c r="Q17" s="696">
        <f t="shared" si="3"/>
        <v>88</v>
      </c>
      <c r="R17" s="696">
        <f t="shared" si="3"/>
        <v>87.5</v>
      </c>
      <c r="S17" s="696">
        <f t="shared" si="3"/>
        <v>868.5</v>
      </c>
      <c r="T17" s="696">
        <f t="shared" si="3"/>
        <v>66.807692307692307</v>
      </c>
      <c r="U17" s="696">
        <v>36</v>
      </c>
      <c r="V17" s="696"/>
      <c r="W17" s="696"/>
    </row>
    <row r="18" spans="1:23" ht="24" thickBot="1" x14ac:dyDescent="0.4">
      <c r="A18" s="900">
        <v>5</v>
      </c>
      <c r="B18" s="901"/>
      <c r="C18" s="902">
        <v>15</v>
      </c>
      <c r="D18" s="903" t="s">
        <v>17</v>
      </c>
      <c r="E18" s="732" t="s">
        <v>18</v>
      </c>
      <c r="F18" s="696">
        <v>87</v>
      </c>
      <c r="G18" s="696">
        <v>76</v>
      </c>
      <c r="H18" s="696">
        <v>72</v>
      </c>
      <c r="I18" s="696">
        <v>57</v>
      </c>
      <c r="J18" s="696">
        <v>60</v>
      </c>
      <c r="K18" s="696">
        <v>75</v>
      </c>
      <c r="L18" s="696">
        <v>67</v>
      </c>
      <c r="M18" s="696">
        <v>73</v>
      </c>
      <c r="N18" s="696">
        <v>66</v>
      </c>
      <c r="O18" s="696">
        <v>85</v>
      </c>
      <c r="P18" s="696">
        <v>71</v>
      </c>
      <c r="Q18" s="696">
        <v>87</v>
      </c>
      <c r="R18" s="696">
        <v>85</v>
      </c>
      <c r="S18" s="696">
        <v>961</v>
      </c>
      <c r="T18" s="697">
        <v>73.92307692307692</v>
      </c>
      <c r="U18" s="696">
        <v>30</v>
      </c>
      <c r="V18" s="699"/>
      <c r="W18" s="699"/>
    </row>
    <row r="19" spans="1:23" ht="24" thickBot="1" x14ac:dyDescent="0.4">
      <c r="A19" s="900"/>
      <c r="B19" s="901"/>
      <c r="C19" s="902"/>
      <c r="D19" s="903"/>
      <c r="E19" s="732" t="s">
        <v>19</v>
      </c>
      <c r="F19" s="696">
        <v>89</v>
      </c>
      <c r="G19" s="696">
        <v>68</v>
      </c>
      <c r="H19" s="696">
        <v>63</v>
      </c>
      <c r="I19" s="696">
        <v>58</v>
      </c>
      <c r="J19" s="696">
        <v>54</v>
      </c>
      <c r="K19" s="696">
        <v>54</v>
      </c>
      <c r="L19" s="696">
        <v>60</v>
      </c>
      <c r="M19" s="696">
        <v>70</v>
      </c>
      <c r="N19" s="696">
        <v>75</v>
      </c>
      <c r="O19" s="696">
        <v>84</v>
      </c>
      <c r="P19" s="696">
        <v>76</v>
      </c>
      <c r="Q19" s="696">
        <v>90</v>
      </c>
      <c r="R19" s="696">
        <v>81</v>
      </c>
      <c r="S19" s="696">
        <v>922</v>
      </c>
      <c r="T19" s="697">
        <v>70.92307692307692</v>
      </c>
      <c r="U19" s="696">
        <v>30</v>
      </c>
      <c r="V19" s="699"/>
      <c r="W19" s="699"/>
    </row>
    <row r="20" spans="1:23" ht="24" thickBot="1" x14ac:dyDescent="0.4">
      <c r="A20" s="900"/>
      <c r="B20" s="901"/>
      <c r="C20" s="902"/>
      <c r="D20" s="903"/>
      <c r="E20" s="732" t="s">
        <v>13</v>
      </c>
      <c r="F20" s="696">
        <f>AVERAGE(F18:F19)</f>
        <v>88</v>
      </c>
      <c r="G20" s="696">
        <f t="shared" ref="G20:T20" si="4">AVERAGE(G18:G19)</f>
        <v>72</v>
      </c>
      <c r="H20" s="696">
        <f t="shared" si="4"/>
        <v>67.5</v>
      </c>
      <c r="I20" s="696">
        <f t="shared" si="4"/>
        <v>57.5</v>
      </c>
      <c r="J20" s="696">
        <f t="shared" si="4"/>
        <v>57</v>
      </c>
      <c r="K20" s="696">
        <f t="shared" si="4"/>
        <v>64.5</v>
      </c>
      <c r="L20" s="696">
        <f t="shared" si="4"/>
        <v>63.5</v>
      </c>
      <c r="M20" s="696">
        <f t="shared" si="4"/>
        <v>71.5</v>
      </c>
      <c r="N20" s="696">
        <f t="shared" si="4"/>
        <v>70.5</v>
      </c>
      <c r="O20" s="696">
        <f t="shared" si="4"/>
        <v>84.5</v>
      </c>
      <c r="P20" s="696">
        <f t="shared" si="4"/>
        <v>73.5</v>
      </c>
      <c r="Q20" s="696">
        <f t="shared" si="4"/>
        <v>88.5</v>
      </c>
      <c r="R20" s="696">
        <f t="shared" si="4"/>
        <v>83</v>
      </c>
      <c r="S20" s="696">
        <f t="shared" si="4"/>
        <v>941.5</v>
      </c>
      <c r="T20" s="696">
        <f t="shared" si="4"/>
        <v>72.42307692307692</v>
      </c>
      <c r="U20" s="696">
        <v>29</v>
      </c>
      <c r="V20" s="696"/>
      <c r="W20" s="696"/>
    </row>
    <row r="21" spans="1:23" ht="24" thickBot="1" x14ac:dyDescent="0.4">
      <c r="A21" s="900">
        <v>6</v>
      </c>
      <c r="B21" s="901"/>
      <c r="C21" s="902">
        <v>16</v>
      </c>
      <c r="D21" s="903" t="s">
        <v>20</v>
      </c>
      <c r="E21" s="732" t="s">
        <v>18</v>
      </c>
      <c r="F21" s="696">
        <v>90</v>
      </c>
      <c r="G21" s="696">
        <v>86</v>
      </c>
      <c r="H21" s="696">
        <v>91</v>
      </c>
      <c r="I21" s="696">
        <v>77</v>
      </c>
      <c r="J21" s="696">
        <v>77</v>
      </c>
      <c r="K21" s="696">
        <v>85</v>
      </c>
      <c r="L21" s="696">
        <v>78</v>
      </c>
      <c r="M21" s="696">
        <v>80</v>
      </c>
      <c r="N21" s="696">
        <v>80</v>
      </c>
      <c r="O21" s="696">
        <v>88</v>
      </c>
      <c r="P21" s="696">
        <v>93</v>
      </c>
      <c r="Q21" s="696">
        <v>92</v>
      </c>
      <c r="R21" s="696">
        <v>92</v>
      </c>
      <c r="S21" s="696">
        <v>1109</v>
      </c>
      <c r="T21" s="697">
        <v>85.307692307692307</v>
      </c>
      <c r="U21" s="696">
        <v>11</v>
      </c>
      <c r="V21" s="699"/>
      <c r="W21" s="699"/>
    </row>
    <row r="22" spans="1:23" ht="24" thickBot="1" x14ac:dyDescent="0.4">
      <c r="A22" s="900"/>
      <c r="B22" s="901"/>
      <c r="C22" s="902"/>
      <c r="D22" s="903"/>
      <c r="E22" s="732" t="s">
        <v>19</v>
      </c>
      <c r="F22" s="696">
        <v>100</v>
      </c>
      <c r="G22" s="696">
        <v>82</v>
      </c>
      <c r="H22" s="696">
        <v>77</v>
      </c>
      <c r="I22" s="696">
        <v>84</v>
      </c>
      <c r="J22" s="696">
        <v>79</v>
      </c>
      <c r="K22" s="696">
        <v>82</v>
      </c>
      <c r="L22" s="696">
        <v>89</v>
      </c>
      <c r="M22" s="696">
        <v>91</v>
      </c>
      <c r="N22" s="696">
        <v>97</v>
      </c>
      <c r="O22" s="696">
        <v>92</v>
      </c>
      <c r="P22" s="696">
        <v>95</v>
      </c>
      <c r="Q22" s="696">
        <v>96</v>
      </c>
      <c r="R22" s="696">
        <v>96</v>
      </c>
      <c r="S22" s="696">
        <v>1160</v>
      </c>
      <c r="T22" s="697">
        <v>89.230769230769226</v>
      </c>
      <c r="U22" s="696">
        <v>7</v>
      </c>
      <c r="V22" s="699"/>
      <c r="W22" s="699"/>
    </row>
    <row r="23" spans="1:23" ht="24" thickBot="1" x14ac:dyDescent="0.4">
      <c r="A23" s="900"/>
      <c r="B23" s="901"/>
      <c r="C23" s="902"/>
      <c r="D23" s="903"/>
      <c r="E23" s="732" t="s">
        <v>13</v>
      </c>
      <c r="F23" s="696">
        <f>AVERAGE(F21:F22)</f>
        <v>95</v>
      </c>
      <c r="G23" s="696">
        <f t="shared" ref="G23:T23" si="5">AVERAGE(G21:G22)</f>
        <v>84</v>
      </c>
      <c r="H23" s="696">
        <f t="shared" si="5"/>
        <v>84</v>
      </c>
      <c r="I23" s="696">
        <f t="shared" si="5"/>
        <v>80.5</v>
      </c>
      <c r="J23" s="696">
        <f t="shared" si="5"/>
        <v>78</v>
      </c>
      <c r="K23" s="696">
        <f t="shared" si="5"/>
        <v>83.5</v>
      </c>
      <c r="L23" s="696">
        <f t="shared" si="5"/>
        <v>83.5</v>
      </c>
      <c r="M23" s="696">
        <f t="shared" si="5"/>
        <v>85.5</v>
      </c>
      <c r="N23" s="696">
        <f t="shared" si="5"/>
        <v>88.5</v>
      </c>
      <c r="O23" s="696">
        <f t="shared" si="5"/>
        <v>90</v>
      </c>
      <c r="P23" s="696">
        <f t="shared" si="5"/>
        <v>94</v>
      </c>
      <c r="Q23" s="696">
        <f t="shared" si="5"/>
        <v>94</v>
      </c>
      <c r="R23" s="696">
        <f t="shared" si="5"/>
        <v>94</v>
      </c>
      <c r="S23" s="696">
        <f t="shared" si="5"/>
        <v>1134.5</v>
      </c>
      <c r="T23" s="696">
        <f t="shared" si="5"/>
        <v>87.269230769230774</v>
      </c>
      <c r="U23" s="696">
        <v>8</v>
      </c>
      <c r="V23" s="696"/>
      <c r="W23" s="696"/>
    </row>
    <row r="24" spans="1:23" ht="24" thickBot="1" x14ac:dyDescent="0.4">
      <c r="A24" s="900">
        <v>7</v>
      </c>
      <c r="B24" s="901"/>
      <c r="C24" s="904">
        <v>16</v>
      </c>
      <c r="D24" s="905" t="s">
        <v>17</v>
      </c>
      <c r="E24" s="732" t="s">
        <v>18</v>
      </c>
      <c r="F24" s="696">
        <v>69</v>
      </c>
      <c r="G24" s="696">
        <v>54</v>
      </c>
      <c r="H24" s="696">
        <v>80</v>
      </c>
      <c r="I24" s="696">
        <v>56</v>
      </c>
      <c r="J24" s="696">
        <v>61</v>
      </c>
      <c r="K24" s="696">
        <v>70</v>
      </c>
      <c r="L24" s="696">
        <v>69</v>
      </c>
      <c r="M24" s="696">
        <v>71</v>
      </c>
      <c r="N24" s="696">
        <v>83</v>
      </c>
      <c r="O24" s="696">
        <v>79</v>
      </c>
      <c r="P24" s="696">
        <v>81</v>
      </c>
      <c r="Q24" s="696">
        <v>77</v>
      </c>
      <c r="R24" s="696">
        <v>79</v>
      </c>
      <c r="S24" s="696">
        <v>929</v>
      </c>
      <c r="T24" s="697">
        <v>71.461538461538467</v>
      </c>
      <c r="U24" s="696">
        <v>32</v>
      </c>
      <c r="V24" s="699"/>
      <c r="W24" s="699"/>
    </row>
    <row r="25" spans="1:23" ht="24" thickBot="1" x14ac:dyDescent="0.4">
      <c r="A25" s="900"/>
      <c r="B25" s="901"/>
      <c r="C25" s="904"/>
      <c r="D25" s="905"/>
      <c r="E25" s="732" t="s">
        <v>19</v>
      </c>
      <c r="F25" s="696">
        <v>66</v>
      </c>
      <c r="G25" s="696">
        <v>61</v>
      </c>
      <c r="H25" s="696">
        <v>59</v>
      </c>
      <c r="I25" s="696">
        <v>60</v>
      </c>
      <c r="J25" s="696">
        <v>70</v>
      </c>
      <c r="K25" s="696">
        <v>68</v>
      </c>
      <c r="L25" s="696">
        <v>69</v>
      </c>
      <c r="M25" s="696">
        <v>79</v>
      </c>
      <c r="N25" s="696">
        <v>67</v>
      </c>
      <c r="O25" s="696">
        <v>83</v>
      </c>
      <c r="P25" s="696">
        <v>84</v>
      </c>
      <c r="Q25" s="696">
        <v>84</v>
      </c>
      <c r="R25" s="696">
        <v>84</v>
      </c>
      <c r="S25" s="696">
        <v>934</v>
      </c>
      <c r="T25" s="697">
        <v>71.84615384615384</v>
      </c>
      <c r="U25" s="696">
        <v>29</v>
      </c>
      <c r="V25" s="699"/>
      <c r="W25" s="699"/>
    </row>
    <row r="26" spans="1:23" ht="24" thickBot="1" x14ac:dyDescent="0.4">
      <c r="A26" s="900"/>
      <c r="B26" s="901"/>
      <c r="C26" s="904"/>
      <c r="D26" s="905"/>
      <c r="E26" s="732" t="s">
        <v>13</v>
      </c>
      <c r="F26" s="696">
        <f>AVERAGE(F24:F25)</f>
        <v>67.5</v>
      </c>
      <c r="G26" s="696">
        <f t="shared" ref="G26:T26" si="6">AVERAGE(G24:G25)</f>
        <v>57.5</v>
      </c>
      <c r="H26" s="696">
        <f t="shared" si="6"/>
        <v>69.5</v>
      </c>
      <c r="I26" s="696">
        <f t="shared" si="6"/>
        <v>58</v>
      </c>
      <c r="J26" s="696">
        <f t="shared" si="6"/>
        <v>65.5</v>
      </c>
      <c r="K26" s="696">
        <f t="shared" si="6"/>
        <v>69</v>
      </c>
      <c r="L26" s="696">
        <f t="shared" si="6"/>
        <v>69</v>
      </c>
      <c r="M26" s="696">
        <f t="shared" si="6"/>
        <v>75</v>
      </c>
      <c r="N26" s="696">
        <f t="shared" si="6"/>
        <v>75</v>
      </c>
      <c r="O26" s="696">
        <f t="shared" si="6"/>
        <v>81</v>
      </c>
      <c r="P26" s="696">
        <f t="shared" si="6"/>
        <v>82.5</v>
      </c>
      <c r="Q26" s="696">
        <f t="shared" si="6"/>
        <v>80.5</v>
      </c>
      <c r="R26" s="696">
        <f t="shared" si="6"/>
        <v>81.5</v>
      </c>
      <c r="S26" s="696">
        <f t="shared" si="6"/>
        <v>931.5</v>
      </c>
      <c r="T26" s="696">
        <f t="shared" si="6"/>
        <v>71.65384615384616</v>
      </c>
      <c r="U26" s="696">
        <v>31</v>
      </c>
      <c r="V26" s="696"/>
      <c r="W26" s="696"/>
    </row>
    <row r="27" spans="1:23" ht="24" thickBot="1" x14ac:dyDescent="0.4">
      <c r="A27" s="900">
        <v>8</v>
      </c>
      <c r="B27" s="901"/>
      <c r="C27" s="902">
        <v>15</v>
      </c>
      <c r="D27" s="903" t="s">
        <v>20</v>
      </c>
      <c r="E27" s="732" t="s">
        <v>18</v>
      </c>
      <c r="F27" s="696">
        <v>78</v>
      </c>
      <c r="G27" s="696">
        <v>89</v>
      </c>
      <c r="H27" s="696">
        <v>82</v>
      </c>
      <c r="I27" s="696">
        <v>70</v>
      </c>
      <c r="J27" s="696">
        <v>86</v>
      </c>
      <c r="K27" s="696">
        <v>83</v>
      </c>
      <c r="L27" s="696">
        <v>69</v>
      </c>
      <c r="M27" s="696">
        <v>80</v>
      </c>
      <c r="N27" s="696">
        <v>78</v>
      </c>
      <c r="O27" s="696">
        <v>86</v>
      </c>
      <c r="P27" s="696">
        <v>84</v>
      </c>
      <c r="Q27" s="696">
        <v>92</v>
      </c>
      <c r="R27" s="696">
        <v>93</v>
      </c>
      <c r="S27" s="696">
        <v>1070</v>
      </c>
      <c r="T27" s="697">
        <v>82.307692307692307</v>
      </c>
      <c r="U27" s="696">
        <v>16</v>
      </c>
      <c r="V27" s="699"/>
      <c r="W27" s="699"/>
    </row>
    <row r="28" spans="1:23" ht="24" thickBot="1" x14ac:dyDescent="0.4">
      <c r="A28" s="900"/>
      <c r="B28" s="901"/>
      <c r="C28" s="902"/>
      <c r="D28" s="903"/>
      <c r="E28" s="732" t="s">
        <v>19</v>
      </c>
      <c r="F28" s="696">
        <v>88</v>
      </c>
      <c r="G28" s="696">
        <v>82</v>
      </c>
      <c r="H28" s="696">
        <v>82</v>
      </c>
      <c r="I28" s="696">
        <v>68</v>
      </c>
      <c r="J28" s="696">
        <v>72</v>
      </c>
      <c r="K28" s="696">
        <v>72</v>
      </c>
      <c r="L28" s="696">
        <v>60</v>
      </c>
      <c r="M28" s="696">
        <v>83</v>
      </c>
      <c r="N28" s="696">
        <v>65</v>
      </c>
      <c r="O28" s="696">
        <v>76</v>
      </c>
      <c r="P28" s="696">
        <v>77</v>
      </c>
      <c r="Q28" s="696">
        <v>87</v>
      </c>
      <c r="R28" s="696">
        <v>79</v>
      </c>
      <c r="S28" s="696">
        <v>991</v>
      </c>
      <c r="T28" s="697">
        <v>76.230769230769226</v>
      </c>
      <c r="U28" s="696">
        <v>23</v>
      </c>
      <c r="V28" s="699"/>
      <c r="W28" s="699"/>
    </row>
    <row r="29" spans="1:23" ht="24" thickBot="1" x14ac:dyDescent="0.4">
      <c r="A29" s="900"/>
      <c r="B29" s="901"/>
      <c r="C29" s="902"/>
      <c r="D29" s="903"/>
      <c r="E29" s="732" t="s">
        <v>13</v>
      </c>
      <c r="F29" s="696">
        <f>AVERAGE(F27:F28)</f>
        <v>83</v>
      </c>
      <c r="G29" s="696">
        <f t="shared" ref="G29:T29" si="7">AVERAGE(G27:G28)</f>
        <v>85.5</v>
      </c>
      <c r="H29" s="696">
        <f t="shared" si="7"/>
        <v>82</v>
      </c>
      <c r="I29" s="696">
        <f t="shared" si="7"/>
        <v>69</v>
      </c>
      <c r="J29" s="696">
        <f t="shared" si="7"/>
        <v>79</v>
      </c>
      <c r="K29" s="696">
        <f t="shared" si="7"/>
        <v>77.5</v>
      </c>
      <c r="L29" s="696">
        <f t="shared" si="7"/>
        <v>64.5</v>
      </c>
      <c r="M29" s="696">
        <f t="shared" si="7"/>
        <v>81.5</v>
      </c>
      <c r="N29" s="696">
        <f t="shared" si="7"/>
        <v>71.5</v>
      </c>
      <c r="O29" s="696">
        <f t="shared" si="7"/>
        <v>81</v>
      </c>
      <c r="P29" s="696">
        <f t="shared" si="7"/>
        <v>80.5</v>
      </c>
      <c r="Q29" s="696">
        <f t="shared" si="7"/>
        <v>89.5</v>
      </c>
      <c r="R29" s="696">
        <f t="shared" si="7"/>
        <v>86</v>
      </c>
      <c r="S29" s="696">
        <f t="shared" si="7"/>
        <v>1030.5</v>
      </c>
      <c r="T29" s="696">
        <f t="shared" si="7"/>
        <v>79.269230769230774</v>
      </c>
      <c r="U29" s="696">
        <v>20</v>
      </c>
      <c r="V29" s="696"/>
      <c r="W29" s="696"/>
    </row>
    <row r="30" spans="1:23" ht="24" thickBot="1" x14ac:dyDescent="0.4">
      <c r="A30" s="900">
        <v>9</v>
      </c>
      <c r="B30" s="901"/>
      <c r="C30" s="902">
        <v>15</v>
      </c>
      <c r="D30" s="903" t="s">
        <v>17</v>
      </c>
      <c r="E30" s="732" t="s">
        <v>18</v>
      </c>
      <c r="F30" s="696">
        <v>83</v>
      </c>
      <c r="G30" s="696">
        <v>73</v>
      </c>
      <c r="H30" s="696">
        <v>76</v>
      </c>
      <c r="I30" s="696">
        <v>74</v>
      </c>
      <c r="J30" s="696">
        <v>83</v>
      </c>
      <c r="K30" s="696">
        <v>88</v>
      </c>
      <c r="L30" s="696">
        <v>80</v>
      </c>
      <c r="M30" s="696">
        <v>69</v>
      </c>
      <c r="N30" s="696">
        <v>74</v>
      </c>
      <c r="O30" s="696">
        <v>93</v>
      </c>
      <c r="P30" s="696">
        <v>96</v>
      </c>
      <c r="Q30" s="696">
        <v>93</v>
      </c>
      <c r="R30" s="696">
        <v>93</v>
      </c>
      <c r="S30" s="696">
        <v>1075</v>
      </c>
      <c r="T30" s="697">
        <v>82.692307692307693</v>
      </c>
      <c r="U30" s="696">
        <v>15</v>
      </c>
      <c r="V30" s="699"/>
      <c r="W30" s="699"/>
    </row>
    <row r="31" spans="1:23" ht="24" thickBot="1" x14ac:dyDescent="0.4">
      <c r="A31" s="900"/>
      <c r="B31" s="901"/>
      <c r="C31" s="902"/>
      <c r="D31" s="903"/>
      <c r="E31" s="732" t="s">
        <v>19</v>
      </c>
      <c r="F31" s="696">
        <v>91</v>
      </c>
      <c r="G31" s="696">
        <v>85</v>
      </c>
      <c r="H31" s="696">
        <v>71</v>
      </c>
      <c r="I31" s="696">
        <v>77</v>
      </c>
      <c r="J31" s="696">
        <v>72</v>
      </c>
      <c r="K31" s="696">
        <v>62</v>
      </c>
      <c r="L31" s="696">
        <v>75</v>
      </c>
      <c r="M31" s="696">
        <v>86</v>
      </c>
      <c r="N31" s="696">
        <v>71</v>
      </c>
      <c r="O31" s="696">
        <v>86</v>
      </c>
      <c r="P31" s="696">
        <v>88</v>
      </c>
      <c r="Q31" s="696">
        <v>80</v>
      </c>
      <c r="R31" s="696">
        <v>95</v>
      </c>
      <c r="S31" s="696">
        <v>1039</v>
      </c>
      <c r="T31" s="697">
        <v>79.92307692307692</v>
      </c>
      <c r="U31" s="696">
        <v>19</v>
      </c>
      <c r="V31" s="699"/>
      <c r="W31" s="699"/>
    </row>
    <row r="32" spans="1:23" ht="24" thickBot="1" x14ac:dyDescent="0.4">
      <c r="A32" s="900"/>
      <c r="B32" s="901"/>
      <c r="C32" s="902"/>
      <c r="D32" s="903"/>
      <c r="E32" s="732" t="s">
        <v>13</v>
      </c>
      <c r="F32" s="696">
        <f>AVERAGE(F30:F31)</f>
        <v>87</v>
      </c>
      <c r="G32" s="696">
        <f t="shared" ref="G32:T32" si="8">AVERAGE(G30:G31)</f>
        <v>79</v>
      </c>
      <c r="H32" s="696">
        <f t="shared" si="8"/>
        <v>73.5</v>
      </c>
      <c r="I32" s="696">
        <f t="shared" si="8"/>
        <v>75.5</v>
      </c>
      <c r="J32" s="696">
        <f t="shared" si="8"/>
        <v>77.5</v>
      </c>
      <c r="K32" s="696">
        <f t="shared" si="8"/>
        <v>75</v>
      </c>
      <c r="L32" s="696">
        <f t="shared" si="8"/>
        <v>77.5</v>
      </c>
      <c r="M32" s="696">
        <f t="shared" si="8"/>
        <v>77.5</v>
      </c>
      <c r="N32" s="696">
        <f t="shared" si="8"/>
        <v>72.5</v>
      </c>
      <c r="O32" s="696">
        <f t="shared" si="8"/>
        <v>89.5</v>
      </c>
      <c r="P32" s="696">
        <f t="shared" si="8"/>
        <v>92</v>
      </c>
      <c r="Q32" s="696">
        <f t="shared" si="8"/>
        <v>86.5</v>
      </c>
      <c r="R32" s="696">
        <f t="shared" si="8"/>
        <v>94</v>
      </c>
      <c r="S32" s="696">
        <f t="shared" si="8"/>
        <v>1057</v>
      </c>
      <c r="T32" s="696">
        <f t="shared" si="8"/>
        <v>81.307692307692307</v>
      </c>
      <c r="U32" s="696">
        <v>17</v>
      </c>
      <c r="V32" s="696"/>
      <c r="W32" s="696"/>
    </row>
    <row r="33" spans="1:23" ht="24" thickBot="1" x14ac:dyDescent="0.4">
      <c r="A33" s="900">
        <v>10</v>
      </c>
      <c r="B33" s="901"/>
      <c r="C33" s="902">
        <v>15</v>
      </c>
      <c r="D33" s="903" t="s">
        <v>20</v>
      </c>
      <c r="E33" s="732" t="s">
        <v>18</v>
      </c>
      <c r="F33" s="696">
        <v>91</v>
      </c>
      <c r="G33" s="696">
        <v>80</v>
      </c>
      <c r="H33" s="696">
        <v>78</v>
      </c>
      <c r="I33" s="696">
        <v>79</v>
      </c>
      <c r="J33" s="696">
        <v>91</v>
      </c>
      <c r="K33" s="696">
        <v>84</v>
      </c>
      <c r="L33" s="696">
        <v>75</v>
      </c>
      <c r="M33" s="696">
        <v>86</v>
      </c>
      <c r="N33" s="696">
        <v>90</v>
      </c>
      <c r="O33" s="696">
        <v>88</v>
      </c>
      <c r="P33" s="696">
        <v>94</v>
      </c>
      <c r="Q33" s="696">
        <v>94</v>
      </c>
      <c r="R33" s="696">
        <v>96</v>
      </c>
      <c r="S33" s="696">
        <v>1126</v>
      </c>
      <c r="T33" s="697">
        <v>86.615384615384613</v>
      </c>
      <c r="U33" s="696">
        <v>7</v>
      </c>
      <c r="V33" s="699"/>
      <c r="W33" s="699"/>
    </row>
    <row r="34" spans="1:23" ht="24" thickBot="1" x14ac:dyDescent="0.4">
      <c r="A34" s="900"/>
      <c r="B34" s="901"/>
      <c r="C34" s="902"/>
      <c r="D34" s="903"/>
      <c r="E34" s="732" t="s">
        <v>19</v>
      </c>
      <c r="F34" s="696">
        <v>94</v>
      </c>
      <c r="G34" s="696">
        <v>81</v>
      </c>
      <c r="H34" s="696">
        <v>76</v>
      </c>
      <c r="I34" s="696">
        <v>90</v>
      </c>
      <c r="J34" s="696">
        <v>87</v>
      </c>
      <c r="K34" s="696">
        <v>82</v>
      </c>
      <c r="L34" s="696">
        <v>85</v>
      </c>
      <c r="M34" s="696">
        <v>90</v>
      </c>
      <c r="N34" s="696">
        <v>96</v>
      </c>
      <c r="O34" s="696">
        <v>88</v>
      </c>
      <c r="P34" s="696">
        <v>100</v>
      </c>
      <c r="Q34" s="696">
        <v>88</v>
      </c>
      <c r="R34" s="696">
        <v>89</v>
      </c>
      <c r="S34" s="696">
        <v>1146</v>
      </c>
      <c r="T34" s="697">
        <v>88.15384615384616</v>
      </c>
      <c r="U34" s="696">
        <v>11</v>
      </c>
      <c r="V34" s="699"/>
      <c r="W34" s="699"/>
    </row>
    <row r="35" spans="1:23" ht="24" thickBot="1" x14ac:dyDescent="0.4">
      <c r="A35" s="900"/>
      <c r="B35" s="901"/>
      <c r="C35" s="902"/>
      <c r="D35" s="903"/>
      <c r="E35" s="732" t="s">
        <v>13</v>
      </c>
      <c r="F35" s="696">
        <f>AVERAGE(F33:F34)</f>
        <v>92.5</v>
      </c>
      <c r="G35" s="696">
        <f t="shared" ref="G35:T35" si="9">AVERAGE(G33:G34)</f>
        <v>80.5</v>
      </c>
      <c r="H35" s="696">
        <f t="shared" si="9"/>
        <v>77</v>
      </c>
      <c r="I35" s="696">
        <f t="shared" si="9"/>
        <v>84.5</v>
      </c>
      <c r="J35" s="696">
        <f t="shared" si="9"/>
        <v>89</v>
      </c>
      <c r="K35" s="696">
        <f t="shared" si="9"/>
        <v>83</v>
      </c>
      <c r="L35" s="696">
        <f t="shared" si="9"/>
        <v>80</v>
      </c>
      <c r="M35" s="696">
        <f t="shared" si="9"/>
        <v>88</v>
      </c>
      <c r="N35" s="696">
        <f t="shared" si="9"/>
        <v>93</v>
      </c>
      <c r="O35" s="696">
        <f t="shared" si="9"/>
        <v>88</v>
      </c>
      <c r="P35" s="696">
        <f t="shared" si="9"/>
        <v>97</v>
      </c>
      <c r="Q35" s="696">
        <f t="shared" si="9"/>
        <v>91</v>
      </c>
      <c r="R35" s="696">
        <f t="shared" si="9"/>
        <v>92.5</v>
      </c>
      <c r="S35" s="696">
        <f t="shared" si="9"/>
        <v>1136</v>
      </c>
      <c r="T35" s="696">
        <f t="shared" si="9"/>
        <v>87.384615384615387</v>
      </c>
      <c r="U35" s="696">
        <v>7</v>
      </c>
      <c r="V35" s="696"/>
      <c r="W35" s="696"/>
    </row>
    <row r="36" spans="1:23" ht="24" thickBot="1" x14ac:dyDescent="0.4">
      <c r="A36" s="900">
        <v>11</v>
      </c>
      <c r="B36" s="901"/>
      <c r="C36" s="902">
        <v>14</v>
      </c>
      <c r="D36" s="903" t="s">
        <v>20</v>
      </c>
      <c r="E36" s="732" t="s">
        <v>18</v>
      </c>
      <c r="F36" s="696">
        <v>92</v>
      </c>
      <c r="G36" s="696">
        <v>87</v>
      </c>
      <c r="H36" s="696">
        <v>84</v>
      </c>
      <c r="I36" s="696">
        <v>68</v>
      </c>
      <c r="J36" s="696">
        <v>75</v>
      </c>
      <c r="K36" s="696">
        <v>84</v>
      </c>
      <c r="L36" s="696">
        <v>87</v>
      </c>
      <c r="M36" s="696">
        <v>80</v>
      </c>
      <c r="N36" s="696">
        <v>88</v>
      </c>
      <c r="O36" s="696">
        <v>89</v>
      </c>
      <c r="P36" s="696">
        <v>95</v>
      </c>
      <c r="Q36" s="696">
        <v>87</v>
      </c>
      <c r="R36" s="696">
        <v>97</v>
      </c>
      <c r="S36" s="696">
        <v>1113</v>
      </c>
      <c r="T36" s="697">
        <v>85.615384615384613</v>
      </c>
      <c r="U36" s="696">
        <v>9</v>
      </c>
      <c r="V36" s="699"/>
      <c r="W36" s="699"/>
    </row>
    <row r="37" spans="1:23" ht="24" thickBot="1" x14ac:dyDescent="0.4">
      <c r="A37" s="900"/>
      <c r="B37" s="901"/>
      <c r="C37" s="902"/>
      <c r="D37" s="903"/>
      <c r="E37" s="732" t="s">
        <v>19</v>
      </c>
      <c r="F37" s="696">
        <v>98</v>
      </c>
      <c r="G37" s="696">
        <v>82</v>
      </c>
      <c r="H37" s="696">
        <v>71</v>
      </c>
      <c r="I37" s="696">
        <v>87</v>
      </c>
      <c r="J37" s="696">
        <v>74</v>
      </c>
      <c r="K37" s="696">
        <v>89</v>
      </c>
      <c r="L37" s="696">
        <v>88</v>
      </c>
      <c r="M37" s="696">
        <v>93</v>
      </c>
      <c r="N37" s="696">
        <v>84</v>
      </c>
      <c r="O37" s="696">
        <v>92</v>
      </c>
      <c r="P37" s="696">
        <v>97</v>
      </c>
      <c r="Q37" s="696">
        <v>96</v>
      </c>
      <c r="R37" s="696">
        <v>92</v>
      </c>
      <c r="S37" s="696">
        <v>1143</v>
      </c>
      <c r="T37" s="697">
        <v>87.92307692307692</v>
      </c>
      <c r="U37" s="696">
        <v>12</v>
      </c>
      <c r="V37" s="699"/>
      <c r="W37" s="699"/>
    </row>
    <row r="38" spans="1:23" ht="24" thickBot="1" x14ac:dyDescent="0.4">
      <c r="A38" s="900"/>
      <c r="B38" s="901"/>
      <c r="C38" s="902"/>
      <c r="D38" s="903"/>
      <c r="E38" s="732" t="s">
        <v>13</v>
      </c>
      <c r="F38" s="696">
        <f>AVERAGE(F36:F37)</f>
        <v>95</v>
      </c>
      <c r="G38" s="696">
        <f t="shared" ref="G38:T38" si="10">AVERAGE(G36:G37)</f>
        <v>84.5</v>
      </c>
      <c r="H38" s="696">
        <f t="shared" si="10"/>
        <v>77.5</v>
      </c>
      <c r="I38" s="696">
        <f t="shared" si="10"/>
        <v>77.5</v>
      </c>
      <c r="J38" s="696">
        <f t="shared" si="10"/>
        <v>74.5</v>
      </c>
      <c r="K38" s="696">
        <f t="shared" si="10"/>
        <v>86.5</v>
      </c>
      <c r="L38" s="696">
        <f t="shared" si="10"/>
        <v>87.5</v>
      </c>
      <c r="M38" s="696">
        <f t="shared" si="10"/>
        <v>86.5</v>
      </c>
      <c r="N38" s="696">
        <f t="shared" si="10"/>
        <v>86</v>
      </c>
      <c r="O38" s="696">
        <f t="shared" si="10"/>
        <v>90.5</v>
      </c>
      <c r="P38" s="696">
        <f t="shared" si="10"/>
        <v>96</v>
      </c>
      <c r="Q38" s="696">
        <f t="shared" si="10"/>
        <v>91.5</v>
      </c>
      <c r="R38" s="696">
        <f t="shared" si="10"/>
        <v>94.5</v>
      </c>
      <c r="S38" s="696">
        <f t="shared" si="10"/>
        <v>1128</v>
      </c>
      <c r="T38" s="696">
        <f t="shared" si="10"/>
        <v>86.769230769230774</v>
      </c>
      <c r="U38" s="696">
        <v>11</v>
      </c>
      <c r="V38" s="696"/>
      <c r="W38" s="696"/>
    </row>
    <row r="39" spans="1:23" ht="24" thickBot="1" x14ac:dyDescent="0.4">
      <c r="A39" s="900">
        <v>12</v>
      </c>
      <c r="B39" s="901"/>
      <c r="C39" s="902">
        <v>16</v>
      </c>
      <c r="D39" s="903" t="s">
        <v>20</v>
      </c>
      <c r="E39" s="732" t="s">
        <v>18</v>
      </c>
      <c r="F39" s="696">
        <v>93</v>
      </c>
      <c r="G39" s="696">
        <v>87</v>
      </c>
      <c r="H39" s="696">
        <v>98</v>
      </c>
      <c r="I39" s="696">
        <v>75</v>
      </c>
      <c r="J39" s="696">
        <v>67</v>
      </c>
      <c r="K39" s="696">
        <v>84</v>
      </c>
      <c r="L39" s="696">
        <v>69</v>
      </c>
      <c r="M39" s="696">
        <v>91</v>
      </c>
      <c r="N39" s="696">
        <v>89</v>
      </c>
      <c r="O39" s="696">
        <v>89</v>
      </c>
      <c r="P39" s="696">
        <v>97</v>
      </c>
      <c r="Q39" s="696">
        <v>88</v>
      </c>
      <c r="R39" s="696">
        <v>94</v>
      </c>
      <c r="S39" s="696">
        <v>1121</v>
      </c>
      <c r="T39" s="697">
        <v>86.230769230769226</v>
      </c>
      <c r="U39" s="696">
        <v>8</v>
      </c>
      <c r="V39" s="699"/>
      <c r="W39" s="699"/>
    </row>
    <row r="40" spans="1:23" ht="24" thickBot="1" x14ac:dyDescent="0.4">
      <c r="A40" s="900"/>
      <c r="B40" s="901"/>
      <c r="C40" s="902"/>
      <c r="D40" s="903"/>
      <c r="E40" s="732" t="s">
        <v>19</v>
      </c>
      <c r="F40" s="696">
        <v>92</v>
      </c>
      <c r="G40" s="696">
        <v>86</v>
      </c>
      <c r="H40" s="696">
        <v>88</v>
      </c>
      <c r="I40" s="696">
        <v>80</v>
      </c>
      <c r="J40" s="696">
        <v>72</v>
      </c>
      <c r="K40" s="696">
        <v>68</v>
      </c>
      <c r="L40" s="696">
        <v>74</v>
      </c>
      <c r="M40" s="696">
        <v>92</v>
      </c>
      <c r="N40" s="696">
        <v>81</v>
      </c>
      <c r="O40" s="696">
        <v>89</v>
      </c>
      <c r="P40" s="696">
        <v>89</v>
      </c>
      <c r="Q40" s="696">
        <v>91</v>
      </c>
      <c r="R40" s="696">
        <v>81</v>
      </c>
      <c r="S40" s="696">
        <v>1083</v>
      </c>
      <c r="T40" s="697">
        <v>83.307692307692307</v>
      </c>
      <c r="U40" s="696">
        <v>15</v>
      </c>
      <c r="V40" s="699"/>
      <c r="W40" s="699"/>
    </row>
    <row r="41" spans="1:23" ht="24" thickBot="1" x14ac:dyDescent="0.4">
      <c r="A41" s="900"/>
      <c r="B41" s="901"/>
      <c r="C41" s="902"/>
      <c r="D41" s="903"/>
      <c r="E41" s="732" t="s">
        <v>13</v>
      </c>
      <c r="F41" s="696">
        <f>AVERAGE(F39:F40)</f>
        <v>92.5</v>
      </c>
      <c r="G41" s="696">
        <f t="shared" ref="G41:T41" si="11">AVERAGE(G39:G40)</f>
        <v>86.5</v>
      </c>
      <c r="H41" s="696">
        <f t="shared" si="11"/>
        <v>93</v>
      </c>
      <c r="I41" s="696">
        <f t="shared" si="11"/>
        <v>77.5</v>
      </c>
      <c r="J41" s="696">
        <f t="shared" si="11"/>
        <v>69.5</v>
      </c>
      <c r="K41" s="696">
        <f t="shared" si="11"/>
        <v>76</v>
      </c>
      <c r="L41" s="696">
        <f t="shared" si="11"/>
        <v>71.5</v>
      </c>
      <c r="M41" s="696">
        <f t="shared" si="11"/>
        <v>91.5</v>
      </c>
      <c r="N41" s="696">
        <f t="shared" si="11"/>
        <v>85</v>
      </c>
      <c r="O41" s="696">
        <f t="shared" si="11"/>
        <v>89</v>
      </c>
      <c r="P41" s="696">
        <f t="shared" si="11"/>
        <v>93</v>
      </c>
      <c r="Q41" s="696">
        <f t="shared" si="11"/>
        <v>89.5</v>
      </c>
      <c r="R41" s="696">
        <f t="shared" si="11"/>
        <v>87.5</v>
      </c>
      <c r="S41" s="696">
        <f t="shared" si="11"/>
        <v>1102</v>
      </c>
      <c r="T41" s="696">
        <f t="shared" si="11"/>
        <v>84.769230769230774</v>
      </c>
      <c r="U41" s="696">
        <v>13</v>
      </c>
      <c r="V41" s="696"/>
      <c r="W41" s="696"/>
    </row>
    <row r="42" spans="1:23" ht="24" thickBot="1" x14ac:dyDescent="0.4">
      <c r="A42" s="900">
        <v>13</v>
      </c>
      <c r="B42" s="901"/>
      <c r="C42" s="902">
        <v>14</v>
      </c>
      <c r="D42" s="903" t="s">
        <v>20</v>
      </c>
      <c r="E42" s="732" t="s">
        <v>18</v>
      </c>
      <c r="F42" s="696">
        <v>93</v>
      </c>
      <c r="G42" s="696">
        <v>76</v>
      </c>
      <c r="H42" s="696">
        <v>86</v>
      </c>
      <c r="I42" s="696">
        <v>57</v>
      </c>
      <c r="J42" s="696">
        <v>75</v>
      </c>
      <c r="K42" s="696">
        <v>78</v>
      </c>
      <c r="L42" s="696">
        <v>71</v>
      </c>
      <c r="M42" s="696">
        <v>65</v>
      </c>
      <c r="N42" s="696">
        <v>73</v>
      </c>
      <c r="O42" s="696">
        <v>79</v>
      </c>
      <c r="P42" s="696">
        <v>89</v>
      </c>
      <c r="Q42" s="696">
        <v>88</v>
      </c>
      <c r="R42" s="696">
        <v>87</v>
      </c>
      <c r="S42" s="696">
        <v>1017</v>
      </c>
      <c r="T42" s="697">
        <v>78.230769230769226</v>
      </c>
      <c r="U42" s="696">
        <v>22</v>
      </c>
      <c r="V42" s="699"/>
      <c r="W42" s="699"/>
    </row>
    <row r="43" spans="1:23" ht="24" thickBot="1" x14ac:dyDescent="0.4">
      <c r="A43" s="900"/>
      <c r="B43" s="901"/>
      <c r="C43" s="902"/>
      <c r="D43" s="903"/>
      <c r="E43" s="732" t="s">
        <v>19</v>
      </c>
      <c r="F43" s="696">
        <v>96</v>
      </c>
      <c r="G43" s="696">
        <v>76</v>
      </c>
      <c r="H43" s="696">
        <v>76</v>
      </c>
      <c r="I43" s="696">
        <v>67</v>
      </c>
      <c r="J43" s="696">
        <v>61</v>
      </c>
      <c r="K43" s="696">
        <v>65</v>
      </c>
      <c r="L43" s="696">
        <v>71</v>
      </c>
      <c r="M43" s="696">
        <v>72</v>
      </c>
      <c r="N43" s="696">
        <v>71</v>
      </c>
      <c r="O43" s="696">
        <v>83</v>
      </c>
      <c r="P43" s="696">
        <v>75</v>
      </c>
      <c r="Q43" s="696">
        <v>83</v>
      </c>
      <c r="R43" s="696">
        <v>81</v>
      </c>
      <c r="S43" s="696">
        <v>977</v>
      </c>
      <c r="T43" s="697">
        <v>75.15384615384616</v>
      </c>
      <c r="U43" s="696">
        <v>24</v>
      </c>
      <c r="V43" s="699"/>
      <c r="W43" s="699"/>
    </row>
    <row r="44" spans="1:23" ht="24" thickBot="1" x14ac:dyDescent="0.4">
      <c r="A44" s="900"/>
      <c r="B44" s="901"/>
      <c r="C44" s="902"/>
      <c r="D44" s="903"/>
      <c r="E44" s="732" t="s">
        <v>13</v>
      </c>
      <c r="F44" s="696">
        <f>AVERAGE(F42:F43)</f>
        <v>94.5</v>
      </c>
      <c r="G44" s="696">
        <f t="shared" ref="G44:T44" si="12">AVERAGE(G42:G43)</f>
        <v>76</v>
      </c>
      <c r="H44" s="696">
        <f t="shared" si="12"/>
        <v>81</v>
      </c>
      <c r="I44" s="696">
        <f t="shared" si="12"/>
        <v>62</v>
      </c>
      <c r="J44" s="696">
        <f t="shared" si="12"/>
        <v>68</v>
      </c>
      <c r="K44" s="696">
        <f t="shared" si="12"/>
        <v>71.5</v>
      </c>
      <c r="L44" s="696">
        <f t="shared" si="12"/>
        <v>71</v>
      </c>
      <c r="M44" s="696">
        <f t="shared" si="12"/>
        <v>68.5</v>
      </c>
      <c r="N44" s="696">
        <f t="shared" si="12"/>
        <v>72</v>
      </c>
      <c r="O44" s="696">
        <f t="shared" si="12"/>
        <v>81</v>
      </c>
      <c r="P44" s="696">
        <f t="shared" si="12"/>
        <v>82</v>
      </c>
      <c r="Q44" s="696">
        <f t="shared" si="12"/>
        <v>85.5</v>
      </c>
      <c r="R44" s="696">
        <f t="shared" si="12"/>
        <v>84</v>
      </c>
      <c r="S44" s="696">
        <f t="shared" si="12"/>
        <v>997</v>
      </c>
      <c r="T44" s="696">
        <f t="shared" si="12"/>
        <v>76.692307692307693</v>
      </c>
      <c r="U44" s="696">
        <v>24</v>
      </c>
      <c r="V44" s="696"/>
      <c r="W44" s="696"/>
    </row>
    <row r="45" spans="1:23" ht="24" thickBot="1" x14ac:dyDescent="0.4">
      <c r="A45" s="900">
        <v>14</v>
      </c>
      <c r="B45" s="901"/>
      <c r="C45" s="902">
        <v>14</v>
      </c>
      <c r="D45" s="903" t="s">
        <v>20</v>
      </c>
      <c r="E45" s="732" t="s">
        <v>18</v>
      </c>
      <c r="F45" s="696">
        <v>82</v>
      </c>
      <c r="G45" s="696">
        <v>59</v>
      </c>
      <c r="H45" s="696">
        <v>78</v>
      </c>
      <c r="I45" s="696">
        <v>43</v>
      </c>
      <c r="J45" s="696">
        <v>57</v>
      </c>
      <c r="K45" s="696">
        <v>61</v>
      </c>
      <c r="L45" s="696">
        <v>46</v>
      </c>
      <c r="M45" s="696">
        <v>68</v>
      </c>
      <c r="N45" s="696">
        <v>66</v>
      </c>
      <c r="O45" s="696">
        <v>74</v>
      </c>
      <c r="P45" s="696">
        <v>67</v>
      </c>
      <c r="Q45" s="696">
        <v>81</v>
      </c>
      <c r="R45" s="696">
        <v>76</v>
      </c>
      <c r="S45" s="696">
        <v>858</v>
      </c>
      <c r="T45" s="697">
        <v>66</v>
      </c>
      <c r="U45" s="696">
        <v>38</v>
      </c>
      <c r="V45" s="699"/>
      <c r="W45" s="699"/>
    </row>
    <row r="46" spans="1:23" ht="24" thickBot="1" x14ac:dyDescent="0.4">
      <c r="A46" s="900"/>
      <c r="B46" s="901"/>
      <c r="C46" s="902"/>
      <c r="D46" s="903"/>
      <c r="E46" s="732" t="s">
        <v>19</v>
      </c>
      <c r="F46" s="696">
        <v>79</v>
      </c>
      <c r="G46" s="696">
        <v>60</v>
      </c>
      <c r="H46" s="696">
        <v>56</v>
      </c>
      <c r="I46" s="696">
        <v>47</v>
      </c>
      <c r="J46" s="696">
        <v>42</v>
      </c>
      <c r="K46" s="696">
        <v>46</v>
      </c>
      <c r="L46" s="696">
        <v>52</v>
      </c>
      <c r="M46" s="696">
        <v>66</v>
      </c>
      <c r="N46" s="696">
        <v>63</v>
      </c>
      <c r="O46" s="696">
        <v>76</v>
      </c>
      <c r="P46" s="696">
        <v>61</v>
      </c>
      <c r="Q46" s="696">
        <v>75</v>
      </c>
      <c r="R46" s="696">
        <v>81</v>
      </c>
      <c r="S46" s="696">
        <v>804</v>
      </c>
      <c r="T46" s="697">
        <v>61.846153846153847</v>
      </c>
      <c r="U46" s="696">
        <v>40</v>
      </c>
      <c r="V46" s="699"/>
      <c r="W46" s="699"/>
    </row>
    <row r="47" spans="1:23" ht="24" thickBot="1" x14ac:dyDescent="0.4">
      <c r="A47" s="900"/>
      <c r="B47" s="901"/>
      <c r="C47" s="902"/>
      <c r="D47" s="903"/>
      <c r="E47" s="732" t="s">
        <v>13</v>
      </c>
      <c r="F47" s="696">
        <f>AVERAGE(F45:F46)</f>
        <v>80.5</v>
      </c>
      <c r="G47" s="696">
        <f t="shared" ref="G47:T47" si="13">AVERAGE(G45:G46)</f>
        <v>59.5</v>
      </c>
      <c r="H47" s="696">
        <f t="shared" si="13"/>
        <v>67</v>
      </c>
      <c r="I47" s="696">
        <f t="shared" si="13"/>
        <v>45</v>
      </c>
      <c r="J47" s="696">
        <f t="shared" si="13"/>
        <v>49.5</v>
      </c>
      <c r="K47" s="696">
        <f t="shared" si="13"/>
        <v>53.5</v>
      </c>
      <c r="L47" s="696">
        <f t="shared" si="13"/>
        <v>49</v>
      </c>
      <c r="M47" s="696">
        <f t="shared" si="13"/>
        <v>67</v>
      </c>
      <c r="N47" s="696">
        <f t="shared" si="13"/>
        <v>64.5</v>
      </c>
      <c r="O47" s="696">
        <f t="shared" si="13"/>
        <v>75</v>
      </c>
      <c r="P47" s="696">
        <f t="shared" si="13"/>
        <v>64</v>
      </c>
      <c r="Q47" s="696">
        <f t="shared" si="13"/>
        <v>78</v>
      </c>
      <c r="R47" s="696">
        <f t="shared" si="13"/>
        <v>78.5</v>
      </c>
      <c r="S47" s="696">
        <f t="shared" si="13"/>
        <v>831</v>
      </c>
      <c r="T47" s="696">
        <f t="shared" si="13"/>
        <v>63.92307692307692</v>
      </c>
      <c r="U47" s="696">
        <v>38</v>
      </c>
      <c r="V47" s="696"/>
      <c r="W47" s="696"/>
    </row>
    <row r="48" spans="1:23" ht="24" thickBot="1" x14ac:dyDescent="0.4">
      <c r="A48" s="900">
        <v>15</v>
      </c>
      <c r="B48" s="901"/>
      <c r="C48" s="902">
        <v>14</v>
      </c>
      <c r="D48" s="903" t="s">
        <v>17</v>
      </c>
      <c r="E48" s="732" t="s">
        <v>18</v>
      </c>
      <c r="F48" s="696">
        <v>71</v>
      </c>
      <c r="G48" s="696">
        <v>72</v>
      </c>
      <c r="H48" s="696">
        <v>83</v>
      </c>
      <c r="I48" s="700">
        <v>54</v>
      </c>
      <c r="J48" s="696">
        <v>57</v>
      </c>
      <c r="K48" s="696">
        <v>64</v>
      </c>
      <c r="L48" s="696">
        <v>56</v>
      </c>
      <c r="M48" s="696">
        <v>66</v>
      </c>
      <c r="N48" s="696">
        <v>68</v>
      </c>
      <c r="O48" s="696">
        <v>68</v>
      </c>
      <c r="P48" s="696">
        <v>68</v>
      </c>
      <c r="Q48" s="696">
        <v>74</v>
      </c>
      <c r="R48" s="696">
        <v>75</v>
      </c>
      <c r="S48" s="696">
        <v>876</v>
      </c>
      <c r="T48" s="697">
        <v>67.384615384615387</v>
      </c>
      <c r="U48" s="696">
        <v>37</v>
      </c>
      <c r="V48" s="699"/>
      <c r="W48" s="699"/>
    </row>
    <row r="49" spans="1:23" ht="24" thickBot="1" x14ac:dyDescent="0.4">
      <c r="A49" s="900"/>
      <c r="B49" s="901"/>
      <c r="C49" s="902"/>
      <c r="D49" s="903"/>
      <c r="E49" s="732" t="s">
        <v>19</v>
      </c>
      <c r="F49" s="696">
        <v>73</v>
      </c>
      <c r="G49" s="696">
        <v>69</v>
      </c>
      <c r="H49" s="696">
        <v>54</v>
      </c>
      <c r="I49" s="700">
        <v>65</v>
      </c>
      <c r="J49" s="696">
        <v>59</v>
      </c>
      <c r="K49" s="696">
        <v>53</v>
      </c>
      <c r="L49" s="696">
        <v>61</v>
      </c>
      <c r="M49" s="696">
        <v>68</v>
      </c>
      <c r="N49" s="696">
        <v>61</v>
      </c>
      <c r="O49" s="696">
        <v>74</v>
      </c>
      <c r="P49" s="696">
        <v>75</v>
      </c>
      <c r="Q49" s="696">
        <v>76</v>
      </c>
      <c r="R49" s="696">
        <v>65</v>
      </c>
      <c r="S49" s="696">
        <v>853</v>
      </c>
      <c r="T49" s="697">
        <v>65.615384615384613</v>
      </c>
      <c r="U49" s="696">
        <v>36</v>
      </c>
      <c r="V49" s="699"/>
      <c r="W49" s="699"/>
    </row>
    <row r="50" spans="1:23" ht="24" thickBot="1" x14ac:dyDescent="0.4">
      <c r="A50" s="900"/>
      <c r="B50" s="901"/>
      <c r="C50" s="902"/>
      <c r="D50" s="903"/>
      <c r="E50" s="732" t="s">
        <v>13</v>
      </c>
      <c r="F50" s="696">
        <f>AVERAGE(F48:F49)</f>
        <v>72</v>
      </c>
      <c r="G50" s="696">
        <f t="shared" ref="G50:T50" si="14">AVERAGE(G48:G49)</f>
        <v>70.5</v>
      </c>
      <c r="H50" s="696">
        <f t="shared" si="14"/>
        <v>68.5</v>
      </c>
      <c r="I50" s="696">
        <f t="shared" si="14"/>
        <v>59.5</v>
      </c>
      <c r="J50" s="696">
        <f t="shared" si="14"/>
        <v>58</v>
      </c>
      <c r="K50" s="696">
        <f t="shared" si="14"/>
        <v>58.5</v>
      </c>
      <c r="L50" s="696">
        <f t="shared" si="14"/>
        <v>58.5</v>
      </c>
      <c r="M50" s="696">
        <f t="shared" si="14"/>
        <v>67</v>
      </c>
      <c r="N50" s="696">
        <f t="shared" si="14"/>
        <v>64.5</v>
      </c>
      <c r="O50" s="696">
        <f t="shared" si="14"/>
        <v>71</v>
      </c>
      <c r="P50" s="696">
        <f t="shared" si="14"/>
        <v>71.5</v>
      </c>
      <c r="Q50" s="696">
        <f t="shared" si="14"/>
        <v>75</v>
      </c>
      <c r="R50" s="696">
        <f t="shared" si="14"/>
        <v>70</v>
      </c>
      <c r="S50" s="696">
        <f t="shared" si="14"/>
        <v>864.5</v>
      </c>
      <c r="T50" s="696">
        <f t="shared" si="14"/>
        <v>66.5</v>
      </c>
      <c r="U50" s="696">
        <v>37</v>
      </c>
      <c r="V50" s="696"/>
      <c r="W50" s="696"/>
    </row>
    <row r="51" spans="1:23" ht="24" thickBot="1" x14ac:dyDescent="0.4">
      <c r="A51" s="900">
        <v>16</v>
      </c>
      <c r="B51" s="901"/>
      <c r="C51" s="902">
        <v>14</v>
      </c>
      <c r="D51" s="903" t="s">
        <v>20</v>
      </c>
      <c r="E51" s="732" t="s">
        <v>18</v>
      </c>
      <c r="F51" s="696">
        <v>66</v>
      </c>
      <c r="G51" s="696">
        <v>57</v>
      </c>
      <c r="H51" s="696">
        <v>84</v>
      </c>
      <c r="I51" s="696">
        <v>56</v>
      </c>
      <c r="J51" s="696">
        <v>47</v>
      </c>
      <c r="K51" s="696">
        <v>59</v>
      </c>
      <c r="L51" s="696">
        <v>59</v>
      </c>
      <c r="M51" s="696">
        <v>58</v>
      </c>
      <c r="N51" s="696">
        <v>45</v>
      </c>
      <c r="O51" s="696">
        <v>54</v>
      </c>
      <c r="P51" s="696">
        <v>56</v>
      </c>
      <c r="Q51" s="696">
        <v>51</v>
      </c>
      <c r="R51" s="696">
        <v>79</v>
      </c>
      <c r="S51" s="696">
        <v>771</v>
      </c>
      <c r="T51" s="697">
        <v>59.307692307692307</v>
      </c>
      <c r="U51" s="696">
        <v>44</v>
      </c>
      <c r="V51" s="699"/>
      <c r="W51" s="699"/>
    </row>
    <row r="52" spans="1:23" ht="24" thickBot="1" x14ac:dyDescent="0.4">
      <c r="A52" s="900"/>
      <c r="B52" s="901"/>
      <c r="C52" s="902"/>
      <c r="D52" s="903"/>
      <c r="E52" s="732" t="s">
        <v>19</v>
      </c>
      <c r="F52" s="696">
        <v>70</v>
      </c>
      <c r="G52" s="696">
        <v>55</v>
      </c>
      <c r="H52" s="696">
        <v>72</v>
      </c>
      <c r="I52" s="696">
        <v>57</v>
      </c>
      <c r="J52" s="696">
        <v>60</v>
      </c>
      <c r="K52" s="696">
        <v>52</v>
      </c>
      <c r="L52" s="696">
        <v>44</v>
      </c>
      <c r="M52" s="696">
        <v>58</v>
      </c>
      <c r="N52" s="696">
        <v>50</v>
      </c>
      <c r="O52" s="696">
        <v>71</v>
      </c>
      <c r="P52" s="696">
        <v>69</v>
      </c>
      <c r="Q52" s="696">
        <v>74</v>
      </c>
      <c r="R52" s="696">
        <v>78</v>
      </c>
      <c r="S52" s="696">
        <v>810</v>
      </c>
      <c r="T52" s="697">
        <v>62.307692307692307</v>
      </c>
      <c r="U52" s="696">
        <v>39</v>
      </c>
      <c r="V52" s="699"/>
      <c r="W52" s="699"/>
    </row>
    <row r="53" spans="1:23" ht="24" thickBot="1" x14ac:dyDescent="0.4">
      <c r="A53" s="900"/>
      <c r="B53" s="901"/>
      <c r="C53" s="902"/>
      <c r="D53" s="903"/>
      <c r="E53" s="732" t="s">
        <v>13</v>
      </c>
      <c r="F53" s="696">
        <f>AVERAGE(F51:F52)</f>
        <v>68</v>
      </c>
      <c r="G53" s="696">
        <f t="shared" ref="G53:T53" si="15">AVERAGE(G51:G52)</f>
        <v>56</v>
      </c>
      <c r="H53" s="696">
        <f t="shared" si="15"/>
        <v>78</v>
      </c>
      <c r="I53" s="696">
        <f t="shared" si="15"/>
        <v>56.5</v>
      </c>
      <c r="J53" s="696">
        <f t="shared" si="15"/>
        <v>53.5</v>
      </c>
      <c r="K53" s="696">
        <f t="shared" si="15"/>
        <v>55.5</v>
      </c>
      <c r="L53" s="696">
        <f t="shared" si="15"/>
        <v>51.5</v>
      </c>
      <c r="M53" s="696">
        <f t="shared" si="15"/>
        <v>58</v>
      </c>
      <c r="N53" s="696">
        <f t="shared" si="15"/>
        <v>47.5</v>
      </c>
      <c r="O53" s="696">
        <f t="shared" si="15"/>
        <v>62.5</v>
      </c>
      <c r="P53" s="696">
        <f t="shared" si="15"/>
        <v>62.5</v>
      </c>
      <c r="Q53" s="696">
        <f t="shared" si="15"/>
        <v>62.5</v>
      </c>
      <c r="R53" s="696">
        <f t="shared" si="15"/>
        <v>78.5</v>
      </c>
      <c r="S53" s="696">
        <f t="shared" si="15"/>
        <v>790.5</v>
      </c>
      <c r="T53" s="696">
        <f t="shared" si="15"/>
        <v>60.807692307692307</v>
      </c>
      <c r="U53" s="696">
        <v>42</v>
      </c>
      <c r="V53" s="696"/>
      <c r="W53" s="696"/>
    </row>
    <row r="54" spans="1:23" ht="24" thickBot="1" x14ac:dyDescent="0.4">
      <c r="A54" s="900">
        <v>17</v>
      </c>
      <c r="B54" s="901"/>
      <c r="C54" s="902">
        <v>16</v>
      </c>
      <c r="D54" s="903" t="s">
        <v>20</v>
      </c>
      <c r="E54" s="732" t="s">
        <v>18</v>
      </c>
      <c r="F54" s="696">
        <v>86</v>
      </c>
      <c r="G54" s="696">
        <v>78</v>
      </c>
      <c r="H54" s="696">
        <v>86</v>
      </c>
      <c r="I54" s="696">
        <v>82</v>
      </c>
      <c r="J54" s="696">
        <v>63</v>
      </c>
      <c r="K54" s="696">
        <v>79</v>
      </c>
      <c r="L54" s="696">
        <v>58</v>
      </c>
      <c r="M54" s="696">
        <v>70</v>
      </c>
      <c r="N54" s="696">
        <v>62</v>
      </c>
      <c r="O54" s="696">
        <v>66</v>
      </c>
      <c r="P54" s="696">
        <v>79</v>
      </c>
      <c r="Q54" s="696">
        <v>88</v>
      </c>
      <c r="R54" s="696">
        <v>88</v>
      </c>
      <c r="S54" s="696">
        <v>985</v>
      </c>
      <c r="T54" s="697">
        <v>75.769230769230774</v>
      </c>
      <c r="U54" s="696">
        <v>28</v>
      </c>
      <c r="V54" s="699"/>
      <c r="W54" s="699"/>
    </row>
    <row r="55" spans="1:23" ht="24" thickBot="1" x14ac:dyDescent="0.4">
      <c r="A55" s="900"/>
      <c r="B55" s="901"/>
      <c r="C55" s="902"/>
      <c r="D55" s="903"/>
      <c r="E55" s="732" t="s">
        <v>19</v>
      </c>
      <c r="F55" s="696">
        <v>83</v>
      </c>
      <c r="G55" s="696">
        <v>79</v>
      </c>
      <c r="H55" s="696">
        <v>64</v>
      </c>
      <c r="I55" s="696">
        <v>84</v>
      </c>
      <c r="J55" s="696">
        <v>62</v>
      </c>
      <c r="K55" s="696">
        <v>56</v>
      </c>
      <c r="L55" s="696">
        <v>58</v>
      </c>
      <c r="M55" s="696">
        <v>72</v>
      </c>
      <c r="N55" s="696">
        <v>62</v>
      </c>
      <c r="O55" s="696">
        <v>82</v>
      </c>
      <c r="P55" s="696">
        <v>85</v>
      </c>
      <c r="Q55" s="696">
        <v>98</v>
      </c>
      <c r="R55" s="696">
        <v>85</v>
      </c>
      <c r="S55" s="696">
        <v>970</v>
      </c>
      <c r="T55" s="697">
        <v>74.615384615384613</v>
      </c>
      <c r="U55" s="696">
        <v>27</v>
      </c>
      <c r="V55" s="699"/>
      <c r="W55" s="699"/>
    </row>
    <row r="56" spans="1:23" ht="24" thickBot="1" x14ac:dyDescent="0.4">
      <c r="A56" s="900"/>
      <c r="B56" s="901"/>
      <c r="C56" s="902"/>
      <c r="D56" s="903"/>
      <c r="E56" s="732" t="s">
        <v>13</v>
      </c>
      <c r="F56" s="696">
        <f>AVERAGE(F54:F55)</f>
        <v>84.5</v>
      </c>
      <c r="G56" s="696">
        <f t="shared" ref="G56:T56" si="16">AVERAGE(G54:G55)</f>
        <v>78.5</v>
      </c>
      <c r="H56" s="696">
        <f t="shared" si="16"/>
        <v>75</v>
      </c>
      <c r="I56" s="696">
        <f t="shared" si="16"/>
        <v>83</v>
      </c>
      <c r="J56" s="696">
        <f t="shared" si="16"/>
        <v>62.5</v>
      </c>
      <c r="K56" s="696">
        <f t="shared" si="16"/>
        <v>67.5</v>
      </c>
      <c r="L56" s="696">
        <f t="shared" si="16"/>
        <v>58</v>
      </c>
      <c r="M56" s="696">
        <f t="shared" si="16"/>
        <v>71</v>
      </c>
      <c r="N56" s="696">
        <f t="shared" si="16"/>
        <v>62</v>
      </c>
      <c r="O56" s="696">
        <f t="shared" si="16"/>
        <v>74</v>
      </c>
      <c r="P56" s="696">
        <f t="shared" si="16"/>
        <v>82</v>
      </c>
      <c r="Q56" s="696">
        <f t="shared" si="16"/>
        <v>93</v>
      </c>
      <c r="R56" s="696">
        <f t="shared" si="16"/>
        <v>86.5</v>
      </c>
      <c r="S56" s="696">
        <f t="shared" si="16"/>
        <v>977.5</v>
      </c>
      <c r="T56" s="696">
        <f t="shared" si="16"/>
        <v>75.192307692307693</v>
      </c>
      <c r="U56" s="696">
        <v>27</v>
      </c>
      <c r="V56" s="696"/>
      <c r="W56" s="696"/>
    </row>
    <row r="57" spans="1:23" ht="24" thickBot="1" x14ac:dyDescent="0.4">
      <c r="A57" s="900">
        <v>18</v>
      </c>
      <c r="B57" s="901"/>
      <c r="C57" s="902">
        <v>14</v>
      </c>
      <c r="D57" s="903" t="s">
        <v>20</v>
      </c>
      <c r="E57" s="732" t="s">
        <v>18</v>
      </c>
      <c r="F57" s="696">
        <v>85</v>
      </c>
      <c r="G57" s="696">
        <v>66</v>
      </c>
      <c r="H57" s="696">
        <v>82</v>
      </c>
      <c r="I57" s="700">
        <v>79</v>
      </c>
      <c r="J57" s="696">
        <v>80</v>
      </c>
      <c r="K57" s="696">
        <v>77</v>
      </c>
      <c r="L57" s="696">
        <v>71</v>
      </c>
      <c r="M57" s="696">
        <v>78</v>
      </c>
      <c r="N57" s="696">
        <v>69</v>
      </c>
      <c r="O57" s="696">
        <v>90</v>
      </c>
      <c r="P57" s="696">
        <v>79</v>
      </c>
      <c r="Q57" s="696">
        <v>82</v>
      </c>
      <c r="R57" s="696">
        <v>95</v>
      </c>
      <c r="S57" s="696">
        <v>1033</v>
      </c>
      <c r="T57" s="697">
        <v>79.461538461538467</v>
      </c>
      <c r="U57" s="696">
        <v>20</v>
      </c>
      <c r="V57" s="699"/>
      <c r="W57" s="699"/>
    </row>
    <row r="58" spans="1:23" ht="24" thickBot="1" x14ac:dyDescent="0.4">
      <c r="A58" s="900"/>
      <c r="B58" s="901"/>
      <c r="C58" s="902"/>
      <c r="D58" s="903"/>
      <c r="E58" s="732" t="s">
        <v>19</v>
      </c>
      <c r="F58" s="696">
        <v>97</v>
      </c>
      <c r="G58" s="696">
        <v>63</v>
      </c>
      <c r="H58" s="696">
        <v>70</v>
      </c>
      <c r="I58" s="700">
        <v>92</v>
      </c>
      <c r="J58" s="696">
        <v>82</v>
      </c>
      <c r="K58" s="696">
        <v>74</v>
      </c>
      <c r="L58" s="696">
        <v>72</v>
      </c>
      <c r="M58" s="696">
        <v>81</v>
      </c>
      <c r="N58" s="696">
        <v>86</v>
      </c>
      <c r="O58" s="696">
        <v>94</v>
      </c>
      <c r="P58" s="696">
        <v>85</v>
      </c>
      <c r="Q58" s="696">
        <v>80</v>
      </c>
      <c r="R58" s="696">
        <v>82</v>
      </c>
      <c r="S58" s="696">
        <v>1058</v>
      </c>
      <c r="T58" s="697">
        <v>81.384615384615387</v>
      </c>
      <c r="U58" s="696">
        <v>18</v>
      </c>
      <c r="V58" s="699"/>
      <c r="W58" s="699"/>
    </row>
    <row r="59" spans="1:23" ht="24" thickBot="1" x14ac:dyDescent="0.4">
      <c r="A59" s="900"/>
      <c r="B59" s="901"/>
      <c r="C59" s="902"/>
      <c r="D59" s="903"/>
      <c r="E59" s="732" t="s">
        <v>13</v>
      </c>
      <c r="F59" s="696">
        <f>AVERAGE(F57:F58)</f>
        <v>91</v>
      </c>
      <c r="G59" s="696">
        <f t="shared" ref="G59:T59" si="17">AVERAGE(G57:G58)</f>
        <v>64.5</v>
      </c>
      <c r="H59" s="696">
        <f t="shared" si="17"/>
        <v>76</v>
      </c>
      <c r="I59" s="696">
        <f t="shared" si="17"/>
        <v>85.5</v>
      </c>
      <c r="J59" s="696">
        <f t="shared" si="17"/>
        <v>81</v>
      </c>
      <c r="K59" s="696">
        <f t="shared" si="17"/>
        <v>75.5</v>
      </c>
      <c r="L59" s="696">
        <f t="shared" si="17"/>
        <v>71.5</v>
      </c>
      <c r="M59" s="696">
        <f t="shared" si="17"/>
        <v>79.5</v>
      </c>
      <c r="N59" s="696">
        <f t="shared" si="17"/>
        <v>77.5</v>
      </c>
      <c r="O59" s="696">
        <f t="shared" si="17"/>
        <v>92</v>
      </c>
      <c r="P59" s="696">
        <f t="shared" si="17"/>
        <v>82</v>
      </c>
      <c r="Q59" s="696">
        <f t="shared" si="17"/>
        <v>81</v>
      </c>
      <c r="R59" s="696">
        <f t="shared" si="17"/>
        <v>88.5</v>
      </c>
      <c r="S59" s="696">
        <f t="shared" si="17"/>
        <v>1045.5</v>
      </c>
      <c r="T59" s="696">
        <f t="shared" si="17"/>
        <v>80.423076923076934</v>
      </c>
      <c r="U59" s="696">
        <v>18</v>
      </c>
      <c r="V59" s="696"/>
      <c r="W59" s="696"/>
    </row>
    <row r="60" spans="1:23" ht="24" thickBot="1" x14ac:dyDescent="0.4">
      <c r="A60" s="900">
        <v>19</v>
      </c>
      <c r="B60" s="901"/>
      <c r="C60" s="902">
        <v>14</v>
      </c>
      <c r="D60" s="903" t="s">
        <v>17</v>
      </c>
      <c r="E60" s="732" t="s">
        <v>18</v>
      </c>
      <c r="F60" s="696">
        <v>92</v>
      </c>
      <c r="G60" s="696">
        <v>69</v>
      </c>
      <c r="H60" s="696">
        <v>81</v>
      </c>
      <c r="I60" s="696">
        <v>83</v>
      </c>
      <c r="J60" s="696">
        <v>84</v>
      </c>
      <c r="K60" s="696">
        <v>87</v>
      </c>
      <c r="L60" s="696">
        <v>76</v>
      </c>
      <c r="M60" s="696">
        <v>76</v>
      </c>
      <c r="N60" s="696">
        <v>82</v>
      </c>
      <c r="O60" s="696">
        <v>89</v>
      </c>
      <c r="P60" s="696">
        <v>96</v>
      </c>
      <c r="Q60" s="696">
        <v>94</v>
      </c>
      <c r="R60" s="696">
        <v>91</v>
      </c>
      <c r="S60" s="696">
        <v>1100</v>
      </c>
      <c r="T60" s="697">
        <v>84.615384615384613</v>
      </c>
      <c r="U60" s="696">
        <v>12</v>
      </c>
      <c r="V60" s="699"/>
      <c r="W60" s="699"/>
    </row>
    <row r="61" spans="1:23" ht="24" thickBot="1" x14ac:dyDescent="0.4">
      <c r="A61" s="900"/>
      <c r="B61" s="901"/>
      <c r="C61" s="902"/>
      <c r="D61" s="903"/>
      <c r="E61" s="732" t="s">
        <v>19</v>
      </c>
      <c r="F61" s="696">
        <v>95</v>
      </c>
      <c r="G61" s="696">
        <v>86</v>
      </c>
      <c r="H61" s="696">
        <v>67</v>
      </c>
      <c r="I61" s="696">
        <v>89</v>
      </c>
      <c r="J61" s="696">
        <v>71</v>
      </c>
      <c r="K61" s="696">
        <v>76</v>
      </c>
      <c r="L61" s="696">
        <v>73</v>
      </c>
      <c r="M61" s="696">
        <v>87</v>
      </c>
      <c r="N61" s="696">
        <v>63</v>
      </c>
      <c r="O61" s="696">
        <v>94</v>
      </c>
      <c r="P61" s="696">
        <v>92</v>
      </c>
      <c r="Q61" s="696">
        <v>94</v>
      </c>
      <c r="R61" s="696">
        <v>81</v>
      </c>
      <c r="S61" s="696">
        <v>1068</v>
      </c>
      <c r="T61" s="697">
        <v>82.15384615384616</v>
      </c>
      <c r="U61" s="696">
        <v>16</v>
      </c>
      <c r="V61" s="699"/>
      <c r="W61" s="699"/>
    </row>
    <row r="62" spans="1:23" ht="24" thickBot="1" x14ac:dyDescent="0.4">
      <c r="A62" s="900"/>
      <c r="B62" s="901"/>
      <c r="C62" s="902"/>
      <c r="D62" s="903"/>
      <c r="E62" s="732" t="s">
        <v>13</v>
      </c>
      <c r="F62" s="696">
        <f>AVERAGE(F60:F61)</f>
        <v>93.5</v>
      </c>
      <c r="G62" s="696">
        <f t="shared" ref="G62:T62" si="18">AVERAGE(G60:G61)</f>
        <v>77.5</v>
      </c>
      <c r="H62" s="696">
        <f t="shared" si="18"/>
        <v>74</v>
      </c>
      <c r="I62" s="696">
        <f t="shared" si="18"/>
        <v>86</v>
      </c>
      <c r="J62" s="696">
        <f t="shared" si="18"/>
        <v>77.5</v>
      </c>
      <c r="K62" s="696">
        <f t="shared" si="18"/>
        <v>81.5</v>
      </c>
      <c r="L62" s="696">
        <f t="shared" si="18"/>
        <v>74.5</v>
      </c>
      <c r="M62" s="696">
        <f t="shared" si="18"/>
        <v>81.5</v>
      </c>
      <c r="N62" s="696">
        <f t="shared" si="18"/>
        <v>72.5</v>
      </c>
      <c r="O62" s="696">
        <f t="shared" si="18"/>
        <v>91.5</v>
      </c>
      <c r="P62" s="696">
        <f t="shared" si="18"/>
        <v>94</v>
      </c>
      <c r="Q62" s="696">
        <f t="shared" si="18"/>
        <v>94</v>
      </c>
      <c r="R62" s="696">
        <f t="shared" si="18"/>
        <v>86</v>
      </c>
      <c r="S62" s="696">
        <f t="shared" si="18"/>
        <v>1084</v>
      </c>
      <c r="T62" s="696">
        <f t="shared" si="18"/>
        <v>83.384615384615387</v>
      </c>
      <c r="U62" s="696">
        <v>14</v>
      </c>
      <c r="V62" s="696"/>
      <c r="W62" s="696"/>
    </row>
    <row r="63" spans="1:23" ht="24" thickBot="1" x14ac:dyDescent="0.4">
      <c r="A63" s="900">
        <v>20</v>
      </c>
      <c r="B63" s="901"/>
      <c r="C63" s="902">
        <v>14</v>
      </c>
      <c r="D63" s="903" t="s">
        <v>20</v>
      </c>
      <c r="E63" s="732" t="s">
        <v>18</v>
      </c>
      <c r="F63" s="696">
        <v>87</v>
      </c>
      <c r="G63" s="696">
        <v>85</v>
      </c>
      <c r="H63" s="696">
        <v>85</v>
      </c>
      <c r="I63" s="696">
        <v>68</v>
      </c>
      <c r="J63" s="696">
        <v>64</v>
      </c>
      <c r="K63" s="696">
        <v>83</v>
      </c>
      <c r="L63" s="696">
        <v>56</v>
      </c>
      <c r="M63" s="696">
        <v>72</v>
      </c>
      <c r="N63" s="696">
        <v>75</v>
      </c>
      <c r="O63" s="696">
        <v>85</v>
      </c>
      <c r="P63" s="696">
        <v>93</v>
      </c>
      <c r="Q63" s="696">
        <v>80</v>
      </c>
      <c r="R63" s="696">
        <v>96</v>
      </c>
      <c r="S63" s="696">
        <v>1029</v>
      </c>
      <c r="T63" s="697">
        <v>79.15384615384616</v>
      </c>
      <c r="U63" s="696">
        <v>21</v>
      </c>
      <c r="V63" s="699"/>
      <c r="W63" s="699"/>
    </row>
    <row r="64" spans="1:23" ht="24" thickBot="1" x14ac:dyDescent="0.4">
      <c r="A64" s="900"/>
      <c r="B64" s="901"/>
      <c r="C64" s="902"/>
      <c r="D64" s="903"/>
      <c r="E64" s="732" t="s">
        <v>19</v>
      </c>
      <c r="F64" s="696">
        <v>89</v>
      </c>
      <c r="G64" s="696">
        <v>80</v>
      </c>
      <c r="H64" s="696">
        <v>67</v>
      </c>
      <c r="I64" s="696">
        <v>76</v>
      </c>
      <c r="J64" s="696">
        <v>62</v>
      </c>
      <c r="K64" s="696">
        <v>72</v>
      </c>
      <c r="L64" s="696">
        <v>54</v>
      </c>
      <c r="M64" s="696">
        <v>81</v>
      </c>
      <c r="N64" s="696">
        <v>76</v>
      </c>
      <c r="O64" s="696">
        <v>89</v>
      </c>
      <c r="P64" s="696">
        <v>85</v>
      </c>
      <c r="Q64" s="696">
        <v>95</v>
      </c>
      <c r="R64" s="696">
        <v>84</v>
      </c>
      <c r="S64" s="696">
        <v>1010</v>
      </c>
      <c r="T64" s="697">
        <v>77.692307692307693</v>
      </c>
      <c r="U64" s="696">
        <v>20</v>
      </c>
      <c r="V64" s="699"/>
      <c r="W64" s="699"/>
    </row>
    <row r="65" spans="1:23" ht="24" thickBot="1" x14ac:dyDescent="0.4">
      <c r="A65" s="900"/>
      <c r="B65" s="901"/>
      <c r="C65" s="902"/>
      <c r="D65" s="903"/>
      <c r="E65" s="732" t="s">
        <v>13</v>
      </c>
      <c r="F65" s="696">
        <f>AVERAGE(F63:F64)</f>
        <v>88</v>
      </c>
      <c r="G65" s="696">
        <f t="shared" ref="G65:T65" si="19">AVERAGE(G63:G64)</f>
        <v>82.5</v>
      </c>
      <c r="H65" s="696">
        <f t="shared" si="19"/>
        <v>76</v>
      </c>
      <c r="I65" s="696">
        <f t="shared" si="19"/>
        <v>72</v>
      </c>
      <c r="J65" s="696">
        <f t="shared" si="19"/>
        <v>63</v>
      </c>
      <c r="K65" s="696">
        <f t="shared" si="19"/>
        <v>77.5</v>
      </c>
      <c r="L65" s="696">
        <f t="shared" si="19"/>
        <v>55</v>
      </c>
      <c r="M65" s="696">
        <f t="shared" si="19"/>
        <v>76.5</v>
      </c>
      <c r="N65" s="696">
        <f t="shared" si="19"/>
        <v>75.5</v>
      </c>
      <c r="O65" s="696">
        <f t="shared" si="19"/>
        <v>87</v>
      </c>
      <c r="P65" s="696">
        <f t="shared" si="19"/>
        <v>89</v>
      </c>
      <c r="Q65" s="696">
        <f t="shared" si="19"/>
        <v>87.5</v>
      </c>
      <c r="R65" s="696">
        <f t="shared" si="19"/>
        <v>90</v>
      </c>
      <c r="S65" s="696">
        <f t="shared" si="19"/>
        <v>1019.5</v>
      </c>
      <c r="T65" s="696">
        <f t="shared" si="19"/>
        <v>78.423076923076934</v>
      </c>
      <c r="U65" s="696">
        <v>21</v>
      </c>
      <c r="V65" s="696"/>
      <c r="W65" s="696"/>
    </row>
    <row r="66" spans="1:23" ht="24" thickBot="1" x14ac:dyDescent="0.4">
      <c r="A66" s="900">
        <v>21</v>
      </c>
      <c r="B66" s="901"/>
      <c r="C66" s="902">
        <v>14</v>
      </c>
      <c r="D66" s="903" t="s">
        <v>20</v>
      </c>
      <c r="E66" s="732" t="s">
        <v>18</v>
      </c>
      <c r="F66" s="696">
        <v>85</v>
      </c>
      <c r="G66" s="696">
        <v>84</v>
      </c>
      <c r="H66" s="696">
        <v>81</v>
      </c>
      <c r="I66" s="696">
        <v>51</v>
      </c>
      <c r="J66" s="696">
        <v>55</v>
      </c>
      <c r="K66" s="696">
        <v>68</v>
      </c>
      <c r="L66" s="696">
        <v>60</v>
      </c>
      <c r="M66" s="696">
        <v>67</v>
      </c>
      <c r="N66" s="696">
        <v>70</v>
      </c>
      <c r="O66" s="696">
        <v>82</v>
      </c>
      <c r="P66" s="696">
        <v>66</v>
      </c>
      <c r="Q66" s="696">
        <v>90</v>
      </c>
      <c r="R66" s="696">
        <v>86</v>
      </c>
      <c r="S66" s="696">
        <v>945</v>
      </c>
      <c r="T66" s="697">
        <v>72.692307692307693</v>
      </c>
      <c r="U66" s="696">
        <v>31</v>
      </c>
      <c r="V66" s="699"/>
      <c r="W66" s="699"/>
    </row>
    <row r="67" spans="1:23" ht="24" thickBot="1" x14ac:dyDescent="0.4">
      <c r="A67" s="900"/>
      <c r="B67" s="901"/>
      <c r="C67" s="902"/>
      <c r="D67" s="903"/>
      <c r="E67" s="732" t="s">
        <v>19</v>
      </c>
      <c r="F67" s="696">
        <v>82</v>
      </c>
      <c r="G67" s="696">
        <v>77</v>
      </c>
      <c r="H67" s="696">
        <v>87</v>
      </c>
      <c r="I67" s="696">
        <v>61</v>
      </c>
      <c r="J67" s="696">
        <v>60</v>
      </c>
      <c r="K67" s="696">
        <v>58</v>
      </c>
      <c r="L67" s="696">
        <v>67</v>
      </c>
      <c r="M67" s="696">
        <v>76</v>
      </c>
      <c r="N67" s="696">
        <v>67</v>
      </c>
      <c r="O67" s="696">
        <v>85</v>
      </c>
      <c r="P67" s="696">
        <v>85</v>
      </c>
      <c r="Q67" s="696">
        <v>91</v>
      </c>
      <c r="R67" s="696">
        <v>77</v>
      </c>
      <c r="S67" s="696">
        <v>973</v>
      </c>
      <c r="T67" s="697">
        <v>74.84615384615384</v>
      </c>
      <c r="U67" s="696">
        <v>25</v>
      </c>
      <c r="V67" s="699"/>
      <c r="W67" s="699"/>
    </row>
    <row r="68" spans="1:23" ht="24" thickBot="1" x14ac:dyDescent="0.4">
      <c r="A68" s="900"/>
      <c r="B68" s="901"/>
      <c r="C68" s="902"/>
      <c r="D68" s="903"/>
      <c r="E68" s="732" t="s">
        <v>13</v>
      </c>
      <c r="F68" s="696">
        <f>AVERAGE(F66:F67)</f>
        <v>83.5</v>
      </c>
      <c r="G68" s="696">
        <f t="shared" ref="G68:T68" si="20">AVERAGE(G66:G67)</f>
        <v>80.5</v>
      </c>
      <c r="H68" s="696">
        <f t="shared" si="20"/>
        <v>84</v>
      </c>
      <c r="I68" s="696">
        <f t="shared" si="20"/>
        <v>56</v>
      </c>
      <c r="J68" s="696">
        <f t="shared" si="20"/>
        <v>57.5</v>
      </c>
      <c r="K68" s="696">
        <f t="shared" si="20"/>
        <v>63</v>
      </c>
      <c r="L68" s="696">
        <f t="shared" si="20"/>
        <v>63.5</v>
      </c>
      <c r="M68" s="696">
        <f t="shared" si="20"/>
        <v>71.5</v>
      </c>
      <c r="N68" s="696">
        <f t="shared" si="20"/>
        <v>68.5</v>
      </c>
      <c r="O68" s="696">
        <f t="shared" si="20"/>
        <v>83.5</v>
      </c>
      <c r="P68" s="696">
        <f t="shared" si="20"/>
        <v>75.5</v>
      </c>
      <c r="Q68" s="696">
        <f t="shared" si="20"/>
        <v>90.5</v>
      </c>
      <c r="R68" s="696">
        <f t="shared" si="20"/>
        <v>81.5</v>
      </c>
      <c r="S68" s="696">
        <f t="shared" si="20"/>
        <v>959</v>
      </c>
      <c r="T68" s="696">
        <f t="shared" si="20"/>
        <v>73.769230769230774</v>
      </c>
      <c r="U68" s="696">
        <v>28</v>
      </c>
      <c r="V68" s="696"/>
      <c r="W68" s="696"/>
    </row>
    <row r="69" spans="1:23" ht="24" thickBot="1" x14ac:dyDescent="0.4">
      <c r="A69" s="900">
        <v>22</v>
      </c>
      <c r="B69" s="901"/>
      <c r="C69" s="902">
        <v>14</v>
      </c>
      <c r="D69" s="903" t="s">
        <v>20</v>
      </c>
      <c r="E69" s="732" t="s">
        <v>18</v>
      </c>
      <c r="F69" s="696">
        <v>82</v>
      </c>
      <c r="G69" s="696">
        <v>82</v>
      </c>
      <c r="H69" s="696">
        <v>84</v>
      </c>
      <c r="I69" s="696">
        <v>41</v>
      </c>
      <c r="J69" s="696">
        <v>63</v>
      </c>
      <c r="K69" s="696">
        <v>69</v>
      </c>
      <c r="L69" s="696">
        <v>74</v>
      </c>
      <c r="M69" s="696">
        <v>63</v>
      </c>
      <c r="N69" s="696">
        <v>76</v>
      </c>
      <c r="O69" s="696">
        <v>85</v>
      </c>
      <c r="P69" s="696">
        <v>76</v>
      </c>
      <c r="Q69" s="696">
        <v>82</v>
      </c>
      <c r="R69" s="696">
        <v>85</v>
      </c>
      <c r="S69" s="696">
        <v>962</v>
      </c>
      <c r="T69" s="697">
        <v>74</v>
      </c>
      <c r="U69" s="696">
        <v>29</v>
      </c>
      <c r="V69" s="699"/>
      <c r="W69" s="699"/>
    </row>
    <row r="70" spans="1:23" ht="24" thickBot="1" x14ac:dyDescent="0.4">
      <c r="A70" s="900"/>
      <c r="B70" s="901"/>
      <c r="C70" s="902"/>
      <c r="D70" s="903"/>
      <c r="E70" s="732" t="s">
        <v>19</v>
      </c>
      <c r="F70" s="696">
        <v>81</v>
      </c>
      <c r="G70" s="696">
        <v>72</v>
      </c>
      <c r="H70" s="696">
        <v>60</v>
      </c>
      <c r="I70" s="696">
        <v>47</v>
      </c>
      <c r="J70" s="696">
        <v>61</v>
      </c>
      <c r="K70" s="696">
        <v>53</v>
      </c>
      <c r="L70" s="696">
        <v>70</v>
      </c>
      <c r="M70" s="696">
        <v>75</v>
      </c>
      <c r="N70" s="696">
        <v>70</v>
      </c>
      <c r="O70" s="696">
        <v>83</v>
      </c>
      <c r="P70" s="696">
        <v>69</v>
      </c>
      <c r="Q70" s="696">
        <v>77</v>
      </c>
      <c r="R70" s="696">
        <v>81</v>
      </c>
      <c r="S70" s="696">
        <v>899</v>
      </c>
      <c r="T70" s="697">
        <v>69.15384615384616</v>
      </c>
      <c r="U70" s="696">
        <v>33</v>
      </c>
      <c r="V70" s="699"/>
      <c r="W70" s="699"/>
    </row>
    <row r="71" spans="1:23" ht="24" thickBot="1" x14ac:dyDescent="0.4">
      <c r="A71" s="900"/>
      <c r="B71" s="901"/>
      <c r="C71" s="902"/>
      <c r="D71" s="903"/>
      <c r="E71" s="732" t="s">
        <v>13</v>
      </c>
      <c r="F71" s="696">
        <f>AVERAGE(F69:F70)</f>
        <v>81.5</v>
      </c>
      <c r="G71" s="696">
        <f t="shared" ref="G71:T71" si="21">AVERAGE(G69:G70)</f>
        <v>77</v>
      </c>
      <c r="H71" s="696">
        <f t="shared" si="21"/>
        <v>72</v>
      </c>
      <c r="I71" s="696">
        <f t="shared" si="21"/>
        <v>44</v>
      </c>
      <c r="J71" s="696">
        <f t="shared" si="21"/>
        <v>62</v>
      </c>
      <c r="K71" s="696">
        <f t="shared" si="21"/>
        <v>61</v>
      </c>
      <c r="L71" s="696">
        <f t="shared" si="21"/>
        <v>72</v>
      </c>
      <c r="M71" s="696">
        <f t="shared" si="21"/>
        <v>69</v>
      </c>
      <c r="N71" s="696">
        <f t="shared" si="21"/>
        <v>73</v>
      </c>
      <c r="O71" s="696">
        <f t="shared" si="21"/>
        <v>84</v>
      </c>
      <c r="P71" s="696">
        <f t="shared" si="21"/>
        <v>72.5</v>
      </c>
      <c r="Q71" s="696">
        <f t="shared" si="21"/>
        <v>79.5</v>
      </c>
      <c r="R71" s="696">
        <f t="shared" si="21"/>
        <v>83</v>
      </c>
      <c r="S71" s="696">
        <f t="shared" si="21"/>
        <v>930.5</v>
      </c>
      <c r="T71" s="696">
        <f t="shared" si="21"/>
        <v>71.57692307692308</v>
      </c>
      <c r="U71" s="696">
        <v>32</v>
      </c>
      <c r="V71" s="696"/>
      <c r="W71" s="696"/>
    </row>
    <row r="72" spans="1:23" ht="24" thickBot="1" x14ac:dyDescent="0.4">
      <c r="A72" s="900">
        <v>23</v>
      </c>
      <c r="B72" s="901"/>
      <c r="C72" s="902">
        <v>16</v>
      </c>
      <c r="D72" s="903" t="s">
        <v>20</v>
      </c>
      <c r="E72" s="732" t="s">
        <v>18</v>
      </c>
      <c r="F72" s="696">
        <v>70</v>
      </c>
      <c r="G72" s="696">
        <v>53</v>
      </c>
      <c r="H72" s="696">
        <v>80</v>
      </c>
      <c r="I72" s="696">
        <v>57</v>
      </c>
      <c r="J72" s="696">
        <v>55</v>
      </c>
      <c r="K72" s="696">
        <v>50</v>
      </c>
      <c r="L72" s="696">
        <v>39</v>
      </c>
      <c r="M72" s="696">
        <v>47</v>
      </c>
      <c r="N72" s="696">
        <v>40</v>
      </c>
      <c r="O72" s="696">
        <v>62</v>
      </c>
      <c r="P72" s="696">
        <v>47</v>
      </c>
      <c r="Q72" s="696">
        <v>77</v>
      </c>
      <c r="R72" s="696">
        <v>78</v>
      </c>
      <c r="S72" s="696">
        <v>755</v>
      </c>
      <c r="T72" s="697">
        <v>58.07692307692308</v>
      </c>
      <c r="U72" s="696">
        <v>45</v>
      </c>
      <c r="V72" s="699"/>
      <c r="W72" s="699"/>
    </row>
    <row r="73" spans="1:23" ht="24" thickBot="1" x14ac:dyDescent="0.4">
      <c r="A73" s="900"/>
      <c r="B73" s="901"/>
      <c r="C73" s="902"/>
      <c r="D73" s="903"/>
      <c r="E73" s="732" t="s">
        <v>19</v>
      </c>
      <c r="F73" s="696">
        <v>67</v>
      </c>
      <c r="G73" s="696">
        <v>57</v>
      </c>
      <c r="H73" s="696">
        <v>53</v>
      </c>
      <c r="I73" s="696">
        <v>50</v>
      </c>
      <c r="J73" s="696">
        <v>51</v>
      </c>
      <c r="K73" s="696">
        <v>45</v>
      </c>
      <c r="L73" s="696">
        <v>39</v>
      </c>
      <c r="M73" s="696">
        <v>53</v>
      </c>
      <c r="N73" s="696">
        <v>54</v>
      </c>
      <c r="O73" s="696">
        <v>59</v>
      </c>
      <c r="P73" s="696">
        <v>66</v>
      </c>
      <c r="Q73" s="696">
        <v>62</v>
      </c>
      <c r="R73" s="696">
        <v>81</v>
      </c>
      <c r="S73" s="696">
        <v>737</v>
      </c>
      <c r="T73" s="697">
        <v>56.692307692307693</v>
      </c>
      <c r="U73" s="696">
        <v>44</v>
      </c>
      <c r="V73" s="699"/>
      <c r="W73" s="699"/>
    </row>
    <row r="74" spans="1:23" ht="24" thickBot="1" x14ac:dyDescent="0.4">
      <c r="A74" s="900"/>
      <c r="B74" s="901"/>
      <c r="C74" s="902"/>
      <c r="D74" s="903"/>
      <c r="E74" s="732" t="s">
        <v>13</v>
      </c>
      <c r="F74" s="696">
        <f>AVERAGE(F72:F73)</f>
        <v>68.5</v>
      </c>
      <c r="G74" s="696">
        <f t="shared" ref="G74:T74" si="22">AVERAGE(G72:G73)</f>
        <v>55</v>
      </c>
      <c r="H74" s="696">
        <f t="shared" si="22"/>
        <v>66.5</v>
      </c>
      <c r="I74" s="696">
        <f t="shared" si="22"/>
        <v>53.5</v>
      </c>
      <c r="J74" s="696">
        <f t="shared" si="22"/>
        <v>53</v>
      </c>
      <c r="K74" s="696">
        <f t="shared" si="22"/>
        <v>47.5</v>
      </c>
      <c r="L74" s="696">
        <f t="shared" si="22"/>
        <v>39</v>
      </c>
      <c r="M74" s="696">
        <f t="shared" si="22"/>
        <v>50</v>
      </c>
      <c r="N74" s="696">
        <f t="shared" si="22"/>
        <v>47</v>
      </c>
      <c r="O74" s="696">
        <f t="shared" si="22"/>
        <v>60.5</v>
      </c>
      <c r="P74" s="696">
        <f t="shared" si="22"/>
        <v>56.5</v>
      </c>
      <c r="Q74" s="696">
        <f t="shared" si="22"/>
        <v>69.5</v>
      </c>
      <c r="R74" s="696">
        <f t="shared" si="22"/>
        <v>79.5</v>
      </c>
      <c r="S74" s="696">
        <f t="shared" si="22"/>
        <v>746</v>
      </c>
      <c r="T74" s="696">
        <f t="shared" si="22"/>
        <v>57.384615384615387</v>
      </c>
      <c r="U74" s="696">
        <v>44</v>
      </c>
      <c r="V74" s="696"/>
      <c r="W74" s="696"/>
    </row>
    <row r="75" spans="1:23" ht="24" thickBot="1" x14ac:dyDescent="0.4">
      <c r="A75" s="900">
        <v>24</v>
      </c>
      <c r="B75" s="901"/>
      <c r="C75" s="902">
        <v>16</v>
      </c>
      <c r="D75" s="903" t="s">
        <v>17</v>
      </c>
      <c r="E75" s="732" t="s">
        <v>18</v>
      </c>
      <c r="F75" s="696">
        <v>92</v>
      </c>
      <c r="G75" s="696">
        <v>89</v>
      </c>
      <c r="H75" s="696">
        <v>89</v>
      </c>
      <c r="I75" s="700">
        <v>92</v>
      </c>
      <c r="J75" s="700">
        <v>94</v>
      </c>
      <c r="K75" s="696">
        <v>94</v>
      </c>
      <c r="L75" s="700">
        <v>87</v>
      </c>
      <c r="M75" s="696">
        <v>92</v>
      </c>
      <c r="N75" s="696">
        <v>88</v>
      </c>
      <c r="O75" s="696">
        <v>94</v>
      </c>
      <c r="P75" s="696">
        <v>98</v>
      </c>
      <c r="Q75" s="696">
        <v>96</v>
      </c>
      <c r="R75" s="696">
        <v>93</v>
      </c>
      <c r="S75" s="696">
        <v>1198</v>
      </c>
      <c r="T75" s="697">
        <v>92.15384615384616</v>
      </c>
      <c r="U75" s="696">
        <v>3</v>
      </c>
      <c r="V75" s="699"/>
      <c r="W75" s="699"/>
    </row>
    <row r="76" spans="1:23" ht="24" thickBot="1" x14ac:dyDescent="0.4">
      <c r="A76" s="900"/>
      <c r="B76" s="901"/>
      <c r="C76" s="902"/>
      <c r="D76" s="903"/>
      <c r="E76" s="732" t="s">
        <v>19</v>
      </c>
      <c r="F76" s="696">
        <v>94</v>
      </c>
      <c r="G76" s="696">
        <v>89</v>
      </c>
      <c r="H76" s="696">
        <v>88</v>
      </c>
      <c r="I76" s="700">
        <v>94</v>
      </c>
      <c r="J76" s="700">
        <v>100</v>
      </c>
      <c r="K76" s="696">
        <v>94</v>
      </c>
      <c r="L76" s="700">
        <v>95</v>
      </c>
      <c r="M76" s="696">
        <v>99</v>
      </c>
      <c r="N76" s="696">
        <v>91</v>
      </c>
      <c r="O76" s="696">
        <v>91</v>
      </c>
      <c r="P76" s="696">
        <v>100</v>
      </c>
      <c r="Q76" s="696">
        <v>100</v>
      </c>
      <c r="R76" s="696">
        <v>91</v>
      </c>
      <c r="S76" s="696">
        <v>1226</v>
      </c>
      <c r="T76" s="697">
        <v>94.307692307692307</v>
      </c>
      <c r="U76" s="696">
        <v>2</v>
      </c>
      <c r="V76" s="699"/>
      <c r="W76" s="699"/>
    </row>
    <row r="77" spans="1:23" ht="24" thickBot="1" x14ac:dyDescent="0.4">
      <c r="A77" s="900"/>
      <c r="B77" s="901"/>
      <c r="C77" s="902"/>
      <c r="D77" s="903"/>
      <c r="E77" s="732" t="s">
        <v>13</v>
      </c>
      <c r="F77" s="696">
        <f>AVERAGE(F75:F76)</f>
        <v>93</v>
      </c>
      <c r="G77" s="696">
        <f t="shared" ref="G77:T77" si="23">AVERAGE(G75:G76)</f>
        <v>89</v>
      </c>
      <c r="H77" s="696">
        <f t="shared" si="23"/>
        <v>88.5</v>
      </c>
      <c r="I77" s="696">
        <f t="shared" si="23"/>
        <v>93</v>
      </c>
      <c r="J77" s="696">
        <f t="shared" si="23"/>
        <v>97</v>
      </c>
      <c r="K77" s="696">
        <f t="shared" si="23"/>
        <v>94</v>
      </c>
      <c r="L77" s="696">
        <f t="shared" si="23"/>
        <v>91</v>
      </c>
      <c r="M77" s="696">
        <f t="shared" si="23"/>
        <v>95.5</v>
      </c>
      <c r="N77" s="696">
        <f t="shared" si="23"/>
        <v>89.5</v>
      </c>
      <c r="O77" s="696">
        <f t="shared" si="23"/>
        <v>92.5</v>
      </c>
      <c r="P77" s="696">
        <f t="shared" si="23"/>
        <v>99</v>
      </c>
      <c r="Q77" s="696">
        <f t="shared" si="23"/>
        <v>98</v>
      </c>
      <c r="R77" s="696">
        <f t="shared" si="23"/>
        <v>92</v>
      </c>
      <c r="S77" s="696">
        <f t="shared" si="23"/>
        <v>1212</v>
      </c>
      <c r="T77" s="696">
        <f t="shared" si="23"/>
        <v>93.230769230769226</v>
      </c>
      <c r="U77" s="696">
        <v>2</v>
      </c>
      <c r="V77" s="696"/>
      <c r="W77" s="696"/>
    </row>
    <row r="78" spans="1:23" ht="24" thickBot="1" x14ac:dyDescent="0.4">
      <c r="A78" s="900">
        <v>25</v>
      </c>
      <c r="B78" s="901"/>
      <c r="C78" s="902">
        <v>16</v>
      </c>
      <c r="D78" s="903" t="s">
        <v>17</v>
      </c>
      <c r="E78" s="732" t="s">
        <v>18</v>
      </c>
      <c r="F78" s="696">
        <v>77</v>
      </c>
      <c r="G78" s="700">
        <v>52</v>
      </c>
      <c r="H78" s="700">
        <v>72</v>
      </c>
      <c r="I78" s="700">
        <v>39</v>
      </c>
      <c r="J78" s="696">
        <v>55</v>
      </c>
      <c r="K78" s="700">
        <v>44</v>
      </c>
      <c r="L78" s="696">
        <v>47</v>
      </c>
      <c r="M78" s="696">
        <v>52</v>
      </c>
      <c r="N78" s="696">
        <v>53</v>
      </c>
      <c r="O78" s="696">
        <v>48</v>
      </c>
      <c r="P78" s="696">
        <v>70</v>
      </c>
      <c r="Q78" s="696">
        <v>56</v>
      </c>
      <c r="R78" s="696">
        <v>74</v>
      </c>
      <c r="S78" s="696">
        <v>739</v>
      </c>
      <c r="T78" s="697">
        <v>56.846153846153847</v>
      </c>
      <c r="U78" s="696">
        <v>46</v>
      </c>
      <c r="V78" s="699"/>
      <c r="W78" s="699"/>
    </row>
    <row r="79" spans="1:23" ht="24" thickBot="1" x14ac:dyDescent="0.4">
      <c r="A79" s="900"/>
      <c r="B79" s="901"/>
      <c r="C79" s="902"/>
      <c r="D79" s="903"/>
      <c r="E79" s="732" t="s">
        <v>19</v>
      </c>
      <c r="F79" s="696">
        <v>82</v>
      </c>
      <c r="G79" s="700">
        <v>51</v>
      </c>
      <c r="H79" s="700">
        <v>54</v>
      </c>
      <c r="I79" s="700">
        <v>37</v>
      </c>
      <c r="J79" s="696">
        <v>43</v>
      </c>
      <c r="K79" s="700">
        <v>36</v>
      </c>
      <c r="L79" s="696">
        <v>34</v>
      </c>
      <c r="M79" s="696">
        <v>48</v>
      </c>
      <c r="N79" s="696">
        <v>52</v>
      </c>
      <c r="O79" s="696">
        <v>67</v>
      </c>
      <c r="P79" s="696">
        <v>64</v>
      </c>
      <c r="Q79" s="696">
        <v>68</v>
      </c>
      <c r="R79" s="696">
        <v>75</v>
      </c>
      <c r="S79" s="696">
        <v>711</v>
      </c>
      <c r="T79" s="697">
        <v>54.692307692307693</v>
      </c>
      <c r="U79" s="696">
        <v>46</v>
      </c>
      <c r="V79" s="699"/>
      <c r="W79" s="699"/>
    </row>
    <row r="80" spans="1:23" ht="24" thickBot="1" x14ac:dyDescent="0.4">
      <c r="A80" s="900"/>
      <c r="B80" s="901"/>
      <c r="C80" s="902"/>
      <c r="D80" s="903"/>
      <c r="E80" s="732" t="s">
        <v>13</v>
      </c>
      <c r="F80" s="696">
        <f>AVERAGE(F78:F79)</f>
        <v>79.5</v>
      </c>
      <c r="G80" s="696">
        <f t="shared" ref="G80:T80" si="24">AVERAGE(G78:G79)</f>
        <v>51.5</v>
      </c>
      <c r="H80" s="696">
        <f t="shared" si="24"/>
        <v>63</v>
      </c>
      <c r="I80" s="696">
        <f t="shared" si="24"/>
        <v>38</v>
      </c>
      <c r="J80" s="696">
        <f t="shared" si="24"/>
        <v>49</v>
      </c>
      <c r="K80" s="696">
        <f t="shared" si="24"/>
        <v>40</v>
      </c>
      <c r="L80" s="696">
        <f t="shared" si="24"/>
        <v>40.5</v>
      </c>
      <c r="M80" s="696">
        <f t="shared" si="24"/>
        <v>50</v>
      </c>
      <c r="N80" s="696">
        <f t="shared" si="24"/>
        <v>52.5</v>
      </c>
      <c r="O80" s="696">
        <f t="shared" si="24"/>
        <v>57.5</v>
      </c>
      <c r="P80" s="696">
        <f t="shared" si="24"/>
        <v>67</v>
      </c>
      <c r="Q80" s="696">
        <f t="shared" si="24"/>
        <v>62</v>
      </c>
      <c r="R80" s="696">
        <f t="shared" si="24"/>
        <v>74.5</v>
      </c>
      <c r="S80" s="696">
        <f t="shared" si="24"/>
        <v>725</v>
      </c>
      <c r="T80" s="696">
        <f t="shared" si="24"/>
        <v>55.769230769230774</v>
      </c>
      <c r="U80" s="696">
        <v>46</v>
      </c>
      <c r="V80" s="696"/>
      <c r="W80" s="696"/>
    </row>
    <row r="81" spans="1:23" ht="24" thickBot="1" x14ac:dyDescent="0.4">
      <c r="A81" s="900">
        <v>26</v>
      </c>
      <c r="B81" s="901"/>
      <c r="C81" s="904">
        <v>15</v>
      </c>
      <c r="D81" s="905" t="s">
        <v>17</v>
      </c>
      <c r="E81" s="732" t="s">
        <v>18</v>
      </c>
      <c r="F81" s="696">
        <v>76</v>
      </c>
      <c r="G81" s="696">
        <v>49</v>
      </c>
      <c r="H81" s="696">
        <v>70</v>
      </c>
      <c r="I81" s="696">
        <v>58</v>
      </c>
      <c r="J81" s="696">
        <v>64</v>
      </c>
      <c r="K81" s="696">
        <v>58</v>
      </c>
      <c r="L81" s="696">
        <v>50</v>
      </c>
      <c r="M81" s="696">
        <v>66</v>
      </c>
      <c r="N81" s="696">
        <v>49</v>
      </c>
      <c r="O81" s="696">
        <v>59</v>
      </c>
      <c r="P81" s="696">
        <v>65</v>
      </c>
      <c r="Q81" s="696">
        <v>76</v>
      </c>
      <c r="R81" s="696">
        <v>64</v>
      </c>
      <c r="S81" s="696">
        <v>804</v>
      </c>
      <c r="T81" s="697">
        <v>61.846153846153847</v>
      </c>
      <c r="U81" s="696">
        <v>41</v>
      </c>
      <c r="V81" s="699"/>
      <c r="W81" s="699"/>
    </row>
    <row r="82" spans="1:23" ht="24" thickBot="1" x14ac:dyDescent="0.4">
      <c r="A82" s="900"/>
      <c r="B82" s="901"/>
      <c r="C82" s="904"/>
      <c r="D82" s="905"/>
      <c r="E82" s="732" t="s">
        <v>19</v>
      </c>
      <c r="F82" s="696">
        <v>81</v>
      </c>
      <c r="G82" s="696">
        <v>43</v>
      </c>
      <c r="H82" s="696">
        <v>50</v>
      </c>
      <c r="I82" s="696">
        <v>56</v>
      </c>
      <c r="J82" s="696">
        <v>54</v>
      </c>
      <c r="K82" s="696">
        <v>48</v>
      </c>
      <c r="L82" s="696">
        <v>46</v>
      </c>
      <c r="M82" s="696">
        <v>52</v>
      </c>
      <c r="N82" s="696">
        <v>50</v>
      </c>
      <c r="O82" s="696">
        <v>69</v>
      </c>
      <c r="P82" s="696">
        <v>65</v>
      </c>
      <c r="Q82" s="696">
        <v>75</v>
      </c>
      <c r="R82" s="696">
        <v>78</v>
      </c>
      <c r="S82" s="696">
        <v>767</v>
      </c>
      <c r="T82" s="697">
        <v>59</v>
      </c>
      <c r="U82" s="696">
        <v>43</v>
      </c>
      <c r="V82" s="699"/>
      <c r="W82" s="699"/>
    </row>
    <row r="83" spans="1:23" ht="24" thickBot="1" x14ac:dyDescent="0.4">
      <c r="A83" s="900"/>
      <c r="B83" s="901"/>
      <c r="C83" s="904"/>
      <c r="D83" s="905"/>
      <c r="E83" s="732" t="s">
        <v>13</v>
      </c>
      <c r="F83" s="696">
        <f>AVERAGE(F81:F82)</f>
        <v>78.5</v>
      </c>
      <c r="G83" s="696">
        <f t="shared" ref="G83:T83" si="25">AVERAGE(G81:G82)</f>
        <v>46</v>
      </c>
      <c r="H83" s="696">
        <f t="shared" si="25"/>
        <v>60</v>
      </c>
      <c r="I83" s="696">
        <f t="shared" si="25"/>
        <v>57</v>
      </c>
      <c r="J83" s="696">
        <f t="shared" si="25"/>
        <v>59</v>
      </c>
      <c r="K83" s="696">
        <f t="shared" si="25"/>
        <v>53</v>
      </c>
      <c r="L83" s="696">
        <f t="shared" si="25"/>
        <v>48</v>
      </c>
      <c r="M83" s="696">
        <f t="shared" si="25"/>
        <v>59</v>
      </c>
      <c r="N83" s="696">
        <f t="shared" si="25"/>
        <v>49.5</v>
      </c>
      <c r="O83" s="696">
        <f t="shared" si="25"/>
        <v>64</v>
      </c>
      <c r="P83" s="696">
        <f t="shared" si="25"/>
        <v>65</v>
      </c>
      <c r="Q83" s="696">
        <f t="shared" si="25"/>
        <v>75.5</v>
      </c>
      <c r="R83" s="696">
        <f t="shared" si="25"/>
        <v>71</v>
      </c>
      <c r="S83" s="696">
        <f t="shared" si="25"/>
        <v>785.5</v>
      </c>
      <c r="T83" s="696">
        <f t="shared" si="25"/>
        <v>60.42307692307692</v>
      </c>
      <c r="U83" s="696">
        <v>43</v>
      </c>
      <c r="V83" s="696"/>
      <c r="W83" s="696"/>
    </row>
    <row r="84" spans="1:23" ht="24" thickBot="1" x14ac:dyDescent="0.4">
      <c r="A84" s="900">
        <v>27</v>
      </c>
      <c r="B84" s="901"/>
      <c r="C84" s="902">
        <v>16</v>
      </c>
      <c r="D84" s="903" t="s">
        <v>17</v>
      </c>
      <c r="E84" s="732" t="s">
        <v>18</v>
      </c>
      <c r="F84" s="696">
        <v>88</v>
      </c>
      <c r="G84" s="696">
        <v>66</v>
      </c>
      <c r="H84" s="696">
        <v>79</v>
      </c>
      <c r="I84" s="700">
        <v>55</v>
      </c>
      <c r="J84" s="696">
        <v>62</v>
      </c>
      <c r="K84" s="696">
        <v>66</v>
      </c>
      <c r="L84" s="696">
        <v>60</v>
      </c>
      <c r="M84" s="696">
        <v>68</v>
      </c>
      <c r="N84" s="696">
        <v>65</v>
      </c>
      <c r="O84" s="696">
        <v>75</v>
      </c>
      <c r="P84" s="696">
        <v>79</v>
      </c>
      <c r="Q84" s="696">
        <v>81</v>
      </c>
      <c r="R84" s="696">
        <v>85</v>
      </c>
      <c r="S84" s="696">
        <v>929</v>
      </c>
      <c r="T84" s="697">
        <v>71.461538461538467</v>
      </c>
      <c r="U84" s="696">
        <v>32</v>
      </c>
      <c r="V84" s="699"/>
      <c r="W84" s="699"/>
    </row>
    <row r="85" spans="1:23" ht="24" thickBot="1" x14ac:dyDescent="0.4">
      <c r="A85" s="900"/>
      <c r="B85" s="901"/>
      <c r="C85" s="902"/>
      <c r="D85" s="903"/>
      <c r="E85" s="732" t="s">
        <v>19</v>
      </c>
      <c r="F85" s="696">
        <v>82</v>
      </c>
      <c r="G85" s="696">
        <v>63</v>
      </c>
      <c r="H85" s="696">
        <v>50</v>
      </c>
      <c r="I85" s="700">
        <v>62</v>
      </c>
      <c r="J85" s="696">
        <v>58</v>
      </c>
      <c r="K85" s="696">
        <v>51</v>
      </c>
      <c r="L85" s="696">
        <v>62</v>
      </c>
      <c r="M85" s="696">
        <v>72</v>
      </c>
      <c r="N85" s="696">
        <v>64</v>
      </c>
      <c r="O85" s="696">
        <v>78</v>
      </c>
      <c r="P85" s="696">
        <v>85</v>
      </c>
      <c r="Q85" s="696">
        <v>89</v>
      </c>
      <c r="R85" s="696">
        <v>86</v>
      </c>
      <c r="S85" s="696">
        <v>902</v>
      </c>
      <c r="T85" s="697">
        <v>69.384615384615387</v>
      </c>
      <c r="U85" s="696">
        <v>32</v>
      </c>
      <c r="V85" s="699"/>
      <c r="W85" s="699"/>
    </row>
    <row r="86" spans="1:23" ht="24" thickBot="1" x14ac:dyDescent="0.4">
      <c r="A86" s="900"/>
      <c r="B86" s="901"/>
      <c r="C86" s="902"/>
      <c r="D86" s="903"/>
      <c r="E86" s="732" t="s">
        <v>13</v>
      </c>
      <c r="F86" s="696">
        <f>AVERAGE(F84:F85)</f>
        <v>85</v>
      </c>
      <c r="G86" s="696">
        <f t="shared" ref="G86:T86" si="26">AVERAGE(G84:G85)</f>
        <v>64.5</v>
      </c>
      <c r="H86" s="696">
        <f t="shared" si="26"/>
        <v>64.5</v>
      </c>
      <c r="I86" s="696">
        <f t="shared" si="26"/>
        <v>58.5</v>
      </c>
      <c r="J86" s="696">
        <f t="shared" si="26"/>
        <v>60</v>
      </c>
      <c r="K86" s="696">
        <f t="shared" si="26"/>
        <v>58.5</v>
      </c>
      <c r="L86" s="696">
        <f t="shared" si="26"/>
        <v>61</v>
      </c>
      <c r="M86" s="696">
        <f t="shared" si="26"/>
        <v>70</v>
      </c>
      <c r="N86" s="696">
        <f t="shared" si="26"/>
        <v>64.5</v>
      </c>
      <c r="O86" s="696">
        <f t="shared" si="26"/>
        <v>76.5</v>
      </c>
      <c r="P86" s="696">
        <f t="shared" si="26"/>
        <v>82</v>
      </c>
      <c r="Q86" s="696">
        <f t="shared" si="26"/>
        <v>85</v>
      </c>
      <c r="R86" s="696">
        <f t="shared" si="26"/>
        <v>85.5</v>
      </c>
      <c r="S86" s="696">
        <f t="shared" si="26"/>
        <v>915.5</v>
      </c>
      <c r="T86" s="696">
        <f t="shared" si="26"/>
        <v>70.423076923076934</v>
      </c>
      <c r="U86" s="696">
        <v>33</v>
      </c>
      <c r="V86" s="696"/>
      <c r="W86" s="696"/>
    </row>
    <row r="87" spans="1:23" ht="24" thickBot="1" x14ac:dyDescent="0.4">
      <c r="A87" s="900">
        <v>28</v>
      </c>
      <c r="B87" s="900"/>
      <c r="C87" s="904">
        <v>16</v>
      </c>
      <c r="D87" s="905" t="s">
        <v>17</v>
      </c>
      <c r="E87" s="732" t="s">
        <v>18</v>
      </c>
      <c r="F87" s="696">
        <v>71</v>
      </c>
      <c r="G87" s="696">
        <v>63</v>
      </c>
      <c r="H87" s="696">
        <v>81</v>
      </c>
      <c r="I87" s="696">
        <v>65</v>
      </c>
      <c r="J87" s="696">
        <v>63</v>
      </c>
      <c r="K87" s="696">
        <v>66</v>
      </c>
      <c r="L87" s="696">
        <v>58</v>
      </c>
      <c r="M87" s="696">
        <v>67</v>
      </c>
      <c r="N87" s="696">
        <v>66</v>
      </c>
      <c r="O87" s="696">
        <v>74</v>
      </c>
      <c r="P87" s="696">
        <v>69</v>
      </c>
      <c r="Q87" s="696">
        <v>77</v>
      </c>
      <c r="R87" s="696">
        <v>88</v>
      </c>
      <c r="S87" s="696">
        <v>908</v>
      </c>
      <c r="T87" s="697">
        <v>69.84615384615384</v>
      </c>
      <c r="U87" s="696">
        <v>34</v>
      </c>
      <c r="V87" s="699"/>
      <c r="W87" s="699"/>
    </row>
    <row r="88" spans="1:23" ht="24" thickBot="1" x14ac:dyDescent="0.4">
      <c r="A88" s="900"/>
      <c r="B88" s="900"/>
      <c r="C88" s="904"/>
      <c r="D88" s="905"/>
      <c r="E88" s="732" t="s">
        <v>19</v>
      </c>
      <c r="F88" s="696">
        <v>71</v>
      </c>
      <c r="G88" s="696">
        <v>62</v>
      </c>
      <c r="H88" s="696">
        <v>68</v>
      </c>
      <c r="I88" s="696">
        <v>69</v>
      </c>
      <c r="J88" s="696">
        <v>61</v>
      </c>
      <c r="K88" s="696">
        <v>57</v>
      </c>
      <c r="L88" s="696">
        <v>56</v>
      </c>
      <c r="M88" s="696">
        <v>72</v>
      </c>
      <c r="N88" s="696">
        <v>73</v>
      </c>
      <c r="O88" s="696">
        <v>65</v>
      </c>
      <c r="P88" s="696">
        <v>83</v>
      </c>
      <c r="Q88" s="696">
        <v>88</v>
      </c>
      <c r="R88" s="696">
        <v>78</v>
      </c>
      <c r="S88" s="696">
        <v>903</v>
      </c>
      <c r="T88" s="697">
        <v>69.461538461538467</v>
      </c>
      <c r="U88" s="696">
        <v>31</v>
      </c>
      <c r="V88" s="699"/>
      <c r="W88" s="699"/>
    </row>
    <row r="89" spans="1:23" ht="24" thickBot="1" x14ac:dyDescent="0.4">
      <c r="A89" s="900"/>
      <c r="B89" s="900"/>
      <c r="C89" s="904"/>
      <c r="D89" s="905"/>
      <c r="E89" s="732" t="s">
        <v>13</v>
      </c>
      <c r="F89" s="696">
        <f>AVERAGE(F87:F88)</f>
        <v>71</v>
      </c>
      <c r="G89" s="696">
        <f t="shared" ref="G89:T89" si="27">AVERAGE(G87:G88)</f>
        <v>62.5</v>
      </c>
      <c r="H89" s="696">
        <f t="shared" si="27"/>
        <v>74.5</v>
      </c>
      <c r="I89" s="696">
        <f t="shared" si="27"/>
        <v>67</v>
      </c>
      <c r="J89" s="696">
        <f t="shared" si="27"/>
        <v>62</v>
      </c>
      <c r="K89" s="696">
        <f t="shared" si="27"/>
        <v>61.5</v>
      </c>
      <c r="L89" s="696">
        <f t="shared" si="27"/>
        <v>57</v>
      </c>
      <c r="M89" s="696">
        <f t="shared" si="27"/>
        <v>69.5</v>
      </c>
      <c r="N89" s="696">
        <f t="shared" si="27"/>
        <v>69.5</v>
      </c>
      <c r="O89" s="696">
        <f t="shared" si="27"/>
        <v>69.5</v>
      </c>
      <c r="P89" s="696">
        <f t="shared" si="27"/>
        <v>76</v>
      </c>
      <c r="Q89" s="696">
        <f t="shared" si="27"/>
        <v>82.5</v>
      </c>
      <c r="R89" s="696">
        <f t="shared" si="27"/>
        <v>83</v>
      </c>
      <c r="S89" s="696">
        <f t="shared" si="27"/>
        <v>905.5</v>
      </c>
      <c r="T89" s="696">
        <f t="shared" si="27"/>
        <v>69.65384615384616</v>
      </c>
      <c r="U89" s="696">
        <v>34</v>
      </c>
      <c r="V89" s="696"/>
      <c r="W89" s="696"/>
    </row>
    <row r="90" spans="1:23" ht="24" thickBot="1" x14ac:dyDescent="0.4">
      <c r="A90" s="900">
        <v>29</v>
      </c>
      <c r="B90" s="901"/>
      <c r="C90" s="902">
        <v>15</v>
      </c>
      <c r="D90" s="903" t="s">
        <v>20</v>
      </c>
      <c r="E90" s="732" t="s">
        <v>18</v>
      </c>
      <c r="F90" s="696">
        <v>94</v>
      </c>
      <c r="G90" s="696">
        <v>85</v>
      </c>
      <c r="H90" s="696">
        <v>92</v>
      </c>
      <c r="I90" s="696">
        <v>75</v>
      </c>
      <c r="J90" s="696">
        <v>82</v>
      </c>
      <c r="K90" s="696">
        <v>90</v>
      </c>
      <c r="L90" s="696">
        <v>90</v>
      </c>
      <c r="M90" s="696">
        <v>87</v>
      </c>
      <c r="N90" s="696">
        <v>90</v>
      </c>
      <c r="O90" s="696">
        <v>91</v>
      </c>
      <c r="P90" s="696">
        <v>83</v>
      </c>
      <c r="Q90" s="696">
        <v>95</v>
      </c>
      <c r="R90" s="696">
        <v>94</v>
      </c>
      <c r="S90" s="696">
        <v>1148</v>
      </c>
      <c r="T90" s="697">
        <v>88.307692307692307</v>
      </c>
      <c r="U90" s="696">
        <v>5</v>
      </c>
      <c r="V90" s="699"/>
      <c r="W90" s="699"/>
    </row>
    <row r="91" spans="1:23" ht="24" thickBot="1" x14ac:dyDescent="0.4">
      <c r="A91" s="900"/>
      <c r="B91" s="901"/>
      <c r="C91" s="902"/>
      <c r="D91" s="903"/>
      <c r="E91" s="732" t="s">
        <v>19</v>
      </c>
      <c r="F91" s="696">
        <v>98</v>
      </c>
      <c r="G91" s="696">
        <v>78</v>
      </c>
      <c r="H91" s="696">
        <v>93</v>
      </c>
      <c r="I91" s="696">
        <v>80</v>
      </c>
      <c r="J91" s="696">
        <v>91</v>
      </c>
      <c r="K91" s="696">
        <v>81</v>
      </c>
      <c r="L91" s="696">
        <v>95</v>
      </c>
      <c r="M91" s="696">
        <v>95</v>
      </c>
      <c r="N91" s="696">
        <v>86</v>
      </c>
      <c r="O91" s="696">
        <v>95</v>
      </c>
      <c r="P91" s="696">
        <v>98</v>
      </c>
      <c r="Q91" s="696">
        <v>93</v>
      </c>
      <c r="R91" s="696">
        <v>97</v>
      </c>
      <c r="S91" s="696">
        <v>1180</v>
      </c>
      <c r="T91" s="697">
        <v>90.769230769230774</v>
      </c>
      <c r="U91" s="696">
        <v>5</v>
      </c>
      <c r="V91" s="699"/>
      <c r="W91" s="699"/>
    </row>
    <row r="92" spans="1:23" ht="24" thickBot="1" x14ac:dyDescent="0.4">
      <c r="A92" s="900"/>
      <c r="B92" s="901"/>
      <c r="C92" s="902"/>
      <c r="D92" s="903"/>
      <c r="E92" s="732" t="s">
        <v>13</v>
      </c>
      <c r="F92" s="696">
        <f>AVERAGE(F90:F91)</f>
        <v>96</v>
      </c>
      <c r="G92" s="696">
        <f t="shared" ref="G92:T92" si="28">AVERAGE(G90:G91)</f>
        <v>81.5</v>
      </c>
      <c r="H92" s="696">
        <f t="shared" si="28"/>
        <v>92.5</v>
      </c>
      <c r="I92" s="696">
        <f t="shared" si="28"/>
        <v>77.5</v>
      </c>
      <c r="J92" s="696">
        <f t="shared" si="28"/>
        <v>86.5</v>
      </c>
      <c r="K92" s="696">
        <f t="shared" si="28"/>
        <v>85.5</v>
      </c>
      <c r="L92" s="696">
        <f t="shared" si="28"/>
        <v>92.5</v>
      </c>
      <c r="M92" s="696">
        <f t="shared" si="28"/>
        <v>91</v>
      </c>
      <c r="N92" s="696">
        <f t="shared" si="28"/>
        <v>88</v>
      </c>
      <c r="O92" s="696">
        <f t="shared" si="28"/>
        <v>93</v>
      </c>
      <c r="P92" s="696">
        <f t="shared" si="28"/>
        <v>90.5</v>
      </c>
      <c r="Q92" s="696">
        <f t="shared" si="28"/>
        <v>94</v>
      </c>
      <c r="R92" s="696">
        <f t="shared" si="28"/>
        <v>95.5</v>
      </c>
      <c r="S92" s="696">
        <f t="shared" si="28"/>
        <v>1164</v>
      </c>
      <c r="T92" s="696">
        <f t="shared" si="28"/>
        <v>89.538461538461547</v>
      </c>
      <c r="U92" s="696">
        <v>5</v>
      </c>
      <c r="V92" s="696"/>
      <c r="W92" s="696"/>
    </row>
    <row r="93" spans="1:23" ht="24" thickBot="1" x14ac:dyDescent="0.4">
      <c r="A93" s="900">
        <v>30</v>
      </c>
      <c r="B93" s="901"/>
      <c r="C93" s="902">
        <v>14</v>
      </c>
      <c r="D93" s="903" t="s">
        <v>17</v>
      </c>
      <c r="E93" s="732" t="s">
        <v>18</v>
      </c>
      <c r="F93" s="696">
        <v>89</v>
      </c>
      <c r="G93" s="700">
        <v>84</v>
      </c>
      <c r="H93" s="700">
        <v>78</v>
      </c>
      <c r="I93" s="700">
        <v>67</v>
      </c>
      <c r="J93" s="700">
        <v>55</v>
      </c>
      <c r="K93" s="696">
        <v>73</v>
      </c>
      <c r="L93" s="696">
        <v>69</v>
      </c>
      <c r="M93" s="696">
        <v>72</v>
      </c>
      <c r="N93" s="696">
        <v>78</v>
      </c>
      <c r="O93" s="696">
        <v>91</v>
      </c>
      <c r="P93" s="696">
        <v>73</v>
      </c>
      <c r="Q93" s="700">
        <v>85</v>
      </c>
      <c r="R93" s="700">
        <v>82</v>
      </c>
      <c r="S93" s="696">
        <v>996</v>
      </c>
      <c r="T93" s="697">
        <v>76.615384615384613</v>
      </c>
      <c r="U93" s="696">
        <v>25</v>
      </c>
      <c r="V93" s="699"/>
      <c r="W93" s="699"/>
    </row>
    <row r="94" spans="1:23" ht="24" thickBot="1" x14ac:dyDescent="0.4">
      <c r="A94" s="900"/>
      <c r="B94" s="901"/>
      <c r="C94" s="902"/>
      <c r="D94" s="903"/>
      <c r="E94" s="732" t="s">
        <v>19</v>
      </c>
      <c r="F94" s="696">
        <v>86</v>
      </c>
      <c r="G94" s="700">
        <v>86</v>
      </c>
      <c r="H94" s="700">
        <v>62</v>
      </c>
      <c r="I94" s="700">
        <v>85</v>
      </c>
      <c r="J94" s="700">
        <v>70</v>
      </c>
      <c r="K94" s="696">
        <v>65</v>
      </c>
      <c r="L94" s="696">
        <v>69</v>
      </c>
      <c r="M94" s="696">
        <v>81</v>
      </c>
      <c r="N94" s="696">
        <v>75</v>
      </c>
      <c r="O94" s="696">
        <v>85</v>
      </c>
      <c r="P94" s="696">
        <v>75</v>
      </c>
      <c r="Q94" s="700">
        <v>98</v>
      </c>
      <c r="R94" s="700">
        <v>70</v>
      </c>
      <c r="S94" s="696">
        <v>1007</v>
      </c>
      <c r="T94" s="697">
        <v>77.461538461538467</v>
      </c>
      <c r="U94" s="696">
        <v>21</v>
      </c>
      <c r="V94" s="699"/>
      <c r="W94" s="699"/>
    </row>
    <row r="95" spans="1:23" ht="24" thickBot="1" x14ac:dyDescent="0.4">
      <c r="A95" s="900"/>
      <c r="B95" s="901"/>
      <c r="C95" s="902"/>
      <c r="D95" s="903"/>
      <c r="E95" s="732" t="s">
        <v>13</v>
      </c>
      <c r="F95" s="696">
        <f>AVERAGE(F93:F94)</f>
        <v>87.5</v>
      </c>
      <c r="G95" s="696">
        <f t="shared" ref="G95:T95" si="29">AVERAGE(G93:G94)</f>
        <v>85</v>
      </c>
      <c r="H95" s="696">
        <f t="shared" si="29"/>
        <v>70</v>
      </c>
      <c r="I95" s="696">
        <f t="shared" si="29"/>
        <v>76</v>
      </c>
      <c r="J95" s="696">
        <f t="shared" si="29"/>
        <v>62.5</v>
      </c>
      <c r="K95" s="696">
        <f t="shared" si="29"/>
        <v>69</v>
      </c>
      <c r="L95" s="696">
        <f t="shared" si="29"/>
        <v>69</v>
      </c>
      <c r="M95" s="696">
        <f t="shared" si="29"/>
        <v>76.5</v>
      </c>
      <c r="N95" s="696">
        <f t="shared" si="29"/>
        <v>76.5</v>
      </c>
      <c r="O95" s="696">
        <f t="shared" si="29"/>
        <v>88</v>
      </c>
      <c r="P95" s="696">
        <f t="shared" si="29"/>
        <v>74</v>
      </c>
      <c r="Q95" s="696">
        <f t="shared" si="29"/>
        <v>91.5</v>
      </c>
      <c r="R95" s="696">
        <f t="shared" si="29"/>
        <v>76</v>
      </c>
      <c r="S95" s="696">
        <f t="shared" si="29"/>
        <v>1001.5</v>
      </c>
      <c r="T95" s="696">
        <f t="shared" si="29"/>
        <v>77.038461538461547</v>
      </c>
      <c r="U95" s="696">
        <v>23</v>
      </c>
      <c r="V95" s="696"/>
      <c r="W95" s="696"/>
    </row>
    <row r="96" spans="1:23" ht="24" thickBot="1" x14ac:dyDescent="0.4">
      <c r="A96" s="900">
        <v>31</v>
      </c>
      <c r="B96" s="901"/>
      <c r="C96" s="902">
        <v>15</v>
      </c>
      <c r="D96" s="903" t="s">
        <v>17</v>
      </c>
      <c r="E96" s="732" t="s">
        <v>18</v>
      </c>
      <c r="F96" s="696">
        <v>85</v>
      </c>
      <c r="G96" s="696">
        <v>79</v>
      </c>
      <c r="H96" s="696">
        <v>80</v>
      </c>
      <c r="I96" s="700">
        <v>61</v>
      </c>
      <c r="J96" s="696">
        <v>68</v>
      </c>
      <c r="K96" s="696">
        <v>74</v>
      </c>
      <c r="L96" s="696">
        <v>70</v>
      </c>
      <c r="M96" s="700">
        <v>81</v>
      </c>
      <c r="N96" s="696">
        <v>69</v>
      </c>
      <c r="O96" s="696">
        <v>82</v>
      </c>
      <c r="P96" s="696">
        <v>83</v>
      </c>
      <c r="Q96" s="696">
        <v>86</v>
      </c>
      <c r="R96" s="696">
        <v>91</v>
      </c>
      <c r="S96" s="696">
        <v>1009</v>
      </c>
      <c r="T96" s="697">
        <v>77.615384615384613</v>
      </c>
      <c r="U96" s="696">
        <v>24</v>
      </c>
      <c r="V96" s="699"/>
      <c r="W96" s="699"/>
    </row>
    <row r="97" spans="1:23" ht="24" thickBot="1" x14ac:dyDescent="0.4">
      <c r="A97" s="900"/>
      <c r="B97" s="901"/>
      <c r="C97" s="902"/>
      <c r="D97" s="903"/>
      <c r="E97" s="732" t="s">
        <v>19</v>
      </c>
      <c r="F97" s="696">
        <v>85</v>
      </c>
      <c r="G97" s="696">
        <v>75</v>
      </c>
      <c r="H97" s="696">
        <v>71</v>
      </c>
      <c r="I97" s="700">
        <v>77</v>
      </c>
      <c r="J97" s="696">
        <v>84</v>
      </c>
      <c r="K97" s="696">
        <v>73</v>
      </c>
      <c r="L97" s="696">
        <v>78</v>
      </c>
      <c r="M97" s="700">
        <v>87</v>
      </c>
      <c r="N97" s="696">
        <v>72</v>
      </c>
      <c r="O97" s="696">
        <v>78</v>
      </c>
      <c r="P97" s="696">
        <v>90</v>
      </c>
      <c r="Q97" s="696">
        <v>96</v>
      </c>
      <c r="R97" s="696">
        <v>95</v>
      </c>
      <c r="S97" s="696">
        <v>1061</v>
      </c>
      <c r="T97" s="697">
        <v>81.615384615384613</v>
      </c>
      <c r="U97" s="696">
        <v>17</v>
      </c>
      <c r="V97" s="699"/>
      <c r="W97" s="699"/>
    </row>
    <row r="98" spans="1:23" ht="24" thickBot="1" x14ac:dyDescent="0.4">
      <c r="A98" s="900"/>
      <c r="B98" s="901"/>
      <c r="C98" s="902"/>
      <c r="D98" s="903"/>
      <c r="E98" s="732" t="s">
        <v>13</v>
      </c>
      <c r="F98" s="696">
        <f>AVERAGE(F96:F97)</f>
        <v>85</v>
      </c>
      <c r="G98" s="696">
        <f t="shared" ref="G98:T98" si="30">AVERAGE(G96:G97)</f>
        <v>77</v>
      </c>
      <c r="H98" s="696">
        <f t="shared" si="30"/>
        <v>75.5</v>
      </c>
      <c r="I98" s="696">
        <f t="shared" si="30"/>
        <v>69</v>
      </c>
      <c r="J98" s="696">
        <f t="shared" si="30"/>
        <v>76</v>
      </c>
      <c r="K98" s="696">
        <f t="shared" si="30"/>
        <v>73.5</v>
      </c>
      <c r="L98" s="696">
        <f t="shared" si="30"/>
        <v>74</v>
      </c>
      <c r="M98" s="696">
        <f t="shared" si="30"/>
        <v>84</v>
      </c>
      <c r="N98" s="696">
        <f t="shared" si="30"/>
        <v>70.5</v>
      </c>
      <c r="O98" s="696">
        <f t="shared" si="30"/>
        <v>80</v>
      </c>
      <c r="P98" s="696">
        <f t="shared" si="30"/>
        <v>86.5</v>
      </c>
      <c r="Q98" s="696">
        <f t="shared" si="30"/>
        <v>91</v>
      </c>
      <c r="R98" s="696">
        <f t="shared" si="30"/>
        <v>93</v>
      </c>
      <c r="S98" s="696">
        <f t="shared" si="30"/>
        <v>1035</v>
      </c>
      <c r="T98" s="696">
        <f t="shared" si="30"/>
        <v>79.615384615384613</v>
      </c>
      <c r="U98" s="696">
        <v>19</v>
      </c>
      <c r="V98" s="696"/>
      <c r="W98" s="696"/>
    </row>
    <row r="99" spans="1:23" ht="24" thickBot="1" x14ac:dyDescent="0.4">
      <c r="A99" s="900">
        <v>32</v>
      </c>
      <c r="B99" s="901"/>
      <c r="C99" s="902">
        <v>15</v>
      </c>
      <c r="D99" s="903" t="s">
        <v>17</v>
      </c>
      <c r="E99" s="732" t="s">
        <v>18</v>
      </c>
      <c r="F99" s="696">
        <v>93</v>
      </c>
      <c r="G99" s="696">
        <v>86</v>
      </c>
      <c r="H99" s="696">
        <v>99</v>
      </c>
      <c r="I99" s="696">
        <v>83</v>
      </c>
      <c r="J99" s="696">
        <v>78</v>
      </c>
      <c r="K99" s="696">
        <v>93</v>
      </c>
      <c r="L99" s="696">
        <v>82</v>
      </c>
      <c r="M99" s="696">
        <v>81</v>
      </c>
      <c r="N99" s="696">
        <v>84</v>
      </c>
      <c r="O99" s="696">
        <v>93</v>
      </c>
      <c r="P99" s="696">
        <v>93</v>
      </c>
      <c r="Q99" s="696">
        <v>93</v>
      </c>
      <c r="R99" s="696">
        <v>94</v>
      </c>
      <c r="S99" s="696">
        <v>1152</v>
      </c>
      <c r="T99" s="697">
        <v>88.615384615384613</v>
      </c>
      <c r="U99" s="696">
        <v>4</v>
      </c>
      <c r="V99" s="699"/>
      <c r="W99" s="699"/>
    </row>
    <row r="100" spans="1:23" ht="24" thickBot="1" x14ac:dyDescent="0.4">
      <c r="A100" s="900"/>
      <c r="B100" s="901"/>
      <c r="C100" s="902"/>
      <c r="D100" s="903"/>
      <c r="E100" s="732" t="s">
        <v>19</v>
      </c>
      <c r="F100" s="696">
        <v>97</v>
      </c>
      <c r="G100" s="696">
        <v>90</v>
      </c>
      <c r="H100" s="696">
        <v>100</v>
      </c>
      <c r="I100" s="696">
        <v>92</v>
      </c>
      <c r="J100" s="696">
        <v>91</v>
      </c>
      <c r="K100" s="696">
        <v>85</v>
      </c>
      <c r="L100" s="696">
        <v>93</v>
      </c>
      <c r="M100" s="696">
        <v>96</v>
      </c>
      <c r="N100" s="696">
        <v>93</v>
      </c>
      <c r="O100" s="696">
        <v>94</v>
      </c>
      <c r="P100" s="696">
        <v>100</v>
      </c>
      <c r="Q100" s="696">
        <v>99</v>
      </c>
      <c r="R100" s="696">
        <v>95</v>
      </c>
      <c r="S100" s="696">
        <v>1225</v>
      </c>
      <c r="T100" s="697">
        <v>94.230769230769226</v>
      </c>
      <c r="U100" s="696">
        <v>3</v>
      </c>
      <c r="V100" s="699"/>
      <c r="W100" s="699"/>
    </row>
    <row r="101" spans="1:23" ht="24" thickBot="1" x14ac:dyDescent="0.4">
      <c r="A101" s="900"/>
      <c r="B101" s="901"/>
      <c r="C101" s="902"/>
      <c r="D101" s="903"/>
      <c r="E101" s="732" t="s">
        <v>13</v>
      </c>
      <c r="F101" s="696">
        <f>AVERAGE(F99:F100)</f>
        <v>95</v>
      </c>
      <c r="G101" s="696">
        <f t="shared" ref="G101:T101" si="31">AVERAGE(G99:G100)</f>
        <v>88</v>
      </c>
      <c r="H101" s="696">
        <f t="shared" si="31"/>
        <v>99.5</v>
      </c>
      <c r="I101" s="696">
        <f t="shared" si="31"/>
        <v>87.5</v>
      </c>
      <c r="J101" s="696">
        <f t="shared" si="31"/>
        <v>84.5</v>
      </c>
      <c r="K101" s="696">
        <f t="shared" si="31"/>
        <v>89</v>
      </c>
      <c r="L101" s="696">
        <f t="shared" si="31"/>
        <v>87.5</v>
      </c>
      <c r="M101" s="696">
        <f t="shared" si="31"/>
        <v>88.5</v>
      </c>
      <c r="N101" s="696">
        <f t="shared" si="31"/>
        <v>88.5</v>
      </c>
      <c r="O101" s="696">
        <f t="shared" si="31"/>
        <v>93.5</v>
      </c>
      <c r="P101" s="696">
        <f t="shared" si="31"/>
        <v>96.5</v>
      </c>
      <c r="Q101" s="696">
        <f t="shared" si="31"/>
        <v>96</v>
      </c>
      <c r="R101" s="696">
        <f t="shared" si="31"/>
        <v>94.5</v>
      </c>
      <c r="S101" s="696">
        <f t="shared" si="31"/>
        <v>1188.5</v>
      </c>
      <c r="T101" s="696">
        <f t="shared" si="31"/>
        <v>91.42307692307692</v>
      </c>
      <c r="U101" s="696">
        <v>4</v>
      </c>
      <c r="V101" s="696"/>
      <c r="W101" s="696"/>
    </row>
    <row r="102" spans="1:23" ht="24" thickBot="1" x14ac:dyDescent="0.4">
      <c r="A102" s="900">
        <v>33</v>
      </c>
      <c r="B102" s="901"/>
      <c r="C102" s="902">
        <v>15</v>
      </c>
      <c r="D102" s="903" t="s">
        <v>20</v>
      </c>
      <c r="E102" s="732" t="s">
        <v>18</v>
      </c>
      <c r="F102" s="696">
        <v>95</v>
      </c>
      <c r="G102" s="696">
        <v>98</v>
      </c>
      <c r="H102" s="696">
        <v>91</v>
      </c>
      <c r="I102" s="700">
        <v>85</v>
      </c>
      <c r="J102" s="696">
        <v>97</v>
      </c>
      <c r="K102" s="696">
        <v>96</v>
      </c>
      <c r="L102" s="696">
        <v>89</v>
      </c>
      <c r="M102" s="696">
        <v>87</v>
      </c>
      <c r="N102" s="696">
        <v>90</v>
      </c>
      <c r="O102" s="696">
        <v>96</v>
      </c>
      <c r="P102" s="696">
        <v>96</v>
      </c>
      <c r="Q102" s="696">
        <v>96</v>
      </c>
      <c r="R102" s="696">
        <v>95</v>
      </c>
      <c r="S102" s="696">
        <v>1211</v>
      </c>
      <c r="T102" s="697">
        <v>93.15384615384616</v>
      </c>
      <c r="U102" s="696">
        <v>2</v>
      </c>
      <c r="V102" s="699"/>
      <c r="W102" s="699"/>
    </row>
    <row r="103" spans="1:23" ht="24" thickBot="1" x14ac:dyDescent="0.4">
      <c r="A103" s="900"/>
      <c r="B103" s="901"/>
      <c r="C103" s="902"/>
      <c r="D103" s="903"/>
      <c r="E103" s="732" t="s">
        <v>19</v>
      </c>
      <c r="F103" s="696">
        <v>96</v>
      </c>
      <c r="G103" s="696">
        <v>93</v>
      </c>
      <c r="H103" s="696">
        <v>90</v>
      </c>
      <c r="I103" s="700">
        <v>91</v>
      </c>
      <c r="J103" s="696">
        <v>95</v>
      </c>
      <c r="K103" s="696">
        <v>81</v>
      </c>
      <c r="L103" s="696">
        <v>84</v>
      </c>
      <c r="M103" s="696">
        <v>98</v>
      </c>
      <c r="N103" s="696">
        <v>90</v>
      </c>
      <c r="O103" s="696">
        <v>95</v>
      </c>
      <c r="P103" s="696">
        <v>96</v>
      </c>
      <c r="Q103" s="696">
        <v>98</v>
      </c>
      <c r="R103" s="696">
        <v>97</v>
      </c>
      <c r="S103" s="696">
        <v>1204</v>
      </c>
      <c r="T103" s="697">
        <v>92.615384615384613</v>
      </c>
      <c r="U103" s="696">
        <v>4</v>
      </c>
      <c r="V103" s="699"/>
      <c r="W103" s="699"/>
    </row>
    <row r="104" spans="1:23" ht="24" thickBot="1" x14ac:dyDescent="0.4">
      <c r="A104" s="900"/>
      <c r="B104" s="901"/>
      <c r="C104" s="902"/>
      <c r="D104" s="903"/>
      <c r="E104" s="732" t="s">
        <v>13</v>
      </c>
      <c r="F104" s="696">
        <f>AVERAGE(F102:F103)</f>
        <v>95.5</v>
      </c>
      <c r="G104" s="696">
        <f t="shared" ref="G104:T104" si="32">AVERAGE(G102:G103)</f>
        <v>95.5</v>
      </c>
      <c r="H104" s="696">
        <f t="shared" si="32"/>
        <v>90.5</v>
      </c>
      <c r="I104" s="696">
        <f t="shared" si="32"/>
        <v>88</v>
      </c>
      <c r="J104" s="696">
        <f t="shared" si="32"/>
        <v>96</v>
      </c>
      <c r="K104" s="696">
        <f t="shared" si="32"/>
        <v>88.5</v>
      </c>
      <c r="L104" s="696">
        <f t="shared" si="32"/>
        <v>86.5</v>
      </c>
      <c r="M104" s="696">
        <f t="shared" si="32"/>
        <v>92.5</v>
      </c>
      <c r="N104" s="696">
        <f t="shared" si="32"/>
        <v>90</v>
      </c>
      <c r="O104" s="696">
        <f t="shared" si="32"/>
        <v>95.5</v>
      </c>
      <c r="P104" s="696">
        <f t="shared" si="32"/>
        <v>96</v>
      </c>
      <c r="Q104" s="696">
        <f t="shared" si="32"/>
        <v>97</v>
      </c>
      <c r="R104" s="696">
        <f t="shared" si="32"/>
        <v>96</v>
      </c>
      <c r="S104" s="696">
        <f t="shared" si="32"/>
        <v>1207.5</v>
      </c>
      <c r="T104" s="696">
        <f t="shared" si="32"/>
        <v>92.884615384615387</v>
      </c>
      <c r="U104" s="696">
        <v>3</v>
      </c>
      <c r="V104" s="696"/>
      <c r="W104" s="696"/>
    </row>
    <row r="105" spans="1:23" ht="24" thickBot="1" x14ac:dyDescent="0.4">
      <c r="A105" s="900">
        <v>34</v>
      </c>
      <c r="B105" s="901"/>
      <c r="C105" s="902">
        <v>15</v>
      </c>
      <c r="D105" s="903" t="s">
        <v>20</v>
      </c>
      <c r="E105" s="732" t="s">
        <v>18</v>
      </c>
      <c r="F105" s="696">
        <v>90</v>
      </c>
      <c r="G105" s="696">
        <v>79</v>
      </c>
      <c r="H105" s="696">
        <v>81</v>
      </c>
      <c r="I105" s="696">
        <v>54</v>
      </c>
      <c r="J105" s="696">
        <v>58</v>
      </c>
      <c r="K105" s="696">
        <v>73</v>
      </c>
      <c r="L105" s="696">
        <v>72</v>
      </c>
      <c r="M105" s="696">
        <v>66</v>
      </c>
      <c r="N105" s="696">
        <v>68</v>
      </c>
      <c r="O105" s="696">
        <v>78</v>
      </c>
      <c r="P105" s="696">
        <v>96</v>
      </c>
      <c r="Q105" s="696">
        <v>90</v>
      </c>
      <c r="R105" s="696">
        <v>87</v>
      </c>
      <c r="S105" s="696">
        <v>992</v>
      </c>
      <c r="T105" s="697">
        <v>76.307692307692307</v>
      </c>
      <c r="U105" s="696">
        <v>26</v>
      </c>
      <c r="V105" s="699"/>
      <c r="W105" s="699"/>
    </row>
    <row r="106" spans="1:23" ht="24" thickBot="1" x14ac:dyDescent="0.4">
      <c r="A106" s="900"/>
      <c r="B106" s="901"/>
      <c r="C106" s="902"/>
      <c r="D106" s="903"/>
      <c r="E106" s="732" t="s">
        <v>19</v>
      </c>
      <c r="F106" s="696">
        <v>90</v>
      </c>
      <c r="G106" s="696">
        <v>69</v>
      </c>
      <c r="H106" s="696">
        <v>60</v>
      </c>
      <c r="I106" s="696">
        <v>64</v>
      </c>
      <c r="J106" s="696">
        <v>56</v>
      </c>
      <c r="K106" s="696">
        <v>59</v>
      </c>
      <c r="L106" s="696">
        <v>67</v>
      </c>
      <c r="M106" s="696">
        <v>64</v>
      </c>
      <c r="N106" s="696">
        <v>58</v>
      </c>
      <c r="O106" s="696">
        <v>75</v>
      </c>
      <c r="P106" s="696">
        <v>67</v>
      </c>
      <c r="Q106" s="696">
        <v>78</v>
      </c>
      <c r="R106" s="696">
        <v>68</v>
      </c>
      <c r="S106" s="696">
        <v>875</v>
      </c>
      <c r="T106" s="697">
        <v>67.307692307692307</v>
      </c>
      <c r="U106" s="696">
        <v>34</v>
      </c>
      <c r="V106" s="699"/>
      <c r="W106" s="699"/>
    </row>
    <row r="107" spans="1:23" ht="24" thickBot="1" x14ac:dyDescent="0.4">
      <c r="A107" s="900"/>
      <c r="B107" s="901"/>
      <c r="C107" s="902"/>
      <c r="D107" s="903"/>
      <c r="E107" s="732" t="s">
        <v>13</v>
      </c>
      <c r="F107" s="696">
        <f>AVERAGE(F105:F106)</f>
        <v>90</v>
      </c>
      <c r="G107" s="696">
        <f t="shared" ref="G107:T107" si="33">AVERAGE(G105:G106)</f>
        <v>74</v>
      </c>
      <c r="H107" s="696">
        <f t="shared" si="33"/>
        <v>70.5</v>
      </c>
      <c r="I107" s="696">
        <f t="shared" si="33"/>
        <v>59</v>
      </c>
      <c r="J107" s="696">
        <f t="shared" si="33"/>
        <v>57</v>
      </c>
      <c r="K107" s="696">
        <f t="shared" si="33"/>
        <v>66</v>
      </c>
      <c r="L107" s="696">
        <f t="shared" si="33"/>
        <v>69.5</v>
      </c>
      <c r="M107" s="696">
        <f t="shared" si="33"/>
        <v>65</v>
      </c>
      <c r="N107" s="696">
        <f t="shared" si="33"/>
        <v>63</v>
      </c>
      <c r="O107" s="696">
        <f t="shared" si="33"/>
        <v>76.5</v>
      </c>
      <c r="P107" s="696">
        <f t="shared" si="33"/>
        <v>81.5</v>
      </c>
      <c r="Q107" s="696">
        <f t="shared" si="33"/>
        <v>84</v>
      </c>
      <c r="R107" s="696">
        <f t="shared" si="33"/>
        <v>77.5</v>
      </c>
      <c r="S107" s="696">
        <f t="shared" si="33"/>
        <v>933.5</v>
      </c>
      <c r="T107" s="696">
        <f t="shared" si="33"/>
        <v>71.807692307692307</v>
      </c>
      <c r="U107" s="696">
        <v>30</v>
      </c>
      <c r="V107" s="696"/>
      <c r="W107" s="696"/>
    </row>
    <row r="108" spans="1:23" ht="24" thickBot="1" x14ac:dyDescent="0.4">
      <c r="A108" s="900">
        <v>35</v>
      </c>
      <c r="B108" s="901"/>
      <c r="C108" s="902">
        <v>15</v>
      </c>
      <c r="D108" s="903" t="s">
        <v>20</v>
      </c>
      <c r="E108" s="732" t="s">
        <v>18</v>
      </c>
      <c r="F108" s="696">
        <v>89</v>
      </c>
      <c r="G108" s="696">
        <v>83</v>
      </c>
      <c r="H108" s="696">
        <v>82</v>
      </c>
      <c r="I108" s="696">
        <v>86</v>
      </c>
      <c r="J108" s="696">
        <v>64</v>
      </c>
      <c r="K108" s="696">
        <v>87</v>
      </c>
      <c r="L108" s="696">
        <v>81</v>
      </c>
      <c r="M108" s="696">
        <v>79</v>
      </c>
      <c r="N108" s="696">
        <v>87</v>
      </c>
      <c r="O108" s="696">
        <v>90</v>
      </c>
      <c r="P108" s="696">
        <v>77</v>
      </c>
      <c r="Q108" s="696">
        <v>93</v>
      </c>
      <c r="R108" s="696">
        <v>94</v>
      </c>
      <c r="S108" s="696">
        <v>1092</v>
      </c>
      <c r="T108" s="697">
        <v>84</v>
      </c>
      <c r="U108" s="696">
        <v>13</v>
      </c>
      <c r="V108" s="699"/>
      <c r="W108" s="699"/>
    </row>
    <row r="109" spans="1:23" ht="24" thickBot="1" x14ac:dyDescent="0.4">
      <c r="A109" s="900"/>
      <c r="B109" s="901"/>
      <c r="C109" s="902"/>
      <c r="D109" s="903"/>
      <c r="E109" s="732" t="s">
        <v>19</v>
      </c>
      <c r="F109" s="696">
        <v>91</v>
      </c>
      <c r="G109" s="696">
        <v>79</v>
      </c>
      <c r="H109" s="696">
        <v>83</v>
      </c>
      <c r="I109" s="696">
        <v>95</v>
      </c>
      <c r="J109" s="696">
        <v>88</v>
      </c>
      <c r="K109" s="696">
        <v>92</v>
      </c>
      <c r="L109" s="696">
        <v>93</v>
      </c>
      <c r="M109" s="696">
        <v>96</v>
      </c>
      <c r="N109" s="696">
        <v>92</v>
      </c>
      <c r="O109" s="696">
        <v>87</v>
      </c>
      <c r="P109" s="696">
        <v>100</v>
      </c>
      <c r="Q109" s="696">
        <v>94</v>
      </c>
      <c r="R109" s="696">
        <v>86</v>
      </c>
      <c r="S109" s="696">
        <v>1176</v>
      </c>
      <c r="T109" s="697">
        <v>90.461538461538467</v>
      </c>
      <c r="U109" s="696">
        <v>6</v>
      </c>
      <c r="V109" s="699"/>
      <c r="W109" s="699"/>
    </row>
    <row r="110" spans="1:23" ht="24" thickBot="1" x14ac:dyDescent="0.4">
      <c r="A110" s="900"/>
      <c r="B110" s="901"/>
      <c r="C110" s="902"/>
      <c r="D110" s="903"/>
      <c r="E110" s="732" t="s">
        <v>13</v>
      </c>
      <c r="F110" s="696">
        <f>AVERAGE(F108:F109)</f>
        <v>90</v>
      </c>
      <c r="G110" s="696">
        <f t="shared" ref="G110:T110" si="34">AVERAGE(G108:G109)</f>
        <v>81</v>
      </c>
      <c r="H110" s="696">
        <f t="shared" si="34"/>
        <v>82.5</v>
      </c>
      <c r="I110" s="696">
        <f t="shared" si="34"/>
        <v>90.5</v>
      </c>
      <c r="J110" s="696">
        <f t="shared" si="34"/>
        <v>76</v>
      </c>
      <c r="K110" s="696">
        <f t="shared" si="34"/>
        <v>89.5</v>
      </c>
      <c r="L110" s="696">
        <f t="shared" si="34"/>
        <v>87</v>
      </c>
      <c r="M110" s="696">
        <f t="shared" si="34"/>
        <v>87.5</v>
      </c>
      <c r="N110" s="696">
        <f t="shared" si="34"/>
        <v>89.5</v>
      </c>
      <c r="O110" s="696">
        <f t="shared" si="34"/>
        <v>88.5</v>
      </c>
      <c r="P110" s="696">
        <f t="shared" si="34"/>
        <v>88.5</v>
      </c>
      <c r="Q110" s="696">
        <f t="shared" si="34"/>
        <v>93.5</v>
      </c>
      <c r="R110" s="696">
        <f t="shared" si="34"/>
        <v>90</v>
      </c>
      <c r="S110" s="696">
        <f t="shared" si="34"/>
        <v>1134</v>
      </c>
      <c r="T110" s="696">
        <f t="shared" si="34"/>
        <v>87.230769230769226</v>
      </c>
      <c r="U110" s="696">
        <v>9</v>
      </c>
      <c r="V110" s="696"/>
      <c r="W110" s="696"/>
    </row>
    <row r="111" spans="1:23" ht="24" thickBot="1" x14ac:dyDescent="0.4">
      <c r="A111" s="900">
        <v>36</v>
      </c>
      <c r="B111" s="901"/>
      <c r="C111" s="902">
        <v>15</v>
      </c>
      <c r="D111" s="903" t="s">
        <v>20</v>
      </c>
      <c r="E111" s="732" t="s">
        <v>18</v>
      </c>
      <c r="F111" s="696">
        <v>86</v>
      </c>
      <c r="G111" s="696">
        <v>70</v>
      </c>
      <c r="H111" s="696">
        <v>84</v>
      </c>
      <c r="I111" s="700">
        <v>60</v>
      </c>
      <c r="J111" s="696">
        <v>67</v>
      </c>
      <c r="K111" s="696">
        <v>74</v>
      </c>
      <c r="L111" s="696">
        <v>65</v>
      </c>
      <c r="M111" s="696">
        <v>70</v>
      </c>
      <c r="N111" s="696">
        <v>67</v>
      </c>
      <c r="O111" s="696">
        <v>82</v>
      </c>
      <c r="P111" s="696">
        <v>88</v>
      </c>
      <c r="Q111" s="696">
        <v>87</v>
      </c>
      <c r="R111" s="696">
        <v>92</v>
      </c>
      <c r="S111" s="696">
        <v>992</v>
      </c>
      <c r="T111" s="697">
        <v>76.307692307692307</v>
      </c>
      <c r="U111" s="696">
        <v>26</v>
      </c>
      <c r="V111" s="699"/>
      <c r="W111" s="699"/>
    </row>
    <row r="112" spans="1:23" ht="24" thickBot="1" x14ac:dyDescent="0.4">
      <c r="A112" s="900"/>
      <c r="B112" s="901"/>
      <c r="C112" s="902"/>
      <c r="D112" s="903"/>
      <c r="E112" s="732" t="s">
        <v>19</v>
      </c>
      <c r="F112" s="696">
        <v>93</v>
      </c>
      <c r="G112" s="696">
        <v>71</v>
      </c>
      <c r="H112" s="696">
        <v>68</v>
      </c>
      <c r="I112" s="700">
        <v>68</v>
      </c>
      <c r="J112" s="696">
        <v>59</v>
      </c>
      <c r="K112" s="696">
        <v>64</v>
      </c>
      <c r="L112" s="696">
        <v>65</v>
      </c>
      <c r="M112" s="696">
        <v>78</v>
      </c>
      <c r="N112" s="696">
        <v>72</v>
      </c>
      <c r="O112" s="696">
        <v>88</v>
      </c>
      <c r="P112" s="696">
        <v>90</v>
      </c>
      <c r="Q112" s="696">
        <v>86</v>
      </c>
      <c r="R112" s="696">
        <v>95</v>
      </c>
      <c r="S112" s="696">
        <v>997</v>
      </c>
      <c r="T112" s="697">
        <v>76.692307692307693</v>
      </c>
      <c r="U112" s="696">
        <v>22</v>
      </c>
      <c r="V112" s="699"/>
      <c r="W112" s="699"/>
    </row>
    <row r="113" spans="1:23" ht="24" thickBot="1" x14ac:dyDescent="0.4">
      <c r="A113" s="900"/>
      <c r="B113" s="901"/>
      <c r="C113" s="902"/>
      <c r="D113" s="903"/>
      <c r="E113" s="732" t="s">
        <v>13</v>
      </c>
      <c r="F113" s="696">
        <f>AVERAGE(F111:F112)</f>
        <v>89.5</v>
      </c>
      <c r="G113" s="696">
        <f t="shared" ref="G113:T113" si="35">AVERAGE(G111:G112)</f>
        <v>70.5</v>
      </c>
      <c r="H113" s="696">
        <f t="shared" si="35"/>
        <v>76</v>
      </c>
      <c r="I113" s="696">
        <f t="shared" si="35"/>
        <v>64</v>
      </c>
      <c r="J113" s="696">
        <f t="shared" si="35"/>
        <v>63</v>
      </c>
      <c r="K113" s="696">
        <f t="shared" si="35"/>
        <v>69</v>
      </c>
      <c r="L113" s="696">
        <f t="shared" si="35"/>
        <v>65</v>
      </c>
      <c r="M113" s="696">
        <f t="shared" si="35"/>
        <v>74</v>
      </c>
      <c r="N113" s="696">
        <f t="shared" si="35"/>
        <v>69.5</v>
      </c>
      <c r="O113" s="696">
        <f t="shared" si="35"/>
        <v>85</v>
      </c>
      <c r="P113" s="696">
        <f t="shared" si="35"/>
        <v>89</v>
      </c>
      <c r="Q113" s="696">
        <f t="shared" si="35"/>
        <v>86.5</v>
      </c>
      <c r="R113" s="696">
        <f t="shared" si="35"/>
        <v>93.5</v>
      </c>
      <c r="S113" s="696">
        <f t="shared" si="35"/>
        <v>994.5</v>
      </c>
      <c r="T113" s="696">
        <f t="shared" si="35"/>
        <v>76.5</v>
      </c>
      <c r="U113" s="696">
        <v>25</v>
      </c>
      <c r="V113" s="696"/>
      <c r="W113" s="696"/>
    </row>
    <row r="114" spans="1:23" ht="24" thickBot="1" x14ac:dyDescent="0.4">
      <c r="A114" s="900">
        <v>37</v>
      </c>
      <c r="B114" s="901"/>
      <c r="C114" s="902">
        <v>15</v>
      </c>
      <c r="D114" s="903" t="s">
        <v>20</v>
      </c>
      <c r="E114" s="732" t="s">
        <v>18</v>
      </c>
      <c r="F114" s="696">
        <v>85</v>
      </c>
      <c r="G114" s="696">
        <v>83</v>
      </c>
      <c r="H114" s="696">
        <v>91</v>
      </c>
      <c r="I114" s="696">
        <v>79</v>
      </c>
      <c r="J114" s="696">
        <v>75</v>
      </c>
      <c r="K114" s="696">
        <v>84</v>
      </c>
      <c r="L114" s="696">
        <v>80</v>
      </c>
      <c r="M114" s="696">
        <v>86</v>
      </c>
      <c r="N114" s="696">
        <v>89</v>
      </c>
      <c r="O114" s="696">
        <v>96</v>
      </c>
      <c r="P114" s="696">
        <v>84</v>
      </c>
      <c r="Q114" s="696">
        <v>85</v>
      </c>
      <c r="R114" s="696">
        <v>96</v>
      </c>
      <c r="S114" s="696">
        <v>1113</v>
      </c>
      <c r="T114" s="697">
        <v>85.615384615384613</v>
      </c>
      <c r="U114" s="696">
        <v>9</v>
      </c>
      <c r="V114" s="699"/>
      <c r="W114" s="699"/>
    </row>
    <row r="115" spans="1:23" ht="24" thickBot="1" x14ac:dyDescent="0.4">
      <c r="A115" s="900"/>
      <c r="B115" s="901"/>
      <c r="C115" s="902"/>
      <c r="D115" s="903"/>
      <c r="E115" s="732" t="s">
        <v>19</v>
      </c>
      <c r="F115" s="696">
        <v>96</v>
      </c>
      <c r="G115" s="696">
        <v>82</v>
      </c>
      <c r="H115" s="696">
        <v>81</v>
      </c>
      <c r="I115" s="696">
        <v>89</v>
      </c>
      <c r="J115" s="696">
        <v>89</v>
      </c>
      <c r="K115" s="696">
        <v>73</v>
      </c>
      <c r="L115" s="696">
        <v>86</v>
      </c>
      <c r="M115" s="696">
        <v>93</v>
      </c>
      <c r="N115" s="696">
        <v>92</v>
      </c>
      <c r="O115" s="696">
        <v>93</v>
      </c>
      <c r="P115" s="696">
        <v>92</v>
      </c>
      <c r="Q115" s="696">
        <v>95</v>
      </c>
      <c r="R115" s="696">
        <v>89</v>
      </c>
      <c r="S115" s="696">
        <v>1150</v>
      </c>
      <c r="T115" s="697">
        <v>88.461538461538467</v>
      </c>
      <c r="U115" s="696">
        <v>10</v>
      </c>
      <c r="V115" s="699"/>
      <c r="W115" s="699"/>
    </row>
    <row r="116" spans="1:23" ht="24" thickBot="1" x14ac:dyDescent="0.4">
      <c r="A116" s="900"/>
      <c r="B116" s="901"/>
      <c r="C116" s="902"/>
      <c r="D116" s="903"/>
      <c r="E116" s="732" t="s">
        <v>13</v>
      </c>
      <c r="F116" s="696">
        <f>AVERAGE(F114:F115)</f>
        <v>90.5</v>
      </c>
      <c r="G116" s="696">
        <f t="shared" ref="G116:T116" si="36">AVERAGE(G114:G115)</f>
        <v>82.5</v>
      </c>
      <c r="H116" s="696">
        <f t="shared" si="36"/>
        <v>86</v>
      </c>
      <c r="I116" s="696">
        <f t="shared" si="36"/>
        <v>84</v>
      </c>
      <c r="J116" s="696">
        <f t="shared" si="36"/>
        <v>82</v>
      </c>
      <c r="K116" s="696">
        <f t="shared" si="36"/>
        <v>78.5</v>
      </c>
      <c r="L116" s="696">
        <f t="shared" si="36"/>
        <v>83</v>
      </c>
      <c r="M116" s="696">
        <f t="shared" si="36"/>
        <v>89.5</v>
      </c>
      <c r="N116" s="696">
        <f t="shared" si="36"/>
        <v>90.5</v>
      </c>
      <c r="O116" s="696">
        <f t="shared" si="36"/>
        <v>94.5</v>
      </c>
      <c r="P116" s="696">
        <f t="shared" si="36"/>
        <v>88</v>
      </c>
      <c r="Q116" s="696">
        <f t="shared" si="36"/>
        <v>90</v>
      </c>
      <c r="R116" s="696">
        <f t="shared" si="36"/>
        <v>92.5</v>
      </c>
      <c r="S116" s="696">
        <f t="shared" si="36"/>
        <v>1131.5</v>
      </c>
      <c r="T116" s="696">
        <f t="shared" si="36"/>
        <v>87.038461538461547</v>
      </c>
      <c r="U116" s="696">
        <v>10</v>
      </c>
      <c r="V116" s="696"/>
      <c r="W116" s="696"/>
    </row>
    <row r="117" spans="1:23" ht="24" thickBot="1" x14ac:dyDescent="0.4">
      <c r="A117" s="900">
        <v>38</v>
      </c>
      <c r="B117" s="901"/>
      <c r="C117" s="902">
        <v>14</v>
      </c>
      <c r="D117" s="903" t="s">
        <v>20</v>
      </c>
      <c r="E117" s="732" t="s">
        <v>18</v>
      </c>
      <c r="F117" s="696">
        <v>92</v>
      </c>
      <c r="G117" s="696">
        <v>79</v>
      </c>
      <c r="H117" s="696">
        <v>87</v>
      </c>
      <c r="I117" s="696">
        <v>61</v>
      </c>
      <c r="J117" s="696">
        <v>68</v>
      </c>
      <c r="K117" s="696">
        <v>77</v>
      </c>
      <c r="L117" s="696">
        <v>63</v>
      </c>
      <c r="M117" s="696">
        <v>71</v>
      </c>
      <c r="N117" s="696">
        <v>68</v>
      </c>
      <c r="O117" s="696">
        <v>81</v>
      </c>
      <c r="P117" s="696">
        <v>85</v>
      </c>
      <c r="Q117" s="696">
        <v>88</v>
      </c>
      <c r="R117" s="696">
        <v>90</v>
      </c>
      <c r="S117" s="696">
        <v>1010</v>
      </c>
      <c r="T117" s="697">
        <v>77.692307692307693</v>
      </c>
      <c r="U117" s="696">
        <v>23</v>
      </c>
      <c r="V117" s="699"/>
      <c r="W117" s="699"/>
    </row>
    <row r="118" spans="1:23" ht="24" thickBot="1" x14ac:dyDescent="0.4">
      <c r="A118" s="900"/>
      <c r="B118" s="901"/>
      <c r="C118" s="902"/>
      <c r="D118" s="903"/>
      <c r="E118" s="732" t="s">
        <v>19</v>
      </c>
      <c r="F118" s="696">
        <v>92</v>
      </c>
      <c r="G118" s="696">
        <v>69</v>
      </c>
      <c r="H118" s="696">
        <v>74</v>
      </c>
      <c r="I118" s="696">
        <v>73</v>
      </c>
      <c r="J118" s="696">
        <v>70</v>
      </c>
      <c r="K118" s="696">
        <v>61</v>
      </c>
      <c r="L118" s="696">
        <v>58</v>
      </c>
      <c r="M118" s="696">
        <v>75</v>
      </c>
      <c r="N118" s="696">
        <v>57</v>
      </c>
      <c r="O118" s="696">
        <v>77</v>
      </c>
      <c r="P118" s="696">
        <v>79</v>
      </c>
      <c r="Q118" s="696">
        <v>89</v>
      </c>
      <c r="R118" s="696">
        <v>76</v>
      </c>
      <c r="S118" s="696">
        <v>950</v>
      </c>
      <c r="T118" s="697">
        <v>73.07692307692308</v>
      </c>
      <c r="U118" s="696">
        <v>28</v>
      </c>
      <c r="V118" s="699"/>
      <c r="W118" s="699"/>
    </row>
    <row r="119" spans="1:23" ht="24" thickBot="1" x14ac:dyDescent="0.4">
      <c r="A119" s="900"/>
      <c r="B119" s="901"/>
      <c r="C119" s="902"/>
      <c r="D119" s="903"/>
      <c r="E119" s="732" t="s">
        <v>13</v>
      </c>
      <c r="F119" s="696">
        <f>AVERAGE(F117:F118)</f>
        <v>92</v>
      </c>
      <c r="G119" s="696">
        <f t="shared" ref="G119:T119" si="37">AVERAGE(G117:G118)</f>
        <v>74</v>
      </c>
      <c r="H119" s="696">
        <f t="shared" si="37"/>
        <v>80.5</v>
      </c>
      <c r="I119" s="696">
        <f t="shared" si="37"/>
        <v>67</v>
      </c>
      <c r="J119" s="696">
        <f t="shared" si="37"/>
        <v>69</v>
      </c>
      <c r="K119" s="696">
        <f t="shared" si="37"/>
        <v>69</v>
      </c>
      <c r="L119" s="696">
        <f t="shared" si="37"/>
        <v>60.5</v>
      </c>
      <c r="M119" s="696">
        <f t="shared" si="37"/>
        <v>73</v>
      </c>
      <c r="N119" s="696">
        <f t="shared" si="37"/>
        <v>62.5</v>
      </c>
      <c r="O119" s="696">
        <f t="shared" si="37"/>
        <v>79</v>
      </c>
      <c r="P119" s="696">
        <f t="shared" si="37"/>
        <v>82</v>
      </c>
      <c r="Q119" s="696">
        <f t="shared" si="37"/>
        <v>88.5</v>
      </c>
      <c r="R119" s="696">
        <f t="shared" si="37"/>
        <v>83</v>
      </c>
      <c r="S119" s="696">
        <f t="shared" si="37"/>
        <v>980</v>
      </c>
      <c r="T119" s="696">
        <f t="shared" si="37"/>
        <v>75.384615384615387</v>
      </c>
      <c r="U119" s="696">
        <v>26</v>
      </c>
      <c r="V119" s="696"/>
      <c r="W119" s="696"/>
    </row>
    <row r="120" spans="1:23" ht="24" thickBot="1" x14ac:dyDescent="0.4">
      <c r="A120" s="900">
        <v>39</v>
      </c>
      <c r="B120" s="901"/>
      <c r="C120" s="902">
        <v>15</v>
      </c>
      <c r="D120" s="903" t="s">
        <v>20</v>
      </c>
      <c r="E120" s="732" t="s">
        <v>18</v>
      </c>
      <c r="F120" s="696">
        <v>82</v>
      </c>
      <c r="G120" s="696">
        <v>91</v>
      </c>
      <c r="H120" s="696">
        <v>81</v>
      </c>
      <c r="I120" s="700">
        <v>74</v>
      </c>
      <c r="J120" s="696">
        <v>73</v>
      </c>
      <c r="K120" s="696">
        <v>81</v>
      </c>
      <c r="L120" s="696">
        <v>83</v>
      </c>
      <c r="M120" s="696">
        <v>72</v>
      </c>
      <c r="N120" s="696">
        <v>81</v>
      </c>
      <c r="O120" s="696">
        <v>91</v>
      </c>
      <c r="P120" s="696">
        <v>95</v>
      </c>
      <c r="Q120" s="696">
        <v>92</v>
      </c>
      <c r="R120" s="696">
        <v>85</v>
      </c>
      <c r="S120" s="696">
        <v>1081</v>
      </c>
      <c r="T120" s="697">
        <v>83.15384615384616</v>
      </c>
      <c r="U120" s="696">
        <v>14</v>
      </c>
      <c r="V120" s="699"/>
      <c r="W120" s="699"/>
    </row>
    <row r="121" spans="1:23" ht="24" thickBot="1" x14ac:dyDescent="0.4">
      <c r="A121" s="900"/>
      <c r="B121" s="901"/>
      <c r="C121" s="902"/>
      <c r="D121" s="903"/>
      <c r="E121" s="732" t="s">
        <v>19</v>
      </c>
      <c r="F121" s="696">
        <v>90</v>
      </c>
      <c r="G121" s="696">
        <v>87</v>
      </c>
      <c r="H121" s="696">
        <v>67</v>
      </c>
      <c r="I121" s="700">
        <v>83</v>
      </c>
      <c r="J121" s="696">
        <v>78</v>
      </c>
      <c r="K121" s="696">
        <v>91</v>
      </c>
      <c r="L121" s="696">
        <v>91</v>
      </c>
      <c r="M121" s="696">
        <v>91</v>
      </c>
      <c r="N121" s="696">
        <v>96</v>
      </c>
      <c r="O121" s="696">
        <v>95</v>
      </c>
      <c r="P121" s="696">
        <v>100</v>
      </c>
      <c r="Q121" s="696">
        <v>93</v>
      </c>
      <c r="R121" s="696">
        <v>93</v>
      </c>
      <c r="S121" s="696">
        <v>1155</v>
      </c>
      <c r="T121" s="697">
        <v>88.84615384615384</v>
      </c>
      <c r="U121" s="696">
        <v>9</v>
      </c>
      <c r="V121" s="699"/>
      <c r="W121" s="699"/>
    </row>
    <row r="122" spans="1:23" ht="24" thickBot="1" x14ac:dyDescent="0.4">
      <c r="A122" s="900"/>
      <c r="B122" s="901"/>
      <c r="C122" s="902"/>
      <c r="D122" s="903"/>
      <c r="E122" s="732" t="s">
        <v>13</v>
      </c>
      <c r="F122" s="696">
        <f>AVERAGE(F120:F121)</f>
        <v>86</v>
      </c>
      <c r="G122" s="696">
        <f t="shared" ref="G122:T122" si="38">AVERAGE(G120:G121)</f>
        <v>89</v>
      </c>
      <c r="H122" s="696">
        <f t="shared" si="38"/>
        <v>74</v>
      </c>
      <c r="I122" s="696">
        <f t="shared" si="38"/>
        <v>78.5</v>
      </c>
      <c r="J122" s="696">
        <f t="shared" si="38"/>
        <v>75.5</v>
      </c>
      <c r="K122" s="696">
        <f t="shared" si="38"/>
        <v>86</v>
      </c>
      <c r="L122" s="696">
        <f t="shared" si="38"/>
        <v>87</v>
      </c>
      <c r="M122" s="696">
        <f t="shared" si="38"/>
        <v>81.5</v>
      </c>
      <c r="N122" s="696">
        <f t="shared" si="38"/>
        <v>88.5</v>
      </c>
      <c r="O122" s="696">
        <f t="shared" si="38"/>
        <v>93</v>
      </c>
      <c r="P122" s="696">
        <f t="shared" si="38"/>
        <v>97.5</v>
      </c>
      <c r="Q122" s="696">
        <f t="shared" si="38"/>
        <v>92.5</v>
      </c>
      <c r="R122" s="696">
        <f t="shared" si="38"/>
        <v>89</v>
      </c>
      <c r="S122" s="696">
        <f t="shared" si="38"/>
        <v>1118</v>
      </c>
      <c r="T122" s="696">
        <f t="shared" si="38"/>
        <v>86</v>
      </c>
      <c r="U122" s="696">
        <v>12</v>
      </c>
      <c r="V122" s="696"/>
      <c r="W122" s="696"/>
    </row>
    <row r="123" spans="1:23" ht="24" thickBot="1" x14ac:dyDescent="0.4">
      <c r="A123" s="900">
        <v>40</v>
      </c>
      <c r="B123" s="901"/>
      <c r="C123" s="902">
        <v>14</v>
      </c>
      <c r="D123" s="903" t="s">
        <v>17</v>
      </c>
      <c r="E123" s="732" t="s">
        <v>18</v>
      </c>
      <c r="F123" s="696">
        <v>70</v>
      </c>
      <c r="G123" s="696">
        <v>60</v>
      </c>
      <c r="H123" s="696">
        <v>80</v>
      </c>
      <c r="I123" s="696">
        <v>47</v>
      </c>
      <c r="J123" s="696">
        <v>43</v>
      </c>
      <c r="K123" s="696">
        <v>57</v>
      </c>
      <c r="L123" s="696">
        <v>52</v>
      </c>
      <c r="M123" s="700">
        <v>62</v>
      </c>
      <c r="N123" s="696">
        <v>56</v>
      </c>
      <c r="O123" s="696">
        <v>73</v>
      </c>
      <c r="P123" s="696">
        <v>75</v>
      </c>
      <c r="Q123" s="696">
        <v>75</v>
      </c>
      <c r="R123" s="696">
        <v>84</v>
      </c>
      <c r="S123" s="696">
        <v>834</v>
      </c>
      <c r="T123" s="697">
        <v>64.15384615384616</v>
      </c>
      <c r="U123" s="696">
        <v>39</v>
      </c>
      <c r="V123" s="699"/>
      <c r="W123" s="699"/>
    </row>
    <row r="124" spans="1:23" ht="24" thickBot="1" x14ac:dyDescent="0.4">
      <c r="A124" s="900"/>
      <c r="B124" s="901"/>
      <c r="C124" s="902"/>
      <c r="D124" s="903"/>
      <c r="E124" s="732" t="s">
        <v>19</v>
      </c>
      <c r="F124" s="696">
        <v>81</v>
      </c>
      <c r="G124" s="696">
        <v>58</v>
      </c>
      <c r="H124" s="696">
        <v>50</v>
      </c>
      <c r="I124" s="696">
        <v>45</v>
      </c>
      <c r="J124" s="696">
        <v>42</v>
      </c>
      <c r="K124" s="696">
        <v>51</v>
      </c>
      <c r="L124" s="696">
        <v>47</v>
      </c>
      <c r="M124" s="700">
        <v>51</v>
      </c>
      <c r="N124" s="696">
        <v>60</v>
      </c>
      <c r="O124" s="696">
        <v>71</v>
      </c>
      <c r="P124" s="696">
        <v>67</v>
      </c>
      <c r="Q124" s="696">
        <v>78</v>
      </c>
      <c r="R124" s="696">
        <v>81</v>
      </c>
      <c r="S124" s="696">
        <v>782</v>
      </c>
      <c r="T124" s="697">
        <v>60.153846153846153</v>
      </c>
      <c r="U124" s="696">
        <v>41</v>
      </c>
      <c r="V124" s="699"/>
      <c r="W124" s="699"/>
    </row>
    <row r="125" spans="1:23" ht="24" thickBot="1" x14ac:dyDescent="0.4">
      <c r="A125" s="900"/>
      <c r="B125" s="901"/>
      <c r="C125" s="902"/>
      <c r="D125" s="903"/>
      <c r="E125" s="732" t="s">
        <v>13</v>
      </c>
      <c r="F125" s="696">
        <f>AVERAGE(F123:F124)</f>
        <v>75.5</v>
      </c>
      <c r="G125" s="696">
        <f t="shared" ref="G125:T125" si="39">AVERAGE(G123:G124)</f>
        <v>59</v>
      </c>
      <c r="H125" s="696">
        <f t="shared" si="39"/>
        <v>65</v>
      </c>
      <c r="I125" s="696">
        <f t="shared" si="39"/>
        <v>46</v>
      </c>
      <c r="J125" s="696">
        <f t="shared" si="39"/>
        <v>42.5</v>
      </c>
      <c r="K125" s="696">
        <f t="shared" si="39"/>
        <v>54</v>
      </c>
      <c r="L125" s="696">
        <f t="shared" si="39"/>
        <v>49.5</v>
      </c>
      <c r="M125" s="696">
        <f t="shared" si="39"/>
        <v>56.5</v>
      </c>
      <c r="N125" s="696">
        <f t="shared" si="39"/>
        <v>58</v>
      </c>
      <c r="O125" s="696">
        <f t="shared" si="39"/>
        <v>72</v>
      </c>
      <c r="P125" s="696">
        <f t="shared" si="39"/>
        <v>71</v>
      </c>
      <c r="Q125" s="696">
        <f t="shared" si="39"/>
        <v>76.5</v>
      </c>
      <c r="R125" s="696">
        <f t="shared" si="39"/>
        <v>82.5</v>
      </c>
      <c r="S125" s="696">
        <f t="shared" si="39"/>
        <v>808</v>
      </c>
      <c r="T125" s="696">
        <f t="shared" si="39"/>
        <v>62.15384615384616</v>
      </c>
      <c r="U125" s="696">
        <v>40</v>
      </c>
      <c r="V125" s="696"/>
      <c r="W125" s="696"/>
    </row>
    <row r="126" spans="1:23" ht="24" thickBot="1" x14ac:dyDescent="0.4">
      <c r="A126" s="900">
        <v>41</v>
      </c>
      <c r="B126" s="901"/>
      <c r="C126" s="902">
        <v>15</v>
      </c>
      <c r="D126" s="903" t="s">
        <v>20</v>
      </c>
      <c r="E126" s="732" t="s">
        <v>18</v>
      </c>
      <c r="F126" s="696">
        <v>89</v>
      </c>
      <c r="G126" s="696">
        <v>82</v>
      </c>
      <c r="H126" s="696">
        <v>89</v>
      </c>
      <c r="I126" s="696">
        <v>77</v>
      </c>
      <c r="J126" s="696">
        <v>64</v>
      </c>
      <c r="K126" s="696">
        <v>83</v>
      </c>
      <c r="L126" s="696">
        <v>69</v>
      </c>
      <c r="M126" s="696">
        <v>71</v>
      </c>
      <c r="N126" s="696">
        <v>73</v>
      </c>
      <c r="O126" s="696">
        <v>86</v>
      </c>
      <c r="P126" s="696">
        <v>92</v>
      </c>
      <c r="Q126" s="696">
        <v>86</v>
      </c>
      <c r="R126" s="696">
        <v>83</v>
      </c>
      <c r="S126" s="696">
        <v>1044</v>
      </c>
      <c r="T126" s="697">
        <v>80.307692307692307</v>
      </c>
      <c r="U126" s="696">
        <v>18</v>
      </c>
      <c r="V126" s="699"/>
      <c r="W126" s="699"/>
    </row>
    <row r="127" spans="1:23" ht="24" thickBot="1" x14ac:dyDescent="0.4">
      <c r="A127" s="900"/>
      <c r="B127" s="901"/>
      <c r="C127" s="902"/>
      <c r="D127" s="903"/>
      <c r="E127" s="732" t="s">
        <v>19</v>
      </c>
      <c r="F127" s="696">
        <v>92</v>
      </c>
      <c r="G127" s="696">
        <v>82</v>
      </c>
      <c r="H127" s="696">
        <v>77</v>
      </c>
      <c r="I127" s="696">
        <v>86</v>
      </c>
      <c r="J127" s="696">
        <v>71</v>
      </c>
      <c r="K127" s="696">
        <v>79</v>
      </c>
      <c r="L127" s="696">
        <v>82</v>
      </c>
      <c r="M127" s="696">
        <v>90</v>
      </c>
      <c r="N127" s="696">
        <v>81</v>
      </c>
      <c r="O127" s="696">
        <v>91</v>
      </c>
      <c r="P127" s="696">
        <v>91</v>
      </c>
      <c r="Q127" s="696">
        <v>92</v>
      </c>
      <c r="R127" s="696">
        <v>85</v>
      </c>
      <c r="S127" s="696">
        <v>1099</v>
      </c>
      <c r="T127" s="697">
        <v>84.538461538461533</v>
      </c>
      <c r="U127" s="696">
        <v>13</v>
      </c>
      <c r="V127" s="699"/>
      <c r="W127" s="699"/>
    </row>
    <row r="128" spans="1:23" ht="24" thickBot="1" x14ac:dyDescent="0.4">
      <c r="A128" s="900"/>
      <c r="B128" s="901"/>
      <c r="C128" s="902"/>
      <c r="D128" s="903"/>
      <c r="E128" s="732" t="s">
        <v>13</v>
      </c>
      <c r="F128" s="696">
        <f>AVERAGE(F126:F127)</f>
        <v>90.5</v>
      </c>
      <c r="G128" s="696">
        <f t="shared" ref="G128:T128" si="40">AVERAGE(G126:G127)</f>
        <v>82</v>
      </c>
      <c r="H128" s="696">
        <f t="shared" si="40"/>
        <v>83</v>
      </c>
      <c r="I128" s="696">
        <f t="shared" si="40"/>
        <v>81.5</v>
      </c>
      <c r="J128" s="696">
        <f t="shared" si="40"/>
        <v>67.5</v>
      </c>
      <c r="K128" s="696">
        <f t="shared" si="40"/>
        <v>81</v>
      </c>
      <c r="L128" s="696">
        <f t="shared" si="40"/>
        <v>75.5</v>
      </c>
      <c r="M128" s="696">
        <f t="shared" si="40"/>
        <v>80.5</v>
      </c>
      <c r="N128" s="696">
        <f t="shared" si="40"/>
        <v>77</v>
      </c>
      <c r="O128" s="696">
        <f t="shared" si="40"/>
        <v>88.5</v>
      </c>
      <c r="P128" s="696">
        <f t="shared" si="40"/>
        <v>91.5</v>
      </c>
      <c r="Q128" s="696">
        <f t="shared" si="40"/>
        <v>89</v>
      </c>
      <c r="R128" s="696">
        <f t="shared" si="40"/>
        <v>84</v>
      </c>
      <c r="S128" s="696">
        <f t="shared" si="40"/>
        <v>1071.5</v>
      </c>
      <c r="T128" s="696">
        <f t="shared" si="40"/>
        <v>82.42307692307692</v>
      </c>
      <c r="U128" s="696">
        <v>15</v>
      </c>
      <c r="V128" s="696"/>
      <c r="W128" s="696"/>
    </row>
    <row r="129" spans="1:23" ht="24" thickBot="1" x14ac:dyDescent="0.4">
      <c r="A129" s="900">
        <v>42</v>
      </c>
      <c r="B129" s="901"/>
      <c r="C129" s="902">
        <v>14</v>
      </c>
      <c r="D129" s="903" t="s">
        <v>20</v>
      </c>
      <c r="E129" s="732" t="s">
        <v>18</v>
      </c>
      <c r="F129" s="696">
        <v>74</v>
      </c>
      <c r="G129" s="700">
        <v>47</v>
      </c>
      <c r="H129" s="700">
        <v>82</v>
      </c>
      <c r="I129" s="700">
        <v>48</v>
      </c>
      <c r="J129" s="700">
        <v>50</v>
      </c>
      <c r="K129" s="696">
        <v>45</v>
      </c>
      <c r="L129" s="696">
        <v>41</v>
      </c>
      <c r="M129" s="696">
        <v>55</v>
      </c>
      <c r="N129" s="696">
        <v>52</v>
      </c>
      <c r="O129" s="696">
        <v>69</v>
      </c>
      <c r="P129" s="700">
        <v>68</v>
      </c>
      <c r="Q129" s="696">
        <v>74</v>
      </c>
      <c r="R129" s="696">
        <v>75</v>
      </c>
      <c r="S129" s="696">
        <v>780</v>
      </c>
      <c r="T129" s="697">
        <v>60</v>
      </c>
      <c r="U129" s="696">
        <v>43</v>
      </c>
      <c r="V129" s="699"/>
      <c r="W129" s="699"/>
    </row>
    <row r="130" spans="1:23" ht="24" thickBot="1" x14ac:dyDescent="0.4">
      <c r="A130" s="900"/>
      <c r="B130" s="901"/>
      <c r="C130" s="902"/>
      <c r="D130" s="903"/>
      <c r="E130" s="732" t="s">
        <v>19</v>
      </c>
      <c r="F130" s="696">
        <v>61</v>
      </c>
      <c r="G130" s="700">
        <v>44</v>
      </c>
      <c r="H130" s="700">
        <v>68</v>
      </c>
      <c r="I130" s="700">
        <v>46</v>
      </c>
      <c r="J130" s="700">
        <v>46</v>
      </c>
      <c r="K130" s="696">
        <v>49</v>
      </c>
      <c r="L130" s="696">
        <v>47</v>
      </c>
      <c r="M130" s="696">
        <v>45</v>
      </c>
      <c r="N130" s="696">
        <v>50</v>
      </c>
      <c r="O130" s="696">
        <v>58</v>
      </c>
      <c r="P130" s="700">
        <v>58</v>
      </c>
      <c r="Q130" s="696">
        <v>69</v>
      </c>
      <c r="R130" s="696">
        <v>71</v>
      </c>
      <c r="S130" s="696">
        <v>712</v>
      </c>
      <c r="T130" s="697">
        <v>54.769230769230766</v>
      </c>
      <c r="U130" s="696">
        <v>45</v>
      </c>
      <c r="V130" s="699"/>
      <c r="W130" s="699"/>
    </row>
    <row r="131" spans="1:23" ht="24" thickBot="1" x14ac:dyDescent="0.4">
      <c r="A131" s="900"/>
      <c r="B131" s="901"/>
      <c r="C131" s="902"/>
      <c r="D131" s="903"/>
      <c r="E131" s="732" t="s">
        <v>13</v>
      </c>
      <c r="F131" s="696">
        <f>AVERAGE(F129:F130)</f>
        <v>67.5</v>
      </c>
      <c r="G131" s="696">
        <f t="shared" ref="G131:T131" si="41">AVERAGE(G129:G130)</f>
        <v>45.5</v>
      </c>
      <c r="H131" s="696">
        <f t="shared" si="41"/>
        <v>75</v>
      </c>
      <c r="I131" s="696">
        <f t="shared" si="41"/>
        <v>47</v>
      </c>
      <c r="J131" s="696">
        <f t="shared" si="41"/>
        <v>48</v>
      </c>
      <c r="K131" s="696">
        <f t="shared" si="41"/>
        <v>47</v>
      </c>
      <c r="L131" s="696">
        <f t="shared" si="41"/>
        <v>44</v>
      </c>
      <c r="M131" s="696">
        <f t="shared" si="41"/>
        <v>50</v>
      </c>
      <c r="N131" s="696">
        <f t="shared" si="41"/>
        <v>51</v>
      </c>
      <c r="O131" s="696">
        <f t="shared" si="41"/>
        <v>63.5</v>
      </c>
      <c r="P131" s="696">
        <f t="shared" si="41"/>
        <v>63</v>
      </c>
      <c r="Q131" s="696">
        <f t="shared" si="41"/>
        <v>71.5</v>
      </c>
      <c r="R131" s="696">
        <f t="shared" si="41"/>
        <v>73</v>
      </c>
      <c r="S131" s="696">
        <f t="shared" si="41"/>
        <v>746</v>
      </c>
      <c r="T131" s="696">
        <f t="shared" si="41"/>
        <v>57.384615384615387</v>
      </c>
      <c r="U131" s="696">
        <v>44</v>
      </c>
      <c r="V131" s="696"/>
      <c r="W131" s="696"/>
    </row>
    <row r="132" spans="1:23" ht="24" thickBot="1" x14ac:dyDescent="0.4">
      <c r="A132" s="900">
        <v>43</v>
      </c>
      <c r="B132" s="901"/>
      <c r="C132" s="902">
        <v>15</v>
      </c>
      <c r="D132" s="903" t="s">
        <v>17</v>
      </c>
      <c r="E132" s="732" t="s">
        <v>18</v>
      </c>
      <c r="F132" s="696">
        <v>97</v>
      </c>
      <c r="G132" s="700">
        <v>95</v>
      </c>
      <c r="H132" s="700">
        <v>99</v>
      </c>
      <c r="I132" s="700">
        <v>87</v>
      </c>
      <c r="J132" s="696">
        <v>100</v>
      </c>
      <c r="K132" s="700">
        <v>98</v>
      </c>
      <c r="L132" s="696">
        <v>98</v>
      </c>
      <c r="M132" s="700">
        <v>100</v>
      </c>
      <c r="N132" s="700">
        <v>99</v>
      </c>
      <c r="O132" s="696">
        <v>95</v>
      </c>
      <c r="P132" s="696">
        <v>100</v>
      </c>
      <c r="Q132" s="700">
        <v>96</v>
      </c>
      <c r="R132" s="700">
        <v>100</v>
      </c>
      <c r="S132" s="696">
        <v>1264</v>
      </c>
      <c r="T132" s="697">
        <v>97.230769230769226</v>
      </c>
      <c r="U132" s="696">
        <v>1</v>
      </c>
      <c r="V132" s="699"/>
      <c r="W132" s="699"/>
    </row>
    <row r="133" spans="1:23" ht="24" thickBot="1" x14ac:dyDescent="0.4">
      <c r="A133" s="900"/>
      <c r="B133" s="901"/>
      <c r="C133" s="902"/>
      <c r="D133" s="903"/>
      <c r="E133" s="732" t="s">
        <v>19</v>
      </c>
      <c r="F133" s="696">
        <v>100</v>
      </c>
      <c r="G133" s="700">
        <v>95</v>
      </c>
      <c r="H133" s="700">
        <v>98</v>
      </c>
      <c r="I133" s="700">
        <v>94</v>
      </c>
      <c r="J133" s="696">
        <v>99</v>
      </c>
      <c r="K133" s="700">
        <v>100</v>
      </c>
      <c r="L133" s="696">
        <v>100</v>
      </c>
      <c r="M133" s="700">
        <v>100</v>
      </c>
      <c r="N133" s="700">
        <v>98</v>
      </c>
      <c r="O133" s="696">
        <v>100</v>
      </c>
      <c r="P133" s="696">
        <v>100</v>
      </c>
      <c r="Q133" s="700">
        <v>99</v>
      </c>
      <c r="R133" s="700">
        <v>100</v>
      </c>
      <c r="S133" s="696">
        <v>1283</v>
      </c>
      <c r="T133" s="697">
        <v>98.692307692307693</v>
      </c>
      <c r="U133" s="696">
        <v>1</v>
      </c>
      <c r="V133" s="699"/>
      <c r="W133" s="699"/>
    </row>
    <row r="134" spans="1:23" ht="24" thickBot="1" x14ac:dyDescent="0.4">
      <c r="A134" s="900"/>
      <c r="B134" s="901"/>
      <c r="C134" s="902"/>
      <c r="D134" s="903"/>
      <c r="E134" s="732" t="s">
        <v>13</v>
      </c>
      <c r="F134" s="696">
        <f>AVERAGE(F132:F133)</f>
        <v>98.5</v>
      </c>
      <c r="G134" s="696">
        <f t="shared" ref="G134:T134" si="42">AVERAGE(G132:G133)</f>
        <v>95</v>
      </c>
      <c r="H134" s="696">
        <f t="shared" si="42"/>
        <v>98.5</v>
      </c>
      <c r="I134" s="696">
        <f t="shared" si="42"/>
        <v>90.5</v>
      </c>
      <c r="J134" s="696">
        <f t="shared" si="42"/>
        <v>99.5</v>
      </c>
      <c r="K134" s="696">
        <f t="shared" si="42"/>
        <v>99</v>
      </c>
      <c r="L134" s="696">
        <f t="shared" si="42"/>
        <v>99</v>
      </c>
      <c r="M134" s="696">
        <f t="shared" si="42"/>
        <v>100</v>
      </c>
      <c r="N134" s="696">
        <f t="shared" si="42"/>
        <v>98.5</v>
      </c>
      <c r="O134" s="696">
        <f t="shared" si="42"/>
        <v>97.5</v>
      </c>
      <c r="P134" s="696">
        <f t="shared" si="42"/>
        <v>100</v>
      </c>
      <c r="Q134" s="696">
        <f t="shared" si="42"/>
        <v>97.5</v>
      </c>
      <c r="R134" s="696">
        <f t="shared" si="42"/>
        <v>100</v>
      </c>
      <c r="S134" s="696">
        <f t="shared" si="42"/>
        <v>1273.5</v>
      </c>
      <c r="T134" s="696">
        <f t="shared" si="42"/>
        <v>97.961538461538453</v>
      </c>
      <c r="U134" s="696">
        <v>1</v>
      </c>
      <c r="V134" s="696"/>
      <c r="W134" s="696"/>
    </row>
    <row r="135" spans="1:23" ht="24" thickBot="1" x14ac:dyDescent="0.4">
      <c r="A135" s="900">
        <v>44</v>
      </c>
      <c r="B135" s="901"/>
      <c r="C135" s="902">
        <v>15</v>
      </c>
      <c r="D135" s="903" t="s">
        <v>17</v>
      </c>
      <c r="E135" s="732" t="s">
        <v>18</v>
      </c>
      <c r="F135" s="696">
        <v>74</v>
      </c>
      <c r="G135" s="696">
        <v>59</v>
      </c>
      <c r="H135" s="696">
        <v>69</v>
      </c>
      <c r="I135" s="696">
        <v>58</v>
      </c>
      <c r="J135" s="696">
        <v>60</v>
      </c>
      <c r="K135" s="696">
        <v>60</v>
      </c>
      <c r="L135" s="696">
        <v>50</v>
      </c>
      <c r="M135" s="696">
        <v>51</v>
      </c>
      <c r="N135" s="696">
        <v>56</v>
      </c>
      <c r="O135" s="696">
        <v>62</v>
      </c>
      <c r="P135" s="696">
        <v>62</v>
      </c>
      <c r="Q135" s="696">
        <v>78</v>
      </c>
      <c r="R135" s="696">
        <v>75</v>
      </c>
      <c r="S135" s="696">
        <v>814</v>
      </c>
      <c r="T135" s="697">
        <v>62.615384615384613</v>
      </c>
      <c r="U135" s="696">
        <v>40</v>
      </c>
      <c r="V135" s="699"/>
      <c r="W135" s="699"/>
    </row>
    <row r="136" spans="1:23" ht="24" thickBot="1" x14ac:dyDescent="0.4">
      <c r="A136" s="900"/>
      <c r="B136" s="901"/>
      <c r="C136" s="902"/>
      <c r="D136" s="903"/>
      <c r="E136" s="732" t="s">
        <v>19</v>
      </c>
      <c r="F136" s="696">
        <v>78</v>
      </c>
      <c r="G136" s="696">
        <v>56</v>
      </c>
      <c r="H136" s="696">
        <v>51</v>
      </c>
      <c r="I136" s="696">
        <v>56</v>
      </c>
      <c r="J136" s="696">
        <v>48</v>
      </c>
      <c r="K136" s="696">
        <v>49</v>
      </c>
      <c r="L136" s="696">
        <v>47</v>
      </c>
      <c r="M136" s="696">
        <v>55</v>
      </c>
      <c r="N136" s="696">
        <v>50</v>
      </c>
      <c r="O136" s="696">
        <v>67</v>
      </c>
      <c r="P136" s="696">
        <v>63</v>
      </c>
      <c r="Q136" s="696">
        <v>72</v>
      </c>
      <c r="R136" s="696">
        <v>79</v>
      </c>
      <c r="S136" s="696">
        <v>771</v>
      </c>
      <c r="T136" s="697">
        <v>59.307692307692307</v>
      </c>
      <c r="U136" s="696">
        <v>42</v>
      </c>
      <c r="V136" s="699"/>
      <c r="W136" s="699"/>
    </row>
    <row r="137" spans="1:23" ht="24" thickBot="1" x14ac:dyDescent="0.4">
      <c r="A137" s="900"/>
      <c r="B137" s="901"/>
      <c r="C137" s="902"/>
      <c r="D137" s="903"/>
      <c r="E137" s="732" t="s">
        <v>13</v>
      </c>
      <c r="F137" s="696">
        <f>AVERAGE(F135:F136)</f>
        <v>76</v>
      </c>
      <c r="G137" s="696">
        <f t="shared" ref="G137:T137" si="43">AVERAGE(G135:G136)</f>
        <v>57.5</v>
      </c>
      <c r="H137" s="696">
        <f t="shared" si="43"/>
        <v>60</v>
      </c>
      <c r="I137" s="696">
        <f t="shared" si="43"/>
        <v>57</v>
      </c>
      <c r="J137" s="696">
        <f t="shared" si="43"/>
        <v>54</v>
      </c>
      <c r="K137" s="696">
        <f t="shared" si="43"/>
        <v>54.5</v>
      </c>
      <c r="L137" s="696">
        <f t="shared" si="43"/>
        <v>48.5</v>
      </c>
      <c r="M137" s="696">
        <f t="shared" si="43"/>
        <v>53</v>
      </c>
      <c r="N137" s="696">
        <f t="shared" si="43"/>
        <v>53</v>
      </c>
      <c r="O137" s="696">
        <f t="shared" si="43"/>
        <v>64.5</v>
      </c>
      <c r="P137" s="696">
        <f t="shared" si="43"/>
        <v>62.5</v>
      </c>
      <c r="Q137" s="696">
        <f t="shared" si="43"/>
        <v>75</v>
      </c>
      <c r="R137" s="696">
        <f t="shared" si="43"/>
        <v>77</v>
      </c>
      <c r="S137" s="696">
        <f t="shared" si="43"/>
        <v>792.5</v>
      </c>
      <c r="T137" s="696">
        <f t="shared" si="43"/>
        <v>60.96153846153846</v>
      </c>
      <c r="U137" s="696">
        <v>41</v>
      </c>
      <c r="V137" s="696"/>
      <c r="W137" s="696"/>
    </row>
    <row r="138" spans="1:23" ht="24" thickBot="1" x14ac:dyDescent="0.4">
      <c r="A138" s="900">
        <v>45</v>
      </c>
      <c r="B138" s="901"/>
      <c r="C138" s="902">
        <v>16</v>
      </c>
      <c r="D138" s="903" t="s">
        <v>20</v>
      </c>
      <c r="E138" s="732" t="s">
        <v>18</v>
      </c>
      <c r="F138" s="696">
        <v>90</v>
      </c>
      <c r="G138" s="696">
        <v>97</v>
      </c>
      <c r="H138" s="696">
        <v>89</v>
      </c>
      <c r="I138" s="696">
        <v>75</v>
      </c>
      <c r="J138" s="696">
        <v>77</v>
      </c>
      <c r="K138" s="696">
        <v>88</v>
      </c>
      <c r="L138" s="696">
        <v>79</v>
      </c>
      <c r="M138" s="696">
        <v>86</v>
      </c>
      <c r="N138" s="696">
        <v>86</v>
      </c>
      <c r="O138" s="696">
        <v>91</v>
      </c>
      <c r="P138" s="696">
        <v>94</v>
      </c>
      <c r="Q138" s="696">
        <v>95</v>
      </c>
      <c r="R138" s="696">
        <v>97</v>
      </c>
      <c r="S138" s="696">
        <v>1144</v>
      </c>
      <c r="T138" s="697">
        <v>88</v>
      </c>
      <c r="U138" s="696">
        <v>6</v>
      </c>
      <c r="V138" s="699"/>
      <c r="W138" s="699"/>
    </row>
    <row r="139" spans="1:23" ht="24" thickBot="1" x14ac:dyDescent="0.4">
      <c r="A139" s="900"/>
      <c r="B139" s="901"/>
      <c r="C139" s="902"/>
      <c r="D139" s="903"/>
      <c r="E139" s="732" t="s">
        <v>19</v>
      </c>
      <c r="F139" s="696">
        <v>95</v>
      </c>
      <c r="G139" s="696">
        <v>89</v>
      </c>
      <c r="H139" s="696">
        <v>90</v>
      </c>
      <c r="I139" s="696">
        <v>82</v>
      </c>
      <c r="J139" s="696">
        <v>81</v>
      </c>
      <c r="K139" s="696">
        <v>75</v>
      </c>
      <c r="L139" s="696">
        <v>92</v>
      </c>
      <c r="M139" s="696">
        <v>93</v>
      </c>
      <c r="N139" s="696">
        <v>90</v>
      </c>
      <c r="O139" s="696">
        <v>95</v>
      </c>
      <c r="P139" s="696">
        <v>93</v>
      </c>
      <c r="Q139" s="696">
        <v>93</v>
      </c>
      <c r="R139" s="696">
        <v>91</v>
      </c>
      <c r="S139" s="696">
        <v>1159</v>
      </c>
      <c r="T139" s="697">
        <v>89.15384615384616</v>
      </c>
      <c r="U139" s="696">
        <v>8</v>
      </c>
      <c r="V139" s="699"/>
      <c r="W139" s="699"/>
    </row>
    <row r="140" spans="1:23" ht="24" thickBot="1" x14ac:dyDescent="0.4">
      <c r="A140" s="900"/>
      <c r="B140" s="901"/>
      <c r="C140" s="902"/>
      <c r="D140" s="903"/>
      <c r="E140" s="732" t="s">
        <v>13</v>
      </c>
      <c r="F140" s="696">
        <f>AVERAGE(F138:F139)</f>
        <v>92.5</v>
      </c>
      <c r="G140" s="696">
        <f t="shared" ref="G140:T140" si="44">AVERAGE(G138:G139)</f>
        <v>93</v>
      </c>
      <c r="H140" s="696">
        <f t="shared" si="44"/>
        <v>89.5</v>
      </c>
      <c r="I140" s="696">
        <f t="shared" si="44"/>
        <v>78.5</v>
      </c>
      <c r="J140" s="696">
        <f t="shared" si="44"/>
        <v>79</v>
      </c>
      <c r="K140" s="696">
        <f t="shared" si="44"/>
        <v>81.5</v>
      </c>
      <c r="L140" s="696">
        <f t="shared" si="44"/>
        <v>85.5</v>
      </c>
      <c r="M140" s="696">
        <f t="shared" si="44"/>
        <v>89.5</v>
      </c>
      <c r="N140" s="696">
        <f t="shared" si="44"/>
        <v>88</v>
      </c>
      <c r="O140" s="696">
        <f t="shared" si="44"/>
        <v>93</v>
      </c>
      <c r="P140" s="696">
        <f t="shared" si="44"/>
        <v>93.5</v>
      </c>
      <c r="Q140" s="696">
        <f t="shared" si="44"/>
        <v>94</v>
      </c>
      <c r="R140" s="696">
        <f t="shared" si="44"/>
        <v>94</v>
      </c>
      <c r="S140" s="696">
        <f t="shared" si="44"/>
        <v>1151.5</v>
      </c>
      <c r="T140" s="696">
        <f t="shared" si="44"/>
        <v>88.57692307692308</v>
      </c>
      <c r="U140" s="696">
        <v>6</v>
      </c>
      <c r="V140" s="696"/>
      <c r="W140" s="696"/>
    </row>
    <row r="141" spans="1:23" ht="24" thickBot="1" x14ac:dyDescent="0.4">
      <c r="A141" s="900">
        <v>46</v>
      </c>
      <c r="B141" s="901"/>
      <c r="C141" s="902">
        <v>15</v>
      </c>
      <c r="D141" s="903" t="s">
        <v>17</v>
      </c>
      <c r="E141" s="732" t="s">
        <v>18</v>
      </c>
      <c r="F141" s="696">
        <v>71</v>
      </c>
      <c r="G141" s="696">
        <v>38</v>
      </c>
      <c r="H141" s="696">
        <v>70</v>
      </c>
      <c r="I141" s="696">
        <v>40</v>
      </c>
      <c r="J141" s="696">
        <v>46</v>
      </c>
      <c r="K141" s="696">
        <v>43</v>
      </c>
      <c r="L141" s="696">
        <v>36</v>
      </c>
      <c r="M141" s="700">
        <v>40</v>
      </c>
      <c r="N141" s="696">
        <v>45</v>
      </c>
      <c r="O141" s="696">
        <v>49</v>
      </c>
      <c r="P141" s="696">
        <v>53</v>
      </c>
      <c r="Q141" s="696">
        <v>62</v>
      </c>
      <c r="R141" s="696">
        <v>67</v>
      </c>
      <c r="S141" s="696">
        <v>660</v>
      </c>
      <c r="T141" s="697">
        <v>50.769230769230766</v>
      </c>
      <c r="U141" s="696">
        <v>47</v>
      </c>
      <c r="V141" s="699"/>
      <c r="W141" s="699"/>
    </row>
    <row r="142" spans="1:23" ht="24" thickBot="1" x14ac:dyDescent="0.4">
      <c r="A142" s="900"/>
      <c r="B142" s="901"/>
      <c r="C142" s="902"/>
      <c r="D142" s="903"/>
      <c r="E142" s="732" t="s">
        <v>19</v>
      </c>
      <c r="F142" s="696">
        <v>76</v>
      </c>
      <c r="G142" s="696">
        <v>40</v>
      </c>
      <c r="H142" s="696">
        <v>44</v>
      </c>
      <c r="I142" s="696">
        <v>42</v>
      </c>
      <c r="J142" s="696">
        <v>37</v>
      </c>
      <c r="K142" s="696">
        <v>38</v>
      </c>
      <c r="L142" s="696">
        <v>41</v>
      </c>
      <c r="M142" s="700">
        <v>40</v>
      </c>
      <c r="N142" s="696">
        <v>42</v>
      </c>
      <c r="O142" s="696">
        <v>47</v>
      </c>
      <c r="P142" s="696">
        <v>51</v>
      </c>
      <c r="Q142" s="696">
        <v>58</v>
      </c>
      <c r="R142" s="696">
        <v>62</v>
      </c>
      <c r="S142" s="696">
        <v>618</v>
      </c>
      <c r="T142" s="697">
        <v>47.53846153846154</v>
      </c>
      <c r="U142" s="696">
        <v>47</v>
      </c>
      <c r="V142" s="699"/>
      <c r="W142" s="699"/>
    </row>
    <row r="143" spans="1:23" ht="24" thickBot="1" x14ac:dyDescent="0.4">
      <c r="A143" s="900"/>
      <c r="B143" s="901"/>
      <c r="C143" s="902"/>
      <c r="D143" s="903"/>
      <c r="E143" s="732" t="s">
        <v>13</v>
      </c>
      <c r="F143" s="696">
        <f>AVERAGE(F141:F142)</f>
        <v>73.5</v>
      </c>
      <c r="G143" s="696">
        <f t="shared" ref="G143:T143" si="45">AVERAGE(G141:G142)</f>
        <v>39</v>
      </c>
      <c r="H143" s="696">
        <f t="shared" si="45"/>
        <v>57</v>
      </c>
      <c r="I143" s="696">
        <f t="shared" si="45"/>
        <v>41</v>
      </c>
      <c r="J143" s="696">
        <f t="shared" si="45"/>
        <v>41.5</v>
      </c>
      <c r="K143" s="696">
        <f t="shared" si="45"/>
        <v>40.5</v>
      </c>
      <c r="L143" s="696">
        <f t="shared" si="45"/>
        <v>38.5</v>
      </c>
      <c r="M143" s="696">
        <f t="shared" si="45"/>
        <v>40</v>
      </c>
      <c r="N143" s="696">
        <f t="shared" si="45"/>
        <v>43.5</v>
      </c>
      <c r="O143" s="696">
        <f t="shared" si="45"/>
        <v>48</v>
      </c>
      <c r="P143" s="696">
        <f t="shared" si="45"/>
        <v>52</v>
      </c>
      <c r="Q143" s="696">
        <f t="shared" si="45"/>
        <v>60</v>
      </c>
      <c r="R143" s="696">
        <f t="shared" si="45"/>
        <v>64.5</v>
      </c>
      <c r="S143" s="696">
        <f t="shared" si="45"/>
        <v>639</v>
      </c>
      <c r="T143" s="696">
        <f t="shared" si="45"/>
        <v>49.153846153846153</v>
      </c>
      <c r="U143" s="696">
        <v>47</v>
      </c>
      <c r="V143" s="696"/>
      <c r="W143" s="696"/>
    </row>
    <row r="144" spans="1:23" ht="24" thickBot="1" x14ac:dyDescent="0.4">
      <c r="A144" s="900">
        <v>47</v>
      </c>
      <c r="B144" s="901"/>
      <c r="C144" s="902">
        <v>16</v>
      </c>
      <c r="D144" s="903" t="s">
        <v>17</v>
      </c>
      <c r="E144" s="732" t="s">
        <v>18</v>
      </c>
      <c r="F144" s="696">
        <v>86</v>
      </c>
      <c r="G144" s="696">
        <v>85</v>
      </c>
      <c r="H144" s="696">
        <v>71</v>
      </c>
      <c r="I144" s="696">
        <v>72</v>
      </c>
      <c r="J144" s="696">
        <v>76</v>
      </c>
      <c r="K144" s="696">
        <v>80</v>
      </c>
      <c r="L144" s="696">
        <v>71</v>
      </c>
      <c r="M144" s="696">
        <v>76</v>
      </c>
      <c r="N144" s="696">
        <v>71</v>
      </c>
      <c r="O144" s="696">
        <v>83</v>
      </c>
      <c r="P144" s="696">
        <v>88</v>
      </c>
      <c r="Q144" s="696">
        <v>86</v>
      </c>
      <c r="R144" s="696">
        <v>94</v>
      </c>
      <c r="S144" s="696">
        <v>1039</v>
      </c>
      <c r="T144" s="697">
        <v>79.92307692307692</v>
      </c>
      <c r="U144" s="696">
        <v>19</v>
      </c>
      <c r="V144" s="699"/>
      <c r="W144" s="699"/>
    </row>
    <row r="145" spans="1:23" ht="24" thickBot="1" x14ac:dyDescent="0.4">
      <c r="A145" s="900"/>
      <c r="B145" s="901"/>
      <c r="C145" s="902"/>
      <c r="D145" s="903"/>
      <c r="E145" s="732" t="s">
        <v>19</v>
      </c>
      <c r="F145" s="696">
        <v>85</v>
      </c>
      <c r="G145" s="696">
        <v>76</v>
      </c>
      <c r="H145" s="696">
        <v>72</v>
      </c>
      <c r="I145" s="696">
        <v>91</v>
      </c>
      <c r="J145" s="696">
        <v>79</v>
      </c>
      <c r="K145" s="696">
        <v>91</v>
      </c>
      <c r="L145" s="696">
        <v>86</v>
      </c>
      <c r="M145" s="696">
        <v>88</v>
      </c>
      <c r="N145" s="696">
        <v>77</v>
      </c>
      <c r="O145" s="696">
        <v>85</v>
      </c>
      <c r="P145" s="696">
        <v>94</v>
      </c>
      <c r="Q145" s="696">
        <v>95</v>
      </c>
      <c r="R145" s="696">
        <v>78</v>
      </c>
      <c r="S145" s="696">
        <v>1097</v>
      </c>
      <c r="T145" s="697">
        <v>84.384615384615387</v>
      </c>
      <c r="U145" s="696">
        <v>14</v>
      </c>
      <c r="V145" s="699"/>
      <c r="W145" s="699"/>
    </row>
    <row r="146" spans="1:23" ht="24" thickBot="1" x14ac:dyDescent="0.4">
      <c r="A146" s="900"/>
      <c r="B146" s="901"/>
      <c r="C146" s="902"/>
      <c r="D146" s="903"/>
      <c r="E146" s="732" t="s">
        <v>13</v>
      </c>
      <c r="F146" s="696">
        <f>AVERAGE(F144:F145)</f>
        <v>85.5</v>
      </c>
      <c r="G146" s="696">
        <f t="shared" ref="G146:T146" si="46">AVERAGE(G144:G145)</f>
        <v>80.5</v>
      </c>
      <c r="H146" s="696">
        <f t="shared" si="46"/>
        <v>71.5</v>
      </c>
      <c r="I146" s="696">
        <f t="shared" si="46"/>
        <v>81.5</v>
      </c>
      <c r="J146" s="696">
        <f t="shared" si="46"/>
        <v>77.5</v>
      </c>
      <c r="K146" s="696">
        <f t="shared" si="46"/>
        <v>85.5</v>
      </c>
      <c r="L146" s="696">
        <f t="shared" si="46"/>
        <v>78.5</v>
      </c>
      <c r="M146" s="696">
        <f t="shared" si="46"/>
        <v>82</v>
      </c>
      <c r="N146" s="696">
        <f t="shared" si="46"/>
        <v>74</v>
      </c>
      <c r="O146" s="696">
        <f t="shared" si="46"/>
        <v>84</v>
      </c>
      <c r="P146" s="696">
        <f t="shared" si="46"/>
        <v>91</v>
      </c>
      <c r="Q146" s="696">
        <f t="shared" si="46"/>
        <v>90.5</v>
      </c>
      <c r="R146" s="696">
        <f t="shared" si="46"/>
        <v>86</v>
      </c>
      <c r="S146" s="696">
        <f t="shared" si="46"/>
        <v>1068</v>
      </c>
      <c r="T146" s="696">
        <f t="shared" si="46"/>
        <v>82.15384615384616</v>
      </c>
      <c r="U146" s="696">
        <v>16</v>
      </c>
      <c r="V146" s="696"/>
      <c r="W146" s="696"/>
    </row>
    <row r="147" spans="1:23" ht="15.75" thickBot="1" x14ac:dyDescent="0.3">
      <c r="A147" s="899">
        <v>48</v>
      </c>
      <c r="B147" s="874"/>
      <c r="C147" s="875"/>
      <c r="D147" s="876"/>
      <c r="E147" s="80" t="s">
        <v>18</v>
      </c>
      <c r="F147" s="66"/>
      <c r="G147" s="66"/>
      <c r="H147" s="291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99"/>
      <c r="U147" s="66"/>
      <c r="V147" s="71"/>
      <c r="W147" s="71"/>
    </row>
    <row r="148" spans="1:23" ht="15.75" thickBot="1" x14ac:dyDescent="0.3">
      <c r="A148" s="899"/>
      <c r="B148" s="874"/>
      <c r="C148" s="875"/>
      <c r="D148" s="876"/>
      <c r="E148" s="80" t="s">
        <v>19</v>
      </c>
      <c r="F148" s="66"/>
      <c r="G148" s="66"/>
      <c r="H148" s="291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99"/>
      <c r="U148" s="66"/>
      <c r="V148" s="71"/>
      <c r="W148" s="71"/>
    </row>
    <row r="149" spans="1:23" ht="15.75" thickBot="1" x14ac:dyDescent="0.3">
      <c r="A149" s="899"/>
      <c r="B149" s="874"/>
      <c r="C149" s="875"/>
      <c r="D149" s="876"/>
      <c r="E149" s="80" t="s">
        <v>13</v>
      </c>
      <c r="F149" s="66"/>
      <c r="G149" s="66"/>
      <c r="H149" s="291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99"/>
      <c r="U149" s="66"/>
      <c r="V149" s="66"/>
      <c r="W149" s="66"/>
    </row>
    <row r="150" spans="1:23" ht="15.75" thickBot="1" x14ac:dyDescent="0.3">
      <c r="A150" s="870">
        <v>49</v>
      </c>
      <c r="B150" s="874"/>
      <c r="C150" s="875"/>
      <c r="D150" s="876"/>
      <c r="E150" s="80" t="s">
        <v>18</v>
      </c>
      <c r="F150" s="66"/>
      <c r="G150" s="66"/>
      <c r="H150" s="291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99"/>
      <c r="U150" s="66"/>
      <c r="V150" s="71"/>
      <c r="W150" s="71"/>
    </row>
    <row r="151" spans="1:23" ht="15.75" thickBot="1" x14ac:dyDescent="0.3">
      <c r="A151" s="870"/>
      <c r="B151" s="874"/>
      <c r="C151" s="875"/>
      <c r="D151" s="876"/>
      <c r="E151" s="80" t="s">
        <v>19</v>
      </c>
      <c r="F151" s="66"/>
      <c r="G151" s="66"/>
      <c r="H151" s="291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99"/>
      <c r="U151" s="66"/>
      <c r="V151" s="71"/>
      <c r="W151" s="71"/>
    </row>
    <row r="152" spans="1:23" ht="15.75" thickBot="1" x14ac:dyDescent="0.3">
      <c r="A152" s="870"/>
      <c r="B152" s="874"/>
      <c r="C152" s="875"/>
      <c r="D152" s="876"/>
      <c r="E152" s="80" t="s">
        <v>13</v>
      </c>
      <c r="F152" s="66"/>
      <c r="G152" s="66"/>
      <c r="H152" s="291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99"/>
      <c r="U152" s="66"/>
      <c r="V152" s="66"/>
      <c r="W152" s="66"/>
    </row>
    <row r="153" spans="1:23" ht="15.75" thickBot="1" x14ac:dyDescent="0.3">
      <c r="A153" s="870">
        <v>50</v>
      </c>
      <c r="B153" s="874"/>
      <c r="C153" s="875"/>
      <c r="D153" s="876"/>
      <c r="E153" s="80" t="s">
        <v>18</v>
      </c>
      <c r="F153" s="66"/>
      <c r="G153" s="66"/>
      <c r="H153" s="291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99"/>
      <c r="U153" s="66"/>
      <c r="V153" s="71"/>
      <c r="W153" s="71"/>
    </row>
    <row r="154" spans="1:23" ht="15.75" thickBot="1" x14ac:dyDescent="0.3">
      <c r="A154" s="870"/>
      <c r="B154" s="874"/>
      <c r="C154" s="875"/>
      <c r="D154" s="876"/>
      <c r="E154" s="80" t="s">
        <v>19</v>
      </c>
      <c r="F154" s="66"/>
      <c r="G154" s="66"/>
      <c r="H154" s="291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99"/>
      <c r="U154" s="66"/>
      <c r="V154" s="71"/>
      <c r="W154" s="71"/>
    </row>
    <row r="155" spans="1:23" ht="15.75" thickBot="1" x14ac:dyDescent="0.3">
      <c r="A155" s="870"/>
      <c r="B155" s="874"/>
      <c r="C155" s="875"/>
      <c r="D155" s="876"/>
      <c r="E155" s="80" t="s">
        <v>13</v>
      </c>
      <c r="F155" s="66"/>
      <c r="G155" s="66"/>
      <c r="H155" s="291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99"/>
      <c r="U155" s="66"/>
      <c r="V155" s="66"/>
      <c r="W155" s="66"/>
    </row>
    <row r="156" spans="1:23" ht="15.75" thickBot="1" x14ac:dyDescent="0.3">
      <c r="A156" s="870">
        <v>51</v>
      </c>
      <c r="B156" s="874"/>
      <c r="C156" s="875"/>
      <c r="D156" s="876"/>
      <c r="E156" s="80" t="s">
        <v>18</v>
      </c>
      <c r="F156" s="66"/>
      <c r="G156" s="66"/>
      <c r="H156" s="291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99"/>
      <c r="U156" s="66"/>
      <c r="V156" s="71"/>
      <c r="W156" s="71"/>
    </row>
    <row r="157" spans="1:23" ht="15.75" thickBot="1" x14ac:dyDescent="0.3">
      <c r="A157" s="870"/>
      <c r="B157" s="874"/>
      <c r="C157" s="875"/>
      <c r="D157" s="876"/>
      <c r="E157" s="80" t="s">
        <v>19</v>
      </c>
      <c r="F157" s="66"/>
      <c r="G157" s="68"/>
      <c r="H157" s="267"/>
      <c r="I157" s="68"/>
      <c r="J157" s="68"/>
      <c r="K157" s="68"/>
      <c r="L157" s="68"/>
      <c r="M157" s="68"/>
      <c r="N157" s="68"/>
      <c r="O157" s="68"/>
      <c r="P157" s="66"/>
      <c r="Q157" s="68"/>
      <c r="R157" s="68"/>
      <c r="S157" s="66"/>
      <c r="T157" s="99"/>
      <c r="U157" s="66"/>
      <c r="V157" s="68"/>
      <c r="W157" s="68"/>
    </row>
    <row r="158" spans="1:23" ht="15.75" thickBot="1" x14ac:dyDescent="0.3">
      <c r="A158" s="870"/>
      <c r="B158" s="874"/>
      <c r="C158" s="875"/>
      <c r="D158" s="876"/>
      <c r="E158" s="80" t="s">
        <v>13</v>
      </c>
      <c r="F158" s="66"/>
      <c r="G158" s="66"/>
      <c r="H158" s="291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99"/>
      <c r="U158" s="66"/>
      <c r="V158" s="66"/>
      <c r="W158" s="66"/>
    </row>
    <row r="159" spans="1:23" ht="15.75" thickBot="1" x14ac:dyDescent="0.3">
      <c r="A159" s="870">
        <v>52</v>
      </c>
      <c r="B159" s="874"/>
      <c r="C159" s="875"/>
      <c r="D159" s="876"/>
      <c r="E159" s="80" t="s">
        <v>18</v>
      </c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2"/>
      <c r="U159" s="81"/>
      <c r="V159" s="81"/>
      <c r="W159" s="81"/>
    </row>
    <row r="160" spans="1:23" ht="15.75" thickBot="1" x14ac:dyDescent="0.3">
      <c r="A160" s="870"/>
      <c r="B160" s="874"/>
      <c r="C160" s="875"/>
      <c r="D160" s="876"/>
      <c r="E160" s="80" t="s">
        <v>19</v>
      </c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2"/>
      <c r="U160" s="81"/>
      <c r="V160" s="81"/>
      <c r="W160" s="81"/>
    </row>
    <row r="161" spans="1:23" ht="15.75" thickBot="1" x14ac:dyDescent="0.3">
      <c r="A161" s="870"/>
      <c r="B161" s="874"/>
      <c r="C161" s="875"/>
      <c r="D161" s="876"/>
      <c r="E161" s="80" t="s">
        <v>13</v>
      </c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2"/>
      <c r="U161" s="81"/>
      <c r="V161" s="81"/>
      <c r="W161" s="81"/>
    </row>
    <row r="162" spans="1:23" ht="15.75" thickBot="1" x14ac:dyDescent="0.3">
      <c r="A162" s="870">
        <v>53</v>
      </c>
      <c r="B162" s="874"/>
      <c r="C162" s="875"/>
      <c r="D162" s="876"/>
      <c r="E162" s="80" t="s">
        <v>18</v>
      </c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2"/>
      <c r="U162" s="81"/>
      <c r="V162" s="81"/>
      <c r="W162" s="81"/>
    </row>
    <row r="163" spans="1:23" ht="15.75" thickBot="1" x14ac:dyDescent="0.3">
      <c r="A163" s="870"/>
      <c r="B163" s="874"/>
      <c r="C163" s="875"/>
      <c r="D163" s="876"/>
      <c r="E163" s="80" t="s">
        <v>19</v>
      </c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2"/>
      <c r="U163" s="81"/>
      <c r="V163" s="81"/>
      <c r="W163" s="81"/>
    </row>
    <row r="164" spans="1:23" ht="15.75" thickBot="1" x14ac:dyDescent="0.3">
      <c r="A164" s="870"/>
      <c r="B164" s="874"/>
      <c r="C164" s="875"/>
      <c r="D164" s="876"/>
      <c r="E164" s="80" t="s">
        <v>13</v>
      </c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2"/>
      <c r="U164" s="81"/>
      <c r="V164" s="81"/>
      <c r="W164" s="81"/>
    </row>
    <row r="165" spans="1:23" ht="15.75" thickBot="1" x14ac:dyDescent="0.3">
      <c r="A165" s="870">
        <v>54</v>
      </c>
      <c r="B165" s="874"/>
      <c r="C165" s="875"/>
      <c r="D165" s="876"/>
      <c r="E165" s="80" t="s">
        <v>18</v>
      </c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2"/>
      <c r="U165" s="81"/>
      <c r="V165" s="81"/>
      <c r="W165" s="81"/>
    </row>
    <row r="166" spans="1:23" ht="15.75" thickBot="1" x14ac:dyDescent="0.3">
      <c r="A166" s="870"/>
      <c r="B166" s="874"/>
      <c r="C166" s="875"/>
      <c r="D166" s="876"/>
      <c r="E166" s="80" t="s">
        <v>19</v>
      </c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2"/>
      <c r="U166" s="81"/>
      <c r="V166" s="81"/>
      <c r="W166" s="81"/>
    </row>
    <row r="167" spans="1:23" ht="15.75" thickBot="1" x14ac:dyDescent="0.3">
      <c r="A167" s="870"/>
      <c r="B167" s="874"/>
      <c r="C167" s="875"/>
      <c r="D167" s="876"/>
      <c r="E167" s="80" t="s">
        <v>13</v>
      </c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2"/>
      <c r="U167" s="81"/>
      <c r="V167" s="81"/>
      <c r="W167" s="81"/>
    </row>
    <row r="168" spans="1:23" ht="15.75" thickBot="1" x14ac:dyDescent="0.3">
      <c r="A168" s="870">
        <v>55</v>
      </c>
      <c r="B168" s="874"/>
      <c r="C168" s="875"/>
      <c r="D168" s="876"/>
      <c r="E168" s="80" t="s">
        <v>18</v>
      </c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2"/>
      <c r="U168" s="81"/>
      <c r="V168" s="81"/>
      <c r="W168" s="81"/>
    </row>
    <row r="169" spans="1:23" ht="15.75" thickBot="1" x14ac:dyDescent="0.3">
      <c r="A169" s="870"/>
      <c r="B169" s="874"/>
      <c r="C169" s="875"/>
      <c r="D169" s="876"/>
      <c r="E169" s="80" t="s">
        <v>19</v>
      </c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2"/>
      <c r="U169" s="81"/>
      <c r="V169" s="81"/>
      <c r="W169" s="81"/>
    </row>
    <row r="170" spans="1:23" ht="15.75" thickBot="1" x14ac:dyDescent="0.3">
      <c r="A170" s="870"/>
      <c r="B170" s="874"/>
      <c r="C170" s="875"/>
      <c r="D170" s="876"/>
      <c r="E170" s="80" t="s">
        <v>13</v>
      </c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2"/>
      <c r="U170" s="81"/>
      <c r="V170" s="81"/>
      <c r="W170" s="81"/>
    </row>
    <row r="171" spans="1:23" ht="15.75" thickBot="1" x14ac:dyDescent="0.3">
      <c r="A171" s="870">
        <v>56</v>
      </c>
      <c r="B171" s="874"/>
      <c r="C171" s="875"/>
      <c r="D171" s="876"/>
      <c r="E171" s="80" t="s">
        <v>18</v>
      </c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2"/>
      <c r="U171" s="81"/>
      <c r="V171" s="81"/>
      <c r="W171" s="81"/>
    </row>
    <row r="172" spans="1:23" ht="15.75" thickBot="1" x14ac:dyDescent="0.3">
      <c r="A172" s="870"/>
      <c r="B172" s="874"/>
      <c r="C172" s="875"/>
      <c r="D172" s="876"/>
      <c r="E172" s="80" t="s">
        <v>19</v>
      </c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2"/>
      <c r="U172" s="81"/>
      <c r="V172" s="81"/>
      <c r="W172" s="81"/>
    </row>
    <row r="173" spans="1:23" ht="15.75" thickBot="1" x14ac:dyDescent="0.3">
      <c r="A173" s="870"/>
      <c r="B173" s="874"/>
      <c r="C173" s="875"/>
      <c r="D173" s="876"/>
      <c r="E173" s="80" t="s">
        <v>13</v>
      </c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2"/>
      <c r="U173" s="81"/>
      <c r="V173" s="81"/>
      <c r="W173" s="81"/>
    </row>
  </sheetData>
  <mergeCells count="226">
    <mergeCell ref="A1:W1"/>
    <mergeCell ref="A3:W3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A51:A53"/>
    <mergeCell ref="B51:B53"/>
    <mergeCell ref="C51:C53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63:A65"/>
    <mergeCell ref="B63:B65"/>
    <mergeCell ref="C63:C65"/>
    <mergeCell ref="D63:D65"/>
    <mergeCell ref="A66:A68"/>
    <mergeCell ref="B66:B68"/>
    <mergeCell ref="C66:C68"/>
    <mergeCell ref="D66:D68"/>
    <mergeCell ref="A57:A59"/>
    <mergeCell ref="B57:B59"/>
    <mergeCell ref="C57:C59"/>
    <mergeCell ref="D57:D59"/>
    <mergeCell ref="A60:A62"/>
    <mergeCell ref="B60:B62"/>
    <mergeCell ref="C60:C62"/>
    <mergeCell ref="D60:D62"/>
    <mergeCell ref="A75:A77"/>
    <mergeCell ref="B75:B77"/>
    <mergeCell ref="C75:C77"/>
    <mergeCell ref="D75:D77"/>
    <mergeCell ref="A78:A80"/>
    <mergeCell ref="B78:B80"/>
    <mergeCell ref="C78:C80"/>
    <mergeCell ref="D78:D80"/>
    <mergeCell ref="A69:A71"/>
    <mergeCell ref="B69:B71"/>
    <mergeCell ref="C69:C71"/>
    <mergeCell ref="D69:D71"/>
    <mergeCell ref="A72:A74"/>
    <mergeCell ref="B72:B74"/>
    <mergeCell ref="C72:C74"/>
    <mergeCell ref="D72:D74"/>
    <mergeCell ref="A87:A89"/>
    <mergeCell ref="B87:B89"/>
    <mergeCell ref="C87:C89"/>
    <mergeCell ref="D87:D89"/>
    <mergeCell ref="A90:A92"/>
    <mergeCell ref="B90:B92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93:A95"/>
    <mergeCell ref="B93:B95"/>
    <mergeCell ref="C93:C95"/>
    <mergeCell ref="D93:D95"/>
    <mergeCell ref="A96:A98"/>
    <mergeCell ref="B96:B98"/>
    <mergeCell ref="C96:C98"/>
    <mergeCell ref="D96:D98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59:A161"/>
    <mergeCell ref="B159:B161"/>
    <mergeCell ref="C159:C161"/>
    <mergeCell ref="D159:D161"/>
    <mergeCell ref="A162:A164"/>
    <mergeCell ref="B162:B164"/>
    <mergeCell ref="C162:C164"/>
    <mergeCell ref="D162:D164"/>
    <mergeCell ref="A153:A155"/>
    <mergeCell ref="B153:B155"/>
    <mergeCell ref="C153:C155"/>
    <mergeCell ref="D153:D155"/>
    <mergeCell ref="A156:A158"/>
    <mergeCell ref="B156:B158"/>
    <mergeCell ref="C156:C158"/>
    <mergeCell ref="D156:D158"/>
    <mergeCell ref="A171:A173"/>
    <mergeCell ref="B171:B173"/>
    <mergeCell ref="C171:C173"/>
    <mergeCell ref="D171:D173"/>
    <mergeCell ref="A165:A167"/>
    <mergeCell ref="B165:B167"/>
    <mergeCell ref="C165:C167"/>
    <mergeCell ref="D165:D167"/>
    <mergeCell ref="A168:A170"/>
    <mergeCell ref="B168:B170"/>
    <mergeCell ref="C168:C170"/>
    <mergeCell ref="D168:D170"/>
  </mergeCells>
  <pageMargins left="0.7" right="0.7" top="0.75" bottom="0.75" header="0.3" footer="0.3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view="pageBreakPreview" zoomScale="60" zoomScaleNormal="100" workbookViewId="0">
      <selection activeCell="B4" sqref="B4:B50"/>
    </sheetView>
  </sheetViews>
  <sheetFormatPr defaultRowHeight="15" x14ac:dyDescent="0.25"/>
  <cols>
    <col min="1" max="1" width="4.5703125" customWidth="1"/>
    <col min="2" max="2" width="32" customWidth="1"/>
    <col min="3" max="3" width="6.5703125" customWidth="1"/>
    <col min="4" max="4" width="5.42578125" customWidth="1"/>
    <col min="5" max="17" width="9.28515625" bestFit="1" customWidth="1"/>
    <col min="18" max="18" width="9.5703125" bestFit="1" customWidth="1"/>
    <col min="19" max="19" width="11.7109375" customWidth="1"/>
    <col min="20" max="20" width="9.28515625" bestFit="1" customWidth="1"/>
  </cols>
  <sheetData>
    <row r="1" spans="1:22" ht="20.25" x14ac:dyDescent="0.25">
      <c r="A1" s="861" t="s">
        <v>42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3"/>
    </row>
    <row r="2" spans="1:22" ht="18" thickBot="1" x14ac:dyDescent="0.3">
      <c r="A2" s="864" t="s">
        <v>41</v>
      </c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864"/>
      <c r="V2" s="864"/>
    </row>
    <row r="3" spans="1:22" ht="67.5" thickBot="1" x14ac:dyDescent="0.3">
      <c r="A3" s="79" t="s">
        <v>32</v>
      </c>
      <c r="B3" s="84" t="s">
        <v>1</v>
      </c>
      <c r="C3" s="85" t="s">
        <v>2</v>
      </c>
      <c r="D3" s="84" t="s">
        <v>3</v>
      </c>
      <c r="E3" s="335" t="s">
        <v>22</v>
      </c>
      <c r="F3" s="335" t="s">
        <v>5</v>
      </c>
      <c r="G3" s="335" t="s">
        <v>29</v>
      </c>
      <c r="H3" s="335" t="s">
        <v>70</v>
      </c>
      <c r="I3" s="335" t="s">
        <v>71</v>
      </c>
      <c r="J3" s="335" t="s">
        <v>72</v>
      </c>
      <c r="K3" s="335" t="s">
        <v>73</v>
      </c>
      <c r="L3" s="335" t="s">
        <v>24</v>
      </c>
      <c r="M3" s="335" t="s">
        <v>74</v>
      </c>
      <c r="N3" s="335" t="s">
        <v>75</v>
      </c>
      <c r="O3" s="335" t="s">
        <v>27</v>
      </c>
      <c r="P3" s="335" t="s">
        <v>26</v>
      </c>
      <c r="Q3" s="335" t="s">
        <v>28</v>
      </c>
      <c r="R3" s="335" t="s">
        <v>12</v>
      </c>
      <c r="S3" s="335" t="s">
        <v>13</v>
      </c>
      <c r="T3" s="335" t="s">
        <v>14</v>
      </c>
      <c r="U3" s="335" t="s">
        <v>15</v>
      </c>
      <c r="V3" s="336" t="s">
        <v>16</v>
      </c>
    </row>
    <row r="4" spans="1:22" ht="38.25" customHeight="1" thickBot="1" x14ac:dyDescent="0.3">
      <c r="A4" s="97">
        <v>1</v>
      </c>
      <c r="B4" s="356"/>
      <c r="C4" s="366">
        <v>16</v>
      </c>
      <c r="D4" s="368" t="s">
        <v>17</v>
      </c>
      <c r="E4" s="347">
        <v>83</v>
      </c>
      <c r="F4" s="348">
        <v>86</v>
      </c>
      <c r="G4" s="348">
        <v>82</v>
      </c>
      <c r="H4" s="348">
        <v>70</v>
      </c>
      <c r="I4" s="348">
        <v>64</v>
      </c>
      <c r="J4" s="348">
        <v>79</v>
      </c>
      <c r="K4" s="348">
        <v>63</v>
      </c>
      <c r="L4" s="348">
        <v>78</v>
      </c>
      <c r="M4" s="348">
        <v>92</v>
      </c>
      <c r="N4" s="348">
        <v>89</v>
      </c>
      <c r="O4" s="348">
        <v>92</v>
      </c>
      <c r="P4" s="347">
        <v>94</v>
      </c>
      <c r="Q4" s="347">
        <v>94</v>
      </c>
      <c r="R4" s="375">
        <f>SUM(E4:Q4)</f>
        <v>1066</v>
      </c>
      <c r="S4" s="350">
        <f>AVERAGE(E4:Q4)</f>
        <v>82</v>
      </c>
      <c r="T4" s="349">
        <f>RANK(S4,$S$4:$S$50)</f>
        <v>17</v>
      </c>
      <c r="U4" s="76"/>
      <c r="V4" s="65"/>
    </row>
    <row r="5" spans="1:22" ht="36.75" customHeight="1" thickBot="1" x14ac:dyDescent="0.3">
      <c r="A5" s="93">
        <v>2</v>
      </c>
      <c r="B5" s="354"/>
      <c r="C5" s="320">
        <v>15</v>
      </c>
      <c r="D5" s="344" t="s">
        <v>17</v>
      </c>
      <c r="E5" s="351">
        <v>79</v>
      </c>
      <c r="F5" s="352">
        <v>57</v>
      </c>
      <c r="G5" s="352">
        <v>71</v>
      </c>
      <c r="H5" s="352">
        <v>40</v>
      </c>
      <c r="I5" s="352">
        <v>55</v>
      </c>
      <c r="J5" s="352">
        <v>57</v>
      </c>
      <c r="K5" s="352">
        <v>50</v>
      </c>
      <c r="L5" s="352">
        <v>55</v>
      </c>
      <c r="M5" s="352">
        <v>49</v>
      </c>
      <c r="N5" s="352">
        <v>62</v>
      </c>
      <c r="O5" s="352">
        <v>57</v>
      </c>
      <c r="P5" s="347">
        <v>74</v>
      </c>
      <c r="Q5" s="347">
        <v>85</v>
      </c>
      <c r="R5" s="375">
        <f t="shared" ref="R5:R50" si="0">SUM(E5:Q5)</f>
        <v>791</v>
      </c>
      <c r="S5" s="350">
        <f t="shared" ref="S5:S50" si="1">AVERAGE(E5:Q5)</f>
        <v>60.846153846153847</v>
      </c>
      <c r="T5" s="349">
        <f t="shared" ref="T5:T50" si="2">RANK(S5,$S$4:$S$50)</f>
        <v>42</v>
      </c>
      <c r="U5" s="60"/>
      <c r="V5" s="60"/>
    </row>
    <row r="6" spans="1:22" ht="33" customHeight="1" thickBot="1" x14ac:dyDescent="0.3">
      <c r="A6" s="94">
        <v>3</v>
      </c>
      <c r="B6" s="354"/>
      <c r="C6" s="320">
        <v>15</v>
      </c>
      <c r="D6" s="344" t="s">
        <v>17</v>
      </c>
      <c r="E6" s="351">
        <v>86</v>
      </c>
      <c r="F6" s="352">
        <v>61</v>
      </c>
      <c r="G6" s="352">
        <v>75</v>
      </c>
      <c r="H6" s="352">
        <v>56</v>
      </c>
      <c r="I6" s="352">
        <v>51</v>
      </c>
      <c r="J6" s="352">
        <v>67</v>
      </c>
      <c r="K6" s="352">
        <v>54</v>
      </c>
      <c r="L6" s="352">
        <v>67</v>
      </c>
      <c r="M6" s="352">
        <v>65</v>
      </c>
      <c r="N6" s="352">
        <v>74</v>
      </c>
      <c r="O6" s="352">
        <v>66</v>
      </c>
      <c r="P6" s="347">
        <v>82</v>
      </c>
      <c r="Q6" s="347">
        <v>85</v>
      </c>
      <c r="R6" s="375">
        <f t="shared" si="0"/>
        <v>889</v>
      </c>
      <c r="S6" s="350">
        <f t="shared" si="1"/>
        <v>68.384615384615387</v>
      </c>
      <c r="T6" s="349">
        <f t="shared" si="2"/>
        <v>36</v>
      </c>
      <c r="U6" s="60"/>
      <c r="V6" s="60"/>
    </row>
    <row r="7" spans="1:22" ht="36.75" customHeight="1" thickBot="1" x14ac:dyDescent="0.3">
      <c r="A7" s="93">
        <v>4</v>
      </c>
      <c r="B7" s="354"/>
      <c r="C7" s="320">
        <v>15</v>
      </c>
      <c r="D7" s="344" t="s">
        <v>17</v>
      </c>
      <c r="E7" s="351">
        <v>69</v>
      </c>
      <c r="F7" s="352">
        <v>71</v>
      </c>
      <c r="G7" s="352">
        <v>73</v>
      </c>
      <c r="H7" s="352">
        <v>44</v>
      </c>
      <c r="I7" s="352">
        <v>65</v>
      </c>
      <c r="J7" s="352">
        <v>61</v>
      </c>
      <c r="K7" s="352">
        <v>57</v>
      </c>
      <c r="L7" s="352">
        <v>63</v>
      </c>
      <c r="M7" s="352">
        <v>77</v>
      </c>
      <c r="N7" s="352">
        <v>64</v>
      </c>
      <c r="O7" s="352">
        <v>73</v>
      </c>
      <c r="P7" s="347">
        <v>88</v>
      </c>
      <c r="Q7" s="347">
        <v>93</v>
      </c>
      <c r="R7" s="375">
        <f t="shared" si="0"/>
        <v>898</v>
      </c>
      <c r="S7" s="350">
        <f t="shared" si="1"/>
        <v>69.07692307692308</v>
      </c>
      <c r="T7" s="349">
        <f t="shared" si="2"/>
        <v>35</v>
      </c>
      <c r="U7" s="60"/>
      <c r="V7" s="60"/>
    </row>
    <row r="8" spans="1:22" ht="36" customHeight="1" thickBot="1" x14ac:dyDescent="0.3">
      <c r="A8" s="93">
        <v>5</v>
      </c>
      <c r="B8" s="354"/>
      <c r="C8" s="320">
        <v>15</v>
      </c>
      <c r="D8" s="344" t="s">
        <v>17</v>
      </c>
      <c r="E8" s="351">
        <v>87</v>
      </c>
      <c r="F8" s="352">
        <v>76</v>
      </c>
      <c r="G8" s="352">
        <v>72</v>
      </c>
      <c r="H8" s="352">
        <v>57</v>
      </c>
      <c r="I8" s="352">
        <v>60</v>
      </c>
      <c r="J8" s="352">
        <v>75</v>
      </c>
      <c r="K8" s="352">
        <v>67</v>
      </c>
      <c r="L8" s="352">
        <v>73</v>
      </c>
      <c r="M8" s="352">
        <v>66</v>
      </c>
      <c r="N8" s="352">
        <v>85</v>
      </c>
      <c r="O8" s="352">
        <v>71</v>
      </c>
      <c r="P8" s="347">
        <v>87</v>
      </c>
      <c r="Q8" s="347">
        <v>85</v>
      </c>
      <c r="R8" s="375">
        <f t="shared" si="0"/>
        <v>961</v>
      </c>
      <c r="S8" s="350">
        <f t="shared" si="1"/>
        <v>73.92307692307692</v>
      </c>
      <c r="T8" s="349">
        <f t="shared" si="2"/>
        <v>30</v>
      </c>
      <c r="U8" s="60"/>
      <c r="V8" s="60"/>
    </row>
    <row r="9" spans="1:22" ht="31.5" customHeight="1" thickBot="1" x14ac:dyDescent="0.3">
      <c r="A9" s="94">
        <v>6</v>
      </c>
      <c r="B9" s="354"/>
      <c r="C9" s="320">
        <v>16</v>
      </c>
      <c r="D9" s="344" t="s">
        <v>20</v>
      </c>
      <c r="E9" s="351">
        <v>90</v>
      </c>
      <c r="F9" s="352">
        <v>86</v>
      </c>
      <c r="G9" s="352">
        <v>91</v>
      </c>
      <c r="H9" s="352">
        <v>77</v>
      </c>
      <c r="I9" s="352">
        <v>77</v>
      </c>
      <c r="J9" s="352">
        <v>85</v>
      </c>
      <c r="K9" s="352">
        <v>78</v>
      </c>
      <c r="L9" s="352">
        <v>80</v>
      </c>
      <c r="M9" s="352">
        <v>80</v>
      </c>
      <c r="N9" s="352">
        <v>88</v>
      </c>
      <c r="O9" s="352">
        <v>93</v>
      </c>
      <c r="P9" s="347">
        <v>92</v>
      </c>
      <c r="Q9" s="347">
        <v>92</v>
      </c>
      <c r="R9" s="375">
        <f t="shared" si="0"/>
        <v>1109</v>
      </c>
      <c r="S9" s="350">
        <f t="shared" si="1"/>
        <v>85.307692307692307</v>
      </c>
      <c r="T9" s="349">
        <f t="shared" si="2"/>
        <v>11</v>
      </c>
      <c r="U9" s="60"/>
      <c r="V9" s="60"/>
    </row>
    <row r="10" spans="1:22" ht="27.75" customHeight="1" thickBot="1" x14ac:dyDescent="0.3">
      <c r="A10" s="93">
        <v>7</v>
      </c>
      <c r="B10" s="354"/>
      <c r="C10" s="320">
        <v>16</v>
      </c>
      <c r="D10" s="344" t="s">
        <v>17</v>
      </c>
      <c r="E10" s="351">
        <v>69</v>
      </c>
      <c r="F10" s="352">
        <v>54</v>
      </c>
      <c r="G10" s="352">
        <v>80</v>
      </c>
      <c r="H10" s="352">
        <v>56</v>
      </c>
      <c r="I10" s="352">
        <v>61</v>
      </c>
      <c r="J10" s="352">
        <v>70</v>
      </c>
      <c r="K10" s="352">
        <v>69</v>
      </c>
      <c r="L10" s="352">
        <v>71</v>
      </c>
      <c r="M10" s="352">
        <v>83</v>
      </c>
      <c r="N10" s="352">
        <v>79</v>
      </c>
      <c r="O10" s="352">
        <v>81</v>
      </c>
      <c r="P10" s="347">
        <v>77</v>
      </c>
      <c r="Q10" s="347">
        <v>79</v>
      </c>
      <c r="R10" s="375">
        <f t="shared" si="0"/>
        <v>929</v>
      </c>
      <c r="S10" s="350">
        <f t="shared" si="1"/>
        <v>71.461538461538467</v>
      </c>
      <c r="T10" s="349">
        <f t="shared" si="2"/>
        <v>32</v>
      </c>
      <c r="U10" s="60"/>
      <c r="V10" s="60"/>
    </row>
    <row r="11" spans="1:22" ht="34.5" customHeight="1" thickBot="1" x14ac:dyDescent="0.3">
      <c r="A11" s="93">
        <v>8</v>
      </c>
      <c r="B11" s="354"/>
      <c r="C11" s="320">
        <v>15</v>
      </c>
      <c r="D11" s="344" t="s">
        <v>20</v>
      </c>
      <c r="E11" s="351">
        <v>78</v>
      </c>
      <c r="F11" s="352">
        <v>89</v>
      </c>
      <c r="G11" s="352">
        <v>82</v>
      </c>
      <c r="H11" s="352">
        <v>70</v>
      </c>
      <c r="I11" s="352">
        <v>86</v>
      </c>
      <c r="J11" s="352">
        <v>83</v>
      </c>
      <c r="K11" s="352">
        <v>69</v>
      </c>
      <c r="L11" s="352">
        <v>80</v>
      </c>
      <c r="M11" s="352">
        <v>78</v>
      </c>
      <c r="N11" s="352">
        <v>86</v>
      </c>
      <c r="O11" s="352">
        <v>84</v>
      </c>
      <c r="P11" s="347">
        <v>92</v>
      </c>
      <c r="Q11" s="347">
        <v>93</v>
      </c>
      <c r="R11" s="375">
        <f t="shared" si="0"/>
        <v>1070</v>
      </c>
      <c r="S11" s="350">
        <f t="shared" si="1"/>
        <v>82.307692307692307</v>
      </c>
      <c r="T11" s="349">
        <f t="shared" si="2"/>
        <v>16</v>
      </c>
      <c r="U11" s="60"/>
      <c r="V11" s="60"/>
    </row>
    <row r="12" spans="1:22" ht="42.75" customHeight="1" thickBot="1" x14ac:dyDescent="0.3">
      <c r="A12" s="94">
        <v>9</v>
      </c>
      <c r="B12" s="354"/>
      <c r="C12" s="320">
        <v>15</v>
      </c>
      <c r="D12" s="344" t="s">
        <v>17</v>
      </c>
      <c r="E12" s="351">
        <v>83</v>
      </c>
      <c r="F12" s="352">
        <v>73</v>
      </c>
      <c r="G12" s="352">
        <v>76</v>
      </c>
      <c r="H12" s="352">
        <v>74</v>
      </c>
      <c r="I12" s="352">
        <v>83</v>
      </c>
      <c r="J12" s="352">
        <v>88</v>
      </c>
      <c r="K12" s="352">
        <v>80</v>
      </c>
      <c r="L12" s="352">
        <v>69</v>
      </c>
      <c r="M12" s="352">
        <v>74</v>
      </c>
      <c r="N12" s="352">
        <v>93</v>
      </c>
      <c r="O12" s="352">
        <v>96</v>
      </c>
      <c r="P12" s="347">
        <v>93</v>
      </c>
      <c r="Q12" s="347">
        <v>93</v>
      </c>
      <c r="R12" s="375">
        <f t="shared" si="0"/>
        <v>1075</v>
      </c>
      <c r="S12" s="350">
        <f t="shared" si="1"/>
        <v>82.692307692307693</v>
      </c>
      <c r="T12" s="349">
        <f t="shared" si="2"/>
        <v>15</v>
      </c>
      <c r="U12" s="60"/>
      <c r="V12" s="60"/>
    </row>
    <row r="13" spans="1:22" ht="35.25" customHeight="1" thickBot="1" x14ac:dyDescent="0.3">
      <c r="A13" s="93">
        <v>10</v>
      </c>
      <c r="B13" s="354"/>
      <c r="C13" s="320">
        <v>15</v>
      </c>
      <c r="D13" s="344" t="s">
        <v>20</v>
      </c>
      <c r="E13" s="351">
        <v>91</v>
      </c>
      <c r="F13" s="352">
        <v>80</v>
      </c>
      <c r="G13" s="352">
        <v>78</v>
      </c>
      <c r="H13" s="352">
        <v>79</v>
      </c>
      <c r="I13" s="352">
        <v>91</v>
      </c>
      <c r="J13" s="352">
        <v>84</v>
      </c>
      <c r="K13" s="352">
        <v>75</v>
      </c>
      <c r="L13" s="352">
        <v>86</v>
      </c>
      <c r="M13" s="352">
        <v>90</v>
      </c>
      <c r="N13" s="352">
        <v>88</v>
      </c>
      <c r="O13" s="352">
        <v>94</v>
      </c>
      <c r="P13" s="347">
        <v>94</v>
      </c>
      <c r="Q13" s="347">
        <v>96</v>
      </c>
      <c r="R13" s="375">
        <f t="shared" si="0"/>
        <v>1126</v>
      </c>
      <c r="S13" s="350">
        <f t="shared" si="1"/>
        <v>86.615384615384613</v>
      </c>
      <c r="T13" s="349">
        <f t="shared" si="2"/>
        <v>7</v>
      </c>
      <c r="U13" s="60"/>
      <c r="V13" s="60"/>
    </row>
    <row r="14" spans="1:22" ht="38.25" customHeight="1" thickBot="1" x14ac:dyDescent="0.3">
      <c r="A14" s="94">
        <v>11</v>
      </c>
      <c r="B14" s="354"/>
      <c r="C14" s="320">
        <v>14</v>
      </c>
      <c r="D14" s="344" t="s">
        <v>20</v>
      </c>
      <c r="E14" s="351">
        <v>92</v>
      </c>
      <c r="F14" s="352">
        <v>87</v>
      </c>
      <c r="G14" s="352">
        <v>84</v>
      </c>
      <c r="H14" s="352">
        <v>68</v>
      </c>
      <c r="I14" s="352">
        <v>75</v>
      </c>
      <c r="J14" s="352">
        <v>84</v>
      </c>
      <c r="K14" s="352">
        <v>87</v>
      </c>
      <c r="L14" s="352">
        <v>80</v>
      </c>
      <c r="M14" s="352">
        <v>88</v>
      </c>
      <c r="N14" s="352">
        <v>89</v>
      </c>
      <c r="O14" s="352">
        <v>95</v>
      </c>
      <c r="P14" s="347">
        <v>87</v>
      </c>
      <c r="Q14" s="347">
        <v>97</v>
      </c>
      <c r="R14" s="375">
        <f t="shared" si="0"/>
        <v>1113</v>
      </c>
      <c r="S14" s="350">
        <f t="shared" si="1"/>
        <v>85.615384615384613</v>
      </c>
      <c r="T14" s="349">
        <f t="shared" si="2"/>
        <v>9</v>
      </c>
      <c r="U14" s="60"/>
      <c r="V14" s="60"/>
    </row>
    <row r="15" spans="1:22" ht="46.5" customHeight="1" thickBot="1" x14ac:dyDescent="0.3">
      <c r="A15" s="94">
        <v>12</v>
      </c>
      <c r="B15" s="354"/>
      <c r="C15" s="320">
        <v>16</v>
      </c>
      <c r="D15" s="344" t="s">
        <v>20</v>
      </c>
      <c r="E15" s="351">
        <v>93</v>
      </c>
      <c r="F15" s="352">
        <v>87</v>
      </c>
      <c r="G15" s="352">
        <v>98</v>
      </c>
      <c r="H15" s="352">
        <v>75</v>
      </c>
      <c r="I15" s="352">
        <v>67</v>
      </c>
      <c r="J15" s="352">
        <v>84</v>
      </c>
      <c r="K15" s="352">
        <v>69</v>
      </c>
      <c r="L15" s="352">
        <v>91</v>
      </c>
      <c r="M15" s="352">
        <v>89</v>
      </c>
      <c r="N15" s="352">
        <v>89</v>
      </c>
      <c r="O15" s="352">
        <v>97</v>
      </c>
      <c r="P15" s="347">
        <v>88</v>
      </c>
      <c r="Q15" s="347">
        <v>94</v>
      </c>
      <c r="R15" s="375">
        <f t="shared" si="0"/>
        <v>1121</v>
      </c>
      <c r="S15" s="350">
        <f t="shared" si="1"/>
        <v>86.230769230769226</v>
      </c>
      <c r="T15" s="349">
        <f t="shared" si="2"/>
        <v>8</v>
      </c>
      <c r="U15" s="60"/>
      <c r="V15" s="60"/>
    </row>
    <row r="16" spans="1:22" ht="36.75" customHeight="1" thickBot="1" x14ac:dyDescent="0.3">
      <c r="A16" s="94">
        <v>13</v>
      </c>
      <c r="B16" s="354"/>
      <c r="C16" s="320">
        <v>14</v>
      </c>
      <c r="D16" s="344" t="s">
        <v>20</v>
      </c>
      <c r="E16" s="351">
        <v>93</v>
      </c>
      <c r="F16" s="352">
        <v>76</v>
      </c>
      <c r="G16" s="352">
        <v>86</v>
      </c>
      <c r="H16" s="352">
        <v>57</v>
      </c>
      <c r="I16" s="352">
        <v>75</v>
      </c>
      <c r="J16" s="352">
        <v>78</v>
      </c>
      <c r="K16" s="352">
        <v>71</v>
      </c>
      <c r="L16" s="352">
        <v>65</v>
      </c>
      <c r="M16" s="352">
        <v>73</v>
      </c>
      <c r="N16" s="352">
        <v>79</v>
      </c>
      <c r="O16" s="352">
        <v>89</v>
      </c>
      <c r="P16" s="347">
        <v>88</v>
      </c>
      <c r="Q16" s="347">
        <v>87</v>
      </c>
      <c r="R16" s="375">
        <f t="shared" si="0"/>
        <v>1017</v>
      </c>
      <c r="S16" s="350">
        <f t="shared" si="1"/>
        <v>78.230769230769226</v>
      </c>
      <c r="T16" s="349">
        <f t="shared" si="2"/>
        <v>22</v>
      </c>
      <c r="U16" s="60"/>
      <c r="V16" s="60"/>
    </row>
    <row r="17" spans="1:22" ht="35.25" customHeight="1" thickBot="1" x14ac:dyDescent="0.3">
      <c r="A17" s="93">
        <v>14</v>
      </c>
      <c r="B17" s="354"/>
      <c r="C17" s="320">
        <v>14</v>
      </c>
      <c r="D17" s="344" t="s">
        <v>20</v>
      </c>
      <c r="E17" s="351">
        <v>82</v>
      </c>
      <c r="F17" s="352">
        <v>59</v>
      </c>
      <c r="G17" s="352">
        <v>78</v>
      </c>
      <c r="H17" s="352">
        <v>43</v>
      </c>
      <c r="I17" s="352">
        <v>57</v>
      </c>
      <c r="J17" s="352">
        <v>61</v>
      </c>
      <c r="K17" s="352">
        <v>46</v>
      </c>
      <c r="L17" s="352">
        <v>68</v>
      </c>
      <c r="M17" s="352">
        <v>66</v>
      </c>
      <c r="N17" s="352">
        <v>74</v>
      </c>
      <c r="O17" s="352">
        <v>67</v>
      </c>
      <c r="P17" s="347">
        <v>81</v>
      </c>
      <c r="Q17" s="347">
        <v>76</v>
      </c>
      <c r="R17" s="375">
        <f t="shared" si="0"/>
        <v>858</v>
      </c>
      <c r="S17" s="350">
        <f t="shared" si="1"/>
        <v>66</v>
      </c>
      <c r="T17" s="349">
        <f t="shared" si="2"/>
        <v>38</v>
      </c>
      <c r="U17" s="60"/>
      <c r="V17" s="60"/>
    </row>
    <row r="18" spans="1:22" ht="37.5" customHeight="1" thickBot="1" x14ac:dyDescent="0.3">
      <c r="A18" s="94">
        <v>15</v>
      </c>
      <c r="B18" s="354"/>
      <c r="C18" s="320">
        <v>14</v>
      </c>
      <c r="D18" s="344" t="s">
        <v>20</v>
      </c>
      <c r="E18" s="351">
        <v>71</v>
      </c>
      <c r="F18" s="352">
        <v>72</v>
      </c>
      <c r="G18" s="352">
        <v>83</v>
      </c>
      <c r="H18" s="352">
        <v>54</v>
      </c>
      <c r="I18" s="352">
        <v>57</v>
      </c>
      <c r="J18" s="352">
        <v>64</v>
      </c>
      <c r="K18" s="352">
        <v>56</v>
      </c>
      <c r="L18" s="352">
        <v>66</v>
      </c>
      <c r="M18" s="352">
        <v>68</v>
      </c>
      <c r="N18" s="352">
        <v>68</v>
      </c>
      <c r="O18" s="352">
        <v>68</v>
      </c>
      <c r="P18" s="347">
        <v>74</v>
      </c>
      <c r="Q18" s="347">
        <v>75</v>
      </c>
      <c r="R18" s="375">
        <f t="shared" si="0"/>
        <v>876</v>
      </c>
      <c r="S18" s="350">
        <f t="shared" si="1"/>
        <v>67.384615384615387</v>
      </c>
      <c r="T18" s="349">
        <f t="shared" si="2"/>
        <v>37</v>
      </c>
      <c r="U18" s="60"/>
      <c r="V18" s="60"/>
    </row>
    <row r="19" spans="1:22" ht="33" customHeight="1" thickBot="1" x14ac:dyDescent="0.3">
      <c r="A19" s="93">
        <v>16</v>
      </c>
      <c r="B19" s="354"/>
      <c r="C19" s="320">
        <v>14</v>
      </c>
      <c r="D19" s="344" t="s">
        <v>20</v>
      </c>
      <c r="E19" s="351">
        <v>66</v>
      </c>
      <c r="F19" s="352">
        <v>57</v>
      </c>
      <c r="G19" s="352">
        <v>84</v>
      </c>
      <c r="H19" s="352">
        <v>56</v>
      </c>
      <c r="I19" s="352">
        <v>47</v>
      </c>
      <c r="J19" s="352">
        <v>59</v>
      </c>
      <c r="K19" s="352">
        <v>59</v>
      </c>
      <c r="L19" s="352">
        <v>58</v>
      </c>
      <c r="M19" s="352">
        <v>45</v>
      </c>
      <c r="N19" s="352">
        <v>54</v>
      </c>
      <c r="O19" s="352">
        <v>56</v>
      </c>
      <c r="P19" s="347">
        <v>51</v>
      </c>
      <c r="Q19" s="347">
        <v>79</v>
      </c>
      <c r="R19" s="375">
        <f t="shared" si="0"/>
        <v>771</v>
      </c>
      <c r="S19" s="350">
        <f t="shared" si="1"/>
        <v>59.307692307692307</v>
      </c>
      <c r="T19" s="349">
        <f t="shared" si="2"/>
        <v>44</v>
      </c>
      <c r="U19" s="60"/>
      <c r="V19" s="60"/>
    </row>
    <row r="20" spans="1:22" ht="28.5" customHeight="1" thickBot="1" x14ac:dyDescent="0.3">
      <c r="A20" s="93">
        <v>17</v>
      </c>
      <c r="B20" s="354"/>
      <c r="C20" s="320">
        <v>16</v>
      </c>
      <c r="D20" s="344" t="s">
        <v>20</v>
      </c>
      <c r="E20" s="351">
        <v>86</v>
      </c>
      <c r="F20" s="352">
        <v>78</v>
      </c>
      <c r="G20" s="352">
        <v>86</v>
      </c>
      <c r="H20" s="352">
        <v>82</v>
      </c>
      <c r="I20" s="352">
        <v>63</v>
      </c>
      <c r="J20" s="352">
        <v>79</v>
      </c>
      <c r="K20" s="352">
        <v>58</v>
      </c>
      <c r="L20" s="352">
        <v>70</v>
      </c>
      <c r="M20" s="352">
        <v>62</v>
      </c>
      <c r="N20" s="352">
        <v>66</v>
      </c>
      <c r="O20" s="352">
        <v>79</v>
      </c>
      <c r="P20" s="347">
        <v>88</v>
      </c>
      <c r="Q20" s="347">
        <v>88</v>
      </c>
      <c r="R20" s="375">
        <f t="shared" si="0"/>
        <v>985</v>
      </c>
      <c r="S20" s="350">
        <f t="shared" si="1"/>
        <v>75.769230769230774</v>
      </c>
      <c r="T20" s="349">
        <f t="shared" si="2"/>
        <v>28</v>
      </c>
      <c r="U20" s="60"/>
      <c r="V20" s="60"/>
    </row>
    <row r="21" spans="1:22" ht="37.5" customHeight="1" thickBot="1" x14ac:dyDescent="0.3">
      <c r="A21" s="93">
        <v>18</v>
      </c>
      <c r="B21" s="354"/>
      <c r="C21" s="320">
        <v>14</v>
      </c>
      <c r="D21" s="344" t="s">
        <v>20</v>
      </c>
      <c r="E21" s="351">
        <v>85</v>
      </c>
      <c r="F21" s="352">
        <v>66</v>
      </c>
      <c r="G21" s="352">
        <v>82</v>
      </c>
      <c r="H21" s="352">
        <v>79</v>
      </c>
      <c r="I21" s="352">
        <v>80</v>
      </c>
      <c r="J21" s="352">
        <v>77</v>
      </c>
      <c r="K21" s="352">
        <v>71</v>
      </c>
      <c r="L21" s="352">
        <v>78</v>
      </c>
      <c r="M21" s="352">
        <v>69</v>
      </c>
      <c r="N21" s="352">
        <v>90</v>
      </c>
      <c r="O21" s="352">
        <v>79</v>
      </c>
      <c r="P21" s="347">
        <v>82</v>
      </c>
      <c r="Q21" s="347">
        <v>95</v>
      </c>
      <c r="R21" s="375">
        <f t="shared" si="0"/>
        <v>1033</v>
      </c>
      <c r="S21" s="350">
        <f t="shared" si="1"/>
        <v>79.461538461538467</v>
      </c>
      <c r="T21" s="349">
        <f t="shared" si="2"/>
        <v>20</v>
      </c>
      <c r="U21" s="60"/>
      <c r="V21" s="60"/>
    </row>
    <row r="22" spans="1:22" ht="35.25" customHeight="1" thickBot="1" x14ac:dyDescent="0.3">
      <c r="A22" s="94">
        <v>19</v>
      </c>
      <c r="B22" s="354"/>
      <c r="C22" s="320">
        <v>14</v>
      </c>
      <c r="D22" s="344" t="s">
        <v>17</v>
      </c>
      <c r="E22" s="351">
        <v>92</v>
      </c>
      <c r="F22" s="352">
        <v>69</v>
      </c>
      <c r="G22" s="353">
        <v>81</v>
      </c>
      <c r="H22" s="352">
        <v>83</v>
      </c>
      <c r="I22" s="352">
        <v>84</v>
      </c>
      <c r="J22" s="352">
        <v>87</v>
      </c>
      <c r="K22" s="352">
        <v>76</v>
      </c>
      <c r="L22" s="352">
        <v>76</v>
      </c>
      <c r="M22" s="352">
        <v>82</v>
      </c>
      <c r="N22" s="352">
        <v>89</v>
      </c>
      <c r="O22" s="352">
        <v>96</v>
      </c>
      <c r="P22" s="347">
        <v>94</v>
      </c>
      <c r="Q22" s="347">
        <v>91</v>
      </c>
      <c r="R22" s="375">
        <f t="shared" si="0"/>
        <v>1100</v>
      </c>
      <c r="S22" s="350">
        <f t="shared" si="1"/>
        <v>84.615384615384613</v>
      </c>
      <c r="T22" s="349">
        <f t="shared" si="2"/>
        <v>12</v>
      </c>
      <c r="U22" s="60"/>
      <c r="V22" s="60"/>
    </row>
    <row r="23" spans="1:22" ht="38.25" customHeight="1" thickBot="1" x14ac:dyDescent="0.3">
      <c r="A23" s="94">
        <v>20</v>
      </c>
      <c r="B23" s="354"/>
      <c r="C23" s="320">
        <v>14</v>
      </c>
      <c r="D23" s="344" t="s">
        <v>20</v>
      </c>
      <c r="E23" s="351">
        <v>87</v>
      </c>
      <c r="F23" s="352">
        <v>85</v>
      </c>
      <c r="G23" s="352">
        <v>85</v>
      </c>
      <c r="H23" s="352">
        <v>68</v>
      </c>
      <c r="I23" s="352">
        <v>64</v>
      </c>
      <c r="J23" s="352">
        <v>83</v>
      </c>
      <c r="K23" s="352">
        <v>56</v>
      </c>
      <c r="L23" s="352">
        <v>72</v>
      </c>
      <c r="M23" s="352">
        <v>75</v>
      </c>
      <c r="N23" s="352">
        <v>85</v>
      </c>
      <c r="O23" s="352">
        <v>93</v>
      </c>
      <c r="P23" s="347">
        <v>80</v>
      </c>
      <c r="Q23" s="347">
        <v>96</v>
      </c>
      <c r="R23" s="375">
        <f t="shared" si="0"/>
        <v>1029</v>
      </c>
      <c r="S23" s="350">
        <f t="shared" si="1"/>
        <v>79.15384615384616</v>
      </c>
      <c r="T23" s="349">
        <f t="shared" si="2"/>
        <v>21</v>
      </c>
      <c r="U23" s="60"/>
      <c r="V23" s="60"/>
    </row>
    <row r="24" spans="1:22" ht="36.75" customHeight="1" thickBot="1" x14ac:dyDescent="0.3">
      <c r="A24" s="94">
        <v>21</v>
      </c>
      <c r="B24" s="355"/>
      <c r="C24" s="364">
        <v>14</v>
      </c>
      <c r="D24" s="365" t="s">
        <v>20</v>
      </c>
      <c r="E24" s="351">
        <v>85</v>
      </c>
      <c r="F24" s="352">
        <v>84</v>
      </c>
      <c r="G24" s="352">
        <v>81</v>
      </c>
      <c r="H24" s="352">
        <v>51</v>
      </c>
      <c r="I24" s="352">
        <v>55</v>
      </c>
      <c r="J24" s="352">
        <v>68</v>
      </c>
      <c r="K24" s="352">
        <v>60</v>
      </c>
      <c r="L24" s="352">
        <v>67</v>
      </c>
      <c r="M24" s="352">
        <v>70</v>
      </c>
      <c r="N24" s="352">
        <v>82</v>
      </c>
      <c r="O24" s="352">
        <v>66</v>
      </c>
      <c r="P24" s="347">
        <v>90</v>
      </c>
      <c r="Q24" s="347">
        <v>86</v>
      </c>
      <c r="R24" s="375">
        <f t="shared" si="0"/>
        <v>945</v>
      </c>
      <c r="S24" s="350">
        <f t="shared" si="1"/>
        <v>72.692307692307693</v>
      </c>
      <c r="T24" s="349">
        <f t="shared" si="2"/>
        <v>31</v>
      </c>
      <c r="U24" s="60"/>
      <c r="V24" s="60"/>
    </row>
    <row r="25" spans="1:22" ht="36.75" customHeight="1" thickBot="1" x14ac:dyDescent="0.3">
      <c r="A25" s="93">
        <v>22</v>
      </c>
      <c r="B25" s="355"/>
      <c r="C25" s="364">
        <v>14</v>
      </c>
      <c r="D25" s="365" t="s">
        <v>20</v>
      </c>
      <c r="E25" s="351">
        <v>82</v>
      </c>
      <c r="F25" s="352">
        <v>82</v>
      </c>
      <c r="G25" s="353">
        <v>84</v>
      </c>
      <c r="H25" s="352">
        <v>41</v>
      </c>
      <c r="I25" s="352">
        <v>63</v>
      </c>
      <c r="J25" s="352">
        <v>69</v>
      </c>
      <c r="K25" s="352">
        <v>74</v>
      </c>
      <c r="L25" s="352">
        <v>63</v>
      </c>
      <c r="M25" s="352">
        <v>76</v>
      </c>
      <c r="N25" s="352">
        <v>85</v>
      </c>
      <c r="O25" s="352">
        <v>76</v>
      </c>
      <c r="P25" s="347">
        <v>82</v>
      </c>
      <c r="Q25" s="347">
        <v>85</v>
      </c>
      <c r="R25" s="375">
        <f t="shared" si="0"/>
        <v>962</v>
      </c>
      <c r="S25" s="350">
        <f t="shared" si="1"/>
        <v>74</v>
      </c>
      <c r="T25" s="349">
        <f t="shared" si="2"/>
        <v>29</v>
      </c>
      <c r="U25" s="60"/>
      <c r="V25" s="60"/>
    </row>
    <row r="26" spans="1:22" ht="28.5" customHeight="1" thickBot="1" x14ac:dyDescent="0.3">
      <c r="A26" s="93">
        <v>23</v>
      </c>
      <c r="B26" s="355"/>
      <c r="C26" s="364">
        <v>16</v>
      </c>
      <c r="D26" s="365" t="s">
        <v>20</v>
      </c>
      <c r="E26" s="351">
        <v>70</v>
      </c>
      <c r="F26" s="352">
        <v>53</v>
      </c>
      <c r="G26" s="352">
        <v>80</v>
      </c>
      <c r="H26" s="352">
        <v>57</v>
      </c>
      <c r="I26" s="352">
        <v>55</v>
      </c>
      <c r="J26" s="352">
        <v>50</v>
      </c>
      <c r="K26" s="352">
        <v>39</v>
      </c>
      <c r="L26" s="352">
        <v>47</v>
      </c>
      <c r="M26" s="352">
        <v>40</v>
      </c>
      <c r="N26" s="352">
        <v>62</v>
      </c>
      <c r="O26" s="352">
        <v>47</v>
      </c>
      <c r="P26" s="347">
        <v>77</v>
      </c>
      <c r="Q26" s="347">
        <v>78</v>
      </c>
      <c r="R26" s="375">
        <f t="shared" si="0"/>
        <v>755</v>
      </c>
      <c r="S26" s="350">
        <f t="shared" si="1"/>
        <v>58.07692307692308</v>
      </c>
      <c r="T26" s="349">
        <f t="shared" si="2"/>
        <v>45</v>
      </c>
      <c r="U26" s="60"/>
      <c r="V26" s="60"/>
    </row>
    <row r="27" spans="1:22" ht="35.25" customHeight="1" thickBot="1" x14ac:dyDescent="0.3">
      <c r="A27" s="94">
        <v>24</v>
      </c>
      <c r="B27" s="355"/>
      <c r="C27" s="364">
        <v>16</v>
      </c>
      <c r="D27" s="365" t="s">
        <v>17</v>
      </c>
      <c r="E27" s="351">
        <v>92</v>
      </c>
      <c r="F27" s="352">
        <v>89</v>
      </c>
      <c r="G27" s="352">
        <v>89</v>
      </c>
      <c r="H27" s="352">
        <v>92</v>
      </c>
      <c r="I27" s="352">
        <v>94</v>
      </c>
      <c r="J27" s="352">
        <v>94</v>
      </c>
      <c r="K27" s="352">
        <v>87</v>
      </c>
      <c r="L27" s="352">
        <v>92</v>
      </c>
      <c r="M27" s="352">
        <v>88</v>
      </c>
      <c r="N27" s="352">
        <v>94</v>
      </c>
      <c r="O27" s="352">
        <v>98</v>
      </c>
      <c r="P27" s="347">
        <v>96</v>
      </c>
      <c r="Q27" s="347">
        <v>93</v>
      </c>
      <c r="R27" s="375">
        <f t="shared" si="0"/>
        <v>1198</v>
      </c>
      <c r="S27" s="350">
        <f t="shared" si="1"/>
        <v>92.15384615384616</v>
      </c>
      <c r="T27" s="349">
        <f t="shared" si="2"/>
        <v>3</v>
      </c>
      <c r="U27" s="60"/>
      <c r="V27" s="60"/>
    </row>
    <row r="28" spans="1:22" ht="29.25" customHeight="1" thickBot="1" x14ac:dyDescent="0.3">
      <c r="A28" s="93">
        <v>25</v>
      </c>
      <c r="B28" s="355"/>
      <c r="C28" s="364">
        <v>16</v>
      </c>
      <c r="D28" s="365" t="s">
        <v>17</v>
      </c>
      <c r="E28" s="351">
        <v>77</v>
      </c>
      <c r="F28" s="352">
        <v>52</v>
      </c>
      <c r="G28" s="352">
        <v>72</v>
      </c>
      <c r="H28" s="352">
        <v>39</v>
      </c>
      <c r="I28" s="352">
        <v>55</v>
      </c>
      <c r="J28" s="352">
        <v>44</v>
      </c>
      <c r="K28" s="352">
        <v>47</v>
      </c>
      <c r="L28" s="352">
        <v>52</v>
      </c>
      <c r="M28" s="352">
        <v>53</v>
      </c>
      <c r="N28" s="352">
        <v>48</v>
      </c>
      <c r="O28" s="352">
        <v>70</v>
      </c>
      <c r="P28" s="347">
        <v>56</v>
      </c>
      <c r="Q28" s="347">
        <v>74</v>
      </c>
      <c r="R28" s="375">
        <f t="shared" si="0"/>
        <v>739</v>
      </c>
      <c r="S28" s="350">
        <f t="shared" si="1"/>
        <v>56.846153846153847</v>
      </c>
      <c r="T28" s="349">
        <f t="shared" si="2"/>
        <v>46</v>
      </c>
      <c r="U28" s="60"/>
      <c r="V28" s="60"/>
    </row>
    <row r="29" spans="1:22" ht="39" customHeight="1" thickBot="1" x14ac:dyDescent="0.3">
      <c r="A29" s="94">
        <v>26</v>
      </c>
      <c r="B29" s="369"/>
      <c r="C29" s="370">
        <v>15</v>
      </c>
      <c r="D29" s="371" t="s">
        <v>17</v>
      </c>
      <c r="E29" s="351">
        <v>76</v>
      </c>
      <c r="F29" s="352">
        <v>49</v>
      </c>
      <c r="G29" s="352">
        <v>70</v>
      </c>
      <c r="H29" s="352">
        <v>58</v>
      </c>
      <c r="I29" s="352">
        <v>64</v>
      </c>
      <c r="J29" s="352">
        <v>58</v>
      </c>
      <c r="K29" s="352">
        <v>50</v>
      </c>
      <c r="L29" s="352">
        <v>66</v>
      </c>
      <c r="M29" s="352">
        <v>49</v>
      </c>
      <c r="N29" s="352">
        <v>59</v>
      </c>
      <c r="O29" s="352">
        <v>65</v>
      </c>
      <c r="P29" s="347">
        <v>76</v>
      </c>
      <c r="Q29" s="347">
        <v>64</v>
      </c>
      <c r="R29" s="375">
        <f t="shared" si="0"/>
        <v>804</v>
      </c>
      <c r="S29" s="350">
        <f t="shared" si="1"/>
        <v>61.846153846153847</v>
      </c>
      <c r="T29" s="349">
        <f t="shared" si="2"/>
        <v>41</v>
      </c>
      <c r="U29" s="60"/>
      <c r="V29" s="60"/>
    </row>
    <row r="30" spans="1:22" ht="31.5" customHeight="1" thickBot="1" x14ac:dyDescent="0.3">
      <c r="A30" s="94">
        <v>27</v>
      </c>
      <c r="B30" s="355"/>
      <c r="C30" s="364">
        <v>16</v>
      </c>
      <c r="D30" s="365" t="s">
        <v>17</v>
      </c>
      <c r="E30" s="351">
        <v>88</v>
      </c>
      <c r="F30" s="352">
        <v>66</v>
      </c>
      <c r="G30" s="352">
        <v>79</v>
      </c>
      <c r="H30" s="352">
        <v>55</v>
      </c>
      <c r="I30" s="352">
        <v>62</v>
      </c>
      <c r="J30" s="352">
        <v>66</v>
      </c>
      <c r="K30" s="352">
        <v>60</v>
      </c>
      <c r="L30" s="352">
        <v>68</v>
      </c>
      <c r="M30" s="352">
        <v>65</v>
      </c>
      <c r="N30" s="352">
        <v>75</v>
      </c>
      <c r="O30" s="352">
        <v>79</v>
      </c>
      <c r="P30" s="347">
        <v>81</v>
      </c>
      <c r="Q30" s="347">
        <v>85</v>
      </c>
      <c r="R30" s="375">
        <f t="shared" si="0"/>
        <v>929</v>
      </c>
      <c r="S30" s="350">
        <f t="shared" si="1"/>
        <v>71.461538461538467</v>
      </c>
      <c r="T30" s="349">
        <f t="shared" si="2"/>
        <v>32</v>
      </c>
      <c r="U30" s="60"/>
      <c r="V30" s="60"/>
    </row>
    <row r="31" spans="1:22" ht="30.75" customHeight="1" thickBot="1" x14ac:dyDescent="0.3">
      <c r="A31" s="94">
        <v>28</v>
      </c>
      <c r="B31" s="355"/>
      <c r="C31" s="364">
        <v>16</v>
      </c>
      <c r="D31" s="365" t="s">
        <v>17</v>
      </c>
      <c r="E31" s="351">
        <v>71</v>
      </c>
      <c r="F31" s="352">
        <v>63</v>
      </c>
      <c r="G31" s="353">
        <v>81</v>
      </c>
      <c r="H31" s="353">
        <v>65</v>
      </c>
      <c r="I31" s="352">
        <v>63</v>
      </c>
      <c r="J31" s="353">
        <v>66</v>
      </c>
      <c r="K31" s="352">
        <v>58</v>
      </c>
      <c r="L31" s="352">
        <v>67</v>
      </c>
      <c r="M31" s="352">
        <v>66</v>
      </c>
      <c r="N31" s="352">
        <v>74</v>
      </c>
      <c r="O31" s="352">
        <v>69</v>
      </c>
      <c r="P31" s="347">
        <v>77</v>
      </c>
      <c r="Q31" s="347">
        <v>88</v>
      </c>
      <c r="R31" s="375">
        <f t="shared" si="0"/>
        <v>908</v>
      </c>
      <c r="S31" s="350">
        <f t="shared" si="1"/>
        <v>69.84615384615384</v>
      </c>
      <c r="T31" s="349">
        <f t="shared" si="2"/>
        <v>34</v>
      </c>
      <c r="U31" s="60"/>
      <c r="V31" s="60"/>
    </row>
    <row r="32" spans="1:22" ht="30.75" customHeight="1" thickBot="1" x14ac:dyDescent="0.3">
      <c r="A32" s="93">
        <v>29</v>
      </c>
      <c r="B32" s="355"/>
      <c r="C32" s="364">
        <v>15</v>
      </c>
      <c r="D32" s="365" t="s">
        <v>20</v>
      </c>
      <c r="E32" s="351">
        <v>94</v>
      </c>
      <c r="F32" s="353">
        <v>85</v>
      </c>
      <c r="G32" s="353">
        <v>92</v>
      </c>
      <c r="H32" s="352">
        <v>75</v>
      </c>
      <c r="I32" s="353">
        <v>82</v>
      </c>
      <c r="J32" s="352">
        <v>90</v>
      </c>
      <c r="K32" s="352">
        <v>90</v>
      </c>
      <c r="L32" s="352">
        <v>87</v>
      </c>
      <c r="M32" s="352">
        <v>90</v>
      </c>
      <c r="N32" s="352">
        <v>91</v>
      </c>
      <c r="O32" s="352">
        <v>83</v>
      </c>
      <c r="P32" s="347">
        <v>95</v>
      </c>
      <c r="Q32" s="347">
        <v>94</v>
      </c>
      <c r="R32" s="375">
        <f t="shared" si="0"/>
        <v>1148</v>
      </c>
      <c r="S32" s="350">
        <f t="shared" si="1"/>
        <v>88.307692307692307</v>
      </c>
      <c r="T32" s="349">
        <f t="shared" si="2"/>
        <v>5</v>
      </c>
      <c r="U32" s="60"/>
      <c r="V32" s="60"/>
    </row>
    <row r="33" spans="1:22" ht="35.25" customHeight="1" thickBot="1" x14ac:dyDescent="0.3">
      <c r="A33" s="94">
        <v>30</v>
      </c>
      <c r="B33" s="355"/>
      <c r="C33" s="364">
        <v>14</v>
      </c>
      <c r="D33" s="365" t="s">
        <v>20</v>
      </c>
      <c r="E33" s="351">
        <v>89</v>
      </c>
      <c r="F33" s="352">
        <v>84</v>
      </c>
      <c r="G33" s="352">
        <v>78</v>
      </c>
      <c r="H33" s="352">
        <v>67</v>
      </c>
      <c r="I33" s="352">
        <v>55</v>
      </c>
      <c r="J33" s="352">
        <v>73</v>
      </c>
      <c r="K33" s="352">
        <v>69</v>
      </c>
      <c r="L33" s="352">
        <v>72</v>
      </c>
      <c r="M33" s="352">
        <v>78</v>
      </c>
      <c r="N33" s="352">
        <v>91</v>
      </c>
      <c r="O33" s="352">
        <v>73</v>
      </c>
      <c r="P33" s="347">
        <v>85</v>
      </c>
      <c r="Q33" s="347">
        <v>82</v>
      </c>
      <c r="R33" s="375">
        <f t="shared" si="0"/>
        <v>996</v>
      </c>
      <c r="S33" s="350">
        <f t="shared" si="1"/>
        <v>76.615384615384613</v>
      </c>
      <c r="T33" s="349">
        <f t="shared" si="2"/>
        <v>25</v>
      </c>
      <c r="U33" s="60"/>
      <c r="V33" s="60"/>
    </row>
    <row r="34" spans="1:22" ht="34.5" customHeight="1" thickBot="1" x14ac:dyDescent="0.3">
      <c r="A34" s="93">
        <v>31</v>
      </c>
      <c r="B34" s="355"/>
      <c r="C34" s="364">
        <v>15</v>
      </c>
      <c r="D34" s="365" t="s">
        <v>17</v>
      </c>
      <c r="E34" s="351">
        <v>85</v>
      </c>
      <c r="F34" s="352">
        <v>79</v>
      </c>
      <c r="G34" s="353">
        <v>80</v>
      </c>
      <c r="H34" s="352">
        <v>61</v>
      </c>
      <c r="I34" s="352">
        <v>68</v>
      </c>
      <c r="J34" s="352">
        <v>74</v>
      </c>
      <c r="K34" s="352">
        <v>70</v>
      </c>
      <c r="L34" s="352">
        <v>81</v>
      </c>
      <c r="M34" s="352">
        <v>69</v>
      </c>
      <c r="N34" s="352">
        <v>82</v>
      </c>
      <c r="O34" s="352">
        <v>83</v>
      </c>
      <c r="P34" s="347">
        <v>86</v>
      </c>
      <c r="Q34" s="347">
        <v>91</v>
      </c>
      <c r="R34" s="375">
        <f t="shared" si="0"/>
        <v>1009</v>
      </c>
      <c r="S34" s="350">
        <f t="shared" si="1"/>
        <v>77.615384615384613</v>
      </c>
      <c r="T34" s="349">
        <f t="shared" si="2"/>
        <v>24</v>
      </c>
      <c r="U34" s="60"/>
      <c r="V34" s="60"/>
    </row>
    <row r="35" spans="1:22" ht="39" customHeight="1" thickBot="1" x14ac:dyDescent="0.3">
      <c r="A35" s="93">
        <v>32</v>
      </c>
      <c r="B35" s="355"/>
      <c r="C35" s="364">
        <v>15</v>
      </c>
      <c r="D35" s="365" t="s">
        <v>17</v>
      </c>
      <c r="E35" s="351">
        <v>93</v>
      </c>
      <c r="F35" s="352">
        <v>86</v>
      </c>
      <c r="G35" s="352">
        <v>99</v>
      </c>
      <c r="H35" s="352">
        <v>83</v>
      </c>
      <c r="I35" s="352">
        <v>78</v>
      </c>
      <c r="J35" s="352">
        <v>93</v>
      </c>
      <c r="K35" s="352">
        <v>82</v>
      </c>
      <c r="L35" s="352">
        <v>81</v>
      </c>
      <c r="M35" s="352">
        <v>84</v>
      </c>
      <c r="N35" s="352">
        <v>93</v>
      </c>
      <c r="O35" s="352">
        <v>93</v>
      </c>
      <c r="P35" s="347">
        <v>93</v>
      </c>
      <c r="Q35" s="347">
        <v>94</v>
      </c>
      <c r="R35" s="375">
        <f t="shared" si="0"/>
        <v>1152</v>
      </c>
      <c r="S35" s="350">
        <f t="shared" si="1"/>
        <v>88.615384615384613</v>
      </c>
      <c r="T35" s="349">
        <f t="shared" si="2"/>
        <v>4</v>
      </c>
      <c r="U35" s="60"/>
      <c r="V35" s="60"/>
    </row>
    <row r="36" spans="1:22" ht="30.75" customHeight="1" thickBot="1" x14ac:dyDescent="0.3">
      <c r="A36" s="93">
        <v>33</v>
      </c>
      <c r="B36" s="355"/>
      <c r="C36" s="364">
        <v>15</v>
      </c>
      <c r="D36" s="365" t="s">
        <v>20</v>
      </c>
      <c r="E36" s="351">
        <v>95</v>
      </c>
      <c r="F36" s="352">
        <v>98</v>
      </c>
      <c r="G36" s="352">
        <v>91</v>
      </c>
      <c r="H36" s="352">
        <v>85</v>
      </c>
      <c r="I36" s="352">
        <v>97</v>
      </c>
      <c r="J36" s="352">
        <v>96</v>
      </c>
      <c r="K36" s="352">
        <v>89</v>
      </c>
      <c r="L36" s="352">
        <v>87</v>
      </c>
      <c r="M36" s="352">
        <v>90</v>
      </c>
      <c r="N36" s="352">
        <v>96</v>
      </c>
      <c r="O36" s="352">
        <v>96</v>
      </c>
      <c r="P36" s="347">
        <v>96</v>
      </c>
      <c r="Q36" s="347">
        <v>95</v>
      </c>
      <c r="R36" s="375">
        <f t="shared" si="0"/>
        <v>1211</v>
      </c>
      <c r="S36" s="350">
        <f t="shared" si="1"/>
        <v>93.15384615384616</v>
      </c>
      <c r="T36" s="349">
        <f t="shared" si="2"/>
        <v>2</v>
      </c>
      <c r="U36" s="60"/>
      <c r="V36" s="60"/>
    </row>
    <row r="37" spans="1:22" ht="27.75" customHeight="1" thickBot="1" x14ac:dyDescent="0.3">
      <c r="A37" s="94">
        <v>34</v>
      </c>
      <c r="B37" s="355"/>
      <c r="C37" s="364">
        <v>15</v>
      </c>
      <c r="D37" s="365" t="s">
        <v>20</v>
      </c>
      <c r="E37" s="351">
        <v>90</v>
      </c>
      <c r="F37" s="353">
        <v>79</v>
      </c>
      <c r="G37" s="353">
        <v>81</v>
      </c>
      <c r="H37" s="353">
        <v>54</v>
      </c>
      <c r="I37" s="352">
        <v>58</v>
      </c>
      <c r="J37" s="352">
        <v>73</v>
      </c>
      <c r="K37" s="352">
        <v>72</v>
      </c>
      <c r="L37" s="352">
        <v>66</v>
      </c>
      <c r="M37" s="352">
        <v>68</v>
      </c>
      <c r="N37" s="352">
        <v>78</v>
      </c>
      <c r="O37" s="353">
        <v>96</v>
      </c>
      <c r="P37" s="376">
        <v>90</v>
      </c>
      <c r="Q37" s="376">
        <v>87</v>
      </c>
      <c r="R37" s="375">
        <f t="shared" si="0"/>
        <v>992</v>
      </c>
      <c r="S37" s="350">
        <f t="shared" si="1"/>
        <v>76.307692307692307</v>
      </c>
      <c r="T37" s="349">
        <f t="shared" si="2"/>
        <v>26</v>
      </c>
      <c r="U37" s="60"/>
      <c r="V37" s="60"/>
    </row>
    <row r="38" spans="1:22" ht="30" customHeight="1" thickBot="1" x14ac:dyDescent="0.3">
      <c r="A38" s="94">
        <v>35</v>
      </c>
      <c r="B38" s="355"/>
      <c r="C38" s="364">
        <v>15</v>
      </c>
      <c r="D38" s="365" t="s">
        <v>20</v>
      </c>
      <c r="E38" s="351">
        <v>89</v>
      </c>
      <c r="F38" s="352">
        <v>83</v>
      </c>
      <c r="G38" s="353">
        <v>82</v>
      </c>
      <c r="H38" s="352">
        <v>86</v>
      </c>
      <c r="I38" s="352">
        <v>64</v>
      </c>
      <c r="J38" s="352">
        <v>87</v>
      </c>
      <c r="K38" s="353">
        <v>81</v>
      </c>
      <c r="L38" s="352">
        <v>79</v>
      </c>
      <c r="M38" s="352">
        <v>87</v>
      </c>
      <c r="N38" s="352">
        <v>90</v>
      </c>
      <c r="O38" s="352">
        <v>77</v>
      </c>
      <c r="P38" s="347">
        <v>93</v>
      </c>
      <c r="Q38" s="347">
        <v>94</v>
      </c>
      <c r="R38" s="375">
        <f t="shared" si="0"/>
        <v>1092</v>
      </c>
      <c r="S38" s="350">
        <f t="shared" si="1"/>
        <v>84</v>
      </c>
      <c r="T38" s="349">
        <f t="shared" si="2"/>
        <v>13</v>
      </c>
      <c r="U38" s="60"/>
      <c r="V38" s="60"/>
    </row>
    <row r="39" spans="1:22" ht="33" customHeight="1" thickBot="1" x14ac:dyDescent="0.3">
      <c r="A39" s="94">
        <v>36</v>
      </c>
      <c r="B39" s="355"/>
      <c r="C39" s="364">
        <v>15</v>
      </c>
      <c r="D39" s="365" t="s">
        <v>20</v>
      </c>
      <c r="E39" s="351">
        <v>86</v>
      </c>
      <c r="F39" s="352">
        <v>70</v>
      </c>
      <c r="G39" s="352">
        <v>84</v>
      </c>
      <c r="H39" s="352">
        <v>60</v>
      </c>
      <c r="I39" s="352">
        <v>67</v>
      </c>
      <c r="J39" s="352">
        <v>74</v>
      </c>
      <c r="K39" s="352">
        <v>65</v>
      </c>
      <c r="L39" s="352">
        <v>70</v>
      </c>
      <c r="M39" s="352">
        <v>67</v>
      </c>
      <c r="N39" s="352">
        <v>82</v>
      </c>
      <c r="O39" s="352">
        <v>88</v>
      </c>
      <c r="P39" s="347">
        <v>87</v>
      </c>
      <c r="Q39" s="347">
        <v>92</v>
      </c>
      <c r="R39" s="375">
        <f t="shared" si="0"/>
        <v>992</v>
      </c>
      <c r="S39" s="350">
        <f t="shared" si="1"/>
        <v>76.307692307692307</v>
      </c>
      <c r="T39" s="349">
        <f t="shared" si="2"/>
        <v>26</v>
      </c>
      <c r="U39" s="60"/>
      <c r="V39" s="60"/>
    </row>
    <row r="40" spans="1:22" ht="27.75" customHeight="1" thickBot="1" x14ac:dyDescent="0.3">
      <c r="A40" s="93">
        <v>37</v>
      </c>
      <c r="B40" s="355"/>
      <c r="C40" s="364">
        <v>15</v>
      </c>
      <c r="D40" s="365" t="s">
        <v>20</v>
      </c>
      <c r="E40" s="351">
        <v>85</v>
      </c>
      <c r="F40" s="352">
        <v>83</v>
      </c>
      <c r="G40" s="353">
        <v>91</v>
      </c>
      <c r="H40" s="352">
        <v>79</v>
      </c>
      <c r="I40" s="352">
        <v>75</v>
      </c>
      <c r="J40" s="352">
        <v>84</v>
      </c>
      <c r="K40" s="352">
        <v>80</v>
      </c>
      <c r="L40" s="352">
        <v>86</v>
      </c>
      <c r="M40" s="352">
        <v>89</v>
      </c>
      <c r="N40" s="352">
        <v>96</v>
      </c>
      <c r="O40" s="352">
        <v>84</v>
      </c>
      <c r="P40" s="347">
        <v>85</v>
      </c>
      <c r="Q40" s="347">
        <v>96</v>
      </c>
      <c r="R40" s="375">
        <f t="shared" si="0"/>
        <v>1113</v>
      </c>
      <c r="S40" s="350">
        <f t="shared" si="1"/>
        <v>85.615384615384613</v>
      </c>
      <c r="T40" s="349">
        <f t="shared" si="2"/>
        <v>9</v>
      </c>
      <c r="U40" s="60"/>
      <c r="V40" s="60"/>
    </row>
    <row r="41" spans="1:22" ht="22.5" customHeight="1" thickBot="1" x14ac:dyDescent="0.3">
      <c r="A41" s="93">
        <v>38</v>
      </c>
      <c r="B41" s="355"/>
      <c r="C41" s="364">
        <v>14</v>
      </c>
      <c r="D41" s="365" t="s">
        <v>20</v>
      </c>
      <c r="E41" s="351">
        <v>92</v>
      </c>
      <c r="F41" s="352">
        <v>79</v>
      </c>
      <c r="G41" s="352">
        <v>87</v>
      </c>
      <c r="H41" s="352">
        <v>61</v>
      </c>
      <c r="I41" s="352">
        <v>68</v>
      </c>
      <c r="J41" s="352">
        <v>77</v>
      </c>
      <c r="K41" s="352">
        <v>63</v>
      </c>
      <c r="L41" s="352">
        <v>71</v>
      </c>
      <c r="M41" s="352">
        <v>68</v>
      </c>
      <c r="N41" s="352">
        <v>81</v>
      </c>
      <c r="O41" s="352">
        <v>85</v>
      </c>
      <c r="P41" s="347">
        <v>88</v>
      </c>
      <c r="Q41" s="347">
        <v>90</v>
      </c>
      <c r="R41" s="375">
        <f t="shared" si="0"/>
        <v>1010</v>
      </c>
      <c r="S41" s="350">
        <f t="shared" si="1"/>
        <v>77.692307692307693</v>
      </c>
      <c r="T41" s="349">
        <f t="shared" si="2"/>
        <v>23</v>
      </c>
      <c r="U41" s="60"/>
      <c r="V41" s="60"/>
    </row>
    <row r="42" spans="1:22" ht="32.25" customHeight="1" thickBot="1" x14ac:dyDescent="0.3">
      <c r="A42" s="94">
        <v>39</v>
      </c>
      <c r="B42" s="355"/>
      <c r="C42" s="364">
        <v>15</v>
      </c>
      <c r="D42" s="365" t="s">
        <v>20</v>
      </c>
      <c r="E42" s="351">
        <v>82</v>
      </c>
      <c r="F42" s="352">
        <v>91</v>
      </c>
      <c r="G42" s="352">
        <v>81</v>
      </c>
      <c r="H42" s="352">
        <v>74</v>
      </c>
      <c r="I42" s="352">
        <v>73</v>
      </c>
      <c r="J42" s="352">
        <v>81</v>
      </c>
      <c r="K42" s="352">
        <v>83</v>
      </c>
      <c r="L42" s="352">
        <v>72</v>
      </c>
      <c r="M42" s="352">
        <v>81</v>
      </c>
      <c r="N42" s="352">
        <v>91</v>
      </c>
      <c r="O42" s="352">
        <v>95</v>
      </c>
      <c r="P42" s="347">
        <v>92</v>
      </c>
      <c r="Q42" s="347">
        <v>85</v>
      </c>
      <c r="R42" s="375">
        <f t="shared" si="0"/>
        <v>1081</v>
      </c>
      <c r="S42" s="350">
        <f t="shared" si="1"/>
        <v>83.15384615384616</v>
      </c>
      <c r="T42" s="349">
        <f t="shared" si="2"/>
        <v>14</v>
      </c>
      <c r="U42" s="60"/>
      <c r="V42" s="60"/>
    </row>
    <row r="43" spans="1:22" ht="28.5" customHeight="1" thickBot="1" x14ac:dyDescent="0.3">
      <c r="A43" s="93">
        <v>40</v>
      </c>
      <c r="B43" s="355"/>
      <c r="C43" s="364">
        <v>14</v>
      </c>
      <c r="D43" s="365" t="s">
        <v>20</v>
      </c>
      <c r="E43" s="351">
        <v>70</v>
      </c>
      <c r="F43" s="352">
        <v>60</v>
      </c>
      <c r="G43" s="353">
        <v>80</v>
      </c>
      <c r="H43" s="352">
        <v>47</v>
      </c>
      <c r="I43" s="352">
        <v>43</v>
      </c>
      <c r="J43" s="352">
        <v>57</v>
      </c>
      <c r="K43" s="352">
        <v>52</v>
      </c>
      <c r="L43" s="352">
        <v>62</v>
      </c>
      <c r="M43" s="352">
        <v>56</v>
      </c>
      <c r="N43" s="352">
        <v>73</v>
      </c>
      <c r="O43" s="352">
        <v>75</v>
      </c>
      <c r="P43" s="347">
        <v>75</v>
      </c>
      <c r="Q43" s="347">
        <v>84</v>
      </c>
      <c r="R43" s="375">
        <f t="shared" si="0"/>
        <v>834</v>
      </c>
      <c r="S43" s="350">
        <f t="shared" si="1"/>
        <v>64.15384615384616</v>
      </c>
      <c r="T43" s="349">
        <f t="shared" si="2"/>
        <v>39</v>
      </c>
      <c r="U43" s="60"/>
      <c r="V43" s="60"/>
    </row>
    <row r="44" spans="1:22" ht="31.5" customHeight="1" thickBot="1" x14ac:dyDescent="0.3">
      <c r="A44" s="94">
        <v>41</v>
      </c>
      <c r="B44" s="355"/>
      <c r="C44" s="364">
        <v>15</v>
      </c>
      <c r="D44" s="365" t="s">
        <v>17</v>
      </c>
      <c r="E44" s="351">
        <v>89</v>
      </c>
      <c r="F44" s="352">
        <v>82</v>
      </c>
      <c r="G44" s="352">
        <v>89</v>
      </c>
      <c r="H44" s="352">
        <v>77</v>
      </c>
      <c r="I44" s="352">
        <v>64</v>
      </c>
      <c r="J44" s="352">
        <v>83</v>
      </c>
      <c r="K44" s="352">
        <v>69</v>
      </c>
      <c r="L44" s="352">
        <v>71</v>
      </c>
      <c r="M44" s="352">
        <v>73</v>
      </c>
      <c r="N44" s="352">
        <v>86</v>
      </c>
      <c r="O44" s="352">
        <v>92</v>
      </c>
      <c r="P44" s="347">
        <v>86</v>
      </c>
      <c r="Q44" s="347">
        <v>83</v>
      </c>
      <c r="R44" s="375">
        <f t="shared" si="0"/>
        <v>1044</v>
      </c>
      <c r="S44" s="350">
        <f t="shared" si="1"/>
        <v>80.307692307692307</v>
      </c>
      <c r="T44" s="349">
        <f t="shared" si="2"/>
        <v>18</v>
      </c>
      <c r="U44" s="60"/>
      <c r="V44" s="60"/>
    </row>
    <row r="45" spans="1:22" ht="24.75" customHeight="1" thickBot="1" x14ac:dyDescent="0.3">
      <c r="A45" s="94">
        <v>42</v>
      </c>
      <c r="B45" s="355"/>
      <c r="C45" s="364">
        <v>14</v>
      </c>
      <c r="D45" s="365" t="s">
        <v>20</v>
      </c>
      <c r="E45" s="351">
        <v>74</v>
      </c>
      <c r="F45" s="352">
        <v>47</v>
      </c>
      <c r="G45" s="352">
        <v>82</v>
      </c>
      <c r="H45" s="352">
        <v>48</v>
      </c>
      <c r="I45" s="352">
        <v>50</v>
      </c>
      <c r="J45" s="352">
        <v>45</v>
      </c>
      <c r="K45" s="352">
        <v>41</v>
      </c>
      <c r="L45" s="352">
        <v>55</v>
      </c>
      <c r="M45" s="352">
        <v>52</v>
      </c>
      <c r="N45" s="352">
        <v>69</v>
      </c>
      <c r="O45" s="352">
        <v>68</v>
      </c>
      <c r="P45" s="351">
        <v>74</v>
      </c>
      <c r="Q45" s="351">
        <v>75</v>
      </c>
      <c r="R45" s="375">
        <f t="shared" si="0"/>
        <v>780</v>
      </c>
      <c r="S45" s="350">
        <f t="shared" si="1"/>
        <v>60</v>
      </c>
      <c r="T45" s="349">
        <f t="shared" si="2"/>
        <v>43</v>
      </c>
      <c r="U45" s="60"/>
      <c r="V45" s="60"/>
    </row>
    <row r="46" spans="1:22" ht="33.75" customHeight="1" thickBot="1" x14ac:dyDescent="0.3">
      <c r="A46" s="94">
        <v>43</v>
      </c>
      <c r="B46" s="355"/>
      <c r="C46" s="364">
        <v>15</v>
      </c>
      <c r="D46" s="365" t="s">
        <v>20</v>
      </c>
      <c r="E46" s="351">
        <v>97</v>
      </c>
      <c r="F46" s="352">
        <v>95</v>
      </c>
      <c r="G46" s="353">
        <v>99</v>
      </c>
      <c r="H46" s="352">
        <v>87</v>
      </c>
      <c r="I46" s="352">
        <v>100</v>
      </c>
      <c r="J46" s="352">
        <v>98</v>
      </c>
      <c r="K46" s="352">
        <v>98</v>
      </c>
      <c r="L46" s="352">
        <v>100</v>
      </c>
      <c r="M46" s="352">
        <v>99</v>
      </c>
      <c r="N46" s="352">
        <v>95</v>
      </c>
      <c r="O46" s="352">
        <v>100</v>
      </c>
      <c r="P46" s="351">
        <v>96</v>
      </c>
      <c r="Q46" s="351">
        <v>100</v>
      </c>
      <c r="R46" s="375">
        <f t="shared" si="0"/>
        <v>1264</v>
      </c>
      <c r="S46" s="350">
        <f t="shared" si="1"/>
        <v>97.230769230769226</v>
      </c>
      <c r="T46" s="349">
        <f t="shared" si="2"/>
        <v>1</v>
      </c>
      <c r="U46" s="60"/>
      <c r="V46" s="60"/>
    </row>
    <row r="47" spans="1:22" ht="26.25" customHeight="1" thickBot="1" x14ac:dyDescent="0.3">
      <c r="A47" s="93">
        <v>44</v>
      </c>
      <c r="B47" s="355"/>
      <c r="C47" s="364">
        <v>15</v>
      </c>
      <c r="D47" s="365" t="s">
        <v>17</v>
      </c>
      <c r="E47" s="351">
        <v>74</v>
      </c>
      <c r="F47" s="352">
        <v>59</v>
      </c>
      <c r="G47" s="352">
        <v>69</v>
      </c>
      <c r="H47" s="352">
        <v>58</v>
      </c>
      <c r="I47" s="352">
        <v>60</v>
      </c>
      <c r="J47" s="352">
        <v>60</v>
      </c>
      <c r="K47" s="353">
        <v>50</v>
      </c>
      <c r="L47" s="352">
        <v>51</v>
      </c>
      <c r="M47" s="352">
        <v>56</v>
      </c>
      <c r="N47" s="352">
        <v>62</v>
      </c>
      <c r="O47" s="352">
        <v>62</v>
      </c>
      <c r="P47" s="351">
        <v>78</v>
      </c>
      <c r="Q47" s="351">
        <v>75</v>
      </c>
      <c r="R47" s="375">
        <f t="shared" si="0"/>
        <v>814</v>
      </c>
      <c r="S47" s="350">
        <f t="shared" si="1"/>
        <v>62.615384615384613</v>
      </c>
      <c r="T47" s="349">
        <f t="shared" si="2"/>
        <v>40</v>
      </c>
      <c r="U47" s="60"/>
      <c r="V47" s="60"/>
    </row>
    <row r="48" spans="1:22" ht="24" customHeight="1" thickBot="1" x14ac:dyDescent="0.3">
      <c r="A48" s="94">
        <v>45</v>
      </c>
      <c r="B48" s="355"/>
      <c r="C48" s="364">
        <v>16</v>
      </c>
      <c r="D48" s="365" t="s">
        <v>17</v>
      </c>
      <c r="E48" s="351">
        <v>90</v>
      </c>
      <c r="F48" s="352">
        <v>97</v>
      </c>
      <c r="G48" s="352">
        <v>89</v>
      </c>
      <c r="H48" s="352">
        <v>75</v>
      </c>
      <c r="I48" s="352">
        <v>77</v>
      </c>
      <c r="J48" s="352">
        <v>88</v>
      </c>
      <c r="K48" s="352">
        <v>79</v>
      </c>
      <c r="L48" s="352">
        <v>86</v>
      </c>
      <c r="M48" s="352">
        <v>86</v>
      </c>
      <c r="N48" s="352">
        <v>91</v>
      </c>
      <c r="O48" s="352">
        <v>94</v>
      </c>
      <c r="P48" s="351">
        <v>95</v>
      </c>
      <c r="Q48" s="351">
        <v>97</v>
      </c>
      <c r="R48" s="375">
        <f t="shared" si="0"/>
        <v>1144</v>
      </c>
      <c r="S48" s="350">
        <f t="shared" si="1"/>
        <v>88</v>
      </c>
      <c r="T48" s="349">
        <f t="shared" si="2"/>
        <v>6</v>
      </c>
      <c r="U48" s="60"/>
      <c r="V48" s="60"/>
    </row>
    <row r="49" spans="1:22" ht="24" customHeight="1" thickBot="1" x14ac:dyDescent="0.3">
      <c r="A49" s="93">
        <v>46</v>
      </c>
      <c r="B49" s="355"/>
      <c r="C49" s="364">
        <v>15</v>
      </c>
      <c r="D49" s="365" t="s">
        <v>20</v>
      </c>
      <c r="E49" s="351">
        <v>71</v>
      </c>
      <c r="F49" s="353">
        <v>38</v>
      </c>
      <c r="G49" s="353">
        <v>70</v>
      </c>
      <c r="H49" s="353">
        <v>40</v>
      </c>
      <c r="I49" s="352">
        <v>46</v>
      </c>
      <c r="J49" s="352">
        <v>43</v>
      </c>
      <c r="K49" s="352">
        <v>36</v>
      </c>
      <c r="L49" s="352">
        <v>40</v>
      </c>
      <c r="M49" s="352">
        <v>45</v>
      </c>
      <c r="N49" s="353">
        <v>49</v>
      </c>
      <c r="O49" s="352">
        <v>53</v>
      </c>
      <c r="P49" s="351">
        <v>62</v>
      </c>
      <c r="Q49" s="351">
        <v>67</v>
      </c>
      <c r="R49" s="375">
        <f t="shared" si="0"/>
        <v>660</v>
      </c>
      <c r="S49" s="350">
        <f t="shared" si="1"/>
        <v>50.769230769230766</v>
      </c>
      <c r="T49" s="349">
        <f t="shared" si="2"/>
        <v>47</v>
      </c>
      <c r="U49" s="60"/>
      <c r="V49" s="60"/>
    </row>
    <row r="50" spans="1:22" ht="31.5" customHeight="1" thickBot="1" x14ac:dyDescent="0.3">
      <c r="A50" s="93">
        <v>47</v>
      </c>
      <c r="B50" s="355"/>
      <c r="C50" s="364">
        <v>16</v>
      </c>
      <c r="D50" s="365" t="s">
        <v>17</v>
      </c>
      <c r="E50" s="351">
        <v>86</v>
      </c>
      <c r="F50" s="353">
        <v>85</v>
      </c>
      <c r="G50" s="353">
        <v>71</v>
      </c>
      <c r="H50" s="352">
        <v>72</v>
      </c>
      <c r="I50" s="353">
        <v>76</v>
      </c>
      <c r="J50" s="352">
        <v>80</v>
      </c>
      <c r="K50" s="353">
        <v>71</v>
      </c>
      <c r="L50" s="353">
        <v>76</v>
      </c>
      <c r="M50" s="352">
        <v>71</v>
      </c>
      <c r="N50" s="352">
        <v>83</v>
      </c>
      <c r="O50" s="353">
        <v>88</v>
      </c>
      <c r="P50" s="377">
        <v>86</v>
      </c>
      <c r="Q50" s="377">
        <v>94</v>
      </c>
      <c r="R50" s="375">
        <f t="shared" si="0"/>
        <v>1039</v>
      </c>
      <c r="S50" s="350">
        <f t="shared" si="1"/>
        <v>79.92307692307692</v>
      </c>
      <c r="T50" s="349">
        <f t="shared" si="2"/>
        <v>19</v>
      </c>
      <c r="U50" s="60"/>
      <c r="V50" s="60"/>
    </row>
  </sheetData>
  <mergeCells count="2">
    <mergeCell ref="A1:V1"/>
    <mergeCell ref="A2:V2"/>
  </mergeCells>
  <pageMargins left="0.7" right="0.7" top="0.75" bottom="0.75" header="0.3" footer="0.3"/>
  <pageSetup paperSize="9" scale="60" fitToWidth="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zoomScale="77" zoomScaleNormal="77" workbookViewId="0">
      <selection activeCell="B4" sqref="B4:B50"/>
    </sheetView>
  </sheetViews>
  <sheetFormatPr defaultRowHeight="15" x14ac:dyDescent="0.25"/>
  <cols>
    <col min="1" max="1" width="5.42578125" customWidth="1"/>
    <col min="2" max="2" width="31.5703125" customWidth="1"/>
    <col min="3" max="3" width="5.42578125" customWidth="1"/>
    <col min="4" max="4" width="5.28515625" customWidth="1"/>
    <col min="7" max="7" width="9.140625" style="211"/>
    <col min="12" max="12" width="9.140625" style="211"/>
    <col min="15" max="15" width="9.140625" style="211"/>
  </cols>
  <sheetData>
    <row r="1" spans="1:22" ht="23.25" x14ac:dyDescent="0.25">
      <c r="A1" s="915" t="s">
        <v>42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7"/>
    </row>
    <row r="2" spans="1:22" ht="27" thickBot="1" x14ac:dyDescent="0.3">
      <c r="A2" s="918" t="s">
        <v>90</v>
      </c>
      <c r="B2" s="918"/>
      <c r="C2" s="918"/>
      <c r="D2" s="918"/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918"/>
      <c r="V2" s="918"/>
    </row>
    <row r="3" spans="1:22" ht="102" thickBot="1" x14ac:dyDescent="0.3">
      <c r="A3" s="575" t="s">
        <v>88</v>
      </c>
      <c r="B3" s="576" t="s">
        <v>1</v>
      </c>
      <c r="C3" s="577" t="s">
        <v>2</v>
      </c>
      <c r="D3" s="576" t="s">
        <v>3</v>
      </c>
      <c r="E3" s="578" t="s">
        <v>22</v>
      </c>
      <c r="F3" s="578" t="s">
        <v>5</v>
      </c>
      <c r="G3" s="578" t="s">
        <v>29</v>
      </c>
      <c r="H3" s="578" t="s">
        <v>6</v>
      </c>
      <c r="I3" s="578" t="s">
        <v>7</v>
      </c>
      <c r="J3" s="578" t="s">
        <v>8</v>
      </c>
      <c r="K3" s="578" t="s">
        <v>9</v>
      </c>
      <c r="L3" s="579" t="s">
        <v>24</v>
      </c>
      <c r="M3" s="578" t="s">
        <v>23</v>
      </c>
      <c r="N3" s="578" t="s">
        <v>25</v>
      </c>
      <c r="O3" s="578" t="s">
        <v>27</v>
      </c>
      <c r="P3" s="578" t="s">
        <v>26</v>
      </c>
      <c r="Q3" s="578" t="s">
        <v>28</v>
      </c>
      <c r="R3" s="579" t="s">
        <v>12</v>
      </c>
      <c r="S3" s="579" t="s">
        <v>13</v>
      </c>
      <c r="T3" s="579" t="s">
        <v>14</v>
      </c>
      <c r="U3" s="579" t="s">
        <v>15</v>
      </c>
      <c r="V3" s="580" t="s">
        <v>16</v>
      </c>
    </row>
    <row r="4" spans="1:22" ht="21" customHeight="1" thickBot="1" x14ac:dyDescent="0.3">
      <c r="A4" s="581">
        <v>1</v>
      </c>
      <c r="B4" s="582"/>
      <c r="C4" s="583">
        <v>16</v>
      </c>
      <c r="D4" s="584" t="s">
        <v>17</v>
      </c>
      <c r="E4" s="585">
        <v>76</v>
      </c>
      <c r="F4" s="585">
        <v>83</v>
      </c>
      <c r="G4" s="589">
        <v>60</v>
      </c>
      <c r="H4" s="585">
        <v>80</v>
      </c>
      <c r="I4" s="585">
        <v>60</v>
      </c>
      <c r="J4" s="585">
        <v>62</v>
      </c>
      <c r="K4" s="585">
        <v>55</v>
      </c>
      <c r="L4" s="586">
        <v>73</v>
      </c>
      <c r="M4" s="632">
        <v>84</v>
      </c>
      <c r="N4" s="587">
        <v>87</v>
      </c>
      <c r="O4" s="585">
        <v>84</v>
      </c>
      <c r="P4" s="585">
        <v>87</v>
      </c>
      <c r="Q4" s="588">
        <v>80</v>
      </c>
      <c r="R4" s="588">
        <f t="shared" ref="R4:R50" si="0">SUM(E4:Q4)</f>
        <v>971</v>
      </c>
      <c r="S4" s="590">
        <f t="shared" ref="S4:S50" si="1">AVERAGE(E4:Q4)</f>
        <v>74.692307692307693</v>
      </c>
      <c r="T4" s="588">
        <f>RANK(S4,$S$4:$S$50)</f>
        <v>26</v>
      </c>
      <c r="U4" s="585"/>
      <c r="V4" s="585"/>
    </row>
    <row r="5" spans="1:22" ht="21" customHeight="1" thickBot="1" x14ac:dyDescent="0.3">
      <c r="A5" s="591">
        <v>2</v>
      </c>
      <c r="B5" s="592"/>
      <c r="C5" s="593">
        <v>15</v>
      </c>
      <c r="D5" s="594" t="s">
        <v>17</v>
      </c>
      <c r="E5" s="595">
        <v>87</v>
      </c>
      <c r="F5" s="595">
        <v>63</v>
      </c>
      <c r="G5" s="597">
        <v>61</v>
      </c>
      <c r="H5" s="595">
        <v>51</v>
      </c>
      <c r="I5" s="595">
        <v>52</v>
      </c>
      <c r="J5" s="595">
        <v>51</v>
      </c>
      <c r="K5" s="595">
        <v>66</v>
      </c>
      <c r="L5" s="586">
        <v>48</v>
      </c>
      <c r="M5" s="633">
        <v>69</v>
      </c>
      <c r="N5" s="596">
        <v>76</v>
      </c>
      <c r="O5" s="595">
        <v>67</v>
      </c>
      <c r="P5" s="595">
        <v>86</v>
      </c>
      <c r="Q5" s="595">
        <v>68</v>
      </c>
      <c r="R5" s="588">
        <f t="shared" si="0"/>
        <v>845</v>
      </c>
      <c r="S5" s="590">
        <f t="shared" si="1"/>
        <v>65</v>
      </c>
      <c r="T5" s="588">
        <f t="shared" ref="T5:T50" si="2">RANK(S5,$S$4:$S$50)</f>
        <v>37</v>
      </c>
      <c r="U5" s="595"/>
      <c r="V5" s="595"/>
    </row>
    <row r="6" spans="1:22" ht="20.25" customHeight="1" thickBot="1" x14ac:dyDescent="0.3">
      <c r="A6" s="591">
        <v>3</v>
      </c>
      <c r="B6" s="592"/>
      <c r="C6" s="593">
        <v>15</v>
      </c>
      <c r="D6" s="594" t="s">
        <v>17</v>
      </c>
      <c r="E6" s="595">
        <v>78</v>
      </c>
      <c r="F6" s="595">
        <v>61</v>
      </c>
      <c r="G6" s="597">
        <v>56</v>
      </c>
      <c r="H6" s="595">
        <v>61</v>
      </c>
      <c r="I6" s="595">
        <v>50</v>
      </c>
      <c r="J6" s="595">
        <v>57</v>
      </c>
      <c r="K6" s="595">
        <v>59</v>
      </c>
      <c r="L6" s="586">
        <v>70</v>
      </c>
      <c r="M6" s="633">
        <v>69</v>
      </c>
      <c r="N6" s="596">
        <v>80</v>
      </c>
      <c r="O6" s="595">
        <v>71</v>
      </c>
      <c r="P6" s="595">
        <v>87</v>
      </c>
      <c r="Q6" s="595">
        <v>71</v>
      </c>
      <c r="R6" s="588">
        <f t="shared" si="0"/>
        <v>870</v>
      </c>
      <c r="S6" s="590">
        <f t="shared" si="1"/>
        <v>66.92307692307692</v>
      </c>
      <c r="T6" s="588">
        <f t="shared" si="2"/>
        <v>35</v>
      </c>
      <c r="U6" s="595"/>
      <c r="V6" s="595"/>
    </row>
    <row r="7" spans="1:22" ht="17.25" customHeight="1" thickBot="1" x14ac:dyDescent="0.3">
      <c r="A7" s="591">
        <v>4</v>
      </c>
      <c r="B7" s="592"/>
      <c r="C7" s="593">
        <v>15</v>
      </c>
      <c r="D7" s="594" t="s">
        <v>17</v>
      </c>
      <c r="E7" s="595">
        <v>64</v>
      </c>
      <c r="F7" s="595">
        <v>70</v>
      </c>
      <c r="G7" s="597">
        <v>52</v>
      </c>
      <c r="H7" s="595">
        <v>63</v>
      </c>
      <c r="I7" s="595">
        <v>45</v>
      </c>
      <c r="J7" s="595">
        <v>53</v>
      </c>
      <c r="K7" s="595">
        <v>57</v>
      </c>
      <c r="L7" s="586">
        <v>57</v>
      </c>
      <c r="M7" s="633">
        <v>61</v>
      </c>
      <c r="N7" s="596">
        <v>73</v>
      </c>
      <c r="O7" s="595">
        <v>74</v>
      </c>
      <c r="P7" s="595">
        <v>88</v>
      </c>
      <c r="Q7" s="595">
        <v>82</v>
      </c>
      <c r="R7" s="588">
        <f t="shared" si="0"/>
        <v>839</v>
      </c>
      <c r="S7" s="590">
        <f t="shared" si="1"/>
        <v>64.538461538461533</v>
      </c>
      <c r="T7" s="588">
        <f t="shared" si="2"/>
        <v>38</v>
      </c>
      <c r="U7" s="595"/>
      <c r="V7" s="595"/>
    </row>
    <row r="8" spans="1:22" ht="18.75" customHeight="1" thickBot="1" x14ac:dyDescent="0.3">
      <c r="A8" s="591">
        <v>5</v>
      </c>
      <c r="B8" s="592"/>
      <c r="C8" s="593">
        <v>15</v>
      </c>
      <c r="D8" s="594" t="s">
        <v>17</v>
      </c>
      <c r="E8" s="595">
        <v>89</v>
      </c>
      <c r="F8" s="595">
        <v>68</v>
      </c>
      <c r="G8" s="597">
        <v>63</v>
      </c>
      <c r="H8" s="595">
        <v>58</v>
      </c>
      <c r="I8" s="595">
        <v>54</v>
      </c>
      <c r="J8" s="595">
        <v>54</v>
      </c>
      <c r="K8" s="595">
        <v>60</v>
      </c>
      <c r="L8" s="586">
        <v>70</v>
      </c>
      <c r="M8" s="633">
        <v>75</v>
      </c>
      <c r="N8" s="596">
        <v>84</v>
      </c>
      <c r="O8" s="595">
        <v>76</v>
      </c>
      <c r="P8" s="595">
        <v>90</v>
      </c>
      <c r="Q8" s="595">
        <v>81</v>
      </c>
      <c r="R8" s="588">
        <f t="shared" si="0"/>
        <v>922</v>
      </c>
      <c r="S8" s="590">
        <f t="shared" si="1"/>
        <v>70.92307692307692</v>
      </c>
      <c r="T8" s="588">
        <f t="shared" si="2"/>
        <v>30</v>
      </c>
      <c r="U8" s="595"/>
      <c r="V8" s="595"/>
    </row>
    <row r="9" spans="1:22" ht="19.5" customHeight="1" thickBot="1" x14ac:dyDescent="0.3">
      <c r="A9" s="591">
        <v>6</v>
      </c>
      <c r="B9" s="592"/>
      <c r="C9" s="593">
        <v>16</v>
      </c>
      <c r="D9" s="594" t="s">
        <v>20</v>
      </c>
      <c r="E9" s="595">
        <v>100</v>
      </c>
      <c r="F9" s="595">
        <v>82</v>
      </c>
      <c r="G9" s="597">
        <v>77</v>
      </c>
      <c r="H9" s="595">
        <v>84</v>
      </c>
      <c r="I9" s="595">
        <v>79</v>
      </c>
      <c r="J9" s="595">
        <v>82</v>
      </c>
      <c r="K9" s="595">
        <v>89</v>
      </c>
      <c r="L9" s="586">
        <v>91</v>
      </c>
      <c r="M9" s="633">
        <v>97</v>
      </c>
      <c r="N9" s="596">
        <v>92</v>
      </c>
      <c r="O9" s="595">
        <v>95</v>
      </c>
      <c r="P9" s="595">
        <v>96</v>
      </c>
      <c r="Q9" s="595">
        <v>96</v>
      </c>
      <c r="R9" s="588">
        <f t="shared" si="0"/>
        <v>1160</v>
      </c>
      <c r="S9" s="590">
        <f t="shared" si="1"/>
        <v>89.230769230769226</v>
      </c>
      <c r="T9" s="588">
        <f t="shared" si="2"/>
        <v>7</v>
      </c>
      <c r="U9" s="595"/>
      <c r="V9" s="595"/>
    </row>
    <row r="10" spans="1:22" ht="20.25" customHeight="1" thickBot="1" x14ac:dyDescent="0.3">
      <c r="A10" s="591">
        <v>7</v>
      </c>
      <c r="B10" s="592"/>
      <c r="C10" s="593">
        <v>16</v>
      </c>
      <c r="D10" s="594" t="s">
        <v>17</v>
      </c>
      <c r="E10" s="595">
        <v>66</v>
      </c>
      <c r="F10" s="595">
        <v>61</v>
      </c>
      <c r="G10" s="597">
        <v>59</v>
      </c>
      <c r="H10" s="595">
        <v>60</v>
      </c>
      <c r="I10" s="595">
        <v>70</v>
      </c>
      <c r="J10" s="595">
        <v>68</v>
      </c>
      <c r="K10" s="595">
        <v>69</v>
      </c>
      <c r="L10" s="586">
        <v>79</v>
      </c>
      <c r="M10" s="633">
        <v>67</v>
      </c>
      <c r="N10" s="596">
        <v>83</v>
      </c>
      <c r="O10" s="595">
        <v>84</v>
      </c>
      <c r="P10" s="595">
        <v>84</v>
      </c>
      <c r="Q10" s="595">
        <v>84</v>
      </c>
      <c r="R10" s="588">
        <f t="shared" si="0"/>
        <v>934</v>
      </c>
      <c r="S10" s="590">
        <f t="shared" si="1"/>
        <v>71.84615384615384</v>
      </c>
      <c r="T10" s="588">
        <f t="shared" si="2"/>
        <v>29</v>
      </c>
      <c r="U10" s="595"/>
      <c r="V10" s="595"/>
    </row>
    <row r="11" spans="1:22" ht="18.75" customHeight="1" thickBot="1" x14ac:dyDescent="0.3">
      <c r="A11" s="591">
        <v>8</v>
      </c>
      <c r="B11" s="592"/>
      <c r="C11" s="593">
        <v>15</v>
      </c>
      <c r="D11" s="594" t="s">
        <v>20</v>
      </c>
      <c r="E11" s="595">
        <v>88</v>
      </c>
      <c r="F11" s="595">
        <v>82</v>
      </c>
      <c r="G11" s="597">
        <v>82</v>
      </c>
      <c r="H11" s="595">
        <v>68</v>
      </c>
      <c r="I11" s="595">
        <v>72</v>
      </c>
      <c r="J11" s="595">
        <v>72</v>
      </c>
      <c r="K11" s="595">
        <v>60</v>
      </c>
      <c r="L11" s="586">
        <v>83</v>
      </c>
      <c r="M11" s="633">
        <v>65</v>
      </c>
      <c r="N11" s="596">
        <v>76</v>
      </c>
      <c r="O11" s="595">
        <v>77</v>
      </c>
      <c r="P11" s="595">
        <v>87</v>
      </c>
      <c r="Q11" s="595">
        <v>79</v>
      </c>
      <c r="R11" s="588">
        <f t="shared" si="0"/>
        <v>991</v>
      </c>
      <c r="S11" s="590">
        <f t="shared" si="1"/>
        <v>76.230769230769226</v>
      </c>
      <c r="T11" s="588">
        <f t="shared" si="2"/>
        <v>23</v>
      </c>
      <c r="U11" s="595"/>
      <c r="V11" s="595"/>
    </row>
    <row r="12" spans="1:22" ht="24" thickBot="1" x14ac:dyDescent="0.3">
      <c r="A12" s="591">
        <v>9</v>
      </c>
      <c r="B12" s="592"/>
      <c r="C12" s="593">
        <v>15</v>
      </c>
      <c r="D12" s="594" t="s">
        <v>17</v>
      </c>
      <c r="E12" s="595">
        <v>91</v>
      </c>
      <c r="F12" s="595">
        <v>85</v>
      </c>
      <c r="G12" s="597">
        <v>71</v>
      </c>
      <c r="H12" s="595">
        <v>77</v>
      </c>
      <c r="I12" s="595">
        <v>72</v>
      </c>
      <c r="J12" s="595">
        <v>62</v>
      </c>
      <c r="K12" s="595">
        <v>75</v>
      </c>
      <c r="L12" s="586">
        <v>86</v>
      </c>
      <c r="M12" s="633">
        <v>71</v>
      </c>
      <c r="N12" s="596">
        <v>86</v>
      </c>
      <c r="O12" s="595">
        <v>88</v>
      </c>
      <c r="P12" s="595">
        <v>80</v>
      </c>
      <c r="Q12" s="595">
        <v>95</v>
      </c>
      <c r="R12" s="588">
        <f t="shared" si="0"/>
        <v>1039</v>
      </c>
      <c r="S12" s="590">
        <f t="shared" si="1"/>
        <v>79.92307692307692</v>
      </c>
      <c r="T12" s="588">
        <f t="shared" si="2"/>
        <v>19</v>
      </c>
      <c r="U12" s="595"/>
      <c r="V12" s="595"/>
    </row>
    <row r="13" spans="1:22" ht="24" thickBot="1" x14ac:dyDescent="0.3">
      <c r="A13" s="591">
        <v>10</v>
      </c>
      <c r="B13" s="592"/>
      <c r="C13" s="593">
        <v>15</v>
      </c>
      <c r="D13" s="594" t="s">
        <v>20</v>
      </c>
      <c r="E13" s="595">
        <v>94</v>
      </c>
      <c r="F13" s="595">
        <v>81</v>
      </c>
      <c r="G13" s="597">
        <v>76</v>
      </c>
      <c r="H13" s="595">
        <v>90</v>
      </c>
      <c r="I13" s="595">
        <v>87</v>
      </c>
      <c r="J13" s="595">
        <v>82</v>
      </c>
      <c r="K13" s="595">
        <v>85</v>
      </c>
      <c r="L13" s="586">
        <v>90</v>
      </c>
      <c r="M13" s="633">
        <v>96</v>
      </c>
      <c r="N13" s="596">
        <v>88</v>
      </c>
      <c r="O13" s="595">
        <v>100</v>
      </c>
      <c r="P13" s="595">
        <v>88</v>
      </c>
      <c r="Q13" s="595">
        <v>89</v>
      </c>
      <c r="R13" s="588">
        <f t="shared" si="0"/>
        <v>1146</v>
      </c>
      <c r="S13" s="590">
        <f t="shared" si="1"/>
        <v>88.15384615384616</v>
      </c>
      <c r="T13" s="588">
        <f t="shared" si="2"/>
        <v>11</v>
      </c>
      <c r="U13" s="595"/>
      <c r="V13" s="595"/>
    </row>
    <row r="14" spans="1:22" ht="21" customHeight="1" thickBot="1" x14ac:dyDescent="0.3">
      <c r="A14" s="591">
        <v>11</v>
      </c>
      <c r="B14" s="592"/>
      <c r="C14" s="593">
        <v>14</v>
      </c>
      <c r="D14" s="594" t="s">
        <v>20</v>
      </c>
      <c r="E14" s="595">
        <v>98</v>
      </c>
      <c r="F14" s="595">
        <v>82</v>
      </c>
      <c r="G14" s="597">
        <v>71</v>
      </c>
      <c r="H14" s="595">
        <v>87</v>
      </c>
      <c r="I14" s="595">
        <v>74</v>
      </c>
      <c r="J14" s="595">
        <v>89</v>
      </c>
      <c r="K14" s="595">
        <v>88</v>
      </c>
      <c r="L14" s="586">
        <v>93</v>
      </c>
      <c r="M14" s="633">
        <v>84</v>
      </c>
      <c r="N14" s="596">
        <v>92</v>
      </c>
      <c r="O14" s="595">
        <v>97</v>
      </c>
      <c r="P14" s="595">
        <v>96</v>
      </c>
      <c r="Q14" s="595">
        <v>92</v>
      </c>
      <c r="R14" s="588">
        <f t="shared" si="0"/>
        <v>1143</v>
      </c>
      <c r="S14" s="590">
        <f t="shared" si="1"/>
        <v>87.92307692307692</v>
      </c>
      <c r="T14" s="588">
        <f t="shared" si="2"/>
        <v>12</v>
      </c>
      <c r="U14" s="595"/>
      <c r="V14" s="595"/>
    </row>
    <row r="15" spans="1:22" ht="24" thickBot="1" x14ac:dyDescent="0.3">
      <c r="A15" s="591">
        <v>12</v>
      </c>
      <c r="B15" s="592"/>
      <c r="C15" s="593">
        <v>16</v>
      </c>
      <c r="D15" s="594" t="s">
        <v>20</v>
      </c>
      <c r="E15" s="595">
        <v>92</v>
      </c>
      <c r="F15" s="595">
        <v>86</v>
      </c>
      <c r="G15" s="597">
        <v>88</v>
      </c>
      <c r="H15" s="595">
        <v>80</v>
      </c>
      <c r="I15" s="595">
        <v>72</v>
      </c>
      <c r="J15" s="595">
        <v>68</v>
      </c>
      <c r="K15" s="595">
        <v>74</v>
      </c>
      <c r="L15" s="586">
        <v>92</v>
      </c>
      <c r="M15" s="633">
        <v>81</v>
      </c>
      <c r="N15" s="596">
        <v>89</v>
      </c>
      <c r="O15" s="595">
        <v>89</v>
      </c>
      <c r="P15" s="595">
        <v>91</v>
      </c>
      <c r="Q15" s="595">
        <v>81</v>
      </c>
      <c r="R15" s="588">
        <f t="shared" si="0"/>
        <v>1083</v>
      </c>
      <c r="S15" s="590">
        <f t="shared" si="1"/>
        <v>83.307692307692307</v>
      </c>
      <c r="T15" s="588">
        <f t="shared" si="2"/>
        <v>15</v>
      </c>
      <c r="U15" s="595"/>
      <c r="V15" s="595"/>
    </row>
    <row r="16" spans="1:22" ht="21" customHeight="1" thickBot="1" x14ac:dyDescent="0.3">
      <c r="A16" s="591">
        <v>13</v>
      </c>
      <c r="B16" s="592"/>
      <c r="C16" s="593">
        <v>14</v>
      </c>
      <c r="D16" s="594" t="s">
        <v>20</v>
      </c>
      <c r="E16" s="595">
        <v>96</v>
      </c>
      <c r="F16" s="595">
        <v>76</v>
      </c>
      <c r="G16" s="597">
        <v>76</v>
      </c>
      <c r="H16" s="595">
        <v>67</v>
      </c>
      <c r="I16" s="595">
        <v>61</v>
      </c>
      <c r="J16" s="595">
        <v>65</v>
      </c>
      <c r="K16" s="595">
        <v>71</v>
      </c>
      <c r="L16" s="586">
        <v>72</v>
      </c>
      <c r="M16" s="633">
        <v>71</v>
      </c>
      <c r="N16" s="596">
        <v>83</v>
      </c>
      <c r="O16" s="595">
        <v>75</v>
      </c>
      <c r="P16" s="595">
        <v>83</v>
      </c>
      <c r="Q16" s="595">
        <v>81</v>
      </c>
      <c r="R16" s="588">
        <f t="shared" si="0"/>
        <v>977</v>
      </c>
      <c r="S16" s="590">
        <f t="shared" si="1"/>
        <v>75.15384615384616</v>
      </c>
      <c r="T16" s="588">
        <f t="shared" si="2"/>
        <v>24</v>
      </c>
      <c r="U16" s="595"/>
      <c r="V16" s="595"/>
    </row>
    <row r="17" spans="1:22" ht="24" thickBot="1" x14ac:dyDescent="0.3">
      <c r="A17" s="591">
        <v>14</v>
      </c>
      <c r="B17" s="592"/>
      <c r="C17" s="593">
        <v>14</v>
      </c>
      <c r="D17" s="594" t="s">
        <v>20</v>
      </c>
      <c r="E17" s="595">
        <v>79</v>
      </c>
      <c r="F17" s="595">
        <v>60</v>
      </c>
      <c r="G17" s="597">
        <v>56</v>
      </c>
      <c r="H17" s="595">
        <v>47</v>
      </c>
      <c r="I17" s="595">
        <v>42</v>
      </c>
      <c r="J17" s="595">
        <v>46</v>
      </c>
      <c r="K17" s="595">
        <v>52</v>
      </c>
      <c r="L17" s="586">
        <v>66</v>
      </c>
      <c r="M17" s="633">
        <v>63</v>
      </c>
      <c r="N17" s="596">
        <v>76</v>
      </c>
      <c r="O17" s="595">
        <v>61</v>
      </c>
      <c r="P17" s="595">
        <v>75</v>
      </c>
      <c r="Q17" s="595">
        <v>81</v>
      </c>
      <c r="R17" s="588">
        <f t="shared" si="0"/>
        <v>804</v>
      </c>
      <c r="S17" s="590">
        <f t="shared" si="1"/>
        <v>61.846153846153847</v>
      </c>
      <c r="T17" s="588">
        <f t="shared" si="2"/>
        <v>40</v>
      </c>
      <c r="U17" s="595"/>
      <c r="V17" s="595"/>
    </row>
    <row r="18" spans="1:22" ht="24" thickBot="1" x14ac:dyDescent="0.3">
      <c r="A18" s="591">
        <v>15</v>
      </c>
      <c r="B18" s="592"/>
      <c r="C18" s="593">
        <v>14</v>
      </c>
      <c r="D18" s="594" t="s">
        <v>17</v>
      </c>
      <c r="E18" s="595">
        <v>73</v>
      </c>
      <c r="F18" s="595">
        <v>69</v>
      </c>
      <c r="G18" s="597">
        <v>54</v>
      </c>
      <c r="H18" s="595">
        <v>65</v>
      </c>
      <c r="I18" s="595">
        <v>59</v>
      </c>
      <c r="J18" s="595">
        <v>53</v>
      </c>
      <c r="K18" s="595">
        <v>61</v>
      </c>
      <c r="L18" s="586">
        <v>68</v>
      </c>
      <c r="M18" s="633">
        <v>61</v>
      </c>
      <c r="N18" s="596">
        <v>74</v>
      </c>
      <c r="O18" s="595">
        <v>75</v>
      </c>
      <c r="P18" s="595">
        <v>76</v>
      </c>
      <c r="Q18" s="595">
        <v>65</v>
      </c>
      <c r="R18" s="588">
        <f t="shared" si="0"/>
        <v>853</v>
      </c>
      <c r="S18" s="590">
        <f t="shared" si="1"/>
        <v>65.615384615384613</v>
      </c>
      <c r="T18" s="588">
        <f t="shared" si="2"/>
        <v>36</v>
      </c>
      <c r="U18" s="595"/>
      <c r="V18" s="595"/>
    </row>
    <row r="19" spans="1:22" ht="21" customHeight="1" thickBot="1" x14ac:dyDescent="0.3">
      <c r="A19" s="591">
        <v>16</v>
      </c>
      <c r="B19" s="592"/>
      <c r="C19" s="593">
        <v>14</v>
      </c>
      <c r="D19" s="594" t="s">
        <v>20</v>
      </c>
      <c r="E19" s="595">
        <v>70</v>
      </c>
      <c r="F19" s="595">
        <v>55</v>
      </c>
      <c r="G19" s="597">
        <v>72</v>
      </c>
      <c r="H19" s="595">
        <v>57</v>
      </c>
      <c r="I19" s="595">
        <v>60</v>
      </c>
      <c r="J19" s="595">
        <v>52</v>
      </c>
      <c r="K19" s="595">
        <v>44</v>
      </c>
      <c r="L19" s="586">
        <v>58</v>
      </c>
      <c r="M19" s="633">
        <v>50</v>
      </c>
      <c r="N19" s="596">
        <v>71</v>
      </c>
      <c r="O19" s="595">
        <v>69</v>
      </c>
      <c r="P19" s="595">
        <v>74</v>
      </c>
      <c r="Q19" s="595">
        <v>78</v>
      </c>
      <c r="R19" s="588">
        <f t="shared" si="0"/>
        <v>810</v>
      </c>
      <c r="S19" s="590">
        <f t="shared" si="1"/>
        <v>62.307692307692307</v>
      </c>
      <c r="T19" s="588">
        <f t="shared" si="2"/>
        <v>39</v>
      </c>
      <c r="U19" s="595"/>
      <c r="V19" s="595"/>
    </row>
    <row r="20" spans="1:22" ht="18.75" customHeight="1" thickBot="1" x14ac:dyDescent="0.3">
      <c r="A20" s="591">
        <v>17</v>
      </c>
      <c r="B20" s="592"/>
      <c r="C20" s="593">
        <v>16</v>
      </c>
      <c r="D20" s="594" t="s">
        <v>20</v>
      </c>
      <c r="E20" s="595">
        <v>83</v>
      </c>
      <c r="F20" s="595">
        <v>79</v>
      </c>
      <c r="G20" s="597">
        <v>64</v>
      </c>
      <c r="H20" s="595">
        <v>84</v>
      </c>
      <c r="I20" s="595">
        <v>62</v>
      </c>
      <c r="J20" s="595">
        <v>56</v>
      </c>
      <c r="K20" s="595">
        <v>58</v>
      </c>
      <c r="L20" s="586">
        <v>72</v>
      </c>
      <c r="M20" s="633">
        <v>62</v>
      </c>
      <c r="N20" s="596">
        <v>82</v>
      </c>
      <c r="O20" s="595">
        <v>85</v>
      </c>
      <c r="P20" s="595">
        <v>98</v>
      </c>
      <c r="Q20" s="595">
        <v>85</v>
      </c>
      <c r="R20" s="588">
        <f t="shared" si="0"/>
        <v>970</v>
      </c>
      <c r="S20" s="590">
        <f t="shared" si="1"/>
        <v>74.615384615384613</v>
      </c>
      <c r="T20" s="588">
        <f t="shared" si="2"/>
        <v>27</v>
      </c>
      <c r="U20" s="595"/>
      <c r="V20" s="595"/>
    </row>
    <row r="21" spans="1:22" ht="24" thickBot="1" x14ac:dyDescent="0.3">
      <c r="A21" s="591">
        <v>18</v>
      </c>
      <c r="B21" s="592"/>
      <c r="C21" s="593">
        <v>14</v>
      </c>
      <c r="D21" s="594" t="s">
        <v>20</v>
      </c>
      <c r="E21" s="595">
        <v>97</v>
      </c>
      <c r="F21" s="595">
        <v>63</v>
      </c>
      <c r="G21" s="597">
        <v>70</v>
      </c>
      <c r="H21" s="595">
        <v>92</v>
      </c>
      <c r="I21" s="595">
        <v>82</v>
      </c>
      <c r="J21" s="595">
        <v>74</v>
      </c>
      <c r="K21" s="595">
        <v>72</v>
      </c>
      <c r="L21" s="586">
        <v>81</v>
      </c>
      <c r="M21" s="633">
        <v>86</v>
      </c>
      <c r="N21" s="596">
        <v>94</v>
      </c>
      <c r="O21" s="595">
        <v>85</v>
      </c>
      <c r="P21" s="595">
        <v>80</v>
      </c>
      <c r="Q21" s="595">
        <v>82</v>
      </c>
      <c r="R21" s="588">
        <f t="shared" si="0"/>
        <v>1058</v>
      </c>
      <c r="S21" s="590">
        <f t="shared" si="1"/>
        <v>81.384615384615387</v>
      </c>
      <c r="T21" s="588">
        <f t="shared" si="2"/>
        <v>18</v>
      </c>
      <c r="U21" s="595"/>
      <c r="V21" s="595"/>
    </row>
    <row r="22" spans="1:22" ht="24" thickBot="1" x14ac:dyDescent="0.3">
      <c r="A22" s="591">
        <v>19</v>
      </c>
      <c r="B22" s="592"/>
      <c r="C22" s="593">
        <v>14</v>
      </c>
      <c r="D22" s="594" t="s">
        <v>17</v>
      </c>
      <c r="E22" s="595">
        <v>95</v>
      </c>
      <c r="F22" s="595">
        <v>86</v>
      </c>
      <c r="G22" s="597">
        <v>67</v>
      </c>
      <c r="H22" s="595">
        <v>89</v>
      </c>
      <c r="I22" s="595">
        <v>71</v>
      </c>
      <c r="J22" s="595">
        <v>76</v>
      </c>
      <c r="K22" s="595">
        <v>73</v>
      </c>
      <c r="L22" s="586">
        <v>87</v>
      </c>
      <c r="M22" s="633">
        <v>63</v>
      </c>
      <c r="N22" s="596">
        <v>94</v>
      </c>
      <c r="O22" s="595">
        <v>92</v>
      </c>
      <c r="P22" s="595">
        <v>94</v>
      </c>
      <c r="Q22" s="595">
        <v>81</v>
      </c>
      <c r="R22" s="588">
        <f t="shared" si="0"/>
        <v>1068</v>
      </c>
      <c r="S22" s="590">
        <f t="shared" si="1"/>
        <v>82.15384615384616</v>
      </c>
      <c r="T22" s="588">
        <f t="shared" si="2"/>
        <v>16</v>
      </c>
      <c r="U22" s="595"/>
      <c r="V22" s="595"/>
    </row>
    <row r="23" spans="1:22" ht="21" customHeight="1" thickBot="1" x14ac:dyDescent="0.3">
      <c r="A23" s="591">
        <v>20</v>
      </c>
      <c r="B23" s="592"/>
      <c r="C23" s="593">
        <v>14</v>
      </c>
      <c r="D23" s="594" t="s">
        <v>20</v>
      </c>
      <c r="E23" s="595">
        <v>89</v>
      </c>
      <c r="F23" s="595">
        <v>80</v>
      </c>
      <c r="G23" s="597">
        <v>67</v>
      </c>
      <c r="H23" s="595">
        <v>76</v>
      </c>
      <c r="I23" s="595">
        <v>62</v>
      </c>
      <c r="J23" s="595">
        <v>72</v>
      </c>
      <c r="K23" s="595">
        <v>54</v>
      </c>
      <c r="L23" s="586">
        <v>81</v>
      </c>
      <c r="M23" s="633">
        <v>76</v>
      </c>
      <c r="N23" s="596">
        <v>89</v>
      </c>
      <c r="O23" s="595">
        <v>85</v>
      </c>
      <c r="P23" s="595">
        <v>95</v>
      </c>
      <c r="Q23" s="595">
        <v>84</v>
      </c>
      <c r="R23" s="588">
        <f t="shared" si="0"/>
        <v>1010</v>
      </c>
      <c r="S23" s="590">
        <f t="shared" si="1"/>
        <v>77.692307692307693</v>
      </c>
      <c r="T23" s="588">
        <f t="shared" si="2"/>
        <v>20</v>
      </c>
      <c r="U23" s="595"/>
      <c r="V23" s="595"/>
    </row>
    <row r="24" spans="1:22" ht="25.5" customHeight="1" thickBot="1" x14ac:dyDescent="0.3">
      <c r="A24" s="591">
        <v>21</v>
      </c>
      <c r="B24" s="598"/>
      <c r="C24" s="599">
        <v>14</v>
      </c>
      <c r="D24" s="600" t="s">
        <v>20</v>
      </c>
      <c r="E24" s="595">
        <v>82</v>
      </c>
      <c r="F24" s="595">
        <v>77</v>
      </c>
      <c r="G24" s="601">
        <v>87</v>
      </c>
      <c r="H24" s="595">
        <v>61</v>
      </c>
      <c r="I24" s="595">
        <v>60</v>
      </c>
      <c r="J24" s="595">
        <v>58</v>
      </c>
      <c r="K24" s="595">
        <v>67</v>
      </c>
      <c r="L24" s="586">
        <v>76</v>
      </c>
      <c r="M24" s="634">
        <v>67</v>
      </c>
      <c r="N24" s="596">
        <v>85</v>
      </c>
      <c r="O24" s="595">
        <v>85</v>
      </c>
      <c r="P24" s="595">
        <v>91</v>
      </c>
      <c r="Q24" s="595">
        <v>77</v>
      </c>
      <c r="R24" s="588">
        <f t="shared" si="0"/>
        <v>973</v>
      </c>
      <c r="S24" s="590">
        <f t="shared" si="1"/>
        <v>74.84615384615384</v>
      </c>
      <c r="T24" s="588">
        <f t="shared" si="2"/>
        <v>25</v>
      </c>
      <c r="U24" s="595"/>
      <c r="V24" s="595"/>
    </row>
    <row r="25" spans="1:22" ht="24" thickBot="1" x14ac:dyDescent="0.3">
      <c r="A25" s="591">
        <v>22</v>
      </c>
      <c r="B25" s="598"/>
      <c r="C25" s="599">
        <v>14</v>
      </c>
      <c r="D25" s="600" t="s">
        <v>20</v>
      </c>
      <c r="E25" s="595">
        <v>81</v>
      </c>
      <c r="F25" s="595">
        <v>72</v>
      </c>
      <c r="G25" s="601">
        <v>60</v>
      </c>
      <c r="H25" s="595">
        <v>47</v>
      </c>
      <c r="I25" s="595">
        <v>61</v>
      </c>
      <c r="J25" s="595">
        <v>53</v>
      </c>
      <c r="K25" s="595">
        <v>70</v>
      </c>
      <c r="L25" s="586">
        <v>75</v>
      </c>
      <c r="M25" s="634">
        <v>70</v>
      </c>
      <c r="N25" s="596">
        <v>83</v>
      </c>
      <c r="O25" s="595">
        <v>69</v>
      </c>
      <c r="P25" s="595">
        <v>77</v>
      </c>
      <c r="Q25" s="595">
        <v>81</v>
      </c>
      <c r="R25" s="588">
        <f t="shared" si="0"/>
        <v>899</v>
      </c>
      <c r="S25" s="590">
        <f t="shared" si="1"/>
        <v>69.15384615384616</v>
      </c>
      <c r="T25" s="588">
        <f t="shared" si="2"/>
        <v>33</v>
      </c>
      <c r="U25" s="595"/>
      <c r="V25" s="595"/>
    </row>
    <row r="26" spans="1:22" ht="19.5" customHeight="1" thickBot="1" x14ac:dyDescent="0.3">
      <c r="A26" s="591">
        <v>23</v>
      </c>
      <c r="B26" s="598"/>
      <c r="C26" s="599">
        <v>16</v>
      </c>
      <c r="D26" s="600" t="s">
        <v>20</v>
      </c>
      <c r="E26" s="595">
        <v>67</v>
      </c>
      <c r="F26" s="595">
        <v>57</v>
      </c>
      <c r="G26" s="601">
        <v>53</v>
      </c>
      <c r="H26" s="595">
        <v>50</v>
      </c>
      <c r="I26" s="595">
        <v>51</v>
      </c>
      <c r="J26" s="595">
        <v>45</v>
      </c>
      <c r="K26" s="595">
        <v>39</v>
      </c>
      <c r="L26" s="586">
        <v>53</v>
      </c>
      <c r="M26" s="634">
        <v>54</v>
      </c>
      <c r="N26" s="596">
        <v>59</v>
      </c>
      <c r="O26" s="595">
        <v>66</v>
      </c>
      <c r="P26" s="595">
        <v>62</v>
      </c>
      <c r="Q26" s="595">
        <v>81</v>
      </c>
      <c r="R26" s="588">
        <f t="shared" si="0"/>
        <v>737</v>
      </c>
      <c r="S26" s="590">
        <f t="shared" si="1"/>
        <v>56.692307692307693</v>
      </c>
      <c r="T26" s="588">
        <f t="shared" si="2"/>
        <v>44</v>
      </c>
      <c r="U26" s="595"/>
      <c r="V26" s="595"/>
    </row>
    <row r="27" spans="1:22" ht="20.25" customHeight="1" thickBot="1" x14ac:dyDescent="0.3">
      <c r="A27" s="591">
        <v>24</v>
      </c>
      <c r="B27" s="598"/>
      <c r="C27" s="599">
        <v>16</v>
      </c>
      <c r="D27" s="600" t="s">
        <v>17</v>
      </c>
      <c r="E27" s="595">
        <v>94</v>
      </c>
      <c r="F27" s="595">
        <v>89</v>
      </c>
      <c r="G27" s="601">
        <v>88</v>
      </c>
      <c r="H27" s="595">
        <v>94</v>
      </c>
      <c r="I27" s="595">
        <v>100</v>
      </c>
      <c r="J27" s="595">
        <v>94</v>
      </c>
      <c r="K27" s="595">
        <v>95</v>
      </c>
      <c r="L27" s="586">
        <v>99</v>
      </c>
      <c r="M27" s="634">
        <v>91</v>
      </c>
      <c r="N27" s="596">
        <v>91</v>
      </c>
      <c r="O27" s="595">
        <v>100</v>
      </c>
      <c r="P27" s="595">
        <v>100</v>
      </c>
      <c r="Q27" s="595">
        <v>91</v>
      </c>
      <c r="R27" s="588">
        <f t="shared" si="0"/>
        <v>1226</v>
      </c>
      <c r="S27" s="590">
        <f t="shared" si="1"/>
        <v>94.307692307692307</v>
      </c>
      <c r="T27" s="588">
        <f t="shared" si="2"/>
        <v>2</v>
      </c>
      <c r="U27" s="595"/>
      <c r="V27" s="595"/>
    </row>
    <row r="28" spans="1:22" ht="18" customHeight="1" thickBot="1" x14ac:dyDescent="0.3">
      <c r="A28" s="591">
        <v>25</v>
      </c>
      <c r="B28" s="598"/>
      <c r="C28" s="599">
        <v>16</v>
      </c>
      <c r="D28" s="600" t="s">
        <v>17</v>
      </c>
      <c r="E28" s="595">
        <v>82</v>
      </c>
      <c r="F28" s="595">
        <v>51</v>
      </c>
      <c r="G28" s="601">
        <v>54</v>
      </c>
      <c r="H28" s="595">
        <v>37</v>
      </c>
      <c r="I28" s="595">
        <v>43</v>
      </c>
      <c r="J28" s="595">
        <v>36</v>
      </c>
      <c r="K28" s="595">
        <v>34</v>
      </c>
      <c r="L28" s="602">
        <v>48</v>
      </c>
      <c r="M28" s="634">
        <v>52</v>
      </c>
      <c r="N28" s="596">
        <v>67</v>
      </c>
      <c r="O28" s="595">
        <v>64</v>
      </c>
      <c r="P28" s="595">
        <v>68</v>
      </c>
      <c r="Q28" s="595">
        <v>75</v>
      </c>
      <c r="R28" s="588">
        <f t="shared" si="0"/>
        <v>711</v>
      </c>
      <c r="S28" s="590">
        <f t="shared" si="1"/>
        <v>54.692307692307693</v>
      </c>
      <c r="T28" s="588">
        <f t="shared" si="2"/>
        <v>46</v>
      </c>
      <c r="U28" s="595"/>
      <c r="V28" s="595"/>
    </row>
    <row r="29" spans="1:22" ht="21.75" customHeight="1" thickBot="1" x14ac:dyDescent="0.3">
      <c r="A29" s="591">
        <v>26</v>
      </c>
      <c r="B29" s="603"/>
      <c r="C29" s="604">
        <v>15</v>
      </c>
      <c r="D29" s="605" t="s">
        <v>17</v>
      </c>
      <c r="E29" s="595">
        <v>81</v>
      </c>
      <c r="F29" s="595">
        <v>43</v>
      </c>
      <c r="G29" s="606">
        <v>50</v>
      </c>
      <c r="H29" s="595">
        <v>56</v>
      </c>
      <c r="I29" s="595">
        <v>54</v>
      </c>
      <c r="J29" s="595">
        <v>48</v>
      </c>
      <c r="K29" s="595">
        <v>46</v>
      </c>
      <c r="L29" s="586">
        <v>52</v>
      </c>
      <c r="M29" s="635">
        <v>50</v>
      </c>
      <c r="N29" s="596">
        <v>69</v>
      </c>
      <c r="O29" s="595">
        <v>65</v>
      </c>
      <c r="P29" s="595">
        <v>75</v>
      </c>
      <c r="Q29" s="595">
        <v>78</v>
      </c>
      <c r="R29" s="588">
        <f t="shared" si="0"/>
        <v>767</v>
      </c>
      <c r="S29" s="590">
        <f t="shared" si="1"/>
        <v>59</v>
      </c>
      <c r="T29" s="588">
        <f t="shared" si="2"/>
        <v>43</v>
      </c>
      <c r="U29" s="595"/>
      <c r="V29" s="595"/>
    </row>
    <row r="30" spans="1:22" ht="16.5" customHeight="1" thickBot="1" x14ac:dyDescent="0.3">
      <c r="A30" s="591">
        <v>27</v>
      </c>
      <c r="B30" s="598"/>
      <c r="C30" s="599">
        <v>16</v>
      </c>
      <c r="D30" s="600" t="s">
        <v>17</v>
      </c>
      <c r="E30" s="595">
        <v>82</v>
      </c>
      <c r="F30" s="595">
        <v>63</v>
      </c>
      <c r="G30" s="601">
        <v>50</v>
      </c>
      <c r="H30" s="595">
        <v>62</v>
      </c>
      <c r="I30" s="595">
        <v>58</v>
      </c>
      <c r="J30" s="595">
        <v>51</v>
      </c>
      <c r="K30" s="595">
        <v>62</v>
      </c>
      <c r="L30" s="586">
        <v>72</v>
      </c>
      <c r="M30" s="634">
        <v>64</v>
      </c>
      <c r="N30" s="596">
        <v>78</v>
      </c>
      <c r="O30" s="595">
        <v>85</v>
      </c>
      <c r="P30" s="595">
        <v>89</v>
      </c>
      <c r="Q30" s="595">
        <v>86</v>
      </c>
      <c r="R30" s="588">
        <f t="shared" si="0"/>
        <v>902</v>
      </c>
      <c r="S30" s="590">
        <f t="shared" si="1"/>
        <v>69.384615384615387</v>
      </c>
      <c r="T30" s="588">
        <f t="shared" si="2"/>
        <v>32</v>
      </c>
      <c r="U30" s="595"/>
      <c r="V30" s="595"/>
    </row>
    <row r="31" spans="1:22" ht="21" customHeight="1" thickBot="1" x14ac:dyDescent="0.3">
      <c r="A31" s="591">
        <v>28</v>
      </c>
      <c r="B31" s="598"/>
      <c r="C31" s="599">
        <v>16</v>
      </c>
      <c r="D31" s="600" t="s">
        <v>17</v>
      </c>
      <c r="E31" s="595">
        <v>71</v>
      </c>
      <c r="F31" s="595">
        <v>62</v>
      </c>
      <c r="G31" s="601">
        <v>68</v>
      </c>
      <c r="H31" s="595">
        <v>69</v>
      </c>
      <c r="I31" s="595">
        <v>61</v>
      </c>
      <c r="J31" s="595">
        <v>57</v>
      </c>
      <c r="K31" s="595">
        <v>56</v>
      </c>
      <c r="L31" s="586">
        <v>72</v>
      </c>
      <c r="M31" s="634">
        <v>73</v>
      </c>
      <c r="N31" s="596">
        <v>65</v>
      </c>
      <c r="O31" s="595">
        <v>83</v>
      </c>
      <c r="P31" s="595">
        <v>88</v>
      </c>
      <c r="Q31" s="595">
        <v>78</v>
      </c>
      <c r="R31" s="588">
        <f t="shared" si="0"/>
        <v>903</v>
      </c>
      <c r="S31" s="590">
        <f t="shared" si="1"/>
        <v>69.461538461538467</v>
      </c>
      <c r="T31" s="588">
        <f t="shared" si="2"/>
        <v>31</v>
      </c>
      <c r="U31" s="595"/>
      <c r="V31" s="595"/>
    </row>
    <row r="32" spans="1:22" ht="22.5" customHeight="1" thickBot="1" x14ac:dyDescent="0.3">
      <c r="A32" s="591">
        <v>29</v>
      </c>
      <c r="B32" s="598"/>
      <c r="C32" s="599">
        <v>15</v>
      </c>
      <c r="D32" s="600" t="s">
        <v>20</v>
      </c>
      <c r="E32" s="595">
        <v>98</v>
      </c>
      <c r="F32" s="595">
        <v>78</v>
      </c>
      <c r="G32" s="601">
        <v>93</v>
      </c>
      <c r="H32" s="595">
        <v>80</v>
      </c>
      <c r="I32" s="595">
        <v>91</v>
      </c>
      <c r="J32" s="595">
        <v>81</v>
      </c>
      <c r="K32" s="595">
        <v>95</v>
      </c>
      <c r="L32" s="586">
        <v>95</v>
      </c>
      <c r="M32" s="634">
        <v>86</v>
      </c>
      <c r="N32" s="596">
        <v>95</v>
      </c>
      <c r="O32" s="595">
        <v>98</v>
      </c>
      <c r="P32" s="595">
        <v>93</v>
      </c>
      <c r="Q32" s="595">
        <v>97</v>
      </c>
      <c r="R32" s="588">
        <f t="shared" si="0"/>
        <v>1180</v>
      </c>
      <c r="S32" s="590">
        <f t="shared" si="1"/>
        <v>90.769230769230774</v>
      </c>
      <c r="T32" s="588">
        <f t="shared" si="2"/>
        <v>5</v>
      </c>
      <c r="U32" s="595"/>
      <c r="V32" s="595"/>
    </row>
    <row r="33" spans="1:22" ht="15.75" customHeight="1" thickBot="1" x14ac:dyDescent="0.3">
      <c r="A33" s="591">
        <v>30</v>
      </c>
      <c r="B33" s="598"/>
      <c r="C33" s="599">
        <v>14</v>
      </c>
      <c r="D33" s="600" t="s">
        <v>17</v>
      </c>
      <c r="E33" s="595">
        <v>86</v>
      </c>
      <c r="F33" s="595">
        <v>86</v>
      </c>
      <c r="G33" s="601">
        <v>62</v>
      </c>
      <c r="H33" s="595">
        <v>85</v>
      </c>
      <c r="I33" s="595">
        <v>70</v>
      </c>
      <c r="J33" s="595">
        <v>65</v>
      </c>
      <c r="K33" s="595">
        <v>69</v>
      </c>
      <c r="L33" s="586">
        <v>81</v>
      </c>
      <c r="M33" s="634">
        <v>75</v>
      </c>
      <c r="N33" s="596">
        <v>85</v>
      </c>
      <c r="O33" s="595">
        <v>75</v>
      </c>
      <c r="P33" s="595">
        <v>98</v>
      </c>
      <c r="Q33" s="595">
        <v>70</v>
      </c>
      <c r="R33" s="588">
        <f t="shared" si="0"/>
        <v>1007</v>
      </c>
      <c r="S33" s="590">
        <f t="shared" si="1"/>
        <v>77.461538461538467</v>
      </c>
      <c r="T33" s="588">
        <f t="shared" si="2"/>
        <v>21</v>
      </c>
      <c r="U33" s="595"/>
      <c r="V33" s="595"/>
    </row>
    <row r="34" spans="1:22" ht="24" thickBot="1" x14ac:dyDescent="0.3">
      <c r="A34" s="591">
        <v>31</v>
      </c>
      <c r="B34" s="598"/>
      <c r="C34" s="599">
        <v>15</v>
      </c>
      <c r="D34" s="600" t="s">
        <v>17</v>
      </c>
      <c r="E34" s="595">
        <v>85</v>
      </c>
      <c r="F34" s="595">
        <v>75</v>
      </c>
      <c r="G34" s="601">
        <v>71</v>
      </c>
      <c r="H34" s="595">
        <v>77</v>
      </c>
      <c r="I34" s="595">
        <v>84</v>
      </c>
      <c r="J34" s="595">
        <v>73</v>
      </c>
      <c r="K34" s="595">
        <v>78</v>
      </c>
      <c r="L34" s="586">
        <v>87</v>
      </c>
      <c r="M34" s="634">
        <v>72</v>
      </c>
      <c r="N34" s="596">
        <v>78</v>
      </c>
      <c r="O34" s="595">
        <v>90</v>
      </c>
      <c r="P34" s="595">
        <v>96</v>
      </c>
      <c r="Q34" s="595">
        <v>95</v>
      </c>
      <c r="R34" s="588">
        <f t="shared" si="0"/>
        <v>1061</v>
      </c>
      <c r="S34" s="590">
        <f t="shared" si="1"/>
        <v>81.615384615384613</v>
      </c>
      <c r="T34" s="588">
        <f t="shared" si="2"/>
        <v>17</v>
      </c>
      <c r="U34" s="595"/>
      <c r="V34" s="595"/>
    </row>
    <row r="35" spans="1:22" ht="21" customHeight="1" thickBot="1" x14ac:dyDescent="0.3">
      <c r="A35" s="591">
        <v>32</v>
      </c>
      <c r="B35" s="598"/>
      <c r="C35" s="599">
        <v>15</v>
      </c>
      <c r="D35" s="600" t="s">
        <v>17</v>
      </c>
      <c r="E35" s="595">
        <v>97</v>
      </c>
      <c r="F35" s="595">
        <v>90</v>
      </c>
      <c r="G35" s="601">
        <v>100</v>
      </c>
      <c r="H35" s="595">
        <v>92</v>
      </c>
      <c r="I35" s="595">
        <v>91</v>
      </c>
      <c r="J35" s="595">
        <v>85</v>
      </c>
      <c r="K35" s="595">
        <v>93</v>
      </c>
      <c r="L35" s="586">
        <v>96</v>
      </c>
      <c r="M35" s="634">
        <v>93</v>
      </c>
      <c r="N35" s="596">
        <v>94</v>
      </c>
      <c r="O35" s="595">
        <v>100</v>
      </c>
      <c r="P35" s="595">
        <v>99</v>
      </c>
      <c r="Q35" s="595">
        <v>95</v>
      </c>
      <c r="R35" s="588">
        <f t="shared" si="0"/>
        <v>1225</v>
      </c>
      <c r="S35" s="590">
        <f t="shared" si="1"/>
        <v>94.230769230769226</v>
      </c>
      <c r="T35" s="588">
        <f t="shared" si="2"/>
        <v>3</v>
      </c>
      <c r="U35" s="595"/>
      <c r="V35" s="595"/>
    </row>
    <row r="36" spans="1:22" ht="24" thickBot="1" x14ac:dyDescent="0.3">
      <c r="A36" s="591">
        <v>33</v>
      </c>
      <c r="B36" s="598"/>
      <c r="C36" s="599">
        <v>15</v>
      </c>
      <c r="D36" s="600" t="s">
        <v>20</v>
      </c>
      <c r="E36" s="595">
        <v>96</v>
      </c>
      <c r="F36" s="595">
        <v>93</v>
      </c>
      <c r="G36" s="601">
        <v>90</v>
      </c>
      <c r="H36" s="595">
        <v>91</v>
      </c>
      <c r="I36" s="595">
        <v>95</v>
      </c>
      <c r="J36" s="595">
        <v>81</v>
      </c>
      <c r="K36" s="595">
        <v>84</v>
      </c>
      <c r="L36" s="586">
        <v>98</v>
      </c>
      <c r="M36" s="634">
        <v>90</v>
      </c>
      <c r="N36" s="596">
        <v>95</v>
      </c>
      <c r="O36" s="595">
        <v>96</v>
      </c>
      <c r="P36" s="595">
        <v>98</v>
      </c>
      <c r="Q36" s="595">
        <v>97</v>
      </c>
      <c r="R36" s="588">
        <f t="shared" si="0"/>
        <v>1204</v>
      </c>
      <c r="S36" s="590">
        <f t="shared" si="1"/>
        <v>92.615384615384613</v>
      </c>
      <c r="T36" s="588">
        <f t="shared" si="2"/>
        <v>4</v>
      </c>
      <c r="U36" s="595"/>
      <c r="V36" s="595"/>
    </row>
    <row r="37" spans="1:22" ht="24" thickBot="1" x14ac:dyDescent="0.3">
      <c r="A37" s="591">
        <v>34</v>
      </c>
      <c r="B37" s="598"/>
      <c r="C37" s="599">
        <v>15</v>
      </c>
      <c r="D37" s="600" t="s">
        <v>20</v>
      </c>
      <c r="E37" s="595">
        <v>90</v>
      </c>
      <c r="F37" s="595">
        <v>69</v>
      </c>
      <c r="G37" s="601">
        <v>60</v>
      </c>
      <c r="H37" s="595">
        <v>64</v>
      </c>
      <c r="I37" s="595">
        <v>56</v>
      </c>
      <c r="J37" s="595">
        <v>59</v>
      </c>
      <c r="K37" s="595">
        <v>67</v>
      </c>
      <c r="L37" s="586">
        <v>64</v>
      </c>
      <c r="M37" s="634">
        <v>58</v>
      </c>
      <c r="N37" s="596">
        <v>75</v>
      </c>
      <c r="O37" s="595">
        <v>67</v>
      </c>
      <c r="P37" s="595">
        <v>78</v>
      </c>
      <c r="Q37" s="595">
        <v>68</v>
      </c>
      <c r="R37" s="588">
        <f t="shared" si="0"/>
        <v>875</v>
      </c>
      <c r="S37" s="590">
        <f t="shared" si="1"/>
        <v>67.307692307692307</v>
      </c>
      <c r="T37" s="588">
        <f t="shared" si="2"/>
        <v>34</v>
      </c>
      <c r="U37" s="595"/>
      <c r="V37" s="595"/>
    </row>
    <row r="38" spans="1:22" ht="19.5" customHeight="1" thickBot="1" x14ac:dyDescent="0.3">
      <c r="A38" s="591">
        <v>35</v>
      </c>
      <c r="B38" s="598"/>
      <c r="C38" s="599">
        <v>15</v>
      </c>
      <c r="D38" s="600" t="s">
        <v>20</v>
      </c>
      <c r="E38" s="595">
        <v>91</v>
      </c>
      <c r="F38" s="595">
        <v>79</v>
      </c>
      <c r="G38" s="601">
        <v>83</v>
      </c>
      <c r="H38" s="595">
        <v>95</v>
      </c>
      <c r="I38" s="595">
        <v>88</v>
      </c>
      <c r="J38" s="595">
        <v>92</v>
      </c>
      <c r="K38" s="595">
        <v>93</v>
      </c>
      <c r="L38" s="586">
        <v>96</v>
      </c>
      <c r="M38" s="634">
        <v>92</v>
      </c>
      <c r="N38" s="596">
        <v>87</v>
      </c>
      <c r="O38" s="595">
        <v>100</v>
      </c>
      <c r="P38" s="595">
        <v>94</v>
      </c>
      <c r="Q38" s="595">
        <v>86</v>
      </c>
      <c r="R38" s="588">
        <f t="shared" si="0"/>
        <v>1176</v>
      </c>
      <c r="S38" s="590">
        <f t="shared" si="1"/>
        <v>90.461538461538467</v>
      </c>
      <c r="T38" s="588">
        <f t="shared" si="2"/>
        <v>6</v>
      </c>
      <c r="U38" s="595"/>
      <c r="V38" s="595"/>
    </row>
    <row r="39" spans="1:22" ht="19.5" customHeight="1" thickBot="1" x14ac:dyDescent="0.3">
      <c r="A39" s="591">
        <v>36</v>
      </c>
      <c r="B39" s="598"/>
      <c r="C39" s="599">
        <v>15</v>
      </c>
      <c r="D39" s="600" t="s">
        <v>20</v>
      </c>
      <c r="E39" s="595">
        <v>93</v>
      </c>
      <c r="F39" s="595">
        <v>71</v>
      </c>
      <c r="G39" s="601">
        <v>68</v>
      </c>
      <c r="H39" s="595">
        <v>68</v>
      </c>
      <c r="I39" s="595">
        <v>59</v>
      </c>
      <c r="J39" s="595">
        <v>64</v>
      </c>
      <c r="K39" s="595">
        <v>65</v>
      </c>
      <c r="L39" s="586">
        <v>78</v>
      </c>
      <c r="M39" s="634">
        <v>72</v>
      </c>
      <c r="N39" s="596">
        <v>88</v>
      </c>
      <c r="O39" s="595">
        <v>90</v>
      </c>
      <c r="P39" s="595">
        <v>86</v>
      </c>
      <c r="Q39" s="595">
        <v>95</v>
      </c>
      <c r="R39" s="588">
        <f t="shared" si="0"/>
        <v>997</v>
      </c>
      <c r="S39" s="590">
        <f t="shared" si="1"/>
        <v>76.692307692307693</v>
      </c>
      <c r="T39" s="588">
        <f t="shared" si="2"/>
        <v>22</v>
      </c>
      <c r="U39" s="595"/>
      <c r="V39" s="595"/>
    </row>
    <row r="40" spans="1:22" ht="24" thickBot="1" x14ac:dyDescent="0.3">
      <c r="A40" s="591">
        <v>37</v>
      </c>
      <c r="B40" s="598"/>
      <c r="C40" s="599">
        <v>15</v>
      </c>
      <c r="D40" s="600" t="s">
        <v>20</v>
      </c>
      <c r="E40" s="595">
        <v>96</v>
      </c>
      <c r="F40" s="595">
        <v>82</v>
      </c>
      <c r="G40" s="601">
        <v>81</v>
      </c>
      <c r="H40" s="595">
        <v>89</v>
      </c>
      <c r="I40" s="595">
        <v>89</v>
      </c>
      <c r="J40" s="595">
        <v>73</v>
      </c>
      <c r="K40" s="595">
        <v>86</v>
      </c>
      <c r="L40" s="586">
        <v>93</v>
      </c>
      <c r="M40" s="634">
        <v>92</v>
      </c>
      <c r="N40" s="596">
        <v>93</v>
      </c>
      <c r="O40" s="595">
        <v>92</v>
      </c>
      <c r="P40" s="595">
        <v>95</v>
      </c>
      <c r="Q40" s="595">
        <v>89</v>
      </c>
      <c r="R40" s="588">
        <f t="shared" si="0"/>
        <v>1150</v>
      </c>
      <c r="S40" s="590">
        <f t="shared" si="1"/>
        <v>88.461538461538467</v>
      </c>
      <c r="T40" s="588">
        <f t="shared" si="2"/>
        <v>10</v>
      </c>
      <c r="U40" s="595"/>
      <c r="V40" s="595"/>
    </row>
    <row r="41" spans="1:22" ht="24" thickBot="1" x14ac:dyDescent="0.3">
      <c r="A41" s="591">
        <v>38</v>
      </c>
      <c r="B41" s="598"/>
      <c r="C41" s="599">
        <v>14</v>
      </c>
      <c r="D41" s="600" t="s">
        <v>20</v>
      </c>
      <c r="E41" s="595">
        <v>92</v>
      </c>
      <c r="F41" s="595">
        <v>69</v>
      </c>
      <c r="G41" s="601">
        <v>74</v>
      </c>
      <c r="H41" s="595">
        <v>73</v>
      </c>
      <c r="I41" s="595">
        <v>70</v>
      </c>
      <c r="J41" s="595">
        <v>61</v>
      </c>
      <c r="K41" s="595">
        <v>58</v>
      </c>
      <c r="L41" s="586">
        <v>75</v>
      </c>
      <c r="M41" s="634">
        <v>57</v>
      </c>
      <c r="N41" s="596">
        <v>77</v>
      </c>
      <c r="O41" s="595">
        <v>79</v>
      </c>
      <c r="P41" s="595">
        <v>89</v>
      </c>
      <c r="Q41" s="595">
        <v>76</v>
      </c>
      <c r="R41" s="588">
        <f t="shared" si="0"/>
        <v>950</v>
      </c>
      <c r="S41" s="590">
        <f t="shared" si="1"/>
        <v>73.07692307692308</v>
      </c>
      <c r="T41" s="588">
        <f t="shared" si="2"/>
        <v>28</v>
      </c>
      <c r="U41" s="595"/>
      <c r="V41" s="595"/>
    </row>
    <row r="42" spans="1:22" ht="23.25" customHeight="1" thickBot="1" x14ac:dyDescent="0.3">
      <c r="A42" s="591">
        <v>39</v>
      </c>
      <c r="B42" s="598"/>
      <c r="C42" s="599">
        <v>15</v>
      </c>
      <c r="D42" s="600" t="s">
        <v>20</v>
      </c>
      <c r="E42" s="595">
        <v>90</v>
      </c>
      <c r="F42" s="595">
        <v>87</v>
      </c>
      <c r="G42" s="601">
        <v>67</v>
      </c>
      <c r="H42" s="595">
        <v>83</v>
      </c>
      <c r="I42" s="595">
        <v>78</v>
      </c>
      <c r="J42" s="595">
        <v>91</v>
      </c>
      <c r="K42" s="595">
        <v>91</v>
      </c>
      <c r="L42" s="586">
        <v>91</v>
      </c>
      <c r="M42" s="634">
        <v>96</v>
      </c>
      <c r="N42" s="596">
        <v>95</v>
      </c>
      <c r="O42" s="595">
        <v>100</v>
      </c>
      <c r="P42" s="595">
        <v>93</v>
      </c>
      <c r="Q42" s="595">
        <v>93</v>
      </c>
      <c r="R42" s="588">
        <f t="shared" si="0"/>
        <v>1155</v>
      </c>
      <c r="S42" s="590">
        <f t="shared" si="1"/>
        <v>88.84615384615384</v>
      </c>
      <c r="T42" s="588">
        <f t="shared" si="2"/>
        <v>9</v>
      </c>
      <c r="U42" s="595"/>
      <c r="V42" s="595"/>
    </row>
    <row r="43" spans="1:22" ht="24" thickBot="1" x14ac:dyDescent="0.3">
      <c r="A43" s="591">
        <v>40</v>
      </c>
      <c r="B43" s="598"/>
      <c r="C43" s="599">
        <v>14</v>
      </c>
      <c r="D43" s="600" t="s">
        <v>17</v>
      </c>
      <c r="E43" s="595">
        <v>81</v>
      </c>
      <c r="F43" s="595">
        <v>58</v>
      </c>
      <c r="G43" s="601">
        <v>50</v>
      </c>
      <c r="H43" s="595">
        <v>45</v>
      </c>
      <c r="I43" s="595">
        <v>42</v>
      </c>
      <c r="J43" s="595">
        <v>51</v>
      </c>
      <c r="K43" s="595">
        <v>47</v>
      </c>
      <c r="L43" s="586">
        <v>51</v>
      </c>
      <c r="M43" s="634">
        <v>60</v>
      </c>
      <c r="N43" s="596">
        <v>71</v>
      </c>
      <c r="O43" s="595">
        <v>67</v>
      </c>
      <c r="P43" s="595">
        <v>78</v>
      </c>
      <c r="Q43" s="595">
        <v>81</v>
      </c>
      <c r="R43" s="588">
        <f t="shared" si="0"/>
        <v>782</v>
      </c>
      <c r="S43" s="590">
        <f t="shared" si="1"/>
        <v>60.153846153846153</v>
      </c>
      <c r="T43" s="588">
        <f t="shared" si="2"/>
        <v>41</v>
      </c>
      <c r="U43" s="595"/>
      <c r="V43" s="595"/>
    </row>
    <row r="44" spans="1:22" ht="24" thickBot="1" x14ac:dyDescent="0.3">
      <c r="A44" s="591">
        <v>41</v>
      </c>
      <c r="B44" s="598"/>
      <c r="C44" s="599">
        <v>15</v>
      </c>
      <c r="D44" s="600" t="s">
        <v>20</v>
      </c>
      <c r="E44" s="595">
        <v>92</v>
      </c>
      <c r="F44" s="595">
        <v>82</v>
      </c>
      <c r="G44" s="601">
        <v>77</v>
      </c>
      <c r="H44" s="595">
        <v>86</v>
      </c>
      <c r="I44" s="595">
        <v>71</v>
      </c>
      <c r="J44" s="595">
        <v>79</v>
      </c>
      <c r="K44" s="595">
        <v>82</v>
      </c>
      <c r="L44" s="586">
        <v>90</v>
      </c>
      <c r="M44" s="634">
        <v>81</v>
      </c>
      <c r="N44" s="596">
        <v>91</v>
      </c>
      <c r="O44" s="595">
        <v>91</v>
      </c>
      <c r="P44" s="595">
        <v>92</v>
      </c>
      <c r="Q44" s="595">
        <v>85</v>
      </c>
      <c r="R44" s="588">
        <f t="shared" si="0"/>
        <v>1099</v>
      </c>
      <c r="S44" s="590">
        <f t="shared" si="1"/>
        <v>84.538461538461533</v>
      </c>
      <c r="T44" s="588">
        <f t="shared" si="2"/>
        <v>13</v>
      </c>
      <c r="U44" s="595"/>
      <c r="V44" s="595"/>
    </row>
    <row r="45" spans="1:22" ht="18" customHeight="1" thickBot="1" x14ac:dyDescent="0.3">
      <c r="A45" s="591">
        <v>42</v>
      </c>
      <c r="B45" s="598"/>
      <c r="C45" s="599">
        <v>14</v>
      </c>
      <c r="D45" s="600" t="s">
        <v>20</v>
      </c>
      <c r="E45" s="595">
        <v>61</v>
      </c>
      <c r="F45" s="595">
        <v>44</v>
      </c>
      <c r="G45" s="601">
        <v>68</v>
      </c>
      <c r="H45" s="595">
        <v>46</v>
      </c>
      <c r="I45" s="595">
        <v>46</v>
      </c>
      <c r="J45" s="595">
        <v>49</v>
      </c>
      <c r="K45" s="595">
        <v>47</v>
      </c>
      <c r="L45" s="586">
        <v>45</v>
      </c>
      <c r="M45" s="634">
        <v>50</v>
      </c>
      <c r="N45" s="596">
        <v>58</v>
      </c>
      <c r="O45" s="595">
        <v>58</v>
      </c>
      <c r="P45" s="595">
        <v>69</v>
      </c>
      <c r="Q45" s="595">
        <v>71</v>
      </c>
      <c r="R45" s="588">
        <f t="shared" si="0"/>
        <v>712</v>
      </c>
      <c r="S45" s="590">
        <f t="shared" si="1"/>
        <v>54.769230769230766</v>
      </c>
      <c r="T45" s="588">
        <f t="shared" si="2"/>
        <v>45</v>
      </c>
      <c r="U45" s="595"/>
      <c r="V45" s="595"/>
    </row>
    <row r="46" spans="1:22" ht="20.25" customHeight="1" thickBot="1" x14ac:dyDescent="0.3">
      <c r="A46" s="591">
        <v>43</v>
      </c>
      <c r="B46" s="598"/>
      <c r="C46" s="599">
        <v>15</v>
      </c>
      <c r="D46" s="600" t="s">
        <v>17</v>
      </c>
      <c r="E46" s="595">
        <v>100</v>
      </c>
      <c r="F46" s="595">
        <v>95</v>
      </c>
      <c r="G46" s="601">
        <v>98</v>
      </c>
      <c r="H46" s="595">
        <v>94</v>
      </c>
      <c r="I46" s="595">
        <v>99</v>
      </c>
      <c r="J46" s="595">
        <v>100</v>
      </c>
      <c r="K46" s="595">
        <v>100</v>
      </c>
      <c r="L46" s="586">
        <v>100</v>
      </c>
      <c r="M46" s="634">
        <v>98</v>
      </c>
      <c r="N46" s="596">
        <v>100</v>
      </c>
      <c r="O46" s="595">
        <v>100</v>
      </c>
      <c r="P46" s="595">
        <v>99</v>
      </c>
      <c r="Q46" s="595">
        <v>100</v>
      </c>
      <c r="R46" s="588">
        <f t="shared" si="0"/>
        <v>1283</v>
      </c>
      <c r="S46" s="590">
        <f t="shared" si="1"/>
        <v>98.692307692307693</v>
      </c>
      <c r="T46" s="588">
        <f t="shared" si="2"/>
        <v>1</v>
      </c>
      <c r="U46" s="595"/>
      <c r="V46" s="595"/>
    </row>
    <row r="47" spans="1:22" ht="19.5" customHeight="1" thickBot="1" x14ac:dyDescent="0.3">
      <c r="A47" s="591">
        <v>44</v>
      </c>
      <c r="B47" s="598"/>
      <c r="C47" s="599">
        <v>15</v>
      </c>
      <c r="D47" s="600" t="s">
        <v>17</v>
      </c>
      <c r="E47" s="595">
        <v>78</v>
      </c>
      <c r="F47" s="595">
        <v>56</v>
      </c>
      <c r="G47" s="601">
        <v>51</v>
      </c>
      <c r="H47" s="595">
        <v>56</v>
      </c>
      <c r="I47" s="595">
        <v>48</v>
      </c>
      <c r="J47" s="595">
        <v>49</v>
      </c>
      <c r="K47" s="595">
        <v>47</v>
      </c>
      <c r="L47" s="586">
        <v>55</v>
      </c>
      <c r="M47" s="634">
        <v>50</v>
      </c>
      <c r="N47" s="596">
        <v>67</v>
      </c>
      <c r="O47" s="595">
        <v>63</v>
      </c>
      <c r="P47" s="595">
        <v>72</v>
      </c>
      <c r="Q47" s="595">
        <v>79</v>
      </c>
      <c r="R47" s="588">
        <f t="shared" si="0"/>
        <v>771</v>
      </c>
      <c r="S47" s="590">
        <f t="shared" si="1"/>
        <v>59.307692307692307</v>
      </c>
      <c r="T47" s="588">
        <f t="shared" si="2"/>
        <v>42</v>
      </c>
      <c r="U47" s="595"/>
      <c r="V47" s="595"/>
    </row>
    <row r="48" spans="1:22" ht="24" thickBot="1" x14ac:dyDescent="0.3">
      <c r="A48" s="591">
        <v>45</v>
      </c>
      <c r="B48" s="598"/>
      <c r="C48" s="599">
        <v>16</v>
      </c>
      <c r="D48" s="600" t="s">
        <v>20</v>
      </c>
      <c r="E48" s="595">
        <v>95</v>
      </c>
      <c r="F48" s="595">
        <v>89</v>
      </c>
      <c r="G48" s="601">
        <v>90</v>
      </c>
      <c r="H48" s="595">
        <v>82</v>
      </c>
      <c r="I48" s="595">
        <v>81</v>
      </c>
      <c r="J48" s="595">
        <v>75</v>
      </c>
      <c r="K48" s="595">
        <v>92</v>
      </c>
      <c r="L48" s="586">
        <v>93</v>
      </c>
      <c r="M48" s="634">
        <v>90</v>
      </c>
      <c r="N48" s="596">
        <v>95</v>
      </c>
      <c r="O48" s="595">
        <v>93</v>
      </c>
      <c r="P48" s="595">
        <v>93</v>
      </c>
      <c r="Q48" s="595">
        <v>91</v>
      </c>
      <c r="R48" s="588">
        <f t="shared" si="0"/>
        <v>1159</v>
      </c>
      <c r="S48" s="590">
        <f t="shared" si="1"/>
        <v>89.15384615384616</v>
      </c>
      <c r="T48" s="588">
        <f t="shared" si="2"/>
        <v>8</v>
      </c>
      <c r="U48" s="595"/>
      <c r="V48" s="595"/>
    </row>
    <row r="49" spans="1:22" ht="21.75" customHeight="1" thickBot="1" x14ac:dyDescent="0.3">
      <c r="A49" s="591">
        <v>46</v>
      </c>
      <c r="B49" s="598"/>
      <c r="C49" s="599">
        <v>15</v>
      </c>
      <c r="D49" s="600" t="s">
        <v>17</v>
      </c>
      <c r="E49" s="595">
        <v>76</v>
      </c>
      <c r="F49" s="595">
        <v>40</v>
      </c>
      <c r="G49" s="601">
        <v>44</v>
      </c>
      <c r="H49" s="595">
        <v>42</v>
      </c>
      <c r="I49" s="595">
        <v>37</v>
      </c>
      <c r="J49" s="595">
        <v>38</v>
      </c>
      <c r="K49" s="595">
        <v>41</v>
      </c>
      <c r="L49" s="586">
        <v>40</v>
      </c>
      <c r="M49" s="634">
        <v>42</v>
      </c>
      <c r="N49" s="596">
        <v>47</v>
      </c>
      <c r="O49" s="595">
        <v>51</v>
      </c>
      <c r="P49" s="595">
        <v>58</v>
      </c>
      <c r="Q49" s="595">
        <v>62</v>
      </c>
      <c r="R49" s="588">
        <f t="shared" si="0"/>
        <v>618</v>
      </c>
      <c r="S49" s="590">
        <f t="shared" si="1"/>
        <v>47.53846153846154</v>
      </c>
      <c r="T49" s="588">
        <f t="shared" si="2"/>
        <v>47</v>
      </c>
      <c r="U49" s="595"/>
      <c r="V49" s="595"/>
    </row>
    <row r="50" spans="1:22" ht="22.5" customHeight="1" thickBot="1" x14ac:dyDescent="0.3">
      <c r="A50" s="591">
        <v>47</v>
      </c>
      <c r="B50" s="598"/>
      <c r="C50" s="599">
        <v>16</v>
      </c>
      <c r="D50" s="600" t="s">
        <v>17</v>
      </c>
      <c r="E50" s="595">
        <v>85</v>
      </c>
      <c r="F50" s="595">
        <v>76</v>
      </c>
      <c r="G50" s="601">
        <v>72</v>
      </c>
      <c r="H50" s="595">
        <v>91</v>
      </c>
      <c r="I50" s="595">
        <v>79</v>
      </c>
      <c r="J50" s="595">
        <v>91</v>
      </c>
      <c r="K50" s="595">
        <v>86</v>
      </c>
      <c r="L50" s="586">
        <v>88</v>
      </c>
      <c r="M50" s="634">
        <v>77</v>
      </c>
      <c r="N50" s="596">
        <v>85</v>
      </c>
      <c r="O50" s="595">
        <v>94</v>
      </c>
      <c r="P50" s="595">
        <v>95</v>
      </c>
      <c r="Q50" s="595">
        <v>78</v>
      </c>
      <c r="R50" s="588">
        <f t="shared" si="0"/>
        <v>1097</v>
      </c>
      <c r="S50" s="590">
        <f t="shared" si="1"/>
        <v>84.384615384615387</v>
      </c>
      <c r="T50" s="588">
        <f t="shared" si="2"/>
        <v>14</v>
      </c>
      <c r="U50" s="595"/>
      <c r="V50" s="595"/>
    </row>
    <row r="51" spans="1:22" ht="24" thickBot="1" x14ac:dyDescent="0.3">
      <c r="A51" s="591">
        <v>48</v>
      </c>
      <c r="B51" s="636"/>
      <c r="C51" s="637"/>
      <c r="D51" s="637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88"/>
      <c r="S51" s="590"/>
      <c r="T51" s="588"/>
      <c r="U51" s="595"/>
      <c r="V51" s="595"/>
    </row>
    <row r="52" spans="1:22" ht="24" thickBot="1" x14ac:dyDescent="0.3">
      <c r="A52" s="591">
        <v>49</v>
      </c>
      <c r="B52" s="636"/>
      <c r="C52" s="637"/>
      <c r="D52" s="637"/>
      <c r="E52" s="595"/>
      <c r="F52" s="595"/>
      <c r="G52" s="595"/>
      <c r="H52" s="595"/>
      <c r="I52" s="595"/>
      <c r="J52" s="595"/>
      <c r="K52" s="595"/>
      <c r="L52" s="595"/>
      <c r="M52" s="595"/>
      <c r="N52" s="595"/>
      <c r="O52" s="595"/>
      <c r="P52" s="595"/>
      <c r="Q52" s="595"/>
      <c r="R52" s="588"/>
      <c r="S52" s="590"/>
      <c r="T52" s="588"/>
      <c r="U52" s="595"/>
      <c r="V52" s="595"/>
    </row>
    <row r="53" spans="1:22" ht="24" thickBot="1" x14ac:dyDescent="0.3">
      <c r="A53" s="591">
        <v>50</v>
      </c>
      <c r="B53" s="636"/>
      <c r="C53" s="637"/>
      <c r="D53" s="637"/>
      <c r="E53" s="595"/>
      <c r="F53" s="595"/>
      <c r="G53" s="595"/>
      <c r="H53" s="595"/>
      <c r="I53" s="595"/>
      <c r="J53" s="595"/>
      <c r="K53" s="595"/>
      <c r="L53" s="595"/>
      <c r="M53" s="595"/>
      <c r="N53" s="595"/>
      <c r="O53" s="595"/>
      <c r="P53" s="595"/>
      <c r="Q53" s="595"/>
      <c r="R53" s="588"/>
      <c r="S53" s="590"/>
      <c r="T53" s="588"/>
      <c r="U53" s="595"/>
      <c r="V53" s="595"/>
    </row>
    <row r="54" spans="1:22" ht="24" thickBot="1" x14ac:dyDescent="0.3">
      <c r="A54" s="591">
        <v>51</v>
      </c>
      <c r="B54" s="636"/>
      <c r="C54" s="637"/>
      <c r="D54" s="637"/>
      <c r="E54" s="595"/>
      <c r="F54" s="595"/>
      <c r="G54" s="595"/>
      <c r="H54" s="595"/>
      <c r="I54" s="595"/>
      <c r="J54" s="595"/>
      <c r="K54" s="595"/>
      <c r="L54" s="595"/>
      <c r="M54" s="595"/>
      <c r="N54" s="595"/>
      <c r="O54" s="595"/>
      <c r="P54" s="595"/>
      <c r="Q54" s="607"/>
      <c r="R54" s="588"/>
      <c r="S54" s="590"/>
      <c r="T54" s="588"/>
      <c r="U54" s="595"/>
      <c r="V54" s="595"/>
    </row>
    <row r="55" spans="1:22" ht="24" thickBot="1" x14ac:dyDescent="0.3">
      <c r="A55" s="591">
        <v>52</v>
      </c>
      <c r="B55" s="636"/>
      <c r="C55" s="637"/>
      <c r="D55" s="637"/>
      <c r="E55" s="595"/>
      <c r="F55" s="595"/>
      <c r="G55" s="595"/>
      <c r="H55" s="595"/>
      <c r="I55" s="595"/>
      <c r="J55" s="595"/>
      <c r="K55" s="595"/>
      <c r="L55" s="595"/>
      <c r="M55" s="595"/>
      <c r="N55" s="595"/>
      <c r="O55" s="595"/>
      <c r="P55" s="595"/>
      <c r="Q55" s="595"/>
      <c r="R55" s="588"/>
      <c r="S55" s="590"/>
      <c r="T55" s="588"/>
      <c r="U55" s="595"/>
      <c r="V55" s="595"/>
    </row>
    <row r="56" spans="1:22" ht="24" thickBot="1" x14ac:dyDescent="0.3">
      <c r="A56" s="591">
        <v>53</v>
      </c>
      <c r="B56" s="638"/>
      <c r="C56" s="639"/>
      <c r="D56" s="639"/>
      <c r="E56" s="595"/>
      <c r="F56" s="595"/>
      <c r="G56" s="595"/>
      <c r="H56" s="595"/>
      <c r="I56" s="595"/>
      <c r="J56" s="595"/>
      <c r="K56" s="595"/>
      <c r="L56" s="595"/>
      <c r="M56" s="595"/>
      <c r="N56" s="595"/>
      <c r="O56" s="595"/>
      <c r="P56" s="595"/>
      <c r="Q56" s="595"/>
      <c r="R56" s="588"/>
      <c r="S56" s="590"/>
      <c r="T56" s="588"/>
      <c r="U56" s="595"/>
      <c r="V56" s="595"/>
    </row>
    <row r="57" spans="1:22" ht="24" thickBot="1" x14ac:dyDescent="0.3">
      <c r="A57" s="591">
        <v>54</v>
      </c>
      <c r="B57" s="640"/>
      <c r="C57" s="641"/>
      <c r="D57" s="641"/>
      <c r="E57" s="595"/>
      <c r="F57" s="595"/>
      <c r="G57" s="595"/>
      <c r="H57" s="595"/>
      <c r="I57" s="595"/>
      <c r="J57" s="595"/>
      <c r="K57" s="595"/>
      <c r="L57" s="595"/>
      <c r="M57" s="595"/>
      <c r="N57" s="595"/>
      <c r="O57" s="595"/>
      <c r="P57" s="595"/>
      <c r="Q57" s="595"/>
      <c r="R57" s="588"/>
      <c r="S57" s="590"/>
      <c r="T57" s="588"/>
      <c r="U57" s="595"/>
      <c r="V57" s="595"/>
    </row>
    <row r="58" spans="1:22" ht="24" thickBot="1" x14ac:dyDescent="0.3">
      <c r="A58" s="591">
        <v>55</v>
      </c>
      <c r="B58" s="640"/>
      <c r="C58" s="641"/>
      <c r="D58" s="641"/>
      <c r="E58" s="595"/>
      <c r="F58" s="595"/>
      <c r="G58" s="595"/>
      <c r="H58" s="595"/>
      <c r="I58" s="595"/>
      <c r="J58" s="595"/>
      <c r="K58" s="595"/>
      <c r="L58" s="595"/>
      <c r="M58" s="595"/>
      <c r="N58" s="595"/>
      <c r="O58" s="595"/>
      <c r="P58" s="595"/>
      <c r="Q58" s="595"/>
      <c r="R58" s="588"/>
      <c r="S58" s="590"/>
      <c r="T58" s="588"/>
      <c r="U58" s="595"/>
      <c r="V58" s="595"/>
    </row>
    <row r="59" spans="1:22" ht="23.25" x14ac:dyDescent="0.25">
      <c r="A59" s="591">
        <v>56</v>
      </c>
      <c r="B59" s="640"/>
      <c r="C59" s="641"/>
      <c r="D59" s="641"/>
      <c r="E59" s="595"/>
      <c r="F59" s="595"/>
      <c r="G59" s="595"/>
      <c r="H59" s="595"/>
      <c r="I59" s="595"/>
      <c r="J59" s="595"/>
      <c r="K59" s="595"/>
      <c r="L59" s="595"/>
      <c r="M59" s="595"/>
      <c r="N59" s="595"/>
      <c r="O59" s="595"/>
      <c r="P59" s="595"/>
      <c r="Q59" s="595"/>
      <c r="R59" s="585"/>
      <c r="S59" s="642"/>
      <c r="T59" s="585"/>
      <c r="U59" s="595"/>
      <c r="V59" s="595"/>
    </row>
  </sheetData>
  <mergeCells count="2">
    <mergeCell ref="A1:V1"/>
    <mergeCell ref="A2:V2"/>
  </mergeCells>
  <pageMargins left="0.7" right="0.7" top="0.75" bottom="0.75" header="0.3" footer="0.3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view="pageBreakPreview" zoomScale="60" zoomScaleNormal="100" workbookViewId="0">
      <selection activeCell="B4" sqref="B4:B51"/>
    </sheetView>
  </sheetViews>
  <sheetFormatPr defaultRowHeight="15" x14ac:dyDescent="0.25"/>
  <cols>
    <col min="1" max="1" width="6.7109375" customWidth="1"/>
    <col min="2" max="2" width="44.140625" customWidth="1"/>
    <col min="3" max="3" width="9.7109375" customWidth="1"/>
    <col min="4" max="4" width="8.85546875" customWidth="1"/>
    <col min="5" max="5" width="18.7109375" customWidth="1"/>
    <col min="6" max="6" width="18.42578125" customWidth="1"/>
    <col min="7" max="7" width="14.42578125" customWidth="1"/>
    <col min="8" max="8" width="19" customWidth="1"/>
  </cols>
  <sheetData>
    <row r="1" spans="1:8" ht="23.25" x14ac:dyDescent="0.25">
      <c r="A1" s="920" t="s">
        <v>42</v>
      </c>
      <c r="B1" s="921"/>
      <c r="C1" s="921"/>
      <c r="D1" s="921"/>
      <c r="E1" s="921"/>
      <c r="F1" s="921"/>
      <c r="G1" s="921"/>
      <c r="H1" s="921"/>
    </row>
    <row r="2" spans="1:8" ht="23.25" x14ac:dyDescent="0.25">
      <c r="A2" s="922" t="s">
        <v>99</v>
      </c>
      <c r="B2" s="923"/>
      <c r="C2" s="923"/>
      <c r="D2" s="923"/>
      <c r="E2" s="923"/>
      <c r="F2" s="923"/>
      <c r="G2" s="923"/>
      <c r="H2" s="923"/>
    </row>
    <row r="3" spans="1:8" ht="39" customHeight="1" thickBot="1" x14ac:dyDescent="0.3">
      <c r="A3" s="575" t="s">
        <v>88</v>
      </c>
      <c r="B3" s="576" t="s">
        <v>1</v>
      </c>
      <c r="C3" s="577" t="s">
        <v>2</v>
      </c>
      <c r="D3" s="576" t="s">
        <v>3</v>
      </c>
      <c r="E3" s="662" t="s">
        <v>35</v>
      </c>
      <c r="F3" s="662" t="s">
        <v>36</v>
      </c>
      <c r="G3" s="662" t="s">
        <v>13</v>
      </c>
      <c r="H3" s="663" t="s">
        <v>14</v>
      </c>
    </row>
    <row r="4" spans="1:8" ht="19.5" customHeight="1" thickBot="1" x14ac:dyDescent="0.4">
      <c r="A4" s="581">
        <v>1</v>
      </c>
      <c r="B4" s="1043"/>
      <c r="C4" s="583">
        <v>16</v>
      </c>
      <c r="D4" s="584" t="s">
        <v>17</v>
      </c>
      <c r="E4" s="664">
        <v>82</v>
      </c>
      <c r="F4" s="664">
        <v>74.692307692307693</v>
      </c>
      <c r="G4" s="664">
        <f>AVERAGE(E4:F4)</f>
        <v>78.34615384615384</v>
      </c>
      <c r="H4" s="665">
        <f>RANK(G4,$G$4:$G$50)</f>
        <v>22</v>
      </c>
    </row>
    <row r="5" spans="1:8" ht="21" customHeight="1" thickBot="1" x14ac:dyDescent="0.4">
      <c r="A5" s="591">
        <v>2</v>
      </c>
      <c r="B5" s="1044"/>
      <c r="C5" s="593">
        <v>15</v>
      </c>
      <c r="D5" s="594" t="s">
        <v>17</v>
      </c>
      <c r="E5" s="664">
        <v>60.846153846153847</v>
      </c>
      <c r="F5" s="664">
        <v>65</v>
      </c>
      <c r="G5" s="664">
        <f t="shared" ref="G5:G50" si="0">AVERAGE(E5:F5)</f>
        <v>62.92307692307692</v>
      </c>
      <c r="H5" s="665">
        <f t="shared" ref="H5:H50" si="1">RANK(G5,$G$4:$G$50)</f>
        <v>39</v>
      </c>
    </row>
    <row r="6" spans="1:8" ht="22.5" customHeight="1" thickBot="1" x14ac:dyDescent="0.4">
      <c r="A6" s="591">
        <v>3</v>
      </c>
      <c r="B6" s="1044"/>
      <c r="C6" s="593">
        <v>15</v>
      </c>
      <c r="D6" s="594" t="s">
        <v>17</v>
      </c>
      <c r="E6" s="664">
        <v>68.384615384615387</v>
      </c>
      <c r="F6" s="664">
        <v>66.92307692307692</v>
      </c>
      <c r="G6" s="664">
        <f t="shared" si="0"/>
        <v>67.65384615384616</v>
      </c>
      <c r="H6" s="665">
        <f t="shared" si="1"/>
        <v>35</v>
      </c>
    </row>
    <row r="7" spans="1:8" ht="21" customHeight="1" thickBot="1" x14ac:dyDescent="0.4">
      <c r="A7" s="591">
        <v>4</v>
      </c>
      <c r="B7" s="1044"/>
      <c r="C7" s="593">
        <v>15</v>
      </c>
      <c r="D7" s="594" t="s">
        <v>17</v>
      </c>
      <c r="E7" s="664">
        <v>69.07692307692308</v>
      </c>
      <c r="F7" s="664">
        <v>64.538461538461533</v>
      </c>
      <c r="G7" s="664">
        <f t="shared" si="0"/>
        <v>66.807692307692307</v>
      </c>
      <c r="H7" s="665">
        <f t="shared" si="1"/>
        <v>36</v>
      </c>
    </row>
    <row r="8" spans="1:8" ht="22.5" customHeight="1" thickBot="1" x14ac:dyDescent="0.4">
      <c r="A8" s="591">
        <v>5</v>
      </c>
      <c r="B8" s="1044"/>
      <c r="C8" s="593">
        <v>15</v>
      </c>
      <c r="D8" s="594" t="s">
        <v>17</v>
      </c>
      <c r="E8" s="664">
        <v>73.92307692307692</v>
      </c>
      <c r="F8" s="664">
        <v>70.92307692307692</v>
      </c>
      <c r="G8" s="664">
        <f t="shared" si="0"/>
        <v>72.42307692307692</v>
      </c>
      <c r="H8" s="665">
        <f t="shared" si="1"/>
        <v>29</v>
      </c>
    </row>
    <row r="9" spans="1:8" ht="23.25" customHeight="1" thickBot="1" x14ac:dyDescent="0.4">
      <c r="A9" s="591">
        <v>6</v>
      </c>
      <c r="B9" s="1044"/>
      <c r="C9" s="593">
        <v>16</v>
      </c>
      <c r="D9" s="594" t="s">
        <v>20</v>
      </c>
      <c r="E9" s="664">
        <v>85.307692307692307</v>
      </c>
      <c r="F9" s="664">
        <v>89.230769230769226</v>
      </c>
      <c r="G9" s="664">
        <f t="shared" si="0"/>
        <v>87.269230769230774</v>
      </c>
      <c r="H9" s="665">
        <f t="shared" si="1"/>
        <v>8</v>
      </c>
    </row>
    <row r="10" spans="1:8" ht="21" customHeight="1" thickBot="1" x14ac:dyDescent="0.4">
      <c r="A10" s="591">
        <v>7</v>
      </c>
      <c r="B10" s="1044"/>
      <c r="C10" s="593">
        <v>16</v>
      </c>
      <c r="D10" s="594" t="s">
        <v>17</v>
      </c>
      <c r="E10" s="664">
        <v>71.461538461538467</v>
      </c>
      <c r="F10" s="664">
        <v>71.84615384615384</v>
      </c>
      <c r="G10" s="664">
        <f t="shared" si="0"/>
        <v>71.65384615384616</v>
      </c>
      <c r="H10" s="665">
        <f t="shared" si="1"/>
        <v>31</v>
      </c>
    </row>
    <row r="11" spans="1:8" ht="22.5" customHeight="1" thickBot="1" x14ac:dyDescent="0.4">
      <c r="A11" s="591">
        <v>8</v>
      </c>
      <c r="B11" s="1044"/>
      <c r="C11" s="593">
        <v>15</v>
      </c>
      <c r="D11" s="594" t="s">
        <v>20</v>
      </c>
      <c r="E11" s="664">
        <v>82.307692307692307</v>
      </c>
      <c r="F11" s="664">
        <v>76.230769230769226</v>
      </c>
      <c r="G11" s="664">
        <f t="shared" si="0"/>
        <v>79.269230769230774</v>
      </c>
      <c r="H11" s="665">
        <f t="shared" si="1"/>
        <v>20</v>
      </c>
    </row>
    <row r="12" spans="1:8" ht="22.5" customHeight="1" thickBot="1" x14ac:dyDescent="0.4">
      <c r="A12" s="591">
        <v>9</v>
      </c>
      <c r="B12" s="1044"/>
      <c r="C12" s="593">
        <v>15</v>
      </c>
      <c r="D12" s="594" t="s">
        <v>17</v>
      </c>
      <c r="E12" s="664">
        <v>82.692307692307693</v>
      </c>
      <c r="F12" s="664">
        <v>79.92307692307692</v>
      </c>
      <c r="G12" s="664">
        <f t="shared" si="0"/>
        <v>81.307692307692307</v>
      </c>
      <c r="H12" s="665">
        <f t="shared" si="1"/>
        <v>17</v>
      </c>
    </row>
    <row r="13" spans="1:8" ht="20.25" customHeight="1" thickBot="1" x14ac:dyDescent="0.4">
      <c r="A13" s="591">
        <v>10</v>
      </c>
      <c r="B13" s="1044"/>
      <c r="C13" s="593">
        <v>15</v>
      </c>
      <c r="D13" s="594" t="s">
        <v>20</v>
      </c>
      <c r="E13" s="664">
        <v>86.615384615384613</v>
      </c>
      <c r="F13" s="664">
        <v>88.15384615384616</v>
      </c>
      <c r="G13" s="664">
        <f t="shared" si="0"/>
        <v>87.384615384615387</v>
      </c>
      <c r="H13" s="665">
        <f t="shared" si="1"/>
        <v>7</v>
      </c>
    </row>
    <row r="14" spans="1:8" ht="20.25" customHeight="1" thickBot="1" x14ac:dyDescent="0.4">
      <c r="A14" s="591">
        <v>11</v>
      </c>
      <c r="B14" s="1044"/>
      <c r="C14" s="593">
        <v>14</v>
      </c>
      <c r="D14" s="594" t="s">
        <v>20</v>
      </c>
      <c r="E14" s="664">
        <v>85.615384615384613</v>
      </c>
      <c r="F14" s="664">
        <v>87.92307692307692</v>
      </c>
      <c r="G14" s="664">
        <f t="shared" si="0"/>
        <v>86.769230769230774</v>
      </c>
      <c r="H14" s="665">
        <f t="shared" si="1"/>
        <v>11</v>
      </c>
    </row>
    <row r="15" spans="1:8" ht="21.75" customHeight="1" thickBot="1" x14ac:dyDescent="0.4">
      <c r="A15" s="591">
        <v>12</v>
      </c>
      <c r="B15" s="1044"/>
      <c r="C15" s="593">
        <v>16</v>
      </c>
      <c r="D15" s="594" t="s">
        <v>20</v>
      </c>
      <c r="E15" s="664">
        <v>86.230769230769226</v>
      </c>
      <c r="F15" s="664">
        <v>83.307692307692307</v>
      </c>
      <c r="G15" s="664">
        <f t="shared" si="0"/>
        <v>84.769230769230774</v>
      </c>
      <c r="H15" s="665">
        <f t="shared" si="1"/>
        <v>13</v>
      </c>
    </row>
    <row r="16" spans="1:8" ht="24" customHeight="1" thickBot="1" x14ac:dyDescent="0.4">
      <c r="A16" s="591">
        <v>13</v>
      </c>
      <c r="B16" s="1044"/>
      <c r="C16" s="593">
        <v>14</v>
      </c>
      <c r="D16" s="594" t="s">
        <v>20</v>
      </c>
      <c r="E16" s="664">
        <v>78.230769230769226</v>
      </c>
      <c r="F16" s="664">
        <v>75.15384615384616</v>
      </c>
      <c r="G16" s="664">
        <f t="shared" si="0"/>
        <v>76.692307692307693</v>
      </c>
      <c r="H16" s="665">
        <f t="shared" si="1"/>
        <v>24</v>
      </c>
    </row>
    <row r="17" spans="1:8" ht="22.5" customHeight="1" thickBot="1" x14ac:dyDescent="0.4">
      <c r="A17" s="591">
        <v>14</v>
      </c>
      <c r="B17" s="1044"/>
      <c r="C17" s="593">
        <v>14</v>
      </c>
      <c r="D17" s="594" t="s">
        <v>20</v>
      </c>
      <c r="E17" s="664">
        <v>66</v>
      </c>
      <c r="F17" s="664">
        <v>61.846153846153847</v>
      </c>
      <c r="G17" s="664">
        <f t="shared" si="0"/>
        <v>63.92307692307692</v>
      </c>
      <c r="H17" s="665">
        <f t="shared" si="1"/>
        <v>38</v>
      </c>
    </row>
    <row r="18" spans="1:8" ht="20.25" customHeight="1" thickBot="1" x14ac:dyDescent="0.4">
      <c r="A18" s="591">
        <v>15</v>
      </c>
      <c r="B18" s="1044"/>
      <c r="C18" s="593">
        <v>14</v>
      </c>
      <c r="D18" s="594" t="s">
        <v>20</v>
      </c>
      <c r="E18" s="664">
        <v>67.384615384615387</v>
      </c>
      <c r="F18" s="664">
        <v>65.615384615384613</v>
      </c>
      <c r="G18" s="664">
        <f t="shared" si="0"/>
        <v>66.5</v>
      </c>
      <c r="H18" s="665">
        <f t="shared" si="1"/>
        <v>37</v>
      </c>
    </row>
    <row r="19" spans="1:8" ht="18.75" customHeight="1" thickBot="1" x14ac:dyDescent="0.4">
      <c r="A19" s="591">
        <v>16</v>
      </c>
      <c r="B19" s="1044"/>
      <c r="C19" s="593">
        <v>14</v>
      </c>
      <c r="D19" s="594" t="s">
        <v>20</v>
      </c>
      <c r="E19" s="664">
        <v>59.307692307692307</v>
      </c>
      <c r="F19" s="664">
        <v>62.307692307692307</v>
      </c>
      <c r="G19" s="664">
        <f t="shared" si="0"/>
        <v>60.807692307692307</v>
      </c>
      <c r="H19" s="665">
        <f t="shared" si="1"/>
        <v>42</v>
      </c>
    </row>
    <row r="20" spans="1:8" ht="21" customHeight="1" thickBot="1" x14ac:dyDescent="0.4">
      <c r="A20" s="591">
        <v>17</v>
      </c>
      <c r="B20" s="1044"/>
      <c r="C20" s="593">
        <v>16</v>
      </c>
      <c r="D20" s="594" t="s">
        <v>20</v>
      </c>
      <c r="E20" s="664">
        <v>75.769230769230774</v>
      </c>
      <c r="F20" s="664">
        <v>74.615384615384613</v>
      </c>
      <c r="G20" s="664">
        <f t="shared" si="0"/>
        <v>75.192307692307693</v>
      </c>
      <c r="H20" s="665">
        <f t="shared" si="1"/>
        <v>27</v>
      </c>
    </row>
    <row r="21" spans="1:8" ht="21" customHeight="1" thickBot="1" x14ac:dyDescent="0.4">
      <c r="A21" s="591">
        <v>18</v>
      </c>
      <c r="B21" s="1044"/>
      <c r="C21" s="593">
        <v>14</v>
      </c>
      <c r="D21" s="594" t="s">
        <v>20</v>
      </c>
      <c r="E21" s="664">
        <v>79.461538461538467</v>
      </c>
      <c r="F21" s="664">
        <v>81.384615384615387</v>
      </c>
      <c r="G21" s="664">
        <f t="shared" si="0"/>
        <v>80.423076923076934</v>
      </c>
      <c r="H21" s="665">
        <f t="shared" si="1"/>
        <v>18</v>
      </c>
    </row>
    <row r="22" spans="1:8" ht="18.75" customHeight="1" thickBot="1" x14ac:dyDescent="0.4">
      <c r="A22" s="591">
        <v>19</v>
      </c>
      <c r="B22" s="1044"/>
      <c r="C22" s="593">
        <v>14</v>
      </c>
      <c r="D22" s="594" t="s">
        <v>17</v>
      </c>
      <c r="E22" s="664">
        <v>84.615384615384613</v>
      </c>
      <c r="F22" s="664">
        <v>82.15384615384616</v>
      </c>
      <c r="G22" s="664">
        <f t="shared" si="0"/>
        <v>83.384615384615387</v>
      </c>
      <c r="H22" s="665">
        <f t="shared" si="1"/>
        <v>14</v>
      </c>
    </row>
    <row r="23" spans="1:8" ht="21" customHeight="1" thickBot="1" x14ac:dyDescent="0.4">
      <c r="A23" s="591">
        <v>20</v>
      </c>
      <c r="B23" s="1044"/>
      <c r="C23" s="593">
        <v>14</v>
      </c>
      <c r="D23" s="594" t="s">
        <v>20</v>
      </c>
      <c r="E23" s="664">
        <v>79.15384615384616</v>
      </c>
      <c r="F23" s="664">
        <v>77.692307692307693</v>
      </c>
      <c r="G23" s="664">
        <f t="shared" si="0"/>
        <v>78.423076923076934</v>
      </c>
      <c r="H23" s="665">
        <f t="shared" si="1"/>
        <v>21</v>
      </c>
    </row>
    <row r="24" spans="1:8" ht="24.75" customHeight="1" thickBot="1" x14ac:dyDescent="0.4">
      <c r="A24" s="591">
        <v>21</v>
      </c>
      <c r="B24" s="1045"/>
      <c r="C24" s="599">
        <v>14</v>
      </c>
      <c r="D24" s="600" t="s">
        <v>20</v>
      </c>
      <c r="E24" s="664">
        <v>72.692307692307693</v>
      </c>
      <c r="F24" s="664">
        <v>74.84615384615384</v>
      </c>
      <c r="G24" s="664">
        <f t="shared" si="0"/>
        <v>73.769230769230774</v>
      </c>
      <c r="H24" s="665">
        <f t="shared" si="1"/>
        <v>28</v>
      </c>
    </row>
    <row r="25" spans="1:8" ht="20.25" customHeight="1" thickBot="1" x14ac:dyDescent="0.4">
      <c r="A25" s="591">
        <v>22</v>
      </c>
      <c r="B25" s="1045"/>
      <c r="C25" s="599">
        <v>14</v>
      </c>
      <c r="D25" s="600" t="s">
        <v>20</v>
      </c>
      <c r="E25" s="664">
        <v>74</v>
      </c>
      <c r="F25" s="664">
        <v>69.15384615384616</v>
      </c>
      <c r="G25" s="664">
        <f t="shared" si="0"/>
        <v>71.57692307692308</v>
      </c>
      <c r="H25" s="665">
        <f t="shared" si="1"/>
        <v>32</v>
      </c>
    </row>
    <row r="26" spans="1:8" ht="22.5" customHeight="1" thickBot="1" x14ac:dyDescent="0.4">
      <c r="A26" s="591">
        <v>23</v>
      </c>
      <c r="B26" s="1045"/>
      <c r="C26" s="599">
        <v>16</v>
      </c>
      <c r="D26" s="600" t="s">
        <v>20</v>
      </c>
      <c r="E26" s="664">
        <v>58.07692307692308</v>
      </c>
      <c r="F26" s="664">
        <v>56.692307692307693</v>
      </c>
      <c r="G26" s="664">
        <f t="shared" si="0"/>
        <v>57.384615384615387</v>
      </c>
      <c r="H26" s="665">
        <f t="shared" si="1"/>
        <v>44</v>
      </c>
    </row>
    <row r="27" spans="1:8" ht="22.5" customHeight="1" thickBot="1" x14ac:dyDescent="0.4">
      <c r="A27" s="591">
        <v>24</v>
      </c>
      <c r="B27" s="1045"/>
      <c r="C27" s="599">
        <v>16</v>
      </c>
      <c r="D27" s="600" t="s">
        <v>17</v>
      </c>
      <c r="E27" s="664">
        <v>92.15384615384616</v>
      </c>
      <c r="F27" s="664">
        <v>94.307692307692307</v>
      </c>
      <c r="G27" s="664">
        <f t="shared" si="0"/>
        <v>93.230769230769226</v>
      </c>
      <c r="H27" s="665">
        <f t="shared" si="1"/>
        <v>2</v>
      </c>
    </row>
    <row r="28" spans="1:8" ht="22.5" customHeight="1" thickBot="1" x14ac:dyDescent="0.4">
      <c r="A28" s="591">
        <v>25</v>
      </c>
      <c r="B28" s="1045"/>
      <c r="C28" s="599">
        <v>16</v>
      </c>
      <c r="D28" s="600" t="s">
        <v>17</v>
      </c>
      <c r="E28" s="664">
        <v>56.846153846153847</v>
      </c>
      <c r="F28" s="664">
        <v>54.692307692307693</v>
      </c>
      <c r="G28" s="664">
        <f t="shared" si="0"/>
        <v>55.769230769230774</v>
      </c>
      <c r="H28" s="665">
        <f t="shared" si="1"/>
        <v>46</v>
      </c>
    </row>
    <row r="29" spans="1:8" ht="22.5" customHeight="1" thickBot="1" x14ac:dyDescent="0.4">
      <c r="A29" s="591">
        <v>26</v>
      </c>
      <c r="B29" s="1046"/>
      <c r="C29" s="604">
        <v>15</v>
      </c>
      <c r="D29" s="605" t="s">
        <v>17</v>
      </c>
      <c r="E29" s="664">
        <v>61.846153846153847</v>
      </c>
      <c r="F29" s="664">
        <v>59</v>
      </c>
      <c r="G29" s="664">
        <f t="shared" si="0"/>
        <v>60.42307692307692</v>
      </c>
      <c r="H29" s="665">
        <f t="shared" si="1"/>
        <v>43</v>
      </c>
    </row>
    <row r="30" spans="1:8" ht="18.75" customHeight="1" thickBot="1" x14ac:dyDescent="0.4">
      <c r="A30" s="591">
        <v>27</v>
      </c>
      <c r="B30" s="1045"/>
      <c r="C30" s="599">
        <v>16</v>
      </c>
      <c r="D30" s="600" t="s">
        <v>17</v>
      </c>
      <c r="E30" s="664">
        <v>71.461538461538467</v>
      </c>
      <c r="F30" s="664">
        <v>69.384615384615387</v>
      </c>
      <c r="G30" s="664">
        <f t="shared" si="0"/>
        <v>70.423076923076934</v>
      </c>
      <c r="H30" s="665">
        <f t="shared" si="1"/>
        <v>33</v>
      </c>
    </row>
    <row r="31" spans="1:8" ht="19.5" customHeight="1" thickBot="1" x14ac:dyDescent="0.4">
      <c r="A31" s="591">
        <v>28</v>
      </c>
      <c r="B31" s="1045"/>
      <c r="C31" s="599">
        <v>16</v>
      </c>
      <c r="D31" s="600" t="s">
        <v>17</v>
      </c>
      <c r="E31" s="664">
        <v>69.84615384615384</v>
      </c>
      <c r="F31" s="664">
        <v>69.461538461538467</v>
      </c>
      <c r="G31" s="664">
        <f t="shared" si="0"/>
        <v>69.65384615384616</v>
      </c>
      <c r="H31" s="665">
        <f t="shared" si="1"/>
        <v>34</v>
      </c>
    </row>
    <row r="32" spans="1:8" ht="21" customHeight="1" thickBot="1" x14ac:dyDescent="0.4">
      <c r="A32" s="591">
        <v>29</v>
      </c>
      <c r="B32" s="1045"/>
      <c r="C32" s="599">
        <v>15</v>
      </c>
      <c r="D32" s="600" t="s">
        <v>20</v>
      </c>
      <c r="E32" s="664">
        <v>88.307692307692307</v>
      </c>
      <c r="F32" s="664">
        <v>90.769230769230774</v>
      </c>
      <c r="G32" s="664">
        <f t="shared" si="0"/>
        <v>89.538461538461547</v>
      </c>
      <c r="H32" s="665">
        <f t="shared" si="1"/>
        <v>5</v>
      </c>
    </row>
    <row r="33" spans="1:8" ht="20.25" customHeight="1" thickBot="1" x14ac:dyDescent="0.4">
      <c r="A33" s="591">
        <v>30</v>
      </c>
      <c r="B33" s="1045"/>
      <c r="C33" s="599">
        <v>14</v>
      </c>
      <c r="D33" s="600" t="s">
        <v>20</v>
      </c>
      <c r="E33" s="664">
        <v>76.615384615384613</v>
      </c>
      <c r="F33" s="664">
        <v>77.461538461538467</v>
      </c>
      <c r="G33" s="664">
        <f t="shared" si="0"/>
        <v>77.038461538461547</v>
      </c>
      <c r="H33" s="665">
        <f t="shared" si="1"/>
        <v>23</v>
      </c>
    </row>
    <row r="34" spans="1:8" ht="19.5" customHeight="1" thickBot="1" x14ac:dyDescent="0.4">
      <c r="A34" s="591">
        <v>31</v>
      </c>
      <c r="B34" s="1045"/>
      <c r="C34" s="599">
        <v>15</v>
      </c>
      <c r="D34" s="600" t="s">
        <v>17</v>
      </c>
      <c r="E34" s="664">
        <v>77.615384615384613</v>
      </c>
      <c r="F34" s="664">
        <v>81.615384615384613</v>
      </c>
      <c r="G34" s="664">
        <f t="shared" si="0"/>
        <v>79.615384615384613</v>
      </c>
      <c r="H34" s="665">
        <f t="shared" si="1"/>
        <v>19</v>
      </c>
    </row>
    <row r="35" spans="1:8" ht="21" customHeight="1" thickBot="1" x14ac:dyDescent="0.4">
      <c r="A35" s="591">
        <v>32</v>
      </c>
      <c r="B35" s="1045"/>
      <c r="C35" s="599">
        <v>15</v>
      </c>
      <c r="D35" s="600" t="s">
        <v>17</v>
      </c>
      <c r="E35" s="664">
        <v>88.615384615384613</v>
      </c>
      <c r="F35" s="664">
        <v>94.230769230769226</v>
      </c>
      <c r="G35" s="664">
        <f t="shared" si="0"/>
        <v>91.42307692307692</v>
      </c>
      <c r="H35" s="665">
        <f t="shared" si="1"/>
        <v>4</v>
      </c>
    </row>
    <row r="36" spans="1:8" ht="20.25" customHeight="1" thickBot="1" x14ac:dyDescent="0.4">
      <c r="A36" s="591">
        <v>33</v>
      </c>
      <c r="B36" s="1045"/>
      <c r="C36" s="599">
        <v>15</v>
      </c>
      <c r="D36" s="600" t="s">
        <v>20</v>
      </c>
      <c r="E36" s="664">
        <v>93.15384615384616</v>
      </c>
      <c r="F36" s="664">
        <v>92.615384615384613</v>
      </c>
      <c r="G36" s="664">
        <f t="shared" si="0"/>
        <v>92.884615384615387</v>
      </c>
      <c r="H36" s="665">
        <f t="shared" si="1"/>
        <v>3</v>
      </c>
    </row>
    <row r="37" spans="1:8" ht="21" customHeight="1" thickBot="1" x14ac:dyDescent="0.4">
      <c r="A37" s="591">
        <v>34</v>
      </c>
      <c r="B37" s="1045"/>
      <c r="C37" s="599">
        <v>15</v>
      </c>
      <c r="D37" s="600" t="s">
        <v>20</v>
      </c>
      <c r="E37" s="664">
        <v>76.307692307692307</v>
      </c>
      <c r="F37" s="664">
        <v>67.307692307692307</v>
      </c>
      <c r="G37" s="664">
        <f t="shared" si="0"/>
        <v>71.807692307692307</v>
      </c>
      <c r="H37" s="665">
        <f t="shared" si="1"/>
        <v>30</v>
      </c>
    </row>
    <row r="38" spans="1:8" ht="21.75" customHeight="1" thickBot="1" x14ac:dyDescent="0.4">
      <c r="A38" s="591">
        <v>35</v>
      </c>
      <c r="B38" s="1045"/>
      <c r="C38" s="599">
        <v>15</v>
      </c>
      <c r="D38" s="600" t="s">
        <v>20</v>
      </c>
      <c r="E38" s="664">
        <v>84</v>
      </c>
      <c r="F38" s="664">
        <v>90.461538461538467</v>
      </c>
      <c r="G38" s="664">
        <f t="shared" si="0"/>
        <v>87.230769230769226</v>
      </c>
      <c r="H38" s="665">
        <f t="shared" si="1"/>
        <v>9</v>
      </c>
    </row>
    <row r="39" spans="1:8" ht="21.75" customHeight="1" thickBot="1" x14ac:dyDescent="0.4">
      <c r="A39" s="591">
        <v>36</v>
      </c>
      <c r="B39" s="1045"/>
      <c r="C39" s="599">
        <v>15</v>
      </c>
      <c r="D39" s="600" t="s">
        <v>20</v>
      </c>
      <c r="E39" s="664">
        <v>76.307692307692307</v>
      </c>
      <c r="F39" s="664">
        <v>76.692307692307693</v>
      </c>
      <c r="G39" s="664">
        <f t="shared" si="0"/>
        <v>76.5</v>
      </c>
      <c r="H39" s="665">
        <f t="shared" si="1"/>
        <v>25</v>
      </c>
    </row>
    <row r="40" spans="1:8" ht="21.75" customHeight="1" thickBot="1" x14ac:dyDescent="0.4">
      <c r="A40" s="591">
        <v>37</v>
      </c>
      <c r="B40" s="1045"/>
      <c r="C40" s="599">
        <v>15</v>
      </c>
      <c r="D40" s="600" t="s">
        <v>20</v>
      </c>
      <c r="E40" s="664">
        <v>85.615384615384613</v>
      </c>
      <c r="F40" s="664">
        <v>88.461538461538467</v>
      </c>
      <c r="G40" s="664">
        <f t="shared" si="0"/>
        <v>87.038461538461547</v>
      </c>
      <c r="H40" s="665">
        <f t="shared" si="1"/>
        <v>10</v>
      </c>
    </row>
    <row r="41" spans="1:8" ht="22.5" customHeight="1" thickBot="1" x14ac:dyDescent="0.4">
      <c r="A41" s="591">
        <v>38</v>
      </c>
      <c r="B41" s="1045"/>
      <c r="C41" s="599">
        <v>14</v>
      </c>
      <c r="D41" s="600" t="s">
        <v>20</v>
      </c>
      <c r="E41" s="664">
        <v>77.692307692307693</v>
      </c>
      <c r="F41" s="664">
        <v>73.07692307692308</v>
      </c>
      <c r="G41" s="664">
        <f t="shared" si="0"/>
        <v>75.384615384615387</v>
      </c>
      <c r="H41" s="665">
        <f t="shared" si="1"/>
        <v>26</v>
      </c>
    </row>
    <row r="42" spans="1:8" ht="22.5" customHeight="1" thickBot="1" x14ac:dyDescent="0.4">
      <c r="A42" s="591">
        <v>39</v>
      </c>
      <c r="B42" s="1045"/>
      <c r="C42" s="599">
        <v>15</v>
      </c>
      <c r="D42" s="600" t="s">
        <v>20</v>
      </c>
      <c r="E42" s="664">
        <v>83.15384615384616</v>
      </c>
      <c r="F42" s="664">
        <v>88.84615384615384</v>
      </c>
      <c r="G42" s="664">
        <f t="shared" si="0"/>
        <v>86</v>
      </c>
      <c r="H42" s="665">
        <f t="shared" si="1"/>
        <v>12</v>
      </c>
    </row>
    <row r="43" spans="1:8" ht="21.75" customHeight="1" thickBot="1" x14ac:dyDescent="0.4">
      <c r="A43" s="591">
        <v>40</v>
      </c>
      <c r="B43" s="1045"/>
      <c r="C43" s="599">
        <v>14</v>
      </c>
      <c r="D43" s="600" t="s">
        <v>20</v>
      </c>
      <c r="E43" s="664">
        <v>64.15384615384616</v>
      </c>
      <c r="F43" s="664">
        <v>60.153846153846153</v>
      </c>
      <c r="G43" s="664">
        <f t="shared" si="0"/>
        <v>62.15384615384616</v>
      </c>
      <c r="H43" s="665">
        <f t="shared" si="1"/>
        <v>40</v>
      </c>
    </row>
    <row r="44" spans="1:8" ht="18.75" customHeight="1" thickBot="1" x14ac:dyDescent="0.4">
      <c r="A44" s="591">
        <v>41</v>
      </c>
      <c r="B44" s="1045"/>
      <c r="C44" s="599">
        <v>15</v>
      </c>
      <c r="D44" s="600" t="s">
        <v>17</v>
      </c>
      <c r="E44" s="664">
        <v>80.307692307692307</v>
      </c>
      <c r="F44" s="664">
        <v>84.538461538461533</v>
      </c>
      <c r="G44" s="664">
        <f t="shared" si="0"/>
        <v>82.42307692307692</v>
      </c>
      <c r="H44" s="665">
        <f t="shared" si="1"/>
        <v>15</v>
      </c>
    </row>
    <row r="45" spans="1:8" ht="21" customHeight="1" thickBot="1" x14ac:dyDescent="0.4">
      <c r="A45" s="591">
        <v>42</v>
      </c>
      <c r="B45" s="1045"/>
      <c r="C45" s="599">
        <v>14</v>
      </c>
      <c r="D45" s="600" t="s">
        <v>20</v>
      </c>
      <c r="E45" s="664">
        <v>60</v>
      </c>
      <c r="F45" s="664">
        <v>54.769230769230766</v>
      </c>
      <c r="G45" s="664">
        <f t="shared" si="0"/>
        <v>57.384615384615387</v>
      </c>
      <c r="H45" s="665">
        <f t="shared" si="1"/>
        <v>44</v>
      </c>
    </row>
    <row r="46" spans="1:8" ht="20.25" customHeight="1" thickBot="1" x14ac:dyDescent="0.4">
      <c r="A46" s="591">
        <v>43</v>
      </c>
      <c r="B46" s="1045"/>
      <c r="C46" s="599">
        <v>15</v>
      </c>
      <c r="D46" s="600" t="s">
        <v>20</v>
      </c>
      <c r="E46" s="664">
        <v>97.230769230769226</v>
      </c>
      <c r="F46" s="664">
        <v>98.692307692307693</v>
      </c>
      <c r="G46" s="664">
        <f t="shared" si="0"/>
        <v>97.961538461538453</v>
      </c>
      <c r="H46" s="665">
        <f t="shared" si="1"/>
        <v>1</v>
      </c>
    </row>
    <row r="47" spans="1:8" ht="23.25" customHeight="1" thickBot="1" x14ac:dyDescent="0.4">
      <c r="A47" s="591">
        <v>44</v>
      </c>
      <c r="B47" s="1045"/>
      <c r="C47" s="599">
        <v>15</v>
      </c>
      <c r="D47" s="600" t="s">
        <v>17</v>
      </c>
      <c r="E47" s="664">
        <v>62.615384615384613</v>
      </c>
      <c r="F47" s="664">
        <v>59.307692307692307</v>
      </c>
      <c r="G47" s="664">
        <f t="shared" si="0"/>
        <v>60.96153846153846</v>
      </c>
      <c r="H47" s="665">
        <f t="shared" si="1"/>
        <v>41</v>
      </c>
    </row>
    <row r="48" spans="1:8" ht="22.5" customHeight="1" thickBot="1" x14ac:dyDescent="0.4">
      <c r="A48" s="591">
        <v>45</v>
      </c>
      <c r="B48" s="1045"/>
      <c r="C48" s="599">
        <v>16</v>
      </c>
      <c r="D48" s="600" t="s">
        <v>17</v>
      </c>
      <c r="E48" s="664">
        <v>88</v>
      </c>
      <c r="F48" s="664">
        <v>89.15384615384616</v>
      </c>
      <c r="G48" s="664">
        <f t="shared" si="0"/>
        <v>88.57692307692308</v>
      </c>
      <c r="H48" s="665">
        <f t="shared" si="1"/>
        <v>6</v>
      </c>
    </row>
    <row r="49" spans="1:8" ht="20.25" customHeight="1" thickBot="1" x14ac:dyDescent="0.4">
      <c r="A49" s="591">
        <v>46</v>
      </c>
      <c r="B49" s="1045"/>
      <c r="C49" s="599">
        <v>15</v>
      </c>
      <c r="D49" s="600" t="s">
        <v>20</v>
      </c>
      <c r="E49" s="664">
        <v>50.769230769230766</v>
      </c>
      <c r="F49" s="664">
        <v>47.53846153846154</v>
      </c>
      <c r="G49" s="664">
        <f t="shared" si="0"/>
        <v>49.153846153846153</v>
      </c>
      <c r="H49" s="665">
        <f t="shared" si="1"/>
        <v>47</v>
      </c>
    </row>
    <row r="50" spans="1:8" ht="20.25" customHeight="1" thickBot="1" x14ac:dyDescent="0.4">
      <c r="A50" s="591">
        <v>47</v>
      </c>
      <c r="B50" s="1045"/>
      <c r="C50" s="599">
        <v>16</v>
      </c>
      <c r="D50" s="600" t="s">
        <v>17</v>
      </c>
      <c r="E50" s="664">
        <v>79.92307692307692</v>
      </c>
      <c r="F50" s="664">
        <v>84.384615384615387</v>
      </c>
      <c r="G50" s="664">
        <f t="shared" si="0"/>
        <v>82.15384615384616</v>
      </c>
      <c r="H50" s="665">
        <f t="shared" si="1"/>
        <v>16</v>
      </c>
    </row>
    <row r="51" spans="1:8" x14ac:dyDescent="0.25">
      <c r="A51" s="90">
        <v>48</v>
      </c>
      <c r="B51" s="1047"/>
      <c r="C51" s="88"/>
      <c r="D51" s="88"/>
      <c r="E51" s="67"/>
      <c r="F51" s="67"/>
      <c r="G51" s="67"/>
      <c r="H51" s="81"/>
    </row>
    <row r="52" spans="1:8" ht="15.75" x14ac:dyDescent="0.25">
      <c r="A52" s="95">
        <v>49</v>
      </c>
      <c r="B52" s="89"/>
      <c r="C52" s="88"/>
      <c r="D52" s="88"/>
      <c r="E52" s="67"/>
      <c r="F52" s="67"/>
      <c r="G52" s="67"/>
      <c r="H52" s="81"/>
    </row>
    <row r="53" spans="1:8" ht="15.75" x14ac:dyDescent="0.25">
      <c r="A53" s="95">
        <v>50</v>
      </c>
      <c r="B53" s="89"/>
      <c r="C53" s="88"/>
      <c r="D53" s="88"/>
      <c r="E53" s="67"/>
      <c r="F53" s="67"/>
      <c r="G53" s="67"/>
      <c r="H53" s="81"/>
    </row>
    <row r="54" spans="1:8" ht="15.75" x14ac:dyDescent="0.25">
      <c r="A54" s="95">
        <v>51</v>
      </c>
      <c r="B54" s="89"/>
      <c r="C54" s="88"/>
      <c r="D54" s="88"/>
      <c r="E54" s="67"/>
      <c r="F54" s="67"/>
      <c r="G54" s="67"/>
      <c r="H54" s="81"/>
    </row>
    <row r="55" spans="1:8" ht="15.75" x14ac:dyDescent="0.25">
      <c r="A55" s="95">
        <v>52</v>
      </c>
      <c r="B55" s="89"/>
      <c r="C55" s="88"/>
      <c r="D55" s="88"/>
      <c r="E55" s="67"/>
      <c r="F55" s="67"/>
      <c r="G55" s="67"/>
      <c r="H55" s="81"/>
    </row>
    <row r="56" spans="1:8" ht="15.75" x14ac:dyDescent="0.25">
      <c r="A56" s="95">
        <v>53</v>
      </c>
      <c r="B56" s="91"/>
      <c r="C56" s="96"/>
      <c r="D56" s="96"/>
      <c r="E56" s="67"/>
      <c r="F56" s="67"/>
      <c r="G56" s="67"/>
      <c r="H56" s="81"/>
    </row>
    <row r="57" spans="1:8" ht="15.75" x14ac:dyDescent="0.25">
      <c r="A57" s="95">
        <v>54</v>
      </c>
      <c r="B57" s="92"/>
      <c r="C57" s="72"/>
      <c r="D57" s="72"/>
      <c r="E57" s="67"/>
      <c r="F57" s="67"/>
      <c r="G57" s="67"/>
      <c r="H57" s="81"/>
    </row>
    <row r="58" spans="1:8" ht="15.75" x14ac:dyDescent="0.25">
      <c r="A58" s="95">
        <v>55</v>
      </c>
      <c r="B58" s="92"/>
      <c r="C58" s="72"/>
      <c r="D58" s="72"/>
      <c r="E58" s="67"/>
      <c r="F58" s="67"/>
      <c r="G58" s="67"/>
      <c r="H58" s="61"/>
    </row>
    <row r="59" spans="1:8" ht="15.75" x14ac:dyDescent="0.25">
      <c r="A59" s="95">
        <v>56</v>
      </c>
      <c r="B59" s="92"/>
      <c r="C59" s="72"/>
      <c r="D59" s="72"/>
      <c r="E59" s="60"/>
      <c r="F59" s="60"/>
      <c r="G59" s="60"/>
      <c r="H59" s="61"/>
    </row>
  </sheetData>
  <mergeCells count="2">
    <mergeCell ref="A1:H1"/>
    <mergeCell ref="A2:H2"/>
  </mergeCells>
  <pageMargins left="0.7" right="0.7" top="0.75" bottom="0.75" header="0.3" footer="0.3"/>
  <pageSetup paperSize="9" scale="62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4"/>
  <sheetViews>
    <sheetView view="pageBreakPreview" zoomScale="60" zoomScaleNormal="100" workbookViewId="0">
      <selection activeCell="B6" sqref="B6:B146"/>
    </sheetView>
  </sheetViews>
  <sheetFormatPr defaultRowHeight="15" x14ac:dyDescent="0.25"/>
  <cols>
    <col min="1" max="1" width="7.85546875" customWidth="1"/>
    <col min="2" max="2" width="54.85546875" customWidth="1"/>
    <col min="3" max="3" width="11.42578125" customWidth="1"/>
    <col min="4" max="4" width="11" customWidth="1"/>
    <col min="5" max="5" width="22.85546875" customWidth="1"/>
    <col min="6" max="6" width="9.5703125" style="734" bestFit="1" customWidth="1"/>
    <col min="7" max="7" width="9.5703125" bestFit="1" customWidth="1"/>
    <col min="8" max="8" width="9.5703125" style="211" bestFit="1" customWidth="1"/>
    <col min="9" max="18" width="9.5703125" bestFit="1" customWidth="1"/>
    <col min="19" max="19" width="10.5703125" bestFit="1" customWidth="1"/>
    <col min="20" max="20" width="14" bestFit="1" customWidth="1"/>
    <col min="21" max="21" width="9.5703125" bestFit="1" customWidth="1"/>
  </cols>
  <sheetData>
    <row r="1" spans="1:23" ht="27.75" x14ac:dyDescent="0.25">
      <c r="A1" s="893" t="s">
        <v>43</v>
      </c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4"/>
      <c r="N1" s="894"/>
      <c r="O1" s="894"/>
      <c r="P1" s="894"/>
      <c r="Q1" s="894"/>
      <c r="R1" s="894"/>
      <c r="S1" s="894"/>
      <c r="T1" s="894"/>
      <c r="U1" s="894"/>
      <c r="V1" s="894"/>
      <c r="W1" s="895"/>
    </row>
    <row r="2" spans="1:23" ht="27.75" x14ac:dyDescent="0.25">
      <c r="A2" s="735"/>
      <c r="B2" s="736"/>
      <c r="C2" s="736"/>
      <c r="D2" s="736"/>
      <c r="E2" s="736"/>
      <c r="F2" s="737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8"/>
    </row>
    <row r="3" spans="1:23" ht="27.75" x14ac:dyDescent="0.25">
      <c r="A3" s="896" t="s">
        <v>102</v>
      </c>
      <c r="B3" s="896"/>
      <c r="C3" s="896"/>
      <c r="D3" s="896"/>
      <c r="E3" s="896"/>
      <c r="F3" s="896"/>
      <c r="G3" s="896"/>
      <c r="H3" s="896"/>
      <c r="I3" s="896"/>
      <c r="J3" s="896"/>
      <c r="K3" s="896"/>
      <c r="L3" s="896"/>
      <c r="M3" s="896"/>
      <c r="N3" s="896"/>
      <c r="O3" s="896"/>
      <c r="P3" s="896"/>
      <c r="Q3" s="896"/>
      <c r="R3" s="896"/>
      <c r="S3" s="896"/>
      <c r="T3" s="896"/>
      <c r="U3" s="896"/>
      <c r="V3" s="896"/>
      <c r="W3" s="896"/>
    </row>
    <row r="4" spans="1:23" ht="28.5" thickBot="1" x14ac:dyDescent="0.3">
      <c r="A4" s="739"/>
      <c r="B4" s="739"/>
      <c r="C4" s="739"/>
      <c r="D4" s="739"/>
      <c r="E4" s="739"/>
      <c r="F4" s="740"/>
      <c r="G4" s="739"/>
      <c r="H4" s="739"/>
      <c r="I4" s="739"/>
      <c r="J4" s="739"/>
      <c r="K4" s="739"/>
      <c r="L4" s="739"/>
      <c r="M4" s="739"/>
      <c r="N4" s="739"/>
      <c r="O4" s="739"/>
      <c r="P4" s="739"/>
      <c r="Q4" s="739"/>
      <c r="R4" s="739"/>
      <c r="S4" s="739"/>
      <c r="T4" s="739"/>
      <c r="U4" s="739"/>
      <c r="V4" s="739"/>
      <c r="W4" s="739"/>
    </row>
    <row r="5" spans="1:23" s="405" customFormat="1" ht="108.75" customHeight="1" thickBot="1" x14ac:dyDescent="0.3">
      <c r="A5" s="741" t="s">
        <v>103</v>
      </c>
      <c r="B5" s="741" t="s">
        <v>1</v>
      </c>
      <c r="C5" s="741" t="s">
        <v>2</v>
      </c>
      <c r="D5" s="741" t="s">
        <v>3</v>
      </c>
      <c r="E5" s="429" t="s">
        <v>4</v>
      </c>
      <c r="F5" s="742" t="s">
        <v>22</v>
      </c>
      <c r="G5" s="429" t="s">
        <v>5</v>
      </c>
      <c r="H5" s="429" t="s">
        <v>29</v>
      </c>
      <c r="I5" s="429" t="s">
        <v>6</v>
      </c>
      <c r="J5" s="429" t="s">
        <v>7</v>
      </c>
      <c r="K5" s="429" t="s">
        <v>8</v>
      </c>
      <c r="L5" s="429" t="s">
        <v>9</v>
      </c>
      <c r="M5" s="429" t="s">
        <v>24</v>
      </c>
      <c r="N5" s="429" t="s">
        <v>23</v>
      </c>
      <c r="O5" s="429" t="s">
        <v>25</v>
      </c>
      <c r="P5" s="429" t="s">
        <v>27</v>
      </c>
      <c r="Q5" s="429" t="s">
        <v>26</v>
      </c>
      <c r="R5" s="429" t="s">
        <v>28</v>
      </c>
      <c r="S5" s="429" t="s">
        <v>12</v>
      </c>
      <c r="T5" s="429" t="s">
        <v>13</v>
      </c>
      <c r="U5" s="429" t="s">
        <v>14</v>
      </c>
      <c r="V5" s="429" t="s">
        <v>15</v>
      </c>
      <c r="W5" s="431" t="s">
        <v>16</v>
      </c>
    </row>
    <row r="6" spans="1:23" ht="29.25" thickBot="1" x14ac:dyDescent="0.5">
      <c r="A6" s="930">
        <v>1</v>
      </c>
      <c r="B6" s="925"/>
      <c r="C6" s="926">
        <v>16</v>
      </c>
      <c r="D6" s="927" t="s">
        <v>17</v>
      </c>
      <c r="E6" s="743" t="s">
        <v>18</v>
      </c>
      <c r="F6" s="744">
        <v>69</v>
      </c>
      <c r="G6" s="744">
        <v>69</v>
      </c>
      <c r="H6" s="744">
        <v>76</v>
      </c>
      <c r="I6" s="744">
        <v>67</v>
      </c>
      <c r="J6" s="744">
        <v>59</v>
      </c>
      <c r="K6" s="744">
        <v>55</v>
      </c>
      <c r="L6" s="744">
        <v>73</v>
      </c>
      <c r="M6" s="744">
        <v>68</v>
      </c>
      <c r="N6" s="744">
        <v>69</v>
      </c>
      <c r="O6" s="744">
        <v>77</v>
      </c>
      <c r="P6" s="744">
        <v>77</v>
      </c>
      <c r="Q6" s="744">
        <v>83</v>
      </c>
      <c r="R6" s="744">
        <v>85</v>
      </c>
      <c r="S6" s="744">
        <v>927</v>
      </c>
      <c r="T6" s="745">
        <v>71.307692307692307</v>
      </c>
      <c r="U6" s="744">
        <v>33</v>
      </c>
      <c r="V6" s="746"/>
      <c r="W6" s="747"/>
    </row>
    <row r="7" spans="1:23" ht="29.25" thickBot="1" x14ac:dyDescent="0.5">
      <c r="A7" s="930"/>
      <c r="B7" s="925"/>
      <c r="C7" s="926"/>
      <c r="D7" s="927"/>
      <c r="E7" s="748" t="s">
        <v>19</v>
      </c>
      <c r="F7" s="749">
        <v>76</v>
      </c>
      <c r="G7" s="445">
        <v>51</v>
      </c>
      <c r="H7" s="445">
        <v>55</v>
      </c>
      <c r="I7" s="445">
        <v>74</v>
      </c>
      <c r="J7" s="445">
        <v>75</v>
      </c>
      <c r="K7" s="445">
        <v>65</v>
      </c>
      <c r="L7" s="445">
        <v>72</v>
      </c>
      <c r="M7" s="445">
        <v>84</v>
      </c>
      <c r="N7" s="445">
        <v>71</v>
      </c>
      <c r="O7" s="445">
        <v>88</v>
      </c>
      <c r="P7" s="445">
        <v>81</v>
      </c>
      <c r="Q7" s="445">
        <v>96</v>
      </c>
      <c r="R7" s="445">
        <v>93</v>
      </c>
      <c r="S7" s="749">
        <f>SUM(F7:R7)</f>
        <v>981</v>
      </c>
      <c r="T7" s="750">
        <f>AVERAGE(F7:R7)</f>
        <v>75.461538461538467</v>
      </c>
      <c r="U7" s="749">
        <v>34</v>
      </c>
      <c r="V7" s="682"/>
      <c r="W7" s="751"/>
    </row>
    <row r="8" spans="1:23" ht="29.25" thickBot="1" x14ac:dyDescent="0.5">
      <c r="A8" s="930"/>
      <c r="B8" s="925"/>
      <c r="C8" s="926"/>
      <c r="D8" s="927"/>
      <c r="E8" s="748" t="s">
        <v>13</v>
      </c>
      <c r="F8" s="749">
        <f>AVERAGE(F6:F7)</f>
        <v>72.5</v>
      </c>
      <c r="G8" s="749">
        <f t="shared" ref="G8:T8" si="0">AVERAGE(G6:G7)</f>
        <v>60</v>
      </c>
      <c r="H8" s="749">
        <f t="shared" si="0"/>
        <v>65.5</v>
      </c>
      <c r="I8" s="749">
        <f t="shared" si="0"/>
        <v>70.5</v>
      </c>
      <c r="J8" s="749">
        <f t="shared" si="0"/>
        <v>67</v>
      </c>
      <c r="K8" s="749">
        <f t="shared" si="0"/>
        <v>60</v>
      </c>
      <c r="L8" s="749">
        <f t="shared" si="0"/>
        <v>72.5</v>
      </c>
      <c r="M8" s="749">
        <f t="shared" si="0"/>
        <v>76</v>
      </c>
      <c r="N8" s="749">
        <f t="shared" si="0"/>
        <v>70</v>
      </c>
      <c r="O8" s="749">
        <f t="shared" si="0"/>
        <v>82.5</v>
      </c>
      <c r="P8" s="749">
        <f t="shared" si="0"/>
        <v>79</v>
      </c>
      <c r="Q8" s="749">
        <f t="shared" si="0"/>
        <v>89.5</v>
      </c>
      <c r="R8" s="749">
        <f t="shared" si="0"/>
        <v>89</v>
      </c>
      <c r="S8" s="749">
        <f t="shared" si="0"/>
        <v>954</v>
      </c>
      <c r="T8" s="749">
        <f t="shared" si="0"/>
        <v>73.384615384615387</v>
      </c>
      <c r="U8" s="749">
        <v>34</v>
      </c>
      <c r="V8" s="749"/>
      <c r="W8" s="749"/>
    </row>
    <row r="9" spans="1:23" ht="29.25" thickBot="1" x14ac:dyDescent="0.5">
      <c r="A9" s="924">
        <v>2</v>
      </c>
      <c r="B9" s="925"/>
      <c r="C9" s="926">
        <v>16</v>
      </c>
      <c r="D9" s="927" t="s">
        <v>17</v>
      </c>
      <c r="E9" s="748" t="s">
        <v>18</v>
      </c>
      <c r="F9" s="749">
        <v>82</v>
      </c>
      <c r="G9" s="749">
        <v>72</v>
      </c>
      <c r="H9" s="749">
        <v>78</v>
      </c>
      <c r="I9" s="749">
        <v>75</v>
      </c>
      <c r="J9" s="749">
        <v>77</v>
      </c>
      <c r="K9" s="749">
        <v>76</v>
      </c>
      <c r="L9" s="749">
        <v>80</v>
      </c>
      <c r="M9" s="749">
        <v>70</v>
      </c>
      <c r="N9" s="749">
        <v>84</v>
      </c>
      <c r="O9" s="749">
        <v>74</v>
      </c>
      <c r="P9" s="749">
        <v>84</v>
      </c>
      <c r="Q9" s="749">
        <v>88</v>
      </c>
      <c r="R9" s="749">
        <v>90</v>
      </c>
      <c r="S9" s="749">
        <f>SUM(F9:R9)</f>
        <v>1030</v>
      </c>
      <c r="T9" s="750">
        <f>AVERAGE(F9:R9)</f>
        <v>79.230769230769226</v>
      </c>
      <c r="U9" s="749">
        <v>21</v>
      </c>
      <c r="V9" s="752"/>
      <c r="W9" s="752"/>
    </row>
    <row r="10" spans="1:23" ht="29.25" thickBot="1" x14ac:dyDescent="0.5">
      <c r="A10" s="924"/>
      <c r="B10" s="925"/>
      <c r="C10" s="926"/>
      <c r="D10" s="927"/>
      <c r="E10" s="748" t="s">
        <v>19</v>
      </c>
      <c r="F10" s="749">
        <v>84</v>
      </c>
      <c r="G10" s="749">
        <v>71</v>
      </c>
      <c r="H10" s="749">
        <v>65</v>
      </c>
      <c r="I10" s="749">
        <v>88</v>
      </c>
      <c r="J10" s="749">
        <v>96</v>
      </c>
      <c r="K10" s="749">
        <v>91</v>
      </c>
      <c r="L10" s="749">
        <v>93</v>
      </c>
      <c r="M10" s="749">
        <v>94</v>
      </c>
      <c r="N10" s="749">
        <v>92</v>
      </c>
      <c r="O10" s="749">
        <v>84</v>
      </c>
      <c r="P10" s="749">
        <v>95</v>
      </c>
      <c r="Q10" s="749">
        <v>88</v>
      </c>
      <c r="R10" s="749">
        <v>89</v>
      </c>
      <c r="S10" s="749">
        <f>SUM(F10:R10)</f>
        <v>1130</v>
      </c>
      <c r="T10" s="750">
        <f>AVERAGE(F10:R10)</f>
        <v>86.92307692307692</v>
      </c>
      <c r="U10" s="749">
        <v>7</v>
      </c>
      <c r="V10" s="752"/>
      <c r="W10" s="752"/>
    </row>
    <row r="11" spans="1:23" ht="29.25" thickBot="1" x14ac:dyDescent="0.5">
      <c r="A11" s="924"/>
      <c r="B11" s="925"/>
      <c r="C11" s="926"/>
      <c r="D11" s="927"/>
      <c r="E11" s="748" t="s">
        <v>13</v>
      </c>
      <c r="F11" s="749">
        <f>AVERAGE(F9:F10)</f>
        <v>83</v>
      </c>
      <c r="G11" s="749">
        <f t="shared" ref="G11:T11" si="1">AVERAGE(G9:G10)</f>
        <v>71.5</v>
      </c>
      <c r="H11" s="749">
        <f t="shared" si="1"/>
        <v>71.5</v>
      </c>
      <c r="I11" s="749">
        <f t="shared" si="1"/>
        <v>81.5</v>
      </c>
      <c r="J11" s="749">
        <f t="shared" si="1"/>
        <v>86.5</v>
      </c>
      <c r="K11" s="749">
        <f t="shared" si="1"/>
        <v>83.5</v>
      </c>
      <c r="L11" s="749">
        <f t="shared" si="1"/>
        <v>86.5</v>
      </c>
      <c r="M11" s="749">
        <f t="shared" si="1"/>
        <v>82</v>
      </c>
      <c r="N11" s="749">
        <f t="shared" si="1"/>
        <v>88</v>
      </c>
      <c r="O11" s="749">
        <f t="shared" si="1"/>
        <v>79</v>
      </c>
      <c r="P11" s="749">
        <f t="shared" si="1"/>
        <v>89.5</v>
      </c>
      <c r="Q11" s="749">
        <f t="shared" si="1"/>
        <v>88</v>
      </c>
      <c r="R11" s="749">
        <f t="shared" si="1"/>
        <v>89.5</v>
      </c>
      <c r="S11" s="749">
        <f t="shared" si="1"/>
        <v>1080</v>
      </c>
      <c r="T11" s="749">
        <f t="shared" si="1"/>
        <v>83.076923076923066</v>
      </c>
      <c r="U11" s="749">
        <v>13</v>
      </c>
      <c r="V11" s="749"/>
      <c r="W11" s="749"/>
    </row>
    <row r="12" spans="1:23" ht="29.25" thickBot="1" x14ac:dyDescent="0.5">
      <c r="A12" s="924">
        <v>3</v>
      </c>
      <c r="B12" s="925"/>
      <c r="C12" s="926">
        <v>16</v>
      </c>
      <c r="D12" s="927" t="s">
        <v>17</v>
      </c>
      <c r="E12" s="748" t="s">
        <v>18</v>
      </c>
      <c r="F12" s="749">
        <v>75</v>
      </c>
      <c r="G12" s="749">
        <v>80</v>
      </c>
      <c r="H12" s="749">
        <v>79</v>
      </c>
      <c r="I12" s="749">
        <v>77</v>
      </c>
      <c r="J12" s="749">
        <v>72</v>
      </c>
      <c r="K12" s="749">
        <v>66</v>
      </c>
      <c r="L12" s="749">
        <v>82</v>
      </c>
      <c r="M12" s="749">
        <v>77</v>
      </c>
      <c r="N12" s="749">
        <v>79</v>
      </c>
      <c r="O12" s="749">
        <v>85</v>
      </c>
      <c r="P12" s="749">
        <v>84</v>
      </c>
      <c r="Q12" s="749">
        <v>89</v>
      </c>
      <c r="R12" s="749">
        <v>84</v>
      </c>
      <c r="S12" s="749">
        <v>1029</v>
      </c>
      <c r="T12" s="750">
        <v>79.15384615384616</v>
      </c>
      <c r="U12" s="749">
        <v>22</v>
      </c>
      <c r="V12" s="752"/>
      <c r="W12" s="752"/>
    </row>
    <row r="13" spans="1:23" ht="29.25" thickBot="1" x14ac:dyDescent="0.5">
      <c r="A13" s="924"/>
      <c r="B13" s="925"/>
      <c r="C13" s="926"/>
      <c r="D13" s="927"/>
      <c r="E13" s="748" t="s">
        <v>19</v>
      </c>
      <c r="F13" s="749">
        <v>85</v>
      </c>
      <c r="G13" s="749">
        <v>76</v>
      </c>
      <c r="H13" s="749">
        <v>51</v>
      </c>
      <c r="I13" s="749">
        <v>72</v>
      </c>
      <c r="J13" s="749">
        <v>70</v>
      </c>
      <c r="K13" s="749">
        <v>72</v>
      </c>
      <c r="L13" s="749">
        <v>85</v>
      </c>
      <c r="M13" s="749">
        <v>86</v>
      </c>
      <c r="N13" s="749">
        <v>80</v>
      </c>
      <c r="O13" s="749">
        <v>79</v>
      </c>
      <c r="P13" s="749">
        <v>93</v>
      </c>
      <c r="Q13" s="749">
        <v>100</v>
      </c>
      <c r="R13" s="749">
        <v>87</v>
      </c>
      <c r="S13" s="749">
        <f>SUM(F13:R13)</f>
        <v>1036</v>
      </c>
      <c r="T13" s="750">
        <f>AVERAGE(F13:R13)</f>
        <v>79.692307692307693</v>
      </c>
      <c r="U13" s="749">
        <v>28</v>
      </c>
      <c r="V13" s="752"/>
      <c r="W13" s="752"/>
    </row>
    <row r="14" spans="1:23" ht="29.25" thickBot="1" x14ac:dyDescent="0.5">
      <c r="A14" s="924"/>
      <c r="B14" s="925"/>
      <c r="C14" s="926"/>
      <c r="D14" s="927"/>
      <c r="E14" s="748" t="s">
        <v>13</v>
      </c>
      <c r="F14" s="749">
        <f>AVERAGE(F12:F13)</f>
        <v>80</v>
      </c>
      <c r="G14" s="749">
        <f t="shared" ref="G14:R14" si="2">AVERAGE(G12:G13)</f>
        <v>78</v>
      </c>
      <c r="H14" s="749">
        <f t="shared" si="2"/>
        <v>65</v>
      </c>
      <c r="I14" s="749">
        <f t="shared" si="2"/>
        <v>74.5</v>
      </c>
      <c r="J14" s="749">
        <f t="shared" si="2"/>
        <v>71</v>
      </c>
      <c r="K14" s="749">
        <f t="shared" si="2"/>
        <v>69</v>
      </c>
      <c r="L14" s="749">
        <f t="shared" si="2"/>
        <v>83.5</v>
      </c>
      <c r="M14" s="749">
        <f t="shared" si="2"/>
        <v>81.5</v>
      </c>
      <c r="N14" s="749">
        <f t="shared" si="2"/>
        <v>79.5</v>
      </c>
      <c r="O14" s="749">
        <f t="shared" si="2"/>
        <v>82</v>
      </c>
      <c r="P14" s="749">
        <f t="shared" si="2"/>
        <v>88.5</v>
      </c>
      <c r="Q14" s="749">
        <f t="shared" si="2"/>
        <v>94.5</v>
      </c>
      <c r="R14" s="749">
        <f t="shared" si="2"/>
        <v>85.5</v>
      </c>
      <c r="S14" s="749">
        <f>SUM(F14:R14)</f>
        <v>1032.5</v>
      </c>
      <c r="T14" s="749">
        <f>AVERAGE(F14:R14)</f>
        <v>79.42307692307692</v>
      </c>
      <c r="U14" s="749">
        <v>26</v>
      </c>
      <c r="V14" s="749"/>
      <c r="W14" s="749"/>
    </row>
    <row r="15" spans="1:23" ht="29.25" thickBot="1" x14ac:dyDescent="0.5">
      <c r="A15" s="924">
        <v>4</v>
      </c>
      <c r="B15" s="925"/>
      <c r="C15" s="926">
        <v>14</v>
      </c>
      <c r="D15" s="927" t="s">
        <v>20</v>
      </c>
      <c r="E15" s="748" t="s">
        <v>18</v>
      </c>
      <c r="F15" s="749">
        <v>82</v>
      </c>
      <c r="G15" s="749">
        <v>88</v>
      </c>
      <c r="H15" s="749">
        <v>78</v>
      </c>
      <c r="I15" s="749">
        <v>65</v>
      </c>
      <c r="J15" s="749">
        <v>65</v>
      </c>
      <c r="K15" s="749">
        <v>67</v>
      </c>
      <c r="L15" s="749">
        <v>79</v>
      </c>
      <c r="M15" s="749">
        <v>80</v>
      </c>
      <c r="N15" s="749">
        <v>81</v>
      </c>
      <c r="O15" s="749">
        <v>88</v>
      </c>
      <c r="P15" s="749">
        <v>82</v>
      </c>
      <c r="Q15" s="749">
        <v>91</v>
      </c>
      <c r="R15" s="749">
        <v>91</v>
      </c>
      <c r="S15" s="749">
        <v>1037</v>
      </c>
      <c r="T15" s="750">
        <v>79.769230769230774</v>
      </c>
      <c r="U15" s="749">
        <v>19</v>
      </c>
      <c r="V15" s="752"/>
      <c r="W15" s="752"/>
    </row>
    <row r="16" spans="1:23" ht="29.25" thickBot="1" x14ac:dyDescent="0.5">
      <c r="A16" s="924"/>
      <c r="B16" s="925"/>
      <c r="C16" s="926"/>
      <c r="D16" s="927"/>
      <c r="E16" s="748" t="s">
        <v>19</v>
      </c>
      <c r="F16" s="749">
        <v>86</v>
      </c>
      <c r="G16" s="749">
        <v>80</v>
      </c>
      <c r="H16" s="749">
        <v>76</v>
      </c>
      <c r="I16" s="749">
        <v>81</v>
      </c>
      <c r="J16" s="749">
        <v>82</v>
      </c>
      <c r="K16" s="749">
        <v>77</v>
      </c>
      <c r="L16" s="749">
        <v>87</v>
      </c>
      <c r="M16" s="749">
        <v>89</v>
      </c>
      <c r="N16" s="749">
        <v>66</v>
      </c>
      <c r="O16" s="749">
        <v>83</v>
      </c>
      <c r="P16" s="749">
        <v>92</v>
      </c>
      <c r="Q16" s="749">
        <v>95</v>
      </c>
      <c r="R16" s="749">
        <v>93</v>
      </c>
      <c r="S16" s="749">
        <f>SUM(F16:R16)</f>
        <v>1087</v>
      </c>
      <c r="T16" s="750">
        <f>AVERAGE(F16:R16)</f>
        <v>83.615384615384613</v>
      </c>
      <c r="U16" s="749">
        <v>17</v>
      </c>
      <c r="V16" s="752"/>
      <c r="W16" s="752"/>
    </row>
    <row r="17" spans="1:23" ht="29.25" thickBot="1" x14ac:dyDescent="0.5">
      <c r="A17" s="924"/>
      <c r="B17" s="925"/>
      <c r="C17" s="926"/>
      <c r="D17" s="927"/>
      <c r="E17" s="748" t="s">
        <v>13</v>
      </c>
      <c r="F17" s="749">
        <f>AVERAGE(F15:F16)</f>
        <v>84</v>
      </c>
      <c r="G17" s="749">
        <f t="shared" ref="G17:T17" si="3">AVERAGE(G15:G16)</f>
        <v>84</v>
      </c>
      <c r="H17" s="749">
        <f t="shared" si="3"/>
        <v>77</v>
      </c>
      <c r="I17" s="749">
        <f t="shared" si="3"/>
        <v>73</v>
      </c>
      <c r="J17" s="749">
        <f t="shared" si="3"/>
        <v>73.5</v>
      </c>
      <c r="K17" s="749">
        <f t="shared" si="3"/>
        <v>72</v>
      </c>
      <c r="L17" s="749">
        <f t="shared" si="3"/>
        <v>83</v>
      </c>
      <c r="M17" s="749">
        <f t="shared" si="3"/>
        <v>84.5</v>
      </c>
      <c r="N17" s="749">
        <f t="shared" si="3"/>
        <v>73.5</v>
      </c>
      <c r="O17" s="749">
        <f t="shared" si="3"/>
        <v>85.5</v>
      </c>
      <c r="P17" s="749">
        <f t="shared" si="3"/>
        <v>87</v>
      </c>
      <c r="Q17" s="749">
        <f t="shared" si="3"/>
        <v>93</v>
      </c>
      <c r="R17" s="749">
        <f t="shared" si="3"/>
        <v>92</v>
      </c>
      <c r="S17" s="749">
        <f t="shared" si="3"/>
        <v>1062</v>
      </c>
      <c r="T17" s="749">
        <f t="shared" si="3"/>
        <v>81.692307692307693</v>
      </c>
      <c r="U17" s="749">
        <v>18</v>
      </c>
      <c r="V17" s="749"/>
      <c r="W17" s="749"/>
    </row>
    <row r="18" spans="1:23" ht="29.25" thickBot="1" x14ac:dyDescent="0.5">
      <c r="A18" s="924">
        <v>5</v>
      </c>
      <c r="B18" s="925"/>
      <c r="C18" s="926">
        <v>16</v>
      </c>
      <c r="D18" s="927" t="s">
        <v>20</v>
      </c>
      <c r="E18" s="748" t="s">
        <v>18</v>
      </c>
      <c r="F18" s="749">
        <v>86</v>
      </c>
      <c r="G18" s="749">
        <v>78</v>
      </c>
      <c r="H18" s="749">
        <v>70</v>
      </c>
      <c r="I18" s="749">
        <v>64</v>
      </c>
      <c r="J18" s="749">
        <v>68</v>
      </c>
      <c r="K18" s="749">
        <v>66</v>
      </c>
      <c r="L18" s="749">
        <v>65</v>
      </c>
      <c r="M18" s="749">
        <v>84</v>
      </c>
      <c r="N18" s="749">
        <v>79</v>
      </c>
      <c r="O18" s="749">
        <v>84</v>
      </c>
      <c r="P18" s="749">
        <v>74</v>
      </c>
      <c r="Q18" s="749">
        <v>89</v>
      </c>
      <c r="R18" s="749">
        <v>90</v>
      </c>
      <c r="S18" s="749">
        <v>997</v>
      </c>
      <c r="T18" s="750">
        <v>76.692307692307693</v>
      </c>
      <c r="U18" s="749">
        <v>27</v>
      </c>
      <c r="V18" s="752"/>
      <c r="W18" s="752"/>
    </row>
    <row r="19" spans="1:23" ht="29.25" thickBot="1" x14ac:dyDescent="0.5">
      <c r="A19" s="924"/>
      <c r="B19" s="925"/>
      <c r="C19" s="926"/>
      <c r="D19" s="927"/>
      <c r="E19" s="748" t="s">
        <v>19</v>
      </c>
      <c r="F19" s="749">
        <v>88</v>
      </c>
      <c r="G19" s="749">
        <v>73</v>
      </c>
      <c r="H19" s="749">
        <v>78</v>
      </c>
      <c r="I19" s="749">
        <v>78</v>
      </c>
      <c r="J19" s="749">
        <v>68</v>
      </c>
      <c r="K19" s="749">
        <v>73</v>
      </c>
      <c r="L19" s="749">
        <v>81</v>
      </c>
      <c r="M19" s="749">
        <v>91</v>
      </c>
      <c r="N19" s="749">
        <v>86</v>
      </c>
      <c r="O19" s="749">
        <v>95</v>
      </c>
      <c r="P19" s="749">
        <v>93</v>
      </c>
      <c r="Q19" s="749">
        <v>93</v>
      </c>
      <c r="R19" s="749">
        <v>97</v>
      </c>
      <c r="S19" s="749">
        <f>SUM(F19:R19)</f>
        <v>1094</v>
      </c>
      <c r="T19" s="750">
        <f>AVERAGE(F19:R19)</f>
        <v>84.15384615384616</v>
      </c>
      <c r="U19" s="749">
        <v>15</v>
      </c>
      <c r="V19" s="752"/>
      <c r="W19" s="752"/>
    </row>
    <row r="20" spans="1:23" ht="29.25" thickBot="1" x14ac:dyDescent="0.5">
      <c r="A20" s="924"/>
      <c r="B20" s="925"/>
      <c r="C20" s="926"/>
      <c r="D20" s="927"/>
      <c r="E20" s="748" t="s">
        <v>13</v>
      </c>
      <c r="F20" s="749">
        <f>AVERAGE(F18:F19)</f>
        <v>87</v>
      </c>
      <c r="G20" s="749">
        <f t="shared" ref="G20:R20" si="4">AVERAGE(G18:G19)</f>
        <v>75.5</v>
      </c>
      <c r="H20" s="749">
        <f t="shared" si="4"/>
        <v>74</v>
      </c>
      <c r="I20" s="749">
        <f t="shared" si="4"/>
        <v>71</v>
      </c>
      <c r="J20" s="749">
        <f t="shared" si="4"/>
        <v>68</v>
      </c>
      <c r="K20" s="749">
        <f t="shared" si="4"/>
        <v>69.5</v>
      </c>
      <c r="L20" s="749">
        <f t="shared" si="4"/>
        <v>73</v>
      </c>
      <c r="M20" s="749">
        <f t="shared" si="4"/>
        <v>87.5</v>
      </c>
      <c r="N20" s="749">
        <f t="shared" si="4"/>
        <v>82.5</v>
      </c>
      <c r="O20" s="749">
        <f t="shared" si="4"/>
        <v>89.5</v>
      </c>
      <c r="P20" s="749">
        <f t="shared" si="4"/>
        <v>83.5</v>
      </c>
      <c r="Q20" s="749">
        <f t="shared" si="4"/>
        <v>91</v>
      </c>
      <c r="R20" s="749">
        <f t="shared" si="4"/>
        <v>93.5</v>
      </c>
      <c r="S20" s="749">
        <f>SUM(F20:R20)</f>
        <v>1045.5</v>
      </c>
      <c r="T20" s="749">
        <f>AVERAGE(F20:R20)</f>
        <v>80.42307692307692</v>
      </c>
      <c r="U20" s="749">
        <v>21</v>
      </c>
      <c r="V20" s="749"/>
      <c r="W20" s="749"/>
    </row>
    <row r="21" spans="1:23" ht="29.25" thickBot="1" x14ac:dyDescent="0.5">
      <c r="A21" s="924">
        <v>6</v>
      </c>
      <c r="B21" s="925"/>
      <c r="C21" s="926">
        <v>16</v>
      </c>
      <c r="D21" s="927" t="s">
        <v>20</v>
      </c>
      <c r="E21" s="748" t="s">
        <v>18</v>
      </c>
      <c r="F21" s="749">
        <v>79</v>
      </c>
      <c r="G21" s="749">
        <v>84</v>
      </c>
      <c r="H21" s="749">
        <v>87</v>
      </c>
      <c r="I21" s="749">
        <v>72</v>
      </c>
      <c r="J21" s="749">
        <v>65</v>
      </c>
      <c r="K21" s="749">
        <v>76</v>
      </c>
      <c r="L21" s="749">
        <v>80</v>
      </c>
      <c r="M21" s="749">
        <v>71</v>
      </c>
      <c r="N21" s="749">
        <v>76</v>
      </c>
      <c r="O21" s="749">
        <v>88</v>
      </c>
      <c r="P21" s="749">
        <v>80</v>
      </c>
      <c r="Q21" s="749">
        <v>85</v>
      </c>
      <c r="R21" s="749">
        <v>92</v>
      </c>
      <c r="S21" s="749">
        <v>1035</v>
      </c>
      <c r="T21" s="750">
        <v>79.615384615384613</v>
      </c>
      <c r="U21" s="749">
        <v>20</v>
      </c>
      <c r="V21" s="752"/>
      <c r="W21" s="752"/>
    </row>
    <row r="22" spans="1:23" ht="29.25" thickBot="1" x14ac:dyDescent="0.5">
      <c r="A22" s="924"/>
      <c r="B22" s="925"/>
      <c r="C22" s="926"/>
      <c r="D22" s="927"/>
      <c r="E22" s="748" t="s">
        <v>19</v>
      </c>
      <c r="F22" s="749">
        <v>77</v>
      </c>
      <c r="G22" s="749">
        <v>79</v>
      </c>
      <c r="H22" s="749">
        <v>74</v>
      </c>
      <c r="I22" s="749">
        <v>70</v>
      </c>
      <c r="J22" s="749">
        <v>69</v>
      </c>
      <c r="K22" s="749">
        <v>71</v>
      </c>
      <c r="L22" s="749">
        <v>78</v>
      </c>
      <c r="M22" s="749">
        <v>78</v>
      </c>
      <c r="N22" s="749">
        <v>78</v>
      </c>
      <c r="O22" s="749">
        <v>90</v>
      </c>
      <c r="P22" s="749">
        <v>85</v>
      </c>
      <c r="Q22" s="749">
        <v>86</v>
      </c>
      <c r="R22" s="749">
        <v>96</v>
      </c>
      <c r="S22" s="749">
        <f>SUM(F22:R22)</f>
        <v>1031</v>
      </c>
      <c r="T22" s="750">
        <f>AVERAGE(F22:R22)</f>
        <v>79.307692307692307</v>
      </c>
      <c r="U22" s="749">
        <v>27</v>
      </c>
      <c r="V22" s="752"/>
      <c r="W22" s="752"/>
    </row>
    <row r="23" spans="1:23" ht="29.25" thickBot="1" x14ac:dyDescent="0.5">
      <c r="A23" s="924"/>
      <c r="B23" s="925"/>
      <c r="C23" s="926"/>
      <c r="D23" s="927"/>
      <c r="E23" s="748" t="s">
        <v>13</v>
      </c>
      <c r="F23" s="749">
        <f>AVERAGE(F21:F22)</f>
        <v>78</v>
      </c>
      <c r="G23" s="749">
        <f t="shared" ref="G23:R23" si="5">AVERAGE(G21:G22)</f>
        <v>81.5</v>
      </c>
      <c r="H23" s="749">
        <f t="shared" si="5"/>
        <v>80.5</v>
      </c>
      <c r="I23" s="749">
        <f t="shared" si="5"/>
        <v>71</v>
      </c>
      <c r="J23" s="749">
        <f t="shared" si="5"/>
        <v>67</v>
      </c>
      <c r="K23" s="749">
        <f t="shared" si="5"/>
        <v>73.5</v>
      </c>
      <c r="L23" s="749">
        <f t="shared" si="5"/>
        <v>79</v>
      </c>
      <c r="M23" s="749">
        <f t="shared" si="5"/>
        <v>74.5</v>
      </c>
      <c r="N23" s="749">
        <f t="shared" si="5"/>
        <v>77</v>
      </c>
      <c r="O23" s="749">
        <f t="shared" si="5"/>
        <v>89</v>
      </c>
      <c r="P23" s="749">
        <f t="shared" si="5"/>
        <v>82.5</v>
      </c>
      <c r="Q23" s="749">
        <f t="shared" si="5"/>
        <v>85.5</v>
      </c>
      <c r="R23" s="749">
        <f t="shared" si="5"/>
        <v>94</v>
      </c>
      <c r="S23" s="749">
        <f>SUM(F23:R23)</f>
        <v>1033</v>
      </c>
      <c r="T23" s="749">
        <f>AVERAGE(F23:R23)</f>
        <v>79.461538461538467</v>
      </c>
      <c r="U23" s="749">
        <v>25</v>
      </c>
      <c r="V23" s="749"/>
      <c r="W23" s="749"/>
    </row>
    <row r="24" spans="1:23" ht="29.25" thickBot="1" x14ac:dyDescent="0.5">
      <c r="A24" s="924">
        <v>7</v>
      </c>
      <c r="B24" s="925"/>
      <c r="C24" s="928">
        <v>15</v>
      </c>
      <c r="D24" s="929" t="s">
        <v>20</v>
      </c>
      <c r="E24" s="748" t="s">
        <v>18</v>
      </c>
      <c r="F24" s="749">
        <v>80</v>
      </c>
      <c r="G24" s="749">
        <v>71</v>
      </c>
      <c r="H24" s="749">
        <v>92</v>
      </c>
      <c r="I24" s="749">
        <v>82</v>
      </c>
      <c r="J24" s="749">
        <v>70</v>
      </c>
      <c r="K24" s="749">
        <v>75</v>
      </c>
      <c r="L24" s="749">
        <v>88</v>
      </c>
      <c r="M24" s="749">
        <v>80</v>
      </c>
      <c r="N24" s="749">
        <v>76</v>
      </c>
      <c r="O24" s="749">
        <v>79</v>
      </c>
      <c r="P24" s="749">
        <v>86</v>
      </c>
      <c r="Q24" s="749">
        <v>86</v>
      </c>
      <c r="R24" s="749">
        <v>92</v>
      </c>
      <c r="S24" s="749">
        <v>1057</v>
      </c>
      <c r="T24" s="750">
        <v>81.307692307692307</v>
      </c>
      <c r="U24" s="749">
        <v>12</v>
      </c>
      <c r="V24" s="752"/>
      <c r="W24" s="752"/>
    </row>
    <row r="25" spans="1:23" ht="29.25" thickBot="1" x14ac:dyDescent="0.5">
      <c r="A25" s="924"/>
      <c r="B25" s="925"/>
      <c r="C25" s="928"/>
      <c r="D25" s="929"/>
      <c r="E25" s="748" t="s">
        <v>19</v>
      </c>
      <c r="F25" s="749">
        <v>83</v>
      </c>
      <c r="G25" s="749">
        <v>66</v>
      </c>
      <c r="H25" s="749">
        <v>79</v>
      </c>
      <c r="I25" s="749">
        <v>78</v>
      </c>
      <c r="J25" s="749">
        <v>81</v>
      </c>
      <c r="K25" s="749">
        <v>87</v>
      </c>
      <c r="L25" s="749">
        <v>84</v>
      </c>
      <c r="M25" s="749">
        <v>88</v>
      </c>
      <c r="N25" s="749">
        <v>83</v>
      </c>
      <c r="O25" s="749">
        <v>83</v>
      </c>
      <c r="P25" s="749">
        <v>91</v>
      </c>
      <c r="Q25" s="749">
        <v>88</v>
      </c>
      <c r="R25" s="749">
        <v>94</v>
      </c>
      <c r="S25" s="749">
        <f>SUM(F25:R25)</f>
        <v>1085</v>
      </c>
      <c r="T25" s="750">
        <f>AVERAGE(F25:R25)</f>
        <v>83.461538461538467</v>
      </c>
      <c r="U25" s="749">
        <v>16</v>
      </c>
      <c r="V25" s="752"/>
      <c r="W25" s="752"/>
    </row>
    <row r="26" spans="1:23" ht="29.25" thickBot="1" x14ac:dyDescent="0.5">
      <c r="A26" s="924"/>
      <c r="B26" s="925"/>
      <c r="C26" s="928"/>
      <c r="D26" s="929"/>
      <c r="E26" s="748" t="s">
        <v>13</v>
      </c>
      <c r="F26" s="749">
        <f>AVERAGE(F24:F25)</f>
        <v>81.5</v>
      </c>
      <c r="G26" s="749">
        <f t="shared" ref="G26:R26" si="6">AVERAGE(G24:G25)</f>
        <v>68.5</v>
      </c>
      <c r="H26" s="749">
        <f t="shared" si="6"/>
        <v>85.5</v>
      </c>
      <c r="I26" s="749">
        <f t="shared" si="6"/>
        <v>80</v>
      </c>
      <c r="J26" s="749">
        <f t="shared" si="6"/>
        <v>75.5</v>
      </c>
      <c r="K26" s="749">
        <f t="shared" si="6"/>
        <v>81</v>
      </c>
      <c r="L26" s="749">
        <f t="shared" si="6"/>
        <v>86</v>
      </c>
      <c r="M26" s="749">
        <f t="shared" si="6"/>
        <v>84</v>
      </c>
      <c r="N26" s="749">
        <f t="shared" si="6"/>
        <v>79.5</v>
      </c>
      <c r="O26" s="749">
        <f t="shared" si="6"/>
        <v>81</v>
      </c>
      <c r="P26" s="749">
        <f t="shared" si="6"/>
        <v>88.5</v>
      </c>
      <c r="Q26" s="749">
        <f t="shared" si="6"/>
        <v>87</v>
      </c>
      <c r="R26" s="749">
        <f t="shared" si="6"/>
        <v>93</v>
      </c>
      <c r="S26" s="749">
        <f>SUM(F26:R26)</f>
        <v>1071</v>
      </c>
      <c r="T26" s="749">
        <f>AVERAGE(F26:R26)</f>
        <v>82.384615384615387</v>
      </c>
      <c r="U26" s="749">
        <v>16</v>
      </c>
      <c r="V26" s="749"/>
      <c r="W26" s="749"/>
    </row>
    <row r="27" spans="1:23" ht="29.25" thickBot="1" x14ac:dyDescent="0.5">
      <c r="A27" s="924">
        <v>8</v>
      </c>
      <c r="B27" s="925"/>
      <c r="C27" s="926">
        <v>16</v>
      </c>
      <c r="D27" s="927" t="s">
        <v>20</v>
      </c>
      <c r="E27" s="748" t="s">
        <v>18</v>
      </c>
      <c r="F27" s="749">
        <v>77</v>
      </c>
      <c r="G27" s="749">
        <v>87</v>
      </c>
      <c r="H27" s="749">
        <v>76</v>
      </c>
      <c r="I27" s="749">
        <v>71</v>
      </c>
      <c r="J27" s="749">
        <v>65</v>
      </c>
      <c r="K27" s="749">
        <v>80</v>
      </c>
      <c r="L27" s="749">
        <v>89</v>
      </c>
      <c r="M27" s="749">
        <v>82</v>
      </c>
      <c r="N27" s="749">
        <v>83</v>
      </c>
      <c r="O27" s="749">
        <v>85</v>
      </c>
      <c r="P27" s="749">
        <v>75</v>
      </c>
      <c r="Q27" s="749">
        <v>90</v>
      </c>
      <c r="R27" s="749">
        <v>90</v>
      </c>
      <c r="S27" s="749">
        <v>1050</v>
      </c>
      <c r="T27" s="750">
        <v>80.769230769230774</v>
      </c>
      <c r="U27" s="749">
        <v>15</v>
      </c>
      <c r="V27" s="752"/>
      <c r="W27" s="752"/>
    </row>
    <row r="28" spans="1:23" ht="29.25" thickBot="1" x14ac:dyDescent="0.5">
      <c r="A28" s="924"/>
      <c r="B28" s="925"/>
      <c r="C28" s="926"/>
      <c r="D28" s="927"/>
      <c r="E28" s="748" t="s">
        <v>19</v>
      </c>
      <c r="F28" s="749">
        <v>81</v>
      </c>
      <c r="G28" s="749">
        <v>82</v>
      </c>
      <c r="H28" s="749">
        <v>76</v>
      </c>
      <c r="I28" s="749">
        <v>81</v>
      </c>
      <c r="J28" s="749">
        <v>81</v>
      </c>
      <c r="K28" s="749">
        <v>77</v>
      </c>
      <c r="L28" s="749">
        <v>84</v>
      </c>
      <c r="M28" s="749">
        <v>95</v>
      </c>
      <c r="N28" s="749">
        <v>82</v>
      </c>
      <c r="O28" s="749">
        <v>96</v>
      </c>
      <c r="P28" s="749">
        <v>93</v>
      </c>
      <c r="Q28" s="749">
        <v>94</v>
      </c>
      <c r="R28" s="749">
        <v>95</v>
      </c>
      <c r="S28" s="749">
        <f>SUM(F28:R28)</f>
        <v>1117</v>
      </c>
      <c r="T28" s="750">
        <f>AVERAGE(F28:R28)</f>
        <v>85.92307692307692</v>
      </c>
      <c r="U28" s="749">
        <v>8</v>
      </c>
      <c r="V28" s="752"/>
      <c r="W28" s="752"/>
    </row>
    <row r="29" spans="1:23" ht="29.25" thickBot="1" x14ac:dyDescent="0.5">
      <c r="A29" s="924"/>
      <c r="B29" s="925"/>
      <c r="C29" s="926"/>
      <c r="D29" s="927"/>
      <c r="E29" s="748" t="s">
        <v>13</v>
      </c>
      <c r="F29" s="749">
        <f>AVERAGE(F27:F28)</f>
        <v>79</v>
      </c>
      <c r="G29" s="749">
        <f t="shared" ref="G29:T29" si="7">AVERAGE(G27:G28)</f>
        <v>84.5</v>
      </c>
      <c r="H29" s="749">
        <f t="shared" si="7"/>
        <v>76</v>
      </c>
      <c r="I29" s="749">
        <f t="shared" si="7"/>
        <v>76</v>
      </c>
      <c r="J29" s="749">
        <f t="shared" si="7"/>
        <v>73</v>
      </c>
      <c r="K29" s="749">
        <f t="shared" si="7"/>
        <v>78.5</v>
      </c>
      <c r="L29" s="749">
        <f t="shared" si="7"/>
        <v>86.5</v>
      </c>
      <c r="M29" s="749">
        <f t="shared" si="7"/>
        <v>88.5</v>
      </c>
      <c r="N29" s="749">
        <f t="shared" si="7"/>
        <v>82.5</v>
      </c>
      <c r="O29" s="749">
        <f t="shared" si="7"/>
        <v>90.5</v>
      </c>
      <c r="P29" s="749">
        <f t="shared" si="7"/>
        <v>84</v>
      </c>
      <c r="Q29" s="749">
        <f t="shared" si="7"/>
        <v>92</v>
      </c>
      <c r="R29" s="749">
        <f t="shared" si="7"/>
        <v>92.5</v>
      </c>
      <c r="S29" s="749">
        <f t="shared" si="7"/>
        <v>1083.5</v>
      </c>
      <c r="T29" s="749">
        <f t="shared" si="7"/>
        <v>83.34615384615384</v>
      </c>
      <c r="U29" s="749">
        <v>11</v>
      </c>
      <c r="V29" s="749"/>
      <c r="W29" s="749"/>
    </row>
    <row r="30" spans="1:23" ht="29.25" thickBot="1" x14ac:dyDescent="0.5">
      <c r="A30" s="924">
        <v>9</v>
      </c>
      <c r="B30" s="925"/>
      <c r="C30" s="926">
        <v>16</v>
      </c>
      <c r="D30" s="927" t="s">
        <v>17</v>
      </c>
      <c r="E30" s="748" t="s">
        <v>18</v>
      </c>
      <c r="F30" s="749">
        <v>74</v>
      </c>
      <c r="G30" s="749">
        <v>64</v>
      </c>
      <c r="H30" s="749">
        <v>80</v>
      </c>
      <c r="I30" s="749">
        <v>71</v>
      </c>
      <c r="J30" s="749">
        <v>67</v>
      </c>
      <c r="K30" s="749">
        <v>69</v>
      </c>
      <c r="L30" s="749">
        <v>86</v>
      </c>
      <c r="M30" s="749">
        <v>79</v>
      </c>
      <c r="N30" s="749">
        <v>92</v>
      </c>
      <c r="O30" s="749">
        <v>85</v>
      </c>
      <c r="P30" s="749">
        <v>71</v>
      </c>
      <c r="Q30" s="749">
        <v>83</v>
      </c>
      <c r="R30" s="749">
        <v>88</v>
      </c>
      <c r="S30" s="749">
        <v>1009</v>
      </c>
      <c r="T30" s="750">
        <v>77.615384615384613</v>
      </c>
      <c r="U30" s="749">
        <v>25</v>
      </c>
      <c r="V30" s="752"/>
      <c r="W30" s="752"/>
    </row>
    <row r="31" spans="1:23" ht="29.25" thickBot="1" x14ac:dyDescent="0.5">
      <c r="A31" s="924"/>
      <c r="B31" s="925"/>
      <c r="C31" s="926"/>
      <c r="D31" s="927"/>
      <c r="E31" s="748" t="s">
        <v>19</v>
      </c>
      <c r="F31" s="749">
        <v>76</v>
      </c>
      <c r="G31" s="749">
        <v>70</v>
      </c>
      <c r="H31" s="749">
        <v>73</v>
      </c>
      <c r="I31" s="749">
        <v>76</v>
      </c>
      <c r="J31" s="749">
        <v>77</v>
      </c>
      <c r="K31" s="749">
        <v>66</v>
      </c>
      <c r="L31" s="749">
        <v>85</v>
      </c>
      <c r="M31" s="749">
        <v>86</v>
      </c>
      <c r="N31" s="749">
        <v>85</v>
      </c>
      <c r="O31" s="749">
        <v>87</v>
      </c>
      <c r="P31" s="749">
        <v>88</v>
      </c>
      <c r="Q31" s="749">
        <v>91</v>
      </c>
      <c r="R31" s="749">
        <v>93</v>
      </c>
      <c r="S31" s="749">
        <f>SUM(F31:R31)</f>
        <v>1053</v>
      </c>
      <c r="T31" s="750">
        <f>AVERAGE(F31:R31)</f>
        <v>81</v>
      </c>
      <c r="U31" s="749">
        <v>24</v>
      </c>
      <c r="V31" s="752"/>
      <c r="W31" s="752"/>
    </row>
    <row r="32" spans="1:23" ht="29.25" thickBot="1" x14ac:dyDescent="0.5">
      <c r="A32" s="924"/>
      <c r="B32" s="925"/>
      <c r="C32" s="926"/>
      <c r="D32" s="927"/>
      <c r="E32" s="748" t="s">
        <v>13</v>
      </c>
      <c r="F32" s="749">
        <f>AVERAGE(F30:F31)</f>
        <v>75</v>
      </c>
      <c r="G32" s="749">
        <f t="shared" ref="G32:T32" si="8">AVERAGE(G30:G31)</f>
        <v>67</v>
      </c>
      <c r="H32" s="749">
        <f t="shared" si="8"/>
        <v>76.5</v>
      </c>
      <c r="I32" s="749">
        <f t="shared" si="8"/>
        <v>73.5</v>
      </c>
      <c r="J32" s="749">
        <f t="shared" si="8"/>
        <v>72</v>
      </c>
      <c r="K32" s="749">
        <f t="shared" si="8"/>
        <v>67.5</v>
      </c>
      <c r="L32" s="749">
        <f t="shared" si="8"/>
        <v>85.5</v>
      </c>
      <c r="M32" s="749">
        <f t="shared" si="8"/>
        <v>82.5</v>
      </c>
      <c r="N32" s="749">
        <f t="shared" si="8"/>
        <v>88.5</v>
      </c>
      <c r="O32" s="749">
        <f t="shared" si="8"/>
        <v>86</v>
      </c>
      <c r="P32" s="749">
        <f t="shared" si="8"/>
        <v>79.5</v>
      </c>
      <c r="Q32" s="749">
        <f t="shared" si="8"/>
        <v>87</v>
      </c>
      <c r="R32" s="749">
        <f t="shared" si="8"/>
        <v>90.5</v>
      </c>
      <c r="S32" s="749">
        <f t="shared" si="8"/>
        <v>1031</v>
      </c>
      <c r="T32" s="749">
        <f t="shared" si="8"/>
        <v>79.307692307692307</v>
      </c>
      <c r="U32" s="749">
        <v>27</v>
      </c>
      <c r="V32" s="749"/>
      <c r="W32" s="749"/>
    </row>
    <row r="33" spans="1:23" ht="29.25" thickBot="1" x14ac:dyDescent="0.5">
      <c r="A33" s="924">
        <v>10</v>
      </c>
      <c r="B33" s="925"/>
      <c r="C33" s="926">
        <v>16</v>
      </c>
      <c r="D33" s="927" t="s">
        <v>20</v>
      </c>
      <c r="E33" s="748" t="s">
        <v>18</v>
      </c>
      <c r="F33" s="749">
        <v>73</v>
      </c>
      <c r="G33" s="749">
        <v>82</v>
      </c>
      <c r="H33" s="749">
        <v>77</v>
      </c>
      <c r="I33" s="749">
        <v>53</v>
      </c>
      <c r="J33" s="749">
        <v>43</v>
      </c>
      <c r="K33" s="749">
        <v>50</v>
      </c>
      <c r="L33" s="749">
        <v>57</v>
      </c>
      <c r="M33" s="749">
        <v>69</v>
      </c>
      <c r="N33" s="749">
        <v>65</v>
      </c>
      <c r="O33" s="749">
        <v>78</v>
      </c>
      <c r="P33" s="749">
        <v>77</v>
      </c>
      <c r="Q33" s="749">
        <v>71</v>
      </c>
      <c r="R33" s="749">
        <v>86</v>
      </c>
      <c r="S33" s="749">
        <v>881</v>
      </c>
      <c r="T33" s="750">
        <v>67.769230769230774</v>
      </c>
      <c r="U33" s="749">
        <v>41</v>
      </c>
      <c r="V33" s="752"/>
      <c r="W33" s="752"/>
    </row>
    <row r="34" spans="1:23" ht="29.25" thickBot="1" x14ac:dyDescent="0.5">
      <c r="A34" s="924"/>
      <c r="B34" s="925"/>
      <c r="C34" s="926"/>
      <c r="D34" s="927"/>
      <c r="E34" s="748" t="s">
        <v>19</v>
      </c>
      <c r="F34" s="749">
        <v>70</v>
      </c>
      <c r="G34" s="749">
        <v>80</v>
      </c>
      <c r="H34" s="749">
        <v>74</v>
      </c>
      <c r="I34" s="749">
        <v>68</v>
      </c>
      <c r="J34" s="749">
        <v>51</v>
      </c>
      <c r="K34" s="749">
        <v>57</v>
      </c>
      <c r="L34" s="749">
        <v>48</v>
      </c>
      <c r="M34" s="749">
        <v>84</v>
      </c>
      <c r="N34" s="749">
        <v>72</v>
      </c>
      <c r="O34" s="749">
        <v>93</v>
      </c>
      <c r="P34" s="749">
        <v>86</v>
      </c>
      <c r="Q34" s="749">
        <v>84</v>
      </c>
      <c r="R34" s="749">
        <v>92</v>
      </c>
      <c r="S34" s="749">
        <f>SUM(F34:R34)</f>
        <v>959</v>
      </c>
      <c r="T34" s="750">
        <f>AVERAGE(F34:R34)</f>
        <v>73.769230769230774</v>
      </c>
      <c r="U34" s="749">
        <v>35</v>
      </c>
      <c r="V34" s="752"/>
      <c r="W34" s="752"/>
    </row>
    <row r="35" spans="1:23" ht="29.25" thickBot="1" x14ac:dyDescent="0.5">
      <c r="A35" s="924"/>
      <c r="B35" s="925"/>
      <c r="C35" s="926"/>
      <c r="D35" s="927"/>
      <c r="E35" s="748" t="s">
        <v>13</v>
      </c>
      <c r="F35" s="749">
        <f>AVERAGE(F33:F34)</f>
        <v>71.5</v>
      </c>
      <c r="G35" s="749">
        <f t="shared" ref="G35:R35" si="9">AVERAGE(G33:G34)</f>
        <v>81</v>
      </c>
      <c r="H35" s="749">
        <f t="shared" si="9"/>
        <v>75.5</v>
      </c>
      <c r="I35" s="749">
        <f t="shared" si="9"/>
        <v>60.5</v>
      </c>
      <c r="J35" s="749">
        <f t="shared" si="9"/>
        <v>47</v>
      </c>
      <c r="K35" s="749">
        <f t="shared" si="9"/>
        <v>53.5</v>
      </c>
      <c r="L35" s="749">
        <f t="shared" si="9"/>
        <v>52.5</v>
      </c>
      <c r="M35" s="749">
        <f t="shared" si="9"/>
        <v>76.5</v>
      </c>
      <c r="N35" s="749">
        <f t="shared" si="9"/>
        <v>68.5</v>
      </c>
      <c r="O35" s="749">
        <f t="shared" si="9"/>
        <v>85.5</v>
      </c>
      <c r="P35" s="749">
        <f t="shared" si="9"/>
        <v>81.5</v>
      </c>
      <c r="Q35" s="749">
        <f t="shared" si="9"/>
        <v>77.5</v>
      </c>
      <c r="R35" s="749">
        <f t="shared" si="9"/>
        <v>89</v>
      </c>
      <c r="S35" s="749">
        <f>SUM(F35:R35)</f>
        <v>920</v>
      </c>
      <c r="T35" s="749">
        <f>AVERAGE(F35:R35)</f>
        <v>70.769230769230774</v>
      </c>
      <c r="U35" s="749">
        <v>38</v>
      </c>
      <c r="V35" s="749"/>
      <c r="W35" s="749"/>
    </row>
    <row r="36" spans="1:23" ht="29.25" thickBot="1" x14ac:dyDescent="0.5">
      <c r="A36" s="924">
        <v>11</v>
      </c>
      <c r="B36" s="925"/>
      <c r="C36" s="926">
        <v>15</v>
      </c>
      <c r="D36" s="927" t="s">
        <v>20</v>
      </c>
      <c r="E36" s="748" t="s">
        <v>18</v>
      </c>
      <c r="F36" s="749">
        <v>73</v>
      </c>
      <c r="G36" s="749">
        <v>59</v>
      </c>
      <c r="H36" s="749">
        <v>82</v>
      </c>
      <c r="I36" s="749">
        <v>53</v>
      </c>
      <c r="J36" s="749">
        <v>53</v>
      </c>
      <c r="K36" s="749">
        <v>51</v>
      </c>
      <c r="L36" s="749">
        <v>61</v>
      </c>
      <c r="M36" s="749">
        <v>79</v>
      </c>
      <c r="N36" s="749">
        <v>65</v>
      </c>
      <c r="O36" s="749">
        <v>69</v>
      </c>
      <c r="P36" s="749">
        <v>70</v>
      </c>
      <c r="Q36" s="749">
        <v>76</v>
      </c>
      <c r="R36" s="749">
        <v>84</v>
      </c>
      <c r="S36" s="749">
        <v>875</v>
      </c>
      <c r="T36" s="750">
        <v>67.307692307692307</v>
      </c>
      <c r="U36" s="749">
        <v>42</v>
      </c>
      <c r="V36" s="752"/>
      <c r="W36" s="752"/>
    </row>
    <row r="37" spans="1:23" ht="29.25" thickBot="1" x14ac:dyDescent="0.5">
      <c r="A37" s="924"/>
      <c r="B37" s="925"/>
      <c r="C37" s="926"/>
      <c r="D37" s="927"/>
      <c r="E37" s="748" t="s">
        <v>19</v>
      </c>
      <c r="F37" s="749">
        <v>74</v>
      </c>
      <c r="G37" s="749">
        <v>51</v>
      </c>
      <c r="H37" s="749">
        <v>67</v>
      </c>
      <c r="I37" s="749">
        <v>54</v>
      </c>
      <c r="J37" s="749">
        <v>57</v>
      </c>
      <c r="K37" s="749">
        <v>59</v>
      </c>
      <c r="L37" s="749">
        <v>61</v>
      </c>
      <c r="M37" s="749">
        <v>76</v>
      </c>
      <c r="N37" s="749">
        <v>77</v>
      </c>
      <c r="O37" s="749">
        <v>76</v>
      </c>
      <c r="P37" s="749">
        <v>71</v>
      </c>
      <c r="Q37" s="749">
        <v>84</v>
      </c>
      <c r="R37" s="749">
        <v>92</v>
      </c>
      <c r="S37" s="749">
        <f>SUM(F37:R37)</f>
        <v>899</v>
      </c>
      <c r="T37" s="750">
        <f>AVERAGE(F37:R37)</f>
        <v>69.15384615384616</v>
      </c>
      <c r="U37" s="749">
        <v>41</v>
      </c>
      <c r="V37" s="752"/>
      <c r="W37" s="752"/>
    </row>
    <row r="38" spans="1:23" ht="29.25" thickBot="1" x14ac:dyDescent="0.5">
      <c r="A38" s="924"/>
      <c r="B38" s="925"/>
      <c r="C38" s="926"/>
      <c r="D38" s="927"/>
      <c r="E38" s="748" t="s">
        <v>13</v>
      </c>
      <c r="F38" s="749">
        <f>AVERAGE(F36:F37)</f>
        <v>73.5</v>
      </c>
      <c r="G38" s="749">
        <f t="shared" ref="G38:R38" si="10">AVERAGE(G36:G37)</f>
        <v>55</v>
      </c>
      <c r="H38" s="749">
        <f t="shared" si="10"/>
        <v>74.5</v>
      </c>
      <c r="I38" s="749">
        <f t="shared" si="10"/>
        <v>53.5</v>
      </c>
      <c r="J38" s="749">
        <f t="shared" si="10"/>
        <v>55</v>
      </c>
      <c r="K38" s="749">
        <f t="shared" si="10"/>
        <v>55</v>
      </c>
      <c r="L38" s="749">
        <f t="shared" si="10"/>
        <v>61</v>
      </c>
      <c r="M38" s="749">
        <f t="shared" si="10"/>
        <v>77.5</v>
      </c>
      <c r="N38" s="749">
        <f t="shared" si="10"/>
        <v>71</v>
      </c>
      <c r="O38" s="749">
        <f t="shared" si="10"/>
        <v>72.5</v>
      </c>
      <c r="P38" s="749">
        <f t="shared" si="10"/>
        <v>70.5</v>
      </c>
      <c r="Q38" s="749">
        <f t="shared" si="10"/>
        <v>80</v>
      </c>
      <c r="R38" s="749">
        <f t="shared" si="10"/>
        <v>88</v>
      </c>
      <c r="S38" s="749">
        <f>SUM(F38:R38)</f>
        <v>887</v>
      </c>
      <c r="T38" s="749">
        <f>AVERAGE(F38:R38)</f>
        <v>68.230769230769226</v>
      </c>
      <c r="U38" s="749">
        <v>42</v>
      </c>
      <c r="V38" s="749"/>
      <c r="W38" s="749"/>
    </row>
    <row r="39" spans="1:23" ht="29.25" thickBot="1" x14ac:dyDescent="0.5">
      <c r="A39" s="924">
        <v>12</v>
      </c>
      <c r="B39" s="925"/>
      <c r="C39" s="926">
        <v>16</v>
      </c>
      <c r="D39" s="927" t="s">
        <v>20</v>
      </c>
      <c r="E39" s="748" t="s">
        <v>18</v>
      </c>
      <c r="F39" s="749">
        <v>76</v>
      </c>
      <c r="G39" s="749">
        <v>82</v>
      </c>
      <c r="H39" s="749">
        <v>75</v>
      </c>
      <c r="I39" s="749">
        <v>79</v>
      </c>
      <c r="J39" s="749">
        <v>61</v>
      </c>
      <c r="K39" s="749">
        <v>63</v>
      </c>
      <c r="L39" s="749">
        <v>60</v>
      </c>
      <c r="M39" s="749">
        <v>66</v>
      </c>
      <c r="N39" s="749">
        <v>58</v>
      </c>
      <c r="O39" s="749">
        <v>70</v>
      </c>
      <c r="P39" s="749">
        <v>71</v>
      </c>
      <c r="Q39" s="749">
        <v>75</v>
      </c>
      <c r="R39" s="749">
        <v>80</v>
      </c>
      <c r="S39" s="749">
        <v>916</v>
      </c>
      <c r="T39" s="750">
        <v>70.461538461538467</v>
      </c>
      <c r="U39" s="749">
        <v>38</v>
      </c>
      <c r="V39" s="752"/>
      <c r="W39" s="752"/>
    </row>
    <row r="40" spans="1:23" ht="29.25" thickBot="1" x14ac:dyDescent="0.5">
      <c r="A40" s="924"/>
      <c r="B40" s="925"/>
      <c r="C40" s="926"/>
      <c r="D40" s="927"/>
      <c r="E40" s="748" t="s">
        <v>19</v>
      </c>
      <c r="F40" s="749">
        <v>88</v>
      </c>
      <c r="G40" s="749">
        <v>74</v>
      </c>
      <c r="H40" s="749">
        <v>64</v>
      </c>
      <c r="I40" s="749">
        <v>83</v>
      </c>
      <c r="J40" s="749">
        <v>61</v>
      </c>
      <c r="K40" s="749">
        <v>68</v>
      </c>
      <c r="L40" s="749">
        <v>76</v>
      </c>
      <c r="M40" s="749">
        <v>81</v>
      </c>
      <c r="N40" s="749">
        <v>55</v>
      </c>
      <c r="O40" s="749">
        <v>78</v>
      </c>
      <c r="P40" s="749">
        <v>88</v>
      </c>
      <c r="Q40" s="749">
        <v>93</v>
      </c>
      <c r="R40" s="749">
        <v>86</v>
      </c>
      <c r="S40" s="749">
        <f>SUM(F40:R40)</f>
        <v>995</v>
      </c>
      <c r="T40" s="750">
        <f>AVERAGE(F40:R40)</f>
        <v>76.538461538461533</v>
      </c>
      <c r="U40" s="749">
        <v>33</v>
      </c>
      <c r="V40" s="752"/>
      <c r="W40" s="752"/>
    </row>
    <row r="41" spans="1:23" ht="29.25" thickBot="1" x14ac:dyDescent="0.5">
      <c r="A41" s="924"/>
      <c r="B41" s="925"/>
      <c r="C41" s="926"/>
      <c r="D41" s="927"/>
      <c r="E41" s="748" t="s">
        <v>13</v>
      </c>
      <c r="F41" s="749">
        <f>AVERAGE(F39:F40)</f>
        <v>82</v>
      </c>
      <c r="G41" s="749">
        <f t="shared" ref="G41:R41" si="11">AVERAGE(G39:G40)</f>
        <v>78</v>
      </c>
      <c r="H41" s="749">
        <f t="shared" si="11"/>
        <v>69.5</v>
      </c>
      <c r="I41" s="749">
        <f t="shared" si="11"/>
        <v>81</v>
      </c>
      <c r="J41" s="749">
        <f t="shared" si="11"/>
        <v>61</v>
      </c>
      <c r="K41" s="749">
        <f t="shared" si="11"/>
        <v>65.5</v>
      </c>
      <c r="L41" s="749">
        <f t="shared" si="11"/>
        <v>68</v>
      </c>
      <c r="M41" s="749">
        <f t="shared" si="11"/>
        <v>73.5</v>
      </c>
      <c r="N41" s="749">
        <f t="shared" si="11"/>
        <v>56.5</v>
      </c>
      <c r="O41" s="749">
        <f t="shared" si="11"/>
        <v>74</v>
      </c>
      <c r="P41" s="749">
        <f t="shared" si="11"/>
        <v>79.5</v>
      </c>
      <c r="Q41" s="749">
        <f t="shared" si="11"/>
        <v>84</v>
      </c>
      <c r="R41" s="749">
        <f t="shared" si="11"/>
        <v>83</v>
      </c>
      <c r="S41" s="749">
        <f>SUM(F41:R41)</f>
        <v>955.5</v>
      </c>
      <c r="T41" s="749">
        <f>AVERAGE(F41:R41)</f>
        <v>73.5</v>
      </c>
      <c r="U41" s="749">
        <v>33</v>
      </c>
      <c r="V41" s="749"/>
      <c r="W41" s="749"/>
    </row>
    <row r="42" spans="1:23" ht="29.25" thickBot="1" x14ac:dyDescent="0.5">
      <c r="A42" s="924">
        <v>13</v>
      </c>
      <c r="B42" s="925"/>
      <c r="C42" s="926">
        <v>16</v>
      </c>
      <c r="D42" s="927" t="s">
        <v>20</v>
      </c>
      <c r="E42" s="748" t="s">
        <v>18</v>
      </c>
      <c r="F42" s="749">
        <v>89</v>
      </c>
      <c r="G42" s="749">
        <v>75</v>
      </c>
      <c r="H42" s="749">
        <v>83</v>
      </c>
      <c r="I42" s="749">
        <v>79</v>
      </c>
      <c r="J42" s="749">
        <v>76</v>
      </c>
      <c r="K42" s="749">
        <v>79</v>
      </c>
      <c r="L42" s="749">
        <v>78</v>
      </c>
      <c r="M42" s="749">
        <v>78</v>
      </c>
      <c r="N42" s="749">
        <v>78</v>
      </c>
      <c r="O42" s="749">
        <v>85</v>
      </c>
      <c r="P42" s="749">
        <v>84</v>
      </c>
      <c r="Q42" s="749">
        <v>90</v>
      </c>
      <c r="R42" s="749">
        <v>90</v>
      </c>
      <c r="S42" s="749">
        <v>1064</v>
      </c>
      <c r="T42" s="750">
        <v>81.84615384615384</v>
      </c>
      <c r="U42" s="749">
        <v>11</v>
      </c>
      <c r="V42" s="752"/>
      <c r="W42" s="752"/>
    </row>
    <row r="43" spans="1:23" ht="29.25" thickBot="1" x14ac:dyDescent="0.5">
      <c r="A43" s="924"/>
      <c r="B43" s="925"/>
      <c r="C43" s="926"/>
      <c r="D43" s="927"/>
      <c r="E43" s="748" t="s">
        <v>19</v>
      </c>
      <c r="F43" s="749">
        <v>95</v>
      </c>
      <c r="G43" s="749">
        <v>79</v>
      </c>
      <c r="H43" s="749">
        <v>78</v>
      </c>
      <c r="I43" s="749">
        <v>80</v>
      </c>
      <c r="J43" s="749">
        <v>78</v>
      </c>
      <c r="K43" s="749">
        <v>73</v>
      </c>
      <c r="L43" s="749">
        <v>77</v>
      </c>
      <c r="M43" s="749">
        <v>89</v>
      </c>
      <c r="N43" s="749">
        <v>81</v>
      </c>
      <c r="O43" s="749">
        <v>88</v>
      </c>
      <c r="P43" s="749">
        <v>88</v>
      </c>
      <c r="Q43" s="749">
        <v>90</v>
      </c>
      <c r="R43" s="749">
        <v>93</v>
      </c>
      <c r="S43" s="749">
        <f>SUM(F43:R43)</f>
        <v>1089</v>
      </c>
      <c r="T43" s="750">
        <f>AVERAGE(F43:R43)</f>
        <v>83.769230769230774</v>
      </c>
      <c r="U43" s="749">
        <v>21</v>
      </c>
      <c r="V43" s="752"/>
      <c r="W43" s="752"/>
    </row>
    <row r="44" spans="1:23" ht="29.25" thickBot="1" x14ac:dyDescent="0.5">
      <c r="A44" s="924"/>
      <c r="B44" s="925"/>
      <c r="C44" s="926"/>
      <c r="D44" s="927"/>
      <c r="E44" s="748" t="s">
        <v>13</v>
      </c>
      <c r="F44" s="749">
        <f>AVERAGE(F42:F43)</f>
        <v>92</v>
      </c>
      <c r="G44" s="749">
        <f t="shared" ref="G44:R44" si="12">AVERAGE(G42:G43)</f>
        <v>77</v>
      </c>
      <c r="H44" s="749">
        <f t="shared" si="12"/>
        <v>80.5</v>
      </c>
      <c r="I44" s="749">
        <f t="shared" si="12"/>
        <v>79.5</v>
      </c>
      <c r="J44" s="749">
        <f t="shared" si="12"/>
        <v>77</v>
      </c>
      <c r="K44" s="749">
        <f t="shared" si="12"/>
        <v>76</v>
      </c>
      <c r="L44" s="749">
        <f t="shared" si="12"/>
        <v>77.5</v>
      </c>
      <c r="M44" s="749">
        <f t="shared" si="12"/>
        <v>83.5</v>
      </c>
      <c r="N44" s="749">
        <f t="shared" si="12"/>
        <v>79.5</v>
      </c>
      <c r="O44" s="749">
        <f t="shared" si="12"/>
        <v>86.5</v>
      </c>
      <c r="P44" s="749">
        <f t="shared" si="12"/>
        <v>86</v>
      </c>
      <c r="Q44" s="749">
        <f t="shared" si="12"/>
        <v>90</v>
      </c>
      <c r="R44" s="749">
        <f t="shared" si="12"/>
        <v>91.5</v>
      </c>
      <c r="S44" s="749">
        <f>SUM(F44:R44)</f>
        <v>1076.5</v>
      </c>
      <c r="T44" s="749">
        <f>AVERAGE(F44:R44)</f>
        <v>82.807692307692307</v>
      </c>
      <c r="U44" s="749">
        <v>14</v>
      </c>
      <c r="V44" s="749"/>
      <c r="W44" s="749"/>
    </row>
    <row r="45" spans="1:23" ht="29.25" thickBot="1" x14ac:dyDescent="0.5">
      <c r="A45" s="924">
        <v>14</v>
      </c>
      <c r="B45" s="925"/>
      <c r="C45" s="926">
        <v>16</v>
      </c>
      <c r="D45" s="927" t="s">
        <v>17</v>
      </c>
      <c r="E45" s="748" t="s">
        <v>18</v>
      </c>
      <c r="F45" s="749">
        <v>75</v>
      </c>
      <c r="G45" s="749">
        <v>75</v>
      </c>
      <c r="H45" s="749">
        <v>62</v>
      </c>
      <c r="I45" s="749">
        <v>64</v>
      </c>
      <c r="J45" s="749">
        <v>57</v>
      </c>
      <c r="K45" s="749">
        <v>65</v>
      </c>
      <c r="L45" s="749">
        <v>64</v>
      </c>
      <c r="M45" s="749">
        <v>67</v>
      </c>
      <c r="N45" s="749">
        <v>75</v>
      </c>
      <c r="O45" s="749">
        <v>77</v>
      </c>
      <c r="P45" s="749">
        <v>76</v>
      </c>
      <c r="Q45" s="749">
        <v>80</v>
      </c>
      <c r="R45" s="749">
        <v>80</v>
      </c>
      <c r="S45" s="749">
        <v>917</v>
      </c>
      <c r="T45" s="750">
        <v>70.538461538461533</v>
      </c>
      <c r="U45" s="749">
        <v>37</v>
      </c>
      <c r="V45" s="752"/>
      <c r="W45" s="752"/>
    </row>
    <row r="46" spans="1:23" ht="29.25" thickBot="1" x14ac:dyDescent="0.5">
      <c r="A46" s="924"/>
      <c r="B46" s="925"/>
      <c r="C46" s="926"/>
      <c r="D46" s="927"/>
      <c r="E46" s="748" t="s">
        <v>19</v>
      </c>
      <c r="F46" s="749">
        <v>79</v>
      </c>
      <c r="G46" s="749">
        <v>77</v>
      </c>
      <c r="H46" s="749">
        <v>39</v>
      </c>
      <c r="I46" s="749">
        <v>69</v>
      </c>
      <c r="J46" s="749">
        <v>77</v>
      </c>
      <c r="K46" s="749">
        <v>68</v>
      </c>
      <c r="L46" s="749">
        <v>75</v>
      </c>
      <c r="M46" s="749">
        <v>87</v>
      </c>
      <c r="N46" s="749">
        <v>81</v>
      </c>
      <c r="O46" s="749">
        <v>82</v>
      </c>
      <c r="P46" s="749">
        <v>93</v>
      </c>
      <c r="Q46" s="749">
        <v>89</v>
      </c>
      <c r="R46" s="749">
        <v>72</v>
      </c>
      <c r="S46" s="749">
        <f>SUM(F46:R46)</f>
        <v>988</v>
      </c>
      <c r="T46" s="750">
        <f>AVERAGE(F46:R46)</f>
        <v>76</v>
      </c>
      <c r="U46" s="749">
        <v>31</v>
      </c>
      <c r="V46" s="752"/>
      <c r="W46" s="752"/>
    </row>
    <row r="47" spans="1:23" ht="29.25" thickBot="1" x14ac:dyDescent="0.5">
      <c r="A47" s="924"/>
      <c r="B47" s="925"/>
      <c r="C47" s="926"/>
      <c r="D47" s="927"/>
      <c r="E47" s="748" t="s">
        <v>13</v>
      </c>
      <c r="F47" s="749">
        <f>AVERAGE(F45:F46)</f>
        <v>77</v>
      </c>
      <c r="G47" s="749">
        <f t="shared" ref="G47:T47" si="13">AVERAGE(G45:G46)</f>
        <v>76</v>
      </c>
      <c r="H47" s="749">
        <f t="shared" si="13"/>
        <v>50.5</v>
      </c>
      <c r="I47" s="749">
        <f t="shared" si="13"/>
        <v>66.5</v>
      </c>
      <c r="J47" s="749">
        <f t="shared" si="13"/>
        <v>67</v>
      </c>
      <c r="K47" s="749">
        <f t="shared" si="13"/>
        <v>66.5</v>
      </c>
      <c r="L47" s="749">
        <f t="shared" si="13"/>
        <v>69.5</v>
      </c>
      <c r="M47" s="749">
        <f t="shared" si="13"/>
        <v>77</v>
      </c>
      <c r="N47" s="749">
        <f t="shared" si="13"/>
        <v>78</v>
      </c>
      <c r="O47" s="749">
        <f t="shared" si="13"/>
        <v>79.5</v>
      </c>
      <c r="P47" s="749">
        <f t="shared" si="13"/>
        <v>84.5</v>
      </c>
      <c r="Q47" s="749">
        <f t="shared" si="13"/>
        <v>84.5</v>
      </c>
      <c r="R47" s="749">
        <f t="shared" si="13"/>
        <v>76</v>
      </c>
      <c r="S47" s="749">
        <f t="shared" si="13"/>
        <v>952.5</v>
      </c>
      <c r="T47" s="749">
        <f t="shared" si="13"/>
        <v>73.269230769230774</v>
      </c>
      <c r="U47" s="749">
        <v>35</v>
      </c>
      <c r="V47" s="749"/>
      <c r="W47" s="749"/>
    </row>
    <row r="48" spans="1:23" ht="29.25" thickBot="1" x14ac:dyDescent="0.5">
      <c r="A48" s="924">
        <v>15</v>
      </c>
      <c r="B48" s="925"/>
      <c r="C48" s="926">
        <v>16</v>
      </c>
      <c r="D48" s="927" t="s">
        <v>20</v>
      </c>
      <c r="E48" s="748" t="s">
        <v>18</v>
      </c>
      <c r="F48" s="749">
        <v>88</v>
      </c>
      <c r="G48" s="749">
        <v>89</v>
      </c>
      <c r="H48" s="749">
        <v>87</v>
      </c>
      <c r="I48" s="753">
        <v>78</v>
      </c>
      <c r="J48" s="749">
        <v>74</v>
      </c>
      <c r="K48" s="749">
        <v>77</v>
      </c>
      <c r="L48" s="749">
        <v>81</v>
      </c>
      <c r="M48" s="749">
        <v>80</v>
      </c>
      <c r="N48" s="749">
        <v>89</v>
      </c>
      <c r="O48" s="749">
        <v>94</v>
      </c>
      <c r="P48" s="749">
        <v>86</v>
      </c>
      <c r="Q48" s="749">
        <v>91</v>
      </c>
      <c r="R48" s="749">
        <v>86</v>
      </c>
      <c r="S48" s="749">
        <v>1100</v>
      </c>
      <c r="T48" s="750">
        <v>84.615384615384613</v>
      </c>
      <c r="U48" s="749">
        <v>5</v>
      </c>
      <c r="V48" s="752"/>
      <c r="W48" s="752"/>
    </row>
    <row r="49" spans="1:23" ht="29.25" thickBot="1" x14ac:dyDescent="0.5">
      <c r="A49" s="924"/>
      <c r="B49" s="925"/>
      <c r="C49" s="926"/>
      <c r="D49" s="927"/>
      <c r="E49" s="748" t="s">
        <v>19</v>
      </c>
      <c r="F49" s="749">
        <v>92</v>
      </c>
      <c r="G49" s="749">
        <v>84</v>
      </c>
      <c r="H49" s="749">
        <v>93</v>
      </c>
      <c r="I49" s="753">
        <v>87</v>
      </c>
      <c r="J49" s="749">
        <v>87</v>
      </c>
      <c r="K49" s="749">
        <v>93</v>
      </c>
      <c r="L49" s="749">
        <v>89</v>
      </c>
      <c r="M49" s="749">
        <v>97</v>
      </c>
      <c r="N49" s="749">
        <v>93</v>
      </c>
      <c r="O49" s="749">
        <v>94</v>
      </c>
      <c r="P49" s="749">
        <v>94</v>
      </c>
      <c r="Q49" s="749">
        <v>91</v>
      </c>
      <c r="R49" s="749">
        <v>93</v>
      </c>
      <c r="S49" s="749">
        <f>SUM(F49:R49)</f>
        <v>1187</v>
      </c>
      <c r="T49" s="750">
        <f>AVERAGE(F49:R49)</f>
        <v>91.307692307692307</v>
      </c>
      <c r="U49" s="749">
        <v>3</v>
      </c>
      <c r="V49" s="752"/>
      <c r="W49" s="752"/>
    </row>
    <row r="50" spans="1:23" ht="29.25" thickBot="1" x14ac:dyDescent="0.5">
      <c r="A50" s="924"/>
      <c r="B50" s="925"/>
      <c r="C50" s="926"/>
      <c r="D50" s="927"/>
      <c r="E50" s="748" t="s">
        <v>13</v>
      </c>
      <c r="F50" s="749">
        <f>AVERAGE(F48:F49)</f>
        <v>90</v>
      </c>
      <c r="G50" s="749">
        <f t="shared" ref="G50:T50" si="14">AVERAGE(G48:G49)</f>
        <v>86.5</v>
      </c>
      <c r="H50" s="749">
        <f t="shared" si="14"/>
        <v>90</v>
      </c>
      <c r="I50" s="749">
        <f t="shared" si="14"/>
        <v>82.5</v>
      </c>
      <c r="J50" s="749">
        <f t="shared" si="14"/>
        <v>80.5</v>
      </c>
      <c r="K50" s="749">
        <f t="shared" si="14"/>
        <v>85</v>
      </c>
      <c r="L50" s="749">
        <f t="shared" si="14"/>
        <v>85</v>
      </c>
      <c r="M50" s="749">
        <f t="shared" si="14"/>
        <v>88.5</v>
      </c>
      <c r="N50" s="749">
        <f t="shared" si="14"/>
        <v>91</v>
      </c>
      <c r="O50" s="749">
        <f t="shared" si="14"/>
        <v>94</v>
      </c>
      <c r="P50" s="749">
        <f t="shared" si="14"/>
        <v>90</v>
      </c>
      <c r="Q50" s="749">
        <f t="shared" si="14"/>
        <v>91</v>
      </c>
      <c r="R50" s="749">
        <f t="shared" si="14"/>
        <v>89.5</v>
      </c>
      <c r="S50" s="749">
        <f t="shared" si="14"/>
        <v>1143.5</v>
      </c>
      <c r="T50" s="749">
        <f t="shared" si="14"/>
        <v>87.961538461538453</v>
      </c>
      <c r="U50" s="749">
        <v>3</v>
      </c>
      <c r="V50" s="749"/>
      <c r="W50" s="749"/>
    </row>
    <row r="51" spans="1:23" ht="29.25" thickBot="1" x14ac:dyDescent="0.5">
      <c r="A51" s="924">
        <v>16</v>
      </c>
      <c r="B51" s="925"/>
      <c r="C51" s="926">
        <v>16</v>
      </c>
      <c r="D51" s="927" t="s">
        <v>20</v>
      </c>
      <c r="E51" s="748" t="s">
        <v>18</v>
      </c>
      <c r="F51" s="749">
        <v>86</v>
      </c>
      <c r="G51" s="749">
        <v>86</v>
      </c>
      <c r="H51" s="749">
        <v>75</v>
      </c>
      <c r="I51" s="749">
        <v>71</v>
      </c>
      <c r="J51" s="749">
        <v>74</v>
      </c>
      <c r="K51" s="749">
        <v>79</v>
      </c>
      <c r="L51" s="749">
        <v>78</v>
      </c>
      <c r="M51" s="749">
        <v>80</v>
      </c>
      <c r="N51" s="749">
        <v>74</v>
      </c>
      <c r="O51" s="749">
        <v>81</v>
      </c>
      <c r="P51" s="749">
        <v>90</v>
      </c>
      <c r="Q51" s="749">
        <v>85</v>
      </c>
      <c r="R51" s="749">
        <v>85</v>
      </c>
      <c r="S51" s="749">
        <v>1044</v>
      </c>
      <c r="T51" s="750">
        <v>80.307692307692307</v>
      </c>
      <c r="U51" s="749">
        <v>16</v>
      </c>
      <c r="V51" s="752"/>
      <c r="W51" s="752"/>
    </row>
    <row r="52" spans="1:23" ht="29.25" thickBot="1" x14ac:dyDescent="0.5">
      <c r="A52" s="924"/>
      <c r="B52" s="925"/>
      <c r="C52" s="926"/>
      <c r="D52" s="927"/>
      <c r="E52" s="748" t="s">
        <v>19</v>
      </c>
      <c r="F52" s="749">
        <v>85</v>
      </c>
      <c r="G52" s="749">
        <v>79</v>
      </c>
      <c r="H52" s="749">
        <v>69</v>
      </c>
      <c r="I52" s="749">
        <v>70</v>
      </c>
      <c r="J52" s="749">
        <v>88</v>
      </c>
      <c r="K52" s="749">
        <v>74</v>
      </c>
      <c r="L52" s="749">
        <v>83</v>
      </c>
      <c r="M52" s="749">
        <v>83</v>
      </c>
      <c r="N52" s="749">
        <v>82</v>
      </c>
      <c r="O52" s="749">
        <v>82</v>
      </c>
      <c r="P52" s="749">
        <v>77</v>
      </c>
      <c r="Q52" s="749">
        <v>88</v>
      </c>
      <c r="R52" s="749">
        <v>84</v>
      </c>
      <c r="S52" s="749">
        <f>SUM(F52:R52)</f>
        <v>1044</v>
      </c>
      <c r="T52" s="750">
        <f>AVERAGE(F52:R52)</f>
        <v>80.307692307692307</v>
      </c>
      <c r="U52" s="749">
        <v>26</v>
      </c>
      <c r="V52" s="752"/>
      <c r="W52" s="752"/>
    </row>
    <row r="53" spans="1:23" ht="29.25" thickBot="1" x14ac:dyDescent="0.5">
      <c r="A53" s="924"/>
      <c r="B53" s="925"/>
      <c r="C53" s="926"/>
      <c r="D53" s="927"/>
      <c r="E53" s="748" t="s">
        <v>13</v>
      </c>
      <c r="F53" s="749">
        <f>AVERAGE(F51:F52)</f>
        <v>85.5</v>
      </c>
      <c r="G53" s="749">
        <f t="shared" ref="G53:T53" si="15">AVERAGE(G51:G52)</f>
        <v>82.5</v>
      </c>
      <c r="H53" s="749">
        <f t="shared" si="15"/>
        <v>72</v>
      </c>
      <c r="I53" s="749">
        <f t="shared" si="15"/>
        <v>70.5</v>
      </c>
      <c r="J53" s="749">
        <f t="shared" si="15"/>
        <v>81</v>
      </c>
      <c r="K53" s="749">
        <f t="shared" si="15"/>
        <v>76.5</v>
      </c>
      <c r="L53" s="749">
        <f t="shared" si="15"/>
        <v>80.5</v>
      </c>
      <c r="M53" s="749">
        <f t="shared" si="15"/>
        <v>81.5</v>
      </c>
      <c r="N53" s="749">
        <f t="shared" si="15"/>
        <v>78</v>
      </c>
      <c r="O53" s="749">
        <f t="shared" si="15"/>
        <v>81.5</v>
      </c>
      <c r="P53" s="749">
        <f t="shared" si="15"/>
        <v>83.5</v>
      </c>
      <c r="Q53" s="749">
        <f t="shared" si="15"/>
        <v>86.5</v>
      </c>
      <c r="R53" s="749">
        <f t="shared" si="15"/>
        <v>84.5</v>
      </c>
      <c r="S53" s="749">
        <f t="shared" si="15"/>
        <v>1044</v>
      </c>
      <c r="T53" s="749">
        <f t="shared" si="15"/>
        <v>80.307692307692307</v>
      </c>
      <c r="U53" s="749">
        <v>22</v>
      </c>
      <c r="V53" s="749"/>
      <c r="W53" s="749"/>
    </row>
    <row r="54" spans="1:23" ht="29.25" thickBot="1" x14ac:dyDescent="0.5">
      <c r="A54" s="924">
        <v>17</v>
      </c>
      <c r="B54" s="925"/>
      <c r="C54" s="926">
        <v>15</v>
      </c>
      <c r="D54" s="927" t="s">
        <v>20</v>
      </c>
      <c r="E54" s="748" t="s">
        <v>18</v>
      </c>
      <c r="F54" s="749">
        <v>90</v>
      </c>
      <c r="G54" s="749">
        <v>79</v>
      </c>
      <c r="H54" s="749">
        <v>85</v>
      </c>
      <c r="I54" s="749">
        <v>81</v>
      </c>
      <c r="J54" s="749">
        <v>73</v>
      </c>
      <c r="K54" s="749">
        <v>69</v>
      </c>
      <c r="L54" s="749">
        <v>77</v>
      </c>
      <c r="M54" s="749">
        <v>88</v>
      </c>
      <c r="N54" s="749">
        <v>91</v>
      </c>
      <c r="O54" s="749">
        <v>94</v>
      </c>
      <c r="P54" s="749">
        <v>83</v>
      </c>
      <c r="Q54" s="749">
        <v>92</v>
      </c>
      <c r="R54" s="749">
        <v>96</v>
      </c>
      <c r="S54" s="749">
        <v>1098</v>
      </c>
      <c r="T54" s="750">
        <v>84.461538461538467</v>
      </c>
      <c r="U54" s="749">
        <v>6</v>
      </c>
      <c r="V54" s="752"/>
      <c r="W54" s="752"/>
    </row>
    <row r="55" spans="1:23" ht="29.25" thickBot="1" x14ac:dyDescent="0.5">
      <c r="A55" s="924"/>
      <c r="B55" s="925"/>
      <c r="C55" s="926"/>
      <c r="D55" s="927"/>
      <c r="E55" s="748" t="s">
        <v>19</v>
      </c>
      <c r="F55" s="749">
        <v>85</v>
      </c>
      <c r="G55" s="749">
        <v>84</v>
      </c>
      <c r="H55" s="749">
        <v>74</v>
      </c>
      <c r="I55" s="749">
        <v>86</v>
      </c>
      <c r="J55" s="749">
        <v>89</v>
      </c>
      <c r="K55" s="749">
        <v>81</v>
      </c>
      <c r="L55" s="749">
        <v>89</v>
      </c>
      <c r="M55" s="749">
        <v>98</v>
      </c>
      <c r="N55" s="749">
        <v>90</v>
      </c>
      <c r="O55" s="749">
        <v>96</v>
      </c>
      <c r="P55" s="749">
        <v>100</v>
      </c>
      <c r="Q55" s="749">
        <v>92</v>
      </c>
      <c r="R55" s="749">
        <v>98</v>
      </c>
      <c r="S55" s="749">
        <f>SUM(F55:R55)</f>
        <v>1162</v>
      </c>
      <c r="T55" s="750">
        <f>AVERAGE(F55:R55)</f>
        <v>89.384615384615387</v>
      </c>
      <c r="U55" s="749">
        <v>5</v>
      </c>
      <c r="V55" s="752"/>
      <c r="W55" s="752"/>
    </row>
    <row r="56" spans="1:23" ht="29.25" thickBot="1" x14ac:dyDescent="0.5">
      <c r="A56" s="924"/>
      <c r="B56" s="925"/>
      <c r="C56" s="926"/>
      <c r="D56" s="927"/>
      <c r="E56" s="748" t="s">
        <v>13</v>
      </c>
      <c r="F56" s="749">
        <f>AVERAGE(F54:F55)</f>
        <v>87.5</v>
      </c>
      <c r="G56" s="749">
        <f t="shared" ref="G56:T56" si="16">AVERAGE(G54:G55)</f>
        <v>81.5</v>
      </c>
      <c r="H56" s="749">
        <f t="shared" si="16"/>
        <v>79.5</v>
      </c>
      <c r="I56" s="749">
        <f t="shared" si="16"/>
        <v>83.5</v>
      </c>
      <c r="J56" s="749">
        <f t="shared" si="16"/>
        <v>81</v>
      </c>
      <c r="K56" s="749">
        <f t="shared" si="16"/>
        <v>75</v>
      </c>
      <c r="L56" s="749">
        <f t="shared" si="16"/>
        <v>83</v>
      </c>
      <c r="M56" s="749">
        <f t="shared" si="16"/>
        <v>93</v>
      </c>
      <c r="N56" s="749">
        <f t="shared" si="16"/>
        <v>90.5</v>
      </c>
      <c r="O56" s="749">
        <f t="shared" si="16"/>
        <v>95</v>
      </c>
      <c r="P56" s="749">
        <f t="shared" si="16"/>
        <v>91.5</v>
      </c>
      <c r="Q56" s="749">
        <f t="shared" si="16"/>
        <v>92</v>
      </c>
      <c r="R56" s="749">
        <f t="shared" si="16"/>
        <v>97</v>
      </c>
      <c r="S56" s="749">
        <f t="shared" si="16"/>
        <v>1130</v>
      </c>
      <c r="T56" s="749">
        <f t="shared" si="16"/>
        <v>86.923076923076934</v>
      </c>
      <c r="U56" s="749">
        <v>6</v>
      </c>
      <c r="V56" s="749"/>
      <c r="W56" s="749"/>
    </row>
    <row r="57" spans="1:23" ht="29.25" thickBot="1" x14ac:dyDescent="0.5">
      <c r="A57" s="924">
        <v>18</v>
      </c>
      <c r="B57" s="925"/>
      <c r="C57" s="926">
        <v>15</v>
      </c>
      <c r="D57" s="927" t="s">
        <v>20</v>
      </c>
      <c r="E57" s="748" t="s">
        <v>18</v>
      </c>
      <c r="F57" s="749">
        <v>78</v>
      </c>
      <c r="G57" s="749">
        <v>77</v>
      </c>
      <c r="H57" s="749">
        <v>77</v>
      </c>
      <c r="I57" s="753">
        <v>57</v>
      </c>
      <c r="J57" s="749">
        <v>61</v>
      </c>
      <c r="K57" s="749">
        <v>60</v>
      </c>
      <c r="L57" s="749">
        <v>59</v>
      </c>
      <c r="M57" s="749">
        <v>65</v>
      </c>
      <c r="N57" s="749">
        <v>74</v>
      </c>
      <c r="O57" s="749">
        <v>79</v>
      </c>
      <c r="P57" s="749">
        <v>66</v>
      </c>
      <c r="Q57" s="749">
        <v>90</v>
      </c>
      <c r="R57" s="749">
        <v>85</v>
      </c>
      <c r="S57" s="749">
        <v>928</v>
      </c>
      <c r="T57" s="750">
        <v>71.384615384615387</v>
      </c>
      <c r="U57" s="749">
        <v>34</v>
      </c>
      <c r="V57" s="752"/>
      <c r="W57" s="752"/>
    </row>
    <row r="58" spans="1:23" ht="29.25" thickBot="1" x14ac:dyDescent="0.5">
      <c r="A58" s="924"/>
      <c r="B58" s="925"/>
      <c r="C58" s="926"/>
      <c r="D58" s="927"/>
      <c r="E58" s="748" t="s">
        <v>19</v>
      </c>
      <c r="F58" s="749">
        <v>73</v>
      </c>
      <c r="G58" s="749">
        <v>78</v>
      </c>
      <c r="H58" s="749">
        <v>66</v>
      </c>
      <c r="I58" s="753">
        <v>60</v>
      </c>
      <c r="J58" s="749">
        <v>66</v>
      </c>
      <c r="K58" s="749">
        <v>55</v>
      </c>
      <c r="L58" s="749">
        <v>56</v>
      </c>
      <c r="M58" s="749">
        <v>63</v>
      </c>
      <c r="N58" s="749">
        <v>62</v>
      </c>
      <c r="O58" s="749">
        <v>71</v>
      </c>
      <c r="P58" s="749">
        <v>77</v>
      </c>
      <c r="Q58" s="749">
        <v>73</v>
      </c>
      <c r="R58" s="749">
        <v>97</v>
      </c>
      <c r="S58" s="749">
        <f>SUM(F58:R58)</f>
        <v>897</v>
      </c>
      <c r="T58" s="750">
        <f>AVERAGE(F58:R58)</f>
        <v>69</v>
      </c>
      <c r="U58" s="749">
        <v>42</v>
      </c>
      <c r="V58" s="752"/>
      <c r="W58" s="752"/>
    </row>
    <row r="59" spans="1:23" ht="29.25" thickBot="1" x14ac:dyDescent="0.5">
      <c r="A59" s="924"/>
      <c r="B59" s="925"/>
      <c r="C59" s="926"/>
      <c r="D59" s="927"/>
      <c r="E59" s="748" t="s">
        <v>13</v>
      </c>
      <c r="F59" s="749">
        <f>AVERAGE(F57:F58)</f>
        <v>75.5</v>
      </c>
      <c r="G59" s="749">
        <f t="shared" ref="G59:T59" si="17">AVERAGE(G57:G58)</f>
        <v>77.5</v>
      </c>
      <c r="H59" s="749">
        <f t="shared" si="17"/>
        <v>71.5</v>
      </c>
      <c r="I59" s="749">
        <f t="shared" si="17"/>
        <v>58.5</v>
      </c>
      <c r="J59" s="749">
        <f t="shared" si="17"/>
        <v>63.5</v>
      </c>
      <c r="K59" s="749">
        <f t="shared" si="17"/>
        <v>57.5</v>
      </c>
      <c r="L59" s="749">
        <f t="shared" si="17"/>
        <v>57.5</v>
      </c>
      <c r="M59" s="749">
        <f t="shared" si="17"/>
        <v>64</v>
      </c>
      <c r="N59" s="749">
        <f t="shared" si="17"/>
        <v>68</v>
      </c>
      <c r="O59" s="749">
        <f t="shared" si="17"/>
        <v>75</v>
      </c>
      <c r="P59" s="749">
        <f t="shared" si="17"/>
        <v>71.5</v>
      </c>
      <c r="Q59" s="749">
        <f t="shared" si="17"/>
        <v>81.5</v>
      </c>
      <c r="R59" s="749">
        <f t="shared" si="17"/>
        <v>91</v>
      </c>
      <c r="S59" s="749">
        <f t="shared" si="17"/>
        <v>912.5</v>
      </c>
      <c r="T59" s="749">
        <f t="shared" si="17"/>
        <v>70.192307692307693</v>
      </c>
      <c r="U59" s="749">
        <v>40</v>
      </c>
      <c r="V59" s="749"/>
      <c r="W59" s="749"/>
    </row>
    <row r="60" spans="1:23" ht="29.25" thickBot="1" x14ac:dyDescent="0.5">
      <c r="A60" s="924">
        <v>19</v>
      </c>
      <c r="B60" s="925"/>
      <c r="C60" s="926">
        <v>16</v>
      </c>
      <c r="D60" s="927" t="s">
        <v>20</v>
      </c>
      <c r="E60" s="748" t="s">
        <v>18</v>
      </c>
      <c r="F60" s="749">
        <v>68</v>
      </c>
      <c r="G60" s="749">
        <v>61</v>
      </c>
      <c r="H60" s="749">
        <v>73</v>
      </c>
      <c r="I60" s="749">
        <v>61</v>
      </c>
      <c r="J60" s="749">
        <v>50</v>
      </c>
      <c r="K60" s="749">
        <v>46</v>
      </c>
      <c r="L60" s="749">
        <v>61</v>
      </c>
      <c r="M60" s="749">
        <v>59</v>
      </c>
      <c r="N60" s="749">
        <v>51</v>
      </c>
      <c r="O60" s="749">
        <v>69</v>
      </c>
      <c r="P60" s="749">
        <v>66</v>
      </c>
      <c r="Q60" s="749">
        <v>77</v>
      </c>
      <c r="R60" s="749">
        <v>80</v>
      </c>
      <c r="S60" s="749">
        <v>822</v>
      </c>
      <c r="T60" s="750">
        <v>63.230769230769234</v>
      </c>
      <c r="U60" s="749">
        <v>45</v>
      </c>
      <c r="V60" s="752"/>
      <c r="W60" s="752"/>
    </row>
    <row r="61" spans="1:23" ht="29.25" thickBot="1" x14ac:dyDescent="0.5">
      <c r="A61" s="924"/>
      <c r="B61" s="925"/>
      <c r="C61" s="926"/>
      <c r="D61" s="927"/>
      <c r="E61" s="748" t="s">
        <v>19</v>
      </c>
      <c r="F61" s="749">
        <v>76</v>
      </c>
      <c r="G61" s="749">
        <v>63</v>
      </c>
      <c r="H61" s="749">
        <v>68</v>
      </c>
      <c r="I61" s="749">
        <v>67</v>
      </c>
      <c r="J61" s="749">
        <v>60</v>
      </c>
      <c r="K61" s="749">
        <v>50</v>
      </c>
      <c r="L61" s="749">
        <v>59</v>
      </c>
      <c r="M61" s="749">
        <v>69</v>
      </c>
      <c r="N61" s="749">
        <v>52</v>
      </c>
      <c r="O61" s="749">
        <v>71</v>
      </c>
      <c r="P61" s="749">
        <v>75</v>
      </c>
      <c r="Q61" s="749">
        <v>83</v>
      </c>
      <c r="R61" s="749">
        <v>87</v>
      </c>
      <c r="S61" s="749">
        <f>SUM(F61:R61)</f>
        <v>880</v>
      </c>
      <c r="T61" s="750">
        <f>AVERAGE(F61:R61)</f>
        <v>67.692307692307693</v>
      </c>
      <c r="U61" s="749">
        <v>44</v>
      </c>
      <c r="V61" s="752"/>
      <c r="W61" s="752"/>
    </row>
    <row r="62" spans="1:23" ht="29.25" thickBot="1" x14ac:dyDescent="0.5">
      <c r="A62" s="924"/>
      <c r="B62" s="925"/>
      <c r="C62" s="926"/>
      <c r="D62" s="927"/>
      <c r="E62" s="748" t="s">
        <v>13</v>
      </c>
      <c r="F62" s="749">
        <f>AVERAGE(F60:F61)</f>
        <v>72</v>
      </c>
      <c r="G62" s="749">
        <f t="shared" ref="G62:T62" si="18">AVERAGE(G60:G61)</f>
        <v>62</v>
      </c>
      <c r="H62" s="749">
        <f t="shared" si="18"/>
        <v>70.5</v>
      </c>
      <c r="I62" s="749">
        <f t="shared" si="18"/>
        <v>64</v>
      </c>
      <c r="J62" s="749">
        <f t="shared" si="18"/>
        <v>55</v>
      </c>
      <c r="K62" s="749">
        <f t="shared" si="18"/>
        <v>48</v>
      </c>
      <c r="L62" s="749">
        <f t="shared" si="18"/>
        <v>60</v>
      </c>
      <c r="M62" s="749">
        <f t="shared" si="18"/>
        <v>64</v>
      </c>
      <c r="N62" s="749">
        <f t="shared" si="18"/>
        <v>51.5</v>
      </c>
      <c r="O62" s="749">
        <f t="shared" si="18"/>
        <v>70</v>
      </c>
      <c r="P62" s="749">
        <f t="shared" si="18"/>
        <v>70.5</v>
      </c>
      <c r="Q62" s="749">
        <f t="shared" si="18"/>
        <v>80</v>
      </c>
      <c r="R62" s="749">
        <f t="shared" si="18"/>
        <v>83.5</v>
      </c>
      <c r="S62" s="749">
        <f t="shared" si="18"/>
        <v>851</v>
      </c>
      <c r="T62" s="749">
        <f t="shared" si="18"/>
        <v>65.461538461538467</v>
      </c>
      <c r="U62" s="749">
        <v>45</v>
      </c>
      <c r="V62" s="749"/>
      <c r="W62" s="749"/>
    </row>
    <row r="63" spans="1:23" ht="29.25" thickBot="1" x14ac:dyDescent="0.5">
      <c r="A63" s="924">
        <v>20</v>
      </c>
      <c r="B63" s="925"/>
      <c r="C63" s="926">
        <v>15</v>
      </c>
      <c r="D63" s="927" t="s">
        <v>17</v>
      </c>
      <c r="E63" s="748" t="s">
        <v>18</v>
      </c>
      <c r="F63" s="749">
        <v>82</v>
      </c>
      <c r="G63" s="749">
        <v>90</v>
      </c>
      <c r="H63" s="749">
        <v>87</v>
      </c>
      <c r="I63" s="749">
        <v>84</v>
      </c>
      <c r="J63" s="749">
        <v>78</v>
      </c>
      <c r="K63" s="749">
        <v>85</v>
      </c>
      <c r="L63" s="749">
        <v>94</v>
      </c>
      <c r="M63" s="749">
        <v>87</v>
      </c>
      <c r="N63" s="749">
        <v>92</v>
      </c>
      <c r="O63" s="749">
        <v>89</v>
      </c>
      <c r="P63" s="749">
        <v>88</v>
      </c>
      <c r="Q63" s="749">
        <v>92</v>
      </c>
      <c r="R63" s="749">
        <v>94</v>
      </c>
      <c r="S63" s="749">
        <v>1142</v>
      </c>
      <c r="T63" s="750">
        <v>87.84615384615384</v>
      </c>
      <c r="U63" s="749">
        <v>3</v>
      </c>
      <c r="V63" s="752"/>
      <c r="W63" s="752"/>
    </row>
    <row r="64" spans="1:23" ht="29.25" thickBot="1" x14ac:dyDescent="0.5">
      <c r="A64" s="924"/>
      <c r="B64" s="925"/>
      <c r="C64" s="926"/>
      <c r="D64" s="927"/>
      <c r="E64" s="748" t="s">
        <v>19</v>
      </c>
      <c r="F64" s="749">
        <v>73</v>
      </c>
      <c r="G64" s="749">
        <v>89</v>
      </c>
      <c r="H64" s="749">
        <v>76</v>
      </c>
      <c r="I64" s="749">
        <v>87</v>
      </c>
      <c r="J64" s="749">
        <v>80</v>
      </c>
      <c r="K64" s="749">
        <v>89</v>
      </c>
      <c r="L64" s="749">
        <v>89</v>
      </c>
      <c r="M64" s="749">
        <v>93</v>
      </c>
      <c r="N64" s="749">
        <v>74</v>
      </c>
      <c r="O64" s="749">
        <v>90</v>
      </c>
      <c r="P64" s="749">
        <v>94</v>
      </c>
      <c r="Q64" s="749">
        <v>95</v>
      </c>
      <c r="R64" s="749">
        <v>99</v>
      </c>
      <c r="S64" s="749">
        <f>SUM(F64:R64)</f>
        <v>1128</v>
      </c>
      <c r="T64" s="750">
        <f>AVERAGE(F64:R64)</f>
        <v>86.769230769230774</v>
      </c>
      <c r="U64" s="749">
        <v>6</v>
      </c>
      <c r="V64" s="752"/>
      <c r="W64" s="752"/>
    </row>
    <row r="65" spans="1:23" ht="29.25" thickBot="1" x14ac:dyDescent="0.5">
      <c r="A65" s="924"/>
      <c r="B65" s="925"/>
      <c r="C65" s="926"/>
      <c r="D65" s="927"/>
      <c r="E65" s="748" t="s">
        <v>13</v>
      </c>
      <c r="F65" s="749">
        <f>AVERAGE(F63:F64)</f>
        <v>77.5</v>
      </c>
      <c r="G65" s="749">
        <f t="shared" ref="G65:T65" si="19">AVERAGE(G63:G64)</f>
        <v>89.5</v>
      </c>
      <c r="H65" s="749">
        <f t="shared" si="19"/>
        <v>81.5</v>
      </c>
      <c r="I65" s="749">
        <f t="shared" si="19"/>
        <v>85.5</v>
      </c>
      <c r="J65" s="749">
        <f t="shared" si="19"/>
        <v>79</v>
      </c>
      <c r="K65" s="749">
        <f t="shared" si="19"/>
        <v>87</v>
      </c>
      <c r="L65" s="749">
        <f t="shared" si="19"/>
        <v>91.5</v>
      </c>
      <c r="M65" s="749">
        <f t="shared" si="19"/>
        <v>90</v>
      </c>
      <c r="N65" s="749">
        <f t="shared" si="19"/>
        <v>83</v>
      </c>
      <c r="O65" s="749">
        <f t="shared" si="19"/>
        <v>89.5</v>
      </c>
      <c r="P65" s="749">
        <f t="shared" si="19"/>
        <v>91</v>
      </c>
      <c r="Q65" s="749">
        <f t="shared" si="19"/>
        <v>93.5</v>
      </c>
      <c r="R65" s="749">
        <f t="shared" si="19"/>
        <v>96.5</v>
      </c>
      <c r="S65" s="749">
        <f t="shared" si="19"/>
        <v>1135</v>
      </c>
      <c r="T65" s="749">
        <f t="shared" si="19"/>
        <v>87.307692307692307</v>
      </c>
      <c r="U65" s="749">
        <v>4</v>
      </c>
      <c r="V65" s="749"/>
      <c r="W65" s="749"/>
    </row>
    <row r="66" spans="1:23" ht="29.25" thickBot="1" x14ac:dyDescent="0.5">
      <c r="A66" s="924">
        <v>21</v>
      </c>
      <c r="B66" s="925"/>
      <c r="C66" s="926">
        <v>16</v>
      </c>
      <c r="D66" s="927" t="s">
        <v>20</v>
      </c>
      <c r="E66" s="748" t="s">
        <v>18</v>
      </c>
      <c r="F66" s="749">
        <v>80</v>
      </c>
      <c r="G66" s="749">
        <v>93</v>
      </c>
      <c r="H66" s="749">
        <v>97</v>
      </c>
      <c r="I66" s="749">
        <v>94</v>
      </c>
      <c r="J66" s="749">
        <v>85</v>
      </c>
      <c r="K66" s="749">
        <v>91</v>
      </c>
      <c r="L66" s="749">
        <v>89</v>
      </c>
      <c r="M66" s="749">
        <v>88</v>
      </c>
      <c r="N66" s="749">
        <v>86</v>
      </c>
      <c r="O66" s="749">
        <v>95</v>
      </c>
      <c r="P66" s="749">
        <v>90</v>
      </c>
      <c r="Q66" s="749">
        <v>90</v>
      </c>
      <c r="R66" s="749">
        <v>99</v>
      </c>
      <c r="S66" s="749">
        <v>1177</v>
      </c>
      <c r="T66" s="750">
        <v>90.538461538461533</v>
      </c>
      <c r="U66" s="749">
        <v>2</v>
      </c>
      <c r="V66" s="752"/>
      <c r="W66" s="752"/>
    </row>
    <row r="67" spans="1:23" ht="29.25" thickBot="1" x14ac:dyDescent="0.5">
      <c r="A67" s="924"/>
      <c r="B67" s="925"/>
      <c r="C67" s="926"/>
      <c r="D67" s="927"/>
      <c r="E67" s="748" t="s">
        <v>19</v>
      </c>
      <c r="F67" s="749">
        <v>96</v>
      </c>
      <c r="G67" s="749">
        <v>87</v>
      </c>
      <c r="H67" s="749">
        <v>100</v>
      </c>
      <c r="I67" s="749">
        <v>96</v>
      </c>
      <c r="J67" s="749">
        <v>94</v>
      </c>
      <c r="K67" s="749">
        <v>96</v>
      </c>
      <c r="L67" s="749">
        <v>89</v>
      </c>
      <c r="M67" s="749">
        <v>98</v>
      </c>
      <c r="N67" s="749">
        <v>88</v>
      </c>
      <c r="O67" s="749">
        <v>99</v>
      </c>
      <c r="P67" s="749">
        <v>96</v>
      </c>
      <c r="Q67" s="749">
        <v>100</v>
      </c>
      <c r="R67" s="749">
        <v>96</v>
      </c>
      <c r="S67" s="749">
        <f>SUM(F67:R67)</f>
        <v>1235</v>
      </c>
      <c r="T67" s="750">
        <f>AVERAGE(F67:R67)</f>
        <v>95</v>
      </c>
      <c r="U67" s="749">
        <v>2</v>
      </c>
      <c r="V67" s="752"/>
      <c r="W67" s="752"/>
    </row>
    <row r="68" spans="1:23" ht="29.25" thickBot="1" x14ac:dyDescent="0.5">
      <c r="A68" s="924"/>
      <c r="B68" s="925"/>
      <c r="C68" s="926"/>
      <c r="D68" s="927"/>
      <c r="E68" s="748" t="s">
        <v>13</v>
      </c>
      <c r="F68" s="749">
        <f>AVERAGE(F66:F67)</f>
        <v>88</v>
      </c>
      <c r="G68" s="749">
        <f t="shared" ref="G68:T68" si="20">AVERAGE(G66:G67)</f>
        <v>90</v>
      </c>
      <c r="H68" s="749">
        <f t="shared" si="20"/>
        <v>98.5</v>
      </c>
      <c r="I68" s="749">
        <f t="shared" si="20"/>
        <v>95</v>
      </c>
      <c r="J68" s="749">
        <f t="shared" si="20"/>
        <v>89.5</v>
      </c>
      <c r="K68" s="749">
        <f t="shared" si="20"/>
        <v>93.5</v>
      </c>
      <c r="L68" s="749">
        <f t="shared" si="20"/>
        <v>89</v>
      </c>
      <c r="M68" s="749">
        <f t="shared" si="20"/>
        <v>93</v>
      </c>
      <c r="N68" s="749">
        <f t="shared" si="20"/>
        <v>87</v>
      </c>
      <c r="O68" s="749">
        <f t="shared" si="20"/>
        <v>97</v>
      </c>
      <c r="P68" s="749">
        <f t="shared" si="20"/>
        <v>93</v>
      </c>
      <c r="Q68" s="749">
        <f t="shared" si="20"/>
        <v>95</v>
      </c>
      <c r="R68" s="749">
        <f t="shared" si="20"/>
        <v>97.5</v>
      </c>
      <c r="S68" s="749">
        <f t="shared" si="20"/>
        <v>1206</v>
      </c>
      <c r="T68" s="749">
        <f t="shared" si="20"/>
        <v>92.769230769230774</v>
      </c>
      <c r="U68" s="749">
        <v>2</v>
      </c>
      <c r="V68" s="749"/>
      <c r="W68" s="749"/>
    </row>
    <row r="69" spans="1:23" ht="29.25" thickBot="1" x14ac:dyDescent="0.5">
      <c r="A69" s="924">
        <v>22</v>
      </c>
      <c r="B69" s="925"/>
      <c r="C69" s="926">
        <v>15</v>
      </c>
      <c r="D69" s="927" t="s">
        <v>17</v>
      </c>
      <c r="E69" s="748" t="s">
        <v>18</v>
      </c>
      <c r="F69" s="749">
        <v>79</v>
      </c>
      <c r="G69" s="749">
        <v>84</v>
      </c>
      <c r="H69" s="749">
        <v>73</v>
      </c>
      <c r="I69" s="749">
        <v>89</v>
      </c>
      <c r="J69" s="749">
        <v>73</v>
      </c>
      <c r="K69" s="749">
        <v>65</v>
      </c>
      <c r="L69" s="749">
        <v>67</v>
      </c>
      <c r="M69" s="749">
        <v>60</v>
      </c>
      <c r="N69" s="749">
        <v>59</v>
      </c>
      <c r="O69" s="749">
        <v>79</v>
      </c>
      <c r="P69" s="749">
        <v>83</v>
      </c>
      <c r="Q69" s="749">
        <v>88</v>
      </c>
      <c r="R69" s="749">
        <v>82</v>
      </c>
      <c r="S69" s="749">
        <v>981</v>
      </c>
      <c r="T69" s="750">
        <v>75.461538461538467</v>
      </c>
      <c r="U69" s="749">
        <v>28</v>
      </c>
      <c r="V69" s="752"/>
      <c r="W69" s="752"/>
    </row>
    <row r="70" spans="1:23" ht="29.25" thickBot="1" x14ac:dyDescent="0.5">
      <c r="A70" s="924"/>
      <c r="B70" s="925"/>
      <c r="C70" s="926"/>
      <c r="D70" s="927"/>
      <c r="E70" s="748" t="s">
        <v>19</v>
      </c>
      <c r="F70" s="749">
        <v>74</v>
      </c>
      <c r="G70" s="749">
        <v>84</v>
      </c>
      <c r="H70" s="749">
        <v>45</v>
      </c>
      <c r="I70" s="749">
        <v>82</v>
      </c>
      <c r="J70" s="749">
        <v>76</v>
      </c>
      <c r="K70" s="749">
        <v>64</v>
      </c>
      <c r="L70" s="749">
        <v>70</v>
      </c>
      <c r="M70" s="749">
        <v>67</v>
      </c>
      <c r="N70" s="749">
        <v>56</v>
      </c>
      <c r="O70" s="749">
        <v>65</v>
      </c>
      <c r="P70" s="749">
        <v>84</v>
      </c>
      <c r="Q70" s="749">
        <v>90</v>
      </c>
      <c r="R70" s="749">
        <v>79</v>
      </c>
      <c r="S70" s="749">
        <f>SUM(F70:R70)</f>
        <v>936</v>
      </c>
      <c r="T70" s="750">
        <f>AVERAGE(F70:R70)</f>
        <v>72</v>
      </c>
      <c r="U70" s="749">
        <v>36</v>
      </c>
      <c r="V70" s="752"/>
      <c r="W70" s="752"/>
    </row>
    <row r="71" spans="1:23" ht="29.25" thickBot="1" x14ac:dyDescent="0.5">
      <c r="A71" s="924"/>
      <c r="B71" s="925"/>
      <c r="C71" s="926"/>
      <c r="D71" s="927"/>
      <c r="E71" s="748" t="s">
        <v>13</v>
      </c>
      <c r="F71" s="749">
        <f>AVERAGE(F69:F70)</f>
        <v>76.5</v>
      </c>
      <c r="G71" s="749">
        <f t="shared" ref="G71:T71" si="21">AVERAGE(G69:G70)</f>
        <v>84</v>
      </c>
      <c r="H71" s="749">
        <f t="shared" si="21"/>
        <v>59</v>
      </c>
      <c r="I71" s="749">
        <f t="shared" si="21"/>
        <v>85.5</v>
      </c>
      <c r="J71" s="749">
        <f t="shared" si="21"/>
        <v>74.5</v>
      </c>
      <c r="K71" s="749">
        <f t="shared" si="21"/>
        <v>64.5</v>
      </c>
      <c r="L71" s="749">
        <f t="shared" si="21"/>
        <v>68.5</v>
      </c>
      <c r="M71" s="749">
        <f t="shared" si="21"/>
        <v>63.5</v>
      </c>
      <c r="N71" s="749">
        <f t="shared" si="21"/>
        <v>57.5</v>
      </c>
      <c r="O71" s="749">
        <f t="shared" si="21"/>
        <v>72</v>
      </c>
      <c r="P71" s="749">
        <f t="shared" si="21"/>
        <v>83.5</v>
      </c>
      <c r="Q71" s="749">
        <f t="shared" si="21"/>
        <v>89</v>
      </c>
      <c r="R71" s="749">
        <f t="shared" si="21"/>
        <v>80.5</v>
      </c>
      <c r="S71" s="749">
        <f t="shared" si="21"/>
        <v>958.5</v>
      </c>
      <c r="T71" s="749">
        <f t="shared" si="21"/>
        <v>73.730769230769226</v>
      </c>
      <c r="U71" s="749">
        <v>32</v>
      </c>
      <c r="V71" s="749"/>
      <c r="W71" s="749"/>
    </row>
    <row r="72" spans="1:23" ht="29.25" thickBot="1" x14ac:dyDescent="0.5">
      <c r="A72" s="924">
        <v>23</v>
      </c>
      <c r="B72" s="925"/>
      <c r="C72" s="926">
        <v>15</v>
      </c>
      <c r="D72" s="927" t="s">
        <v>17</v>
      </c>
      <c r="E72" s="748" t="s">
        <v>18</v>
      </c>
      <c r="F72" s="749">
        <v>69</v>
      </c>
      <c r="G72" s="749">
        <v>61</v>
      </c>
      <c r="H72" s="749">
        <v>66</v>
      </c>
      <c r="I72" s="749">
        <v>58</v>
      </c>
      <c r="J72" s="749">
        <v>56</v>
      </c>
      <c r="K72" s="749">
        <v>47</v>
      </c>
      <c r="L72" s="749">
        <v>73</v>
      </c>
      <c r="M72" s="749">
        <v>68</v>
      </c>
      <c r="N72" s="749">
        <v>66</v>
      </c>
      <c r="O72" s="749">
        <v>69</v>
      </c>
      <c r="P72" s="749">
        <v>78</v>
      </c>
      <c r="Q72" s="749">
        <v>75</v>
      </c>
      <c r="R72" s="749">
        <v>84</v>
      </c>
      <c r="S72" s="749">
        <v>870</v>
      </c>
      <c r="T72" s="750">
        <v>66.92307692307692</v>
      </c>
      <c r="U72" s="749">
        <v>43</v>
      </c>
      <c r="V72" s="752"/>
      <c r="W72" s="752"/>
    </row>
    <row r="73" spans="1:23" ht="29.25" thickBot="1" x14ac:dyDescent="0.5">
      <c r="A73" s="924"/>
      <c r="B73" s="925"/>
      <c r="C73" s="926"/>
      <c r="D73" s="927"/>
      <c r="E73" s="748" t="s">
        <v>19</v>
      </c>
      <c r="F73" s="749">
        <v>61</v>
      </c>
      <c r="G73" s="749">
        <v>55</v>
      </c>
      <c r="H73" s="749">
        <v>53</v>
      </c>
      <c r="I73" s="749">
        <v>49</v>
      </c>
      <c r="J73" s="749">
        <v>59</v>
      </c>
      <c r="K73" s="749">
        <v>58</v>
      </c>
      <c r="L73" s="749">
        <v>68</v>
      </c>
      <c r="M73" s="749">
        <v>81</v>
      </c>
      <c r="N73" s="749">
        <v>76</v>
      </c>
      <c r="O73" s="749">
        <v>71</v>
      </c>
      <c r="P73" s="749">
        <v>86</v>
      </c>
      <c r="Q73" s="749">
        <v>72</v>
      </c>
      <c r="R73" s="749">
        <v>78</v>
      </c>
      <c r="S73" s="749">
        <f>SUM(F73:R73)</f>
        <v>867</v>
      </c>
      <c r="T73" s="750">
        <f>AVERAGE(F73:R73)</f>
        <v>66.692307692307693</v>
      </c>
      <c r="U73" s="749">
        <v>43</v>
      </c>
      <c r="V73" s="752"/>
      <c r="W73" s="752"/>
    </row>
    <row r="74" spans="1:23" ht="29.25" thickBot="1" x14ac:dyDescent="0.5">
      <c r="A74" s="924"/>
      <c r="B74" s="925"/>
      <c r="C74" s="926"/>
      <c r="D74" s="927"/>
      <c r="E74" s="748" t="s">
        <v>13</v>
      </c>
      <c r="F74" s="749">
        <f>AVERAGE(F72:F73)</f>
        <v>65</v>
      </c>
      <c r="G74" s="749">
        <f t="shared" ref="G74:T74" si="22">AVERAGE(G72:G73)</f>
        <v>58</v>
      </c>
      <c r="H74" s="749">
        <f t="shared" si="22"/>
        <v>59.5</v>
      </c>
      <c r="I74" s="749">
        <f t="shared" si="22"/>
        <v>53.5</v>
      </c>
      <c r="J74" s="749">
        <f t="shared" si="22"/>
        <v>57.5</v>
      </c>
      <c r="K74" s="749">
        <f t="shared" si="22"/>
        <v>52.5</v>
      </c>
      <c r="L74" s="749">
        <f t="shared" si="22"/>
        <v>70.5</v>
      </c>
      <c r="M74" s="749">
        <f t="shared" si="22"/>
        <v>74.5</v>
      </c>
      <c r="N74" s="749">
        <f t="shared" si="22"/>
        <v>71</v>
      </c>
      <c r="O74" s="749">
        <f t="shared" si="22"/>
        <v>70</v>
      </c>
      <c r="P74" s="749">
        <f t="shared" si="22"/>
        <v>82</v>
      </c>
      <c r="Q74" s="749">
        <f t="shared" si="22"/>
        <v>73.5</v>
      </c>
      <c r="R74" s="749">
        <f t="shared" si="22"/>
        <v>81</v>
      </c>
      <c r="S74" s="749">
        <f t="shared" si="22"/>
        <v>868.5</v>
      </c>
      <c r="T74" s="749">
        <f t="shared" si="22"/>
        <v>66.807692307692307</v>
      </c>
      <c r="U74" s="749">
        <v>44</v>
      </c>
      <c r="V74" s="749"/>
      <c r="W74" s="749"/>
    </row>
    <row r="75" spans="1:23" ht="29.25" thickBot="1" x14ac:dyDescent="0.5">
      <c r="A75" s="924">
        <v>24</v>
      </c>
      <c r="B75" s="925"/>
      <c r="C75" s="926">
        <v>16</v>
      </c>
      <c r="D75" s="927" t="s">
        <v>17</v>
      </c>
      <c r="E75" s="748" t="s">
        <v>18</v>
      </c>
      <c r="F75" s="749">
        <v>80</v>
      </c>
      <c r="G75" s="749">
        <v>79</v>
      </c>
      <c r="H75" s="749">
        <v>74</v>
      </c>
      <c r="I75" s="753">
        <v>43</v>
      </c>
      <c r="J75" s="753">
        <v>58</v>
      </c>
      <c r="K75" s="749">
        <v>45</v>
      </c>
      <c r="L75" s="753">
        <v>56</v>
      </c>
      <c r="M75" s="749">
        <v>75</v>
      </c>
      <c r="N75" s="749">
        <v>87</v>
      </c>
      <c r="O75" s="749">
        <v>79</v>
      </c>
      <c r="P75" s="749">
        <v>68</v>
      </c>
      <c r="Q75" s="749">
        <v>87</v>
      </c>
      <c r="R75" s="749">
        <v>95</v>
      </c>
      <c r="S75" s="749">
        <v>926</v>
      </c>
      <c r="T75" s="750">
        <v>71.230769230769226</v>
      </c>
      <c r="U75" s="749">
        <v>36</v>
      </c>
      <c r="V75" s="752"/>
      <c r="W75" s="752"/>
    </row>
    <row r="76" spans="1:23" ht="29.25" thickBot="1" x14ac:dyDescent="0.5">
      <c r="A76" s="924"/>
      <c r="B76" s="925"/>
      <c r="C76" s="926"/>
      <c r="D76" s="927"/>
      <c r="E76" s="748" t="s">
        <v>19</v>
      </c>
      <c r="F76" s="749">
        <v>83</v>
      </c>
      <c r="G76" s="749">
        <v>74</v>
      </c>
      <c r="H76" s="749">
        <v>52</v>
      </c>
      <c r="I76" s="753">
        <v>59</v>
      </c>
      <c r="J76" s="753">
        <v>59</v>
      </c>
      <c r="K76" s="749">
        <v>47</v>
      </c>
      <c r="L76" s="753">
        <v>60</v>
      </c>
      <c r="M76" s="749">
        <v>77</v>
      </c>
      <c r="N76" s="749">
        <v>79</v>
      </c>
      <c r="O76" s="749">
        <v>87</v>
      </c>
      <c r="P76" s="749">
        <v>77</v>
      </c>
      <c r="Q76" s="749">
        <v>85</v>
      </c>
      <c r="R76" s="749">
        <v>94</v>
      </c>
      <c r="S76" s="749">
        <f>SUM(F76:R76)</f>
        <v>933</v>
      </c>
      <c r="T76" s="750">
        <f>AVERAGE(F76:R76)</f>
        <v>71.769230769230774</v>
      </c>
      <c r="U76" s="749">
        <v>37</v>
      </c>
      <c r="V76" s="752"/>
      <c r="W76" s="752"/>
    </row>
    <row r="77" spans="1:23" ht="29.25" thickBot="1" x14ac:dyDescent="0.5">
      <c r="A77" s="924"/>
      <c r="B77" s="925"/>
      <c r="C77" s="926"/>
      <c r="D77" s="927"/>
      <c r="E77" s="748" t="s">
        <v>13</v>
      </c>
      <c r="F77" s="749">
        <f>AVERAGE(F75:F76)</f>
        <v>81.5</v>
      </c>
      <c r="G77" s="749">
        <f t="shared" ref="G77:T77" si="23">AVERAGE(G75:G76)</f>
        <v>76.5</v>
      </c>
      <c r="H77" s="749">
        <f t="shared" si="23"/>
        <v>63</v>
      </c>
      <c r="I77" s="749">
        <f t="shared" si="23"/>
        <v>51</v>
      </c>
      <c r="J77" s="749">
        <f t="shared" si="23"/>
        <v>58.5</v>
      </c>
      <c r="K77" s="749">
        <f t="shared" si="23"/>
        <v>46</v>
      </c>
      <c r="L77" s="749">
        <f t="shared" si="23"/>
        <v>58</v>
      </c>
      <c r="M77" s="749">
        <f t="shared" si="23"/>
        <v>76</v>
      </c>
      <c r="N77" s="749">
        <f t="shared" si="23"/>
        <v>83</v>
      </c>
      <c r="O77" s="749">
        <f t="shared" si="23"/>
        <v>83</v>
      </c>
      <c r="P77" s="749">
        <f t="shared" si="23"/>
        <v>72.5</v>
      </c>
      <c r="Q77" s="749">
        <f t="shared" si="23"/>
        <v>86</v>
      </c>
      <c r="R77" s="749">
        <f t="shared" si="23"/>
        <v>94.5</v>
      </c>
      <c r="S77" s="749">
        <f t="shared" si="23"/>
        <v>929.5</v>
      </c>
      <c r="T77" s="749">
        <f t="shared" si="23"/>
        <v>71.5</v>
      </c>
      <c r="U77" s="749">
        <v>37</v>
      </c>
      <c r="V77" s="749"/>
      <c r="W77" s="749"/>
    </row>
    <row r="78" spans="1:23" ht="29.25" thickBot="1" x14ac:dyDescent="0.5">
      <c r="A78" s="924">
        <v>25</v>
      </c>
      <c r="B78" s="925"/>
      <c r="C78" s="926">
        <v>16</v>
      </c>
      <c r="D78" s="927" t="s">
        <v>20</v>
      </c>
      <c r="E78" s="748" t="s">
        <v>18</v>
      </c>
      <c r="F78" s="749">
        <v>72</v>
      </c>
      <c r="G78" s="753">
        <v>56</v>
      </c>
      <c r="H78" s="753">
        <v>64</v>
      </c>
      <c r="I78" s="753">
        <v>53</v>
      </c>
      <c r="J78" s="749">
        <v>54</v>
      </c>
      <c r="K78" s="753">
        <v>46</v>
      </c>
      <c r="L78" s="749">
        <v>51</v>
      </c>
      <c r="M78" s="749">
        <v>61</v>
      </c>
      <c r="N78" s="749">
        <v>68</v>
      </c>
      <c r="O78" s="749">
        <v>72</v>
      </c>
      <c r="P78" s="749">
        <v>61</v>
      </c>
      <c r="Q78" s="749">
        <v>83</v>
      </c>
      <c r="R78" s="749">
        <v>76</v>
      </c>
      <c r="S78" s="749">
        <v>817</v>
      </c>
      <c r="T78" s="750">
        <v>62.846153846153847</v>
      </c>
      <c r="U78" s="749">
        <v>47</v>
      </c>
      <c r="V78" s="752"/>
      <c r="W78" s="752"/>
    </row>
    <row r="79" spans="1:23" ht="29.25" thickBot="1" x14ac:dyDescent="0.5">
      <c r="A79" s="924"/>
      <c r="B79" s="925"/>
      <c r="C79" s="926"/>
      <c r="D79" s="927"/>
      <c r="E79" s="748" t="s">
        <v>19</v>
      </c>
      <c r="F79" s="749">
        <v>88</v>
      </c>
      <c r="G79" s="753">
        <v>57</v>
      </c>
      <c r="H79" s="753">
        <v>45</v>
      </c>
      <c r="I79" s="753">
        <v>50</v>
      </c>
      <c r="J79" s="749">
        <v>44</v>
      </c>
      <c r="K79" s="753">
        <v>51</v>
      </c>
      <c r="L79" s="749">
        <v>61</v>
      </c>
      <c r="M79" s="749">
        <v>66</v>
      </c>
      <c r="N79" s="749">
        <v>65</v>
      </c>
      <c r="O79" s="749">
        <v>78</v>
      </c>
      <c r="P79" s="749">
        <v>65</v>
      </c>
      <c r="Q79" s="749">
        <v>81</v>
      </c>
      <c r="R79" s="749">
        <v>77</v>
      </c>
      <c r="S79" s="749">
        <f>SUM(F79:R79)</f>
        <v>828</v>
      </c>
      <c r="T79" s="750">
        <f>AVERAGE(F79:R79)</f>
        <v>63.692307692307693</v>
      </c>
      <c r="U79" s="749">
        <v>47</v>
      </c>
      <c r="V79" s="752"/>
      <c r="W79" s="752"/>
    </row>
    <row r="80" spans="1:23" ht="29.25" thickBot="1" x14ac:dyDescent="0.5">
      <c r="A80" s="924"/>
      <c r="B80" s="925"/>
      <c r="C80" s="926"/>
      <c r="D80" s="927"/>
      <c r="E80" s="748" t="s">
        <v>13</v>
      </c>
      <c r="F80" s="749">
        <f>AVERAGE(F78:F79)</f>
        <v>80</v>
      </c>
      <c r="G80" s="749">
        <f t="shared" ref="G80:T80" si="24">AVERAGE(G78:G79)</f>
        <v>56.5</v>
      </c>
      <c r="H80" s="749">
        <f t="shared" si="24"/>
        <v>54.5</v>
      </c>
      <c r="I80" s="749">
        <f t="shared" si="24"/>
        <v>51.5</v>
      </c>
      <c r="J80" s="749">
        <f t="shared" si="24"/>
        <v>49</v>
      </c>
      <c r="K80" s="749">
        <f t="shared" si="24"/>
        <v>48.5</v>
      </c>
      <c r="L80" s="749">
        <f t="shared" si="24"/>
        <v>56</v>
      </c>
      <c r="M80" s="749">
        <f t="shared" si="24"/>
        <v>63.5</v>
      </c>
      <c r="N80" s="749">
        <f t="shared" si="24"/>
        <v>66.5</v>
      </c>
      <c r="O80" s="749">
        <f t="shared" si="24"/>
        <v>75</v>
      </c>
      <c r="P80" s="749">
        <f t="shared" si="24"/>
        <v>63</v>
      </c>
      <c r="Q80" s="749">
        <f t="shared" si="24"/>
        <v>82</v>
      </c>
      <c r="R80" s="749">
        <f t="shared" si="24"/>
        <v>76.5</v>
      </c>
      <c r="S80" s="749">
        <f t="shared" si="24"/>
        <v>822.5</v>
      </c>
      <c r="T80" s="749">
        <f t="shared" si="24"/>
        <v>63.269230769230774</v>
      </c>
      <c r="U80" s="749">
        <v>47</v>
      </c>
      <c r="V80" s="749"/>
      <c r="W80" s="749"/>
    </row>
    <row r="81" spans="1:23" ht="29.25" thickBot="1" x14ac:dyDescent="0.5">
      <c r="A81" s="924">
        <v>26</v>
      </c>
      <c r="B81" s="925"/>
      <c r="C81" s="928">
        <v>15</v>
      </c>
      <c r="D81" s="929" t="s">
        <v>20</v>
      </c>
      <c r="E81" s="748" t="s">
        <v>18</v>
      </c>
      <c r="F81" s="749">
        <v>96</v>
      </c>
      <c r="G81" s="749">
        <v>93</v>
      </c>
      <c r="H81" s="749">
        <v>91</v>
      </c>
      <c r="I81" s="749">
        <v>95</v>
      </c>
      <c r="J81" s="749">
        <v>94</v>
      </c>
      <c r="K81" s="749">
        <v>97</v>
      </c>
      <c r="L81" s="749">
        <v>99</v>
      </c>
      <c r="M81" s="749">
        <v>100</v>
      </c>
      <c r="N81" s="749">
        <v>96</v>
      </c>
      <c r="O81" s="749">
        <v>94</v>
      </c>
      <c r="P81" s="749">
        <v>98</v>
      </c>
      <c r="Q81" s="749">
        <v>97</v>
      </c>
      <c r="R81" s="749">
        <v>95</v>
      </c>
      <c r="S81" s="749">
        <v>1245</v>
      </c>
      <c r="T81" s="750">
        <v>95.769230769230774</v>
      </c>
      <c r="U81" s="749">
        <v>1</v>
      </c>
      <c r="V81" s="752"/>
      <c r="W81" s="752"/>
    </row>
    <row r="82" spans="1:23" ht="29.25" thickBot="1" x14ac:dyDescent="0.5">
      <c r="A82" s="924"/>
      <c r="B82" s="925"/>
      <c r="C82" s="928"/>
      <c r="D82" s="929"/>
      <c r="E82" s="748" t="s">
        <v>19</v>
      </c>
      <c r="F82" s="749">
        <v>92</v>
      </c>
      <c r="G82" s="749">
        <v>91</v>
      </c>
      <c r="H82" s="749">
        <v>86</v>
      </c>
      <c r="I82" s="749">
        <v>97</v>
      </c>
      <c r="J82" s="749">
        <v>100</v>
      </c>
      <c r="K82" s="749">
        <v>100</v>
      </c>
      <c r="L82" s="749">
        <v>96</v>
      </c>
      <c r="M82" s="749">
        <v>100</v>
      </c>
      <c r="N82" s="749">
        <v>98</v>
      </c>
      <c r="O82" s="749">
        <v>100</v>
      </c>
      <c r="P82" s="749">
        <v>100</v>
      </c>
      <c r="Q82" s="749">
        <v>97</v>
      </c>
      <c r="R82" s="749">
        <v>98</v>
      </c>
      <c r="S82" s="749">
        <f>SUM(F82:R82)</f>
        <v>1255</v>
      </c>
      <c r="T82" s="750">
        <f>AVERAGE(F82:R82)</f>
        <v>96.538461538461533</v>
      </c>
      <c r="U82" s="749">
        <v>1</v>
      </c>
      <c r="V82" s="752"/>
      <c r="W82" s="752"/>
    </row>
    <row r="83" spans="1:23" ht="29.25" thickBot="1" x14ac:dyDescent="0.5">
      <c r="A83" s="924"/>
      <c r="B83" s="925"/>
      <c r="C83" s="928"/>
      <c r="D83" s="929"/>
      <c r="E83" s="748" t="s">
        <v>13</v>
      </c>
      <c r="F83" s="749">
        <f>AVERAGE(F81:F82)</f>
        <v>94</v>
      </c>
      <c r="G83" s="749">
        <f t="shared" ref="G83:T83" si="25">AVERAGE(G81:G82)</f>
        <v>92</v>
      </c>
      <c r="H83" s="749">
        <f t="shared" si="25"/>
        <v>88.5</v>
      </c>
      <c r="I83" s="749">
        <f t="shared" si="25"/>
        <v>96</v>
      </c>
      <c r="J83" s="749">
        <f t="shared" si="25"/>
        <v>97</v>
      </c>
      <c r="K83" s="749">
        <f t="shared" si="25"/>
        <v>98.5</v>
      </c>
      <c r="L83" s="749">
        <f t="shared" si="25"/>
        <v>97.5</v>
      </c>
      <c r="M83" s="749">
        <f t="shared" si="25"/>
        <v>100</v>
      </c>
      <c r="N83" s="749">
        <f t="shared" si="25"/>
        <v>97</v>
      </c>
      <c r="O83" s="749">
        <f t="shared" si="25"/>
        <v>97</v>
      </c>
      <c r="P83" s="749">
        <f t="shared" si="25"/>
        <v>99</v>
      </c>
      <c r="Q83" s="749">
        <f t="shared" si="25"/>
        <v>97</v>
      </c>
      <c r="R83" s="749">
        <f t="shared" si="25"/>
        <v>96.5</v>
      </c>
      <c r="S83" s="749">
        <f t="shared" si="25"/>
        <v>1250</v>
      </c>
      <c r="T83" s="749">
        <f t="shared" si="25"/>
        <v>96.15384615384616</v>
      </c>
      <c r="U83" s="749">
        <v>1</v>
      </c>
      <c r="V83" s="749"/>
      <c r="W83" s="749"/>
    </row>
    <row r="84" spans="1:23" ht="29.25" thickBot="1" x14ac:dyDescent="0.5">
      <c r="A84" s="924">
        <v>27</v>
      </c>
      <c r="B84" s="925"/>
      <c r="C84" s="926">
        <v>16</v>
      </c>
      <c r="D84" s="927" t="s">
        <v>17</v>
      </c>
      <c r="E84" s="748" t="s">
        <v>18</v>
      </c>
      <c r="F84" s="749">
        <v>76</v>
      </c>
      <c r="G84" s="749">
        <v>51</v>
      </c>
      <c r="H84" s="749">
        <v>66</v>
      </c>
      <c r="I84" s="753">
        <v>64</v>
      </c>
      <c r="J84" s="749">
        <v>50</v>
      </c>
      <c r="K84" s="749">
        <v>55</v>
      </c>
      <c r="L84" s="749">
        <v>61</v>
      </c>
      <c r="M84" s="749">
        <v>69</v>
      </c>
      <c r="N84" s="749">
        <v>77</v>
      </c>
      <c r="O84" s="749">
        <v>64</v>
      </c>
      <c r="P84" s="749">
        <v>77</v>
      </c>
      <c r="Q84" s="749">
        <v>82</v>
      </c>
      <c r="R84" s="749">
        <v>75</v>
      </c>
      <c r="S84" s="749">
        <v>867</v>
      </c>
      <c r="T84" s="750">
        <v>66.692307692307693</v>
      </c>
      <c r="U84" s="749">
        <v>44</v>
      </c>
      <c r="V84" s="752"/>
      <c r="W84" s="752"/>
    </row>
    <row r="85" spans="1:23" ht="29.25" thickBot="1" x14ac:dyDescent="0.5">
      <c r="A85" s="924"/>
      <c r="B85" s="925"/>
      <c r="C85" s="926"/>
      <c r="D85" s="927"/>
      <c r="E85" s="748" t="s">
        <v>19</v>
      </c>
      <c r="F85" s="749">
        <v>72</v>
      </c>
      <c r="G85" s="749">
        <v>50</v>
      </c>
      <c r="H85" s="749">
        <v>63</v>
      </c>
      <c r="I85" s="753">
        <v>66</v>
      </c>
      <c r="J85" s="749">
        <v>67</v>
      </c>
      <c r="K85" s="749">
        <v>53</v>
      </c>
      <c r="L85" s="749">
        <v>60</v>
      </c>
      <c r="M85" s="749">
        <v>75</v>
      </c>
      <c r="N85" s="749">
        <v>75</v>
      </c>
      <c r="O85" s="749">
        <v>79</v>
      </c>
      <c r="P85" s="749">
        <v>94</v>
      </c>
      <c r="Q85" s="749">
        <v>79</v>
      </c>
      <c r="R85" s="749">
        <v>73</v>
      </c>
      <c r="S85" s="749">
        <f>SUM(F85:R85)</f>
        <v>906</v>
      </c>
      <c r="T85" s="750">
        <f>AVERAGE(F85:R85)</f>
        <v>69.692307692307693</v>
      </c>
      <c r="U85" s="749">
        <v>39</v>
      </c>
      <c r="V85" s="752"/>
      <c r="W85" s="752"/>
    </row>
    <row r="86" spans="1:23" ht="29.25" thickBot="1" x14ac:dyDescent="0.5">
      <c r="A86" s="924"/>
      <c r="B86" s="925"/>
      <c r="C86" s="926"/>
      <c r="D86" s="927"/>
      <c r="E86" s="748" t="s">
        <v>13</v>
      </c>
      <c r="F86" s="749">
        <f>AVERAGE(F84:F85)</f>
        <v>74</v>
      </c>
      <c r="G86" s="749">
        <f t="shared" ref="G86:T86" si="26">AVERAGE(G84:G85)</f>
        <v>50.5</v>
      </c>
      <c r="H86" s="749">
        <f t="shared" si="26"/>
        <v>64.5</v>
      </c>
      <c r="I86" s="749">
        <f t="shared" si="26"/>
        <v>65</v>
      </c>
      <c r="J86" s="749">
        <f t="shared" si="26"/>
        <v>58.5</v>
      </c>
      <c r="K86" s="749">
        <f t="shared" si="26"/>
        <v>54</v>
      </c>
      <c r="L86" s="749">
        <f t="shared" si="26"/>
        <v>60.5</v>
      </c>
      <c r="M86" s="749">
        <f t="shared" si="26"/>
        <v>72</v>
      </c>
      <c r="N86" s="749">
        <f t="shared" si="26"/>
        <v>76</v>
      </c>
      <c r="O86" s="749">
        <f t="shared" si="26"/>
        <v>71.5</v>
      </c>
      <c r="P86" s="749">
        <f t="shared" si="26"/>
        <v>85.5</v>
      </c>
      <c r="Q86" s="749">
        <f t="shared" si="26"/>
        <v>80.5</v>
      </c>
      <c r="R86" s="749">
        <f t="shared" si="26"/>
        <v>74</v>
      </c>
      <c r="S86" s="749">
        <f t="shared" si="26"/>
        <v>886.5</v>
      </c>
      <c r="T86" s="749">
        <f t="shared" si="26"/>
        <v>68.192307692307693</v>
      </c>
      <c r="U86" s="749">
        <v>43</v>
      </c>
      <c r="V86" s="749"/>
      <c r="W86" s="749"/>
    </row>
    <row r="87" spans="1:23" ht="29.25" thickBot="1" x14ac:dyDescent="0.5">
      <c r="A87" s="924">
        <v>28</v>
      </c>
      <c r="B87" s="924"/>
      <c r="C87" s="928">
        <v>16</v>
      </c>
      <c r="D87" s="929" t="s">
        <v>17</v>
      </c>
      <c r="E87" s="748" t="s">
        <v>18</v>
      </c>
      <c r="F87" s="749">
        <v>84</v>
      </c>
      <c r="G87" s="749">
        <v>86</v>
      </c>
      <c r="H87" s="749">
        <v>83</v>
      </c>
      <c r="I87" s="749">
        <v>74</v>
      </c>
      <c r="J87" s="749">
        <v>67</v>
      </c>
      <c r="K87" s="749">
        <v>75</v>
      </c>
      <c r="L87" s="749">
        <v>74</v>
      </c>
      <c r="M87" s="749">
        <v>73</v>
      </c>
      <c r="N87" s="749">
        <v>86</v>
      </c>
      <c r="O87" s="749">
        <v>84</v>
      </c>
      <c r="P87" s="749">
        <v>74</v>
      </c>
      <c r="Q87" s="749">
        <v>93</v>
      </c>
      <c r="R87" s="749">
        <v>90</v>
      </c>
      <c r="S87" s="749">
        <v>1043</v>
      </c>
      <c r="T87" s="750">
        <v>80.230769230769226</v>
      </c>
      <c r="U87" s="749">
        <v>17</v>
      </c>
      <c r="V87" s="752"/>
      <c r="W87" s="752"/>
    </row>
    <row r="88" spans="1:23" ht="29.25" thickBot="1" x14ac:dyDescent="0.5">
      <c r="A88" s="924"/>
      <c r="B88" s="924"/>
      <c r="C88" s="928"/>
      <c r="D88" s="929"/>
      <c r="E88" s="748" t="s">
        <v>19</v>
      </c>
      <c r="F88" s="749">
        <v>75</v>
      </c>
      <c r="G88" s="749">
        <v>81</v>
      </c>
      <c r="H88" s="749">
        <v>59</v>
      </c>
      <c r="I88" s="749">
        <v>74</v>
      </c>
      <c r="J88" s="749">
        <v>72</v>
      </c>
      <c r="K88" s="749">
        <v>75</v>
      </c>
      <c r="L88" s="749">
        <v>77</v>
      </c>
      <c r="M88" s="749">
        <v>88</v>
      </c>
      <c r="N88" s="749">
        <v>65</v>
      </c>
      <c r="O88" s="749">
        <v>85</v>
      </c>
      <c r="P88" s="749">
        <v>94</v>
      </c>
      <c r="Q88" s="749">
        <v>99</v>
      </c>
      <c r="R88" s="749">
        <v>93</v>
      </c>
      <c r="S88" s="749">
        <f>SUM(F88:R88)</f>
        <v>1037</v>
      </c>
      <c r="T88" s="750">
        <f>AVERAGE(F88:R88)</f>
        <v>79.769230769230774</v>
      </c>
      <c r="U88" s="749">
        <v>25</v>
      </c>
      <c r="V88" s="752"/>
      <c r="W88" s="752"/>
    </row>
    <row r="89" spans="1:23" ht="29.25" thickBot="1" x14ac:dyDescent="0.5">
      <c r="A89" s="924"/>
      <c r="B89" s="924"/>
      <c r="C89" s="928"/>
      <c r="D89" s="929"/>
      <c r="E89" s="748" t="s">
        <v>13</v>
      </c>
      <c r="F89" s="749">
        <f>AVERAGE(F87:F88)</f>
        <v>79.5</v>
      </c>
      <c r="G89" s="749">
        <f t="shared" ref="G89:T89" si="27">AVERAGE(G87:G88)</f>
        <v>83.5</v>
      </c>
      <c r="H89" s="749">
        <f t="shared" si="27"/>
        <v>71</v>
      </c>
      <c r="I89" s="749">
        <f t="shared" si="27"/>
        <v>74</v>
      </c>
      <c r="J89" s="749">
        <f t="shared" si="27"/>
        <v>69.5</v>
      </c>
      <c r="K89" s="749">
        <f t="shared" si="27"/>
        <v>75</v>
      </c>
      <c r="L89" s="749">
        <f t="shared" si="27"/>
        <v>75.5</v>
      </c>
      <c r="M89" s="749">
        <f t="shared" si="27"/>
        <v>80.5</v>
      </c>
      <c r="N89" s="749">
        <f t="shared" si="27"/>
        <v>75.5</v>
      </c>
      <c r="O89" s="749">
        <f t="shared" si="27"/>
        <v>84.5</v>
      </c>
      <c r="P89" s="749">
        <f t="shared" si="27"/>
        <v>84</v>
      </c>
      <c r="Q89" s="749">
        <f t="shared" si="27"/>
        <v>96</v>
      </c>
      <c r="R89" s="749">
        <f t="shared" si="27"/>
        <v>91.5</v>
      </c>
      <c r="S89" s="749">
        <f t="shared" si="27"/>
        <v>1040</v>
      </c>
      <c r="T89" s="749">
        <f t="shared" si="27"/>
        <v>80</v>
      </c>
      <c r="U89" s="749">
        <v>23</v>
      </c>
      <c r="V89" s="749"/>
      <c r="W89" s="749"/>
    </row>
    <row r="90" spans="1:23" ht="29.25" thickBot="1" x14ac:dyDescent="0.5">
      <c r="A90" s="924">
        <v>29</v>
      </c>
      <c r="B90" s="925"/>
      <c r="C90" s="926">
        <v>16</v>
      </c>
      <c r="D90" s="927" t="s">
        <v>17</v>
      </c>
      <c r="E90" s="748" t="s">
        <v>18</v>
      </c>
      <c r="F90" s="749">
        <v>76</v>
      </c>
      <c r="G90" s="749">
        <v>76</v>
      </c>
      <c r="H90" s="749">
        <v>76</v>
      </c>
      <c r="I90" s="749">
        <v>77</v>
      </c>
      <c r="J90" s="749">
        <v>54</v>
      </c>
      <c r="K90" s="749">
        <v>76</v>
      </c>
      <c r="L90" s="749">
        <v>86</v>
      </c>
      <c r="M90" s="749">
        <v>78</v>
      </c>
      <c r="N90" s="749">
        <v>89</v>
      </c>
      <c r="O90" s="749">
        <v>87</v>
      </c>
      <c r="P90" s="749">
        <v>96</v>
      </c>
      <c r="Q90" s="749">
        <v>75</v>
      </c>
      <c r="R90" s="749">
        <v>97</v>
      </c>
      <c r="S90" s="749">
        <v>1043</v>
      </c>
      <c r="T90" s="750">
        <v>80.230769230769226</v>
      </c>
      <c r="U90" s="749">
        <v>17</v>
      </c>
      <c r="V90" s="752"/>
      <c r="W90" s="752"/>
    </row>
    <row r="91" spans="1:23" ht="29.25" thickBot="1" x14ac:dyDescent="0.5">
      <c r="A91" s="924"/>
      <c r="B91" s="925"/>
      <c r="C91" s="926"/>
      <c r="D91" s="927"/>
      <c r="E91" s="748" t="s">
        <v>19</v>
      </c>
      <c r="F91" s="749">
        <v>72</v>
      </c>
      <c r="G91" s="749">
        <v>68</v>
      </c>
      <c r="H91" s="749">
        <v>58</v>
      </c>
      <c r="I91" s="749">
        <v>90</v>
      </c>
      <c r="J91" s="749">
        <v>84</v>
      </c>
      <c r="K91" s="749">
        <v>88</v>
      </c>
      <c r="L91" s="749">
        <v>92</v>
      </c>
      <c r="M91" s="749">
        <v>92</v>
      </c>
      <c r="N91" s="749">
        <v>84</v>
      </c>
      <c r="O91" s="749">
        <v>90</v>
      </c>
      <c r="P91" s="749">
        <v>97</v>
      </c>
      <c r="Q91" s="749">
        <v>97</v>
      </c>
      <c r="R91" s="749">
        <v>93</v>
      </c>
      <c r="S91" s="749">
        <f>SUM(F91:R91)</f>
        <v>1105</v>
      </c>
      <c r="T91" s="750">
        <f>AVERAGE(F91:R91)</f>
        <v>85</v>
      </c>
      <c r="U91" s="749">
        <v>10</v>
      </c>
      <c r="V91" s="752"/>
      <c r="W91" s="752"/>
    </row>
    <row r="92" spans="1:23" ht="29.25" thickBot="1" x14ac:dyDescent="0.5">
      <c r="A92" s="924"/>
      <c r="B92" s="925"/>
      <c r="C92" s="926"/>
      <c r="D92" s="927"/>
      <c r="E92" s="748" t="s">
        <v>13</v>
      </c>
      <c r="F92" s="749">
        <f>AVERAGE(F90:F91)</f>
        <v>74</v>
      </c>
      <c r="G92" s="749">
        <f t="shared" ref="G92:T92" si="28">AVERAGE(G90:G91)</f>
        <v>72</v>
      </c>
      <c r="H92" s="749">
        <f t="shared" si="28"/>
        <v>67</v>
      </c>
      <c r="I92" s="749">
        <f t="shared" si="28"/>
        <v>83.5</v>
      </c>
      <c r="J92" s="749">
        <f t="shared" si="28"/>
        <v>69</v>
      </c>
      <c r="K92" s="749">
        <f t="shared" si="28"/>
        <v>82</v>
      </c>
      <c r="L92" s="749">
        <f t="shared" si="28"/>
        <v>89</v>
      </c>
      <c r="M92" s="749">
        <f t="shared" si="28"/>
        <v>85</v>
      </c>
      <c r="N92" s="749">
        <f t="shared" si="28"/>
        <v>86.5</v>
      </c>
      <c r="O92" s="749">
        <f t="shared" si="28"/>
        <v>88.5</v>
      </c>
      <c r="P92" s="749">
        <f t="shared" si="28"/>
        <v>96.5</v>
      </c>
      <c r="Q92" s="749">
        <f t="shared" si="28"/>
        <v>86</v>
      </c>
      <c r="R92" s="749">
        <f t="shared" si="28"/>
        <v>95</v>
      </c>
      <c r="S92" s="749">
        <f t="shared" si="28"/>
        <v>1074</v>
      </c>
      <c r="T92" s="749">
        <f t="shared" si="28"/>
        <v>82.615384615384613</v>
      </c>
      <c r="U92" s="749">
        <v>15</v>
      </c>
      <c r="V92" s="749"/>
      <c r="W92" s="749"/>
    </row>
    <row r="93" spans="1:23" ht="29.25" thickBot="1" x14ac:dyDescent="0.5">
      <c r="A93" s="924">
        <v>30</v>
      </c>
      <c r="B93" s="925"/>
      <c r="C93" s="926">
        <v>16</v>
      </c>
      <c r="D93" s="927" t="s">
        <v>17</v>
      </c>
      <c r="E93" s="748" t="s">
        <v>18</v>
      </c>
      <c r="F93" s="749">
        <v>81</v>
      </c>
      <c r="G93" s="753">
        <v>79</v>
      </c>
      <c r="H93" s="753">
        <v>69</v>
      </c>
      <c r="I93" s="753">
        <v>67</v>
      </c>
      <c r="J93" s="753">
        <v>59</v>
      </c>
      <c r="K93" s="749">
        <v>57</v>
      </c>
      <c r="L93" s="749">
        <v>82</v>
      </c>
      <c r="M93" s="749">
        <v>70</v>
      </c>
      <c r="N93" s="749">
        <v>76</v>
      </c>
      <c r="O93" s="749">
        <v>84</v>
      </c>
      <c r="P93" s="749">
        <v>65</v>
      </c>
      <c r="Q93" s="753">
        <v>82</v>
      </c>
      <c r="R93" s="753">
        <v>75</v>
      </c>
      <c r="S93" s="749">
        <v>946</v>
      </c>
      <c r="T93" s="750">
        <v>72.769230769230774</v>
      </c>
      <c r="U93" s="749">
        <v>33</v>
      </c>
      <c r="V93" s="752"/>
      <c r="W93" s="752"/>
    </row>
    <row r="94" spans="1:23" ht="29.25" thickBot="1" x14ac:dyDescent="0.5">
      <c r="A94" s="924"/>
      <c r="B94" s="925"/>
      <c r="C94" s="926"/>
      <c r="D94" s="927"/>
      <c r="E94" s="748" t="s">
        <v>19</v>
      </c>
      <c r="F94" s="749">
        <v>73</v>
      </c>
      <c r="G94" s="753">
        <v>77</v>
      </c>
      <c r="H94" s="753">
        <v>59</v>
      </c>
      <c r="I94" s="753">
        <v>65</v>
      </c>
      <c r="J94" s="753">
        <v>70</v>
      </c>
      <c r="K94" s="749">
        <v>66</v>
      </c>
      <c r="L94" s="749">
        <v>70</v>
      </c>
      <c r="M94" s="749">
        <v>85</v>
      </c>
      <c r="N94" s="749">
        <v>73</v>
      </c>
      <c r="O94" s="749">
        <v>84</v>
      </c>
      <c r="P94" s="749">
        <v>83</v>
      </c>
      <c r="Q94" s="753">
        <v>90</v>
      </c>
      <c r="R94" s="753">
        <v>86</v>
      </c>
      <c r="S94" s="749">
        <f>SUM(F94:R94)</f>
        <v>981</v>
      </c>
      <c r="T94" s="750">
        <f>AVERAGE(F94:R94)</f>
        <v>75.461538461538467</v>
      </c>
      <c r="U94" s="749">
        <v>32</v>
      </c>
      <c r="V94" s="752"/>
      <c r="W94" s="752"/>
    </row>
    <row r="95" spans="1:23" ht="29.25" thickBot="1" x14ac:dyDescent="0.5">
      <c r="A95" s="924"/>
      <c r="B95" s="925"/>
      <c r="C95" s="926"/>
      <c r="D95" s="927"/>
      <c r="E95" s="748" t="s">
        <v>13</v>
      </c>
      <c r="F95" s="749">
        <f>AVERAGE(F93:F94)</f>
        <v>77</v>
      </c>
      <c r="G95" s="749">
        <f t="shared" ref="G95:T95" si="29">AVERAGE(G93:G94)</f>
        <v>78</v>
      </c>
      <c r="H95" s="749">
        <f t="shared" si="29"/>
        <v>64</v>
      </c>
      <c r="I95" s="749">
        <f t="shared" si="29"/>
        <v>66</v>
      </c>
      <c r="J95" s="749">
        <f t="shared" si="29"/>
        <v>64.5</v>
      </c>
      <c r="K95" s="749">
        <f t="shared" si="29"/>
        <v>61.5</v>
      </c>
      <c r="L95" s="749">
        <f t="shared" si="29"/>
        <v>76</v>
      </c>
      <c r="M95" s="749">
        <f t="shared" si="29"/>
        <v>77.5</v>
      </c>
      <c r="N95" s="749">
        <f t="shared" si="29"/>
        <v>74.5</v>
      </c>
      <c r="O95" s="749">
        <f t="shared" si="29"/>
        <v>84</v>
      </c>
      <c r="P95" s="749">
        <f t="shared" si="29"/>
        <v>74</v>
      </c>
      <c r="Q95" s="749">
        <f t="shared" si="29"/>
        <v>86</v>
      </c>
      <c r="R95" s="749">
        <f t="shared" si="29"/>
        <v>80.5</v>
      </c>
      <c r="S95" s="749">
        <f t="shared" si="29"/>
        <v>963.5</v>
      </c>
      <c r="T95" s="749">
        <f t="shared" si="29"/>
        <v>74.115384615384613</v>
      </c>
      <c r="U95" s="749">
        <v>31</v>
      </c>
      <c r="V95" s="749"/>
      <c r="W95" s="749"/>
    </row>
    <row r="96" spans="1:23" ht="29.25" thickBot="1" x14ac:dyDescent="0.5">
      <c r="A96" s="924">
        <v>31</v>
      </c>
      <c r="B96" s="925"/>
      <c r="C96" s="926">
        <v>16</v>
      </c>
      <c r="D96" s="927" t="s">
        <v>17</v>
      </c>
      <c r="E96" s="748" t="s">
        <v>18</v>
      </c>
      <c r="F96" s="749">
        <v>78</v>
      </c>
      <c r="G96" s="749">
        <v>70</v>
      </c>
      <c r="H96" s="749">
        <v>81</v>
      </c>
      <c r="I96" s="753">
        <v>85</v>
      </c>
      <c r="J96" s="749">
        <v>65</v>
      </c>
      <c r="K96" s="749">
        <v>69</v>
      </c>
      <c r="L96" s="749">
        <v>66</v>
      </c>
      <c r="M96" s="753">
        <v>69</v>
      </c>
      <c r="N96" s="749">
        <v>71</v>
      </c>
      <c r="O96" s="749">
        <v>68</v>
      </c>
      <c r="P96" s="749">
        <v>79</v>
      </c>
      <c r="Q96" s="749">
        <v>83</v>
      </c>
      <c r="R96" s="749">
        <v>84</v>
      </c>
      <c r="S96" s="749">
        <v>968</v>
      </c>
      <c r="T96" s="750">
        <v>74.461538461538467</v>
      </c>
      <c r="U96" s="749">
        <v>31</v>
      </c>
      <c r="V96" s="752"/>
      <c r="W96" s="752"/>
    </row>
    <row r="97" spans="1:23" ht="29.25" thickBot="1" x14ac:dyDescent="0.5">
      <c r="A97" s="924"/>
      <c r="B97" s="925"/>
      <c r="C97" s="926"/>
      <c r="D97" s="927"/>
      <c r="E97" s="748" t="s">
        <v>19</v>
      </c>
      <c r="F97" s="749">
        <v>86</v>
      </c>
      <c r="G97" s="749">
        <v>64</v>
      </c>
      <c r="H97" s="749">
        <v>68</v>
      </c>
      <c r="I97" s="753">
        <v>94</v>
      </c>
      <c r="J97" s="749">
        <v>87</v>
      </c>
      <c r="K97" s="749">
        <v>76</v>
      </c>
      <c r="L97" s="749">
        <v>74</v>
      </c>
      <c r="M97" s="753">
        <v>91</v>
      </c>
      <c r="N97" s="749">
        <v>86</v>
      </c>
      <c r="O97" s="749">
        <v>81</v>
      </c>
      <c r="P97" s="749">
        <v>96</v>
      </c>
      <c r="Q97" s="749">
        <v>86</v>
      </c>
      <c r="R97" s="749">
        <v>87</v>
      </c>
      <c r="S97" s="749">
        <f>SUM(F97:R97)</f>
        <v>1076</v>
      </c>
      <c r="T97" s="750">
        <f>AVERAGE(F97:R97)</f>
        <v>82.769230769230774</v>
      </c>
      <c r="U97" s="749">
        <v>22</v>
      </c>
      <c r="V97" s="752"/>
      <c r="W97" s="752"/>
    </row>
    <row r="98" spans="1:23" ht="29.25" thickBot="1" x14ac:dyDescent="0.5">
      <c r="A98" s="924"/>
      <c r="B98" s="925"/>
      <c r="C98" s="926"/>
      <c r="D98" s="927"/>
      <c r="E98" s="748" t="s">
        <v>13</v>
      </c>
      <c r="F98" s="749">
        <f>AVERAGE(F96:F97)</f>
        <v>82</v>
      </c>
      <c r="G98" s="749">
        <f t="shared" ref="G98:T98" si="30">AVERAGE(G96:G97)</f>
        <v>67</v>
      </c>
      <c r="H98" s="749">
        <f t="shared" si="30"/>
        <v>74.5</v>
      </c>
      <c r="I98" s="749">
        <f t="shared" si="30"/>
        <v>89.5</v>
      </c>
      <c r="J98" s="749">
        <f t="shared" si="30"/>
        <v>76</v>
      </c>
      <c r="K98" s="749">
        <f t="shared" si="30"/>
        <v>72.5</v>
      </c>
      <c r="L98" s="749">
        <f t="shared" si="30"/>
        <v>70</v>
      </c>
      <c r="M98" s="749">
        <f t="shared" si="30"/>
        <v>80</v>
      </c>
      <c r="N98" s="749">
        <f t="shared" si="30"/>
        <v>78.5</v>
      </c>
      <c r="O98" s="749">
        <f t="shared" si="30"/>
        <v>74.5</v>
      </c>
      <c r="P98" s="749">
        <f t="shared" si="30"/>
        <v>87.5</v>
      </c>
      <c r="Q98" s="749">
        <f t="shared" si="30"/>
        <v>84.5</v>
      </c>
      <c r="R98" s="749">
        <f t="shared" si="30"/>
        <v>85.5</v>
      </c>
      <c r="S98" s="749">
        <f t="shared" si="30"/>
        <v>1022</v>
      </c>
      <c r="T98" s="749">
        <f t="shared" si="30"/>
        <v>78.615384615384613</v>
      </c>
      <c r="U98" s="749">
        <v>28</v>
      </c>
      <c r="V98" s="749"/>
      <c r="W98" s="749"/>
    </row>
    <row r="99" spans="1:23" ht="29.25" thickBot="1" x14ac:dyDescent="0.5">
      <c r="A99" s="924">
        <v>32</v>
      </c>
      <c r="B99" s="925"/>
      <c r="C99" s="926">
        <v>16</v>
      </c>
      <c r="D99" s="927" t="s">
        <v>17</v>
      </c>
      <c r="E99" s="748" t="s">
        <v>18</v>
      </c>
      <c r="F99" s="749">
        <v>76</v>
      </c>
      <c r="G99" s="749">
        <v>84</v>
      </c>
      <c r="H99" s="749">
        <v>79</v>
      </c>
      <c r="I99" s="749">
        <v>78</v>
      </c>
      <c r="J99" s="749">
        <v>72</v>
      </c>
      <c r="K99" s="749">
        <v>76</v>
      </c>
      <c r="L99" s="749">
        <v>81</v>
      </c>
      <c r="M99" s="749">
        <v>79</v>
      </c>
      <c r="N99" s="749">
        <v>76</v>
      </c>
      <c r="O99" s="749">
        <v>82</v>
      </c>
      <c r="P99" s="749">
        <v>70</v>
      </c>
      <c r="Q99" s="749">
        <v>90</v>
      </c>
      <c r="R99" s="749">
        <v>79</v>
      </c>
      <c r="S99" s="749">
        <v>1022</v>
      </c>
      <c r="T99" s="750">
        <v>78.615384615384613</v>
      </c>
      <c r="U99" s="749">
        <v>23</v>
      </c>
      <c r="V99" s="752"/>
      <c r="W99" s="752"/>
    </row>
    <row r="100" spans="1:23" ht="29.25" thickBot="1" x14ac:dyDescent="0.5">
      <c r="A100" s="924"/>
      <c r="B100" s="925"/>
      <c r="C100" s="926"/>
      <c r="D100" s="927"/>
      <c r="E100" s="748" t="s">
        <v>19</v>
      </c>
      <c r="F100" s="749">
        <v>74</v>
      </c>
      <c r="G100" s="749">
        <v>82</v>
      </c>
      <c r="H100" s="749">
        <v>52</v>
      </c>
      <c r="I100" s="749">
        <v>88</v>
      </c>
      <c r="J100" s="749">
        <v>86</v>
      </c>
      <c r="K100" s="749">
        <v>98</v>
      </c>
      <c r="L100" s="749">
        <v>92</v>
      </c>
      <c r="M100" s="749">
        <v>95</v>
      </c>
      <c r="N100" s="749">
        <v>78</v>
      </c>
      <c r="O100" s="749">
        <v>80</v>
      </c>
      <c r="P100" s="749">
        <v>84</v>
      </c>
      <c r="Q100" s="749">
        <v>92</v>
      </c>
      <c r="R100" s="749">
        <v>92</v>
      </c>
      <c r="S100" s="749">
        <f>SUM(F100:R100)</f>
        <v>1093</v>
      </c>
      <c r="T100" s="750">
        <f>AVERAGE(F100:R100)</f>
        <v>84.07692307692308</v>
      </c>
      <c r="U100" s="749">
        <v>14</v>
      </c>
      <c r="V100" s="752"/>
      <c r="W100" s="752"/>
    </row>
    <row r="101" spans="1:23" ht="29.25" thickBot="1" x14ac:dyDescent="0.5">
      <c r="A101" s="924"/>
      <c r="B101" s="925"/>
      <c r="C101" s="926"/>
      <c r="D101" s="927"/>
      <c r="E101" s="748" t="s">
        <v>13</v>
      </c>
      <c r="F101" s="749">
        <f>AVERAGE(F99:F100)</f>
        <v>75</v>
      </c>
      <c r="G101" s="749">
        <f t="shared" ref="G101:T101" si="31">AVERAGE(G99:G100)</f>
        <v>83</v>
      </c>
      <c r="H101" s="749">
        <f t="shared" si="31"/>
        <v>65.5</v>
      </c>
      <c r="I101" s="749">
        <f t="shared" si="31"/>
        <v>83</v>
      </c>
      <c r="J101" s="749">
        <f t="shared" si="31"/>
        <v>79</v>
      </c>
      <c r="K101" s="749">
        <f t="shared" si="31"/>
        <v>87</v>
      </c>
      <c r="L101" s="749">
        <f t="shared" si="31"/>
        <v>86.5</v>
      </c>
      <c r="M101" s="749">
        <f t="shared" si="31"/>
        <v>87</v>
      </c>
      <c r="N101" s="749">
        <f t="shared" si="31"/>
        <v>77</v>
      </c>
      <c r="O101" s="749">
        <f t="shared" si="31"/>
        <v>81</v>
      </c>
      <c r="P101" s="749">
        <f t="shared" si="31"/>
        <v>77</v>
      </c>
      <c r="Q101" s="749">
        <f t="shared" si="31"/>
        <v>91</v>
      </c>
      <c r="R101" s="749">
        <f t="shared" si="31"/>
        <v>85.5</v>
      </c>
      <c r="S101" s="749">
        <f t="shared" si="31"/>
        <v>1057.5</v>
      </c>
      <c r="T101" s="749">
        <f t="shared" si="31"/>
        <v>81.34615384615384</v>
      </c>
      <c r="U101" s="749">
        <v>19</v>
      </c>
      <c r="V101" s="749"/>
      <c r="W101" s="749"/>
    </row>
    <row r="102" spans="1:23" ht="29.25" thickBot="1" x14ac:dyDescent="0.5">
      <c r="A102" s="924">
        <v>33</v>
      </c>
      <c r="B102" s="925"/>
      <c r="C102" s="926">
        <v>16</v>
      </c>
      <c r="D102" s="927" t="s">
        <v>17</v>
      </c>
      <c r="E102" s="748" t="s">
        <v>18</v>
      </c>
      <c r="F102" s="749">
        <v>84</v>
      </c>
      <c r="G102" s="749">
        <v>75</v>
      </c>
      <c r="H102" s="749">
        <v>77</v>
      </c>
      <c r="I102" s="753">
        <v>81</v>
      </c>
      <c r="J102" s="749">
        <v>74</v>
      </c>
      <c r="K102" s="749">
        <v>71</v>
      </c>
      <c r="L102" s="749">
        <v>85</v>
      </c>
      <c r="M102" s="749">
        <v>80</v>
      </c>
      <c r="N102" s="749">
        <v>71</v>
      </c>
      <c r="O102" s="749">
        <v>89</v>
      </c>
      <c r="P102" s="749">
        <v>76</v>
      </c>
      <c r="Q102" s="749">
        <v>90</v>
      </c>
      <c r="R102" s="749">
        <v>98</v>
      </c>
      <c r="S102" s="749">
        <v>1051</v>
      </c>
      <c r="T102" s="750">
        <v>80.84615384615384</v>
      </c>
      <c r="U102" s="749">
        <v>14</v>
      </c>
      <c r="V102" s="752"/>
      <c r="W102" s="752"/>
    </row>
    <row r="103" spans="1:23" ht="29.25" thickBot="1" x14ac:dyDescent="0.5">
      <c r="A103" s="924"/>
      <c r="B103" s="925"/>
      <c r="C103" s="926"/>
      <c r="D103" s="927"/>
      <c r="E103" s="748" t="s">
        <v>19</v>
      </c>
      <c r="F103" s="749">
        <v>86</v>
      </c>
      <c r="G103" s="749">
        <v>73</v>
      </c>
      <c r="H103" s="749">
        <v>70</v>
      </c>
      <c r="I103" s="753">
        <v>82</v>
      </c>
      <c r="J103" s="749">
        <v>75</v>
      </c>
      <c r="K103" s="749">
        <v>75</v>
      </c>
      <c r="L103" s="749">
        <v>76</v>
      </c>
      <c r="M103" s="749">
        <v>100</v>
      </c>
      <c r="N103" s="749">
        <v>74</v>
      </c>
      <c r="O103" s="749">
        <v>96</v>
      </c>
      <c r="P103" s="749">
        <v>94</v>
      </c>
      <c r="Q103" s="749">
        <v>98</v>
      </c>
      <c r="R103" s="749">
        <v>88</v>
      </c>
      <c r="S103" s="749">
        <f>SUM(F103:R103)</f>
        <v>1087</v>
      </c>
      <c r="T103" s="750">
        <f>AVERAGE(F103:R103)</f>
        <v>83.615384615384613</v>
      </c>
      <c r="U103" s="749">
        <v>17</v>
      </c>
      <c r="V103" s="752"/>
      <c r="W103" s="752"/>
    </row>
    <row r="104" spans="1:23" ht="29.25" thickBot="1" x14ac:dyDescent="0.5">
      <c r="A104" s="924"/>
      <c r="B104" s="925"/>
      <c r="C104" s="926"/>
      <c r="D104" s="927"/>
      <c r="E104" s="748" t="s">
        <v>13</v>
      </c>
      <c r="F104" s="749">
        <f>AVERAGE(F102:F103)</f>
        <v>85</v>
      </c>
      <c r="G104" s="749">
        <f t="shared" ref="G104:T104" si="32">AVERAGE(G102:G103)</f>
        <v>74</v>
      </c>
      <c r="H104" s="749">
        <f t="shared" si="32"/>
        <v>73.5</v>
      </c>
      <c r="I104" s="749">
        <f t="shared" si="32"/>
        <v>81.5</v>
      </c>
      <c r="J104" s="749">
        <f t="shared" si="32"/>
        <v>74.5</v>
      </c>
      <c r="K104" s="749">
        <f t="shared" si="32"/>
        <v>73</v>
      </c>
      <c r="L104" s="749">
        <f t="shared" si="32"/>
        <v>80.5</v>
      </c>
      <c r="M104" s="749">
        <f t="shared" si="32"/>
        <v>90</v>
      </c>
      <c r="N104" s="749">
        <f t="shared" si="32"/>
        <v>72.5</v>
      </c>
      <c r="O104" s="749">
        <f t="shared" si="32"/>
        <v>92.5</v>
      </c>
      <c r="P104" s="749">
        <f t="shared" si="32"/>
        <v>85</v>
      </c>
      <c r="Q104" s="749">
        <f t="shared" si="32"/>
        <v>94</v>
      </c>
      <c r="R104" s="749">
        <f t="shared" si="32"/>
        <v>93</v>
      </c>
      <c r="S104" s="749">
        <f t="shared" si="32"/>
        <v>1069</v>
      </c>
      <c r="T104" s="749">
        <f t="shared" si="32"/>
        <v>82.230769230769226</v>
      </c>
      <c r="U104" s="749">
        <v>17</v>
      </c>
      <c r="V104" s="749"/>
      <c r="W104" s="749"/>
    </row>
    <row r="105" spans="1:23" ht="29.25" thickBot="1" x14ac:dyDescent="0.5">
      <c r="A105" s="924">
        <v>34</v>
      </c>
      <c r="B105" s="925"/>
      <c r="C105" s="926">
        <v>15</v>
      </c>
      <c r="D105" s="927" t="s">
        <v>20</v>
      </c>
      <c r="E105" s="748" t="s">
        <v>18</v>
      </c>
      <c r="F105" s="749">
        <v>88</v>
      </c>
      <c r="G105" s="749">
        <v>87</v>
      </c>
      <c r="H105" s="749">
        <v>88</v>
      </c>
      <c r="I105" s="749">
        <v>82</v>
      </c>
      <c r="J105" s="749">
        <v>75</v>
      </c>
      <c r="K105" s="749">
        <v>80</v>
      </c>
      <c r="L105" s="749">
        <v>84</v>
      </c>
      <c r="M105" s="749">
        <v>76</v>
      </c>
      <c r="N105" s="749">
        <v>84</v>
      </c>
      <c r="O105" s="749">
        <v>92</v>
      </c>
      <c r="P105" s="749">
        <v>77</v>
      </c>
      <c r="Q105" s="749">
        <v>87</v>
      </c>
      <c r="R105" s="749">
        <v>96</v>
      </c>
      <c r="S105" s="749">
        <v>1096</v>
      </c>
      <c r="T105" s="750">
        <v>84.307692307692307</v>
      </c>
      <c r="U105" s="749">
        <v>7</v>
      </c>
      <c r="V105" s="752"/>
      <c r="W105" s="752"/>
    </row>
    <row r="106" spans="1:23" ht="29.25" thickBot="1" x14ac:dyDescent="0.5">
      <c r="A106" s="924"/>
      <c r="B106" s="925"/>
      <c r="C106" s="926"/>
      <c r="D106" s="927"/>
      <c r="E106" s="748" t="s">
        <v>19</v>
      </c>
      <c r="F106" s="749">
        <v>85</v>
      </c>
      <c r="G106" s="749">
        <v>76</v>
      </c>
      <c r="H106" s="749">
        <v>83</v>
      </c>
      <c r="I106" s="749">
        <v>95</v>
      </c>
      <c r="J106" s="749">
        <v>85</v>
      </c>
      <c r="K106" s="749">
        <v>89</v>
      </c>
      <c r="L106" s="749">
        <v>94</v>
      </c>
      <c r="M106" s="749">
        <v>98</v>
      </c>
      <c r="N106" s="749">
        <v>79</v>
      </c>
      <c r="O106" s="749">
        <v>90</v>
      </c>
      <c r="P106" s="749">
        <v>96</v>
      </c>
      <c r="Q106" s="749">
        <v>93</v>
      </c>
      <c r="R106" s="749">
        <v>96</v>
      </c>
      <c r="S106" s="749">
        <f>SUM(F106:R106)</f>
        <v>1159</v>
      </c>
      <c r="T106" s="750">
        <f>AVERAGE(F106:R106)</f>
        <v>89.15384615384616</v>
      </c>
      <c r="U106" s="749">
        <v>4</v>
      </c>
      <c r="V106" s="752"/>
      <c r="W106" s="752"/>
    </row>
    <row r="107" spans="1:23" ht="29.25" thickBot="1" x14ac:dyDescent="0.5">
      <c r="A107" s="924"/>
      <c r="B107" s="925"/>
      <c r="C107" s="926"/>
      <c r="D107" s="927"/>
      <c r="E107" s="748" t="s">
        <v>13</v>
      </c>
      <c r="F107" s="749">
        <f>AVERAGE(F105:F106)</f>
        <v>86.5</v>
      </c>
      <c r="G107" s="749">
        <f t="shared" ref="G107:T107" si="33">AVERAGE(G105:G106)</f>
        <v>81.5</v>
      </c>
      <c r="H107" s="749">
        <f t="shared" si="33"/>
        <v>85.5</v>
      </c>
      <c r="I107" s="749">
        <f t="shared" si="33"/>
        <v>88.5</v>
      </c>
      <c r="J107" s="749">
        <f t="shared" si="33"/>
        <v>80</v>
      </c>
      <c r="K107" s="749">
        <f t="shared" si="33"/>
        <v>84.5</v>
      </c>
      <c r="L107" s="749">
        <f t="shared" si="33"/>
        <v>89</v>
      </c>
      <c r="M107" s="749">
        <f t="shared" si="33"/>
        <v>87</v>
      </c>
      <c r="N107" s="749">
        <f t="shared" si="33"/>
        <v>81.5</v>
      </c>
      <c r="O107" s="749">
        <f t="shared" si="33"/>
        <v>91</v>
      </c>
      <c r="P107" s="749">
        <f t="shared" si="33"/>
        <v>86.5</v>
      </c>
      <c r="Q107" s="749">
        <f t="shared" si="33"/>
        <v>90</v>
      </c>
      <c r="R107" s="749">
        <f t="shared" si="33"/>
        <v>96</v>
      </c>
      <c r="S107" s="749">
        <f t="shared" si="33"/>
        <v>1127.5</v>
      </c>
      <c r="T107" s="749">
        <f t="shared" si="33"/>
        <v>86.730769230769226</v>
      </c>
      <c r="U107" s="749">
        <v>5</v>
      </c>
      <c r="V107" s="749"/>
      <c r="W107" s="749"/>
    </row>
    <row r="108" spans="1:23" ht="29.25" thickBot="1" x14ac:dyDescent="0.5">
      <c r="A108" s="924">
        <v>35</v>
      </c>
      <c r="B108" s="925"/>
      <c r="C108" s="926">
        <v>15</v>
      </c>
      <c r="D108" s="927" t="s">
        <v>17</v>
      </c>
      <c r="E108" s="748" t="s">
        <v>18</v>
      </c>
      <c r="F108" s="749">
        <v>82</v>
      </c>
      <c r="G108" s="749">
        <v>80</v>
      </c>
      <c r="H108" s="749">
        <v>86</v>
      </c>
      <c r="I108" s="749">
        <v>78</v>
      </c>
      <c r="J108" s="749">
        <v>78</v>
      </c>
      <c r="K108" s="749">
        <v>67</v>
      </c>
      <c r="L108" s="749">
        <v>80</v>
      </c>
      <c r="M108" s="749">
        <v>81</v>
      </c>
      <c r="N108" s="749">
        <v>83</v>
      </c>
      <c r="O108" s="749">
        <v>83</v>
      </c>
      <c r="P108" s="749">
        <v>76</v>
      </c>
      <c r="Q108" s="749">
        <v>88</v>
      </c>
      <c r="R108" s="749">
        <v>90</v>
      </c>
      <c r="S108" s="749">
        <v>1052</v>
      </c>
      <c r="T108" s="750">
        <v>80.92307692307692</v>
      </c>
      <c r="U108" s="749">
        <v>13</v>
      </c>
      <c r="V108" s="752"/>
      <c r="W108" s="752"/>
    </row>
    <row r="109" spans="1:23" ht="29.25" thickBot="1" x14ac:dyDescent="0.5">
      <c r="A109" s="924"/>
      <c r="B109" s="925"/>
      <c r="C109" s="926"/>
      <c r="D109" s="927"/>
      <c r="E109" s="748" t="s">
        <v>19</v>
      </c>
      <c r="F109" s="749">
        <v>90</v>
      </c>
      <c r="G109" s="749">
        <v>75</v>
      </c>
      <c r="H109" s="749">
        <v>75</v>
      </c>
      <c r="I109" s="749">
        <v>87</v>
      </c>
      <c r="J109" s="749">
        <v>77</v>
      </c>
      <c r="K109" s="749">
        <v>87</v>
      </c>
      <c r="L109" s="749">
        <v>77</v>
      </c>
      <c r="M109" s="749">
        <v>91</v>
      </c>
      <c r="N109" s="749">
        <v>85</v>
      </c>
      <c r="O109" s="749">
        <v>89</v>
      </c>
      <c r="P109" s="749">
        <v>91</v>
      </c>
      <c r="Q109" s="749">
        <v>97</v>
      </c>
      <c r="R109" s="749">
        <v>96</v>
      </c>
      <c r="S109" s="749">
        <f>SUM(F109:R109)</f>
        <v>1117</v>
      </c>
      <c r="T109" s="750">
        <f>AVERAGE(F109:R109)</f>
        <v>85.92307692307692</v>
      </c>
      <c r="U109" s="749">
        <v>13</v>
      </c>
      <c r="V109" s="752"/>
      <c r="W109" s="752"/>
    </row>
    <row r="110" spans="1:23" ht="29.25" thickBot="1" x14ac:dyDescent="0.5">
      <c r="A110" s="924"/>
      <c r="B110" s="925"/>
      <c r="C110" s="926"/>
      <c r="D110" s="927"/>
      <c r="E110" s="748" t="s">
        <v>13</v>
      </c>
      <c r="F110" s="749">
        <f>AVERAGE(F108:F109)</f>
        <v>86</v>
      </c>
      <c r="G110" s="749">
        <f t="shared" ref="G110:T110" si="34">AVERAGE(G108:G109)</f>
        <v>77.5</v>
      </c>
      <c r="H110" s="749">
        <f t="shared" si="34"/>
        <v>80.5</v>
      </c>
      <c r="I110" s="749">
        <f t="shared" si="34"/>
        <v>82.5</v>
      </c>
      <c r="J110" s="749">
        <f t="shared" si="34"/>
        <v>77.5</v>
      </c>
      <c r="K110" s="749">
        <f t="shared" si="34"/>
        <v>77</v>
      </c>
      <c r="L110" s="749">
        <f t="shared" si="34"/>
        <v>78.5</v>
      </c>
      <c r="M110" s="749">
        <f t="shared" si="34"/>
        <v>86</v>
      </c>
      <c r="N110" s="749">
        <f t="shared" si="34"/>
        <v>84</v>
      </c>
      <c r="O110" s="749">
        <f t="shared" si="34"/>
        <v>86</v>
      </c>
      <c r="P110" s="749">
        <f t="shared" si="34"/>
        <v>83.5</v>
      </c>
      <c r="Q110" s="749">
        <f t="shared" si="34"/>
        <v>92.5</v>
      </c>
      <c r="R110" s="749">
        <f t="shared" si="34"/>
        <v>93</v>
      </c>
      <c r="S110" s="749">
        <f t="shared" si="34"/>
        <v>1084.5</v>
      </c>
      <c r="T110" s="754">
        <f t="shared" si="34"/>
        <v>83.42307692307692</v>
      </c>
      <c r="U110" s="749">
        <v>10</v>
      </c>
      <c r="V110" s="749"/>
      <c r="W110" s="749"/>
    </row>
    <row r="111" spans="1:23" ht="29.25" thickBot="1" x14ac:dyDescent="0.5">
      <c r="A111" s="924">
        <v>36</v>
      </c>
      <c r="B111" s="925"/>
      <c r="C111" s="926">
        <v>16</v>
      </c>
      <c r="D111" s="927" t="s">
        <v>20</v>
      </c>
      <c r="E111" s="748" t="s">
        <v>18</v>
      </c>
      <c r="F111" s="749">
        <v>83</v>
      </c>
      <c r="G111" s="749">
        <v>81</v>
      </c>
      <c r="H111" s="749">
        <v>85</v>
      </c>
      <c r="I111" s="753">
        <v>52</v>
      </c>
      <c r="J111" s="749">
        <v>62</v>
      </c>
      <c r="K111" s="749">
        <v>53</v>
      </c>
      <c r="L111" s="749">
        <v>71</v>
      </c>
      <c r="M111" s="749">
        <v>71</v>
      </c>
      <c r="N111" s="749">
        <v>67</v>
      </c>
      <c r="O111" s="749">
        <v>82</v>
      </c>
      <c r="P111" s="749">
        <v>84</v>
      </c>
      <c r="Q111" s="749">
        <v>77</v>
      </c>
      <c r="R111" s="749">
        <v>94</v>
      </c>
      <c r="S111" s="749">
        <v>962</v>
      </c>
      <c r="T111" s="750">
        <v>74</v>
      </c>
      <c r="U111" s="749">
        <v>32</v>
      </c>
      <c r="V111" s="752"/>
      <c r="W111" s="752"/>
    </row>
    <row r="112" spans="1:23" ht="29.25" thickBot="1" x14ac:dyDescent="0.5">
      <c r="A112" s="924"/>
      <c r="B112" s="925"/>
      <c r="C112" s="926"/>
      <c r="D112" s="927"/>
      <c r="E112" s="748" t="s">
        <v>19</v>
      </c>
      <c r="F112" s="749">
        <v>74</v>
      </c>
      <c r="G112" s="749">
        <v>76</v>
      </c>
      <c r="H112" s="749">
        <v>90</v>
      </c>
      <c r="I112" s="753">
        <v>55</v>
      </c>
      <c r="J112" s="749">
        <v>64</v>
      </c>
      <c r="K112" s="749">
        <v>68</v>
      </c>
      <c r="L112" s="749">
        <v>77</v>
      </c>
      <c r="M112" s="749">
        <v>85</v>
      </c>
      <c r="N112" s="749">
        <v>67</v>
      </c>
      <c r="O112" s="749">
        <v>86</v>
      </c>
      <c r="P112" s="749">
        <v>88</v>
      </c>
      <c r="Q112" s="749">
        <v>86</v>
      </c>
      <c r="R112" s="749">
        <v>89</v>
      </c>
      <c r="S112" s="749">
        <f>SUM(F112:R112)</f>
        <v>1005</v>
      </c>
      <c r="T112" s="750">
        <f>AVERAGE(F112:R112)</f>
        <v>77.307692307692307</v>
      </c>
      <c r="U112" s="749">
        <v>29</v>
      </c>
      <c r="V112" s="752"/>
      <c r="W112" s="752"/>
    </row>
    <row r="113" spans="1:23" ht="29.25" thickBot="1" x14ac:dyDescent="0.5">
      <c r="A113" s="924"/>
      <c r="B113" s="925"/>
      <c r="C113" s="926"/>
      <c r="D113" s="927"/>
      <c r="E113" s="748" t="s">
        <v>13</v>
      </c>
      <c r="F113" s="749">
        <f>AVERAGE(F111:F112)</f>
        <v>78.5</v>
      </c>
      <c r="G113" s="749">
        <f t="shared" ref="G113:T113" si="35">AVERAGE(G111:G112)</f>
        <v>78.5</v>
      </c>
      <c r="H113" s="749">
        <f t="shared" si="35"/>
        <v>87.5</v>
      </c>
      <c r="I113" s="749">
        <f t="shared" si="35"/>
        <v>53.5</v>
      </c>
      <c r="J113" s="749">
        <f t="shared" si="35"/>
        <v>63</v>
      </c>
      <c r="K113" s="749">
        <f t="shared" si="35"/>
        <v>60.5</v>
      </c>
      <c r="L113" s="749">
        <f t="shared" si="35"/>
        <v>74</v>
      </c>
      <c r="M113" s="749">
        <f t="shared" si="35"/>
        <v>78</v>
      </c>
      <c r="N113" s="749">
        <f t="shared" si="35"/>
        <v>67</v>
      </c>
      <c r="O113" s="749">
        <f t="shared" si="35"/>
        <v>84</v>
      </c>
      <c r="P113" s="749">
        <f t="shared" si="35"/>
        <v>86</v>
      </c>
      <c r="Q113" s="749">
        <f t="shared" si="35"/>
        <v>81.5</v>
      </c>
      <c r="R113" s="749">
        <f t="shared" si="35"/>
        <v>91.5</v>
      </c>
      <c r="S113" s="749">
        <f t="shared" si="35"/>
        <v>983.5</v>
      </c>
      <c r="T113" s="749">
        <f t="shared" si="35"/>
        <v>75.65384615384616</v>
      </c>
      <c r="U113" s="749">
        <v>30</v>
      </c>
      <c r="V113" s="749"/>
      <c r="W113" s="749"/>
    </row>
    <row r="114" spans="1:23" ht="29.25" thickBot="1" x14ac:dyDescent="0.5">
      <c r="A114" s="924">
        <v>37</v>
      </c>
      <c r="B114" s="925"/>
      <c r="C114" s="926">
        <v>18</v>
      </c>
      <c r="D114" s="927" t="s">
        <v>17</v>
      </c>
      <c r="E114" s="748" t="s">
        <v>18</v>
      </c>
      <c r="F114" s="749">
        <v>84</v>
      </c>
      <c r="G114" s="749">
        <v>81</v>
      </c>
      <c r="H114" s="749">
        <v>90</v>
      </c>
      <c r="I114" s="749">
        <v>67</v>
      </c>
      <c r="J114" s="749">
        <v>70</v>
      </c>
      <c r="K114" s="749">
        <v>76</v>
      </c>
      <c r="L114" s="749">
        <v>81</v>
      </c>
      <c r="M114" s="749">
        <v>83</v>
      </c>
      <c r="N114" s="749">
        <v>86</v>
      </c>
      <c r="O114" s="749">
        <v>93</v>
      </c>
      <c r="P114" s="749">
        <v>77</v>
      </c>
      <c r="Q114" s="749">
        <v>89</v>
      </c>
      <c r="R114" s="749">
        <v>97</v>
      </c>
      <c r="S114" s="749">
        <v>1074</v>
      </c>
      <c r="T114" s="750">
        <v>82.615384615384613</v>
      </c>
      <c r="U114" s="749">
        <v>10</v>
      </c>
      <c r="V114" s="752"/>
      <c r="W114" s="752"/>
    </row>
    <row r="115" spans="1:23" ht="29.25" thickBot="1" x14ac:dyDescent="0.5">
      <c r="A115" s="924"/>
      <c r="B115" s="925"/>
      <c r="C115" s="926"/>
      <c r="D115" s="927"/>
      <c r="E115" s="748" t="s">
        <v>19</v>
      </c>
      <c r="F115" s="749">
        <v>90</v>
      </c>
      <c r="G115" s="749">
        <v>69</v>
      </c>
      <c r="H115" s="749">
        <v>67</v>
      </c>
      <c r="I115" s="749">
        <v>70</v>
      </c>
      <c r="J115" s="749">
        <v>71</v>
      </c>
      <c r="K115" s="749">
        <v>79</v>
      </c>
      <c r="L115" s="749">
        <v>79</v>
      </c>
      <c r="M115" s="749">
        <v>94</v>
      </c>
      <c r="N115" s="749">
        <v>90</v>
      </c>
      <c r="O115" s="749">
        <v>92</v>
      </c>
      <c r="P115" s="749">
        <v>97</v>
      </c>
      <c r="Q115" s="749">
        <v>91</v>
      </c>
      <c r="R115" s="749">
        <v>99</v>
      </c>
      <c r="S115" s="749">
        <f>SUM(F115:R115)</f>
        <v>1088</v>
      </c>
      <c r="T115" s="750">
        <f>AVERAGE(F115:R115)</f>
        <v>83.692307692307693</v>
      </c>
      <c r="U115" s="749">
        <v>19</v>
      </c>
      <c r="V115" s="752"/>
      <c r="W115" s="752"/>
    </row>
    <row r="116" spans="1:23" ht="29.25" thickBot="1" x14ac:dyDescent="0.5">
      <c r="A116" s="924"/>
      <c r="B116" s="925"/>
      <c r="C116" s="926"/>
      <c r="D116" s="927"/>
      <c r="E116" s="748" t="s">
        <v>13</v>
      </c>
      <c r="F116" s="749">
        <f>AVERAGE(F114:F115)</f>
        <v>87</v>
      </c>
      <c r="G116" s="749">
        <f t="shared" ref="G116:T116" si="36">AVERAGE(G114:G115)</f>
        <v>75</v>
      </c>
      <c r="H116" s="749">
        <f t="shared" si="36"/>
        <v>78.5</v>
      </c>
      <c r="I116" s="749">
        <f t="shared" si="36"/>
        <v>68.5</v>
      </c>
      <c r="J116" s="749">
        <f t="shared" si="36"/>
        <v>70.5</v>
      </c>
      <c r="K116" s="749">
        <f t="shared" si="36"/>
        <v>77.5</v>
      </c>
      <c r="L116" s="749">
        <f t="shared" si="36"/>
        <v>80</v>
      </c>
      <c r="M116" s="749">
        <f t="shared" si="36"/>
        <v>88.5</v>
      </c>
      <c r="N116" s="749">
        <f t="shared" si="36"/>
        <v>88</v>
      </c>
      <c r="O116" s="749">
        <f t="shared" si="36"/>
        <v>92.5</v>
      </c>
      <c r="P116" s="749">
        <f t="shared" si="36"/>
        <v>87</v>
      </c>
      <c r="Q116" s="749">
        <f t="shared" si="36"/>
        <v>90</v>
      </c>
      <c r="R116" s="749">
        <f t="shared" si="36"/>
        <v>98</v>
      </c>
      <c r="S116" s="749">
        <f t="shared" si="36"/>
        <v>1081</v>
      </c>
      <c r="T116" s="749">
        <f t="shared" si="36"/>
        <v>83.15384615384616</v>
      </c>
      <c r="U116" s="749">
        <v>12</v>
      </c>
      <c r="V116" s="749"/>
      <c r="W116" s="749"/>
    </row>
    <row r="117" spans="1:23" ht="29.25" thickBot="1" x14ac:dyDescent="0.5">
      <c r="A117" s="924">
        <v>38</v>
      </c>
      <c r="B117" s="925"/>
      <c r="C117" s="926">
        <v>15</v>
      </c>
      <c r="D117" s="927" t="s">
        <v>20</v>
      </c>
      <c r="E117" s="748" t="s">
        <v>18</v>
      </c>
      <c r="F117" s="749">
        <v>83</v>
      </c>
      <c r="G117" s="749">
        <v>93</v>
      </c>
      <c r="H117" s="749">
        <v>90</v>
      </c>
      <c r="I117" s="749">
        <v>88</v>
      </c>
      <c r="J117" s="749">
        <v>70</v>
      </c>
      <c r="K117" s="749">
        <v>80</v>
      </c>
      <c r="L117" s="749">
        <v>92</v>
      </c>
      <c r="M117" s="749">
        <v>78</v>
      </c>
      <c r="N117" s="749">
        <v>85</v>
      </c>
      <c r="O117" s="749">
        <v>89</v>
      </c>
      <c r="P117" s="749">
        <v>82</v>
      </c>
      <c r="Q117" s="749">
        <v>86</v>
      </c>
      <c r="R117" s="749">
        <v>91</v>
      </c>
      <c r="S117" s="749">
        <v>1107</v>
      </c>
      <c r="T117" s="750">
        <v>85.15384615384616</v>
      </c>
      <c r="U117" s="749">
        <v>4</v>
      </c>
      <c r="V117" s="752"/>
      <c r="W117" s="752"/>
    </row>
    <row r="118" spans="1:23" ht="29.25" thickBot="1" x14ac:dyDescent="0.5">
      <c r="A118" s="924"/>
      <c r="B118" s="925"/>
      <c r="C118" s="926"/>
      <c r="D118" s="927"/>
      <c r="E118" s="748" t="s">
        <v>19</v>
      </c>
      <c r="F118" s="749">
        <v>83</v>
      </c>
      <c r="G118" s="749">
        <v>89</v>
      </c>
      <c r="H118" s="749">
        <v>83</v>
      </c>
      <c r="I118" s="753">
        <v>76</v>
      </c>
      <c r="J118" s="749">
        <v>75</v>
      </c>
      <c r="K118" s="749">
        <v>77</v>
      </c>
      <c r="L118" s="749">
        <v>91</v>
      </c>
      <c r="M118" s="749">
        <v>91</v>
      </c>
      <c r="N118" s="749">
        <v>78</v>
      </c>
      <c r="O118" s="749">
        <v>98</v>
      </c>
      <c r="P118" s="749">
        <v>88</v>
      </c>
      <c r="Q118" s="749">
        <v>90</v>
      </c>
      <c r="R118" s="749">
        <v>97</v>
      </c>
      <c r="S118" s="749">
        <f>SUM(F118:R118)</f>
        <v>1116</v>
      </c>
      <c r="T118" s="750">
        <f>AVERAGE(F118:R118)</f>
        <v>85.84615384615384</v>
      </c>
      <c r="U118" s="749">
        <v>10</v>
      </c>
      <c r="V118" s="752"/>
      <c r="W118" s="752"/>
    </row>
    <row r="119" spans="1:23" ht="29.25" thickBot="1" x14ac:dyDescent="0.5">
      <c r="A119" s="924"/>
      <c r="B119" s="925"/>
      <c r="C119" s="926"/>
      <c r="D119" s="927"/>
      <c r="E119" s="748" t="s">
        <v>13</v>
      </c>
      <c r="F119" s="749">
        <f>AVERAGE(F117:F118)</f>
        <v>83</v>
      </c>
      <c r="G119" s="749">
        <f t="shared" ref="G119:T119" si="37">AVERAGE(G117:G118)</f>
        <v>91</v>
      </c>
      <c r="H119" s="749">
        <f t="shared" si="37"/>
        <v>86.5</v>
      </c>
      <c r="I119" s="749">
        <f t="shared" si="37"/>
        <v>82</v>
      </c>
      <c r="J119" s="749">
        <f t="shared" si="37"/>
        <v>72.5</v>
      </c>
      <c r="K119" s="749">
        <f t="shared" si="37"/>
        <v>78.5</v>
      </c>
      <c r="L119" s="749">
        <f t="shared" si="37"/>
        <v>91.5</v>
      </c>
      <c r="M119" s="749">
        <f t="shared" si="37"/>
        <v>84.5</v>
      </c>
      <c r="N119" s="749">
        <f t="shared" si="37"/>
        <v>81.5</v>
      </c>
      <c r="O119" s="749">
        <f t="shared" si="37"/>
        <v>93.5</v>
      </c>
      <c r="P119" s="749">
        <f t="shared" si="37"/>
        <v>85</v>
      </c>
      <c r="Q119" s="749">
        <f t="shared" si="37"/>
        <v>88</v>
      </c>
      <c r="R119" s="749">
        <f t="shared" si="37"/>
        <v>94</v>
      </c>
      <c r="S119" s="749">
        <f t="shared" si="37"/>
        <v>1111.5</v>
      </c>
      <c r="T119" s="749">
        <f t="shared" si="37"/>
        <v>85.5</v>
      </c>
      <c r="U119" s="749">
        <v>7</v>
      </c>
      <c r="V119" s="749"/>
      <c r="W119" s="749"/>
    </row>
    <row r="120" spans="1:23" ht="29.25" thickBot="1" x14ac:dyDescent="0.5">
      <c r="A120" s="924">
        <v>39</v>
      </c>
      <c r="B120" s="925"/>
      <c r="C120" s="926">
        <v>15</v>
      </c>
      <c r="D120" s="927" t="s">
        <v>17</v>
      </c>
      <c r="E120" s="748" t="s">
        <v>18</v>
      </c>
      <c r="F120" s="749">
        <v>74</v>
      </c>
      <c r="G120" s="749">
        <v>87</v>
      </c>
      <c r="H120" s="749">
        <v>73</v>
      </c>
      <c r="I120" s="753">
        <v>83</v>
      </c>
      <c r="J120" s="749">
        <v>80</v>
      </c>
      <c r="K120" s="749">
        <v>72</v>
      </c>
      <c r="L120" s="749">
        <v>55</v>
      </c>
      <c r="M120" s="749">
        <v>59</v>
      </c>
      <c r="N120" s="749">
        <v>58</v>
      </c>
      <c r="O120" s="749">
        <v>82</v>
      </c>
      <c r="P120" s="749">
        <v>83</v>
      </c>
      <c r="Q120" s="749">
        <v>84</v>
      </c>
      <c r="R120" s="749">
        <v>80</v>
      </c>
      <c r="S120" s="749">
        <v>970</v>
      </c>
      <c r="T120" s="750">
        <v>74.615384615384613</v>
      </c>
      <c r="U120" s="749">
        <v>29</v>
      </c>
      <c r="V120" s="752"/>
      <c r="W120" s="752"/>
    </row>
    <row r="121" spans="1:23" ht="29.25" thickBot="1" x14ac:dyDescent="0.5">
      <c r="A121" s="924"/>
      <c r="B121" s="925"/>
      <c r="C121" s="926"/>
      <c r="D121" s="927"/>
      <c r="E121" s="748" t="s">
        <v>19</v>
      </c>
      <c r="F121" s="749">
        <v>82</v>
      </c>
      <c r="G121" s="749">
        <v>77</v>
      </c>
      <c r="H121" s="749">
        <v>47</v>
      </c>
      <c r="I121" s="749">
        <v>74</v>
      </c>
      <c r="J121" s="749">
        <v>71</v>
      </c>
      <c r="K121" s="749">
        <v>61</v>
      </c>
      <c r="L121" s="749">
        <v>47</v>
      </c>
      <c r="M121" s="753">
        <v>73</v>
      </c>
      <c r="N121" s="749">
        <v>60</v>
      </c>
      <c r="O121" s="749">
        <v>77</v>
      </c>
      <c r="P121" s="749">
        <v>74</v>
      </c>
      <c r="Q121" s="749">
        <v>87</v>
      </c>
      <c r="R121" s="749">
        <v>80</v>
      </c>
      <c r="S121" s="749">
        <f>SUM(F121:R121)</f>
        <v>910</v>
      </c>
      <c r="T121" s="750">
        <f>AVERAGE(F121:R121)</f>
        <v>70</v>
      </c>
      <c r="U121" s="749">
        <v>40</v>
      </c>
      <c r="V121" s="752"/>
      <c r="W121" s="752"/>
    </row>
    <row r="122" spans="1:23" ht="29.25" thickBot="1" x14ac:dyDescent="0.5">
      <c r="A122" s="924"/>
      <c r="B122" s="925"/>
      <c r="C122" s="926"/>
      <c r="D122" s="927"/>
      <c r="E122" s="748" t="s">
        <v>13</v>
      </c>
      <c r="F122" s="749">
        <f>AVERAGE(F120:F121)</f>
        <v>78</v>
      </c>
      <c r="G122" s="749">
        <f t="shared" ref="G122:T122" si="38">AVERAGE(G120:G121)</f>
        <v>82</v>
      </c>
      <c r="H122" s="749">
        <f t="shared" si="38"/>
        <v>60</v>
      </c>
      <c r="I122" s="749">
        <f t="shared" si="38"/>
        <v>78.5</v>
      </c>
      <c r="J122" s="749">
        <f t="shared" si="38"/>
        <v>75.5</v>
      </c>
      <c r="K122" s="749">
        <f t="shared" si="38"/>
        <v>66.5</v>
      </c>
      <c r="L122" s="749">
        <f t="shared" si="38"/>
        <v>51</v>
      </c>
      <c r="M122" s="749">
        <f t="shared" si="38"/>
        <v>66</v>
      </c>
      <c r="N122" s="749">
        <f t="shared" si="38"/>
        <v>59</v>
      </c>
      <c r="O122" s="749">
        <f t="shared" si="38"/>
        <v>79.5</v>
      </c>
      <c r="P122" s="749">
        <f t="shared" si="38"/>
        <v>78.5</v>
      </c>
      <c r="Q122" s="749">
        <f t="shared" si="38"/>
        <v>85.5</v>
      </c>
      <c r="R122" s="749">
        <f t="shared" si="38"/>
        <v>80</v>
      </c>
      <c r="S122" s="749">
        <f t="shared" si="38"/>
        <v>940</v>
      </c>
      <c r="T122" s="749">
        <f t="shared" si="38"/>
        <v>72.307692307692307</v>
      </c>
      <c r="U122" s="749">
        <v>36</v>
      </c>
      <c r="V122" s="749"/>
      <c r="W122" s="749"/>
    </row>
    <row r="123" spans="1:23" ht="29.25" thickBot="1" x14ac:dyDescent="0.5">
      <c r="A123" s="924">
        <v>40</v>
      </c>
      <c r="B123" s="925"/>
      <c r="C123" s="926">
        <v>16</v>
      </c>
      <c r="D123" s="927" t="s">
        <v>20</v>
      </c>
      <c r="E123" s="748" t="s">
        <v>18</v>
      </c>
      <c r="F123" s="749">
        <v>76</v>
      </c>
      <c r="G123" s="749">
        <v>88</v>
      </c>
      <c r="H123" s="749">
        <v>77</v>
      </c>
      <c r="I123" s="749">
        <v>50</v>
      </c>
      <c r="J123" s="749">
        <v>54</v>
      </c>
      <c r="K123" s="749">
        <v>59</v>
      </c>
      <c r="L123" s="749">
        <v>74</v>
      </c>
      <c r="M123" s="753">
        <v>78</v>
      </c>
      <c r="N123" s="749">
        <v>85</v>
      </c>
      <c r="O123" s="749">
        <v>84</v>
      </c>
      <c r="P123" s="749">
        <v>70</v>
      </c>
      <c r="Q123" s="749">
        <v>83</v>
      </c>
      <c r="R123" s="749">
        <v>92</v>
      </c>
      <c r="S123" s="749">
        <v>970</v>
      </c>
      <c r="T123" s="750">
        <v>74.615384615384613</v>
      </c>
      <c r="U123" s="749">
        <v>29</v>
      </c>
      <c r="V123" s="752"/>
      <c r="W123" s="752"/>
    </row>
    <row r="124" spans="1:23" ht="29.25" thickBot="1" x14ac:dyDescent="0.5">
      <c r="A124" s="924"/>
      <c r="B124" s="925"/>
      <c r="C124" s="926"/>
      <c r="D124" s="927"/>
      <c r="E124" s="748" t="s">
        <v>19</v>
      </c>
      <c r="F124" s="749">
        <v>89</v>
      </c>
      <c r="G124" s="749">
        <v>79</v>
      </c>
      <c r="H124" s="749">
        <v>64</v>
      </c>
      <c r="I124" s="749">
        <v>59</v>
      </c>
      <c r="J124" s="749">
        <v>71</v>
      </c>
      <c r="K124" s="749">
        <v>66</v>
      </c>
      <c r="L124" s="749">
        <v>60</v>
      </c>
      <c r="M124" s="749">
        <v>90</v>
      </c>
      <c r="N124" s="749">
        <v>75</v>
      </c>
      <c r="O124" s="749">
        <v>86</v>
      </c>
      <c r="P124" s="749">
        <v>85</v>
      </c>
      <c r="Q124" s="749">
        <v>85</v>
      </c>
      <c r="R124" s="749">
        <v>99</v>
      </c>
      <c r="S124" s="749">
        <f>SUM(F124:R124)</f>
        <v>1008</v>
      </c>
      <c r="T124" s="750">
        <f>AVERAGE(F124:Q124)</f>
        <v>75.75</v>
      </c>
      <c r="U124" s="749">
        <v>30</v>
      </c>
      <c r="V124" s="752"/>
      <c r="W124" s="752"/>
    </row>
    <row r="125" spans="1:23" ht="29.25" thickBot="1" x14ac:dyDescent="0.5">
      <c r="A125" s="924"/>
      <c r="B125" s="925"/>
      <c r="C125" s="926"/>
      <c r="D125" s="927"/>
      <c r="E125" s="748" t="s">
        <v>13</v>
      </c>
      <c r="F125" s="749">
        <f>AVERAGE(F123:F124)</f>
        <v>82.5</v>
      </c>
      <c r="G125" s="749">
        <f t="shared" ref="G125:T125" si="39">AVERAGE(G123:G124)</f>
        <v>83.5</v>
      </c>
      <c r="H125" s="749">
        <f t="shared" si="39"/>
        <v>70.5</v>
      </c>
      <c r="I125" s="749">
        <f t="shared" si="39"/>
        <v>54.5</v>
      </c>
      <c r="J125" s="749">
        <f t="shared" si="39"/>
        <v>62.5</v>
      </c>
      <c r="K125" s="749">
        <f t="shared" si="39"/>
        <v>62.5</v>
      </c>
      <c r="L125" s="749">
        <f t="shared" si="39"/>
        <v>67</v>
      </c>
      <c r="M125" s="749">
        <f t="shared" si="39"/>
        <v>84</v>
      </c>
      <c r="N125" s="749">
        <f t="shared" si="39"/>
        <v>80</v>
      </c>
      <c r="O125" s="749">
        <f t="shared" si="39"/>
        <v>85</v>
      </c>
      <c r="P125" s="749">
        <f t="shared" si="39"/>
        <v>77.5</v>
      </c>
      <c r="Q125" s="749">
        <f t="shared" si="39"/>
        <v>84</v>
      </c>
      <c r="R125" s="749">
        <f t="shared" si="39"/>
        <v>95.5</v>
      </c>
      <c r="S125" s="749">
        <f t="shared" si="39"/>
        <v>989</v>
      </c>
      <c r="T125" s="749">
        <f t="shared" si="39"/>
        <v>75.182692307692307</v>
      </c>
      <c r="U125" s="749">
        <v>29</v>
      </c>
      <c r="V125" s="749"/>
      <c r="W125" s="749"/>
    </row>
    <row r="126" spans="1:23" ht="29.25" thickBot="1" x14ac:dyDescent="0.5">
      <c r="A126" s="924">
        <v>41</v>
      </c>
      <c r="B126" s="925"/>
      <c r="C126" s="926">
        <v>16</v>
      </c>
      <c r="D126" s="927" t="s">
        <v>17</v>
      </c>
      <c r="E126" s="748" t="s">
        <v>18</v>
      </c>
      <c r="F126" s="749">
        <v>76</v>
      </c>
      <c r="G126" s="749">
        <v>65</v>
      </c>
      <c r="H126" s="749">
        <v>76</v>
      </c>
      <c r="I126" s="749">
        <v>48</v>
      </c>
      <c r="J126" s="749">
        <v>53</v>
      </c>
      <c r="K126" s="749">
        <v>51</v>
      </c>
      <c r="L126" s="749">
        <v>61</v>
      </c>
      <c r="M126" s="749">
        <v>67</v>
      </c>
      <c r="N126" s="749">
        <v>79</v>
      </c>
      <c r="O126" s="749">
        <v>83</v>
      </c>
      <c r="P126" s="749">
        <v>69</v>
      </c>
      <c r="Q126" s="749">
        <v>89</v>
      </c>
      <c r="R126" s="749">
        <v>84</v>
      </c>
      <c r="S126" s="749">
        <v>901</v>
      </c>
      <c r="T126" s="750">
        <v>69.307692307692307</v>
      </c>
      <c r="U126" s="749">
        <v>39</v>
      </c>
      <c r="V126" s="752"/>
      <c r="W126" s="752"/>
    </row>
    <row r="127" spans="1:23" ht="29.25" thickBot="1" x14ac:dyDescent="0.5">
      <c r="A127" s="924"/>
      <c r="B127" s="925"/>
      <c r="C127" s="926"/>
      <c r="D127" s="927"/>
      <c r="E127" s="748" t="s">
        <v>19</v>
      </c>
      <c r="F127" s="749">
        <v>90</v>
      </c>
      <c r="G127" s="753">
        <v>70</v>
      </c>
      <c r="H127" s="753">
        <v>53</v>
      </c>
      <c r="I127" s="753">
        <v>58</v>
      </c>
      <c r="J127" s="753">
        <v>50</v>
      </c>
      <c r="K127" s="749">
        <v>47</v>
      </c>
      <c r="L127" s="749">
        <v>57</v>
      </c>
      <c r="M127" s="749">
        <v>82</v>
      </c>
      <c r="N127" s="749">
        <v>85</v>
      </c>
      <c r="O127" s="749">
        <v>85</v>
      </c>
      <c r="P127" s="753">
        <v>85</v>
      </c>
      <c r="Q127" s="749">
        <v>75</v>
      </c>
      <c r="R127" s="749">
        <v>89</v>
      </c>
      <c r="S127" s="749">
        <f>SUM(F127:R127)</f>
        <v>926</v>
      </c>
      <c r="T127" s="750">
        <f>AVERAGE(F127:R127)</f>
        <v>71.230769230769226</v>
      </c>
      <c r="U127" s="749">
        <v>38</v>
      </c>
      <c r="V127" s="752"/>
      <c r="W127" s="752"/>
    </row>
    <row r="128" spans="1:23" ht="29.25" thickBot="1" x14ac:dyDescent="0.5">
      <c r="A128" s="924"/>
      <c r="B128" s="925"/>
      <c r="C128" s="926"/>
      <c r="D128" s="927"/>
      <c r="E128" s="748" t="s">
        <v>13</v>
      </c>
      <c r="F128" s="749">
        <f>AVERAGE(F126:F127)</f>
        <v>83</v>
      </c>
      <c r="G128" s="749">
        <f t="shared" ref="G128:T128" si="40">AVERAGE(G126:G127)</f>
        <v>67.5</v>
      </c>
      <c r="H128" s="749">
        <f t="shared" si="40"/>
        <v>64.5</v>
      </c>
      <c r="I128" s="749">
        <f t="shared" si="40"/>
        <v>53</v>
      </c>
      <c r="J128" s="749">
        <f t="shared" si="40"/>
        <v>51.5</v>
      </c>
      <c r="K128" s="749">
        <f t="shared" si="40"/>
        <v>49</v>
      </c>
      <c r="L128" s="749">
        <f t="shared" si="40"/>
        <v>59</v>
      </c>
      <c r="M128" s="749">
        <f t="shared" si="40"/>
        <v>74.5</v>
      </c>
      <c r="N128" s="749">
        <f t="shared" si="40"/>
        <v>82</v>
      </c>
      <c r="O128" s="749">
        <f t="shared" si="40"/>
        <v>84</v>
      </c>
      <c r="P128" s="749">
        <f t="shared" si="40"/>
        <v>77</v>
      </c>
      <c r="Q128" s="749">
        <f t="shared" si="40"/>
        <v>82</v>
      </c>
      <c r="R128" s="749">
        <f t="shared" si="40"/>
        <v>86.5</v>
      </c>
      <c r="S128" s="749">
        <f t="shared" si="40"/>
        <v>913.5</v>
      </c>
      <c r="T128" s="749">
        <f t="shared" si="40"/>
        <v>70.269230769230774</v>
      </c>
      <c r="U128" s="749">
        <v>39</v>
      </c>
      <c r="V128" s="749"/>
      <c r="W128" s="749"/>
    </row>
    <row r="129" spans="1:23" ht="29.25" thickBot="1" x14ac:dyDescent="0.5">
      <c r="A129" s="924">
        <v>42</v>
      </c>
      <c r="B129" s="925"/>
      <c r="C129" s="926">
        <v>16</v>
      </c>
      <c r="D129" s="927" t="s">
        <v>17</v>
      </c>
      <c r="E129" s="748" t="s">
        <v>18</v>
      </c>
      <c r="F129" s="749">
        <v>71</v>
      </c>
      <c r="G129" s="753">
        <v>65</v>
      </c>
      <c r="H129" s="753">
        <v>81</v>
      </c>
      <c r="I129" s="753">
        <v>80</v>
      </c>
      <c r="J129" s="753">
        <v>68</v>
      </c>
      <c r="K129" s="749">
        <v>66</v>
      </c>
      <c r="L129" s="749">
        <v>83</v>
      </c>
      <c r="M129" s="749">
        <v>90</v>
      </c>
      <c r="N129" s="749">
        <v>78</v>
      </c>
      <c r="O129" s="749">
        <v>78</v>
      </c>
      <c r="P129" s="753">
        <v>68</v>
      </c>
      <c r="Q129" s="749">
        <v>87</v>
      </c>
      <c r="R129" s="749">
        <v>90</v>
      </c>
      <c r="S129" s="749">
        <v>1005</v>
      </c>
      <c r="T129" s="750">
        <v>77.307692307692307</v>
      </c>
      <c r="U129" s="749">
        <v>26</v>
      </c>
      <c r="V129" s="752"/>
      <c r="W129" s="752"/>
    </row>
    <row r="130" spans="1:23" ht="29.25" thickBot="1" x14ac:dyDescent="0.5">
      <c r="A130" s="924"/>
      <c r="B130" s="925"/>
      <c r="C130" s="926"/>
      <c r="D130" s="927"/>
      <c r="E130" s="748" t="s">
        <v>19</v>
      </c>
      <c r="F130" s="749">
        <v>81</v>
      </c>
      <c r="G130" s="753">
        <v>61</v>
      </c>
      <c r="H130" s="753">
        <v>65</v>
      </c>
      <c r="I130" s="753">
        <v>86</v>
      </c>
      <c r="J130" s="749">
        <v>74</v>
      </c>
      <c r="K130" s="753">
        <v>74</v>
      </c>
      <c r="L130" s="749">
        <v>67</v>
      </c>
      <c r="M130" s="753">
        <v>94</v>
      </c>
      <c r="N130" s="753">
        <v>86</v>
      </c>
      <c r="O130" s="749">
        <v>87</v>
      </c>
      <c r="P130" s="749">
        <v>96</v>
      </c>
      <c r="Q130" s="753">
        <v>98</v>
      </c>
      <c r="R130" s="753">
        <v>95</v>
      </c>
      <c r="S130" s="749">
        <f>SUM(F130:R130)</f>
        <v>1064</v>
      </c>
      <c r="T130" s="750">
        <f>AVERAGE(F130:R130)</f>
        <v>81.84615384615384</v>
      </c>
      <c r="U130" s="749">
        <v>23</v>
      </c>
      <c r="V130" s="752"/>
      <c r="W130" s="752"/>
    </row>
    <row r="131" spans="1:23" ht="29.25" thickBot="1" x14ac:dyDescent="0.5">
      <c r="A131" s="924"/>
      <c r="B131" s="925"/>
      <c r="C131" s="926"/>
      <c r="D131" s="927"/>
      <c r="E131" s="748" t="s">
        <v>13</v>
      </c>
      <c r="F131" s="749">
        <f>AVERAGE(F129:F130)</f>
        <v>76</v>
      </c>
      <c r="G131" s="749">
        <f t="shared" ref="G131:T131" si="41">AVERAGE(G129:G130)</f>
        <v>63</v>
      </c>
      <c r="H131" s="749">
        <f t="shared" si="41"/>
        <v>73</v>
      </c>
      <c r="I131" s="749">
        <f t="shared" si="41"/>
        <v>83</v>
      </c>
      <c r="J131" s="749">
        <f t="shared" si="41"/>
        <v>71</v>
      </c>
      <c r="K131" s="749">
        <f t="shared" si="41"/>
        <v>70</v>
      </c>
      <c r="L131" s="749">
        <f t="shared" si="41"/>
        <v>75</v>
      </c>
      <c r="M131" s="749">
        <f t="shared" si="41"/>
        <v>92</v>
      </c>
      <c r="N131" s="749">
        <f t="shared" si="41"/>
        <v>82</v>
      </c>
      <c r="O131" s="749">
        <f t="shared" si="41"/>
        <v>82.5</v>
      </c>
      <c r="P131" s="749">
        <f t="shared" si="41"/>
        <v>82</v>
      </c>
      <c r="Q131" s="749">
        <f t="shared" si="41"/>
        <v>92.5</v>
      </c>
      <c r="R131" s="749">
        <f t="shared" si="41"/>
        <v>92.5</v>
      </c>
      <c r="S131" s="749">
        <f t="shared" si="41"/>
        <v>1034.5</v>
      </c>
      <c r="T131" s="749">
        <f t="shared" si="41"/>
        <v>79.576923076923066</v>
      </c>
      <c r="U131" s="749">
        <v>24</v>
      </c>
      <c r="V131" s="749"/>
      <c r="W131" s="749"/>
    </row>
    <row r="132" spans="1:23" ht="29.25" thickBot="1" x14ac:dyDescent="0.5">
      <c r="A132" s="924">
        <v>43</v>
      </c>
      <c r="B132" s="925"/>
      <c r="C132" s="926">
        <v>17</v>
      </c>
      <c r="D132" s="927" t="s">
        <v>17</v>
      </c>
      <c r="E132" s="748" t="s">
        <v>18</v>
      </c>
      <c r="F132" s="749">
        <v>68</v>
      </c>
      <c r="G132" s="753">
        <v>63</v>
      </c>
      <c r="H132" s="753">
        <v>75</v>
      </c>
      <c r="I132" s="753">
        <v>54</v>
      </c>
      <c r="J132" s="749">
        <v>52</v>
      </c>
      <c r="K132" s="753">
        <v>56</v>
      </c>
      <c r="L132" s="749">
        <v>52</v>
      </c>
      <c r="M132" s="753">
        <v>57</v>
      </c>
      <c r="N132" s="753">
        <v>58</v>
      </c>
      <c r="O132" s="749">
        <v>64</v>
      </c>
      <c r="P132" s="749">
        <v>62</v>
      </c>
      <c r="Q132" s="753">
        <v>80</v>
      </c>
      <c r="R132" s="753">
        <v>77</v>
      </c>
      <c r="S132" s="749">
        <v>818</v>
      </c>
      <c r="T132" s="750">
        <v>62.92307692307692</v>
      </c>
      <c r="U132" s="749">
        <v>46</v>
      </c>
      <c r="V132" s="752"/>
      <c r="W132" s="752"/>
    </row>
    <row r="133" spans="1:23" ht="29.25" thickBot="1" x14ac:dyDescent="0.5">
      <c r="A133" s="924"/>
      <c r="B133" s="925"/>
      <c r="C133" s="926"/>
      <c r="D133" s="927"/>
      <c r="E133" s="748" t="s">
        <v>19</v>
      </c>
      <c r="F133" s="749">
        <v>73</v>
      </c>
      <c r="G133" s="749">
        <v>62</v>
      </c>
      <c r="H133" s="749">
        <v>52</v>
      </c>
      <c r="I133" s="749">
        <v>59</v>
      </c>
      <c r="J133" s="749">
        <v>68</v>
      </c>
      <c r="K133" s="749">
        <v>52</v>
      </c>
      <c r="L133" s="749">
        <v>58</v>
      </c>
      <c r="M133" s="749">
        <v>63</v>
      </c>
      <c r="N133" s="749">
        <v>56</v>
      </c>
      <c r="O133" s="749">
        <v>71</v>
      </c>
      <c r="P133" s="749">
        <v>80</v>
      </c>
      <c r="Q133" s="749">
        <v>83</v>
      </c>
      <c r="R133" s="749">
        <v>78</v>
      </c>
      <c r="S133" s="749">
        <f>SUM(F133:R133)</f>
        <v>855</v>
      </c>
      <c r="T133" s="750">
        <f>AVERAGE(F133:R133)</f>
        <v>65.769230769230774</v>
      </c>
      <c r="U133" s="749">
        <v>46</v>
      </c>
      <c r="V133" s="752"/>
      <c r="W133" s="752"/>
    </row>
    <row r="134" spans="1:23" ht="29.25" thickBot="1" x14ac:dyDescent="0.5">
      <c r="A134" s="924"/>
      <c r="B134" s="925"/>
      <c r="C134" s="926"/>
      <c r="D134" s="927"/>
      <c r="E134" s="748" t="s">
        <v>13</v>
      </c>
      <c r="F134" s="749">
        <f>AVERAGE(F132:F133)</f>
        <v>70.5</v>
      </c>
      <c r="G134" s="749">
        <f t="shared" ref="G134:T134" si="42">AVERAGE(G132:G133)</f>
        <v>62.5</v>
      </c>
      <c r="H134" s="749">
        <f t="shared" si="42"/>
        <v>63.5</v>
      </c>
      <c r="I134" s="749">
        <f t="shared" si="42"/>
        <v>56.5</v>
      </c>
      <c r="J134" s="749">
        <f t="shared" si="42"/>
        <v>60</v>
      </c>
      <c r="K134" s="749">
        <f t="shared" si="42"/>
        <v>54</v>
      </c>
      <c r="L134" s="749">
        <f t="shared" si="42"/>
        <v>55</v>
      </c>
      <c r="M134" s="749">
        <f t="shared" si="42"/>
        <v>60</v>
      </c>
      <c r="N134" s="749">
        <f t="shared" si="42"/>
        <v>57</v>
      </c>
      <c r="O134" s="749">
        <f t="shared" si="42"/>
        <v>67.5</v>
      </c>
      <c r="P134" s="749">
        <f t="shared" si="42"/>
        <v>71</v>
      </c>
      <c r="Q134" s="749">
        <f t="shared" si="42"/>
        <v>81.5</v>
      </c>
      <c r="R134" s="749">
        <f t="shared" si="42"/>
        <v>77.5</v>
      </c>
      <c r="S134" s="749">
        <f t="shared" si="42"/>
        <v>836.5</v>
      </c>
      <c r="T134" s="749">
        <f t="shared" si="42"/>
        <v>64.34615384615384</v>
      </c>
      <c r="U134" s="749">
        <v>46</v>
      </c>
      <c r="V134" s="749"/>
      <c r="W134" s="749"/>
    </row>
    <row r="135" spans="1:23" ht="29.25" thickBot="1" x14ac:dyDescent="0.5">
      <c r="A135" s="924">
        <v>44</v>
      </c>
      <c r="B135" s="925"/>
      <c r="C135" s="926">
        <v>16</v>
      </c>
      <c r="D135" s="927" t="s">
        <v>20</v>
      </c>
      <c r="E135" s="748" t="s">
        <v>18</v>
      </c>
      <c r="F135" s="749">
        <v>91</v>
      </c>
      <c r="G135" s="749">
        <v>90</v>
      </c>
      <c r="H135" s="749">
        <v>86</v>
      </c>
      <c r="I135" s="749">
        <v>83</v>
      </c>
      <c r="J135" s="749">
        <v>72</v>
      </c>
      <c r="K135" s="749">
        <v>70</v>
      </c>
      <c r="L135" s="749">
        <v>87</v>
      </c>
      <c r="M135" s="749">
        <v>85</v>
      </c>
      <c r="N135" s="749">
        <v>75</v>
      </c>
      <c r="O135" s="749">
        <v>87</v>
      </c>
      <c r="P135" s="749">
        <v>81</v>
      </c>
      <c r="Q135" s="749">
        <v>87</v>
      </c>
      <c r="R135" s="749">
        <v>91</v>
      </c>
      <c r="S135" s="749">
        <v>1085</v>
      </c>
      <c r="T135" s="750">
        <v>83.461538461538467</v>
      </c>
      <c r="U135" s="749">
        <v>8</v>
      </c>
      <c r="V135" s="752"/>
      <c r="W135" s="752"/>
    </row>
    <row r="136" spans="1:23" ht="29.25" thickBot="1" x14ac:dyDescent="0.5">
      <c r="A136" s="924"/>
      <c r="B136" s="925"/>
      <c r="C136" s="926"/>
      <c r="D136" s="927"/>
      <c r="E136" s="748" t="s">
        <v>19</v>
      </c>
      <c r="F136" s="749">
        <v>92</v>
      </c>
      <c r="G136" s="749">
        <v>82</v>
      </c>
      <c r="H136" s="749">
        <v>88</v>
      </c>
      <c r="I136" s="749">
        <v>87</v>
      </c>
      <c r="J136" s="749">
        <v>68</v>
      </c>
      <c r="K136" s="749">
        <v>81</v>
      </c>
      <c r="L136" s="749">
        <v>90</v>
      </c>
      <c r="M136" s="749">
        <v>98</v>
      </c>
      <c r="N136" s="749">
        <v>76</v>
      </c>
      <c r="O136" s="749">
        <v>98</v>
      </c>
      <c r="P136" s="749">
        <v>89</v>
      </c>
      <c r="Q136" s="749">
        <v>88</v>
      </c>
      <c r="R136" s="749">
        <v>91</v>
      </c>
      <c r="S136" s="749">
        <f>SUM(F136:R136)</f>
        <v>1128</v>
      </c>
      <c r="T136" s="750">
        <f>AVERAGE(F136:R136)</f>
        <v>86.769230769230774</v>
      </c>
      <c r="U136" s="749">
        <v>8</v>
      </c>
      <c r="V136" s="752"/>
      <c r="W136" s="752"/>
    </row>
    <row r="137" spans="1:23" ht="29.25" thickBot="1" x14ac:dyDescent="0.5">
      <c r="A137" s="924"/>
      <c r="B137" s="925"/>
      <c r="C137" s="926"/>
      <c r="D137" s="927"/>
      <c r="E137" s="748" t="s">
        <v>13</v>
      </c>
      <c r="F137" s="749">
        <f>AVERAGE(F135:F136)</f>
        <v>91.5</v>
      </c>
      <c r="G137" s="749">
        <f t="shared" ref="G137:T137" si="43">AVERAGE(G135:G136)</f>
        <v>86</v>
      </c>
      <c r="H137" s="749">
        <f t="shared" si="43"/>
        <v>87</v>
      </c>
      <c r="I137" s="749">
        <f t="shared" si="43"/>
        <v>85</v>
      </c>
      <c r="J137" s="749">
        <f t="shared" si="43"/>
        <v>70</v>
      </c>
      <c r="K137" s="749">
        <f t="shared" si="43"/>
        <v>75.5</v>
      </c>
      <c r="L137" s="749">
        <f t="shared" si="43"/>
        <v>88.5</v>
      </c>
      <c r="M137" s="749">
        <f t="shared" si="43"/>
        <v>91.5</v>
      </c>
      <c r="N137" s="749">
        <f t="shared" si="43"/>
        <v>75.5</v>
      </c>
      <c r="O137" s="749">
        <f t="shared" si="43"/>
        <v>92.5</v>
      </c>
      <c r="P137" s="749">
        <f t="shared" si="43"/>
        <v>85</v>
      </c>
      <c r="Q137" s="749">
        <f t="shared" si="43"/>
        <v>87.5</v>
      </c>
      <c r="R137" s="749">
        <f t="shared" si="43"/>
        <v>91</v>
      </c>
      <c r="S137" s="749">
        <f t="shared" si="43"/>
        <v>1106.5</v>
      </c>
      <c r="T137" s="749">
        <f t="shared" si="43"/>
        <v>85.115384615384613</v>
      </c>
      <c r="U137" s="749">
        <v>8</v>
      </c>
      <c r="V137" s="749"/>
      <c r="W137" s="749"/>
    </row>
    <row r="138" spans="1:23" ht="29.25" thickBot="1" x14ac:dyDescent="0.5">
      <c r="A138" s="924">
        <v>45</v>
      </c>
      <c r="B138" s="925"/>
      <c r="C138" s="926">
        <v>16</v>
      </c>
      <c r="D138" s="927" t="s">
        <v>20</v>
      </c>
      <c r="E138" s="748" t="s">
        <v>18</v>
      </c>
      <c r="F138" s="749">
        <v>88</v>
      </c>
      <c r="G138" s="749">
        <v>77</v>
      </c>
      <c r="H138" s="749">
        <v>86</v>
      </c>
      <c r="I138" s="749">
        <v>68</v>
      </c>
      <c r="J138" s="749">
        <v>73</v>
      </c>
      <c r="K138" s="749">
        <v>60</v>
      </c>
      <c r="L138" s="749">
        <v>71</v>
      </c>
      <c r="M138" s="749">
        <v>74</v>
      </c>
      <c r="N138" s="749">
        <v>73</v>
      </c>
      <c r="O138" s="749">
        <v>89</v>
      </c>
      <c r="P138" s="749">
        <v>73</v>
      </c>
      <c r="Q138" s="749">
        <v>82</v>
      </c>
      <c r="R138" s="749">
        <v>99</v>
      </c>
      <c r="S138" s="749">
        <v>1013</v>
      </c>
      <c r="T138" s="750">
        <v>77.92307692307692</v>
      </c>
      <c r="U138" s="749">
        <v>24</v>
      </c>
      <c r="V138" s="752"/>
      <c r="W138" s="752"/>
    </row>
    <row r="139" spans="1:23" ht="29.25" thickBot="1" x14ac:dyDescent="0.5">
      <c r="A139" s="924"/>
      <c r="B139" s="925"/>
      <c r="C139" s="926"/>
      <c r="D139" s="927"/>
      <c r="E139" s="748" t="s">
        <v>19</v>
      </c>
      <c r="F139" s="749">
        <v>85</v>
      </c>
      <c r="G139" s="749">
        <v>59</v>
      </c>
      <c r="H139" s="749">
        <v>87</v>
      </c>
      <c r="I139" s="749">
        <v>81</v>
      </c>
      <c r="J139" s="749">
        <v>78</v>
      </c>
      <c r="K139" s="749">
        <v>75</v>
      </c>
      <c r="L139" s="749">
        <v>81</v>
      </c>
      <c r="M139" s="753">
        <v>96</v>
      </c>
      <c r="N139" s="749">
        <v>90</v>
      </c>
      <c r="O139" s="749">
        <v>89</v>
      </c>
      <c r="P139" s="749">
        <v>89</v>
      </c>
      <c r="Q139" s="749">
        <v>84</v>
      </c>
      <c r="R139" s="749">
        <v>89</v>
      </c>
      <c r="S139" s="749">
        <f>SUM(F139:R139)</f>
        <v>1083</v>
      </c>
      <c r="T139" s="750">
        <f>AVERAGE(F139:R139)</f>
        <v>83.307692307692307</v>
      </c>
      <c r="U139" s="749">
        <v>19</v>
      </c>
      <c r="V139" s="752"/>
      <c r="W139" s="752"/>
    </row>
    <row r="140" spans="1:23" ht="29.25" thickBot="1" x14ac:dyDescent="0.5">
      <c r="A140" s="924"/>
      <c r="B140" s="925"/>
      <c r="C140" s="926"/>
      <c r="D140" s="927"/>
      <c r="E140" s="748" t="s">
        <v>13</v>
      </c>
      <c r="F140" s="749">
        <f>AVERAGE(F138:F139)</f>
        <v>86.5</v>
      </c>
      <c r="G140" s="749">
        <f t="shared" ref="G140:T140" si="44">AVERAGE(G138:G139)</f>
        <v>68</v>
      </c>
      <c r="H140" s="749">
        <f t="shared" si="44"/>
        <v>86.5</v>
      </c>
      <c r="I140" s="749">
        <f t="shared" si="44"/>
        <v>74.5</v>
      </c>
      <c r="J140" s="749">
        <f t="shared" si="44"/>
        <v>75.5</v>
      </c>
      <c r="K140" s="749">
        <f t="shared" si="44"/>
        <v>67.5</v>
      </c>
      <c r="L140" s="749">
        <f t="shared" si="44"/>
        <v>76</v>
      </c>
      <c r="M140" s="749">
        <f t="shared" si="44"/>
        <v>85</v>
      </c>
      <c r="N140" s="749">
        <f t="shared" si="44"/>
        <v>81.5</v>
      </c>
      <c r="O140" s="749">
        <f t="shared" si="44"/>
        <v>89</v>
      </c>
      <c r="P140" s="749">
        <f t="shared" si="44"/>
        <v>81</v>
      </c>
      <c r="Q140" s="749">
        <f t="shared" si="44"/>
        <v>83</v>
      </c>
      <c r="R140" s="749">
        <f t="shared" si="44"/>
        <v>94</v>
      </c>
      <c r="S140" s="749">
        <f t="shared" si="44"/>
        <v>1048</v>
      </c>
      <c r="T140" s="749">
        <f t="shared" si="44"/>
        <v>80.615384615384613</v>
      </c>
      <c r="U140" s="749">
        <v>20</v>
      </c>
      <c r="V140" s="749"/>
      <c r="W140" s="749"/>
    </row>
    <row r="141" spans="1:23" ht="29.25" thickBot="1" x14ac:dyDescent="0.5">
      <c r="A141" s="924">
        <v>46</v>
      </c>
      <c r="B141" s="925"/>
      <c r="C141" s="926">
        <v>17</v>
      </c>
      <c r="D141" s="927" t="s">
        <v>17</v>
      </c>
      <c r="E141" s="748" t="s">
        <v>18</v>
      </c>
      <c r="F141" s="749">
        <v>72</v>
      </c>
      <c r="G141" s="749">
        <v>54</v>
      </c>
      <c r="H141" s="749">
        <v>78</v>
      </c>
      <c r="I141" s="749">
        <v>56</v>
      </c>
      <c r="J141" s="749">
        <v>58</v>
      </c>
      <c r="K141" s="749">
        <v>47</v>
      </c>
      <c r="L141" s="749">
        <v>67</v>
      </c>
      <c r="M141" s="753">
        <v>68</v>
      </c>
      <c r="N141" s="749">
        <v>84</v>
      </c>
      <c r="O141" s="749">
        <v>64</v>
      </c>
      <c r="P141" s="749">
        <v>71</v>
      </c>
      <c r="Q141" s="749">
        <v>83</v>
      </c>
      <c r="R141" s="749">
        <v>91</v>
      </c>
      <c r="S141" s="749">
        <v>893</v>
      </c>
      <c r="T141" s="750">
        <v>68.692307692307693</v>
      </c>
      <c r="U141" s="749">
        <v>40</v>
      </c>
      <c r="V141" s="752"/>
      <c r="W141" s="752"/>
    </row>
    <row r="142" spans="1:23" ht="29.25" thickBot="1" x14ac:dyDescent="0.5">
      <c r="A142" s="924"/>
      <c r="B142" s="925"/>
      <c r="C142" s="926"/>
      <c r="D142" s="927"/>
      <c r="E142" s="748" t="s">
        <v>19</v>
      </c>
      <c r="F142" s="752">
        <v>79</v>
      </c>
      <c r="G142" s="682">
        <v>59</v>
      </c>
      <c r="H142" s="682">
        <v>55</v>
      </c>
      <c r="I142" s="682">
        <v>60</v>
      </c>
      <c r="J142" s="682">
        <v>59</v>
      </c>
      <c r="K142" s="682">
        <v>55</v>
      </c>
      <c r="L142" s="682">
        <v>56</v>
      </c>
      <c r="M142" s="682">
        <v>75</v>
      </c>
      <c r="N142" s="682">
        <v>71</v>
      </c>
      <c r="O142" s="682">
        <v>72</v>
      </c>
      <c r="P142" s="682">
        <v>76</v>
      </c>
      <c r="Q142" s="682">
        <v>83</v>
      </c>
      <c r="R142" s="682">
        <v>83</v>
      </c>
      <c r="S142" s="682">
        <f>SUM(F142:R142)</f>
        <v>883</v>
      </c>
      <c r="T142" s="682">
        <f>AVERAGE(F142:R142)</f>
        <v>67.92307692307692</v>
      </c>
      <c r="U142" s="682">
        <v>43</v>
      </c>
      <c r="V142" s="752"/>
      <c r="W142" s="752"/>
    </row>
    <row r="143" spans="1:23" ht="29.25" thickBot="1" x14ac:dyDescent="0.5">
      <c r="A143" s="924"/>
      <c r="B143" s="925"/>
      <c r="C143" s="926"/>
      <c r="D143" s="927"/>
      <c r="E143" s="748" t="s">
        <v>13</v>
      </c>
      <c r="F143" s="749">
        <f>AVERAGE(F141:F142)</f>
        <v>75.5</v>
      </c>
      <c r="G143" s="749">
        <f t="shared" ref="G143:T143" si="45">AVERAGE(G141:G142)</f>
        <v>56.5</v>
      </c>
      <c r="H143" s="749">
        <f t="shared" si="45"/>
        <v>66.5</v>
      </c>
      <c r="I143" s="749">
        <f t="shared" si="45"/>
        <v>58</v>
      </c>
      <c r="J143" s="749">
        <f t="shared" si="45"/>
        <v>58.5</v>
      </c>
      <c r="K143" s="749">
        <f t="shared" si="45"/>
        <v>51</v>
      </c>
      <c r="L143" s="749">
        <f t="shared" si="45"/>
        <v>61.5</v>
      </c>
      <c r="M143" s="749">
        <f t="shared" si="45"/>
        <v>71.5</v>
      </c>
      <c r="N143" s="749">
        <f t="shared" si="45"/>
        <v>77.5</v>
      </c>
      <c r="O143" s="749">
        <f t="shared" si="45"/>
        <v>68</v>
      </c>
      <c r="P143" s="749">
        <f t="shared" si="45"/>
        <v>73.5</v>
      </c>
      <c r="Q143" s="749">
        <f t="shared" si="45"/>
        <v>83</v>
      </c>
      <c r="R143" s="749">
        <f t="shared" si="45"/>
        <v>87</v>
      </c>
      <c r="S143" s="749">
        <f t="shared" si="45"/>
        <v>888</v>
      </c>
      <c r="T143" s="749">
        <f t="shared" si="45"/>
        <v>68.307692307692307</v>
      </c>
      <c r="U143" s="749">
        <v>41</v>
      </c>
      <c r="V143" s="749"/>
      <c r="W143" s="749"/>
    </row>
    <row r="144" spans="1:23" ht="29.25" thickBot="1" x14ac:dyDescent="0.5">
      <c r="A144" s="924">
        <v>47</v>
      </c>
      <c r="B144" s="925"/>
      <c r="C144" s="926">
        <v>16</v>
      </c>
      <c r="D144" s="927" t="s">
        <v>17</v>
      </c>
      <c r="E144" s="748" t="s">
        <v>18</v>
      </c>
      <c r="F144" s="749">
        <v>87</v>
      </c>
      <c r="G144" s="749">
        <v>81</v>
      </c>
      <c r="H144" s="749">
        <v>78</v>
      </c>
      <c r="I144" s="749">
        <v>76</v>
      </c>
      <c r="J144" s="749">
        <v>78</v>
      </c>
      <c r="K144" s="749">
        <v>71</v>
      </c>
      <c r="L144" s="749">
        <v>93</v>
      </c>
      <c r="M144" s="749">
        <v>90</v>
      </c>
      <c r="N144" s="749">
        <v>86</v>
      </c>
      <c r="O144" s="749">
        <v>86</v>
      </c>
      <c r="P144" s="749">
        <v>82</v>
      </c>
      <c r="Q144" s="749">
        <v>91</v>
      </c>
      <c r="R144" s="749">
        <v>85</v>
      </c>
      <c r="S144" s="749">
        <v>1084</v>
      </c>
      <c r="T144" s="750">
        <v>83.384615384615387</v>
      </c>
      <c r="U144" s="749">
        <v>9</v>
      </c>
      <c r="V144" s="752"/>
      <c r="W144" s="752"/>
    </row>
    <row r="145" spans="1:23" ht="29.25" thickBot="1" x14ac:dyDescent="0.5">
      <c r="A145" s="924"/>
      <c r="B145" s="925"/>
      <c r="C145" s="926"/>
      <c r="D145" s="927"/>
      <c r="E145" s="748" t="s">
        <v>19</v>
      </c>
      <c r="F145" s="749">
        <v>85</v>
      </c>
      <c r="G145" s="749">
        <v>77</v>
      </c>
      <c r="H145" s="749">
        <v>68</v>
      </c>
      <c r="I145" s="749">
        <v>87</v>
      </c>
      <c r="J145" s="749">
        <v>85</v>
      </c>
      <c r="K145" s="749">
        <v>87</v>
      </c>
      <c r="L145" s="749">
        <v>93</v>
      </c>
      <c r="M145" s="749">
        <v>97</v>
      </c>
      <c r="N145" s="749">
        <v>80</v>
      </c>
      <c r="O145" s="749">
        <v>84</v>
      </c>
      <c r="P145" s="749">
        <v>94</v>
      </c>
      <c r="Q145" s="749">
        <v>91</v>
      </c>
      <c r="R145" s="749">
        <v>85</v>
      </c>
      <c r="S145" s="749">
        <f>SUM(F145:R145)</f>
        <v>1113</v>
      </c>
      <c r="T145" s="750">
        <v>85.615384615384613</v>
      </c>
      <c r="U145" s="749">
        <v>12</v>
      </c>
      <c r="V145" s="752"/>
      <c r="W145" s="752"/>
    </row>
    <row r="146" spans="1:23" ht="29.25" thickBot="1" x14ac:dyDescent="0.5">
      <c r="A146" s="924"/>
      <c r="B146" s="925"/>
      <c r="C146" s="926"/>
      <c r="D146" s="927"/>
      <c r="E146" s="748" t="s">
        <v>13</v>
      </c>
      <c r="F146" s="749">
        <f>AVERAGE(F144:F145)</f>
        <v>86</v>
      </c>
      <c r="G146" s="749">
        <f t="shared" ref="G146:T146" si="46">AVERAGE(G144:G145)</f>
        <v>79</v>
      </c>
      <c r="H146" s="749">
        <f t="shared" si="46"/>
        <v>73</v>
      </c>
      <c r="I146" s="749">
        <f t="shared" si="46"/>
        <v>81.5</v>
      </c>
      <c r="J146" s="749">
        <f t="shared" si="46"/>
        <v>81.5</v>
      </c>
      <c r="K146" s="749">
        <f t="shared" si="46"/>
        <v>79</v>
      </c>
      <c r="L146" s="749">
        <f t="shared" si="46"/>
        <v>93</v>
      </c>
      <c r="M146" s="749">
        <f t="shared" si="46"/>
        <v>93.5</v>
      </c>
      <c r="N146" s="749">
        <f t="shared" si="46"/>
        <v>83</v>
      </c>
      <c r="O146" s="749">
        <f t="shared" si="46"/>
        <v>85</v>
      </c>
      <c r="P146" s="749">
        <f t="shared" si="46"/>
        <v>88</v>
      </c>
      <c r="Q146" s="749">
        <f t="shared" si="46"/>
        <v>91</v>
      </c>
      <c r="R146" s="749">
        <f t="shared" si="46"/>
        <v>85</v>
      </c>
      <c r="S146" s="749">
        <f t="shared" si="46"/>
        <v>1098.5</v>
      </c>
      <c r="T146" s="749">
        <f t="shared" si="46"/>
        <v>84.5</v>
      </c>
      <c r="U146" s="749">
        <v>9</v>
      </c>
      <c r="V146" s="749"/>
      <c r="W146" s="749"/>
    </row>
    <row r="147" spans="1:23" ht="15.75" thickBot="1" x14ac:dyDescent="0.3">
      <c r="A147" s="899">
        <v>48</v>
      </c>
      <c r="B147" s="874"/>
      <c r="C147" s="875"/>
      <c r="D147" s="876"/>
      <c r="E147" s="80" t="s">
        <v>18</v>
      </c>
      <c r="F147" s="291"/>
      <c r="G147" s="66"/>
      <c r="H147" s="291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99"/>
      <c r="U147" s="66"/>
      <c r="V147" s="71"/>
      <c r="W147" s="71"/>
    </row>
    <row r="148" spans="1:23" ht="15.75" thickBot="1" x14ac:dyDescent="0.3">
      <c r="A148" s="899"/>
      <c r="B148" s="874"/>
      <c r="C148" s="875"/>
      <c r="D148" s="876"/>
      <c r="E148" s="80" t="s">
        <v>19</v>
      </c>
      <c r="F148" s="291"/>
      <c r="G148" s="66"/>
      <c r="H148" s="291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99"/>
      <c r="U148" s="66"/>
      <c r="V148" s="71"/>
      <c r="W148" s="71"/>
    </row>
    <row r="149" spans="1:23" ht="15.75" thickBot="1" x14ac:dyDescent="0.3">
      <c r="A149" s="899"/>
      <c r="B149" s="874"/>
      <c r="C149" s="875"/>
      <c r="D149" s="876"/>
      <c r="E149" s="80" t="s">
        <v>13</v>
      </c>
      <c r="F149" s="291"/>
      <c r="G149" s="66"/>
      <c r="H149" s="291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99"/>
      <c r="U149" s="66"/>
      <c r="V149" s="66"/>
      <c r="W149" s="66"/>
    </row>
    <row r="150" spans="1:23" ht="15.75" thickBot="1" x14ac:dyDescent="0.3">
      <c r="A150" s="870">
        <v>49</v>
      </c>
      <c r="B150" s="874"/>
      <c r="C150" s="875"/>
      <c r="D150" s="876"/>
      <c r="E150" s="80" t="s">
        <v>18</v>
      </c>
      <c r="F150" s="291"/>
      <c r="G150" s="66"/>
      <c r="H150" s="291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99"/>
      <c r="U150" s="66"/>
      <c r="V150" s="71"/>
      <c r="W150" s="71"/>
    </row>
    <row r="151" spans="1:23" ht="15.75" thickBot="1" x14ac:dyDescent="0.3">
      <c r="A151" s="870"/>
      <c r="B151" s="874"/>
      <c r="C151" s="875"/>
      <c r="D151" s="876"/>
      <c r="E151" s="80" t="s">
        <v>19</v>
      </c>
      <c r="F151" s="291"/>
      <c r="G151" s="66"/>
      <c r="H151" s="291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99"/>
      <c r="U151" s="66"/>
      <c r="V151" s="71"/>
      <c r="W151" s="71"/>
    </row>
    <row r="152" spans="1:23" ht="15.75" thickBot="1" x14ac:dyDescent="0.3">
      <c r="A152" s="870"/>
      <c r="B152" s="874"/>
      <c r="C152" s="875"/>
      <c r="D152" s="876"/>
      <c r="E152" s="80" t="s">
        <v>13</v>
      </c>
      <c r="F152" s="291"/>
      <c r="G152" s="66"/>
      <c r="H152" s="291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99"/>
      <c r="U152" s="66"/>
      <c r="V152" s="66"/>
      <c r="W152" s="66"/>
    </row>
    <row r="153" spans="1:23" ht="15.75" thickBot="1" x14ac:dyDescent="0.3">
      <c r="A153" s="870">
        <v>50</v>
      </c>
      <c r="B153" s="874"/>
      <c r="C153" s="875"/>
      <c r="D153" s="876"/>
      <c r="E153" s="80" t="s">
        <v>18</v>
      </c>
      <c r="F153" s="291"/>
      <c r="G153" s="66"/>
      <c r="H153" s="291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99"/>
      <c r="U153" s="66"/>
      <c r="V153" s="71"/>
      <c r="W153" s="71"/>
    </row>
    <row r="154" spans="1:23" ht="15.75" thickBot="1" x14ac:dyDescent="0.3">
      <c r="A154" s="870"/>
      <c r="B154" s="874"/>
      <c r="C154" s="875"/>
      <c r="D154" s="876"/>
      <c r="E154" s="80" t="s">
        <v>19</v>
      </c>
      <c r="F154" s="291"/>
      <c r="G154" s="66"/>
      <c r="H154" s="291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99"/>
      <c r="U154" s="66"/>
      <c r="V154" s="71"/>
      <c r="W154" s="71"/>
    </row>
    <row r="155" spans="1:23" ht="15.75" thickBot="1" x14ac:dyDescent="0.3">
      <c r="A155" s="870"/>
      <c r="B155" s="874"/>
      <c r="C155" s="875"/>
      <c r="D155" s="876"/>
      <c r="E155" s="80" t="s">
        <v>13</v>
      </c>
      <c r="F155" s="291"/>
      <c r="G155" s="66"/>
      <c r="H155" s="291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99"/>
      <c r="U155" s="66"/>
      <c r="V155" s="66"/>
      <c r="W155" s="66"/>
    </row>
    <row r="156" spans="1:23" ht="15.75" thickBot="1" x14ac:dyDescent="0.3">
      <c r="A156" s="870">
        <v>51</v>
      </c>
      <c r="B156" s="874"/>
      <c r="C156" s="875"/>
      <c r="D156" s="876"/>
      <c r="E156" s="80" t="s">
        <v>18</v>
      </c>
      <c r="F156" s="291"/>
      <c r="G156" s="66"/>
      <c r="H156" s="291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99"/>
      <c r="U156" s="66"/>
      <c r="V156" s="71"/>
      <c r="W156" s="71"/>
    </row>
    <row r="157" spans="1:23" ht="15.75" thickBot="1" x14ac:dyDescent="0.3">
      <c r="A157" s="870"/>
      <c r="B157" s="874"/>
      <c r="C157" s="875"/>
      <c r="D157" s="876"/>
      <c r="E157" s="80" t="s">
        <v>19</v>
      </c>
      <c r="F157" s="291"/>
      <c r="G157" s="68"/>
      <c r="H157" s="267"/>
      <c r="I157" s="68"/>
      <c r="J157" s="68"/>
      <c r="K157" s="68"/>
      <c r="L157" s="68"/>
      <c r="M157" s="68"/>
      <c r="N157" s="68"/>
      <c r="O157" s="68"/>
      <c r="P157" s="66"/>
      <c r="Q157" s="68"/>
      <c r="R157" s="68"/>
      <c r="S157" s="66"/>
      <c r="T157" s="99"/>
      <c r="U157" s="66"/>
      <c r="V157" s="68"/>
      <c r="W157" s="68"/>
    </row>
    <row r="158" spans="1:23" ht="15.75" thickBot="1" x14ac:dyDescent="0.3">
      <c r="A158" s="870"/>
      <c r="B158" s="874"/>
      <c r="C158" s="875"/>
      <c r="D158" s="876"/>
      <c r="E158" s="80" t="s">
        <v>13</v>
      </c>
      <c r="F158" s="291"/>
      <c r="G158" s="66"/>
      <c r="H158" s="291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99"/>
      <c r="U158" s="66"/>
      <c r="V158" s="66"/>
      <c r="W158" s="66"/>
    </row>
    <row r="159" spans="1:23" ht="15.75" thickBot="1" x14ac:dyDescent="0.3">
      <c r="A159" s="870">
        <v>52</v>
      </c>
      <c r="B159" s="874"/>
      <c r="C159" s="875"/>
      <c r="D159" s="876"/>
      <c r="E159" s="80" t="s">
        <v>18</v>
      </c>
      <c r="F159" s="733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2"/>
      <c r="U159" s="81"/>
      <c r="V159" s="81"/>
      <c r="W159" s="81"/>
    </row>
    <row r="160" spans="1:23" ht="15.75" thickBot="1" x14ac:dyDescent="0.3">
      <c r="A160" s="870"/>
      <c r="B160" s="874"/>
      <c r="C160" s="875"/>
      <c r="D160" s="876"/>
      <c r="E160" s="80" t="s">
        <v>19</v>
      </c>
      <c r="F160" s="733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2"/>
      <c r="U160" s="81"/>
      <c r="V160" s="81"/>
      <c r="W160" s="81"/>
    </row>
    <row r="161" spans="1:23" ht="15.75" thickBot="1" x14ac:dyDescent="0.3">
      <c r="A161" s="870"/>
      <c r="B161" s="874"/>
      <c r="C161" s="875"/>
      <c r="D161" s="876"/>
      <c r="E161" s="80" t="s">
        <v>13</v>
      </c>
      <c r="F161" s="733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2"/>
      <c r="U161" s="81"/>
      <c r="V161" s="81"/>
      <c r="W161" s="81"/>
    </row>
    <row r="162" spans="1:23" ht="15.75" thickBot="1" x14ac:dyDescent="0.3">
      <c r="A162" s="870">
        <v>53</v>
      </c>
      <c r="B162" s="874"/>
      <c r="C162" s="875"/>
      <c r="D162" s="876"/>
      <c r="E162" s="80" t="s">
        <v>18</v>
      </c>
      <c r="F162" s="733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2"/>
      <c r="U162" s="81"/>
      <c r="V162" s="81"/>
      <c r="W162" s="81"/>
    </row>
    <row r="163" spans="1:23" ht="15.75" thickBot="1" x14ac:dyDescent="0.3">
      <c r="A163" s="870"/>
      <c r="B163" s="874"/>
      <c r="C163" s="875"/>
      <c r="D163" s="876"/>
      <c r="E163" s="80" t="s">
        <v>19</v>
      </c>
      <c r="F163" s="733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2"/>
      <c r="U163" s="81"/>
      <c r="V163" s="81"/>
      <c r="W163" s="81"/>
    </row>
    <row r="164" spans="1:23" ht="15.75" thickBot="1" x14ac:dyDescent="0.3">
      <c r="A164" s="870"/>
      <c r="B164" s="874"/>
      <c r="C164" s="875"/>
      <c r="D164" s="876"/>
      <c r="E164" s="80" t="s">
        <v>13</v>
      </c>
      <c r="F164" s="733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2"/>
      <c r="U164" s="81"/>
      <c r="V164" s="81"/>
      <c r="W164" s="81"/>
    </row>
    <row r="165" spans="1:23" ht="15.75" thickBot="1" x14ac:dyDescent="0.3">
      <c r="A165" s="870">
        <v>54</v>
      </c>
      <c r="B165" s="874"/>
      <c r="C165" s="875"/>
      <c r="D165" s="876"/>
      <c r="E165" s="80" t="s">
        <v>18</v>
      </c>
      <c r="F165" s="733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2"/>
      <c r="U165" s="81"/>
      <c r="V165" s="81"/>
      <c r="W165" s="81"/>
    </row>
    <row r="166" spans="1:23" ht="15.75" thickBot="1" x14ac:dyDescent="0.3">
      <c r="A166" s="870"/>
      <c r="B166" s="874"/>
      <c r="C166" s="875"/>
      <c r="D166" s="876"/>
      <c r="E166" s="80" t="s">
        <v>19</v>
      </c>
      <c r="F166" s="733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2"/>
      <c r="U166" s="81"/>
      <c r="V166" s="81"/>
      <c r="W166" s="81"/>
    </row>
    <row r="167" spans="1:23" ht="15.75" thickBot="1" x14ac:dyDescent="0.3">
      <c r="A167" s="870"/>
      <c r="B167" s="874"/>
      <c r="C167" s="875"/>
      <c r="D167" s="876"/>
      <c r="E167" s="80" t="s">
        <v>13</v>
      </c>
      <c r="F167" s="733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2"/>
      <c r="U167" s="81"/>
      <c r="V167" s="81"/>
      <c r="W167" s="81"/>
    </row>
    <row r="168" spans="1:23" ht="15.75" thickBot="1" x14ac:dyDescent="0.3">
      <c r="A168" s="870">
        <v>55</v>
      </c>
      <c r="B168" s="874"/>
      <c r="C168" s="875"/>
      <c r="D168" s="876"/>
      <c r="E168" s="80" t="s">
        <v>18</v>
      </c>
      <c r="F168" s="733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2"/>
      <c r="U168" s="81"/>
      <c r="V168" s="81"/>
      <c r="W168" s="81"/>
    </row>
    <row r="169" spans="1:23" ht="15.75" thickBot="1" x14ac:dyDescent="0.3">
      <c r="A169" s="870"/>
      <c r="B169" s="874"/>
      <c r="C169" s="875"/>
      <c r="D169" s="876"/>
      <c r="E169" s="80" t="s">
        <v>19</v>
      </c>
      <c r="F169" s="733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2"/>
      <c r="U169" s="81"/>
      <c r="V169" s="81"/>
      <c r="W169" s="81"/>
    </row>
    <row r="170" spans="1:23" ht="15.75" thickBot="1" x14ac:dyDescent="0.3">
      <c r="A170" s="870"/>
      <c r="B170" s="874"/>
      <c r="C170" s="875"/>
      <c r="D170" s="876"/>
      <c r="E170" s="80" t="s">
        <v>13</v>
      </c>
      <c r="F170" s="733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2"/>
      <c r="U170" s="81"/>
      <c r="V170" s="81"/>
      <c r="W170" s="81"/>
    </row>
    <row r="171" spans="1:23" ht="15.75" thickBot="1" x14ac:dyDescent="0.3">
      <c r="A171" s="870">
        <v>56</v>
      </c>
      <c r="B171" s="874"/>
      <c r="C171" s="875"/>
      <c r="D171" s="876"/>
      <c r="E171" s="80" t="s">
        <v>18</v>
      </c>
      <c r="F171" s="733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2"/>
      <c r="U171" s="81"/>
      <c r="V171" s="81"/>
      <c r="W171" s="81"/>
    </row>
    <row r="172" spans="1:23" ht="15.75" thickBot="1" x14ac:dyDescent="0.3">
      <c r="A172" s="870"/>
      <c r="B172" s="874"/>
      <c r="C172" s="875"/>
      <c r="D172" s="876"/>
      <c r="E172" s="80" t="s">
        <v>19</v>
      </c>
      <c r="F172" s="733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2"/>
      <c r="U172" s="81"/>
      <c r="V172" s="81"/>
      <c r="W172" s="81"/>
    </row>
    <row r="173" spans="1:23" ht="15.75" thickBot="1" x14ac:dyDescent="0.3">
      <c r="A173" s="870"/>
      <c r="B173" s="874"/>
      <c r="C173" s="875"/>
      <c r="D173" s="876"/>
      <c r="E173" s="80" t="s">
        <v>13</v>
      </c>
      <c r="F173" s="733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2"/>
      <c r="U173" s="81"/>
      <c r="V173" s="81"/>
      <c r="W173" s="81"/>
    </row>
    <row r="174" spans="1:23" x14ac:dyDescent="0.25">
      <c r="A174" s="59"/>
      <c r="B174" s="59"/>
      <c r="C174" s="59"/>
      <c r="D174" s="59"/>
      <c r="E174" s="59"/>
      <c r="G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</row>
  </sheetData>
  <mergeCells count="226">
    <mergeCell ref="A1:W1"/>
    <mergeCell ref="A3:W3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A51:A53"/>
    <mergeCell ref="B51:B53"/>
    <mergeCell ref="C51:C53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63:A65"/>
    <mergeCell ref="B63:B65"/>
    <mergeCell ref="C63:C65"/>
    <mergeCell ref="D63:D65"/>
    <mergeCell ref="A66:A68"/>
    <mergeCell ref="B66:B68"/>
    <mergeCell ref="C66:C68"/>
    <mergeCell ref="D66:D68"/>
    <mergeCell ref="A57:A59"/>
    <mergeCell ref="B57:B59"/>
    <mergeCell ref="C57:C59"/>
    <mergeCell ref="D57:D59"/>
    <mergeCell ref="A60:A62"/>
    <mergeCell ref="B60:B62"/>
    <mergeCell ref="C60:C62"/>
    <mergeCell ref="D60:D62"/>
    <mergeCell ref="A75:A77"/>
    <mergeCell ref="B75:B77"/>
    <mergeCell ref="C75:C77"/>
    <mergeCell ref="D75:D77"/>
    <mergeCell ref="A78:A80"/>
    <mergeCell ref="B78:B80"/>
    <mergeCell ref="C78:C80"/>
    <mergeCell ref="D78:D80"/>
    <mergeCell ref="A69:A71"/>
    <mergeCell ref="B69:B71"/>
    <mergeCell ref="C69:C71"/>
    <mergeCell ref="D69:D71"/>
    <mergeCell ref="A72:A74"/>
    <mergeCell ref="B72:B74"/>
    <mergeCell ref="C72:C74"/>
    <mergeCell ref="D72:D74"/>
    <mergeCell ref="A87:A89"/>
    <mergeCell ref="B87:B89"/>
    <mergeCell ref="C87:C89"/>
    <mergeCell ref="D87:D89"/>
    <mergeCell ref="A90:A92"/>
    <mergeCell ref="B90:B92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93:A95"/>
    <mergeCell ref="B93:B95"/>
    <mergeCell ref="C93:C95"/>
    <mergeCell ref="D93:D95"/>
    <mergeCell ref="A96:A98"/>
    <mergeCell ref="B96:B98"/>
    <mergeCell ref="C96:C98"/>
    <mergeCell ref="D96:D98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59:A161"/>
    <mergeCell ref="B159:B161"/>
    <mergeCell ref="C159:C161"/>
    <mergeCell ref="D159:D161"/>
    <mergeCell ref="A162:A164"/>
    <mergeCell ref="B162:B164"/>
    <mergeCell ref="C162:C164"/>
    <mergeCell ref="D162:D164"/>
    <mergeCell ref="A153:A155"/>
    <mergeCell ref="B153:B155"/>
    <mergeCell ref="C153:C155"/>
    <mergeCell ref="D153:D155"/>
    <mergeCell ref="A156:A158"/>
    <mergeCell ref="B156:B158"/>
    <mergeCell ref="C156:C158"/>
    <mergeCell ref="D156:D158"/>
    <mergeCell ref="A171:A173"/>
    <mergeCell ref="B171:B173"/>
    <mergeCell ref="C171:C173"/>
    <mergeCell ref="D171:D173"/>
    <mergeCell ref="A165:A167"/>
    <mergeCell ref="B165:B167"/>
    <mergeCell ref="C165:C167"/>
    <mergeCell ref="D165:D167"/>
    <mergeCell ref="A168:A170"/>
    <mergeCell ref="B168:B170"/>
    <mergeCell ref="C168:C170"/>
    <mergeCell ref="D168:D170"/>
  </mergeCells>
  <pageMargins left="0.7" right="0.7" top="0.75" bottom="0.75" header="0.3" footer="0.3"/>
  <pageSetup paperSize="9" scale="46" orientation="landscape" r:id="rId1"/>
  <rowBreaks count="1" manualBreakCount="1">
    <brk id="93" max="2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view="pageBreakPreview" zoomScale="60" zoomScaleNormal="100" workbookViewId="0">
      <selection activeCell="B4" sqref="B4:B50"/>
    </sheetView>
  </sheetViews>
  <sheetFormatPr defaultRowHeight="15" x14ac:dyDescent="0.25"/>
  <cols>
    <col min="1" max="1" width="4.5703125" customWidth="1"/>
    <col min="2" max="2" width="42.85546875" customWidth="1"/>
    <col min="3" max="3" width="7" customWidth="1"/>
    <col min="4" max="4" width="4.7109375" customWidth="1"/>
    <col min="5" max="17" width="9.28515625" bestFit="1" customWidth="1"/>
    <col min="18" max="18" width="9.5703125" bestFit="1" customWidth="1"/>
    <col min="19" max="19" width="10.5703125" bestFit="1" customWidth="1"/>
    <col min="20" max="20" width="9.28515625" bestFit="1" customWidth="1"/>
  </cols>
  <sheetData>
    <row r="1" spans="1:22" ht="26.25" x14ac:dyDescent="0.25">
      <c r="A1" s="877" t="s">
        <v>43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9"/>
    </row>
    <row r="2" spans="1:22" ht="30" thickBot="1" x14ac:dyDescent="0.3">
      <c r="A2" s="880" t="s">
        <v>81</v>
      </c>
      <c r="B2" s="880"/>
      <c r="C2" s="880"/>
      <c r="D2" s="880"/>
      <c r="E2" s="880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</row>
    <row r="3" spans="1:22" ht="121.5" thickBot="1" x14ac:dyDescent="0.3">
      <c r="A3" s="457" t="s">
        <v>82</v>
      </c>
      <c r="B3" s="458" t="s">
        <v>1</v>
      </c>
      <c r="C3" s="459" t="s">
        <v>2</v>
      </c>
      <c r="D3" s="458" t="s">
        <v>3</v>
      </c>
      <c r="E3" s="460" t="s">
        <v>22</v>
      </c>
      <c r="F3" s="460" t="s">
        <v>5</v>
      </c>
      <c r="G3" s="460" t="s">
        <v>29</v>
      </c>
      <c r="H3" s="460" t="s">
        <v>70</v>
      </c>
      <c r="I3" s="460" t="s">
        <v>71</v>
      </c>
      <c r="J3" s="460" t="s">
        <v>72</v>
      </c>
      <c r="K3" s="460" t="s">
        <v>73</v>
      </c>
      <c r="L3" s="460" t="s">
        <v>24</v>
      </c>
      <c r="M3" s="460" t="s">
        <v>74</v>
      </c>
      <c r="N3" s="460" t="s">
        <v>75</v>
      </c>
      <c r="O3" s="460" t="s">
        <v>27</v>
      </c>
      <c r="P3" s="460" t="s">
        <v>26</v>
      </c>
      <c r="Q3" s="460" t="s">
        <v>28</v>
      </c>
      <c r="R3" s="460" t="s">
        <v>12</v>
      </c>
      <c r="S3" s="460" t="s">
        <v>13</v>
      </c>
      <c r="T3" s="460" t="s">
        <v>14</v>
      </c>
      <c r="U3" s="460" t="s">
        <v>15</v>
      </c>
      <c r="V3" s="461" t="s">
        <v>16</v>
      </c>
    </row>
    <row r="4" spans="1:22" ht="24" customHeight="1" thickBot="1" x14ac:dyDescent="0.3">
      <c r="A4" s="462">
        <v>1</v>
      </c>
      <c r="B4" s="463"/>
      <c r="C4" s="464">
        <v>16</v>
      </c>
      <c r="D4" s="465" t="s">
        <v>17</v>
      </c>
      <c r="E4" s="378">
        <v>69</v>
      </c>
      <c r="F4" s="379">
        <v>69</v>
      </c>
      <c r="G4" s="379">
        <v>76</v>
      </c>
      <c r="H4" s="379">
        <v>67</v>
      </c>
      <c r="I4" s="379">
        <v>59</v>
      </c>
      <c r="J4" s="379">
        <v>55</v>
      </c>
      <c r="K4" s="379">
        <v>73</v>
      </c>
      <c r="L4" s="379">
        <v>68</v>
      </c>
      <c r="M4" s="379">
        <v>69</v>
      </c>
      <c r="N4" s="379">
        <v>77</v>
      </c>
      <c r="O4" s="379">
        <v>77</v>
      </c>
      <c r="P4" s="378">
        <v>83</v>
      </c>
      <c r="Q4" s="378">
        <v>85</v>
      </c>
      <c r="R4" s="380">
        <f>SUM(E4:Q4)</f>
        <v>927</v>
      </c>
      <c r="S4" s="381">
        <f>AVERAGE(E4:Q4)</f>
        <v>71.307692307692307</v>
      </c>
      <c r="T4" s="382">
        <f>RANK(S4,$S$4:$S$50)</f>
        <v>35</v>
      </c>
      <c r="U4" s="466"/>
      <c r="V4" s="467"/>
    </row>
    <row r="5" spans="1:22" ht="30" customHeight="1" thickBot="1" x14ac:dyDescent="0.3">
      <c r="A5" s="468">
        <v>2</v>
      </c>
      <c r="B5" s="469"/>
      <c r="C5" s="470">
        <v>16</v>
      </c>
      <c r="D5" s="471" t="s">
        <v>17</v>
      </c>
      <c r="E5" s="383">
        <v>82</v>
      </c>
      <c r="F5" s="384">
        <v>72</v>
      </c>
      <c r="G5" s="384">
        <v>78</v>
      </c>
      <c r="H5" s="384">
        <v>75</v>
      </c>
      <c r="I5" s="384">
        <v>77</v>
      </c>
      <c r="J5" s="384">
        <v>76</v>
      </c>
      <c r="K5" s="384">
        <v>80</v>
      </c>
      <c r="L5" s="384">
        <v>70</v>
      </c>
      <c r="M5" s="384">
        <v>84</v>
      </c>
      <c r="N5" s="384">
        <v>74</v>
      </c>
      <c r="O5" s="384">
        <v>84</v>
      </c>
      <c r="P5" s="378">
        <v>88</v>
      </c>
      <c r="Q5" s="378">
        <v>90</v>
      </c>
      <c r="R5" s="380">
        <f t="shared" ref="R5:R50" si="0">SUM(E5:Q5)</f>
        <v>1030</v>
      </c>
      <c r="S5" s="381">
        <f t="shared" ref="S5:S50" si="1">AVERAGE(E5:Q5)</f>
        <v>79.230769230769226</v>
      </c>
      <c r="T5" s="382">
        <f t="shared" ref="T5:T50" si="2">RANK(S5,$S$4:$S$50)</f>
        <v>21</v>
      </c>
      <c r="U5" s="472"/>
      <c r="V5" s="472"/>
    </row>
    <row r="6" spans="1:22" ht="33.75" customHeight="1" thickBot="1" x14ac:dyDescent="0.3">
      <c r="A6" s="468">
        <v>3</v>
      </c>
      <c r="B6" s="469"/>
      <c r="C6" s="470">
        <v>16</v>
      </c>
      <c r="D6" s="473" t="s">
        <v>17</v>
      </c>
      <c r="E6" s="383">
        <v>75</v>
      </c>
      <c r="F6" s="384">
        <v>80</v>
      </c>
      <c r="G6" s="384">
        <v>79</v>
      </c>
      <c r="H6" s="384">
        <v>77</v>
      </c>
      <c r="I6" s="384">
        <v>72</v>
      </c>
      <c r="J6" s="384">
        <v>66</v>
      </c>
      <c r="K6" s="384">
        <v>82</v>
      </c>
      <c r="L6" s="384">
        <v>77</v>
      </c>
      <c r="M6" s="384">
        <v>79</v>
      </c>
      <c r="N6" s="384">
        <v>85</v>
      </c>
      <c r="O6" s="384">
        <v>84</v>
      </c>
      <c r="P6" s="378">
        <v>89</v>
      </c>
      <c r="Q6" s="378">
        <v>84</v>
      </c>
      <c r="R6" s="380">
        <f t="shared" si="0"/>
        <v>1029</v>
      </c>
      <c r="S6" s="381">
        <f t="shared" si="1"/>
        <v>79.15384615384616</v>
      </c>
      <c r="T6" s="382">
        <f t="shared" si="2"/>
        <v>22</v>
      </c>
      <c r="U6" s="472"/>
      <c r="V6" s="472"/>
    </row>
    <row r="7" spans="1:22" ht="33.75" customHeight="1" thickBot="1" x14ac:dyDescent="0.3">
      <c r="A7" s="468">
        <v>4</v>
      </c>
      <c r="B7" s="469"/>
      <c r="C7" s="470">
        <v>14</v>
      </c>
      <c r="D7" s="473" t="s">
        <v>20</v>
      </c>
      <c r="E7" s="383">
        <v>82</v>
      </c>
      <c r="F7" s="384">
        <v>88</v>
      </c>
      <c r="G7" s="384">
        <v>78</v>
      </c>
      <c r="H7" s="384">
        <v>65</v>
      </c>
      <c r="I7" s="384">
        <v>65</v>
      </c>
      <c r="J7" s="384">
        <v>67</v>
      </c>
      <c r="K7" s="384">
        <v>79</v>
      </c>
      <c r="L7" s="384">
        <v>80</v>
      </c>
      <c r="M7" s="384">
        <v>81</v>
      </c>
      <c r="N7" s="384">
        <v>88</v>
      </c>
      <c r="O7" s="384">
        <v>82</v>
      </c>
      <c r="P7" s="378">
        <v>91</v>
      </c>
      <c r="Q7" s="378">
        <v>91</v>
      </c>
      <c r="R7" s="380">
        <f t="shared" si="0"/>
        <v>1037</v>
      </c>
      <c r="S7" s="381">
        <f t="shared" si="1"/>
        <v>79.769230769230774</v>
      </c>
      <c r="T7" s="382">
        <f t="shared" si="2"/>
        <v>19</v>
      </c>
      <c r="U7" s="472"/>
      <c r="V7" s="472"/>
    </row>
    <row r="8" spans="1:22" ht="29.25" customHeight="1" thickBot="1" x14ac:dyDescent="0.3">
      <c r="A8" s="468">
        <v>5</v>
      </c>
      <c r="B8" s="469"/>
      <c r="C8" s="470">
        <v>16</v>
      </c>
      <c r="D8" s="471" t="s">
        <v>20</v>
      </c>
      <c r="E8" s="383">
        <v>86</v>
      </c>
      <c r="F8" s="384">
        <v>78</v>
      </c>
      <c r="G8" s="384">
        <v>70</v>
      </c>
      <c r="H8" s="384">
        <v>64</v>
      </c>
      <c r="I8" s="384">
        <v>68</v>
      </c>
      <c r="J8" s="384">
        <v>66</v>
      </c>
      <c r="K8" s="384">
        <v>65</v>
      </c>
      <c r="L8" s="384">
        <v>84</v>
      </c>
      <c r="M8" s="384">
        <v>79</v>
      </c>
      <c r="N8" s="384">
        <v>84</v>
      </c>
      <c r="O8" s="384">
        <v>74</v>
      </c>
      <c r="P8" s="378">
        <v>89</v>
      </c>
      <c r="Q8" s="378">
        <v>90</v>
      </c>
      <c r="R8" s="380">
        <f t="shared" si="0"/>
        <v>997</v>
      </c>
      <c r="S8" s="381">
        <f t="shared" si="1"/>
        <v>76.692307692307693</v>
      </c>
      <c r="T8" s="382">
        <f t="shared" si="2"/>
        <v>27</v>
      </c>
      <c r="U8" s="472"/>
      <c r="V8" s="472"/>
    </row>
    <row r="9" spans="1:22" ht="27" customHeight="1" thickBot="1" x14ac:dyDescent="0.3">
      <c r="A9" s="468">
        <v>6</v>
      </c>
      <c r="B9" s="469"/>
      <c r="C9" s="470">
        <v>16</v>
      </c>
      <c r="D9" s="473" t="s">
        <v>20</v>
      </c>
      <c r="E9" s="383">
        <v>79</v>
      </c>
      <c r="F9" s="384">
        <v>84</v>
      </c>
      <c r="G9" s="384">
        <v>87</v>
      </c>
      <c r="H9" s="384">
        <v>72</v>
      </c>
      <c r="I9" s="384">
        <v>65</v>
      </c>
      <c r="J9" s="384">
        <v>76</v>
      </c>
      <c r="K9" s="384">
        <v>80</v>
      </c>
      <c r="L9" s="384">
        <v>71</v>
      </c>
      <c r="M9" s="384">
        <v>76</v>
      </c>
      <c r="N9" s="384">
        <v>88</v>
      </c>
      <c r="O9" s="384">
        <v>80</v>
      </c>
      <c r="P9" s="378">
        <v>85</v>
      </c>
      <c r="Q9" s="378">
        <v>92</v>
      </c>
      <c r="R9" s="380">
        <f t="shared" si="0"/>
        <v>1035</v>
      </c>
      <c r="S9" s="381">
        <f t="shared" si="1"/>
        <v>79.615384615384613</v>
      </c>
      <c r="T9" s="382">
        <f t="shared" si="2"/>
        <v>20</v>
      </c>
      <c r="U9" s="472"/>
      <c r="V9" s="472"/>
    </row>
    <row r="10" spans="1:22" ht="30" customHeight="1" thickBot="1" x14ac:dyDescent="0.3">
      <c r="A10" s="468">
        <v>7</v>
      </c>
      <c r="B10" s="469"/>
      <c r="C10" s="470">
        <v>15</v>
      </c>
      <c r="D10" s="473" t="s">
        <v>20</v>
      </c>
      <c r="E10" s="383">
        <v>80</v>
      </c>
      <c r="F10" s="384">
        <v>71</v>
      </c>
      <c r="G10" s="384">
        <v>92</v>
      </c>
      <c r="H10" s="384">
        <v>82</v>
      </c>
      <c r="I10" s="384">
        <v>70</v>
      </c>
      <c r="J10" s="384">
        <v>75</v>
      </c>
      <c r="K10" s="384">
        <v>88</v>
      </c>
      <c r="L10" s="384">
        <v>80</v>
      </c>
      <c r="M10" s="384">
        <v>76</v>
      </c>
      <c r="N10" s="384">
        <v>79</v>
      </c>
      <c r="O10" s="384">
        <v>86</v>
      </c>
      <c r="P10" s="378">
        <v>86</v>
      </c>
      <c r="Q10" s="378">
        <v>92</v>
      </c>
      <c r="R10" s="380">
        <f t="shared" si="0"/>
        <v>1057</v>
      </c>
      <c r="S10" s="381">
        <f t="shared" si="1"/>
        <v>81.307692307692307</v>
      </c>
      <c r="T10" s="382">
        <f t="shared" si="2"/>
        <v>12</v>
      </c>
      <c r="U10" s="472"/>
      <c r="V10" s="472"/>
    </row>
    <row r="11" spans="1:22" ht="40.5" customHeight="1" thickBot="1" x14ac:dyDescent="0.3">
      <c r="A11" s="468">
        <v>8</v>
      </c>
      <c r="B11" s="469"/>
      <c r="C11" s="470">
        <v>16</v>
      </c>
      <c r="D11" s="473" t="s">
        <v>20</v>
      </c>
      <c r="E11" s="383">
        <v>77</v>
      </c>
      <c r="F11" s="384">
        <v>87</v>
      </c>
      <c r="G11" s="384">
        <v>76</v>
      </c>
      <c r="H11" s="384">
        <v>71</v>
      </c>
      <c r="I11" s="384">
        <v>65</v>
      </c>
      <c r="J11" s="384">
        <v>80</v>
      </c>
      <c r="K11" s="384">
        <v>89</v>
      </c>
      <c r="L11" s="384">
        <v>82</v>
      </c>
      <c r="M11" s="384">
        <v>83</v>
      </c>
      <c r="N11" s="384">
        <v>85</v>
      </c>
      <c r="O11" s="384">
        <v>75</v>
      </c>
      <c r="P11" s="378">
        <v>90</v>
      </c>
      <c r="Q11" s="378">
        <v>90</v>
      </c>
      <c r="R11" s="380">
        <f t="shared" si="0"/>
        <v>1050</v>
      </c>
      <c r="S11" s="381">
        <f t="shared" si="1"/>
        <v>80.769230769230774</v>
      </c>
      <c r="T11" s="382">
        <f t="shared" si="2"/>
        <v>15</v>
      </c>
      <c r="U11" s="472"/>
      <c r="V11" s="472"/>
    </row>
    <row r="12" spans="1:22" ht="33.75" customHeight="1" thickBot="1" x14ac:dyDescent="0.3">
      <c r="A12" s="468">
        <v>9</v>
      </c>
      <c r="B12" s="469"/>
      <c r="C12" s="470">
        <v>16</v>
      </c>
      <c r="D12" s="471" t="s">
        <v>17</v>
      </c>
      <c r="E12" s="383">
        <v>74</v>
      </c>
      <c r="F12" s="384">
        <v>64</v>
      </c>
      <c r="G12" s="384">
        <v>80</v>
      </c>
      <c r="H12" s="384">
        <v>71</v>
      </c>
      <c r="I12" s="384">
        <v>67</v>
      </c>
      <c r="J12" s="384">
        <v>69</v>
      </c>
      <c r="K12" s="384">
        <v>86</v>
      </c>
      <c r="L12" s="384">
        <v>79</v>
      </c>
      <c r="M12" s="384">
        <v>92</v>
      </c>
      <c r="N12" s="384">
        <v>85</v>
      </c>
      <c r="O12" s="384">
        <v>71</v>
      </c>
      <c r="P12" s="378">
        <v>83</v>
      </c>
      <c r="Q12" s="378">
        <v>88</v>
      </c>
      <c r="R12" s="380">
        <f t="shared" si="0"/>
        <v>1009</v>
      </c>
      <c r="S12" s="381">
        <f t="shared" si="1"/>
        <v>77.615384615384613</v>
      </c>
      <c r="T12" s="382">
        <f t="shared" si="2"/>
        <v>25</v>
      </c>
      <c r="U12" s="472"/>
      <c r="V12" s="472"/>
    </row>
    <row r="13" spans="1:22" ht="31.5" customHeight="1" thickBot="1" x14ac:dyDescent="0.3">
      <c r="A13" s="468">
        <v>10</v>
      </c>
      <c r="B13" s="469"/>
      <c r="C13" s="470">
        <v>16</v>
      </c>
      <c r="D13" s="471" t="s">
        <v>20</v>
      </c>
      <c r="E13" s="383">
        <v>73</v>
      </c>
      <c r="F13" s="384">
        <v>82</v>
      </c>
      <c r="G13" s="384">
        <v>77</v>
      </c>
      <c r="H13" s="384">
        <v>53</v>
      </c>
      <c r="I13" s="384">
        <v>43</v>
      </c>
      <c r="J13" s="384">
        <v>50</v>
      </c>
      <c r="K13" s="384">
        <v>57</v>
      </c>
      <c r="L13" s="384">
        <v>69</v>
      </c>
      <c r="M13" s="384">
        <v>65</v>
      </c>
      <c r="N13" s="384">
        <v>78</v>
      </c>
      <c r="O13" s="384">
        <v>77</v>
      </c>
      <c r="P13" s="378">
        <v>71</v>
      </c>
      <c r="Q13" s="378">
        <v>86</v>
      </c>
      <c r="R13" s="380">
        <f t="shared" si="0"/>
        <v>881</v>
      </c>
      <c r="S13" s="381">
        <f t="shared" si="1"/>
        <v>67.769230769230774</v>
      </c>
      <c r="T13" s="382">
        <f t="shared" si="2"/>
        <v>41</v>
      </c>
      <c r="U13" s="472"/>
      <c r="V13" s="472"/>
    </row>
    <row r="14" spans="1:22" ht="31.5" customHeight="1" thickBot="1" x14ac:dyDescent="0.3">
      <c r="A14" s="468">
        <v>11</v>
      </c>
      <c r="B14" s="469"/>
      <c r="C14" s="470">
        <v>15</v>
      </c>
      <c r="D14" s="471" t="s">
        <v>20</v>
      </c>
      <c r="E14" s="383">
        <v>73</v>
      </c>
      <c r="F14" s="384">
        <v>59</v>
      </c>
      <c r="G14" s="384">
        <v>82</v>
      </c>
      <c r="H14" s="384">
        <v>53</v>
      </c>
      <c r="I14" s="384">
        <v>53</v>
      </c>
      <c r="J14" s="384">
        <v>51</v>
      </c>
      <c r="K14" s="384">
        <v>61</v>
      </c>
      <c r="L14" s="384">
        <v>79</v>
      </c>
      <c r="M14" s="384">
        <v>65</v>
      </c>
      <c r="N14" s="384">
        <v>69</v>
      </c>
      <c r="O14" s="384">
        <v>70</v>
      </c>
      <c r="P14" s="378">
        <v>76</v>
      </c>
      <c r="Q14" s="378">
        <v>84</v>
      </c>
      <c r="R14" s="380">
        <f t="shared" si="0"/>
        <v>875</v>
      </c>
      <c r="S14" s="381">
        <f t="shared" si="1"/>
        <v>67.307692307692307</v>
      </c>
      <c r="T14" s="382">
        <f t="shared" si="2"/>
        <v>42</v>
      </c>
      <c r="U14" s="472"/>
      <c r="V14" s="472"/>
    </row>
    <row r="15" spans="1:22" ht="32.25" customHeight="1" thickBot="1" x14ac:dyDescent="0.3">
      <c r="A15" s="468">
        <v>12</v>
      </c>
      <c r="B15" s="469"/>
      <c r="C15" s="470">
        <v>16</v>
      </c>
      <c r="D15" s="473" t="s">
        <v>20</v>
      </c>
      <c r="E15" s="383">
        <v>76</v>
      </c>
      <c r="F15" s="384">
        <v>82</v>
      </c>
      <c r="G15" s="384">
        <v>75</v>
      </c>
      <c r="H15" s="384">
        <v>79</v>
      </c>
      <c r="I15" s="384">
        <v>61</v>
      </c>
      <c r="J15" s="384">
        <v>63</v>
      </c>
      <c r="K15" s="384">
        <v>60</v>
      </c>
      <c r="L15" s="384">
        <v>66</v>
      </c>
      <c r="M15" s="384">
        <v>58</v>
      </c>
      <c r="N15" s="384">
        <v>70</v>
      </c>
      <c r="O15" s="384">
        <v>71</v>
      </c>
      <c r="P15" s="378">
        <v>75</v>
      </c>
      <c r="Q15" s="378">
        <v>80</v>
      </c>
      <c r="R15" s="380">
        <f t="shared" si="0"/>
        <v>916</v>
      </c>
      <c r="S15" s="381">
        <f t="shared" si="1"/>
        <v>70.461538461538467</v>
      </c>
      <c r="T15" s="382">
        <f t="shared" si="2"/>
        <v>38</v>
      </c>
      <c r="U15" s="472"/>
      <c r="V15" s="472"/>
    </row>
    <row r="16" spans="1:22" ht="35.25" customHeight="1" thickBot="1" x14ac:dyDescent="0.3">
      <c r="A16" s="468">
        <v>13</v>
      </c>
      <c r="B16" s="469"/>
      <c r="C16" s="470">
        <v>16</v>
      </c>
      <c r="D16" s="471" t="s">
        <v>20</v>
      </c>
      <c r="E16" s="383">
        <v>89</v>
      </c>
      <c r="F16" s="384">
        <v>75</v>
      </c>
      <c r="G16" s="384">
        <v>83</v>
      </c>
      <c r="H16" s="384">
        <v>79</v>
      </c>
      <c r="I16" s="384">
        <v>76</v>
      </c>
      <c r="J16" s="384">
        <v>79</v>
      </c>
      <c r="K16" s="384">
        <v>78</v>
      </c>
      <c r="L16" s="384">
        <v>78</v>
      </c>
      <c r="M16" s="384">
        <v>78</v>
      </c>
      <c r="N16" s="384">
        <v>85</v>
      </c>
      <c r="O16" s="384">
        <v>84</v>
      </c>
      <c r="P16" s="378">
        <v>90</v>
      </c>
      <c r="Q16" s="378">
        <v>90</v>
      </c>
      <c r="R16" s="380">
        <f t="shared" si="0"/>
        <v>1064</v>
      </c>
      <c r="S16" s="381">
        <f t="shared" si="1"/>
        <v>81.84615384615384</v>
      </c>
      <c r="T16" s="382">
        <f t="shared" si="2"/>
        <v>11</v>
      </c>
      <c r="U16" s="472"/>
      <c r="V16" s="472"/>
    </row>
    <row r="17" spans="1:22" ht="37.5" customHeight="1" thickBot="1" x14ac:dyDescent="0.3">
      <c r="A17" s="468">
        <v>14</v>
      </c>
      <c r="B17" s="469"/>
      <c r="C17" s="470">
        <v>16</v>
      </c>
      <c r="D17" s="471" t="s">
        <v>63</v>
      </c>
      <c r="E17" s="383">
        <v>75</v>
      </c>
      <c r="F17" s="384">
        <v>75</v>
      </c>
      <c r="G17" s="384">
        <v>62</v>
      </c>
      <c r="H17" s="384">
        <v>64</v>
      </c>
      <c r="I17" s="384">
        <v>57</v>
      </c>
      <c r="J17" s="384">
        <v>65</v>
      </c>
      <c r="K17" s="384">
        <v>64</v>
      </c>
      <c r="L17" s="384">
        <v>67</v>
      </c>
      <c r="M17" s="384">
        <v>75</v>
      </c>
      <c r="N17" s="384">
        <v>77</v>
      </c>
      <c r="O17" s="384">
        <v>76</v>
      </c>
      <c r="P17" s="378">
        <v>80</v>
      </c>
      <c r="Q17" s="378">
        <v>80</v>
      </c>
      <c r="R17" s="380">
        <f t="shared" si="0"/>
        <v>917</v>
      </c>
      <c r="S17" s="381">
        <f t="shared" si="1"/>
        <v>70.538461538461533</v>
      </c>
      <c r="T17" s="382">
        <f t="shared" si="2"/>
        <v>37</v>
      </c>
      <c r="U17" s="472"/>
      <c r="V17" s="472"/>
    </row>
    <row r="18" spans="1:22" ht="33.75" customHeight="1" thickBot="1" x14ac:dyDescent="0.3">
      <c r="A18" s="468">
        <v>15</v>
      </c>
      <c r="B18" s="469"/>
      <c r="C18" s="470">
        <v>16</v>
      </c>
      <c r="D18" s="471" t="s">
        <v>20</v>
      </c>
      <c r="E18" s="383">
        <v>88</v>
      </c>
      <c r="F18" s="384">
        <v>89</v>
      </c>
      <c r="G18" s="384">
        <v>87</v>
      </c>
      <c r="H18" s="384">
        <v>78</v>
      </c>
      <c r="I18" s="384">
        <v>74</v>
      </c>
      <c r="J18" s="384">
        <v>77</v>
      </c>
      <c r="K18" s="384">
        <v>81</v>
      </c>
      <c r="L18" s="384">
        <v>80</v>
      </c>
      <c r="M18" s="384">
        <v>89</v>
      </c>
      <c r="N18" s="384">
        <v>94</v>
      </c>
      <c r="O18" s="384">
        <v>86</v>
      </c>
      <c r="P18" s="378">
        <v>91</v>
      </c>
      <c r="Q18" s="378">
        <v>86</v>
      </c>
      <c r="R18" s="380">
        <f t="shared" si="0"/>
        <v>1100</v>
      </c>
      <c r="S18" s="381">
        <f t="shared" si="1"/>
        <v>84.615384615384613</v>
      </c>
      <c r="T18" s="382">
        <f t="shared" si="2"/>
        <v>5</v>
      </c>
      <c r="U18" s="472"/>
      <c r="V18" s="472"/>
    </row>
    <row r="19" spans="1:22" ht="31.5" customHeight="1" thickBot="1" x14ac:dyDescent="0.3">
      <c r="A19" s="468">
        <v>16</v>
      </c>
      <c r="B19" s="469"/>
      <c r="C19" s="470">
        <v>16</v>
      </c>
      <c r="D19" s="473" t="s">
        <v>20</v>
      </c>
      <c r="E19" s="383">
        <v>86</v>
      </c>
      <c r="F19" s="384">
        <v>86</v>
      </c>
      <c r="G19" s="384">
        <v>75</v>
      </c>
      <c r="H19" s="384">
        <v>71</v>
      </c>
      <c r="I19" s="384">
        <v>74</v>
      </c>
      <c r="J19" s="384">
        <v>79</v>
      </c>
      <c r="K19" s="384">
        <v>78</v>
      </c>
      <c r="L19" s="384">
        <v>80</v>
      </c>
      <c r="M19" s="384">
        <v>74</v>
      </c>
      <c r="N19" s="384">
        <v>81</v>
      </c>
      <c r="O19" s="384">
        <v>90</v>
      </c>
      <c r="P19" s="378">
        <v>85</v>
      </c>
      <c r="Q19" s="378">
        <v>85</v>
      </c>
      <c r="R19" s="380">
        <f t="shared" si="0"/>
        <v>1044</v>
      </c>
      <c r="S19" s="381">
        <f t="shared" si="1"/>
        <v>80.307692307692307</v>
      </c>
      <c r="T19" s="382">
        <f t="shared" si="2"/>
        <v>16</v>
      </c>
      <c r="U19" s="472"/>
      <c r="V19" s="472"/>
    </row>
    <row r="20" spans="1:22" ht="36.75" customHeight="1" thickBot="1" x14ac:dyDescent="0.3">
      <c r="A20" s="468">
        <v>17</v>
      </c>
      <c r="B20" s="469"/>
      <c r="C20" s="470">
        <v>15</v>
      </c>
      <c r="D20" s="473" t="s">
        <v>20</v>
      </c>
      <c r="E20" s="383">
        <v>90</v>
      </c>
      <c r="F20" s="384">
        <v>79</v>
      </c>
      <c r="G20" s="384">
        <v>85</v>
      </c>
      <c r="H20" s="384">
        <v>81</v>
      </c>
      <c r="I20" s="384">
        <v>73</v>
      </c>
      <c r="J20" s="384">
        <v>69</v>
      </c>
      <c r="K20" s="384">
        <v>77</v>
      </c>
      <c r="L20" s="384">
        <v>88</v>
      </c>
      <c r="M20" s="384">
        <v>91</v>
      </c>
      <c r="N20" s="384">
        <v>94</v>
      </c>
      <c r="O20" s="384">
        <v>83</v>
      </c>
      <c r="P20" s="378">
        <v>92</v>
      </c>
      <c r="Q20" s="378">
        <v>96</v>
      </c>
      <c r="R20" s="380">
        <f t="shared" si="0"/>
        <v>1098</v>
      </c>
      <c r="S20" s="381">
        <f t="shared" si="1"/>
        <v>84.461538461538467</v>
      </c>
      <c r="T20" s="382">
        <f t="shared" si="2"/>
        <v>6</v>
      </c>
      <c r="U20" s="472"/>
      <c r="V20" s="472"/>
    </row>
    <row r="21" spans="1:22" ht="27" thickBot="1" x14ac:dyDescent="0.3">
      <c r="A21" s="468">
        <v>18</v>
      </c>
      <c r="B21" s="469"/>
      <c r="C21" s="470">
        <v>15</v>
      </c>
      <c r="D21" s="471" t="s">
        <v>20</v>
      </c>
      <c r="E21" s="383">
        <v>78</v>
      </c>
      <c r="F21" s="384">
        <v>77</v>
      </c>
      <c r="G21" s="384">
        <v>77</v>
      </c>
      <c r="H21" s="384">
        <v>57</v>
      </c>
      <c r="I21" s="384">
        <v>61</v>
      </c>
      <c r="J21" s="384">
        <v>60</v>
      </c>
      <c r="K21" s="384">
        <v>59</v>
      </c>
      <c r="L21" s="384">
        <v>65</v>
      </c>
      <c r="M21" s="384">
        <v>74</v>
      </c>
      <c r="N21" s="384">
        <v>79</v>
      </c>
      <c r="O21" s="384">
        <v>66</v>
      </c>
      <c r="P21" s="378">
        <v>90</v>
      </c>
      <c r="Q21" s="378">
        <v>85</v>
      </c>
      <c r="R21" s="380">
        <f t="shared" si="0"/>
        <v>928</v>
      </c>
      <c r="S21" s="381">
        <f t="shared" si="1"/>
        <v>71.384615384615387</v>
      </c>
      <c r="T21" s="382">
        <f t="shared" si="2"/>
        <v>34</v>
      </c>
      <c r="U21" s="472"/>
      <c r="V21" s="472"/>
    </row>
    <row r="22" spans="1:22" ht="29.25" customHeight="1" thickBot="1" x14ac:dyDescent="0.3">
      <c r="A22" s="468">
        <v>19</v>
      </c>
      <c r="B22" s="469"/>
      <c r="C22" s="470">
        <v>16</v>
      </c>
      <c r="D22" s="473" t="s">
        <v>20</v>
      </c>
      <c r="E22" s="383">
        <v>68</v>
      </c>
      <c r="F22" s="384">
        <v>61</v>
      </c>
      <c r="G22" s="385">
        <v>73</v>
      </c>
      <c r="H22" s="384">
        <v>61</v>
      </c>
      <c r="I22" s="384">
        <v>50</v>
      </c>
      <c r="J22" s="384">
        <v>46</v>
      </c>
      <c r="K22" s="384">
        <v>61</v>
      </c>
      <c r="L22" s="384">
        <v>59</v>
      </c>
      <c r="M22" s="384">
        <v>51</v>
      </c>
      <c r="N22" s="384">
        <v>69</v>
      </c>
      <c r="O22" s="384">
        <v>66</v>
      </c>
      <c r="P22" s="378">
        <v>77</v>
      </c>
      <c r="Q22" s="378">
        <v>80</v>
      </c>
      <c r="R22" s="380">
        <f t="shared" si="0"/>
        <v>822</v>
      </c>
      <c r="S22" s="381">
        <f t="shared" si="1"/>
        <v>63.230769230769234</v>
      </c>
      <c r="T22" s="382">
        <f t="shared" si="2"/>
        <v>45</v>
      </c>
      <c r="U22" s="472"/>
      <c r="V22" s="472"/>
    </row>
    <row r="23" spans="1:22" ht="35.25" customHeight="1" thickBot="1" x14ac:dyDescent="0.3">
      <c r="A23" s="468">
        <v>20</v>
      </c>
      <c r="B23" s="469"/>
      <c r="C23" s="470">
        <v>15</v>
      </c>
      <c r="D23" s="473" t="s">
        <v>17</v>
      </c>
      <c r="E23" s="383">
        <v>82</v>
      </c>
      <c r="F23" s="384">
        <v>90</v>
      </c>
      <c r="G23" s="384">
        <v>87</v>
      </c>
      <c r="H23" s="384">
        <v>84</v>
      </c>
      <c r="I23" s="384">
        <v>78</v>
      </c>
      <c r="J23" s="384">
        <v>85</v>
      </c>
      <c r="K23" s="384">
        <v>94</v>
      </c>
      <c r="L23" s="384">
        <v>87</v>
      </c>
      <c r="M23" s="384">
        <v>92</v>
      </c>
      <c r="N23" s="384">
        <v>89</v>
      </c>
      <c r="O23" s="384">
        <v>88</v>
      </c>
      <c r="P23" s="378">
        <v>92</v>
      </c>
      <c r="Q23" s="378">
        <v>94</v>
      </c>
      <c r="R23" s="380">
        <f t="shared" si="0"/>
        <v>1142</v>
      </c>
      <c r="S23" s="381">
        <f t="shared" si="1"/>
        <v>87.84615384615384</v>
      </c>
      <c r="T23" s="382">
        <f t="shared" si="2"/>
        <v>3</v>
      </c>
      <c r="U23" s="472"/>
      <c r="V23" s="472"/>
    </row>
    <row r="24" spans="1:22" ht="36" customHeight="1" thickBot="1" x14ac:dyDescent="0.3">
      <c r="A24" s="468">
        <v>21</v>
      </c>
      <c r="B24" s="469"/>
      <c r="C24" s="470">
        <v>16</v>
      </c>
      <c r="D24" s="473" t="s">
        <v>20</v>
      </c>
      <c r="E24" s="383">
        <v>80</v>
      </c>
      <c r="F24" s="384">
        <v>93</v>
      </c>
      <c r="G24" s="384">
        <v>97</v>
      </c>
      <c r="H24" s="384">
        <v>94</v>
      </c>
      <c r="I24" s="384">
        <v>85</v>
      </c>
      <c r="J24" s="384">
        <v>91</v>
      </c>
      <c r="K24" s="384">
        <v>89</v>
      </c>
      <c r="L24" s="384">
        <v>88</v>
      </c>
      <c r="M24" s="384">
        <v>86</v>
      </c>
      <c r="N24" s="384">
        <v>95</v>
      </c>
      <c r="O24" s="384">
        <v>90</v>
      </c>
      <c r="P24" s="378">
        <v>90</v>
      </c>
      <c r="Q24" s="378">
        <v>99</v>
      </c>
      <c r="R24" s="380">
        <f t="shared" si="0"/>
        <v>1177</v>
      </c>
      <c r="S24" s="381">
        <f t="shared" si="1"/>
        <v>90.538461538461533</v>
      </c>
      <c r="T24" s="382">
        <f t="shared" si="2"/>
        <v>2</v>
      </c>
      <c r="U24" s="472"/>
      <c r="V24" s="472"/>
    </row>
    <row r="25" spans="1:22" ht="33.75" customHeight="1" thickBot="1" x14ac:dyDescent="0.3">
      <c r="A25" s="468">
        <v>22</v>
      </c>
      <c r="B25" s="474"/>
      <c r="C25" s="475">
        <v>15</v>
      </c>
      <c r="D25" s="476" t="s">
        <v>17</v>
      </c>
      <c r="E25" s="383">
        <v>79</v>
      </c>
      <c r="F25" s="384">
        <v>84</v>
      </c>
      <c r="G25" s="385">
        <v>73</v>
      </c>
      <c r="H25" s="384">
        <v>89</v>
      </c>
      <c r="I25" s="384">
        <v>73</v>
      </c>
      <c r="J25" s="384">
        <v>65</v>
      </c>
      <c r="K25" s="384">
        <v>67</v>
      </c>
      <c r="L25" s="384">
        <v>60</v>
      </c>
      <c r="M25" s="384">
        <v>59</v>
      </c>
      <c r="N25" s="384">
        <v>79</v>
      </c>
      <c r="O25" s="384">
        <v>83</v>
      </c>
      <c r="P25" s="378">
        <v>88</v>
      </c>
      <c r="Q25" s="378">
        <v>82</v>
      </c>
      <c r="R25" s="380">
        <f t="shared" si="0"/>
        <v>981</v>
      </c>
      <c r="S25" s="381">
        <f t="shared" si="1"/>
        <v>75.461538461538467</v>
      </c>
      <c r="T25" s="382">
        <f t="shared" si="2"/>
        <v>28</v>
      </c>
      <c r="U25" s="472"/>
      <c r="V25" s="472"/>
    </row>
    <row r="26" spans="1:22" ht="33" customHeight="1" thickBot="1" x14ac:dyDescent="0.3">
      <c r="A26" s="468">
        <v>23</v>
      </c>
      <c r="B26" s="474"/>
      <c r="C26" s="475">
        <v>15</v>
      </c>
      <c r="D26" s="476" t="s">
        <v>17</v>
      </c>
      <c r="E26" s="383">
        <v>69</v>
      </c>
      <c r="F26" s="384">
        <v>61</v>
      </c>
      <c r="G26" s="384">
        <v>66</v>
      </c>
      <c r="H26" s="384">
        <v>58</v>
      </c>
      <c r="I26" s="384">
        <v>56</v>
      </c>
      <c r="J26" s="384">
        <v>47</v>
      </c>
      <c r="K26" s="384">
        <v>73</v>
      </c>
      <c r="L26" s="384">
        <v>68</v>
      </c>
      <c r="M26" s="384">
        <v>66</v>
      </c>
      <c r="N26" s="384">
        <v>69</v>
      </c>
      <c r="O26" s="384">
        <v>78</v>
      </c>
      <c r="P26" s="378">
        <v>75</v>
      </c>
      <c r="Q26" s="378">
        <v>84</v>
      </c>
      <c r="R26" s="380">
        <f t="shared" si="0"/>
        <v>870</v>
      </c>
      <c r="S26" s="381">
        <f t="shared" si="1"/>
        <v>66.92307692307692</v>
      </c>
      <c r="T26" s="382">
        <f t="shared" si="2"/>
        <v>43</v>
      </c>
      <c r="U26" s="472"/>
      <c r="V26" s="472"/>
    </row>
    <row r="27" spans="1:22" ht="33" customHeight="1" thickBot="1" x14ac:dyDescent="0.3">
      <c r="A27" s="468">
        <v>24</v>
      </c>
      <c r="B27" s="474"/>
      <c r="C27" s="475">
        <v>16</v>
      </c>
      <c r="D27" s="476" t="s">
        <v>17</v>
      </c>
      <c r="E27" s="383">
        <v>80</v>
      </c>
      <c r="F27" s="384">
        <v>79</v>
      </c>
      <c r="G27" s="384">
        <v>74</v>
      </c>
      <c r="H27" s="384">
        <v>43</v>
      </c>
      <c r="I27" s="384">
        <v>58</v>
      </c>
      <c r="J27" s="384">
        <v>45</v>
      </c>
      <c r="K27" s="384">
        <v>56</v>
      </c>
      <c r="L27" s="384">
        <v>75</v>
      </c>
      <c r="M27" s="384">
        <v>87</v>
      </c>
      <c r="N27" s="384">
        <v>79</v>
      </c>
      <c r="O27" s="384">
        <v>68</v>
      </c>
      <c r="P27" s="378">
        <v>87</v>
      </c>
      <c r="Q27" s="378">
        <v>95</v>
      </c>
      <c r="R27" s="380">
        <f t="shared" si="0"/>
        <v>926</v>
      </c>
      <c r="S27" s="381">
        <f t="shared" si="1"/>
        <v>71.230769230769226</v>
      </c>
      <c r="T27" s="382">
        <f t="shared" si="2"/>
        <v>36</v>
      </c>
      <c r="U27" s="472"/>
      <c r="V27" s="472"/>
    </row>
    <row r="28" spans="1:22" ht="38.25" customHeight="1" thickBot="1" x14ac:dyDescent="0.3">
      <c r="A28" s="468">
        <v>25</v>
      </c>
      <c r="B28" s="474"/>
      <c r="C28" s="475">
        <v>16</v>
      </c>
      <c r="D28" s="477" t="s">
        <v>20</v>
      </c>
      <c r="E28" s="383">
        <v>72</v>
      </c>
      <c r="F28" s="384">
        <v>56</v>
      </c>
      <c r="G28" s="384">
        <v>64</v>
      </c>
      <c r="H28" s="384">
        <v>53</v>
      </c>
      <c r="I28" s="384">
        <v>54</v>
      </c>
      <c r="J28" s="384">
        <v>46</v>
      </c>
      <c r="K28" s="384">
        <v>51</v>
      </c>
      <c r="L28" s="384">
        <v>61</v>
      </c>
      <c r="M28" s="384">
        <v>68</v>
      </c>
      <c r="N28" s="384">
        <v>72</v>
      </c>
      <c r="O28" s="384">
        <v>61</v>
      </c>
      <c r="P28" s="378">
        <v>83</v>
      </c>
      <c r="Q28" s="378">
        <v>76</v>
      </c>
      <c r="R28" s="380">
        <f t="shared" si="0"/>
        <v>817</v>
      </c>
      <c r="S28" s="381">
        <f t="shared" si="1"/>
        <v>62.846153846153847</v>
      </c>
      <c r="T28" s="382">
        <f t="shared" si="2"/>
        <v>47</v>
      </c>
      <c r="U28" s="472"/>
      <c r="V28" s="472"/>
    </row>
    <row r="29" spans="1:22" ht="39.75" customHeight="1" thickBot="1" x14ac:dyDescent="0.3">
      <c r="A29" s="468">
        <v>26</v>
      </c>
      <c r="B29" s="478"/>
      <c r="C29" s="479">
        <v>15</v>
      </c>
      <c r="D29" s="480" t="s">
        <v>20</v>
      </c>
      <c r="E29" s="383">
        <v>96</v>
      </c>
      <c r="F29" s="384">
        <v>93</v>
      </c>
      <c r="G29" s="384">
        <v>91</v>
      </c>
      <c r="H29" s="384">
        <v>95</v>
      </c>
      <c r="I29" s="384">
        <v>94</v>
      </c>
      <c r="J29" s="384">
        <v>97</v>
      </c>
      <c r="K29" s="384">
        <v>99</v>
      </c>
      <c r="L29" s="384">
        <v>100</v>
      </c>
      <c r="M29" s="384">
        <v>96</v>
      </c>
      <c r="N29" s="384">
        <v>94</v>
      </c>
      <c r="O29" s="384">
        <v>98</v>
      </c>
      <c r="P29" s="378">
        <v>97</v>
      </c>
      <c r="Q29" s="378">
        <v>95</v>
      </c>
      <c r="R29" s="380">
        <f t="shared" si="0"/>
        <v>1245</v>
      </c>
      <c r="S29" s="381">
        <f t="shared" si="1"/>
        <v>95.769230769230774</v>
      </c>
      <c r="T29" s="382">
        <f t="shared" si="2"/>
        <v>1</v>
      </c>
      <c r="U29" s="472"/>
      <c r="V29" s="472"/>
    </row>
    <row r="30" spans="1:22" ht="36.75" customHeight="1" thickBot="1" x14ac:dyDescent="0.3">
      <c r="A30" s="468">
        <v>27</v>
      </c>
      <c r="B30" s="469"/>
      <c r="C30" s="470">
        <v>16</v>
      </c>
      <c r="D30" s="473" t="s">
        <v>17</v>
      </c>
      <c r="E30" s="383">
        <v>76</v>
      </c>
      <c r="F30" s="384">
        <v>51</v>
      </c>
      <c r="G30" s="384">
        <v>66</v>
      </c>
      <c r="H30" s="384">
        <v>64</v>
      </c>
      <c r="I30" s="384">
        <v>50</v>
      </c>
      <c r="J30" s="384">
        <v>55</v>
      </c>
      <c r="K30" s="384">
        <v>61</v>
      </c>
      <c r="L30" s="384">
        <v>69</v>
      </c>
      <c r="M30" s="384">
        <v>77</v>
      </c>
      <c r="N30" s="384">
        <v>64</v>
      </c>
      <c r="O30" s="384">
        <v>77</v>
      </c>
      <c r="P30" s="378">
        <v>82</v>
      </c>
      <c r="Q30" s="378">
        <v>75</v>
      </c>
      <c r="R30" s="380">
        <f t="shared" si="0"/>
        <v>867</v>
      </c>
      <c r="S30" s="381">
        <f t="shared" si="1"/>
        <v>66.692307692307693</v>
      </c>
      <c r="T30" s="382">
        <f t="shared" si="2"/>
        <v>44</v>
      </c>
      <c r="U30" s="472"/>
      <c r="V30" s="472"/>
    </row>
    <row r="31" spans="1:22" ht="36.75" customHeight="1" thickBot="1" x14ac:dyDescent="0.3">
      <c r="A31" s="468">
        <v>28</v>
      </c>
      <c r="B31" s="469"/>
      <c r="C31" s="470">
        <v>16</v>
      </c>
      <c r="D31" s="471" t="s">
        <v>17</v>
      </c>
      <c r="E31" s="383">
        <v>84</v>
      </c>
      <c r="F31" s="384">
        <v>86</v>
      </c>
      <c r="G31" s="385">
        <v>83</v>
      </c>
      <c r="H31" s="385">
        <v>74</v>
      </c>
      <c r="I31" s="384">
        <v>67</v>
      </c>
      <c r="J31" s="385">
        <v>75</v>
      </c>
      <c r="K31" s="384">
        <v>74</v>
      </c>
      <c r="L31" s="384">
        <v>73</v>
      </c>
      <c r="M31" s="384">
        <v>86</v>
      </c>
      <c r="N31" s="384">
        <v>84</v>
      </c>
      <c r="O31" s="384">
        <v>74</v>
      </c>
      <c r="P31" s="378">
        <v>93</v>
      </c>
      <c r="Q31" s="378">
        <v>90</v>
      </c>
      <c r="R31" s="380">
        <f t="shared" si="0"/>
        <v>1043</v>
      </c>
      <c r="S31" s="381">
        <f t="shared" si="1"/>
        <v>80.230769230769226</v>
      </c>
      <c r="T31" s="382">
        <f t="shared" si="2"/>
        <v>17</v>
      </c>
      <c r="U31" s="472"/>
      <c r="V31" s="472"/>
    </row>
    <row r="32" spans="1:22" ht="36.75" customHeight="1" thickBot="1" x14ac:dyDescent="0.3">
      <c r="A32" s="468">
        <v>29</v>
      </c>
      <c r="B32" s="469"/>
      <c r="C32" s="470">
        <v>16</v>
      </c>
      <c r="D32" s="471" t="s">
        <v>17</v>
      </c>
      <c r="E32" s="383">
        <v>76</v>
      </c>
      <c r="F32" s="385">
        <v>76</v>
      </c>
      <c r="G32" s="385">
        <v>76</v>
      </c>
      <c r="H32" s="384">
        <v>77</v>
      </c>
      <c r="I32" s="385">
        <v>54</v>
      </c>
      <c r="J32" s="384">
        <v>76</v>
      </c>
      <c r="K32" s="384">
        <v>86</v>
      </c>
      <c r="L32" s="384">
        <v>78</v>
      </c>
      <c r="M32" s="384">
        <v>89</v>
      </c>
      <c r="N32" s="384">
        <v>87</v>
      </c>
      <c r="O32" s="384">
        <v>96</v>
      </c>
      <c r="P32" s="378">
        <v>75</v>
      </c>
      <c r="Q32" s="378">
        <v>97</v>
      </c>
      <c r="R32" s="380">
        <f t="shared" si="0"/>
        <v>1043</v>
      </c>
      <c r="S32" s="381">
        <f t="shared" si="1"/>
        <v>80.230769230769226</v>
      </c>
      <c r="T32" s="382">
        <f t="shared" si="2"/>
        <v>17</v>
      </c>
      <c r="U32" s="472"/>
      <c r="V32" s="472"/>
    </row>
    <row r="33" spans="1:22" ht="36" customHeight="1" thickBot="1" x14ac:dyDescent="0.3">
      <c r="A33" s="468">
        <v>30</v>
      </c>
      <c r="B33" s="469"/>
      <c r="C33" s="470">
        <v>16</v>
      </c>
      <c r="D33" s="473" t="s">
        <v>17</v>
      </c>
      <c r="E33" s="383">
        <v>81</v>
      </c>
      <c r="F33" s="384">
        <v>79</v>
      </c>
      <c r="G33" s="384">
        <v>69</v>
      </c>
      <c r="H33" s="384">
        <v>67</v>
      </c>
      <c r="I33" s="384">
        <v>59</v>
      </c>
      <c r="J33" s="384">
        <v>57</v>
      </c>
      <c r="K33" s="384">
        <v>82</v>
      </c>
      <c r="L33" s="384">
        <v>70</v>
      </c>
      <c r="M33" s="384">
        <v>76</v>
      </c>
      <c r="N33" s="384">
        <v>84</v>
      </c>
      <c r="O33" s="384">
        <v>65</v>
      </c>
      <c r="P33" s="378">
        <v>82</v>
      </c>
      <c r="Q33" s="378">
        <v>75</v>
      </c>
      <c r="R33" s="380">
        <f t="shared" si="0"/>
        <v>946</v>
      </c>
      <c r="S33" s="381">
        <f t="shared" si="1"/>
        <v>72.769230769230774</v>
      </c>
      <c r="T33" s="382">
        <f t="shared" si="2"/>
        <v>33</v>
      </c>
      <c r="U33" s="472"/>
      <c r="V33" s="472"/>
    </row>
    <row r="34" spans="1:22" ht="36.75" customHeight="1" thickBot="1" x14ac:dyDescent="0.3">
      <c r="A34" s="468">
        <v>31</v>
      </c>
      <c r="B34" s="469"/>
      <c r="C34" s="470">
        <v>16</v>
      </c>
      <c r="D34" s="470" t="s">
        <v>17</v>
      </c>
      <c r="E34" s="383">
        <v>78</v>
      </c>
      <c r="F34" s="384">
        <v>70</v>
      </c>
      <c r="G34" s="385">
        <v>81</v>
      </c>
      <c r="H34" s="384">
        <v>85</v>
      </c>
      <c r="I34" s="384">
        <v>65</v>
      </c>
      <c r="J34" s="384">
        <v>69</v>
      </c>
      <c r="K34" s="384">
        <v>66</v>
      </c>
      <c r="L34" s="384">
        <v>69</v>
      </c>
      <c r="M34" s="384">
        <v>71</v>
      </c>
      <c r="N34" s="384">
        <v>68</v>
      </c>
      <c r="O34" s="384">
        <v>79</v>
      </c>
      <c r="P34" s="378">
        <v>83</v>
      </c>
      <c r="Q34" s="378">
        <v>84</v>
      </c>
      <c r="R34" s="380">
        <f t="shared" si="0"/>
        <v>968</v>
      </c>
      <c r="S34" s="381">
        <f t="shared" si="1"/>
        <v>74.461538461538467</v>
      </c>
      <c r="T34" s="382">
        <f t="shared" si="2"/>
        <v>31</v>
      </c>
      <c r="U34" s="472"/>
      <c r="V34" s="472"/>
    </row>
    <row r="35" spans="1:22" ht="38.25" customHeight="1" thickBot="1" x14ac:dyDescent="0.3">
      <c r="A35" s="468">
        <v>32</v>
      </c>
      <c r="B35" s="469"/>
      <c r="C35" s="470">
        <v>16</v>
      </c>
      <c r="D35" s="470" t="s">
        <v>17</v>
      </c>
      <c r="E35" s="383">
        <v>76</v>
      </c>
      <c r="F35" s="384">
        <v>84</v>
      </c>
      <c r="G35" s="384">
        <v>79</v>
      </c>
      <c r="H35" s="384">
        <v>78</v>
      </c>
      <c r="I35" s="384">
        <v>72</v>
      </c>
      <c r="J35" s="384">
        <v>76</v>
      </c>
      <c r="K35" s="384">
        <v>81</v>
      </c>
      <c r="L35" s="384">
        <v>79</v>
      </c>
      <c r="M35" s="384">
        <v>76</v>
      </c>
      <c r="N35" s="384">
        <v>82</v>
      </c>
      <c r="O35" s="384">
        <v>70</v>
      </c>
      <c r="P35" s="378">
        <v>90</v>
      </c>
      <c r="Q35" s="378">
        <v>79</v>
      </c>
      <c r="R35" s="380">
        <f t="shared" si="0"/>
        <v>1022</v>
      </c>
      <c r="S35" s="381">
        <f t="shared" si="1"/>
        <v>78.615384615384613</v>
      </c>
      <c r="T35" s="382">
        <f t="shared" si="2"/>
        <v>23</v>
      </c>
      <c r="U35" s="472"/>
      <c r="V35" s="472"/>
    </row>
    <row r="36" spans="1:22" ht="33" customHeight="1" thickBot="1" x14ac:dyDescent="0.3">
      <c r="A36" s="468">
        <v>33</v>
      </c>
      <c r="B36" s="469"/>
      <c r="C36" s="470">
        <v>16</v>
      </c>
      <c r="D36" s="470" t="s">
        <v>17</v>
      </c>
      <c r="E36" s="383">
        <v>84</v>
      </c>
      <c r="F36" s="384">
        <v>75</v>
      </c>
      <c r="G36" s="384">
        <v>77</v>
      </c>
      <c r="H36" s="384">
        <v>81</v>
      </c>
      <c r="I36" s="384">
        <v>74</v>
      </c>
      <c r="J36" s="384">
        <v>71</v>
      </c>
      <c r="K36" s="384">
        <v>85</v>
      </c>
      <c r="L36" s="384">
        <v>80</v>
      </c>
      <c r="M36" s="384">
        <v>71</v>
      </c>
      <c r="N36" s="384">
        <v>89</v>
      </c>
      <c r="O36" s="384">
        <v>76</v>
      </c>
      <c r="P36" s="378">
        <v>90</v>
      </c>
      <c r="Q36" s="378">
        <v>98</v>
      </c>
      <c r="R36" s="380">
        <f t="shared" si="0"/>
        <v>1051</v>
      </c>
      <c r="S36" s="381">
        <f t="shared" si="1"/>
        <v>80.84615384615384</v>
      </c>
      <c r="T36" s="382">
        <f t="shared" si="2"/>
        <v>14</v>
      </c>
      <c r="U36" s="472"/>
      <c r="V36" s="472"/>
    </row>
    <row r="37" spans="1:22" ht="34.5" customHeight="1" thickBot="1" x14ac:dyDescent="0.3">
      <c r="A37" s="468">
        <v>34</v>
      </c>
      <c r="B37" s="469"/>
      <c r="C37" s="470">
        <v>15</v>
      </c>
      <c r="D37" s="470" t="s">
        <v>20</v>
      </c>
      <c r="E37" s="383">
        <v>88</v>
      </c>
      <c r="F37" s="385">
        <v>87</v>
      </c>
      <c r="G37" s="385">
        <v>88</v>
      </c>
      <c r="H37" s="385">
        <v>82</v>
      </c>
      <c r="I37" s="384">
        <v>75</v>
      </c>
      <c r="J37" s="384">
        <v>80</v>
      </c>
      <c r="K37" s="384">
        <v>84</v>
      </c>
      <c r="L37" s="384">
        <v>76</v>
      </c>
      <c r="M37" s="384">
        <v>84</v>
      </c>
      <c r="N37" s="384">
        <v>92</v>
      </c>
      <c r="O37" s="385">
        <v>77</v>
      </c>
      <c r="P37" s="386">
        <v>87</v>
      </c>
      <c r="Q37" s="386">
        <v>96</v>
      </c>
      <c r="R37" s="380">
        <f t="shared" si="0"/>
        <v>1096</v>
      </c>
      <c r="S37" s="381">
        <f t="shared" si="1"/>
        <v>84.307692307692307</v>
      </c>
      <c r="T37" s="382">
        <f t="shared" si="2"/>
        <v>7</v>
      </c>
      <c r="U37" s="472"/>
      <c r="V37" s="472"/>
    </row>
    <row r="38" spans="1:22" ht="36.75" customHeight="1" thickBot="1" x14ac:dyDescent="0.3">
      <c r="A38" s="468">
        <v>35</v>
      </c>
      <c r="B38" s="469"/>
      <c r="C38" s="470">
        <v>15</v>
      </c>
      <c r="D38" s="471" t="s">
        <v>17</v>
      </c>
      <c r="E38" s="383">
        <v>82</v>
      </c>
      <c r="F38" s="384">
        <v>80</v>
      </c>
      <c r="G38" s="385">
        <v>86</v>
      </c>
      <c r="H38" s="384">
        <v>78</v>
      </c>
      <c r="I38" s="384">
        <v>78</v>
      </c>
      <c r="J38" s="384">
        <v>67</v>
      </c>
      <c r="K38" s="385">
        <v>80</v>
      </c>
      <c r="L38" s="384">
        <v>81</v>
      </c>
      <c r="M38" s="384">
        <v>83</v>
      </c>
      <c r="N38" s="384">
        <v>83</v>
      </c>
      <c r="O38" s="384">
        <v>76</v>
      </c>
      <c r="P38" s="378">
        <v>88</v>
      </c>
      <c r="Q38" s="378">
        <v>90</v>
      </c>
      <c r="R38" s="380">
        <f t="shared" si="0"/>
        <v>1052</v>
      </c>
      <c r="S38" s="381">
        <f t="shared" si="1"/>
        <v>80.92307692307692</v>
      </c>
      <c r="T38" s="382">
        <f t="shared" si="2"/>
        <v>13</v>
      </c>
      <c r="U38" s="472"/>
      <c r="V38" s="472"/>
    </row>
    <row r="39" spans="1:22" ht="36.75" customHeight="1" thickBot="1" x14ac:dyDescent="0.3">
      <c r="A39" s="468">
        <v>36</v>
      </c>
      <c r="B39" s="469"/>
      <c r="C39" s="470">
        <v>16</v>
      </c>
      <c r="D39" s="473" t="s">
        <v>20</v>
      </c>
      <c r="E39" s="383">
        <v>83</v>
      </c>
      <c r="F39" s="384">
        <v>81</v>
      </c>
      <c r="G39" s="384">
        <v>85</v>
      </c>
      <c r="H39" s="384">
        <v>52</v>
      </c>
      <c r="I39" s="384">
        <v>62</v>
      </c>
      <c r="J39" s="384">
        <v>53</v>
      </c>
      <c r="K39" s="384">
        <v>71</v>
      </c>
      <c r="L39" s="384">
        <v>71</v>
      </c>
      <c r="M39" s="384">
        <v>67</v>
      </c>
      <c r="N39" s="384">
        <v>82</v>
      </c>
      <c r="O39" s="384">
        <v>84</v>
      </c>
      <c r="P39" s="378">
        <v>77</v>
      </c>
      <c r="Q39" s="378">
        <v>94</v>
      </c>
      <c r="R39" s="380">
        <f t="shared" si="0"/>
        <v>962</v>
      </c>
      <c r="S39" s="381">
        <f t="shared" si="1"/>
        <v>74</v>
      </c>
      <c r="T39" s="382">
        <f t="shared" si="2"/>
        <v>32</v>
      </c>
      <c r="U39" s="472"/>
      <c r="V39" s="472"/>
    </row>
    <row r="40" spans="1:22" ht="36.75" customHeight="1" thickBot="1" x14ac:dyDescent="0.3">
      <c r="A40" s="468">
        <v>37</v>
      </c>
      <c r="B40" s="469"/>
      <c r="C40" s="470">
        <v>18</v>
      </c>
      <c r="D40" s="473" t="s">
        <v>17</v>
      </c>
      <c r="E40" s="383">
        <v>84</v>
      </c>
      <c r="F40" s="384">
        <v>81</v>
      </c>
      <c r="G40" s="385">
        <v>90</v>
      </c>
      <c r="H40" s="384">
        <v>67</v>
      </c>
      <c r="I40" s="384">
        <v>70</v>
      </c>
      <c r="J40" s="384">
        <v>76</v>
      </c>
      <c r="K40" s="384">
        <v>81</v>
      </c>
      <c r="L40" s="384">
        <v>83</v>
      </c>
      <c r="M40" s="384">
        <v>86</v>
      </c>
      <c r="N40" s="384">
        <v>93</v>
      </c>
      <c r="O40" s="384">
        <v>77</v>
      </c>
      <c r="P40" s="378">
        <v>89</v>
      </c>
      <c r="Q40" s="378">
        <v>97</v>
      </c>
      <c r="R40" s="380">
        <f t="shared" si="0"/>
        <v>1074</v>
      </c>
      <c r="S40" s="381">
        <f t="shared" si="1"/>
        <v>82.615384615384613</v>
      </c>
      <c r="T40" s="382">
        <f t="shared" si="2"/>
        <v>10</v>
      </c>
      <c r="U40" s="472"/>
      <c r="V40" s="472"/>
    </row>
    <row r="41" spans="1:22" ht="39.75" customHeight="1" thickBot="1" x14ac:dyDescent="0.3">
      <c r="A41" s="468">
        <v>38</v>
      </c>
      <c r="B41" s="469"/>
      <c r="C41" s="470">
        <v>15</v>
      </c>
      <c r="D41" s="473" t="s">
        <v>20</v>
      </c>
      <c r="E41" s="383">
        <v>83</v>
      </c>
      <c r="F41" s="384">
        <v>93</v>
      </c>
      <c r="G41" s="384">
        <v>90</v>
      </c>
      <c r="H41" s="384">
        <v>88</v>
      </c>
      <c r="I41" s="384">
        <v>70</v>
      </c>
      <c r="J41" s="384">
        <v>80</v>
      </c>
      <c r="K41" s="384">
        <v>92</v>
      </c>
      <c r="L41" s="384">
        <v>78</v>
      </c>
      <c r="M41" s="384">
        <v>85</v>
      </c>
      <c r="N41" s="384">
        <v>89</v>
      </c>
      <c r="O41" s="384">
        <v>82</v>
      </c>
      <c r="P41" s="378">
        <v>86</v>
      </c>
      <c r="Q41" s="378">
        <v>91</v>
      </c>
      <c r="R41" s="380">
        <f t="shared" si="0"/>
        <v>1107</v>
      </c>
      <c r="S41" s="381">
        <f t="shared" si="1"/>
        <v>85.15384615384616</v>
      </c>
      <c r="T41" s="382">
        <f t="shared" si="2"/>
        <v>4</v>
      </c>
      <c r="U41" s="472"/>
      <c r="V41" s="472"/>
    </row>
    <row r="42" spans="1:22" ht="36" customHeight="1" thickBot="1" x14ac:dyDescent="0.3">
      <c r="A42" s="468">
        <v>39</v>
      </c>
      <c r="B42" s="469"/>
      <c r="C42" s="470">
        <v>15</v>
      </c>
      <c r="D42" s="473" t="s">
        <v>17</v>
      </c>
      <c r="E42" s="383">
        <v>74</v>
      </c>
      <c r="F42" s="384">
        <v>87</v>
      </c>
      <c r="G42" s="384">
        <v>73</v>
      </c>
      <c r="H42" s="384">
        <v>83</v>
      </c>
      <c r="I42" s="384">
        <v>80</v>
      </c>
      <c r="J42" s="384">
        <v>72</v>
      </c>
      <c r="K42" s="384">
        <v>55</v>
      </c>
      <c r="L42" s="384">
        <v>59</v>
      </c>
      <c r="M42" s="384">
        <v>58</v>
      </c>
      <c r="N42" s="384">
        <v>82</v>
      </c>
      <c r="O42" s="384">
        <v>83</v>
      </c>
      <c r="P42" s="378">
        <v>84</v>
      </c>
      <c r="Q42" s="378">
        <v>80</v>
      </c>
      <c r="R42" s="380">
        <f t="shared" si="0"/>
        <v>970</v>
      </c>
      <c r="S42" s="381">
        <f t="shared" si="1"/>
        <v>74.615384615384613</v>
      </c>
      <c r="T42" s="382">
        <f t="shared" si="2"/>
        <v>29</v>
      </c>
      <c r="U42" s="472"/>
      <c r="V42" s="472"/>
    </row>
    <row r="43" spans="1:22" ht="38.25" customHeight="1" thickBot="1" x14ac:dyDescent="0.3">
      <c r="A43" s="468">
        <v>40</v>
      </c>
      <c r="B43" s="469"/>
      <c r="C43" s="470">
        <v>16</v>
      </c>
      <c r="D43" s="473" t="s">
        <v>20</v>
      </c>
      <c r="E43" s="383">
        <v>76</v>
      </c>
      <c r="F43" s="384">
        <v>88</v>
      </c>
      <c r="G43" s="385">
        <v>77</v>
      </c>
      <c r="H43" s="384">
        <v>50</v>
      </c>
      <c r="I43" s="384">
        <v>54</v>
      </c>
      <c r="J43" s="384">
        <v>59</v>
      </c>
      <c r="K43" s="384">
        <v>74</v>
      </c>
      <c r="L43" s="384">
        <v>78</v>
      </c>
      <c r="M43" s="384">
        <v>85</v>
      </c>
      <c r="N43" s="384">
        <v>84</v>
      </c>
      <c r="O43" s="384">
        <v>70</v>
      </c>
      <c r="P43" s="378">
        <v>83</v>
      </c>
      <c r="Q43" s="378">
        <v>92</v>
      </c>
      <c r="R43" s="380">
        <f t="shared" si="0"/>
        <v>970</v>
      </c>
      <c r="S43" s="381">
        <f t="shared" si="1"/>
        <v>74.615384615384613</v>
      </c>
      <c r="T43" s="382">
        <f t="shared" si="2"/>
        <v>29</v>
      </c>
      <c r="U43" s="472"/>
      <c r="V43" s="472"/>
    </row>
    <row r="44" spans="1:22" ht="36" customHeight="1" thickBot="1" x14ac:dyDescent="0.3">
      <c r="A44" s="468">
        <v>41</v>
      </c>
      <c r="B44" s="469"/>
      <c r="C44" s="470">
        <v>16</v>
      </c>
      <c r="D44" s="471" t="s">
        <v>17</v>
      </c>
      <c r="E44" s="383">
        <v>76</v>
      </c>
      <c r="F44" s="384">
        <v>65</v>
      </c>
      <c r="G44" s="384">
        <v>76</v>
      </c>
      <c r="H44" s="384">
        <v>48</v>
      </c>
      <c r="I44" s="384">
        <v>53</v>
      </c>
      <c r="J44" s="384">
        <v>51</v>
      </c>
      <c r="K44" s="384">
        <v>61</v>
      </c>
      <c r="L44" s="384">
        <v>67</v>
      </c>
      <c r="M44" s="384">
        <v>79</v>
      </c>
      <c r="N44" s="384">
        <v>83</v>
      </c>
      <c r="O44" s="384">
        <v>69</v>
      </c>
      <c r="P44" s="378">
        <v>89</v>
      </c>
      <c r="Q44" s="378">
        <v>84</v>
      </c>
      <c r="R44" s="380">
        <f t="shared" si="0"/>
        <v>901</v>
      </c>
      <c r="S44" s="381">
        <f t="shared" si="1"/>
        <v>69.307692307692307</v>
      </c>
      <c r="T44" s="382">
        <f t="shared" si="2"/>
        <v>39</v>
      </c>
      <c r="U44" s="472"/>
      <c r="V44" s="472"/>
    </row>
    <row r="45" spans="1:22" ht="40.5" customHeight="1" thickBot="1" x14ac:dyDescent="0.3">
      <c r="A45" s="468">
        <v>42</v>
      </c>
      <c r="B45" s="469"/>
      <c r="C45" s="470">
        <v>16</v>
      </c>
      <c r="D45" s="471" t="s">
        <v>17</v>
      </c>
      <c r="E45" s="383">
        <v>71</v>
      </c>
      <c r="F45" s="384">
        <v>65</v>
      </c>
      <c r="G45" s="384">
        <v>81</v>
      </c>
      <c r="H45" s="384">
        <v>80</v>
      </c>
      <c r="I45" s="384">
        <v>68</v>
      </c>
      <c r="J45" s="384">
        <v>66</v>
      </c>
      <c r="K45" s="384">
        <v>83</v>
      </c>
      <c r="L45" s="384">
        <v>90</v>
      </c>
      <c r="M45" s="384">
        <v>78</v>
      </c>
      <c r="N45" s="384">
        <v>78</v>
      </c>
      <c r="O45" s="384">
        <v>68</v>
      </c>
      <c r="P45" s="383">
        <v>87</v>
      </c>
      <c r="Q45" s="383">
        <v>90</v>
      </c>
      <c r="R45" s="380">
        <f t="shared" si="0"/>
        <v>1005</v>
      </c>
      <c r="S45" s="381">
        <f t="shared" si="1"/>
        <v>77.307692307692307</v>
      </c>
      <c r="T45" s="382">
        <f t="shared" si="2"/>
        <v>26</v>
      </c>
      <c r="U45" s="472"/>
      <c r="V45" s="472"/>
    </row>
    <row r="46" spans="1:22" ht="47.25" customHeight="1" thickBot="1" x14ac:dyDescent="0.3">
      <c r="A46" s="468">
        <v>43</v>
      </c>
      <c r="B46" s="469"/>
      <c r="C46" s="470">
        <v>17</v>
      </c>
      <c r="D46" s="471" t="s">
        <v>17</v>
      </c>
      <c r="E46" s="383">
        <v>68</v>
      </c>
      <c r="F46" s="384">
        <v>63</v>
      </c>
      <c r="G46" s="385">
        <v>75</v>
      </c>
      <c r="H46" s="384">
        <v>54</v>
      </c>
      <c r="I46" s="384">
        <v>52</v>
      </c>
      <c r="J46" s="384">
        <v>56</v>
      </c>
      <c r="K46" s="384">
        <v>52</v>
      </c>
      <c r="L46" s="384">
        <v>57</v>
      </c>
      <c r="M46" s="384">
        <v>58</v>
      </c>
      <c r="N46" s="384">
        <v>64</v>
      </c>
      <c r="O46" s="384">
        <v>62</v>
      </c>
      <c r="P46" s="383">
        <v>80</v>
      </c>
      <c r="Q46" s="383">
        <v>77</v>
      </c>
      <c r="R46" s="380">
        <f t="shared" si="0"/>
        <v>818</v>
      </c>
      <c r="S46" s="381">
        <f t="shared" si="1"/>
        <v>62.92307692307692</v>
      </c>
      <c r="T46" s="382">
        <f t="shared" si="2"/>
        <v>46</v>
      </c>
      <c r="U46" s="472"/>
      <c r="V46" s="472"/>
    </row>
    <row r="47" spans="1:22" ht="43.5" customHeight="1" thickBot="1" x14ac:dyDescent="0.3">
      <c r="A47" s="468">
        <v>44</v>
      </c>
      <c r="B47" s="469"/>
      <c r="C47" s="470">
        <v>16</v>
      </c>
      <c r="D47" s="471" t="s">
        <v>20</v>
      </c>
      <c r="E47" s="383">
        <v>91</v>
      </c>
      <c r="F47" s="384">
        <v>90</v>
      </c>
      <c r="G47" s="384">
        <v>86</v>
      </c>
      <c r="H47" s="384">
        <v>83</v>
      </c>
      <c r="I47" s="384">
        <v>72</v>
      </c>
      <c r="J47" s="384">
        <v>70</v>
      </c>
      <c r="K47" s="385">
        <v>87</v>
      </c>
      <c r="L47" s="384">
        <v>85</v>
      </c>
      <c r="M47" s="384">
        <v>75</v>
      </c>
      <c r="N47" s="384">
        <v>87</v>
      </c>
      <c r="O47" s="384">
        <v>81</v>
      </c>
      <c r="P47" s="383">
        <v>87</v>
      </c>
      <c r="Q47" s="383">
        <v>91</v>
      </c>
      <c r="R47" s="380">
        <f t="shared" si="0"/>
        <v>1085</v>
      </c>
      <c r="S47" s="381">
        <f t="shared" si="1"/>
        <v>83.461538461538467</v>
      </c>
      <c r="T47" s="382">
        <f t="shared" si="2"/>
        <v>8</v>
      </c>
      <c r="U47" s="472"/>
      <c r="V47" s="472"/>
    </row>
    <row r="48" spans="1:22" ht="45" customHeight="1" thickBot="1" x14ac:dyDescent="0.3">
      <c r="A48" s="468">
        <v>45</v>
      </c>
      <c r="B48" s="469"/>
      <c r="C48" s="470">
        <v>16</v>
      </c>
      <c r="D48" s="473" t="s">
        <v>20</v>
      </c>
      <c r="E48" s="383">
        <v>88</v>
      </c>
      <c r="F48" s="384">
        <v>77</v>
      </c>
      <c r="G48" s="384">
        <v>86</v>
      </c>
      <c r="H48" s="384">
        <v>68</v>
      </c>
      <c r="I48" s="384">
        <v>73</v>
      </c>
      <c r="J48" s="384">
        <v>60</v>
      </c>
      <c r="K48" s="384">
        <v>71</v>
      </c>
      <c r="L48" s="384">
        <v>74</v>
      </c>
      <c r="M48" s="384">
        <v>73</v>
      </c>
      <c r="N48" s="384">
        <v>89</v>
      </c>
      <c r="O48" s="384">
        <v>73</v>
      </c>
      <c r="P48" s="383">
        <v>82</v>
      </c>
      <c r="Q48" s="383">
        <v>99</v>
      </c>
      <c r="R48" s="380">
        <f t="shared" si="0"/>
        <v>1013</v>
      </c>
      <c r="S48" s="381">
        <f t="shared" si="1"/>
        <v>77.92307692307692</v>
      </c>
      <c r="T48" s="382">
        <f t="shared" si="2"/>
        <v>24</v>
      </c>
      <c r="U48" s="472"/>
      <c r="V48" s="472"/>
    </row>
    <row r="49" spans="1:22" ht="39.75" customHeight="1" thickBot="1" x14ac:dyDescent="0.3">
      <c r="A49" s="468">
        <v>46</v>
      </c>
      <c r="B49" s="469"/>
      <c r="C49" s="470">
        <v>17</v>
      </c>
      <c r="D49" s="473" t="s">
        <v>17</v>
      </c>
      <c r="E49" s="383">
        <v>72</v>
      </c>
      <c r="F49" s="385">
        <v>54</v>
      </c>
      <c r="G49" s="385">
        <v>78</v>
      </c>
      <c r="H49" s="385">
        <v>56</v>
      </c>
      <c r="I49" s="384">
        <v>58</v>
      </c>
      <c r="J49" s="384">
        <v>47</v>
      </c>
      <c r="K49" s="384">
        <v>67</v>
      </c>
      <c r="L49" s="384">
        <v>68</v>
      </c>
      <c r="M49" s="384">
        <v>84</v>
      </c>
      <c r="N49" s="385">
        <v>64</v>
      </c>
      <c r="O49" s="384">
        <v>71</v>
      </c>
      <c r="P49" s="383">
        <v>83</v>
      </c>
      <c r="Q49" s="383">
        <v>91</v>
      </c>
      <c r="R49" s="380">
        <f t="shared" si="0"/>
        <v>893</v>
      </c>
      <c r="S49" s="381">
        <f t="shared" si="1"/>
        <v>68.692307692307693</v>
      </c>
      <c r="T49" s="382">
        <f t="shared" si="2"/>
        <v>40</v>
      </c>
      <c r="U49" s="472"/>
      <c r="V49" s="472"/>
    </row>
    <row r="50" spans="1:22" ht="43.5" customHeight="1" thickBot="1" x14ac:dyDescent="0.3">
      <c r="A50" s="468">
        <v>47</v>
      </c>
      <c r="B50" s="469"/>
      <c r="C50" s="470">
        <v>16</v>
      </c>
      <c r="D50" s="473" t="s">
        <v>17</v>
      </c>
      <c r="E50" s="383">
        <v>87</v>
      </c>
      <c r="F50" s="385">
        <v>81</v>
      </c>
      <c r="G50" s="385">
        <v>78</v>
      </c>
      <c r="H50" s="384">
        <v>76</v>
      </c>
      <c r="I50" s="385">
        <v>78</v>
      </c>
      <c r="J50" s="384">
        <v>71</v>
      </c>
      <c r="K50" s="385">
        <v>93</v>
      </c>
      <c r="L50" s="385">
        <v>90</v>
      </c>
      <c r="M50" s="384">
        <v>86</v>
      </c>
      <c r="N50" s="384">
        <v>86</v>
      </c>
      <c r="O50" s="385">
        <v>82</v>
      </c>
      <c r="P50" s="387">
        <v>91</v>
      </c>
      <c r="Q50" s="387">
        <v>85</v>
      </c>
      <c r="R50" s="380">
        <f t="shared" si="0"/>
        <v>1084</v>
      </c>
      <c r="S50" s="381">
        <f t="shared" si="1"/>
        <v>83.384615384615387</v>
      </c>
      <c r="T50" s="382">
        <f t="shared" si="2"/>
        <v>9</v>
      </c>
      <c r="U50" s="472"/>
      <c r="V50" s="472"/>
    </row>
    <row r="51" spans="1:22" ht="15.75" x14ac:dyDescent="0.25">
      <c r="A51" s="93">
        <v>48</v>
      </c>
      <c r="B51" s="89"/>
      <c r="C51" s="88"/>
      <c r="D51" s="88"/>
      <c r="E51" s="83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83"/>
      <c r="Q51" s="83"/>
      <c r="R51" s="77"/>
      <c r="S51" s="78"/>
      <c r="T51" s="76"/>
      <c r="U51" s="60"/>
      <c r="V51" s="60"/>
    </row>
    <row r="52" spans="1:22" ht="15.75" x14ac:dyDescent="0.25">
      <c r="A52" s="94">
        <v>49</v>
      </c>
      <c r="B52" s="89"/>
      <c r="C52" s="88"/>
      <c r="D52" s="88"/>
      <c r="E52" s="83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83"/>
      <c r="Q52" s="83"/>
      <c r="R52" s="77"/>
      <c r="S52" s="78"/>
      <c r="T52" s="76"/>
      <c r="U52" s="60"/>
      <c r="V52" s="60"/>
    </row>
    <row r="53" spans="1:22" ht="15.75" x14ac:dyDescent="0.25">
      <c r="A53" s="94">
        <v>50</v>
      </c>
      <c r="B53" s="89"/>
      <c r="C53" s="88"/>
      <c r="D53" s="88"/>
      <c r="E53" s="83"/>
      <c r="F53" s="74"/>
      <c r="G53" s="74"/>
      <c r="H53" s="74"/>
      <c r="I53" s="74"/>
      <c r="J53" s="74"/>
      <c r="K53" s="73"/>
      <c r="L53" s="74"/>
      <c r="M53" s="74"/>
      <c r="N53" s="74"/>
      <c r="O53" s="74"/>
      <c r="P53" s="83"/>
      <c r="Q53" s="83"/>
      <c r="R53" s="77"/>
      <c r="S53" s="78"/>
      <c r="T53" s="76"/>
      <c r="U53" s="60"/>
      <c r="V53" s="60"/>
    </row>
    <row r="54" spans="1:22" ht="15.75" x14ac:dyDescent="0.25">
      <c r="A54" s="94">
        <v>51</v>
      </c>
      <c r="B54" s="89"/>
      <c r="C54" s="88"/>
      <c r="D54" s="88"/>
      <c r="E54" s="83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83"/>
      <c r="Q54" s="83"/>
      <c r="R54" s="77"/>
      <c r="S54" s="78"/>
      <c r="T54" s="76"/>
      <c r="U54" s="60"/>
      <c r="V54" s="60"/>
    </row>
    <row r="55" spans="1:22" ht="15.75" x14ac:dyDescent="0.25">
      <c r="A55" s="94">
        <v>52</v>
      </c>
      <c r="B55" s="89"/>
      <c r="C55" s="88"/>
      <c r="D55" s="88"/>
      <c r="E55" s="75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77"/>
      <c r="S55" s="78"/>
      <c r="T55" s="76"/>
      <c r="U55" s="60"/>
      <c r="V55" s="60"/>
    </row>
    <row r="56" spans="1:22" ht="15.75" x14ac:dyDescent="0.25">
      <c r="A56" s="95">
        <v>53</v>
      </c>
      <c r="B56" s="91"/>
      <c r="C56" s="96"/>
      <c r="D56" s="96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77"/>
      <c r="S56" s="78"/>
      <c r="T56" s="76"/>
      <c r="U56" s="60"/>
      <c r="V56" s="60"/>
    </row>
    <row r="57" spans="1:22" ht="15.75" x14ac:dyDescent="0.25">
      <c r="A57" s="95">
        <v>54</v>
      </c>
      <c r="B57" s="92"/>
      <c r="C57" s="72"/>
      <c r="D57" s="72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77"/>
      <c r="S57" s="78"/>
      <c r="T57" s="76"/>
      <c r="U57" s="60"/>
      <c r="V57" s="60"/>
    </row>
    <row r="58" spans="1:22" ht="15.75" x14ac:dyDescent="0.25">
      <c r="A58" s="95">
        <v>55</v>
      </c>
      <c r="B58" s="92"/>
      <c r="C58" s="72"/>
      <c r="D58" s="72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77"/>
      <c r="S58" s="78"/>
      <c r="T58" s="76"/>
      <c r="U58" s="60"/>
      <c r="V58" s="60"/>
    </row>
    <row r="59" spans="1:22" ht="15.75" x14ac:dyDescent="0.25">
      <c r="A59" s="95">
        <v>56</v>
      </c>
      <c r="B59" s="92"/>
      <c r="C59" s="72"/>
      <c r="D59" s="72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77"/>
      <c r="S59" s="78"/>
      <c r="T59" s="76"/>
      <c r="U59" s="60"/>
      <c r="V59" s="60"/>
    </row>
  </sheetData>
  <mergeCells count="2">
    <mergeCell ref="A1:V1"/>
    <mergeCell ref="A2:V2"/>
  </mergeCells>
  <pageMargins left="0.7" right="0.7" top="0.75" bottom="0.75" header="0.3" footer="0.3"/>
  <pageSetup paperSize="9" scale="49" fitToWidth="0" fitToHeight="0" orientation="landscape" r:id="rId1"/>
  <rowBreaks count="2" manualBreakCount="2">
    <brk id="23" max="21" man="1"/>
    <brk id="5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9"/>
  <sheetViews>
    <sheetView view="pageBreakPreview" zoomScale="60" zoomScaleNormal="100" workbookViewId="0">
      <selection activeCell="B4" sqref="B4:B50"/>
    </sheetView>
  </sheetViews>
  <sheetFormatPr defaultRowHeight="15" x14ac:dyDescent="0.25"/>
  <cols>
    <col min="1" max="1" width="9.140625" customWidth="1"/>
    <col min="2" max="2" width="66" customWidth="1"/>
    <col min="3" max="3" width="13.7109375" customWidth="1"/>
    <col min="4" max="4" width="10.7109375" customWidth="1"/>
    <col min="5" max="6" width="9.5703125" bestFit="1" customWidth="1"/>
    <col min="7" max="7" width="12.7109375" style="211" customWidth="1"/>
    <col min="8" max="8" width="9.5703125" bestFit="1" customWidth="1"/>
    <col min="9" max="9" width="14.42578125" customWidth="1"/>
    <col min="10" max="10" width="12" customWidth="1"/>
    <col min="11" max="11" width="9.5703125" bestFit="1" customWidth="1"/>
    <col min="12" max="12" width="14" style="211" customWidth="1"/>
    <col min="13" max="13" width="16.28515625" customWidth="1"/>
    <col min="14" max="14" width="13.85546875" customWidth="1"/>
    <col min="15" max="15" width="13.85546875" style="211" customWidth="1"/>
    <col min="16" max="16" width="12.5703125" customWidth="1"/>
    <col min="17" max="17" width="9.85546875" bestFit="1" customWidth="1"/>
    <col min="18" max="18" width="13.42578125" customWidth="1"/>
    <col min="19" max="19" width="17.7109375" customWidth="1"/>
    <col min="20" max="20" width="19.85546875" customWidth="1"/>
    <col min="21" max="21" width="13.7109375" bestFit="1" customWidth="1"/>
    <col min="22" max="22" width="9.5703125" bestFit="1" customWidth="1"/>
  </cols>
  <sheetData>
    <row r="1" spans="1:24" ht="33" x14ac:dyDescent="0.25">
      <c r="A1" s="931" t="s">
        <v>43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3"/>
    </row>
    <row r="2" spans="1:24" ht="37.5" thickBot="1" x14ac:dyDescent="0.3">
      <c r="A2" s="934" t="s">
        <v>83</v>
      </c>
      <c r="B2" s="934"/>
      <c r="C2" s="934"/>
      <c r="D2" s="934"/>
      <c r="E2" s="934"/>
      <c r="F2" s="934"/>
      <c r="G2" s="934"/>
      <c r="H2" s="934"/>
      <c r="I2" s="934"/>
      <c r="J2" s="934"/>
      <c r="K2" s="934"/>
      <c r="L2" s="934"/>
      <c r="M2" s="934"/>
      <c r="N2" s="934"/>
      <c r="O2" s="934"/>
      <c r="P2" s="934"/>
      <c r="Q2" s="934"/>
      <c r="R2" s="934"/>
      <c r="S2" s="934"/>
      <c r="T2" s="934"/>
      <c r="U2" s="934"/>
      <c r="V2" s="934"/>
      <c r="W2" s="934"/>
      <c r="X2" s="934"/>
    </row>
    <row r="3" spans="1:24" ht="147" thickBot="1" x14ac:dyDescent="0.3">
      <c r="A3" s="481" t="s">
        <v>84</v>
      </c>
      <c r="B3" s="482" t="s">
        <v>1</v>
      </c>
      <c r="C3" s="483" t="s">
        <v>2</v>
      </c>
      <c r="D3" s="482" t="s">
        <v>3</v>
      </c>
      <c r="E3" s="484" t="s">
        <v>22</v>
      </c>
      <c r="F3" s="484" t="s">
        <v>5</v>
      </c>
      <c r="G3" s="484" t="s">
        <v>29</v>
      </c>
      <c r="H3" s="484" t="s">
        <v>6</v>
      </c>
      <c r="I3" s="484" t="s">
        <v>7</v>
      </c>
      <c r="J3" s="484" t="s">
        <v>8</v>
      </c>
      <c r="K3" s="484" t="s">
        <v>9</v>
      </c>
      <c r="L3" s="485" t="s">
        <v>24</v>
      </c>
      <c r="M3" s="484" t="s">
        <v>23</v>
      </c>
      <c r="N3" s="484" t="s">
        <v>25</v>
      </c>
      <c r="O3" s="484" t="s">
        <v>27</v>
      </c>
      <c r="P3" s="484" t="s">
        <v>26</v>
      </c>
      <c r="Q3" s="484" t="s">
        <v>28</v>
      </c>
      <c r="R3" s="485" t="s">
        <v>12</v>
      </c>
      <c r="S3" s="485" t="s">
        <v>13</v>
      </c>
      <c r="T3" s="485" t="s">
        <v>14</v>
      </c>
      <c r="U3" s="485" t="s">
        <v>15</v>
      </c>
      <c r="V3" s="486" t="s">
        <v>16</v>
      </c>
    </row>
    <row r="4" spans="1:24" ht="34.5" thickBot="1" x14ac:dyDescent="0.3">
      <c r="A4" s="487">
        <v>1</v>
      </c>
      <c r="B4" s="488"/>
      <c r="C4" s="489">
        <v>16</v>
      </c>
      <c r="D4" s="490" t="s">
        <v>17</v>
      </c>
      <c r="E4" s="491">
        <v>76</v>
      </c>
      <c r="F4" s="491">
        <v>51</v>
      </c>
      <c r="G4" s="496">
        <v>55</v>
      </c>
      <c r="H4" s="491">
        <v>74</v>
      </c>
      <c r="I4" s="491">
        <v>75</v>
      </c>
      <c r="J4" s="491">
        <v>65</v>
      </c>
      <c r="K4" s="491">
        <v>72</v>
      </c>
      <c r="L4" s="493">
        <v>84</v>
      </c>
      <c r="M4" s="492">
        <v>71</v>
      </c>
      <c r="N4" s="494">
        <v>88</v>
      </c>
      <c r="O4" s="491">
        <v>81</v>
      </c>
      <c r="P4" s="491">
        <v>96</v>
      </c>
      <c r="Q4" s="495">
        <v>93</v>
      </c>
      <c r="R4" s="495">
        <f>SUM(E4:Q4)</f>
        <v>981</v>
      </c>
      <c r="S4" s="497">
        <f>AVERAGE(E4:Q4)</f>
        <v>75.461538461538467</v>
      </c>
      <c r="T4" s="495">
        <f>RANK(S4,$S$4:$S$50)</f>
        <v>33</v>
      </c>
      <c r="U4" s="491"/>
      <c r="V4" s="491"/>
    </row>
    <row r="5" spans="1:24" ht="34.5" thickBot="1" x14ac:dyDescent="0.3">
      <c r="A5" s="498">
        <v>2</v>
      </c>
      <c r="B5" s="499"/>
      <c r="C5" s="500">
        <v>16</v>
      </c>
      <c r="D5" s="501" t="s">
        <v>17</v>
      </c>
      <c r="E5" s="502">
        <v>84</v>
      </c>
      <c r="F5" s="502">
        <v>71</v>
      </c>
      <c r="G5" s="505">
        <v>65</v>
      </c>
      <c r="H5" s="502">
        <v>88</v>
      </c>
      <c r="I5" s="502">
        <v>96</v>
      </c>
      <c r="J5" s="502">
        <v>91</v>
      </c>
      <c r="K5" s="502">
        <v>93</v>
      </c>
      <c r="L5" s="493">
        <v>94</v>
      </c>
      <c r="M5" s="503">
        <v>92</v>
      </c>
      <c r="N5" s="504">
        <v>84</v>
      </c>
      <c r="O5" s="502">
        <v>95</v>
      </c>
      <c r="P5" s="502">
        <v>88</v>
      </c>
      <c r="Q5" s="502">
        <v>89</v>
      </c>
      <c r="R5" s="495">
        <f t="shared" ref="R5:R50" si="0">SUM(E5:Q5)</f>
        <v>1130</v>
      </c>
      <c r="S5" s="497">
        <f t="shared" ref="S5:S50" si="1">AVERAGE(E5:Q5)</f>
        <v>86.92307692307692</v>
      </c>
      <c r="T5" s="495">
        <f t="shared" ref="T5:T50" si="2">RANK(S5,$S$4:$S$50)</f>
        <v>6</v>
      </c>
      <c r="U5" s="502"/>
      <c r="V5" s="502"/>
    </row>
    <row r="6" spans="1:24" ht="34.5" thickBot="1" x14ac:dyDescent="0.3">
      <c r="A6" s="498">
        <v>3</v>
      </c>
      <c r="B6" s="499"/>
      <c r="C6" s="500">
        <v>16</v>
      </c>
      <c r="D6" s="506" t="s">
        <v>17</v>
      </c>
      <c r="E6" s="502">
        <v>85</v>
      </c>
      <c r="F6" s="502">
        <v>76</v>
      </c>
      <c r="G6" s="505">
        <v>51</v>
      </c>
      <c r="H6" s="502">
        <v>72</v>
      </c>
      <c r="I6" s="502">
        <v>70</v>
      </c>
      <c r="J6" s="502">
        <v>72</v>
      </c>
      <c r="K6" s="502">
        <v>85</v>
      </c>
      <c r="L6" s="493">
        <v>86</v>
      </c>
      <c r="M6" s="503">
        <v>80</v>
      </c>
      <c r="N6" s="504">
        <v>79</v>
      </c>
      <c r="O6" s="502">
        <v>93</v>
      </c>
      <c r="P6" s="502">
        <v>100</v>
      </c>
      <c r="Q6" s="502">
        <v>87</v>
      </c>
      <c r="R6" s="495">
        <f t="shared" si="0"/>
        <v>1036</v>
      </c>
      <c r="S6" s="497">
        <f t="shared" si="1"/>
        <v>79.692307692307693</v>
      </c>
      <c r="T6" s="495">
        <f t="shared" si="2"/>
        <v>27</v>
      </c>
      <c r="U6" s="502"/>
      <c r="V6" s="502"/>
    </row>
    <row r="7" spans="1:24" ht="34.5" thickBot="1" x14ac:dyDescent="0.3">
      <c r="A7" s="498">
        <v>4</v>
      </c>
      <c r="B7" s="499"/>
      <c r="C7" s="500">
        <v>14</v>
      </c>
      <c r="D7" s="506" t="s">
        <v>20</v>
      </c>
      <c r="E7" s="502">
        <v>86</v>
      </c>
      <c r="F7" s="502">
        <v>80</v>
      </c>
      <c r="G7" s="505">
        <v>76</v>
      </c>
      <c r="H7" s="502">
        <v>81</v>
      </c>
      <c r="I7" s="502">
        <v>82</v>
      </c>
      <c r="J7" s="502">
        <v>77</v>
      </c>
      <c r="K7" s="502">
        <v>87</v>
      </c>
      <c r="L7" s="493">
        <v>89</v>
      </c>
      <c r="M7" s="503">
        <v>66</v>
      </c>
      <c r="N7" s="504">
        <v>83</v>
      </c>
      <c r="O7" s="502">
        <v>92</v>
      </c>
      <c r="P7" s="502">
        <v>95</v>
      </c>
      <c r="Q7" s="502">
        <v>93</v>
      </c>
      <c r="R7" s="495">
        <f t="shared" si="0"/>
        <v>1087</v>
      </c>
      <c r="S7" s="497">
        <f t="shared" si="1"/>
        <v>83.615384615384613</v>
      </c>
      <c r="T7" s="495">
        <f t="shared" si="2"/>
        <v>18</v>
      </c>
      <c r="U7" s="502"/>
      <c r="V7" s="502"/>
    </row>
    <row r="8" spans="1:24" ht="34.5" thickBot="1" x14ac:dyDescent="0.3">
      <c r="A8" s="498">
        <v>5</v>
      </c>
      <c r="B8" s="499"/>
      <c r="C8" s="500">
        <v>16</v>
      </c>
      <c r="D8" s="501" t="s">
        <v>20</v>
      </c>
      <c r="E8" s="502">
        <v>88</v>
      </c>
      <c r="F8" s="502">
        <v>73</v>
      </c>
      <c r="G8" s="505">
        <v>78</v>
      </c>
      <c r="H8" s="502">
        <v>78</v>
      </c>
      <c r="I8" s="502">
        <v>68</v>
      </c>
      <c r="J8" s="502">
        <v>73</v>
      </c>
      <c r="K8" s="502">
        <v>81</v>
      </c>
      <c r="L8" s="493">
        <v>91</v>
      </c>
      <c r="M8" s="503">
        <v>86</v>
      </c>
      <c r="N8" s="504">
        <v>95</v>
      </c>
      <c r="O8" s="502">
        <v>93</v>
      </c>
      <c r="P8" s="502">
        <v>93</v>
      </c>
      <c r="Q8" s="502">
        <v>97</v>
      </c>
      <c r="R8" s="495">
        <f t="shared" si="0"/>
        <v>1094</v>
      </c>
      <c r="S8" s="497">
        <f t="shared" si="1"/>
        <v>84.15384615384616</v>
      </c>
      <c r="T8" s="495">
        <f t="shared" si="2"/>
        <v>14</v>
      </c>
      <c r="U8" s="502"/>
      <c r="V8" s="502"/>
    </row>
    <row r="9" spans="1:24" ht="34.5" thickBot="1" x14ac:dyDescent="0.3">
      <c r="A9" s="498">
        <v>6</v>
      </c>
      <c r="B9" s="499"/>
      <c r="C9" s="500">
        <v>16</v>
      </c>
      <c r="D9" s="506" t="s">
        <v>20</v>
      </c>
      <c r="E9" s="502">
        <v>77</v>
      </c>
      <c r="F9" s="502">
        <v>79</v>
      </c>
      <c r="G9" s="505">
        <v>74</v>
      </c>
      <c r="H9" s="502">
        <v>70</v>
      </c>
      <c r="I9" s="502">
        <v>69</v>
      </c>
      <c r="J9" s="502">
        <v>71</v>
      </c>
      <c r="K9" s="502">
        <v>78</v>
      </c>
      <c r="L9" s="493">
        <v>78</v>
      </c>
      <c r="M9" s="503">
        <v>78</v>
      </c>
      <c r="N9" s="504">
        <v>90</v>
      </c>
      <c r="O9" s="502">
        <v>85</v>
      </c>
      <c r="P9" s="502">
        <v>86</v>
      </c>
      <c r="Q9" s="502">
        <v>96</v>
      </c>
      <c r="R9" s="495">
        <f t="shared" si="0"/>
        <v>1031</v>
      </c>
      <c r="S9" s="497">
        <f t="shared" si="1"/>
        <v>79.307692307692307</v>
      </c>
      <c r="T9" s="495">
        <f t="shared" si="2"/>
        <v>28</v>
      </c>
      <c r="U9" s="502"/>
      <c r="V9" s="502"/>
    </row>
    <row r="10" spans="1:24" ht="34.5" thickBot="1" x14ac:dyDescent="0.3">
      <c r="A10" s="498">
        <v>7</v>
      </c>
      <c r="B10" s="499"/>
      <c r="C10" s="500">
        <v>15</v>
      </c>
      <c r="D10" s="506" t="s">
        <v>20</v>
      </c>
      <c r="E10" s="502">
        <v>83</v>
      </c>
      <c r="F10" s="502">
        <v>66</v>
      </c>
      <c r="G10" s="505">
        <v>79</v>
      </c>
      <c r="H10" s="502">
        <v>78</v>
      </c>
      <c r="I10" s="502">
        <v>81</v>
      </c>
      <c r="J10" s="502">
        <v>87</v>
      </c>
      <c r="K10" s="502">
        <v>84</v>
      </c>
      <c r="L10" s="493">
        <v>88</v>
      </c>
      <c r="M10" s="503">
        <v>83</v>
      </c>
      <c r="N10" s="504">
        <v>83</v>
      </c>
      <c r="O10" s="502">
        <v>91</v>
      </c>
      <c r="P10" s="502">
        <v>88</v>
      </c>
      <c r="Q10" s="502">
        <v>94</v>
      </c>
      <c r="R10" s="495">
        <f t="shared" si="0"/>
        <v>1085</v>
      </c>
      <c r="S10" s="497">
        <f t="shared" si="1"/>
        <v>83.461538461538467</v>
      </c>
      <c r="T10" s="495">
        <f t="shared" si="2"/>
        <v>20</v>
      </c>
      <c r="U10" s="502"/>
      <c r="V10" s="502"/>
    </row>
    <row r="11" spans="1:24" ht="34.5" thickBot="1" x14ac:dyDescent="0.3">
      <c r="A11" s="498">
        <v>8</v>
      </c>
      <c r="B11" s="499"/>
      <c r="C11" s="500">
        <v>16</v>
      </c>
      <c r="D11" s="506" t="s">
        <v>20</v>
      </c>
      <c r="E11" s="502">
        <v>81</v>
      </c>
      <c r="F11" s="502">
        <v>82</v>
      </c>
      <c r="G11" s="505">
        <v>76</v>
      </c>
      <c r="H11" s="502">
        <v>81</v>
      </c>
      <c r="I11" s="502">
        <v>81</v>
      </c>
      <c r="J11" s="502">
        <v>77</v>
      </c>
      <c r="K11" s="502">
        <v>84</v>
      </c>
      <c r="L11" s="493">
        <v>95</v>
      </c>
      <c r="M11" s="503">
        <v>82</v>
      </c>
      <c r="N11" s="504">
        <v>96</v>
      </c>
      <c r="O11" s="502">
        <v>93</v>
      </c>
      <c r="P11" s="502">
        <v>94</v>
      </c>
      <c r="Q11" s="502">
        <v>95</v>
      </c>
      <c r="R11" s="495">
        <f t="shared" si="0"/>
        <v>1117</v>
      </c>
      <c r="S11" s="497">
        <f t="shared" si="1"/>
        <v>85.92307692307692</v>
      </c>
      <c r="T11" s="495">
        <f t="shared" si="2"/>
        <v>9</v>
      </c>
      <c r="U11" s="502"/>
      <c r="V11" s="502"/>
    </row>
    <row r="12" spans="1:24" ht="34.5" thickBot="1" x14ac:dyDescent="0.3">
      <c r="A12" s="498">
        <v>9</v>
      </c>
      <c r="B12" s="499"/>
      <c r="C12" s="500">
        <v>16</v>
      </c>
      <c r="D12" s="501" t="s">
        <v>17</v>
      </c>
      <c r="E12" s="502">
        <v>76</v>
      </c>
      <c r="F12" s="502">
        <v>70</v>
      </c>
      <c r="G12" s="505">
        <v>73</v>
      </c>
      <c r="H12" s="502">
        <v>76</v>
      </c>
      <c r="I12" s="502">
        <v>77</v>
      </c>
      <c r="J12" s="502">
        <v>66</v>
      </c>
      <c r="K12" s="502">
        <v>85</v>
      </c>
      <c r="L12" s="493">
        <v>86</v>
      </c>
      <c r="M12" s="503">
        <v>85</v>
      </c>
      <c r="N12" s="504">
        <v>87</v>
      </c>
      <c r="O12" s="502">
        <v>88</v>
      </c>
      <c r="P12" s="502">
        <v>91</v>
      </c>
      <c r="Q12" s="502">
        <v>93</v>
      </c>
      <c r="R12" s="495">
        <f t="shared" si="0"/>
        <v>1053</v>
      </c>
      <c r="S12" s="497">
        <f t="shared" si="1"/>
        <v>81</v>
      </c>
      <c r="T12" s="495">
        <f t="shared" si="2"/>
        <v>24</v>
      </c>
      <c r="U12" s="502"/>
      <c r="V12" s="502"/>
    </row>
    <row r="13" spans="1:24" ht="34.5" thickBot="1" x14ac:dyDescent="0.3">
      <c r="A13" s="498">
        <v>10</v>
      </c>
      <c r="B13" s="499"/>
      <c r="C13" s="500">
        <v>16</v>
      </c>
      <c r="D13" s="501" t="s">
        <v>20</v>
      </c>
      <c r="E13" s="502">
        <v>70</v>
      </c>
      <c r="F13" s="502">
        <v>80</v>
      </c>
      <c r="G13" s="505">
        <v>74</v>
      </c>
      <c r="H13" s="502">
        <v>68</v>
      </c>
      <c r="I13" s="502">
        <v>51</v>
      </c>
      <c r="J13" s="502">
        <v>57</v>
      </c>
      <c r="K13" s="502">
        <v>48</v>
      </c>
      <c r="L13" s="493">
        <v>84</v>
      </c>
      <c r="M13" s="503">
        <v>72</v>
      </c>
      <c r="N13" s="504">
        <v>93</v>
      </c>
      <c r="O13" s="502">
        <v>86</v>
      </c>
      <c r="P13" s="502">
        <v>84</v>
      </c>
      <c r="Q13" s="502">
        <v>92</v>
      </c>
      <c r="R13" s="495">
        <f t="shared" si="0"/>
        <v>959</v>
      </c>
      <c r="S13" s="497">
        <f t="shared" si="1"/>
        <v>73.769230769230774</v>
      </c>
      <c r="T13" s="495">
        <f t="shared" si="2"/>
        <v>35</v>
      </c>
      <c r="U13" s="502"/>
      <c r="V13" s="502"/>
    </row>
    <row r="14" spans="1:24" ht="34.5" thickBot="1" x14ac:dyDescent="0.3">
      <c r="A14" s="498">
        <v>11</v>
      </c>
      <c r="B14" s="499"/>
      <c r="C14" s="500">
        <v>15</v>
      </c>
      <c r="D14" s="501" t="s">
        <v>20</v>
      </c>
      <c r="E14" s="507">
        <v>74</v>
      </c>
      <c r="F14" s="502">
        <v>51</v>
      </c>
      <c r="G14" s="505">
        <v>67</v>
      </c>
      <c r="H14" s="502">
        <v>54</v>
      </c>
      <c r="I14" s="502">
        <v>57</v>
      </c>
      <c r="J14" s="502">
        <v>59</v>
      </c>
      <c r="K14" s="502">
        <v>61</v>
      </c>
      <c r="L14" s="493">
        <v>76</v>
      </c>
      <c r="M14" s="503">
        <v>77</v>
      </c>
      <c r="N14" s="504">
        <v>76</v>
      </c>
      <c r="O14" s="502">
        <v>71</v>
      </c>
      <c r="P14" s="502">
        <v>84</v>
      </c>
      <c r="Q14" s="502">
        <v>92</v>
      </c>
      <c r="R14" s="495">
        <f t="shared" si="0"/>
        <v>899</v>
      </c>
      <c r="S14" s="497">
        <f t="shared" si="1"/>
        <v>69.15384615384616</v>
      </c>
      <c r="T14" s="495">
        <f t="shared" si="2"/>
        <v>41</v>
      </c>
      <c r="U14" s="502"/>
      <c r="V14" s="502"/>
    </row>
    <row r="15" spans="1:24" ht="34.5" thickBot="1" x14ac:dyDescent="0.3">
      <c r="A15" s="498">
        <v>12</v>
      </c>
      <c r="B15" s="499"/>
      <c r="C15" s="500">
        <v>16</v>
      </c>
      <c r="D15" s="506" t="s">
        <v>20</v>
      </c>
      <c r="E15" s="502">
        <v>88</v>
      </c>
      <c r="F15" s="502">
        <v>74</v>
      </c>
      <c r="G15" s="505">
        <v>64</v>
      </c>
      <c r="H15" s="502">
        <v>83</v>
      </c>
      <c r="I15" s="502">
        <v>61</v>
      </c>
      <c r="J15" s="502">
        <v>68</v>
      </c>
      <c r="K15" s="502">
        <v>76</v>
      </c>
      <c r="L15" s="493">
        <v>81</v>
      </c>
      <c r="M15" s="503">
        <v>55</v>
      </c>
      <c r="N15" s="504">
        <v>78</v>
      </c>
      <c r="O15" s="502">
        <v>88</v>
      </c>
      <c r="P15" s="502">
        <v>93</v>
      </c>
      <c r="Q15" s="502">
        <v>86</v>
      </c>
      <c r="R15" s="495">
        <f t="shared" si="0"/>
        <v>995</v>
      </c>
      <c r="S15" s="497">
        <f t="shared" si="1"/>
        <v>76.538461538461533</v>
      </c>
      <c r="T15" s="495">
        <f t="shared" si="2"/>
        <v>31</v>
      </c>
      <c r="U15" s="502"/>
      <c r="V15" s="502"/>
    </row>
    <row r="16" spans="1:24" ht="34.5" thickBot="1" x14ac:dyDescent="0.3">
      <c r="A16" s="498">
        <v>13</v>
      </c>
      <c r="B16" s="499"/>
      <c r="C16" s="500">
        <v>16</v>
      </c>
      <c r="D16" s="501" t="s">
        <v>20</v>
      </c>
      <c r="E16" s="502">
        <v>95</v>
      </c>
      <c r="F16" s="502">
        <v>79</v>
      </c>
      <c r="G16" s="505">
        <v>78</v>
      </c>
      <c r="H16" s="502">
        <v>80</v>
      </c>
      <c r="I16" s="502">
        <v>78</v>
      </c>
      <c r="J16" s="502">
        <v>73</v>
      </c>
      <c r="K16" s="502">
        <v>77</v>
      </c>
      <c r="L16" s="493">
        <v>89</v>
      </c>
      <c r="M16" s="503">
        <v>81</v>
      </c>
      <c r="N16" s="504">
        <v>88</v>
      </c>
      <c r="O16" s="502">
        <v>88</v>
      </c>
      <c r="P16" s="502">
        <v>90</v>
      </c>
      <c r="Q16" s="502">
        <v>93</v>
      </c>
      <c r="R16" s="495">
        <f t="shared" si="0"/>
        <v>1089</v>
      </c>
      <c r="S16" s="497">
        <f t="shared" si="1"/>
        <v>83.769230769230774</v>
      </c>
      <c r="T16" s="495">
        <f t="shared" si="2"/>
        <v>16</v>
      </c>
      <c r="U16" s="502"/>
      <c r="V16" s="502"/>
    </row>
    <row r="17" spans="1:22" ht="34.5" thickBot="1" x14ac:dyDescent="0.3">
      <c r="A17" s="498">
        <v>14</v>
      </c>
      <c r="B17" s="499"/>
      <c r="C17" s="500">
        <v>16</v>
      </c>
      <c r="D17" s="501" t="s">
        <v>63</v>
      </c>
      <c r="E17" s="502">
        <v>79</v>
      </c>
      <c r="F17" s="502">
        <v>77</v>
      </c>
      <c r="G17" s="505">
        <v>39</v>
      </c>
      <c r="H17" s="502">
        <v>69</v>
      </c>
      <c r="I17" s="502">
        <v>77</v>
      </c>
      <c r="J17" s="502">
        <v>68</v>
      </c>
      <c r="K17" s="502">
        <v>75</v>
      </c>
      <c r="L17" s="493">
        <v>87</v>
      </c>
      <c r="M17" s="503">
        <v>81</v>
      </c>
      <c r="N17" s="504">
        <v>82</v>
      </c>
      <c r="O17" s="502">
        <v>93</v>
      </c>
      <c r="P17" s="502">
        <v>89</v>
      </c>
      <c r="Q17" s="502">
        <v>72</v>
      </c>
      <c r="R17" s="495">
        <f t="shared" si="0"/>
        <v>988</v>
      </c>
      <c r="S17" s="497">
        <f t="shared" si="1"/>
        <v>76</v>
      </c>
      <c r="T17" s="495">
        <f t="shared" si="2"/>
        <v>32</v>
      </c>
      <c r="U17" s="502"/>
      <c r="V17" s="502"/>
    </row>
    <row r="18" spans="1:22" ht="34.5" thickBot="1" x14ac:dyDescent="0.3">
      <c r="A18" s="498">
        <v>15</v>
      </c>
      <c r="B18" s="499"/>
      <c r="C18" s="500">
        <v>16</v>
      </c>
      <c r="D18" s="501" t="s">
        <v>20</v>
      </c>
      <c r="E18" s="502">
        <v>92</v>
      </c>
      <c r="F18" s="502">
        <v>84</v>
      </c>
      <c r="G18" s="505">
        <v>93</v>
      </c>
      <c r="H18" s="502">
        <v>87</v>
      </c>
      <c r="I18" s="502">
        <v>87</v>
      </c>
      <c r="J18" s="502">
        <v>93</v>
      </c>
      <c r="K18" s="502">
        <v>89</v>
      </c>
      <c r="L18" s="493">
        <v>97</v>
      </c>
      <c r="M18" s="503">
        <v>93</v>
      </c>
      <c r="N18" s="504">
        <v>94</v>
      </c>
      <c r="O18" s="502">
        <v>94</v>
      </c>
      <c r="P18" s="502">
        <v>91</v>
      </c>
      <c r="Q18" s="502">
        <v>93</v>
      </c>
      <c r="R18" s="495">
        <f t="shared" si="0"/>
        <v>1187</v>
      </c>
      <c r="S18" s="497">
        <f t="shared" si="1"/>
        <v>91.307692307692307</v>
      </c>
      <c r="T18" s="495">
        <f t="shared" si="2"/>
        <v>3</v>
      </c>
      <c r="U18" s="502"/>
      <c r="V18" s="502"/>
    </row>
    <row r="19" spans="1:22" ht="34.5" thickBot="1" x14ac:dyDescent="0.3">
      <c r="A19" s="498">
        <v>16</v>
      </c>
      <c r="B19" s="499"/>
      <c r="C19" s="500">
        <v>16</v>
      </c>
      <c r="D19" s="506" t="s">
        <v>20</v>
      </c>
      <c r="E19" s="502">
        <v>85</v>
      </c>
      <c r="F19" s="502">
        <v>79</v>
      </c>
      <c r="G19" s="505">
        <v>69</v>
      </c>
      <c r="H19" s="502">
        <v>70</v>
      </c>
      <c r="I19" s="502">
        <v>88</v>
      </c>
      <c r="J19" s="502">
        <v>74</v>
      </c>
      <c r="K19" s="502">
        <v>83</v>
      </c>
      <c r="L19" s="493">
        <v>83</v>
      </c>
      <c r="M19" s="503">
        <v>82</v>
      </c>
      <c r="N19" s="504">
        <v>82</v>
      </c>
      <c r="O19" s="502">
        <v>77</v>
      </c>
      <c r="P19" s="502">
        <v>88</v>
      </c>
      <c r="Q19" s="502">
        <v>84</v>
      </c>
      <c r="R19" s="495">
        <f t="shared" si="0"/>
        <v>1044</v>
      </c>
      <c r="S19" s="497">
        <f t="shared" si="1"/>
        <v>80.307692307692307</v>
      </c>
      <c r="T19" s="495">
        <f t="shared" si="2"/>
        <v>25</v>
      </c>
      <c r="U19" s="502"/>
      <c r="V19" s="502"/>
    </row>
    <row r="20" spans="1:22" ht="34.5" thickBot="1" x14ac:dyDescent="0.3">
      <c r="A20" s="498">
        <v>17</v>
      </c>
      <c r="B20" s="499"/>
      <c r="C20" s="500">
        <v>15</v>
      </c>
      <c r="D20" s="506" t="s">
        <v>20</v>
      </c>
      <c r="E20" s="502">
        <v>85</v>
      </c>
      <c r="F20" s="502">
        <v>84</v>
      </c>
      <c r="G20" s="505">
        <v>74</v>
      </c>
      <c r="H20" s="502">
        <v>86</v>
      </c>
      <c r="I20" s="502">
        <v>89</v>
      </c>
      <c r="J20" s="502">
        <v>81</v>
      </c>
      <c r="K20" s="502">
        <v>89</v>
      </c>
      <c r="L20" s="493">
        <v>98</v>
      </c>
      <c r="M20" s="503">
        <v>90</v>
      </c>
      <c r="N20" s="504">
        <v>96</v>
      </c>
      <c r="O20" s="502">
        <v>100</v>
      </c>
      <c r="P20" s="502">
        <v>92</v>
      </c>
      <c r="Q20" s="502">
        <v>98</v>
      </c>
      <c r="R20" s="495">
        <f t="shared" si="0"/>
        <v>1162</v>
      </c>
      <c r="S20" s="497">
        <f t="shared" si="1"/>
        <v>89.384615384615387</v>
      </c>
      <c r="T20" s="495">
        <f t="shared" si="2"/>
        <v>4</v>
      </c>
      <c r="U20" s="502"/>
      <c r="V20" s="502"/>
    </row>
    <row r="21" spans="1:22" ht="37.5" customHeight="1" thickBot="1" x14ac:dyDescent="0.3">
      <c r="A21" s="498">
        <v>18</v>
      </c>
      <c r="B21" s="499"/>
      <c r="C21" s="500">
        <v>15</v>
      </c>
      <c r="D21" s="501" t="s">
        <v>20</v>
      </c>
      <c r="E21" s="502">
        <v>73</v>
      </c>
      <c r="F21" s="502">
        <v>78</v>
      </c>
      <c r="G21" s="505">
        <v>66</v>
      </c>
      <c r="H21" s="502">
        <v>60</v>
      </c>
      <c r="I21" s="502">
        <v>66</v>
      </c>
      <c r="J21" s="502">
        <v>55</v>
      </c>
      <c r="K21" s="502">
        <v>56</v>
      </c>
      <c r="L21" s="493">
        <v>63</v>
      </c>
      <c r="M21" s="503">
        <v>62</v>
      </c>
      <c r="N21" s="504">
        <v>71</v>
      </c>
      <c r="O21" s="502">
        <v>77</v>
      </c>
      <c r="P21" s="502">
        <v>73</v>
      </c>
      <c r="Q21" s="502">
        <v>97</v>
      </c>
      <c r="R21" s="495">
        <f t="shared" si="0"/>
        <v>897</v>
      </c>
      <c r="S21" s="497">
        <f t="shared" si="1"/>
        <v>69</v>
      </c>
      <c r="T21" s="495">
        <f t="shared" si="2"/>
        <v>42</v>
      </c>
      <c r="U21" s="502"/>
      <c r="V21" s="502"/>
    </row>
    <row r="22" spans="1:22" ht="34.5" thickBot="1" x14ac:dyDescent="0.3">
      <c r="A22" s="498">
        <v>19</v>
      </c>
      <c r="B22" s="499"/>
      <c r="C22" s="500">
        <v>16</v>
      </c>
      <c r="D22" s="506" t="s">
        <v>20</v>
      </c>
      <c r="E22" s="502">
        <v>76</v>
      </c>
      <c r="F22" s="502">
        <v>63</v>
      </c>
      <c r="G22" s="505">
        <v>68</v>
      </c>
      <c r="H22" s="502">
        <v>67</v>
      </c>
      <c r="I22" s="502">
        <v>60</v>
      </c>
      <c r="J22" s="502">
        <v>50</v>
      </c>
      <c r="K22" s="502">
        <v>59</v>
      </c>
      <c r="L22" s="493">
        <v>69</v>
      </c>
      <c r="M22" s="503">
        <v>52</v>
      </c>
      <c r="N22" s="504">
        <v>71</v>
      </c>
      <c r="O22" s="502">
        <v>75</v>
      </c>
      <c r="P22" s="502">
        <v>83</v>
      </c>
      <c r="Q22" s="502">
        <v>87</v>
      </c>
      <c r="R22" s="495">
        <f t="shared" si="0"/>
        <v>880</v>
      </c>
      <c r="S22" s="497">
        <f t="shared" si="1"/>
        <v>67.692307692307693</v>
      </c>
      <c r="T22" s="495">
        <f t="shared" si="2"/>
        <v>44</v>
      </c>
      <c r="U22" s="502"/>
      <c r="V22" s="502"/>
    </row>
    <row r="23" spans="1:22" ht="34.5" thickBot="1" x14ac:dyDescent="0.3">
      <c r="A23" s="498">
        <v>20</v>
      </c>
      <c r="B23" s="499"/>
      <c r="C23" s="500">
        <v>15</v>
      </c>
      <c r="D23" s="506" t="s">
        <v>17</v>
      </c>
      <c r="E23" s="502">
        <v>73</v>
      </c>
      <c r="F23" s="502">
        <v>89</v>
      </c>
      <c r="G23" s="505">
        <v>76</v>
      </c>
      <c r="H23" s="502">
        <v>87</v>
      </c>
      <c r="I23" s="502">
        <v>80</v>
      </c>
      <c r="J23" s="502">
        <v>89</v>
      </c>
      <c r="K23" s="502">
        <v>89</v>
      </c>
      <c r="L23" s="493">
        <v>93</v>
      </c>
      <c r="M23" s="503">
        <v>74</v>
      </c>
      <c r="N23" s="504">
        <v>90</v>
      </c>
      <c r="O23" s="502">
        <v>94</v>
      </c>
      <c r="P23" s="502">
        <v>95</v>
      </c>
      <c r="Q23" s="502">
        <v>99</v>
      </c>
      <c r="R23" s="495">
        <f t="shared" si="0"/>
        <v>1128</v>
      </c>
      <c r="S23" s="497">
        <f t="shared" si="1"/>
        <v>86.769230769230774</v>
      </c>
      <c r="T23" s="495">
        <f t="shared" si="2"/>
        <v>7</v>
      </c>
      <c r="U23" s="502"/>
      <c r="V23" s="502"/>
    </row>
    <row r="24" spans="1:22" ht="34.5" thickBot="1" x14ac:dyDescent="0.3">
      <c r="A24" s="498">
        <v>21</v>
      </c>
      <c r="B24" s="499"/>
      <c r="C24" s="500">
        <v>16</v>
      </c>
      <c r="D24" s="506" t="s">
        <v>20</v>
      </c>
      <c r="E24" s="502">
        <v>96</v>
      </c>
      <c r="F24" s="502">
        <v>87</v>
      </c>
      <c r="G24" s="505">
        <v>100</v>
      </c>
      <c r="H24" s="502">
        <v>96</v>
      </c>
      <c r="I24" s="502">
        <v>94</v>
      </c>
      <c r="J24" s="502">
        <v>96</v>
      </c>
      <c r="K24" s="502">
        <v>89</v>
      </c>
      <c r="L24" s="493">
        <v>98</v>
      </c>
      <c r="M24" s="503">
        <v>88</v>
      </c>
      <c r="N24" s="504">
        <v>99</v>
      </c>
      <c r="O24" s="502">
        <v>96</v>
      </c>
      <c r="P24" s="502">
        <v>100</v>
      </c>
      <c r="Q24" s="502">
        <v>96</v>
      </c>
      <c r="R24" s="495">
        <f t="shared" si="0"/>
        <v>1235</v>
      </c>
      <c r="S24" s="497">
        <f t="shared" si="1"/>
        <v>95</v>
      </c>
      <c r="T24" s="495">
        <f t="shared" si="2"/>
        <v>2</v>
      </c>
      <c r="U24" s="502"/>
      <c r="V24" s="502"/>
    </row>
    <row r="25" spans="1:22" ht="34.5" thickBot="1" x14ac:dyDescent="0.3">
      <c r="A25" s="498">
        <v>22</v>
      </c>
      <c r="B25" s="508"/>
      <c r="C25" s="509">
        <v>15</v>
      </c>
      <c r="D25" s="510" t="s">
        <v>17</v>
      </c>
      <c r="E25" s="502">
        <v>74</v>
      </c>
      <c r="F25" s="502">
        <v>84</v>
      </c>
      <c r="G25" s="512">
        <v>45</v>
      </c>
      <c r="H25" s="502">
        <v>82</v>
      </c>
      <c r="I25" s="502">
        <v>76</v>
      </c>
      <c r="J25" s="502">
        <v>64</v>
      </c>
      <c r="K25" s="502">
        <v>70</v>
      </c>
      <c r="L25" s="493">
        <v>67</v>
      </c>
      <c r="M25" s="511">
        <v>56</v>
      </c>
      <c r="N25" s="504">
        <v>65</v>
      </c>
      <c r="O25" s="502">
        <v>84</v>
      </c>
      <c r="P25" s="502">
        <v>90</v>
      </c>
      <c r="Q25" s="502">
        <v>79</v>
      </c>
      <c r="R25" s="495">
        <f t="shared" si="0"/>
        <v>936</v>
      </c>
      <c r="S25" s="497">
        <f t="shared" si="1"/>
        <v>72</v>
      </c>
      <c r="T25" s="495">
        <f t="shared" si="2"/>
        <v>36</v>
      </c>
      <c r="U25" s="502"/>
      <c r="V25" s="502"/>
    </row>
    <row r="26" spans="1:22" ht="35.25" customHeight="1" thickBot="1" x14ac:dyDescent="0.3">
      <c r="A26" s="498">
        <v>23</v>
      </c>
      <c r="B26" s="508"/>
      <c r="C26" s="509">
        <v>15</v>
      </c>
      <c r="D26" s="510" t="s">
        <v>17</v>
      </c>
      <c r="E26" s="502">
        <v>61</v>
      </c>
      <c r="F26" s="502">
        <v>55</v>
      </c>
      <c r="G26" s="512">
        <v>53</v>
      </c>
      <c r="H26" s="502">
        <v>49</v>
      </c>
      <c r="I26" s="502">
        <v>59</v>
      </c>
      <c r="J26" s="502">
        <v>58</v>
      </c>
      <c r="K26" s="502">
        <v>68</v>
      </c>
      <c r="L26" s="493">
        <v>81</v>
      </c>
      <c r="M26" s="511">
        <v>76</v>
      </c>
      <c r="N26" s="504">
        <v>71</v>
      </c>
      <c r="O26" s="502">
        <v>86</v>
      </c>
      <c r="P26" s="502">
        <v>72</v>
      </c>
      <c r="Q26" s="502">
        <v>78</v>
      </c>
      <c r="R26" s="495">
        <f t="shared" si="0"/>
        <v>867</v>
      </c>
      <c r="S26" s="497">
        <f t="shared" si="1"/>
        <v>66.692307692307693</v>
      </c>
      <c r="T26" s="495">
        <f t="shared" si="2"/>
        <v>45</v>
      </c>
      <c r="U26" s="502"/>
      <c r="V26" s="502"/>
    </row>
    <row r="27" spans="1:22" ht="34.5" thickBot="1" x14ac:dyDescent="0.3">
      <c r="A27" s="498">
        <v>24</v>
      </c>
      <c r="B27" s="508"/>
      <c r="C27" s="509">
        <v>16</v>
      </c>
      <c r="D27" s="510" t="s">
        <v>17</v>
      </c>
      <c r="E27" s="502">
        <v>83</v>
      </c>
      <c r="F27" s="502">
        <v>74</v>
      </c>
      <c r="G27" s="512">
        <v>52</v>
      </c>
      <c r="H27" s="502">
        <v>59</v>
      </c>
      <c r="I27" s="502">
        <v>59</v>
      </c>
      <c r="J27" s="502">
        <v>47</v>
      </c>
      <c r="K27" s="502">
        <v>60</v>
      </c>
      <c r="L27" s="493">
        <v>77</v>
      </c>
      <c r="M27" s="511">
        <v>79</v>
      </c>
      <c r="N27" s="504">
        <v>87</v>
      </c>
      <c r="O27" s="502">
        <v>77</v>
      </c>
      <c r="P27" s="502">
        <v>85</v>
      </c>
      <c r="Q27" s="502">
        <v>94</v>
      </c>
      <c r="R27" s="495">
        <f t="shared" si="0"/>
        <v>933</v>
      </c>
      <c r="S27" s="497">
        <f t="shared" si="1"/>
        <v>71.769230769230774</v>
      </c>
      <c r="T27" s="495">
        <f t="shared" si="2"/>
        <v>37</v>
      </c>
      <c r="U27" s="502"/>
      <c r="V27" s="502"/>
    </row>
    <row r="28" spans="1:22" ht="49.5" customHeight="1" thickBot="1" x14ac:dyDescent="0.3">
      <c r="A28" s="513">
        <v>25</v>
      </c>
      <c r="B28" s="514"/>
      <c r="C28" s="515">
        <v>16</v>
      </c>
      <c r="D28" s="515" t="s">
        <v>20</v>
      </c>
      <c r="E28" s="516">
        <v>88</v>
      </c>
      <c r="F28" s="516">
        <v>57</v>
      </c>
      <c r="G28" s="520">
        <v>45</v>
      </c>
      <c r="H28" s="516">
        <v>50</v>
      </c>
      <c r="I28" s="516">
        <v>44</v>
      </c>
      <c r="J28" s="516">
        <v>51</v>
      </c>
      <c r="K28" s="516">
        <v>61</v>
      </c>
      <c r="L28" s="518">
        <v>66</v>
      </c>
      <c r="M28" s="517">
        <v>65</v>
      </c>
      <c r="N28" s="519">
        <v>78</v>
      </c>
      <c r="O28" s="516">
        <v>65</v>
      </c>
      <c r="P28" s="516">
        <v>81</v>
      </c>
      <c r="Q28" s="516">
        <v>77</v>
      </c>
      <c r="R28" s="495">
        <f t="shared" si="0"/>
        <v>828</v>
      </c>
      <c r="S28" s="497">
        <f t="shared" si="1"/>
        <v>63.692307692307693</v>
      </c>
      <c r="T28" s="521">
        <f t="shared" si="2"/>
        <v>47</v>
      </c>
      <c r="U28" s="502"/>
      <c r="V28" s="502"/>
    </row>
    <row r="29" spans="1:22" ht="49.5" customHeight="1" thickBot="1" x14ac:dyDescent="0.3">
      <c r="A29" s="513">
        <v>26</v>
      </c>
      <c r="B29" s="522"/>
      <c r="C29" s="523">
        <v>15</v>
      </c>
      <c r="D29" s="523" t="s">
        <v>20</v>
      </c>
      <c r="E29" s="516">
        <v>92</v>
      </c>
      <c r="F29" s="516">
        <v>91</v>
      </c>
      <c r="G29" s="526">
        <v>86</v>
      </c>
      <c r="H29" s="516">
        <v>97</v>
      </c>
      <c r="I29" s="516">
        <v>100</v>
      </c>
      <c r="J29" s="516">
        <v>100</v>
      </c>
      <c r="K29" s="516">
        <v>96</v>
      </c>
      <c r="L29" s="525">
        <v>100</v>
      </c>
      <c r="M29" s="524">
        <v>98</v>
      </c>
      <c r="N29" s="519">
        <v>100</v>
      </c>
      <c r="O29" s="516">
        <v>100</v>
      </c>
      <c r="P29" s="516">
        <v>97</v>
      </c>
      <c r="Q29" s="516">
        <v>98</v>
      </c>
      <c r="R29" s="495">
        <f t="shared" si="0"/>
        <v>1255</v>
      </c>
      <c r="S29" s="497">
        <f t="shared" si="1"/>
        <v>96.538461538461533</v>
      </c>
      <c r="T29" s="521">
        <f t="shared" si="2"/>
        <v>1</v>
      </c>
      <c r="U29" s="502"/>
      <c r="V29" s="502"/>
    </row>
    <row r="30" spans="1:22" ht="34.5" thickBot="1" x14ac:dyDescent="0.3">
      <c r="A30" s="513">
        <v>27</v>
      </c>
      <c r="B30" s="527"/>
      <c r="C30" s="528">
        <v>16</v>
      </c>
      <c r="D30" s="528" t="s">
        <v>17</v>
      </c>
      <c r="E30" s="516">
        <v>72</v>
      </c>
      <c r="F30" s="516">
        <v>50</v>
      </c>
      <c r="G30" s="530">
        <v>63</v>
      </c>
      <c r="H30" s="516">
        <v>66</v>
      </c>
      <c r="I30" s="516">
        <v>67</v>
      </c>
      <c r="J30" s="516">
        <v>53</v>
      </c>
      <c r="K30" s="516">
        <v>60</v>
      </c>
      <c r="L30" s="525">
        <v>75</v>
      </c>
      <c r="M30" s="529">
        <v>75</v>
      </c>
      <c r="N30" s="519">
        <v>79</v>
      </c>
      <c r="O30" s="516">
        <v>94</v>
      </c>
      <c r="P30" s="516">
        <v>79</v>
      </c>
      <c r="Q30" s="516">
        <v>73</v>
      </c>
      <c r="R30" s="495">
        <f t="shared" si="0"/>
        <v>906</v>
      </c>
      <c r="S30" s="497">
        <f t="shared" si="1"/>
        <v>69.692307692307693</v>
      </c>
      <c r="T30" s="521">
        <f t="shared" si="2"/>
        <v>40</v>
      </c>
      <c r="U30" s="502"/>
      <c r="V30" s="502"/>
    </row>
    <row r="31" spans="1:22" ht="34.5" thickBot="1" x14ac:dyDescent="0.3">
      <c r="A31" s="513">
        <v>28</v>
      </c>
      <c r="B31" s="527"/>
      <c r="C31" s="528">
        <v>16</v>
      </c>
      <c r="D31" s="528" t="s">
        <v>17</v>
      </c>
      <c r="E31" s="516">
        <v>75</v>
      </c>
      <c r="F31" s="516">
        <v>81</v>
      </c>
      <c r="G31" s="530">
        <v>59</v>
      </c>
      <c r="H31" s="516">
        <v>74</v>
      </c>
      <c r="I31" s="516">
        <v>72</v>
      </c>
      <c r="J31" s="516">
        <v>75</v>
      </c>
      <c r="K31" s="516">
        <v>77</v>
      </c>
      <c r="L31" s="525">
        <v>88</v>
      </c>
      <c r="M31" s="529">
        <v>65</v>
      </c>
      <c r="N31" s="519">
        <v>85</v>
      </c>
      <c r="O31" s="516">
        <v>94</v>
      </c>
      <c r="P31" s="516">
        <v>99</v>
      </c>
      <c r="Q31" s="516">
        <v>93</v>
      </c>
      <c r="R31" s="495">
        <f t="shared" si="0"/>
        <v>1037</v>
      </c>
      <c r="S31" s="497">
        <f t="shared" si="1"/>
        <v>79.769230769230774</v>
      </c>
      <c r="T31" s="521">
        <f t="shared" si="2"/>
        <v>26</v>
      </c>
      <c r="U31" s="502"/>
      <c r="V31" s="502"/>
    </row>
    <row r="32" spans="1:22" ht="34.5" thickBot="1" x14ac:dyDescent="0.3">
      <c r="A32" s="513">
        <v>29</v>
      </c>
      <c r="B32" s="527"/>
      <c r="C32" s="528">
        <v>16</v>
      </c>
      <c r="D32" s="528" t="s">
        <v>17</v>
      </c>
      <c r="E32" s="516">
        <v>72</v>
      </c>
      <c r="F32" s="516">
        <v>68</v>
      </c>
      <c r="G32" s="530">
        <v>58</v>
      </c>
      <c r="H32" s="516">
        <v>90</v>
      </c>
      <c r="I32" s="516">
        <v>84</v>
      </c>
      <c r="J32" s="516">
        <v>88</v>
      </c>
      <c r="K32" s="516">
        <v>92</v>
      </c>
      <c r="L32" s="525">
        <v>92</v>
      </c>
      <c r="M32" s="529">
        <v>84</v>
      </c>
      <c r="N32" s="519">
        <v>90</v>
      </c>
      <c r="O32" s="516">
        <v>97</v>
      </c>
      <c r="P32" s="516">
        <v>97</v>
      </c>
      <c r="Q32" s="516">
        <v>93</v>
      </c>
      <c r="R32" s="495">
        <f t="shared" si="0"/>
        <v>1105</v>
      </c>
      <c r="S32" s="497">
        <f t="shared" si="1"/>
        <v>85</v>
      </c>
      <c r="T32" s="521">
        <f t="shared" si="2"/>
        <v>13</v>
      </c>
      <c r="U32" s="502"/>
      <c r="V32" s="502"/>
    </row>
    <row r="33" spans="1:22" ht="42.75" customHeight="1" thickBot="1" x14ac:dyDescent="0.3">
      <c r="A33" s="513">
        <v>30</v>
      </c>
      <c r="B33" s="527"/>
      <c r="C33" s="528">
        <v>16</v>
      </c>
      <c r="D33" s="528" t="s">
        <v>17</v>
      </c>
      <c r="E33" s="516">
        <v>73</v>
      </c>
      <c r="F33" s="516">
        <v>77</v>
      </c>
      <c r="G33" s="530">
        <v>59</v>
      </c>
      <c r="H33" s="516">
        <v>65</v>
      </c>
      <c r="I33" s="516">
        <v>70</v>
      </c>
      <c r="J33" s="516">
        <v>66</v>
      </c>
      <c r="K33" s="516">
        <v>70</v>
      </c>
      <c r="L33" s="525">
        <v>85</v>
      </c>
      <c r="M33" s="529">
        <v>73</v>
      </c>
      <c r="N33" s="519">
        <v>84</v>
      </c>
      <c r="O33" s="516">
        <v>83</v>
      </c>
      <c r="P33" s="516">
        <v>90</v>
      </c>
      <c r="Q33" s="516">
        <v>86</v>
      </c>
      <c r="R33" s="495">
        <f t="shared" si="0"/>
        <v>981</v>
      </c>
      <c r="S33" s="497">
        <f t="shared" si="1"/>
        <v>75.461538461538467</v>
      </c>
      <c r="T33" s="521">
        <f t="shared" si="2"/>
        <v>33</v>
      </c>
      <c r="U33" s="502"/>
      <c r="V33" s="502"/>
    </row>
    <row r="34" spans="1:22" ht="34.5" thickBot="1" x14ac:dyDescent="0.3">
      <c r="A34" s="513">
        <v>31</v>
      </c>
      <c r="B34" s="527"/>
      <c r="C34" s="528">
        <v>16</v>
      </c>
      <c r="D34" s="528" t="s">
        <v>17</v>
      </c>
      <c r="E34" s="516">
        <v>86</v>
      </c>
      <c r="F34" s="516">
        <v>64</v>
      </c>
      <c r="G34" s="530">
        <v>68</v>
      </c>
      <c r="H34" s="516">
        <v>94</v>
      </c>
      <c r="I34" s="516">
        <v>87</v>
      </c>
      <c r="J34" s="516">
        <v>76</v>
      </c>
      <c r="K34" s="516">
        <v>74</v>
      </c>
      <c r="L34" s="525">
        <v>91</v>
      </c>
      <c r="M34" s="529">
        <v>86</v>
      </c>
      <c r="N34" s="519">
        <v>81</v>
      </c>
      <c r="O34" s="516">
        <v>96</v>
      </c>
      <c r="P34" s="516">
        <v>86</v>
      </c>
      <c r="Q34" s="516">
        <v>87</v>
      </c>
      <c r="R34" s="495">
        <f t="shared" si="0"/>
        <v>1076</v>
      </c>
      <c r="S34" s="497">
        <f t="shared" si="1"/>
        <v>82.769230769230774</v>
      </c>
      <c r="T34" s="521">
        <f t="shared" si="2"/>
        <v>22</v>
      </c>
      <c r="U34" s="502"/>
      <c r="V34" s="502"/>
    </row>
    <row r="35" spans="1:22" ht="34.5" thickBot="1" x14ac:dyDescent="0.3">
      <c r="A35" s="513">
        <v>32</v>
      </c>
      <c r="B35" s="527"/>
      <c r="C35" s="528">
        <v>16</v>
      </c>
      <c r="D35" s="528" t="s">
        <v>17</v>
      </c>
      <c r="E35" s="516">
        <v>74</v>
      </c>
      <c r="F35" s="516">
        <v>82</v>
      </c>
      <c r="G35" s="530">
        <v>52</v>
      </c>
      <c r="H35" s="516">
        <v>88</v>
      </c>
      <c r="I35" s="516">
        <v>86</v>
      </c>
      <c r="J35" s="516">
        <v>98</v>
      </c>
      <c r="K35" s="516">
        <v>92</v>
      </c>
      <c r="L35" s="525">
        <v>95</v>
      </c>
      <c r="M35" s="529">
        <v>78</v>
      </c>
      <c r="N35" s="519">
        <v>80</v>
      </c>
      <c r="O35" s="516">
        <v>84</v>
      </c>
      <c r="P35" s="516">
        <v>92</v>
      </c>
      <c r="Q35" s="516">
        <v>92</v>
      </c>
      <c r="R35" s="495">
        <f t="shared" si="0"/>
        <v>1093</v>
      </c>
      <c r="S35" s="497">
        <f t="shared" si="1"/>
        <v>84.07692307692308</v>
      </c>
      <c r="T35" s="521">
        <f t="shared" si="2"/>
        <v>15</v>
      </c>
      <c r="U35" s="502"/>
      <c r="V35" s="502"/>
    </row>
    <row r="36" spans="1:22" ht="34.5" thickBot="1" x14ac:dyDescent="0.3">
      <c r="A36" s="513">
        <v>33</v>
      </c>
      <c r="B36" s="527"/>
      <c r="C36" s="528">
        <v>16</v>
      </c>
      <c r="D36" s="528" t="s">
        <v>17</v>
      </c>
      <c r="E36" s="516">
        <v>86</v>
      </c>
      <c r="F36" s="516">
        <v>73</v>
      </c>
      <c r="G36" s="530">
        <v>70</v>
      </c>
      <c r="H36" s="516">
        <v>82</v>
      </c>
      <c r="I36" s="516">
        <v>75</v>
      </c>
      <c r="J36" s="516">
        <v>75</v>
      </c>
      <c r="K36" s="516">
        <v>76</v>
      </c>
      <c r="L36" s="525">
        <v>100</v>
      </c>
      <c r="M36" s="529">
        <v>74</v>
      </c>
      <c r="N36" s="519">
        <v>96</v>
      </c>
      <c r="O36" s="516">
        <v>94</v>
      </c>
      <c r="P36" s="516">
        <v>98</v>
      </c>
      <c r="Q36" s="516">
        <v>88</v>
      </c>
      <c r="R36" s="495">
        <f t="shared" si="0"/>
        <v>1087</v>
      </c>
      <c r="S36" s="497">
        <f t="shared" si="1"/>
        <v>83.615384615384613</v>
      </c>
      <c r="T36" s="521">
        <f t="shared" si="2"/>
        <v>18</v>
      </c>
      <c r="U36" s="502"/>
      <c r="V36" s="502"/>
    </row>
    <row r="37" spans="1:22" ht="34.5" thickBot="1" x14ac:dyDescent="0.3">
      <c r="A37" s="513">
        <v>34</v>
      </c>
      <c r="B37" s="527"/>
      <c r="C37" s="528">
        <v>15</v>
      </c>
      <c r="D37" s="528" t="s">
        <v>20</v>
      </c>
      <c r="E37" s="516">
        <v>85</v>
      </c>
      <c r="F37" s="516">
        <v>76</v>
      </c>
      <c r="G37" s="530">
        <v>83</v>
      </c>
      <c r="H37" s="516">
        <v>95</v>
      </c>
      <c r="I37" s="516">
        <v>85</v>
      </c>
      <c r="J37" s="516">
        <v>89</v>
      </c>
      <c r="K37" s="516">
        <v>94</v>
      </c>
      <c r="L37" s="525">
        <v>98</v>
      </c>
      <c r="M37" s="529">
        <v>79</v>
      </c>
      <c r="N37" s="519">
        <v>90</v>
      </c>
      <c r="O37" s="516">
        <v>96</v>
      </c>
      <c r="P37" s="516">
        <v>93</v>
      </c>
      <c r="Q37" s="516">
        <v>96</v>
      </c>
      <c r="R37" s="495">
        <f t="shared" si="0"/>
        <v>1159</v>
      </c>
      <c r="S37" s="497">
        <f t="shared" si="1"/>
        <v>89.15384615384616</v>
      </c>
      <c r="T37" s="521">
        <f t="shared" si="2"/>
        <v>5</v>
      </c>
      <c r="U37" s="502"/>
      <c r="V37" s="502"/>
    </row>
    <row r="38" spans="1:22" ht="34.5" thickBot="1" x14ac:dyDescent="0.3">
      <c r="A38" s="513">
        <v>35</v>
      </c>
      <c r="B38" s="527"/>
      <c r="C38" s="528">
        <v>15</v>
      </c>
      <c r="D38" s="528" t="s">
        <v>17</v>
      </c>
      <c r="E38" s="516">
        <v>90</v>
      </c>
      <c r="F38" s="516">
        <v>75</v>
      </c>
      <c r="G38" s="530">
        <v>75</v>
      </c>
      <c r="H38" s="516">
        <v>87</v>
      </c>
      <c r="I38" s="516">
        <v>77</v>
      </c>
      <c r="J38" s="516">
        <v>87</v>
      </c>
      <c r="K38" s="516">
        <v>77</v>
      </c>
      <c r="L38" s="525">
        <v>91</v>
      </c>
      <c r="M38" s="529">
        <v>85</v>
      </c>
      <c r="N38" s="519">
        <v>89</v>
      </c>
      <c r="O38" s="516">
        <v>91</v>
      </c>
      <c r="P38" s="516">
        <v>97</v>
      </c>
      <c r="Q38" s="516">
        <v>96</v>
      </c>
      <c r="R38" s="495">
        <f t="shared" si="0"/>
        <v>1117</v>
      </c>
      <c r="S38" s="497">
        <f t="shared" si="1"/>
        <v>85.92307692307692</v>
      </c>
      <c r="T38" s="521">
        <f t="shared" si="2"/>
        <v>9</v>
      </c>
      <c r="U38" s="502"/>
      <c r="V38" s="502"/>
    </row>
    <row r="39" spans="1:22" ht="34.5" thickBot="1" x14ac:dyDescent="0.3">
      <c r="A39" s="513">
        <v>36</v>
      </c>
      <c r="B39" s="527"/>
      <c r="C39" s="528">
        <v>16</v>
      </c>
      <c r="D39" s="528" t="s">
        <v>20</v>
      </c>
      <c r="E39" s="516">
        <v>74</v>
      </c>
      <c r="F39" s="516">
        <v>76</v>
      </c>
      <c r="G39" s="530">
        <v>90</v>
      </c>
      <c r="H39" s="516">
        <v>55</v>
      </c>
      <c r="I39" s="516">
        <v>64</v>
      </c>
      <c r="J39" s="516">
        <v>68</v>
      </c>
      <c r="K39" s="516">
        <v>77</v>
      </c>
      <c r="L39" s="525">
        <v>85</v>
      </c>
      <c r="M39" s="529">
        <v>67</v>
      </c>
      <c r="N39" s="519">
        <v>86</v>
      </c>
      <c r="O39" s="516">
        <v>88</v>
      </c>
      <c r="P39" s="516">
        <v>86</v>
      </c>
      <c r="Q39" s="516">
        <v>89</v>
      </c>
      <c r="R39" s="495">
        <f t="shared" si="0"/>
        <v>1005</v>
      </c>
      <c r="S39" s="497">
        <f t="shared" si="1"/>
        <v>77.307692307692307</v>
      </c>
      <c r="T39" s="521">
        <f t="shared" si="2"/>
        <v>30</v>
      </c>
      <c r="U39" s="502"/>
      <c r="V39" s="502"/>
    </row>
    <row r="40" spans="1:22" ht="34.5" thickBot="1" x14ac:dyDescent="0.3">
      <c r="A40" s="513">
        <v>37</v>
      </c>
      <c r="B40" s="527"/>
      <c r="C40" s="528">
        <v>18</v>
      </c>
      <c r="D40" s="528" t="s">
        <v>17</v>
      </c>
      <c r="E40" s="516">
        <v>90</v>
      </c>
      <c r="F40" s="516">
        <v>69</v>
      </c>
      <c r="G40" s="530">
        <v>67</v>
      </c>
      <c r="H40" s="516">
        <v>70</v>
      </c>
      <c r="I40" s="516">
        <v>71</v>
      </c>
      <c r="J40" s="516">
        <v>79</v>
      </c>
      <c r="K40" s="516">
        <v>79</v>
      </c>
      <c r="L40" s="525">
        <v>94</v>
      </c>
      <c r="M40" s="529">
        <v>90</v>
      </c>
      <c r="N40" s="519">
        <v>92</v>
      </c>
      <c r="O40" s="516">
        <v>97</v>
      </c>
      <c r="P40" s="516">
        <v>91</v>
      </c>
      <c r="Q40" s="516">
        <v>99</v>
      </c>
      <c r="R40" s="495">
        <f t="shared" si="0"/>
        <v>1088</v>
      </c>
      <c r="S40" s="497">
        <f t="shared" si="1"/>
        <v>83.692307692307693</v>
      </c>
      <c r="T40" s="521">
        <f t="shared" si="2"/>
        <v>17</v>
      </c>
      <c r="U40" s="502"/>
      <c r="V40" s="502"/>
    </row>
    <row r="41" spans="1:22" ht="34.5" thickBot="1" x14ac:dyDescent="0.3">
      <c r="A41" s="513">
        <v>38</v>
      </c>
      <c r="B41" s="527"/>
      <c r="C41" s="528">
        <v>15</v>
      </c>
      <c r="D41" s="528" t="s">
        <v>20</v>
      </c>
      <c r="E41" s="516">
        <v>83</v>
      </c>
      <c r="F41" s="516">
        <v>89</v>
      </c>
      <c r="G41" s="530">
        <v>83</v>
      </c>
      <c r="H41" s="516">
        <v>76</v>
      </c>
      <c r="I41" s="516">
        <v>75</v>
      </c>
      <c r="J41" s="516">
        <v>77</v>
      </c>
      <c r="K41" s="516">
        <v>91</v>
      </c>
      <c r="L41" s="525">
        <v>91</v>
      </c>
      <c r="M41" s="529">
        <v>78</v>
      </c>
      <c r="N41" s="519">
        <v>98</v>
      </c>
      <c r="O41" s="516">
        <v>88</v>
      </c>
      <c r="P41" s="516">
        <v>90</v>
      </c>
      <c r="Q41" s="516">
        <v>97</v>
      </c>
      <c r="R41" s="495">
        <f t="shared" si="0"/>
        <v>1116</v>
      </c>
      <c r="S41" s="497">
        <f t="shared" si="1"/>
        <v>85.84615384615384</v>
      </c>
      <c r="T41" s="521">
        <f t="shared" si="2"/>
        <v>11</v>
      </c>
      <c r="U41" s="502"/>
      <c r="V41" s="502"/>
    </row>
    <row r="42" spans="1:22" ht="34.5" thickBot="1" x14ac:dyDescent="0.3">
      <c r="A42" s="513">
        <v>39</v>
      </c>
      <c r="B42" s="527"/>
      <c r="C42" s="528">
        <v>15</v>
      </c>
      <c r="D42" s="528" t="s">
        <v>17</v>
      </c>
      <c r="E42" s="516">
        <v>82</v>
      </c>
      <c r="F42" s="516">
        <v>77</v>
      </c>
      <c r="G42" s="530">
        <v>47</v>
      </c>
      <c r="H42" s="516">
        <v>74</v>
      </c>
      <c r="I42" s="516">
        <v>71</v>
      </c>
      <c r="J42" s="516">
        <v>61</v>
      </c>
      <c r="K42" s="516">
        <v>47</v>
      </c>
      <c r="L42" s="525">
        <v>73</v>
      </c>
      <c r="M42" s="529">
        <v>60</v>
      </c>
      <c r="N42" s="519">
        <v>77</v>
      </c>
      <c r="O42" s="516">
        <v>74</v>
      </c>
      <c r="P42" s="516">
        <v>87</v>
      </c>
      <c r="Q42" s="516">
        <v>80</v>
      </c>
      <c r="R42" s="495">
        <f t="shared" si="0"/>
        <v>910</v>
      </c>
      <c r="S42" s="497">
        <f t="shared" si="1"/>
        <v>70</v>
      </c>
      <c r="T42" s="521">
        <f t="shared" si="2"/>
        <v>39</v>
      </c>
      <c r="U42" s="502"/>
      <c r="V42" s="502"/>
    </row>
    <row r="43" spans="1:22" ht="34.5" thickBot="1" x14ac:dyDescent="0.3">
      <c r="A43" s="513">
        <v>40</v>
      </c>
      <c r="B43" s="527"/>
      <c r="C43" s="528">
        <v>16</v>
      </c>
      <c r="D43" s="528" t="s">
        <v>20</v>
      </c>
      <c r="E43" s="516">
        <v>89</v>
      </c>
      <c r="F43" s="516">
        <v>79</v>
      </c>
      <c r="G43" s="530">
        <v>64</v>
      </c>
      <c r="H43" s="516">
        <v>59</v>
      </c>
      <c r="I43" s="516">
        <v>71</v>
      </c>
      <c r="J43" s="516">
        <v>66</v>
      </c>
      <c r="K43" s="516">
        <v>60</v>
      </c>
      <c r="L43" s="525">
        <v>90</v>
      </c>
      <c r="M43" s="529">
        <v>75</v>
      </c>
      <c r="N43" s="519">
        <v>86</v>
      </c>
      <c r="O43" s="516">
        <v>85</v>
      </c>
      <c r="P43" s="516">
        <v>85</v>
      </c>
      <c r="Q43" s="516">
        <v>99</v>
      </c>
      <c r="R43" s="495">
        <f t="shared" si="0"/>
        <v>1008</v>
      </c>
      <c r="S43" s="497">
        <f t="shared" si="1"/>
        <v>77.538461538461533</v>
      </c>
      <c r="T43" s="521">
        <f t="shared" si="2"/>
        <v>29</v>
      </c>
      <c r="U43" s="502"/>
      <c r="V43" s="502"/>
    </row>
    <row r="44" spans="1:22" ht="34.5" thickBot="1" x14ac:dyDescent="0.3">
      <c r="A44" s="513">
        <v>41</v>
      </c>
      <c r="B44" s="527"/>
      <c r="C44" s="528">
        <v>16</v>
      </c>
      <c r="D44" s="528" t="s">
        <v>17</v>
      </c>
      <c r="E44" s="516">
        <v>90</v>
      </c>
      <c r="F44" s="516">
        <v>70</v>
      </c>
      <c r="G44" s="530">
        <v>53</v>
      </c>
      <c r="H44" s="516">
        <v>58</v>
      </c>
      <c r="I44" s="516">
        <v>50</v>
      </c>
      <c r="J44" s="516">
        <v>47</v>
      </c>
      <c r="K44" s="516">
        <v>57</v>
      </c>
      <c r="L44" s="525">
        <v>82</v>
      </c>
      <c r="M44" s="529">
        <v>85</v>
      </c>
      <c r="N44" s="519">
        <v>85</v>
      </c>
      <c r="O44" s="516">
        <v>85</v>
      </c>
      <c r="P44" s="516">
        <v>75</v>
      </c>
      <c r="Q44" s="516">
        <v>89</v>
      </c>
      <c r="R44" s="495">
        <f t="shared" si="0"/>
        <v>926</v>
      </c>
      <c r="S44" s="497">
        <f t="shared" si="1"/>
        <v>71.230769230769226</v>
      </c>
      <c r="T44" s="521">
        <f t="shared" si="2"/>
        <v>38</v>
      </c>
      <c r="U44" s="502"/>
      <c r="V44" s="502"/>
    </row>
    <row r="45" spans="1:22" ht="34.5" thickBot="1" x14ac:dyDescent="0.3">
      <c r="A45" s="513">
        <v>42</v>
      </c>
      <c r="B45" s="527"/>
      <c r="C45" s="528">
        <v>16</v>
      </c>
      <c r="D45" s="528" t="s">
        <v>17</v>
      </c>
      <c r="E45" s="516">
        <v>81</v>
      </c>
      <c r="F45" s="516">
        <v>61</v>
      </c>
      <c r="G45" s="530">
        <v>65</v>
      </c>
      <c r="H45" s="516">
        <v>86</v>
      </c>
      <c r="I45" s="516">
        <v>74</v>
      </c>
      <c r="J45" s="516">
        <v>74</v>
      </c>
      <c r="K45" s="516">
        <v>67</v>
      </c>
      <c r="L45" s="525">
        <v>94</v>
      </c>
      <c r="M45" s="529">
        <v>86</v>
      </c>
      <c r="N45" s="519">
        <v>87</v>
      </c>
      <c r="O45" s="516">
        <v>96</v>
      </c>
      <c r="P45" s="516">
        <v>98</v>
      </c>
      <c r="Q45" s="516">
        <v>95</v>
      </c>
      <c r="R45" s="495">
        <f t="shared" si="0"/>
        <v>1064</v>
      </c>
      <c r="S45" s="497">
        <f t="shared" si="1"/>
        <v>81.84615384615384</v>
      </c>
      <c r="T45" s="521">
        <f t="shared" si="2"/>
        <v>23</v>
      </c>
      <c r="U45" s="502"/>
      <c r="V45" s="502"/>
    </row>
    <row r="46" spans="1:22" ht="34.5" thickBot="1" x14ac:dyDescent="0.3">
      <c r="A46" s="513">
        <v>43</v>
      </c>
      <c r="B46" s="527"/>
      <c r="C46" s="528">
        <v>17</v>
      </c>
      <c r="D46" s="528" t="s">
        <v>17</v>
      </c>
      <c r="E46" s="516">
        <v>73</v>
      </c>
      <c r="F46" s="516">
        <v>62</v>
      </c>
      <c r="G46" s="530">
        <v>52</v>
      </c>
      <c r="H46" s="516">
        <v>59</v>
      </c>
      <c r="I46" s="516">
        <v>68</v>
      </c>
      <c r="J46" s="516">
        <v>52</v>
      </c>
      <c r="K46" s="516">
        <v>58</v>
      </c>
      <c r="L46" s="525">
        <v>63</v>
      </c>
      <c r="M46" s="529">
        <v>56</v>
      </c>
      <c r="N46" s="519">
        <v>71</v>
      </c>
      <c r="O46" s="516">
        <v>80</v>
      </c>
      <c r="P46" s="516">
        <v>83</v>
      </c>
      <c r="Q46" s="516">
        <v>78</v>
      </c>
      <c r="R46" s="495">
        <f t="shared" si="0"/>
        <v>855</v>
      </c>
      <c r="S46" s="497">
        <f t="shared" si="1"/>
        <v>65.769230769230774</v>
      </c>
      <c r="T46" s="521">
        <f t="shared" si="2"/>
        <v>46</v>
      </c>
      <c r="U46" s="502"/>
      <c r="V46" s="502"/>
    </row>
    <row r="47" spans="1:22" ht="34.5" thickBot="1" x14ac:dyDescent="0.3">
      <c r="A47" s="513">
        <v>44</v>
      </c>
      <c r="B47" s="527"/>
      <c r="C47" s="528">
        <v>16</v>
      </c>
      <c r="D47" s="528" t="s">
        <v>20</v>
      </c>
      <c r="E47" s="516">
        <v>92</v>
      </c>
      <c r="F47" s="516">
        <v>82</v>
      </c>
      <c r="G47" s="530">
        <v>88</v>
      </c>
      <c r="H47" s="516">
        <v>87</v>
      </c>
      <c r="I47" s="516">
        <v>68</v>
      </c>
      <c r="J47" s="516">
        <v>81</v>
      </c>
      <c r="K47" s="516">
        <v>90</v>
      </c>
      <c r="L47" s="525">
        <v>98</v>
      </c>
      <c r="M47" s="529">
        <v>76</v>
      </c>
      <c r="N47" s="519">
        <v>98</v>
      </c>
      <c r="O47" s="516">
        <v>89</v>
      </c>
      <c r="P47" s="516">
        <v>88</v>
      </c>
      <c r="Q47" s="516">
        <v>91</v>
      </c>
      <c r="R47" s="495">
        <f t="shared" si="0"/>
        <v>1128</v>
      </c>
      <c r="S47" s="497">
        <f t="shared" si="1"/>
        <v>86.769230769230774</v>
      </c>
      <c r="T47" s="521">
        <f t="shared" si="2"/>
        <v>7</v>
      </c>
      <c r="U47" s="502"/>
      <c r="V47" s="502"/>
    </row>
    <row r="48" spans="1:22" ht="34.5" thickBot="1" x14ac:dyDescent="0.3">
      <c r="A48" s="513">
        <v>45</v>
      </c>
      <c r="B48" s="527"/>
      <c r="C48" s="528">
        <v>16</v>
      </c>
      <c r="D48" s="528" t="s">
        <v>20</v>
      </c>
      <c r="E48" s="516">
        <v>85</v>
      </c>
      <c r="F48" s="516">
        <v>59</v>
      </c>
      <c r="G48" s="530">
        <v>87</v>
      </c>
      <c r="H48" s="516">
        <v>81</v>
      </c>
      <c r="I48" s="516">
        <v>78</v>
      </c>
      <c r="J48" s="516">
        <v>75</v>
      </c>
      <c r="K48" s="516">
        <v>81</v>
      </c>
      <c r="L48" s="525">
        <v>96</v>
      </c>
      <c r="M48" s="529">
        <v>90</v>
      </c>
      <c r="N48" s="519">
        <v>89</v>
      </c>
      <c r="O48" s="516">
        <v>89</v>
      </c>
      <c r="P48" s="516">
        <v>84</v>
      </c>
      <c r="Q48" s="516">
        <v>89</v>
      </c>
      <c r="R48" s="495">
        <f t="shared" si="0"/>
        <v>1083</v>
      </c>
      <c r="S48" s="497">
        <f t="shared" si="1"/>
        <v>83.307692307692307</v>
      </c>
      <c r="T48" s="521">
        <f t="shared" si="2"/>
        <v>21</v>
      </c>
      <c r="U48" s="502"/>
      <c r="V48" s="502"/>
    </row>
    <row r="49" spans="1:24" ht="34.5" thickBot="1" x14ac:dyDescent="0.3">
      <c r="A49" s="513">
        <v>46</v>
      </c>
      <c r="B49" s="527"/>
      <c r="C49" s="528">
        <v>17</v>
      </c>
      <c r="D49" s="528" t="s">
        <v>17</v>
      </c>
      <c r="E49" s="516">
        <v>79</v>
      </c>
      <c r="F49" s="516">
        <v>59</v>
      </c>
      <c r="G49" s="530">
        <v>55</v>
      </c>
      <c r="H49" s="516">
        <v>60</v>
      </c>
      <c r="I49" s="516">
        <v>59</v>
      </c>
      <c r="J49" s="516">
        <v>55</v>
      </c>
      <c r="K49" s="516">
        <v>56</v>
      </c>
      <c r="L49" s="525">
        <v>75</v>
      </c>
      <c r="M49" s="529">
        <v>71</v>
      </c>
      <c r="N49" s="519">
        <v>72</v>
      </c>
      <c r="O49" s="516">
        <v>76</v>
      </c>
      <c r="P49" s="516">
        <v>83</v>
      </c>
      <c r="Q49" s="516">
        <v>83</v>
      </c>
      <c r="R49" s="495">
        <f t="shared" si="0"/>
        <v>883</v>
      </c>
      <c r="S49" s="497">
        <f t="shared" si="1"/>
        <v>67.92307692307692</v>
      </c>
      <c r="T49" s="521">
        <f t="shared" si="2"/>
        <v>43</v>
      </c>
      <c r="U49" s="502"/>
      <c r="V49" s="502"/>
    </row>
    <row r="50" spans="1:24" ht="34.5" thickBot="1" x14ac:dyDescent="0.3">
      <c r="A50" s="513">
        <v>47</v>
      </c>
      <c r="B50" s="527"/>
      <c r="C50" s="528">
        <v>16</v>
      </c>
      <c r="D50" s="528" t="s">
        <v>17</v>
      </c>
      <c r="E50" s="516">
        <v>85</v>
      </c>
      <c r="F50" s="516">
        <v>77</v>
      </c>
      <c r="G50" s="530">
        <v>68</v>
      </c>
      <c r="H50" s="516">
        <v>87</v>
      </c>
      <c r="I50" s="516">
        <v>85</v>
      </c>
      <c r="J50" s="516">
        <v>87</v>
      </c>
      <c r="K50" s="516">
        <v>93</v>
      </c>
      <c r="L50" s="525">
        <v>97</v>
      </c>
      <c r="M50" s="529">
        <v>80</v>
      </c>
      <c r="N50" s="519">
        <v>84</v>
      </c>
      <c r="O50" s="516">
        <v>94</v>
      </c>
      <c r="P50" s="516">
        <v>91</v>
      </c>
      <c r="Q50" s="516">
        <v>85</v>
      </c>
      <c r="R50" s="495">
        <f t="shared" si="0"/>
        <v>1113</v>
      </c>
      <c r="S50" s="497">
        <f t="shared" si="1"/>
        <v>85.615384615384613</v>
      </c>
      <c r="T50" s="521">
        <f t="shared" si="2"/>
        <v>12</v>
      </c>
      <c r="U50" s="502"/>
      <c r="V50" s="502"/>
    </row>
    <row r="51" spans="1:24" ht="15.75" thickBot="1" x14ac:dyDescent="0.3">
      <c r="A51" s="90">
        <v>48</v>
      </c>
      <c r="B51" s="89"/>
      <c r="C51" s="88"/>
      <c r="D51" s="88"/>
      <c r="E51" s="60"/>
      <c r="F51" s="60"/>
      <c r="G51" s="288"/>
      <c r="H51" s="60"/>
      <c r="I51" s="60"/>
      <c r="J51" s="60"/>
      <c r="K51" s="60"/>
      <c r="L51" s="288"/>
      <c r="M51" s="60"/>
      <c r="N51" s="76"/>
      <c r="O51" s="76"/>
      <c r="P51" s="60"/>
      <c r="Q51" s="60"/>
      <c r="R51" s="60"/>
      <c r="S51" s="60"/>
      <c r="T51" s="86"/>
      <c r="U51" s="87"/>
      <c r="V51" s="86"/>
      <c r="W51" s="60"/>
      <c r="X51" s="60"/>
    </row>
    <row r="52" spans="1:24" ht="16.5" thickBot="1" x14ac:dyDescent="0.3">
      <c r="A52" s="95">
        <v>49</v>
      </c>
      <c r="B52" s="89"/>
      <c r="C52" s="88"/>
      <c r="D52" s="88"/>
      <c r="E52" s="60"/>
      <c r="F52" s="60"/>
      <c r="G52" s="288"/>
      <c r="H52" s="60"/>
      <c r="I52" s="60"/>
      <c r="J52" s="60"/>
      <c r="K52" s="60"/>
      <c r="L52" s="288"/>
      <c r="M52" s="60"/>
      <c r="N52" s="60"/>
      <c r="O52" s="288"/>
      <c r="P52" s="60"/>
      <c r="Q52" s="60"/>
      <c r="R52" s="60"/>
      <c r="S52" s="60"/>
      <c r="T52" s="86"/>
      <c r="U52" s="87"/>
      <c r="V52" s="86"/>
      <c r="W52" s="60"/>
      <c r="X52" s="60"/>
    </row>
    <row r="53" spans="1:24" ht="16.5" thickBot="1" x14ac:dyDescent="0.3">
      <c r="A53" s="95">
        <v>50</v>
      </c>
      <c r="B53" s="89"/>
      <c r="C53" s="88"/>
      <c r="D53" s="88"/>
      <c r="E53" s="60"/>
      <c r="F53" s="60"/>
      <c r="G53" s="288"/>
      <c r="H53" s="60"/>
      <c r="I53" s="60"/>
      <c r="J53" s="60"/>
      <c r="K53" s="60"/>
      <c r="L53" s="288"/>
      <c r="M53" s="60"/>
      <c r="N53" s="60"/>
      <c r="O53" s="288"/>
      <c r="P53" s="60"/>
      <c r="Q53" s="60"/>
      <c r="R53" s="60"/>
      <c r="S53" s="60"/>
      <c r="T53" s="86"/>
      <c r="U53" s="87"/>
      <c r="V53" s="86"/>
      <c r="W53" s="60"/>
      <c r="X53" s="60"/>
    </row>
    <row r="54" spans="1:24" ht="16.5" thickBot="1" x14ac:dyDescent="0.3">
      <c r="A54" s="95">
        <v>51</v>
      </c>
      <c r="B54" s="89"/>
      <c r="C54" s="88"/>
      <c r="D54" s="88"/>
      <c r="E54" s="60"/>
      <c r="F54" s="60"/>
      <c r="G54" s="288"/>
      <c r="H54" s="60"/>
      <c r="I54" s="60"/>
      <c r="J54" s="60"/>
      <c r="K54" s="60"/>
      <c r="L54" s="288"/>
      <c r="M54" s="60"/>
      <c r="N54" s="60"/>
      <c r="O54" s="288"/>
      <c r="P54" s="60"/>
      <c r="Q54" s="60"/>
      <c r="R54" s="76"/>
      <c r="S54" s="76"/>
      <c r="T54" s="86"/>
      <c r="U54" s="87"/>
      <c r="V54" s="86"/>
      <c r="W54" s="60"/>
      <c r="X54" s="60"/>
    </row>
    <row r="55" spans="1:24" ht="16.5" thickBot="1" x14ac:dyDescent="0.3">
      <c r="A55" s="95">
        <v>52</v>
      </c>
      <c r="B55" s="89"/>
      <c r="C55" s="88"/>
      <c r="D55" s="88"/>
      <c r="E55" s="60"/>
      <c r="F55" s="60"/>
      <c r="G55" s="288"/>
      <c r="H55" s="60"/>
      <c r="I55" s="60"/>
      <c r="J55" s="60"/>
      <c r="K55" s="60"/>
      <c r="L55" s="288"/>
      <c r="M55" s="60"/>
      <c r="N55" s="60"/>
      <c r="O55" s="288"/>
      <c r="P55" s="60"/>
      <c r="Q55" s="60"/>
      <c r="R55" s="60"/>
      <c r="S55" s="60"/>
      <c r="T55" s="86"/>
      <c r="U55" s="87"/>
      <c r="V55" s="86"/>
      <c r="W55" s="60"/>
      <c r="X55" s="60"/>
    </row>
    <row r="56" spans="1:24" ht="16.5" thickBot="1" x14ac:dyDescent="0.3">
      <c r="A56" s="95">
        <v>53</v>
      </c>
      <c r="B56" s="91"/>
      <c r="C56" s="96"/>
      <c r="D56" s="96"/>
      <c r="E56" s="60"/>
      <c r="F56" s="60"/>
      <c r="G56" s="288"/>
      <c r="H56" s="60"/>
      <c r="I56" s="60"/>
      <c r="J56" s="60"/>
      <c r="K56" s="60"/>
      <c r="L56" s="288"/>
      <c r="M56" s="60"/>
      <c r="N56" s="60"/>
      <c r="O56" s="288"/>
      <c r="P56" s="60"/>
      <c r="Q56" s="60"/>
      <c r="R56" s="60"/>
      <c r="S56" s="60"/>
      <c r="T56" s="86"/>
      <c r="U56" s="87"/>
      <c r="V56" s="86"/>
      <c r="W56" s="60"/>
      <c r="X56" s="60"/>
    </row>
    <row r="57" spans="1:24" ht="16.5" thickBot="1" x14ac:dyDescent="0.3">
      <c r="A57" s="95">
        <v>54</v>
      </c>
      <c r="B57" s="92"/>
      <c r="C57" s="72"/>
      <c r="D57" s="72"/>
      <c r="E57" s="60"/>
      <c r="F57" s="60"/>
      <c r="G57" s="288"/>
      <c r="H57" s="60"/>
      <c r="I57" s="60"/>
      <c r="J57" s="60"/>
      <c r="K57" s="60"/>
      <c r="L57" s="288"/>
      <c r="M57" s="60"/>
      <c r="N57" s="60"/>
      <c r="O57" s="288"/>
      <c r="P57" s="60"/>
      <c r="Q57" s="60"/>
      <c r="R57" s="60"/>
      <c r="S57" s="60"/>
      <c r="T57" s="86"/>
      <c r="U57" s="87"/>
      <c r="V57" s="86"/>
      <c r="W57" s="60"/>
      <c r="X57" s="60"/>
    </row>
    <row r="58" spans="1:24" ht="16.5" thickBot="1" x14ac:dyDescent="0.3">
      <c r="A58" s="95">
        <v>55</v>
      </c>
      <c r="B58" s="92"/>
      <c r="C58" s="72"/>
      <c r="D58" s="72"/>
      <c r="E58" s="60"/>
      <c r="F58" s="60"/>
      <c r="G58" s="288"/>
      <c r="H58" s="60"/>
      <c r="I58" s="60"/>
      <c r="J58" s="60"/>
      <c r="K58" s="60"/>
      <c r="L58" s="288"/>
      <c r="M58" s="60"/>
      <c r="N58" s="60"/>
      <c r="O58" s="288"/>
      <c r="P58" s="60"/>
      <c r="Q58" s="60"/>
      <c r="R58" s="60"/>
      <c r="S58" s="60"/>
      <c r="T58" s="86"/>
      <c r="U58" s="87"/>
      <c r="V58" s="86"/>
      <c r="W58" s="60"/>
      <c r="X58" s="60"/>
    </row>
    <row r="59" spans="1:24" ht="15.75" x14ac:dyDescent="0.25">
      <c r="A59" s="95">
        <v>56</v>
      </c>
      <c r="B59" s="92"/>
      <c r="C59" s="72"/>
      <c r="D59" s="72"/>
      <c r="E59" s="60"/>
      <c r="F59" s="60"/>
      <c r="G59" s="288"/>
      <c r="H59" s="60"/>
      <c r="I59" s="60"/>
      <c r="J59" s="60"/>
      <c r="K59" s="60"/>
      <c r="L59" s="288"/>
      <c r="M59" s="60"/>
      <c r="N59" s="60"/>
      <c r="O59" s="288"/>
      <c r="P59" s="60"/>
      <c r="Q59" s="60"/>
      <c r="R59" s="60"/>
      <c r="S59" s="60"/>
      <c r="T59" s="65"/>
      <c r="U59" s="100"/>
      <c r="V59" s="65"/>
      <c r="W59" s="60"/>
      <c r="X59" s="60"/>
    </row>
  </sheetData>
  <mergeCells count="2">
    <mergeCell ref="A1:X1"/>
    <mergeCell ref="A2:X2"/>
  </mergeCells>
  <pageMargins left="0.7" right="0.7" top="0.75" bottom="0.75" header="0.3" footer="0.3"/>
  <pageSetup paperSize="9" scale="40" orientation="landscape" r:id="rId1"/>
  <rowBreaks count="1" manualBreakCount="1">
    <brk id="28" max="2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selection activeCell="B4" sqref="B4:B50"/>
    </sheetView>
  </sheetViews>
  <sheetFormatPr defaultRowHeight="15" x14ac:dyDescent="0.25"/>
  <cols>
    <col min="1" max="1" width="10.5703125" customWidth="1"/>
    <col min="2" max="2" width="27" customWidth="1"/>
    <col min="3" max="3" width="6.42578125" customWidth="1"/>
    <col min="4" max="4" width="6.5703125" customWidth="1"/>
    <col min="5" max="5" width="12.7109375" customWidth="1"/>
    <col min="6" max="6" width="12.42578125" customWidth="1"/>
    <col min="7" max="7" width="10.85546875" customWidth="1"/>
    <col min="8" max="8" width="11.140625" customWidth="1"/>
  </cols>
  <sheetData>
    <row r="1" spans="1:8" ht="20.25" x14ac:dyDescent="0.25">
      <c r="A1" s="865" t="s">
        <v>43</v>
      </c>
      <c r="B1" s="866"/>
      <c r="C1" s="866"/>
      <c r="D1" s="866"/>
      <c r="E1" s="866"/>
      <c r="F1" s="866"/>
      <c r="G1" s="866"/>
      <c r="H1" s="866"/>
    </row>
    <row r="2" spans="1:8" x14ac:dyDescent="0.25">
      <c r="A2" s="897" t="s">
        <v>40</v>
      </c>
      <c r="B2" s="898"/>
      <c r="C2" s="898"/>
      <c r="D2" s="898"/>
      <c r="E2" s="898"/>
      <c r="F2" s="898"/>
      <c r="G2" s="898"/>
      <c r="H2" s="898"/>
    </row>
    <row r="3" spans="1:8" s="333" customFormat="1" ht="29.25" thickBot="1" x14ac:dyDescent="0.3">
      <c r="A3" s="322" t="s">
        <v>68</v>
      </c>
      <c r="B3" s="323" t="s">
        <v>1</v>
      </c>
      <c r="C3" s="324" t="s">
        <v>2</v>
      </c>
      <c r="D3" s="323" t="s">
        <v>3</v>
      </c>
      <c r="E3" s="403" t="s">
        <v>35</v>
      </c>
      <c r="F3" s="403" t="s">
        <v>36</v>
      </c>
      <c r="G3" s="403" t="s">
        <v>13</v>
      </c>
      <c r="H3" s="404" t="s">
        <v>14</v>
      </c>
    </row>
    <row r="4" spans="1:8" ht="24" customHeight="1" thickBot="1" x14ac:dyDescent="0.3">
      <c r="A4" s="98">
        <v>1</v>
      </c>
      <c r="B4" s="304"/>
      <c r="C4" s="341">
        <v>16</v>
      </c>
      <c r="D4" s="305" t="s">
        <v>17</v>
      </c>
      <c r="E4" s="67">
        <v>71.307692307692307</v>
      </c>
      <c r="F4" s="67">
        <v>75.461538461538467</v>
      </c>
      <c r="G4" s="67">
        <f>AVERAGE(E4:F4)</f>
        <v>73.384615384615387</v>
      </c>
      <c r="H4" s="81">
        <f>RANK(G4,$G$4:$G$50)</f>
        <v>34</v>
      </c>
    </row>
    <row r="5" spans="1:8" ht="26.25" customHeight="1" thickBot="1" x14ac:dyDescent="0.3">
      <c r="A5" s="90">
        <v>2</v>
      </c>
      <c r="B5" s="298"/>
      <c r="C5" s="310">
        <v>16</v>
      </c>
      <c r="D5" s="303" t="s">
        <v>17</v>
      </c>
      <c r="E5" s="67">
        <v>79.230769230769226</v>
      </c>
      <c r="F5" s="67">
        <v>86.92307692307692</v>
      </c>
      <c r="G5" s="293">
        <f t="shared" ref="G5:G50" si="0">AVERAGE(E5:F5)</f>
        <v>83.076923076923066</v>
      </c>
      <c r="H5" s="81">
        <f t="shared" ref="H5:H50" si="1">RANK(G5,$G$4:$G$50)</f>
        <v>13</v>
      </c>
    </row>
    <row r="6" spans="1:8" ht="27.75" customHeight="1" thickBot="1" x14ac:dyDescent="0.3">
      <c r="A6" s="95">
        <v>3</v>
      </c>
      <c r="B6" s="298"/>
      <c r="C6" s="310">
        <v>16</v>
      </c>
      <c r="D6" s="299" t="s">
        <v>17</v>
      </c>
      <c r="E6" s="67">
        <v>79.15384615384616</v>
      </c>
      <c r="F6" s="67">
        <v>79.692307692307693</v>
      </c>
      <c r="G6" s="293">
        <f t="shared" si="0"/>
        <v>79.423076923076934</v>
      </c>
      <c r="H6" s="81">
        <f t="shared" si="1"/>
        <v>26</v>
      </c>
    </row>
    <row r="7" spans="1:8" ht="24" customHeight="1" thickBot="1" x14ac:dyDescent="0.3">
      <c r="A7" s="90">
        <v>4</v>
      </c>
      <c r="B7" s="298"/>
      <c r="C7" s="310">
        <v>14</v>
      </c>
      <c r="D7" s="299" t="s">
        <v>20</v>
      </c>
      <c r="E7" s="67">
        <v>79.769230769230774</v>
      </c>
      <c r="F7" s="67">
        <v>83.615384615384613</v>
      </c>
      <c r="G7" s="293">
        <f t="shared" si="0"/>
        <v>81.692307692307693</v>
      </c>
      <c r="H7" s="81">
        <f t="shared" si="1"/>
        <v>18</v>
      </c>
    </row>
    <row r="8" spans="1:8" ht="27" customHeight="1" thickBot="1" x14ac:dyDescent="0.3">
      <c r="A8" s="90">
        <v>5</v>
      </c>
      <c r="B8" s="298"/>
      <c r="C8" s="310">
        <v>16</v>
      </c>
      <c r="D8" s="303" t="s">
        <v>20</v>
      </c>
      <c r="E8" s="67">
        <v>76.692307692307693</v>
      </c>
      <c r="F8" s="67">
        <v>84.15384615384616</v>
      </c>
      <c r="G8" s="293">
        <f t="shared" si="0"/>
        <v>80.423076923076934</v>
      </c>
      <c r="H8" s="81">
        <f t="shared" si="1"/>
        <v>21</v>
      </c>
    </row>
    <row r="9" spans="1:8" ht="24.75" customHeight="1" thickBot="1" x14ac:dyDescent="0.3">
      <c r="A9" s="95">
        <v>6</v>
      </c>
      <c r="B9" s="298"/>
      <c r="C9" s="310">
        <v>16</v>
      </c>
      <c r="D9" s="299" t="s">
        <v>20</v>
      </c>
      <c r="E9" s="67">
        <v>79.615384615384613</v>
      </c>
      <c r="F9" s="67">
        <v>79.307692307692307</v>
      </c>
      <c r="G9" s="293">
        <f t="shared" si="0"/>
        <v>79.461538461538453</v>
      </c>
      <c r="H9" s="81">
        <f t="shared" si="1"/>
        <v>25</v>
      </c>
    </row>
    <row r="10" spans="1:8" ht="22.5" customHeight="1" thickBot="1" x14ac:dyDescent="0.3">
      <c r="A10" s="90">
        <v>7</v>
      </c>
      <c r="B10" s="298"/>
      <c r="C10" s="310">
        <v>15</v>
      </c>
      <c r="D10" s="299" t="s">
        <v>20</v>
      </c>
      <c r="E10" s="67">
        <v>81.307692307692307</v>
      </c>
      <c r="F10" s="67">
        <v>83.461538461538467</v>
      </c>
      <c r="G10" s="293">
        <f t="shared" si="0"/>
        <v>82.384615384615387</v>
      </c>
      <c r="H10" s="81">
        <f t="shared" si="1"/>
        <v>16</v>
      </c>
    </row>
    <row r="11" spans="1:8" ht="25.5" customHeight="1" thickBot="1" x14ac:dyDescent="0.3">
      <c r="A11" s="90">
        <v>8</v>
      </c>
      <c r="B11" s="298"/>
      <c r="C11" s="310">
        <v>16</v>
      </c>
      <c r="D11" s="299" t="s">
        <v>20</v>
      </c>
      <c r="E11" s="67">
        <v>80.769230769230774</v>
      </c>
      <c r="F11" s="67">
        <v>85.92307692307692</v>
      </c>
      <c r="G11" s="293">
        <f t="shared" si="0"/>
        <v>83.34615384615384</v>
      </c>
      <c r="H11" s="81">
        <f t="shared" si="1"/>
        <v>11</v>
      </c>
    </row>
    <row r="12" spans="1:8" ht="23.25" customHeight="1" thickBot="1" x14ac:dyDescent="0.3">
      <c r="A12" s="95">
        <v>9</v>
      </c>
      <c r="B12" s="298"/>
      <c r="C12" s="310">
        <v>16</v>
      </c>
      <c r="D12" s="303" t="s">
        <v>17</v>
      </c>
      <c r="E12" s="67">
        <v>77.615384615384613</v>
      </c>
      <c r="F12" s="67">
        <v>81</v>
      </c>
      <c r="G12" s="293">
        <f t="shared" si="0"/>
        <v>79.307692307692307</v>
      </c>
      <c r="H12" s="81">
        <f t="shared" si="1"/>
        <v>27</v>
      </c>
    </row>
    <row r="13" spans="1:8" ht="27.75" customHeight="1" thickBot="1" x14ac:dyDescent="0.3">
      <c r="A13" s="90">
        <v>10</v>
      </c>
      <c r="B13" s="298"/>
      <c r="C13" s="310">
        <v>16</v>
      </c>
      <c r="D13" s="303" t="s">
        <v>20</v>
      </c>
      <c r="E13" s="67">
        <v>67.769230769230774</v>
      </c>
      <c r="F13" s="67">
        <v>73.769230769230774</v>
      </c>
      <c r="G13" s="293">
        <f t="shared" si="0"/>
        <v>70.769230769230774</v>
      </c>
      <c r="H13" s="81">
        <f t="shared" si="1"/>
        <v>38</v>
      </c>
    </row>
    <row r="14" spans="1:8" ht="28.5" customHeight="1" thickBot="1" x14ac:dyDescent="0.3">
      <c r="A14" s="95">
        <v>11</v>
      </c>
      <c r="B14" s="298"/>
      <c r="C14" s="310">
        <v>15</v>
      </c>
      <c r="D14" s="303" t="s">
        <v>20</v>
      </c>
      <c r="E14" s="67">
        <v>67.307692307692307</v>
      </c>
      <c r="F14" s="67">
        <v>69.15384615384616</v>
      </c>
      <c r="G14" s="293">
        <f t="shared" si="0"/>
        <v>68.230769230769226</v>
      </c>
      <c r="H14" s="81">
        <f t="shared" si="1"/>
        <v>42</v>
      </c>
    </row>
    <row r="15" spans="1:8" ht="23.25" customHeight="1" thickBot="1" x14ac:dyDescent="0.3">
      <c r="A15" s="95">
        <v>12</v>
      </c>
      <c r="B15" s="298"/>
      <c r="C15" s="310">
        <v>16</v>
      </c>
      <c r="D15" s="299" t="s">
        <v>20</v>
      </c>
      <c r="E15" s="67">
        <v>70.461538461538467</v>
      </c>
      <c r="F15" s="67">
        <v>76.538461538461533</v>
      </c>
      <c r="G15" s="293">
        <f t="shared" si="0"/>
        <v>73.5</v>
      </c>
      <c r="H15" s="81">
        <f t="shared" si="1"/>
        <v>33</v>
      </c>
    </row>
    <row r="16" spans="1:8" ht="24" customHeight="1" thickBot="1" x14ac:dyDescent="0.3">
      <c r="A16" s="95">
        <v>13</v>
      </c>
      <c r="B16" s="298"/>
      <c r="C16" s="310">
        <v>16</v>
      </c>
      <c r="D16" s="303" t="s">
        <v>20</v>
      </c>
      <c r="E16" s="67">
        <v>81.84615384615384</v>
      </c>
      <c r="F16" s="67">
        <v>83.769230769230774</v>
      </c>
      <c r="G16" s="293">
        <f t="shared" si="0"/>
        <v>82.807692307692307</v>
      </c>
      <c r="H16" s="81">
        <f t="shared" si="1"/>
        <v>14</v>
      </c>
    </row>
    <row r="17" spans="1:8" ht="22.5" customHeight="1" thickBot="1" x14ac:dyDescent="0.3">
      <c r="A17" s="90">
        <v>14</v>
      </c>
      <c r="B17" s="298"/>
      <c r="C17" s="310">
        <v>16</v>
      </c>
      <c r="D17" s="303" t="s">
        <v>63</v>
      </c>
      <c r="E17" s="67">
        <v>70.538461538461533</v>
      </c>
      <c r="F17" s="67">
        <v>76</v>
      </c>
      <c r="G17" s="293">
        <f t="shared" si="0"/>
        <v>73.269230769230774</v>
      </c>
      <c r="H17" s="81">
        <f t="shared" si="1"/>
        <v>35</v>
      </c>
    </row>
    <row r="18" spans="1:8" ht="21" customHeight="1" thickBot="1" x14ac:dyDescent="0.3">
      <c r="A18" s="95">
        <v>15</v>
      </c>
      <c r="B18" s="298"/>
      <c r="C18" s="310">
        <v>16</v>
      </c>
      <c r="D18" s="303" t="s">
        <v>20</v>
      </c>
      <c r="E18" s="67">
        <v>84.615384615384613</v>
      </c>
      <c r="F18" s="67">
        <v>91.307692307692307</v>
      </c>
      <c r="G18" s="293">
        <f t="shared" si="0"/>
        <v>87.961538461538453</v>
      </c>
      <c r="H18" s="81">
        <f t="shared" si="1"/>
        <v>3</v>
      </c>
    </row>
    <row r="19" spans="1:8" ht="21" customHeight="1" thickBot="1" x14ac:dyDescent="0.3">
      <c r="A19" s="90">
        <v>16</v>
      </c>
      <c r="B19" s="298"/>
      <c r="C19" s="310">
        <v>16</v>
      </c>
      <c r="D19" s="299" t="s">
        <v>20</v>
      </c>
      <c r="E19" s="67">
        <v>80.307692307692307</v>
      </c>
      <c r="F19" s="67">
        <v>80.307692307692307</v>
      </c>
      <c r="G19" s="293">
        <f t="shared" si="0"/>
        <v>80.307692307692307</v>
      </c>
      <c r="H19" s="81">
        <f t="shared" si="1"/>
        <v>22</v>
      </c>
    </row>
    <row r="20" spans="1:8" ht="22.5" customHeight="1" thickBot="1" x14ac:dyDescent="0.3">
      <c r="A20" s="90">
        <v>17</v>
      </c>
      <c r="B20" s="298"/>
      <c r="C20" s="310">
        <v>15</v>
      </c>
      <c r="D20" s="299" t="s">
        <v>20</v>
      </c>
      <c r="E20" s="67">
        <v>84.461538461538467</v>
      </c>
      <c r="F20" s="67">
        <v>88.692307692307693</v>
      </c>
      <c r="G20" s="293">
        <f t="shared" si="0"/>
        <v>86.57692307692308</v>
      </c>
      <c r="H20" s="81">
        <f t="shared" si="1"/>
        <v>6</v>
      </c>
    </row>
    <row r="21" spans="1:8" ht="24.75" customHeight="1" thickBot="1" x14ac:dyDescent="0.3">
      <c r="A21" s="90">
        <v>18</v>
      </c>
      <c r="B21" s="298"/>
      <c r="C21" s="310">
        <v>15</v>
      </c>
      <c r="D21" s="303" t="s">
        <v>20</v>
      </c>
      <c r="E21" s="67">
        <v>71.384615384615387</v>
      </c>
      <c r="F21" s="67">
        <v>69</v>
      </c>
      <c r="G21" s="293">
        <f t="shared" si="0"/>
        <v>70.192307692307693</v>
      </c>
      <c r="H21" s="81">
        <f t="shared" si="1"/>
        <v>40</v>
      </c>
    </row>
    <row r="22" spans="1:8" ht="24" customHeight="1" thickBot="1" x14ac:dyDescent="0.3">
      <c r="A22" s="95">
        <v>19</v>
      </c>
      <c r="B22" s="298"/>
      <c r="C22" s="310">
        <v>16</v>
      </c>
      <c r="D22" s="299" t="s">
        <v>20</v>
      </c>
      <c r="E22" s="67">
        <v>63.230769230769234</v>
      </c>
      <c r="F22" s="67">
        <v>67.692307692307693</v>
      </c>
      <c r="G22" s="293">
        <f t="shared" si="0"/>
        <v>65.461538461538467</v>
      </c>
      <c r="H22" s="81">
        <f t="shared" si="1"/>
        <v>45</v>
      </c>
    </row>
    <row r="23" spans="1:8" ht="28.5" customHeight="1" thickBot="1" x14ac:dyDescent="0.3">
      <c r="A23" s="95">
        <v>20</v>
      </c>
      <c r="B23" s="298"/>
      <c r="C23" s="310">
        <v>15</v>
      </c>
      <c r="D23" s="299" t="s">
        <v>17</v>
      </c>
      <c r="E23" s="67">
        <v>87.84615384615384</v>
      </c>
      <c r="F23" s="67">
        <v>86.769230769230774</v>
      </c>
      <c r="G23" s="293">
        <f t="shared" si="0"/>
        <v>87.307692307692307</v>
      </c>
      <c r="H23" s="81">
        <f t="shared" si="1"/>
        <v>4</v>
      </c>
    </row>
    <row r="24" spans="1:8" ht="27.75" customHeight="1" thickBot="1" x14ac:dyDescent="0.3">
      <c r="A24" s="95">
        <v>21</v>
      </c>
      <c r="B24" s="298"/>
      <c r="C24" s="310">
        <v>16</v>
      </c>
      <c r="D24" s="299" t="s">
        <v>20</v>
      </c>
      <c r="E24" s="67">
        <v>90.538461538461533</v>
      </c>
      <c r="F24" s="67">
        <v>95</v>
      </c>
      <c r="G24" s="293">
        <f t="shared" si="0"/>
        <v>92.769230769230774</v>
      </c>
      <c r="H24" s="81">
        <f t="shared" si="1"/>
        <v>2</v>
      </c>
    </row>
    <row r="25" spans="1:8" ht="26.25" customHeight="1" thickBot="1" x14ac:dyDescent="0.3">
      <c r="A25" s="90">
        <v>22</v>
      </c>
      <c r="B25" s="300"/>
      <c r="C25" s="311">
        <v>15</v>
      </c>
      <c r="D25" s="301" t="s">
        <v>17</v>
      </c>
      <c r="E25" s="67">
        <v>75.461538461538467</v>
      </c>
      <c r="F25" s="67">
        <v>72</v>
      </c>
      <c r="G25" s="293">
        <f t="shared" si="0"/>
        <v>73.730769230769226</v>
      </c>
      <c r="H25" s="81">
        <f t="shared" si="1"/>
        <v>32</v>
      </c>
    </row>
    <row r="26" spans="1:8" ht="24" customHeight="1" thickBot="1" x14ac:dyDescent="0.3">
      <c r="A26" s="90">
        <v>23</v>
      </c>
      <c r="B26" s="300"/>
      <c r="C26" s="311">
        <v>15</v>
      </c>
      <c r="D26" s="301" t="s">
        <v>17</v>
      </c>
      <c r="E26" s="67">
        <v>66.92307692307692</v>
      </c>
      <c r="F26" s="67">
        <v>66.692307692307693</v>
      </c>
      <c r="G26" s="293">
        <f t="shared" si="0"/>
        <v>66.807692307692307</v>
      </c>
      <c r="H26" s="81">
        <f t="shared" si="1"/>
        <v>44</v>
      </c>
    </row>
    <row r="27" spans="1:8" ht="21.75" customHeight="1" thickBot="1" x14ac:dyDescent="0.3">
      <c r="A27" s="95">
        <v>24</v>
      </c>
      <c r="B27" s="300"/>
      <c r="C27" s="311">
        <v>16</v>
      </c>
      <c r="D27" s="301" t="s">
        <v>17</v>
      </c>
      <c r="E27" s="67">
        <v>71.230769230769226</v>
      </c>
      <c r="F27" s="67">
        <v>71.769230769230774</v>
      </c>
      <c r="G27" s="293">
        <f t="shared" si="0"/>
        <v>71.5</v>
      </c>
      <c r="H27" s="81">
        <f t="shared" si="1"/>
        <v>37</v>
      </c>
    </row>
    <row r="28" spans="1:8" ht="21.75" customHeight="1" thickBot="1" x14ac:dyDescent="0.3">
      <c r="A28" s="90">
        <v>25</v>
      </c>
      <c r="B28" s="300"/>
      <c r="C28" s="311">
        <v>16</v>
      </c>
      <c r="D28" s="302" t="s">
        <v>20</v>
      </c>
      <c r="E28" s="67">
        <v>62.846153846153847</v>
      </c>
      <c r="F28" s="67">
        <v>63.692307692307693</v>
      </c>
      <c r="G28" s="293">
        <f t="shared" si="0"/>
        <v>63.269230769230774</v>
      </c>
      <c r="H28" s="81">
        <f t="shared" si="1"/>
        <v>47</v>
      </c>
    </row>
    <row r="29" spans="1:8" ht="16.5" thickBot="1" x14ac:dyDescent="0.3">
      <c r="A29" s="95">
        <v>26</v>
      </c>
      <c r="B29" s="308"/>
      <c r="C29" s="313">
        <v>15</v>
      </c>
      <c r="D29" s="309" t="s">
        <v>20</v>
      </c>
      <c r="E29" s="67">
        <v>95.769230769230774</v>
      </c>
      <c r="F29" s="67">
        <v>96.538461538461533</v>
      </c>
      <c r="G29" s="293">
        <f t="shared" si="0"/>
        <v>96.15384615384616</v>
      </c>
      <c r="H29" s="81">
        <f t="shared" si="1"/>
        <v>1</v>
      </c>
    </row>
    <row r="30" spans="1:8" ht="21.75" customHeight="1" thickBot="1" x14ac:dyDescent="0.3">
      <c r="A30" s="95">
        <v>27</v>
      </c>
      <c r="B30" s="298"/>
      <c r="C30" s="310">
        <v>16</v>
      </c>
      <c r="D30" s="299" t="s">
        <v>17</v>
      </c>
      <c r="E30" s="67">
        <v>66.692307692307693</v>
      </c>
      <c r="F30" s="67">
        <v>69.692307692307693</v>
      </c>
      <c r="G30" s="293">
        <f t="shared" si="0"/>
        <v>68.192307692307693</v>
      </c>
      <c r="H30" s="81">
        <f t="shared" si="1"/>
        <v>43</v>
      </c>
    </row>
    <row r="31" spans="1:8" ht="23.25" customHeight="1" thickBot="1" x14ac:dyDescent="0.3">
      <c r="A31" s="95">
        <v>28</v>
      </c>
      <c r="B31" s="298"/>
      <c r="C31" s="310">
        <v>16</v>
      </c>
      <c r="D31" s="303" t="s">
        <v>17</v>
      </c>
      <c r="E31" s="67">
        <v>80.230769230769226</v>
      </c>
      <c r="F31" s="67">
        <v>79.769230769230774</v>
      </c>
      <c r="G31" s="293">
        <f t="shared" si="0"/>
        <v>80</v>
      </c>
      <c r="H31" s="81">
        <f t="shared" si="1"/>
        <v>23</v>
      </c>
    </row>
    <row r="32" spans="1:8" ht="22.5" customHeight="1" thickBot="1" x14ac:dyDescent="0.3">
      <c r="A32" s="90">
        <v>29</v>
      </c>
      <c r="B32" s="298"/>
      <c r="C32" s="310">
        <v>16</v>
      </c>
      <c r="D32" s="303" t="s">
        <v>17</v>
      </c>
      <c r="E32" s="67">
        <v>80.230769230769226</v>
      </c>
      <c r="F32" s="67">
        <v>85</v>
      </c>
      <c r="G32" s="293">
        <f t="shared" si="0"/>
        <v>82.615384615384613</v>
      </c>
      <c r="H32" s="81">
        <f t="shared" si="1"/>
        <v>15</v>
      </c>
    </row>
    <row r="33" spans="1:8" ht="16.5" thickBot="1" x14ac:dyDescent="0.3">
      <c r="A33" s="95">
        <v>30</v>
      </c>
      <c r="B33" s="298"/>
      <c r="C33" s="310">
        <v>16</v>
      </c>
      <c r="D33" s="299" t="s">
        <v>17</v>
      </c>
      <c r="E33" s="67">
        <v>72.769230769230774</v>
      </c>
      <c r="F33" s="67">
        <v>75.461538461538467</v>
      </c>
      <c r="G33" s="293">
        <f t="shared" si="0"/>
        <v>74.115384615384613</v>
      </c>
      <c r="H33" s="81">
        <f t="shared" si="1"/>
        <v>31</v>
      </c>
    </row>
    <row r="34" spans="1:8" ht="28.5" customHeight="1" thickBot="1" x14ac:dyDescent="0.3">
      <c r="A34" s="90">
        <v>31</v>
      </c>
      <c r="B34" s="298"/>
      <c r="C34" s="312">
        <v>16</v>
      </c>
      <c r="D34" s="312" t="s">
        <v>17</v>
      </c>
      <c r="E34" s="67">
        <v>74.461538461538467</v>
      </c>
      <c r="F34" s="67">
        <v>82.769230769230774</v>
      </c>
      <c r="G34" s="293">
        <f t="shared" si="0"/>
        <v>78.615384615384613</v>
      </c>
      <c r="H34" s="81">
        <f t="shared" si="1"/>
        <v>28</v>
      </c>
    </row>
    <row r="35" spans="1:8" ht="29.25" customHeight="1" thickBot="1" x14ac:dyDescent="0.3">
      <c r="A35" s="90">
        <v>32</v>
      </c>
      <c r="B35" s="298"/>
      <c r="C35" s="312">
        <v>16</v>
      </c>
      <c r="D35" s="312" t="s">
        <v>17</v>
      </c>
      <c r="E35" s="67">
        <v>78.615384615384613</v>
      </c>
      <c r="F35" s="67">
        <v>84.07692307692308</v>
      </c>
      <c r="G35" s="293">
        <f t="shared" si="0"/>
        <v>81.34615384615384</v>
      </c>
      <c r="H35" s="81">
        <f t="shared" si="1"/>
        <v>19</v>
      </c>
    </row>
    <row r="36" spans="1:8" ht="26.25" customHeight="1" thickBot="1" x14ac:dyDescent="0.3">
      <c r="A36" s="90">
        <v>33</v>
      </c>
      <c r="B36" s="298"/>
      <c r="C36" s="312">
        <v>16</v>
      </c>
      <c r="D36" s="312" t="s">
        <v>17</v>
      </c>
      <c r="E36" s="67">
        <v>80.84615384615384</v>
      </c>
      <c r="F36" s="67">
        <v>83.615384615384613</v>
      </c>
      <c r="G36" s="293">
        <f t="shared" si="0"/>
        <v>82.230769230769226</v>
      </c>
      <c r="H36" s="81">
        <f t="shared" si="1"/>
        <v>17</v>
      </c>
    </row>
    <row r="37" spans="1:8" ht="26.25" customHeight="1" thickBot="1" x14ac:dyDescent="0.3">
      <c r="A37" s="95">
        <v>34</v>
      </c>
      <c r="B37" s="298"/>
      <c r="C37" s="312">
        <v>15</v>
      </c>
      <c r="D37" s="312" t="s">
        <v>20</v>
      </c>
      <c r="E37" s="67">
        <v>84.307692307692307</v>
      </c>
      <c r="F37" s="67">
        <v>89.15384615384616</v>
      </c>
      <c r="G37" s="293">
        <f t="shared" si="0"/>
        <v>86.730769230769226</v>
      </c>
      <c r="H37" s="81">
        <f t="shared" si="1"/>
        <v>5</v>
      </c>
    </row>
    <row r="38" spans="1:8" ht="24" customHeight="1" thickBot="1" x14ac:dyDescent="0.3">
      <c r="A38" s="95">
        <v>35</v>
      </c>
      <c r="B38" s="298"/>
      <c r="C38" s="310">
        <v>15</v>
      </c>
      <c r="D38" s="303" t="s">
        <v>17</v>
      </c>
      <c r="E38" s="67">
        <v>80.92307692307692</v>
      </c>
      <c r="F38" s="67">
        <v>85.92307692307692</v>
      </c>
      <c r="G38" s="293">
        <f t="shared" si="0"/>
        <v>83.42307692307692</v>
      </c>
      <c r="H38" s="81">
        <f t="shared" si="1"/>
        <v>10</v>
      </c>
    </row>
    <row r="39" spans="1:8" ht="16.5" thickBot="1" x14ac:dyDescent="0.3">
      <c r="A39" s="95">
        <v>36</v>
      </c>
      <c r="B39" s="298"/>
      <c r="C39" s="310">
        <v>16</v>
      </c>
      <c r="D39" s="299" t="s">
        <v>20</v>
      </c>
      <c r="E39" s="67">
        <v>74</v>
      </c>
      <c r="F39" s="67">
        <v>77.307692307692307</v>
      </c>
      <c r="G39" s="293">
        <f t="shared" si="0"/>
        <v>75.65384615384616</v>
      </c>
      <c r="H39" s="81">
        <f t="shared" si="1"/>
        <v>30</v>
      </c>
    </row>
    <row r="40" spans="1:8" ht="28.5" customHeight="1" thickBot="1" x14ac:dyDescent="0.3">
      <c r="A40" s="90">
        <v>37</v>
      </c>
      <c r="B40" s="298"/>
      <c r="C40" s="310">
        <v>18</v>
      </c>
      <c r="D40" s="299" t="s">
        <v>17</v>
      </c>
      <c r="E40" s="67">
        <v>82.615384615384613</v>
      </c>
      <c r="F40" s="67">
        <v>83.692307692307693</v>
      </c>
      <c r="G40" s="293">
        <f t="shared" si="0"/>
        <v>83.15384615384616</v>
      </c>
      <c r="H40" s="81">
        <f t="shared" si="1"/>
        <v>12</v>
      </c>
    </row>
    <row r="41" spans="1:8" ht="27.75" customHeight="1" thickBot="1" x14ac:dyDescent="0.3">
      <c r="A41" s="90">
        <v>38</v>
      </c>
      <c r="B41" s="298"/>
      <c r="C41" s="310">
        <v>15</v>
      </c>
      <c r="D41" s="299" t="s">
        <v>20</v>
      </c>
      <c r="E41" s="67">
        <v>85.15384615384616</v>
      </c>
      <c r="F41" s="67">
        <v>85.84615384615384</v>
      </c>
      <c r="G41" s="293">
        <f t="shared" si="0"/>
        <v>85.5</v>
      </c>
      <c r="H41" s="81">
        <f t="shared" si="1"/>
        <v>7</v>
      </c>
    </row>
    <row r="42" spans="1:8" ht="26.25" customHeight="1" thickBot="1" x14ac:dyDescent="0.3">
      <c r="A42" s="95">
        <v>39</v>
      </c>
      <c r="B42" s="298"/>
      <c r="C42" s="310">
        <v>15</v>
      </c>
      <c r="D42" s="299" t="s">
        <v>17</v>
      </c>
      <c r="E42" s="67">
        <v>74.615384615384613</v>
      </c>
      <c r="F42" s="67">
        <v>70</v>
      </c>
      <c r="G42" s="293">
        <f t="shared" si="0"/>
        <v>72.307692307692307</v>
      </c>
      <c r="H42" s="81">
        <f t="shared" si="1"/>
        <v>36</v>
      </c>
    </row>
    <row r="43" spans="1:8" ht="25.5" customHeight="1" thickBot="1" x14ac:dyDescent="0.3">
      <c r="A43" s="90">
        <v>40</v>
      </c>
      <c r="B43" s="298"/>
      <c r="C43" s="310">
        <v>16</v>
      </c>
      <c r="D43" s="299" t="s">
        <v>20</v>
      </c>
      <c r="E43" s="67">
        <v>74.615384615384613</v>
      </c>
      <c r="F43" s="67">
        <v>77.538461538461533</v>
      </c>
      <c r="G43" s="293">
        <f t="shared" si="0"/>
        <v>76.076923076923066</v>
      </c>
      <c r="H43" s="81">
        <f t="shared" si="1"/>
        <v>29</v>
      </c>
    </row>
    <row r="44" spans="1:8" ht="16.5" thickBot="1" x14ac:dyDescent="0.3">
      <c r="A44" s="95">
        <v>41</v>
      </c>
      <c r="B44" s="298"/>
      <c r="C44" s="310">
        <v>16</v>
      </c>
      <c r="D44" s="303" t="s">
        <v>17</v>
      </c>
      <c r="E44" s="67">
        <v>69.307692307692307</v>
      </c>
      <c r="F44" s="67">
        <v>71.230769230769226</v>
      </c>
      <c r="G44" s="293">
        <f t="shared" si="0"/>
        <v>70.269230769230774</v>
      </c>
      <c r="H44" s="81">
        <f t="shared" si="1"/>
        <v>39</v>
      </c>
    </row>
    <row r="45" spans="1:8" ht="27.75" customHeight="1" thickBot="1" x14ac:dyDescent="0.3">
      <c r="A45" s="95">
        <v>42</v>
      </c>
      <c r="B45" s="298"/>
      <c r="C45" s="310">
        <v>16</v>
      </c>
      <c r="D45" s="303" t="s">
        <v>17</v>
      </c>
      <c r="E45" s="67">
        <v>77.307692307692307</v>
      </c>
      <c r="F45" s="67">
        <v>81.84615384615384</v>
      </c>
      <c r="G45" s="293">
        <f t="shared" si="0"/>
        <v>79.576923076923066</v>
      </c>
      <c r="H45" s="81">
        <f t="shared" si="1"/>
        <v>24</v>
      </c>
    </row>
    <row r="46" spans="1:8" ht="27.75" customHeight="1" thickBot="1" x14ac:dyDescent="0.3">
      <c r="A46" s="95">
        <v>43</v>
      </c>
      <c r="B46" s="298"/>
      <c r="C46" s="310">
        <v>17</v>
      </c>
      <c r="D46" s="303" t="s">
        <v>17</v>
      </c>
      <c r="E46" s="67">
        <v>62.92307692307692</v>
      </c>
      <c r="F46" s="67">
        <v>65.769230769230774</v>
      </c>
      <c r="G46" s="293">
        <f t="shared" si="0"/>
        <v>64.34615384615384</v>
      </c>
      <c r="H46" s="81">
        <f t="shared" si="1"/>
        <v>46</v>
      </c>
    </row>
    <row r="47" spans="1:8" ht="15.75" thickBot="1" x14ac:dyDescent="0.3">
      <c r="A47" s="90">
        <v>44</v>
      </c>
      <c r="B47" s="298"/>
      <c r="C47" s="310">
        <v>16</v>
      </c>
      <c r="D47" s="303" t="s">
        <v>20</v>
      </c>
      <c r="E47" s="67">
        <v>83.461538461538467</v>
      </c>
      <c r="F47" s="67">
        <v>86.769230769230774</v>
      </c>
      <c r="G47" s="293">
        <f t="shared" si="0"/>
        <v>85.115384615384613</v>
      </c>
      <c r="H47" s="81">
        <f t="shared" si="1"/>
        <v>8</v>
      </c>
    </row>
    <row r="48" spans="1:8" ht="27" customHeight="1" thickBot="1" x14ac:dyDescent="0.3">
      <c r="A48" s="95">
        <v>45</v>
      </c>
      <c r="B48" s="298"/>
      <c r="C48" s="310">
        <v>16</v>
      </c>
      <c r="D48" s="299" t="s">
        <v>20</v>
      </c>
      <c r="E48" s="67">
        <v>77.92307692307692</v>
      </c>
      <c r="F48" s="67">
        <v>83.307692307692307</v>
      </c>
      <c r="G48" s="293">
        <f t="shared" si="0"/>
        <v>80.615384615384613</v>
      </c>
      <c r="H48" s="81">
        <f t="shared" si="1"/>
        <v>20</v>
      </c>
    </row>
    <row r="49" spans="1:8" ht="27" customHeight="1" thickBot="1" x14ac:dyDescent="0.3">
      <c r="A49" s="90">
        <v>46</v>
      </c>
      <c r="B49" s="298"/>
      <c r="C49" s="310">
        <v>17</v>
      </c>
      <c r="D49" s="299" t="s">
        <v>17</v>
      </c>
      <c r="E49" s="67">
        <v>68.692307692307693</v>
      </c>
      <c r="F49" s="67">
        <v>67.92307692307692</v>
      </c>
      <c r="G49" s="293">
        <f t="shared" si="0"/>
        <v>68.307692307692307</v>
      </c>
      <c r="H49" s="81">
        <f t="shared" si="1"/>
        <v>41</v>
      </c>
    </row>
    <row r="50" spans="1:8" ht="15.75" thickBot="1" x14ac:dyDescent="0.3">
      <c r="A50" s="90">
        <v>47</v>
      </c>
      <c r="B50" s="298"/>
      <c r="C50" s="310">
        <v>16</v>
      </c>
      <c r="D50" s="299" t="s">
        <v>17</v>
      </c>
      <c r="E50" s="67">
        <v>83.384615384615387</v>
      </c>
      <c r="F50" s="67">
        <v>85.615384615384613</v>
      </c>
      <c r="G50" s="293">
        <f t="shared" si="0"/>
        <v>84.5</v>
      </c>
      <c r="H50" s="81">
        <f t="shared" si="1"/>
        <v>9</v>
      </c>
    </row>
    <row r="51" spans="1:8" x14ac:dyDescent="0.25">
      <c r="A51" s="90">
        <v>48</v>
      </c>
      <c r="B51" s="89"/>
      <c r="C51" s="88"/>
      <c r="D51" s="88"/>
      <c r="E51" s="67"/>
      <c r="F51" s="67"/>
      <c r="G51" s="67"/>
      <c r="H51" s="81"/>
    </row>
    <row r="52" spans="1:8" ht="15.75" x14ac:dyDescent="0.25">
      <c r="A52" s="95">
        <v>49</v>
      </c>
      <c r="B52" s="89"/>
      <c r="C52" s="88"/>
      <c r="D52" s="88"/>
      <c r="E52" s="67"/>
      <c r="F52" s="67"/>
      <c r="G52" s="67"/>
      <c r="H52" s="81"/>
    </row>
    <row r="53" spans="1:8" ht="15.75" x14ac:dyDescent="0.25">
      <c r="A53" s="95">
        <v>50</v>
      </c>
      <c r="B53" s="89"/>
      <c r="C53" s="88"/>
      <c r="D53" s="88"/>
      <c r="E53" s="67"/>
      <c r="F53" s="67"/>
      <c r="G53" s="67"/>
      <c r="H53" s="81"/>
    </row>
    <row r="54" spans="1:8" ht="15.75" x14ac:dyDescent="0.25">
      <c r="A54" s="95">
        <v>51</v>
      </c>
      <c r="B54" s="89"/>
      <c r="C54" s="88"/>
      <c r="D54" s="88"/>
      <c r="E54" s="67"/>
      <c r="F54" s="67"/>
      <c r="G54" s="67"/>
      <c r="H54" s="81"/>
    </row>
    <row r="55" spans="1:8" ht="15.75" x14ac:dyDescent="0.25">
      <c r="A55" s="95">
        <v>52</v>
      </c>
      <c r="B55" s="89"/>
      <c r="C55" s="88"/>
      <c r="D55" s="88"/>
      <c r="E55" s="67"/>
      <c r="F55" s="67"/>
      <c r="G55" s="67"/>
      <c r="H55" s="81"/>
    </row>
    <row r="56" spans="1:8" ht="15.75" x14ac:dyDescent="0.25">
      <c r="A56" s="95">
        <v>53</v>
      </c>
      <c r="B56" s="91"/>
      <c r="C56" s="96"/>
      <c r="D56" s="96"/>
      <c r="E56" s="67"/>
      <c r="F56" s="67"/>
      <c r="G56" s="67"/>
      <c r="H56" s="81"/>
    </row>
    <row r="57" spans="1:8" ht="15.75" x14ac:dyDescent="0.25">
      <c r="A57" s="95">
        <v>54</v>
      </c>
      <c r="B57" s="92"/>
      <c r="C57" s="72"/>
      <c r="D57" s="72"/>
      <c r="E57" s="67"/>
      <c r="F57" s="67"/>
      <c r="G57" s="67"/>
      <c r="H57" s="81"/>
    </row>
    <row r="58" spans="1:8" ht="15.75" x14ac:dyDescent="0.25">
      <c r="A58" s="95">
        <v>55</v>
      </c>
      <c r="B58" s="92"/>
      <c r="C58" s="72"/>
      <c r="D58" s="72"/>
      <c r="E58" s="67"/>
      <c r="F58" s="67"/>
      <c r="G58" s="67"/>
      <c r="H58" s="61"/>
    </row>
    <row r="59" spans="1:8" ht="15.75" x14ac:dyDescent="0.25">
      <c r="A59" s="95">
        <v>56</v>
      </c>
      <c r="B59" s="92"/>
      <c r="C59" s="72"/>
      <c r="D59" s="72"/>
      <c r="E59" s="60"/>
      <c r="F59" s="60"/>
      <c r="G59" s="60"/>
      <c r="H59" s="61"/>
    </row>
  </sheetData>
  <mergeCells count="2">
    <mergeCell ref="A1:H1"/>
    <mergeCell ref="A2:H2"/>
  </mergeCells>
  <pageMargins left="0.7" right="0.7" top="0.75" bottom="0.75" header="0.3" footer="0.3"/>
  <pageSetup paperSize="9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9"/>
  <sheetViews>
    <sheetView view="pageBreakPreview" zoomScale="60" zoomScaleNormal="100" workbookViewId="0">
      <selection activeCell="B6" sqref="B6:B155"/>
    </sheetView>
  </sheetViews>
  <sheetFormatPr defaultRowHeight="15" x14ac:dyDescent="0.25"/>
  <cols>
    <col min="1" max="1" width="5" style="211" customWidth="1"/>
    <col min="2" max="2" width="43.5703125" customWidth="1"/>
    <col min="3" max="3" width="6" style="211" customWidth="1"/>
    <col min="4" max="4" width="6.28515625" style="211" customWidth="1"/>
    <col min="5" max="5" width="22.85546875" style="211" customWidth="1"/>
    <col min="6" max="6" width="7.140625" style="211" customWidth="1"/>
    <col min="7" max="8" width="8.7109375" style="211" customWidth="1"/>
    <col min="9" max="9" width="8.140625" style="211" customWidth="1"/>
    <col min="10" max="18" width="9.28515625" style="211" bestFit="1" customWidth="1"/>
    <col min="19" max="19" width="9.5703125" style="211" bestFit="1" customWidth="1"/>
    <col min="20" max="20" width="10.5703125" style="211" bestFit="1" customWidth="1"/>
    <col min="21" max="21" width="9.28515625" style="211" bestFit="1" customWidth="1"/>
    <col min="22" max="23" width="9.140625" style="211"/>
  </cols>
  <sheetData>
    <row r="1" spans="1:23" ht="20.25" customHeight="1" x14ac:dyDescent="0.25">
      <c r="A1" s="861" t="s">
        <v>44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3"/>
    </row>
    <row r="2" spans="1:23" ht="15" customHeight="1" x14ac:dyDescent="0.25">
      <c r="A2" s="573"/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4"/>
    </row>
    <row r="3" spans="1:23" ht="15" customHeight="1" x14ac:dyDescent="0.25">
      <c r="A3" s="935" t="s">
        <v>104</v>
      </c>
      <c r="B3" s="936"/>
      <c r="C3" s="937"/>
      <c r="D3" s="937"/>
      <c r="E3" s="937"/>
      <c r="F3" s="937"/>
      <c r="G3" s="937"/>
      <c r="H3" s="937"/>
      <c r="I3" s="937"/>
      <c r="J3" s="937"/>
      <c r="K3" s="937"/>
      <c r="L3" s="937"/>
      <c r="M3" s="937"/>
      <c r="N3" s="937"/>
      <c r="O3" s="937"/>
      <c r="P3" s="937"/>
      <c r="Q3" s="937"/>
      <c r="R3" s="937"/>
      <c r="S3" s="937"/>
      <c r="T3" s="937"/>
      <c r="U3" s="937"/>
      <c r="V3" s="937"/>
      <c r="W3" s="938"/>
    </row>
    <row r="4" spans="1:23" ht="15" customHeight="1" thickBot="1" x14ac:dyDescent="0.3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756"/>
      <c r="N4" s="756"/>
      <c r="O4" s="756"/>
      <c r="P4" s="756"/>
      <c r="Q4" s="756"/>
      <c r="R4" s="756"/>
      <c r="S4" s="756"/>
      <c r="T4" s="756"/>
      <c r="U4" s="756"/>
      <c r="V4" s="756"/>
      <c r="W4" s="756"/>
    </row>
    <row r="5" spans="1:23" ht="54" customHeight="1" thickBot="1" x14ac:dyDescent="0.3">
      <c r="A5" s="757" t="s">
        <v>105</v>
      </c>
      <c r="B5" s="758" t="s">
        <v>1</v>
      </c>
      <c r="C5" s="758" t="s">
        <v>2</v>
      </c>
      <c r="D5" s="758" t="s">
        <v>3</v>
      </c>
      <c r="E5" s="759" t="s">
        <v>4</v>
      </c>
      <c r="F5" s="759" t="s">
        <v>22</v>
      </c>
      <c r="G5" s="759" t="s">
        <v>5</v>
      </c>
      <c r="H5" s="759" t="s">
        <v>29</v>
      </c>
      <c r="I5" s="759" t="s">
        <v>6</v>
      </c>
      <c r="J5" s="759" t="s">
        <v>7</v>
      </c>
      <c r="K5" s="759" t="s">
        <v>8</v>
      </c>
      <c r="L5" s="759" t="s">
        <v>9</v>
      </c>
      <c r="M5" s="759" t="s">
        <v>24</v>
      </c>
      <c r="N5" s="759" t="s">
        <v>23</v>
      </c>
      <c r="O5" s="759" t="s">
        <v>25</v>
      </c>
      <c r="P5" s="759" t="s">
        <v>27</v>
      </c>
      <c r="Q5" s="759" t="s">
        <v>26</v>
      </c>
      <c r="R5" s="759" t="s">
        <v>28</v>
      </c>
      <c r="S5" s="759" t="s">
        <v>12</v>
      </c>
      <c r="T5" s="759" t="s">
        <v>13</v>
      </c>
      <c r="U5" s="759" t="s">
        <v>14</v>
      </c>
      <c r="V5" s="759" t="s">
        <v>15</v>
      </c>
      <c r="W5" s="760" t="s">
        <v>16</v>
      </c>
    </row>
    <row r="6" spans="1:23" ht="15" customHeight="1" thickBot="1" x14ac:dyDescent="0.35">
      <c r="A6" s="939">
        <v>1</v>
      </c>
      <c r="B6" s="942"/>
      <c r="C6" s="943"/>
      <c r="D6" s="946"/>
      <c r="E6" s="761" t="s">
        <v>18</v>
      </c>
      <c r="F6" s="762">
        <v>86</v>
      </c>
      <c r="G6" s="762">
        <v>89</v>
      </c>
      <c r="H6" s="762">
        <v>82</v>
      </c>
      <c r="I6" s="762">
        <v>72</v>
      </c>
      <c r="J6" s="762">
        <v>70</v>
      </c>
      <c r="K6" s="762">
        <v>75</v>
      </c>
      <c r="L6" s="762">
        <v>79</v>
      </c>
      <c r="M6" s="762">
        <v>69</v>
      </c>
      <c r="N6" s="762">
        <v>83</v>
      </c>
      <c r="O6" s="762">
        <v>91</v>
      </c>
      <c r="P6" s="762">
        <v>78</v>
      </c>
      <c r="Q6" s="762">
        <v>82</v>
      </c>
      <c r="R6" s="762">
        <v>83</v>
      </c>
      <c r="S6" s="762">
        <v>1039</v>
      </c>
      <c r="T6" s="763">
        <v>79.92307692307692</v>
      </c>
      <c r="U6" s="762">
        <v>14</v>
      </c>
      <c r="V6" s="764"/>
      <c r="W6" s="765"/>
    </row>
    <row r="7" spans="1:23" ht="15" customHeight="1" thickBot="1" x14ac:dyDescent="0.4">
      <c r="A7" s="940"/>
      <c r="B7" s="942"/>
      <c r="C7" s="944"/>
      <c r="D7" s="947"/>
      <c r="E7" s="766" t="s">
        <v>19</v>
      </c>
      <c r="F7" s="767">
        <v>86</v>
      </c>
      <c r="G7" s="767">
        <v>87</v>
      </c>
      <c r="H7" s="767">
        <v>70</v>
      </c>
      <c r="I7" s="767">
        <v>73</v>
      </c>
      <c r="J7" s="767">
        <v>63</v>
      </c>
      <c r="K7" s="767">
        <v>62</v>
      </c>
      <c r="L7" s="767">
        <v>74</v>
      </c>
      <c r="M7" s="767">
        <v>86</v>
      </c>
      <c r="N7" s="767">
        <v>69</v>
      </c>
      <c r="O7" s="767">
        <v>82</v>
      </c>
      <c r="P7" s="767">
        <v>83</v>
      </c>
      <c r="Q7" s="767">
        <v>93</v>
      </c>
      <c r="R7" s="767">
        <v>80</v>
      </c>
      <c r="S7" s="755">
        <v>1008</v>
      </c>
      <c r="T7" s="768">
        <v>77.538461538461533</v>
      </c>
      <c r="U7" s="755">
        <v>26</v>
      </c>
      <c r="V7" s="769"/>
      <c r="W7" s="770"/>
    </row>
    <row r="8" spans="1:23" ht="15" customHeight="1" thickBot="1" x14ac:dyDescent="0.35">
      <c r="A8" s="941"/>
      <c r="B8" s="942"/>
      <c r="C8" s="945"/>
      <c r="D8" s="948"/>
      <c r="E8" s="766" t="s">
        <v>13</v>
      </c>
      <c r="F8" s="755">
        <f>AVERAGE(F6:F7)</f>
        <v>86</v>
      </c>
      <c r="G8" s="755">
        <f t="shared" ref="G8:T8" si="0">AVERAGE(G6:G7)</f>
        <v>88</v>
      </c>
      <c r="H8" s="755">
        <f t="shared" si="0"/>
        <v>76</v>
      </c>
      <c r="I8" s="755">
        <f t="shared" si="0"/>
        <v>72.5</v>
      </c>
      <c r="J8" s="755">
        <f t="shared" si="0"/>
        <v>66.5</v>
      </c>
      <c r="K8" s="755">
        <f t="shared" si="0"/>
        <v>68.5</v>
      </c>
      <c r="L8" s="755">
        <f t="shared" si="0"/>
        <v>76.5</v>
      </c>
      <c r="M8" s="755">
        <f t="shared" si="0"/>
        <v>77.5</v>
      </c>
      <c r="N8" s="755">
        <f t="shared" si="0"/>
        <v>76</v>
      </c>
      <c r="O8" s="755">
        <f t="shared" si="0"/>
        <v>86.5</v>
      </c>
      <c r="P8" s="755">
        <f t="shared" si="0"/>
        <v>80.5</v>
      </c>
      <c r="Q8" s="755">
        <f t="shared" si="0"/>
        <v>87.5</v>
      </c>
      <c r="R8" s="755">
        <f t="shared" si="0"/>
        <v>81.5</v>
      </c>
      <c r="S8" s="755">
        <f t="shared" si="0"/>
        <v>1023.5</v>
      </c>
      <c r="T8" s="755">
        <f t="shared" si="0"/>
        <v>78.730769230769226</v>
      </c>
      <c r="U8" s="755"/>
      <c r="V8" s="771"/>
      <c r="W8" s="771"/>
    </row>
    <row r="9" spans="1:23" ht="15" customHeight="1" thickBot="1" x14ac:dyDescent="0.4">
      <c r="A9" s="949">
        <v>2</v>
      </c>
      <c r="B9" s="942"/>
      <c r="C9" s="943"/>
      <c r="D9" s="946"/>
      <c r="E9" s="766" t="s">
        <v>18</v>
      </c>
      <c r="F9" s="755">
        <v>63</v>
      </c>
      <c r="G9" s="755">
        <v>67</v>
      </c>
      <c r="H9" s="755">
        <v>72</v>
      </c>
      <c r="I9" s="755">
        <v>54</v>
      </c>
      <c r="J9" s="755">
        <v>52</v>
      </c>
      <c r="K9" s="755">
        <v>50</v>
      </c>
      <c r="L9" s="755">
        <v>58</v>
      </c>
      <c r="M9" s="755">
        <v>62</v>
      </c>
      <c r="N9" s="755">
        <v>75</v>
      </c>
      <c r="O9" s="755">
        <v>73</v>
      </c>
      <c r="P9" s="755">
        <v>57</v>
      </c>
      <c r="Q9" s="755">
        <v>76</v>
      </c>
      <c r="R9" s="755">
        <v>83</v>
      </c>
      <c r="S9" s="755">
        <v>842</v>
      </c>
      <c r="T9" s="768">
        <v>64.769230769230774</v>
      </c>
      <c r="U9" s="755">
        <v>44</v>
      </c>
      <c r="V9" s="772"/>
      <c r="W9" s="772"/>
    </row>
    <row r="10" spans="1:23" ht="15" customHeight="1" thickBot="1" x14ac:dyDescent="0.4">
      <c r="A10" s="950"/>
      <c r="B10" s="942"/>
      <c r="C10" s="944"/>
      <c r="D10" s="947"/>
      <c r="E10" s="766" t="s">
        <v>19</v>
      </c>
      <c r="F10" s="755">
        <v>74</v>
      </c>
      <c r="G10" s="755">
        <v>70</v>
      </c>
      <c r="H10" s="755">
        <v>66</v>
      </c>
      <c r="I10" s="755">
        <v>48</v>
      </c>
      <c r="J10" s="755">
        <v>58</v>
      </c>
      <c r="K10" s="755">
        <v>53</v>
      </c>
      <c r="L10" s="755">
        <v>61</v>
      </c>
      <c r="M10" s="755">
        <v>71</v>
      </c>
      <c r="N10" s="755">
        <v>58</v>
      </c>
      <c r="O10" s="755">
        <v>63</v>
      </c>
      <c r="P10" s="755">
        <v>63</v>
      </c>
      <c r="Q10" s="755">
        <v>84</v>
      </c>
      <c r="R10" s="755">
        <v>80</v>
      </c>
      <c r="S10" s="755">
        <v>849</v>
      </c>
      <c r="T10" s="768">
        <v>65.307692307692307</v>
      </c>
      <c r="U10" s="755">
        <v>43</v>
      </c>
      <c r="V10" s="772"/>
      <c r="W10" s="772"/>
    </row>
    <row r="11" spans="1:23" ht="15" customHeight="1" thickBot="1" x14ac:dyDescent="0.35">
      <c r="A11" s="951"/>
      <c r="B11" s="942"/>
      <c r="C11" s="945"/>
      <c r="D11" s="948"/>
      <c r="E11" s="766" t="s">
        <v>13</v>
      </c>
      <c r="F11" s="755">
        <f>AVERAGE(F9:F10)</f>
        <v>68.5</v>
      </c>
      <c r="G11" s="755">
        <f t="shared" ref="G11:T11" si="1">AVERAGE(G9:G10)</f>
        <v>68.5</v>
      </c>
      <c r="H11" s="755">
        <f t="shared" si="1"/>
        <v>69</v>
      </c>
      <c r="I11" s="755">
        <f t="shared" si="1"/>
        <v>51</v>
      </c>
      <c r="J11" s="755">
        <f t="shared" si="1"/>
        <v>55</v>
      </c>
      <c r="K11" s="755">
        <f t="shared" si="1"/>
        <v>51.5</v>
      </c>
      <c r="L11" s="755">
        <f t="shared" si="1"/>
        <v>59.5</v>
      </c>
      <c r="M11" s="755">
        <f t="shared" si="1"/>
        <v>66.5</v>
      </c>
      <c r="N11" s="755">
        <f t="shared" si="1"/>
        <v>66.5</v>
      </c>
      <c r="O11" s="755">
        <f t="shared" si="1"/>
        <v>68</v>
      </c>
      <c r="P11" s="755">
        <f t="shared" si="1"/>
        <v>60</v>
      </c>
      <c r="Q11" s="755">
        <f t="shared" si="1"/>
        <v>80</v>
      </c>
      <c r="R11" s="755">
        <f t="shared" si="1"/>
        <v>81.5</v>
      </c>
      <c r="S11" s="755">
        <f t="shared" si="1"/>
        <v>845.5</v>
      </c>
      <c r="T11" s="755">
        <f t="shared" si="1"/>
        <v>65.038461538461547</v>
      </c>
      <c r="U11" s="755"/>
      <c r="V11" s="771"/>
      <c r="W11" s="771"/>
    </row>
    <row r="12" spans="1:23" ht="15" customHeight="1" thickBot="1" x14ac:dyDescent="0.4">
      <c r="A12" s="949">
        <v>3</v>
      </c>
      <c r="B12" s="942"/>
      <c r="C12" s="943"/>
      <c r="D12" s="946"/>
      <c r="E12" s="766" t="s">
        <v>18</v>
      </c>
      <c r="F12" s="755">
        <v>86</v>
      </c>
      <c r="G12" s="755">
        <v>93</v>
      </c>
      <c r="H12" s="755">
        <v>83</v>
      </c>
      <c r="I12" s="755">
        <v>78</v>
      </c>
      <c r="J12" s="755">
        <v>76</v>
      </c>
      <c r="K12" s="755">
        <v>79</v>
      </c>
      <c r="L12" s="755">
        <v>84</v>
      </c>
      <c r="M12" s="755">
        <v>71</v>
      </c>
      <c r="N12" s="755">
        <v>88</v>
      </c>
      <c r="O12" s="755">
        <v>92</v>
      </c>
      <c r="P12" s="755">
        <v>86</v>
      </c>
      <c r="Q12" s="755">
        <v>91</v>
      </c>
      <c r="R12" s="755">
        <v>90</v>
      </c>
      <c r="S12" s="755">
        <v>1097</v>
      </c>
      <c r="T12" s="768">
        <v>84.384615384615387</v>
      </c>
      <c r="U12" s="755">
        <v>6</v>
      </c>
      <c r="V12" s="772"/>
      <c r="W12" s="772"/>
    </row>
    <row r="13" spans="1:23" ht="15" customHeight="1" thickBot="1" x14ac:dyDescent="0.4">
      <c r="A13" s="950"/>
      <c r="B13" s="942"/>
      <c r="C13" s="944"/>
      <c r="D13" s="947"/>
      <c r="E13" s="766" t="s">
        <v>19</v>
      </c>
      <c r="F13" s="755">
        <v>92</v>
      </c>
      <c r="G13" s="755">
        <v>94</v>
      </c>
      <c r="H13" s="755">
        <v>84</v>
      </c>
      <c r="I13" s="755">
        <v>83</v>
      </c>
      <c r="J13" s="755">
        <v>90</v>
      </c>
      <c r="K13" s="755">
        <v>81</v>
      </c>
      <c r="L13" s="755">
        <v>87</v>
      </c>
      <c r="M13" s="755">
        <v>95</v>
      </c>
      <c r="N13" s="755">
        <v>89</v>
      </c>
      <c r="O13" s="755">
        <v>96</v>
      </c>
      <c r="P13" s="755">
        <v>96</v>
      </c>
      <c r="Q13" s="755">
        <v>97</v>
      </c>
      <c r="R13" s="755">
        <v>95</v>
      </c>
      <c r="S13" s="755">
        <v>1179</v>
      </c>
      <c r="T13" s="768">
        <v>90.692307692307693</v>
      </c>
      <c r="U13" s="755">
        <v>5</v>
      </c>
      <c r="V13" s="772"/>
      <c r="W13" s="772"/>
    </row>
    <row r="14" spans="1:23" ht="15" customHeight="1" thickBot="1" x14ac:dyDescent="0.35">
      <c r="A14" s="951"/>
      <c r="B14" s="942"/>
      <c r="C14" s="945"/>
      <c r="D14" s="948"/>
      <c r="E14" s="766" t="s">
        <v>13</v>
      </c>
      <c r="F14" s="755"/>
      <c r="G14" s="755">
        <f>AVERAGE(G12:G13)</f>
        <v>93.5</v>
      </c>
      <c r="H14" s="755">
        <f t="shared" ref="H14:T14" si="2">AVERAGE(H12:H13)</f>
        <v>83.5</v>
      </c>
      <c r="I14" s="755">
        <f t="shared" si="2"/>
        <v>80.5</v>
      </c>
      <c r="J14" s="755">
        <f t="shared" si="2"/>
        <v>83</v>
      </c>
      <c r="K14" s="755">
        <f t="shared" si="2"/>
        <v>80</v>
      </c>
      <c r="L14" s="755">
        <f t="shared" si="2"/>
        <v>85.5</v>
      </c>
      <c r="M14" s="755">
        <f t="shared" si="2"/>
        <v>83</v>
      </c>
      <c r="N14" s="755">
        <f t="shared" si="2"/>
        <v>88.5</v>
      </c>
      <c r="O14" s="755">
        <f t="shared" si="2"/>
        <v>94</v>
      </c>
      <c r="P14" s="755">
        <f t="shared" si="2"/>
        <v>91</v>
      </c>
      <c r="Q14" s="755">
        <f t="shared" si="2"/>
        <v>94</v>
      </c>
      <c r="R14" s="755">
        <f t="shared" si="2"/>
        <v>92.5</v>
      </c>
      <c r="S14" s="755">
        <f t="shared" si="2"/>
        <v>1138</v>
      </c>
      <c r="T14" s="755">
        <f t="shared" si="2"/>
        <v>87.538461538461547</v>
      </c>
      <c r="U14" s="755"/>
      <c r="V14" s="771"/>
      <c r="W14" s="771"/>
    </row>
    <row r="15" spans="1:23" ht="15" customHeight="1" thickBot="1" x14ac:dyDescent="0.4">
      <c r="A15" s="939">
        <v>4</v>
      </c>
      <c r="B15" s="942"/>
      <c r="C15" s="943"/>
      <c r="D15" s="946"/>
      <c r="E15" s="766" t="s">
        <v>18</v>
      </c>
      <c r="F15" s="755">
        <v>78</v>
      </c>
      <c r="G15" s="755">
        <v>74</v>
      </c>
      <c r="H15" s="755">
        <v>84</v>
      </c>
      <c r="I15" s="755">
        <v>65</v>
      </c>
      <c r="J15" s="755">
        <v>53</v>
      </c>
      <c r="K15" s="755">
        <v>62</v>
      </c>
      <c r="L15" s="755">
        <v>71</v>
      </c>
      <c r="M15" s="755">
        <v>70</v>
      </c>
      <c r="N15" s="755">
        <v>80</v>
      </c>
      <c r="O15" s="755">
        <v>82</v>
      </c>
      <c r="P15" s="755">
        <v>81</v>
      </c>
      <c r="Q15" s="755">
        <v>84</v>
      </c>
      <c r="R15" s="755">
        <v>88</v>
      </c>
      <c r="S15" s="755">
        <v>972</v>
      </c>
      <c r="T15" s="768">
        <v>74.769230769230774</v>
      </c>
      <c r="U15" s="755">
        <v>24</v>
      </c>
      <c r="V15" s="772"/>
      <c r="W15" s="772"/>
    </row>
    <row r="16" spans="1:23" ht="15" customHeight="1" thickBot="1" x14ac:dyDescent="0.4">
      <c r="A16" s="940"/>
      <c r="B16" s="942"/>
      <c r="C16" s="944"/>
      <c r="D16" s="947"/>
      <c r="E16" s="766" t="s">
        <v>19</v>
      </c>
      <c r="F16" s="755">
        <v>82</v>
      </c>
      <c r="G16" s="755">
        <v>67</v>
      </c>
      <c r="H16" s="755">
        <v>77</v>
      </c>
      <c r="I16" s="755">
        <v>56</v>
      </c>
      <c r="J16" s="755">
        <v>62</v>
      </c>
      <c r="K16" s="755">
        <v>59</v>
      </c>
      <c r="L16" s="755">
        <v>67</v>
      </c>
      <c r="M16" s="755">
        <v>79</v>
      </c>
      <c r="N16" s="755">
        <v>71</v>
      </c>
      <c r="O16" s="755">
        <v>82</v>
      </c>
      <c r="P16" s="755">
        <v>76</v>
      </c>
      <c r="Q16" s="755">
        <v>78</v>
      </c>
      <c r="R16" s="755">
        <v>96</v>
      </c>
      <c r="S16" s="755">
        <v>952</v>
      </c>
      <c r="T16" s="768">
        <v>73.230769230769226</v>
      </c>
      <c r="U16" s="755">
        <v>32</v>
      </c>
      <c r="V16" s="772"/>
      <c r="W16" s="772"/>
    </row>
    <row r="17" spans="1:23" ht="15" customHeight="1" thickBot="1" x14ac:dyDescent="0.35">
      <c r="A17" s="941"/>
      <c r="B17" s="942"/>
      <c r="C17" s="945"/>
      <c r="D17" s="948"/>
      <c r="E17" s="766" t="s">
        <v>13</v>
      </c>
      <c r="F17" s="755">
        <f>AVERAGE(F15:F16)</f>
        <v>80</v>
      </c>
      <c r="G17" s="755">
        <f t="shared" ref="G17:T17" si="3">AVERAGE(G15:G16)</f>
        <v>70.5</v>
      </c>
      <c r="H17" s="755">
        <f t="shared" si="3"/>
        <v>80.5</v>
      </c>
      <c r="I17" s="755">
        <f t="shared" si="3"/>
        <v>60.5</v>
      </c>
      <c r="J17" s="755">
        <f t="shared" si="3"/>
        <v>57.5</v>
      </c>
      <c r="K17" s="755">
        <f t="shared" si="3"/>
        <v>60.5</v>
      </c>
      <c r="L17" s="755">
        <f t="shared" si="3"/>
        <v>69</v>
      </c>
      <c r="M17" s="755">
        <f t="shared" si="3"/>
        <v>74.5</v>
      </c>
      <c r="N17" s="755">
        <f t="shared" si="3"/>
        <v>75.5</v>
      </c>
      <c r="O17" s="755">
        <f t="shared" si="3"/>
        <v>82</v>
      </c>
      <c r="P17" s="755">
        <f t="shared" si="3"/>
        <v>78.5</v>
      </c>
      <c r="Q17" s="755">
        <f t="shared" si="3"/>
        <v>81</v>
      </c>
      <c r="R17" s="755">
        <f t="shared" si="3"/>
        <v>92</v>
      </c>
      <c r="S17" s="755">
        <f t="shared" si="3"/>
        <v>962</v>
      </c>
      <c r="T17" s="755">
        <f t="shared" si="3"/>
        <v>74</v>
      </c>
      <c r="U17" s="755"/>
      <c r="V17" s="771"/>
      <c r="W17" s="771"/>
    </row>
    <row r="18" spans="1:23" ht="15" customHeight="1" thickBot="1" x14ac:dyDescent="0.4">
      <c r="A18" s="949">
        <v>5</v>
      </c>
      <c r="B18" s="942"/>
      <c r="C18" s="943"/>
      <c r="D18" s="946"/>
      <c r="E18" s="766" t="s">
        <v>18</v>
      </c>
      <c r="F18" s="755">
        <v>79</v>
      </c>
      <c r="G18" s="755">
        <v>92</v>
      </c>
      <c r="H18" s="755">
        <v>86</v>
      </c>
      <c r="I18" s="755">
        <v>79</v>
      </c>
      <c r="J18" s="755">
        <v>71</v>
      </c>
      <c r="K18" s="755">
        <v>80</v>
      </c>
      <c r="L18" s="755">
        <v>82</v>
      </c>
      <c r="M18" s="755">
        <v>77</v>
      </c>
      <c r="N18" s="755">
        <v>92</v>
      </c>
      <c r="O18" s="755">
        <v>86</v>
      </c>
      <c r="P18" s="755">
        <v>82</v>
      </c>
      <c r="Q18" s="755">
        <v>81</v>
      </c>
      <c r="R18" s="755">
        <v>86</v>
      </c>
      <c r="S18" s="755">
        <v>1073</v>
      </c>
      <c r="T18" s="768">
        <v>82.538461538461533</v>
      </c>
      <c r="U18" s="755">
        <v>8</v>
      </c>
      <c r="V18" s="772"/>
      <c r="W18" s="772"/>
    </row>
    <row r="19" spans="1:23" ht="15" customHeight="1" thickBot="1" x14ac:dyDescent="0.4">
      <c r="A19" s="950"/>
      <c r="B19" s="942"/>
      <c r="C19" s="944"/>
      <c r="D19" s="947"/>
      <c r="E19" s="766" t="s">
        <v>19</v>
      </c>
      <c r="F19" s="755">
        <v>94</v>
      </c>
      <c r="G19" s="755">
        <v>88</v>
      </c>
      <c r="H19" s="755">
        <v>75</v>
      </c>
      <c r="I19" s="755">
        <v>85</v>
      </c>
      <c r="J19" s="755">
        <v>77</v>
      </c>
      <c r="K19" s="755">
        <v>85</v>
      </c>
      <c r="L19" s="755">
        <v>84</v>
      </c>
      <c r="M19" s="755">
        <v>91</v>
      </c>
      <c r="N19" s="755">
        <v>94</v>
      </c>
      <c r="O19" s="755">
        <v>91</v>
      </c>
      <c r="P19" s="755">
        <v>91</v>
      </c>
      <c r="Q19" s="755">
        <v>96</v>
      </c>
      <c r="R19" s="755">
        <v>88</v>
      </c>
      <c r="S19" s="755">
        <v>1139</v>
      </c>
      <c r="T19" s="768">
        <v>87.615384615384613</v>
      </c>
      <c r="U19" s="755">
        <v>6</v>
      </c>
      <c r="V19" s="772"/>
      <c r="W19" s="772"/>
    </row>
    <row r="20" spans="1:23" ht="15" customHeight="1" thickBot="1" x14ac:dyDescent="0.35">
      <c r="A20" s="951"/>
      <c r="B20" s="942"/>
      <c r="C20" s="945"/>
      <c r="D20" s="948"/>
      <c r="E20" s="766" t="s">
        <v>13</v>
      </c>
      <c r="F20" s="755">
        <f>AVERAGE(F18:F19)</f>
        <v>86.5</v>
      </c>
      <c r="G20" s="755">
        <f t="shared" ref="G20:T20" si="4">AVERAGE(G18:G19)</f>
        <v>90</v>
      </c>
      <c r="H20" s="755">
        <f t="shared" si="4"/>
        <v>80.5</v>
      </c>
      <c r="I20" s="755">
        <f t="shared" si="4"/>
        <v>82</v>
      </c>
      <c r="J20" s="755">
        <f t="shared" si="4"/>
        <v>74</v>
      </c>
      <c r="K20" s="755">
        <f t="shared" si="4"/>
        <v>82.5</v>
      </c>
      <c r="L20" s="755">
        <f t="shared" si="4"/>
        <v>83</v>
      </c>
      <c r="M20" s="755">
        <f t="shared" si="4"/>
        <v>84</v>
      </c>
      <c r="N20" s="755">
        <f t="shared" si="4"/>
        <v>93</v>
      </c>
      <c r="O20" s="755">
        <f t="shared" si="4"/>
        <v>88.5</v>
      </c>
      <c r="P20" s="755">
        <f t="shared" si="4"/>
        <v>86.5</v>
      </c>
      <c r="Q20" s="755">
        <f t="shared" si="4"/>
        <v>88.5</v>
      </c>
      <c r="R20" s="755">
        <f t="shared" si="4"/>
        <v>87</v>
      </c>
      <c r="S20" s="755">
        <f t="shared" si="4"/>
        <v>1106</v>
      </c>
      <c r="T20" s="755">
        <f t="shared" si="4"/>
        <v>85.076923076923066</v>
      </c>
      <c r="U20" s="755"/>
      <c r="V20" s="771"/>
      <c r="W20" s="771"/>
    </row>
    <row r="21" spans="1:23" ht="15.75" customHeight="1" thickBot="1" x14ac:dyDescent="0.4">
      <c r="A21" s="949">
        <v>6</v>
      </c>
      <c r="B21" s="942"/>
      <c r="C21" s="943"/>
      <c r="D21" s="946"/>
      <c r="E21" s="766" t="s">
        <v>18</v>
      </c>
      <c r="F21" s="755">
        <v>67</v>
      </c>
      <c r="G21" s="755">
        <v>52</v>
      </c>
      <c r="H21" s="755">
        <v>73</v>
      </c>
      <c r="I21" s="755">
        <v>54</v>
      </c>
      <c r="J21" s="755">
        <v>42</v>
      </c>
      <c r="K21" s="755">
        <v>48</v>
      </c>
      <c r="L21" s="755">
        <v>52</v>
      </c>
      <c r="M21" s="755">
        <v>56</v>
      </c>
      <c r="N21" s="755">
        <v>59</v>
      </c>
      <c r="O21" s="755">
        <v>50</v>
      </c>
      <c r="P21" s="755">
        <v>47</v>
      </c>
      <c r="Q21" s="755">
        <v>71</v>
      </c>
      <c r="R21" s="755">
        <v>72</v>
      </c>
      <c r="S21" s="755">
        <v>743</v>
      </c>
      <c r="T21" s="768">
        <v>57.153846153846153</v>
      </c>
      <c r="U21" s="755">
        <v>50</v>
      </c>
      <c r="V21" s="772"/>
      <c r="W21" s="772"/>
    </row>
    <row r="22" spans="1:23" ht="15.75" customHeight="1" thickBot="1" x14ac:dyDescent="0.4">
      <c r="A22" s="950"/>
      <c r="B22" s="942"/>
      <c r="C22" s="944"/>
      <c r="D22" s="947"/>
      <c r="E22" s="766" t="s">
        <v>19</v>
      </c>
      <c r="F22" s="755">
        <v>72</v>
      </c>
      <c r="G22" s="755">
        <v>49</v>
      </c>
      <c r="H22" s="755">
        <v>74</v>
      </c>
      <c r="I22" s="755">
        <v>69</v>
      </c>
      <c r="J22" s="755">
        <v>43</v>
      </c>
      <c r="K22" s="755">
        <v>40</v>
      </c>
      <c r="L22" s="755">
        <v>41</v>
      </c>
      <c r="M22" s="755">
        <v>61</v>
      </c>
      <c r="N22" s="755">
        <v>57</v>
      </c>
      <c r="O22" s="755">
        <v>72</v>
      </c>
      <c r="P22" s="755">
        <v>58</v>
      </c>
      <c r="Q22" s="755">
        <v>72</v>
      </c>
      <c r="R22" s="755">
        <v>75</v>
      </c>
      <c r="S22" s="755">
        <v>783</v>
      </c>
      <c r="T22" s="768">
        <v>60.230769230769234</v>
      </c>
      <c r="U22" s="755">
        <v>46</v>
      </c>
      <c r="V22" s="772"/>
      <c r="W22" s="772"/>
    </row>
    <row r="23" spans="1:23" ht="15.75" customHeight="1" thickBot="1" x14ac:dyDescent="0.35">
      <c r="A23" s="951"/>
      <c r="B23" s="942"/>
      <c r="C23" s="945"/>
      <c r="D23" s="948"/>
      <c r="E23" s="766" t="s">
        <v>13</v>
      </c>
      <c r="F23" s="755">
        <f>AVERAGE(F21:F22)</f>
        <v>69.5</v>
      </c>
      <c r="G23" s="755">
        <f t="shared" ref="G23:T23" si="5">AVERAGE(G21:G22)</f>
        <v>50.5</v>
      </c>
      <c r="H23" s="755">
        <f t="shared" si="5"/>
        <v>73.5</v>
      </c>
      <c r="I23" s="755">
        <f t="shared" si="5"/>
        <v>61.5</v>
      </c>
      <c r="J23" s="755">
        <f t="shared" si="5"/>
        <v>42.5</v>
      </c>
      <c r="K23" s="755">
        <f t="shared" si="5"/>
        <v>44</v>
      </c>
      <c r="L23" s="755">
        <f t="shared" si="5"/>
        <v>46.5</v>
      </c>
      <c r="M23" s="755">
        <f t="shared" si="5"/>
        <v>58.5</v>
      </c>
      <c r="N23" s="755">
        <f t="shared" si="5"/>
        <v>58</v>
      </c>
      <c r="O23" s="755">
        <f t="shared" si="5"/>
        <v>61</v>
      </c>
      <c r="P23" s="755">
        <f t="shared" si="5"/>
        <v>52.5</v>
      </c>
      <c r="Q23" s="755">
        <f t="shared" si="5"/>
        <v>71.5</v>
      </c>
      <c r="R23" s="755">
        <f t="shared" si="5"/>
        <v>73.5</v>
      </c>
      <c r="S23" s="755">
        <f t="shared" si="5"/>
        <v>763</v>
      </c>
      <c r="T23" s="755">
        <f t="shared" si="5"/>
        <v>58.692307692307693</v>
      </c>
      <c r="U23" s="755"/>
      <c r="V23" s="771"/>
      <c r="W23" s="771"/>
    </row>
    <row r="24" spans="1:23" ht="15" customHeight="1" thickBot="1" x14ac:dyDescent="0.4">
      <c r="A24" s="939">
        <v>7</v>
      </c>
      <c r="B24" s="942"/>
      <c r="C24" s="952"/>
      <c r="D24" s="955"/>
      <c r="E24" s="766" t="s">
        <v>18</v>
      </c>
      <c r="F24" s="755">
        <v>72</v>
      </c>
      <c r="G24" s="755">
        <v>67</v>
      </c>
      <c r="H24" s="755">
        <v>61</v>
      </c>
      <c r="I24" s="755">
        <v>68</v>
      </c>
      <c r="J24" s="755">
        <v>68</v>
      </c>
      <c r="K24" s="755">
        <v>62</v>
      </c>
      <c r="L24" s="755">
        <v>52</v>
      </c>
      <c r="M24" s="755">
        <v>63</v>
      </c>
      <c r="N24" s="755">
        <v>56</v>
      </c>
      <c r="O24" s="755">
        <v>74</v>
      </c>
      <c r="P24" s="755">
        <v>65</v>
      </c>
      <c r="Q24" s="755">
        <v>78</v>
      </c>
      <c r="R24" s="755">
        <v>61</v>
      </c>
      <c r="S24" s="755">
        <v>847</v>
      </c>
      <c r="T24" s="768">
        <v>65.15384615384616</v>
      </c>
      <c r="U24" s="755">
        <v>41</v>
      </c>
      <c r="V24" s="772"/>
      <c r="W24" s="772"/>
    </row>
    <row r="25" spans="1:23" ht="15" customHeight="1" thickBot="1" x14ac:dyDescent="0.4">
      <c r="A25" s="940"/>
      <c r="B25" s="942"/>
      <c r="C25" s="953"/>
      <c r="D25" s="956"/>
      <c r="E25" s="766" t="s">
        <v>19</v>
      </c>
      <c r="F25" s="755">
        <v>83</v>
      </c>
      <c r="G25" s="755">
        <v>63</v>
      </c>
      <c r="H25" s="755">
        <v>49</v>
      </c>
      <c r="I25" s="755">
        <v>73</v>
      </c>
      <c r="J25" s="755">
        <v>78</v>
      </c>
      <c r="K25" s="755">
        <v>51</v>
      </c>
      <c r="L25" s="755">
        <v>69</v>
      </c>
      <c r="M25" s="755">
        <v>83</v>
      </c>
      <c r="N25" s="755">
        <v>60</v>
      </c>
      <c r="O25" s="755">
        <v>73</v>
      </c>
      <c r="P25" s="755">
        <v>78</v>
      </c>
      <c r="Q25" s="755">
        <v>92</v>
      </c>
      <c r="R25" s="755">
        <v>90</v>
      </c>
      <c r="S25" s="755">
        <v>942</v>
      </c>
      <c r="T25" s="768">
        <v>72.461538461538467</v>
      </c>
      <c r="U25" s="755">
        <v>33</v>
      </c>
      <c r="V25" s="772"/>
      <c r="W25" s="772"/>
    </row>
    <row r="26" spans="1:23" ht="15" customHeight="1" thickBot="1" x14ac:dyDescent="0.35">
      <c r="A26" s="941"/>
      <c r="B26" s="942"/>
      <c r="C26" s="954"/>
      <c r="D26" s="957"/>
      <c r="E26" s="766" t="s">
        <v>13</v>
      </c>
      <c r="F26" s="755">
        <f>AVERAGE(F24:F25)</f>
        <v>77.5</v>
      </c>
      <c r="G26" s="755">
        <f t="shared" ref="G26:T26" si="6">AVERAGE(G24:G25)</f>
        <v>65</v>
      </c>
      <c r="H26" s="755">
        <f t="shared" si="6"/>
        <v>55</v>
      </c>
      <c r="I26" s="755">
        <f t="shared" si="6"/>
        <v>70.5</v>
      </c>
      <c r="J26" s="755">
        <f t="shared" si="6"/>
        <v>73</v>
      </c>
      <c r="K26" s="755">
        <f t="shared" si="6"/>
        <v>56.5</v>
      </c>
      <c r="L26" s="755">
        <f t="shared" si="6"/>
        <v>60.5</v>
      </c>
      <c r="M26" s="755">
        <f t="shared" si="6"/>
        <v>73</v>
      </c>
      <c r="N26" s="755">
        <f t="shared" si="6"/>
        <v>58</v>
      </c>
      <c r="O26" s="755">
        <f t="shared" si="6"/>
        <v>73.5</v>
      </c>
      <c r="P26" s="755">
        <f t="shared" si="6"/>
        <v>71.5</v>
      </c>
      <c r="Q26" s="755">
        <f t="shared" si="6"/>
        <v>85</v>
      </c>
      <c r="R26" s="755">
        <f t="shared" si="6"/>
        <v>75.5</v>
      </c>
      <c r="S26" s="755">
        <f t="shared" si="6"/>
        <v>894.5</v>
      </c>
      <c r="T26" s="755">
        <f t="shared" si="6"/>
        <v>68.807692307692321</v>
      </c>
      <c r="U26" s="755"/>
      <c r="V26" s="771"/>
      <c r="W26" s="771"/>
    </row>
    <row r="27" spans="1:23" ht="15" customHeight="1" thickBot="1" x14ac:dyDescent="0.4">
      <c r="A27" s="949">
        <v>8</v>
      </c>
      <c r="B27" s="942"/>
      <c r="C27" s="943"/>
      <c r="D27" s="946"/>
      <c r="E27" s="766" t="s">
        <v>18</v>
      </c>
      <c r="F27" s="755">
        <v>89</v>
      </c>
      <c r="G27" s="755">
        <v>86</v>
      </c>
      <c r="H27" s="755">
        <v>80</v>
      </c>
      <c r="I27" s="755">
        <v>71</v>
      </c>
      <c r="J27" s="755">
        <v>67</v>
      </c>
      <c r="K27" s="755">
        <v>71</v>
      </c>
      <c r="L27" s="755">
        <v>82</v>
      </c>
      <c r="M27" s="755">
        <v>65</v>
      </c>
      <c r="N27" s="755">
        <v>87</v>
      </c>
      <c r="O27" s="755">
        <v>83</v>
      </c>
      <c r="P27" s="755">
        <v>82</v>
      </c>
      <c r="Q27" s="755">
        <v>89</v>
      </c>
      <c r="R27" s="755">
        <v>83</v>
      </c>
      <c r="S27" s="755">
        <v>1035</v>
      </c>
      <c r="T27" s="768">
        <v>79.615384615384613</v>
      </c>
      <c r="U27" s="755">
        <v>16</v>
      </c>
      <c r="V27" s="772"/>
      <c r="W27" s="772"/>
    </row>
    <row r="28" spans="1:23" ht="15" customHeight="1" thickBot="1" x14ac:dyDescent="0.4">
      <c r="A28" s="950"/>
      <c r="B28" s="942"/>
      <c r="C28" s="944"/>
      <c r="D28" s="947"/>
      <c r="E28" s="766" t="s">
        <v>19</v>
      </c>
      <c r="F28" s="755">
        <v>90</v>
      </c>
      <c r="G28" s="755">
        <v>85</v>
      </c>
      <c r="H28" s="755">
        <v>73</v>
      </c>
      <c r="I28" s="755">
        <v>74</v>
      </c>
      <c r="J28" s="755">
        <v>85</v>
      </c>
      <c r="K28" s="755">
        <v>71</v>
      </c>
      <c r="L28" s="755">
        <v>81</v>
      </c>
      <c r="M28" s="755">
        <v>90</v>
      </c>
      <c r="N28" s="755">
        <v>79</v>
      </c>
      <c r="O28" s="755">
        <v>87</v>
      </c>
      <c r="P28" s="755">
        <v>91</v>
      </c>
      <c r="Q28" s="755">
        <v>97</v>
      </c>
      <c r="R28" s="755">
        <v>95</v>
      </c>
      <c r="S28" s="755">
        <v>1098</v>
      </c>
      <c r="T28" s="768">
        <v>84.461538461538467</v>
      </c>
      <c r="U28" s="755">
        <v>11</v>
      </c>
      <c r="V28" s="772"/>
      <c r="W28" s="772"/>
    </row>
    <row r="29" spans="1:23" ht="15" customHeight="1" thickBot="1" x14ac:dyDescent="0.35">
      <c r="A29" s="951"/>
      <c r="B29" s="942"/>
      <c r="C29" s="945"/>
      <c r="D29" s="948"/>
      <c r="E29" s="766" t="s">
        <v>13</v>
      </c>
      <c r="F29" s="755">
        <f>AVERAGE(F27:F28)</f>
        <v>89.5</v>
      </c>
      <c r="G29" s="755">
        <f t="shared" ref="G29:T29" si="7">AVERAGE(G27:G28)</f>
        <v>85.5</v>
      </c>
      <c r="H29" s="755">
        <f t="shared" si="7"/>
        <v>76.5</v>
      </c>
      <c r="I29" s="755">
        <f t="shared" si="7"/>
        <v>72.5</v>
      </c>
      <c r="J29" s="755">
        <f t="shared" si="7"/>
        <v>76</v>
      </c>
      <c r="K29" s="755">
        <f t="shared" si="7"/>
        <v>71</v>
      </c>
      <c r="L29" s="755">
        <f t="shared" si="7"/>
        <v>81.5</v>
      </c>
      <c r="M29" s="755">
        <f t="shared" si="7"/>
        <v>77.5</v>
      </c>
      <c r="N29" s="755">
        <f t="shared" si="7"/>
        <v>83</v>
      </c>
      <c r="O29" s="755">
        <f t="shared" si="7"/>
        <v>85</v>
      </c>
      <c r="P29" s="755">
        <f t="shared" si="7"/>
        <v>86.5</v>
      </c>
      <c r="Q29" s="755">
        <f t="shared" si="7"/>
        <v>93</v>
      </c>
      <c r="R29" s="755">
        <f t="shared" si="7"/>
        <v>89</v>
      </c>
      <c r="S29" s="755">
        <f t="shared" si="7"/>
        <v>1066.5</v>
      </c>
      <c r="T29" s="755">
        <f t="shared" si="7"/>
        <v>82.038461538461547</v>
      </c>
      <c r="U29" s="755"/>
      <c r="V29" s="771"/>
      <c r="W29" s="771"/>
    </row>
    <row r="30" spans="1:23" ht="15.75" customHeight="1" thickBot="1" x14ac:dyDescent="0.4">
      <c r="A30" s="949">
        <v>9</v>
      </c>
      <c r="B30" s="942"/>
      <c r="C30" s="943"/>
      <c r="D30" s="946"/>
      <c r="E30" s="766" t="s">
        <v>18</v>
      </c>
      <c r="F30" s="755">
        <v>84</v>
      </c>
      <c r="G30" s="755">
        <v>70</v>
      </c>
      <c r="H30" s="755">
        <v>92</v>
      </c>
      <c r="I30" s="755">
        <v>81</v>
      </c>
      <c r="J30" s="755">
        <v>67</v>
      </c>
      <c r="K30" s="755">
        <v>60</v>
      </c>
      <c r="L30" s="755">
        <v>64</v>
      </c>
      <c r="M30" s="755">
        <v>72</v>
      </c>
      <c r="N30" s="755">
        <v>69</v>
      </c>
      <c r="O30" s="755">
        <v>70</v>
      </c>
      <c r="P30" s="755">
        <v>72</v>
      </c>
      <c r="Q30" s="755">
        <v>83</v>
      </c>
      <c r="R30" s="755">
        <v>90</v>
      </c>
      <c r="S30" s="755">
        <v>974</v>
      </c>
      <c r="T30" s="768">
        <v>74.92307692307692</v>
      </c>
      <c r="U30" s="755">
        <v>23</v>
      </c>
      <c r="V30" s="772"/>
      <c r="W30" s="772"/>
    </row>
    <row r="31" spans="1:23" ht="15.75" customHeight="1" thickBot="1" x14ac:dyDescent="0.4">
      <c r="A31" s="950"/>
      <c r="B31" s="942"/>
      <c r="C31" s="944"/>
      <c r="D31" s="947"/>
      <c r="E31" s="766" t="s">
        <v>19</v>
      </c>
      <c r="F31" s="755">
        <v>95</v>
      </c>
      <c r="G31" s="755">
        <v>70</v>
      </c>
      <c r="H31" s="755">
        <v>85</v>
      </c>
      <c r="I31" s="755">
        <v>85</v>
      </c>
      <c r="J31" s="755">
        <v>85</v>
      </c>
      <c r="K31" s="755">
        <v>58</v>
      </c>
      <c r="L31" s="755">
        <v>55</v>
      </c>
      <c r="M31" s="755">
        <v>79</v>
      </c>
      <c r="N31" s="755">
        <v>55</v>
      </c>
      <c r="O31" s="755">
        <v>83</v>
      </c>
      <c r="P31" s="755">
        <v>90</v>
      </c>
      <c r="Q31" s="755">
        <v>91</v>
      </c>
      <c r="R31" s="755">
        <v>93</v>
      </c>
      <c r="S31" s="755">
        <v>1024</v>
      </c>
      <c r="T31" s="768">
        <v>78.769230769230774</v>
      </c>
      <c r="U31" s="755">
        <v>20</v>
      </c>
      <c r="V31" s="772"/>
      <c r="W31" s="772"/>
    </row>
    <row r="32" spans="1:23" ht="15.75" customHeight="1" thickBot="1" x14ac:dyDescent="0.35">
      <c r="A32" s="951"/>
      <c r="B32" s="942"/>
      <c r="C32" s="945"/>
      <c r="D32" s="948"/>
      <c r="E32" s="766" t="s">
        <v>13</v>
      </c>
      <c r="F32" s="755">
        <f>AVERAGE(F30:F31)</f>
        <v>89.5</v>
      </c>
      <c r="G32" s="755">
        <f t="shared" ref="G32:T32" si="8">AVERAGE(G30:G31)</f>
        <v>70</v>
      </c>
      <c r="H32" s="755">
        <f t="shared" si="8"/>
        <v>88.5</v>
      </c>
      <c r="I32" s="755">
        <f t="shared" si="8"/>
        <v>83</v>
      </c>
      <c r="J32" s="755">
        <f t="shared" si="8"/>
        <v>76</v>
      </c>
      <c r="K32" s="755">
        <f t="shared" si="8"/>
        <v>59</v>
      </c>
      <c r="L32" s="755">
        <f t="shared" si="8"/>
        <v>59.5</v>
      </c>
      <c r="M32" s="755">
        <f t="shared" si="8"/>
        <v>75.5</v>
      </c>
      <c r="N32" s="755">
        <f t="shared" si="8"/>
        <v>62</v>
      </c>
      <c r="O32" s="755">
        <f t="shared" si="8"/>
        <v>76.5</v>
      </c>
      <c r="P32" s="755">
        <f t="shared" si="8"/>
        <v>81</v>
      </c>
      <c r="Q32" s="755">
        <f t="shared" si="8"/>
        <v>87</v>
      </c>
      <c r="R32" s="755">
        <f t="shared" si="8"/>
        <v>91.5</v>
      </c>
      <c r="S32" s="755">
        <f t="shared" si="8"/>
        <v>999</v>
      </c>
      <c r="T32" s="755">
        <f t="shared" si="8"/>
        <v>76.84615384615384</v>
      </c>
      <c r="U32" s="755"/>
      <c r="V32" s="771"/>
      <c r="W32" s="771"/>
    </row>
    <row r="33" spans="1:23" ht="15" customHeight="1" thickBot="1" x14ac:dyDescent="0.4">
      <c r="A33" s="939">
        <v>10</v>
      </c>
      <c r="B33" s="942"/>
      <c r="C33" s="943"/>
      <c r="D33" s="946"/>
      <c r="E33" s="766" t="s">
        <v>18</v>
      </c>
      <c r="F33" s="755">
        <v>78</v>
      </c>
      <c r="G33" s="755">
        <v>81</v>
      </c>
      <c r="H33" s="755">
        <v>93</v>
      </c>
      <c r="I33" s="755">
        <v>68</v>
      </c>
      <c r="J33" s="755">
        <v>61</v>
      </c>
      <c r="K33" s="755">
        <v>74</v>
      </c>
      <c r="L33" s="755">
        <v>75</v>
      </c>
      <c r="M33" s="755">
        <v>81</v>
      </c>
      <c r="N33" s="755">
        <v>85</v>
      </c>
      <c r="O33" s="755">
        <v>89</v>
      </c>
      <c r="P33" s="755">
        <v>83</v>
      </c>
      <c r="Q33" s="755">
        <v>88</v>
      </c>
      <c r="R33" s="755">
        <v>96</v>
      </c>
      <c r="S33" s="755">
        <v>1052</v>
      </c>
      <c r="T33" s="768">
        <v>80.92307692307692</v>
      </c>
      <c r="U33" s="755">
        <v>11</v>
      </c>
      <c r="V33" s="772"/>
      <c r="W33" s="772"/>
    </row>
    <row r="34" spans="1:23" ht="15" customHeight="1" thickBot="1" x14ac:dyDescent="0.4">
      <c r="A34" s="940"/>
      <c r="B34" s="942"/>
      <c r="C34" s="944"/>
      <c r="D34" s="947"/>
      <c r="E34" s="766" t="s">
        <v>19</v>
      </c>
      <c r="F34" s="755">
        <v>88</v>
      </c>
      <c r="G34" s="755">
        <v>75</v>
      </c>
      <c r="H34" s="755">
        <v>80</v>
      </c>
      <c r="I34" s="755">
        <v>66</v>
      </c>
      <c r="J34" s="755">
        <v>70</v>
      </c>
      <c r="K34" s="755">
        <v>65</v>
      </c>
      <c r="L34" s="755">
        <v>72</v>
      </c>
      <c r="M34" s="755">
        <v>90</v>
      </c>
      <c r="N34" s="755">
        <v>80</v>
      </c>
      <c r="O34" s="755">
        <v>93</v>
      </c>
      <c r="P34" s="755">
        <v>94</v>
      </c>
      <c r="Q34" s="755">
        <v>98</v>
      </c>
      <c r="R34" s="755">
        <v>93</v>
      </c>
      <c r="S34" s="755">
        <v>1064</v>
      </c>
      <c r="T34" s="768">
        <v>81.84615384615384</v>
      </c>
      <c r="U34" s="755">
        <v>18</v>
      </c>
      <c r="V34" s="772"/>
      <c r="W34" s="772"/>
    </row>
    <row r="35" spans="1:23" ht="15" customHeight="1" thickBot="1" x14ac:dyDescent="0.35">
      <c r="A35" s="941"/>
      <c r="B35" s="942"/>
      <c r="C35" s="945"/>
      <c r="D35" s="948"/>
      <c r="E35" s="766" t="s">
        <v>13</v>
      </c>
      <c r="F35" s="755">
        <f>AVERAGE(F33:F34)</f>
        <v>83</v>
      </c>
      <c r="G35" s="755">
        <f t="shared" ref="G35:T35" si="9">AVERAGE(G33:G34)</f>
        <v>78</v>
      </c>
      <c r="H35" s="755">
        <f t="shared" si="9"/>
        <v>86.5</v>
      </c>
      <c r="I35" s="755">
        <f t="shared" si="9"/>
        <v>67</v>
      </c>
      <c r="J35" s="755">
        <f t="shared" si="9"/>
        <v>65.5</v>
      </c>
      <c r="K35" s="755">
        <f t="shared" si="9"/>
        <v>69.5</v>
      </c>
      <c r="L35" s="755">
        <f t="shared" si="9"/>
        <v>73.5</v>
      </c>
      <c r="M35" s="755">
        <f t="shared" si="9"/>
        <v>85.5</v>
      </c>
      <c r="N35" s="755">
        <f t="shared" si="9"/>
        <v>82.5</v>
      </c>
      <c r="O35" s="755">
        <f t="shared" si="9"/>
        <v>91</v>
      </c>
      <c r="P35" s="755">
        <f t="shared" si="9"/>
        <v>88.5</v>
      </c>
      <c r="Q35" s="755">
        <f t="shared" si="9"/>
        <v>93</v>
      </c>
      <c r="R35" s="755">
        <f t="shared" si="9"/>
        <v>94.5</v>
      </c>
      <c r="S35" s="755">
        <f t="shared" si="9"/>
        <v>1058</v>
      </c>
      <c r="T35" s="755">
        <f t="shared" si="9"/>
        <v>81.384615384615387</v>
      </c>
      <c r="U35" s="755"/>
      <c r="V35" s="771"/>
      <c r="W35" s="771"/>
    </row>
    <row r="36" spans="1:23" ht="15.75" customHeight="1" thickBot="1" x14ac:dyDescent="0.4">
      <c r="A36" s="949">
        <v>11</v>
      </c>
      <c r="B36" s="942"/>
      <c r="C36" s="943"/>
      <c r="D36" s="946"/>
      <c r="E36" s="766" t="s">
        <v>18</v>
      </c>
      <c r="F36" s="755">
        <v>76</v>
      </c>
      <c r="G36" s="755">
        <v>64</v>
      </c>
      <c r="H36" s="755">
        <v>71</v>
      </c>
      <c r="I36" s="755">
        <v>64</v>
      </c>
      <c r="J36" s="755">
        <v>61</v>
      </c>
      <c r="K36" s="755">
        <v>55</v>
      </c>
      <c r="L36" s="755">
        <v>64</v>
      </c>
      <c r="M36" s="755">
        <v>63</v>
      </c>
      <c r="N36" s="755">
        <v>70</v>
      </c>
      <c r="O36" s="755">
        <v>67</v>
      </c>
      <c r="P36" s="755">
        <v>69</v>
      </c>
      <c r="Q36" s="755">
        <v>71</v>
      </c>
      <c r="R36" s="755">
        <v>80</v>
      </c>
      <c r="S36" s="755">
        <v>875</v>
      </c>
      <c r="T36" s="768">
        <v>67.307692307692307</v>
      </c>
      <c r="U36" s="755">
        <v>38</v>
      </c>
      <c r="V36" s="772"/>
      <c r="W36" s="772"/>
    </row>
    <row r="37" spans="1:23" ht="15.75" customHeight="1" thickBot="1" x14ac:dyDescent="0.4">
      <c r="A37" s="950"/>
      <c r="B37" s="942"/>
      <c r="C37" s="944"/>
      <c r="D37" s="947"/>
      <c r="E37" s="766" t="s">
        <v>19</v>
      </c>
      <c r="F37" s="755">
        <v>75</v>
      </c>
      <c r="G37" s="755">
        <v>59</v>
      </c>
      <c r="H37" s="755">
        <v>65</v>
      </c>
      <c r="I37" s="755">
        <v>71</v>
      </c>
      <c r="J37" s="755">
        <v>64</v>
      </c>
      <c r="K37" s="755">
        <v>62</v>
      </c>
      <c r="L37" s="755">
        <v>68</v>
      </c>
      <c r="M37" s="755">
        <v>75</v>
      </c>
      <c r="N37" s="755">
        <v>62</v>
      </c>
      <c r="O37" s="755">
        <v>75</v>
      </c>
      <c r="P37" s="755">
        <v>73</v>
      </c>
      <c r="Q37" s="755">
        <v>83</v>
      </c>
      <c r="R37" s="755">
        <v>91</v>
      </c>
      <c r="S37" s="755">
        <v>923</v>
      </c>
      <c r="T37" s="768">
        <v>71</v>
      </c>
      <c r="U37" s="755">
        <v>37</v>
      </c>
      <c r="V37" s="772"/>
      <c r="W37" s="772"/>
    </row>
    <row r="38" spans="1:23" ht="15.75" customHeight="1" thickBot="1" x14ac:dyDescent="0.35">
      <c r="A38" s="951"/>
      <c r="B38" s="942"/>
      <c r="C38" s="945"/>
      <c r="D38" s="948"/>
      <c r="E38" s="766" t="s">
        <v>13</v>
      </c>
      <c r="F38" s="755">
        <f>AVERAGE(F36:F37)</f>
        <v>75.5</v>
      </c>
      <c r="G38" s="755">
        <f t="shared" ref="G38:T38" si="10">AVERAGE(G36:G37)</f>
        <v>61.5</v>
      </c>
      <c r="H38" s="755">
        <f t="shared" si="10"/>
        <v>68</v>
      </c>
      <c r="I38" s="755">
        <f t="shared" si="10"/>
        <v>67.5</v>
      </c>
      <c r="J38" s="755">
        <f t="shared" si="10"/>
        <v>62.5</v>
      </c>
      <c r="K38" s="755">
        <f t="shared" si="10"/>
        <v>58.5</v>
      </c>
      <c r="L38" s="755">
        <f t="shared" si="10"/>
        <v>66</v>
      </c>
      <c r="M38" s="755">
        <f t="shared" si="10"/>
        <v>69</v>
      </c>
      <c r="N38" s="755">
        <f t="shared" si="10"/>
        <v>66</v>
      </c>
      <c r="O38" s="755">
        <f t="shared" si="10"/>
        <v>71</v>
      </c>
      <c r="P38" s="755">
        <f t="shared" si="10"/>
        <v>71</v>
      </c>
      <c r="Q38" s="755">
        <f t="shared" si="10"/>
        <v>77</v>
      </c>
      <c r="R38" s="755">
        <f t="shared" si="10"/>
        <v>85.5</v>
      </c>
      <c r="S38" s="755">
        <f t="shared" si="10"/>
        <v>899</v>
      </c>
      <c r="T38" s="755">
        <f t="shared" si="10"/>
        <v>69.15384615384616</v>
      </c>
      <c r="U38" s="755"/>
      <c r="V38" s="771"/>
      <c r="W38" s="771"/>
    </row>
    <row r="39" spans="1:23" ht="15.75" customHeight="1" thickBot="1" x14ac:dyDescent="0.4">
      <c r="A39" s="949">
        <v>12</v>
      </c>
      <c r="B39" s="942"/>
      <c r="C39" s="943"/>
      <c r="D39" s="946"/>
      <c r="E39" s="766" t="s">
        <v>18</v>
      </c>
      <c r="F39" s="755">
        <v>69</v>
      </c>
      <c r="G39" s="755">
        <v>68</v>
      </c>
      <c r="H39" s="755">
        <v>82</v>
      </c>
      <c r="I39" s="755">
        <v>75</v>
      </c>
      <c r="J39" s="755">
        <v>58</v>
      </c>
      <c r="K39" s="755">
        <v>70</v>
      </c>
      <c r="L39" s="755">
        <v>80</v>
      </c>
      <c r="M39" s="755">
        <v>86</v>
      </c>
      <c r="N39" s="755">
        <v>79</v>
      </c>
      <c r="O39" s="755">
        <v>77</v>
      </c>
      <c r="P39" s="755">
        <v>76</v>
      </c>
      <c r="Q39" s="755">
        <v>80</v>
      </c>
      <c r="R39" s="755">
        <v>70</v>
      </c>
      <c r="S39" s="755">
        <v>970</v>
      </c>
      <c r="T39" s="768">
        <v>74.615384615384613</v>
      </c>
      <c r="U39" s="755">
        <v>27</v>
      </c>
      <c r="V39" s="772"/>
      <c r="W39" s="772"/>
    </row>
    <row r="40" spans="1:23" ht="15.75" customHeight="1" thickBot="1" x14ac:dyDescent="0.4">
      <c r="A40" s="950"/>
      <c r="B40" s="942"/>
      <c r="C40" s="944"/>
      <c r="D40" s="947"/>
      <c r="E40" s="766" t="s">
        <v>19</v>
      </c>
      <c r="F40" s="755">
        <v>84</v>
      </c>
      <c r="G40" s="755">
        <v>68</v>
      </c>
      <c r="H40" s="755">
        <v>79</v>
      </c>
      <c r="I40" s="755">
        <v>68</v>
      </c>
      <c r="J40" s="755">
        <v>76</v>
      </c>
      <c r="K40" s="755">
        <v>63</v>
      </c>
      <c r="L40" s="755">
        <v>65</v>
      </c>
      <c r="M40" s="755">
        <v>83</v>
      </c>
      <c r="N40" s="755">
        <v>79</v>
      </c>
      <c r="O40" s="755">
        <v>82</v>
      </c>
      <c r="P40" s="755">
        <v>78</v>
      </c>
      <c r="Q40" s="755">
        <v>81</v>
      </c>
      <c r="R40" s="755">
        <v>80</v>
      </c>
      <c r="S40" s="755">
        <v>986</v>
      </c>
      <c r="T40" s="768">
        <v>75.84615384615384</v>
      </c>
      <c r="U40" s="755">
        <v>29</v>
      </c>
      <c r="V40" s="772"/>
      <c r="W40" s="772"/>
    </row>
    <row r="41" spans="1:23" ht="15.75" customHeight="1" thickBot="1" x14ac:dyDescent="0.35">
      <c r="A41" s="951"/>
      <c r="B41" s="942"/>
      <c r="C41" s="945"/>
      <c r="D41" s="948"/>
      <c r="E41" s="766" t="s">
        <v>13</v>
      </c>
      <c r="F41" s="755">
        <f>AVERAGE(F39:F40)</f>
        <v>76.5</v>
      </c>
      <c r="G41" s="755">
        <f t="shared" ref="G41:T41" si="11">AVERAGE(G39:G40)</f>
        <v>68</v>
      </c>
      <c r="H41" s="755">
        <f t="shared" si="11"/>
        <v>80.5</v>
      </c>
      <c r="I41" s="755">
        <f t="shared" si="11"/>
        <v>71.5</v>
      </c>
      <c r="J41" s="755">
        <f t="shared" si="11"/>
        <v>67</v>
      </c>
      <c r="K41" s="755">
        <f t="shared" si="11"/>
        <v>66.5</v>
      </c>
      <c r="L41" s="755">
        <f t="shared" si="11"/>
        <v>72.5</v>
      </c>
      <c r="M41" s="755">
        <f t="shared" si="11"/>
        <v>84.5</v>
      </c>
      <c r="N41" s="755">
        <f t="shared" si="11"/>
        <v>79</v>
      </c>
      <c r="O41" s="755">
        <f t="shared" si="11"/>
        <v>79.5</v>
      </c>
      <c r="P41" s="755">
        <f t="shared" si="11"/>
        <v>77</v>
      </c>
      <c r="Q41" s="755">
        <f t="shared" si="11"/>
        <v>80.5</v>
      </c>
      <c r="R41" s="755">
        <f t="shared" si="11"/>
        <v>75</v>
      </c>
      <c r="S41" s="755">
        <f t="shared" si="11"/>
        <v>978</v>
      </c>
      <c r="T41" s="755">
        <f t="shared" si="11"/>
        <v>75.230769230769226</v>
      </c>
      <c r="U41" s="755"/>
      <c r="V41" s="771"/>
      <c r="W41" s="771"/>
    </row>
    <row r="42" spans="1:23" ht="15.75" customHeight="1" thickBot="1" x14ac:dyDescent="0.4">
      <c r="A42" s="939">
        <v>13</v>
      </c>
      <c r="B42" s="942"/>
      <c r="C42" s="943"/>
      <c r="D42" s="946"/>
      <c r="E42" s="766" t="s">
        <v>18</v>
      </c>
      <c r="F42" s="755">
        <v>95</v>
      </c>
      <c r="G42" s="755">
        <v>92</v>
      </c>
      <c r="H42" s="755">
        <v>94</v>
      </c>
      <c r="I42" s="755">
        <v>99</v>
      </c>
      <c r="J42" s="755">
        <v>98</v>
      </c>
      <c r="K42" s="755">
        <v>100</v>
      </c>
      <c r="L42" s="755">
        <v>95</v>
      </c>
      <c r="M42" s="755">
        <v>97</v>
      </c>
      <c r="N42" s="755">
        <v>95</v>
      </c>
      <c r="O42" s="755">
        <v>95</v>
      </c>
      <c r="P42" s="755">
        <v>100</v>
      </c>
      <c r="Q42" s="755">
        <v>92</v>
      </c>
      <c r="R42" s="755">
        <v>97</v>
      </c>
      <c r="S42" s="755">
        <v>1249</v>
      </c>
      <c r="T42" s="768">
        <v>96.07692307692308</v>
      </c>
      <c r="U42" s="755">
        <v>1</v>
      </c>
      <c r="V42" s="772"/>
      <c r="W42" s="772"/>
    </row>
    <row r="43" spans="1:23" ht="15.75" customHeight="1" thickBot="1" x14ac:dyDescent="0.4">
      <c r="A43" s="940"/>
      <c r="B43" s="942"/>
      <c r="C43" s="944"/>
      <c r="D43" s="947"/>
      <c r="E43" s="766" t="s">
        <v>19</v>
      </c>
      <c r="F43" s="755">
        <v>95</v>
      </c>
      <c r="G43" s="755">
        <v>90</v>
      </c>
      <c r="H43" s="755">
        <v>97</v>
      </c>
      <c r="I43" s="755">
        <v>99</v>
      </c>
      <c r="J43" s="755">
        <v>99</v>
      </c>
      <c r="K43" s="755">
        <v>98</v>
      </c>
      <c r="L43" s="755">
        <v>99</v>
      </c>
      <c r="M43" s="755">
        <v>100</v>
      </c>
      <c r="N43" s="755">
        <v>99</v>
      </c>
      <c r="O43" s="755">
        <v>100</v>
      </c>
      <c r="P43" s="755">
        <v>100</v>
      </c>
      <c r="Q43" s="755">
        <v>100</v>
      </c>
      <c r="R43" s="755">
        <v>100</v>
      </c>
      <c r="S43" s="755">
        <v>1276</v>
      </c>
      <c r="T43" s="768">
        <v>98.15384615384616</v>
      </c>
      <c r="U43" s="755">
        <v>1</v>
      </c>
      <c r="V43" s="772"/>
      <c r="W43" s="772"/>
    </row>
    <row r="44" spans="1:23" ht="15.75" customHeight="1" thickBot="1" x14ac:dyDescent="0.35">
      <c r="A44" s="941"/>
      <c r="B44" s="942"/>
      <c r="C44" s="945"/>
      <c r="D44" s="948"/>
      <c r="E44" s="766" t="s">
        <v>13</v>
      </c>
      <c r="F44" s="755">
        <f>AVERAGE(F42:F43)</f>
        <v>95</v>
      </c>
      <c r="G44" s="755">
        <f t="shared" ref="G44:T44" si="12">AVERAGE(G42:G43)</f>
        <v>91</v>
      </c>
      <c r="H44" s="755">
        <f t="shared" si="12"/>
        <v>95.5</v>
      </c>
      <c r="I44" s="755">
        <f t="shared" si="12"/>
        <v>99</v>
      </c>
      <c r="J44" s="755">
        <f t="shared" si="12"/>
        <v>98.5</v>
      </c>
      <c r="K44" s="755">
        <f t="shared" si="12"/>
        <v>99</v>
      </c>
      <c r="L44" s="755">
        <f t="shared" si="12"/>
        <v>97</v>
      </c>
      <c r="M44" s="755">
        <f t="shared" si="12"/>
        <v>98.5</v>
      </c>
      <c r="N44" s="755">
        <f t="shared" si="12"/>
        <v>97</v>
      </c>
      <c r="O44" s="755">
        <f t="shared" si="12"/>
        <v>97.5</v>
      </c>
      <c r="P44" s="755">
        <f t="shared" si="12"/>
        <v>100</v>
      </c>
      <c r="Q44" s="755">
        <f t="shared" si="12"/>
        <v>96</v>
      </c>
      <c r="R44" s="755">
        <f t="shared" si="12"/>
        <v>98.5</v>
      </c>
      <c r="S44" s="755">
        <f t="shared" si="12"/>
        <v>1262.5</v>
      </c>
      <c r="T44" s="755">
        <f t="shared" si="12"/>
        <v>97.115384615384613</v>
      </c>
      <c r="U44" s="755"/>
      <c r="V44" s="771"/>
      <c r="W44" s="771"/>
    </row>
    <row r="45" spans="1:23" ht="15" customHeight="1" thickBot="1" x14ac:dyDescent="0.4">
      <c r="A45" s="949">
        <v>14</v>
      </c>
      <c r="B45" s="942"/>
      <c r="C45" s="943"/>
      <c r="D45" s="946"/>
      <c r="E45" s="766" t="s">
        <v>18</v>
      </c>
      <c r="F45" s="755">
        <v>88</v>
      </c>
      <c r="G45" s="755">
        <v>90</v>
      </c>
      <c r="H45" s="755">
        <v>82</v>
      </c>
      <c r="I45" s="755">
        <v>65</v>
      </c>
      <c r="J45" s="755">
        <v>71</v>
      </c>
      <c r="K45" s="755">
        <v>70</v>
      </c>
      <c r="L45" s="755">
        <v>79</v>
      </c>
      <c r="M45" s="755">
        <v>74</v>
      </c>
      <c r="N45" s="755">
        <v>91</v>
      </c>
      <c r="O45" s="755">
        <v>86</v>
      </c>
      <c r="P45" s="755">
        <v>83</v>
      </c>
      <c r="Q45" s="755">
        <v>86</v>
      </c>
      <c r="R45" s="755">
        <v>94</v>
      </c>
      <c r="S45" s="755">
        <v>1059</v>
      </c>
      <c r="T45" s="768">
        <v>81.461538461538467</v>
      </c>
      <c r="U45" s="755">
        <v>9</v>
      </c>
      <c r="V45" s="772"/>
      <c r="W45" s="772"/>
    </row>
    <row r="46" spans="1:23" ht="15" customHeight="1" thickBot="1" x14ac:dyDescent="0.4">
      <c r="A46" s="950"/>
      <c r="B46" s="942"/>
      <c r="C46" s="944"/>
      <c r="D46" s="947"/>
      <c r="E46" s="766" t="s">
        <v>19</v>
      </c>
      <c r="F46" s="755">
        <v>82</v>
      </c>
      <c r="G46" s="755">
        <v>83</v>
      </c>
      <c r="H46" s="755">
        <v>77</v>
      </c>
      <c r="I46" s="755">
        <v>63</v>
      </c>
      <c r="J46" s="755">
        <v>74</v>
      </c>
      <c r="K46" s="755">
        <v>89</v>
      </c>
      <c r="L46" s="755">
        <v>91</v>
      </c>
      <c r="M46" s="755">
        <v>86</v>
      </c>
      <c r="N46" s="755">
        <v>82</v>
      </c>
      <c r="O46" s="755">
        <v>96</v>
      </c>
      <c r="P46" s="755">
        <v>90</v>
      </c>
      <c r="Q46" s="755">
        <v>96</v>
      </c>
      <c r="R46" s="755">
        <v>98</v>
      </c>
      <c r="S46" s="755">
        <v>1107</v>
      </c>
      <c r="T46" s="768">
        <v>85.15384615384616</v>
      </c>
      <c r="U46" s="755">
        <v>9</v>
      </c>
      <c r="V46" s="772"/>
      <c r="W46" s="772"/>
    </row>
    <row r="47" spans="1:23" ht="15" customHeight="1" thickBot="1" x14ac:dyDescent="0.35">
      <c r="A47" s="951"/>
      <c r="B47" s="942"/>
      <c r="C47" s="945"/>
      <c r="D47" s="948"/>
      <c r="E47" s="766" t="s">
        <v>13</v>
      </c>
      <c r="F47" s="755">
        <f>AVERAGE(F45:F46)</f>
        <v>85</v>
      </c>
      <c r="G47" s="755">
        <f t="shared" ref="G47:T47" si="13">AVERAGE(G45:G46)</f>
        <v>86.5</v>
      </c>
      <c r="H47" s="755">
        <f t="shared" si="13"/>
        <v>79.5</v>
      </c>
      <c r="I47" s="755">
        <f t="shared" si="13"/>
        <v>64</v>
      </c>
      <c r="J47" s="755">
        <f t="shared" si="13"/>
        <v>72.5</v>
      </c>
      <c r="K47" s="755">
        <f t="shared" si="13"/>
        <v>79.5</v>
      </c>
      <c r="L47" s="755">
        <f t="shared" si="13"/>
        <v>85</v>
      </c>
      <c r="M47" s="755">
        <f t="shared" si="13"/>
        <v>80</v>
      </c>
      <c r="N47" s="755">
        <f t="shared" si="13"/>
        <v>86.5</v>
      </c>
      <c r="O47" s="755">
        <f t="shared" si="13"/>
        <v>91</v>
      </c>
      <c r="P47" s="755">
        <f t="shared" si="13"/>
        <v>86.5</v>
      </c>
      <c r="Q47" s="755">
        <f t="shared" si="13"/>
        <v>91</v>
      </c>
      <c r="R47" s="755">
        <f t="shared" si="13"/>
        <v>96</v>
      </c>
      <c r="S47" s="755">
        <f t="shared" si="13"/>
        <v>1083</v>
      </c>
      <c r="T47" s="755">
        <f t="shared" si="13"/>
        <v>83.307692307692321</v>
      </c>
      <c r="U47" s="755"/>
      <c r="V47" s="771"/>
      <c r="W47" s="771"/>
    </row>
    <row r="48" spans="1:23" ht="15.75" customHeight="1" thickBot="1" x14ac:dyDescent="0.4">
      <c r="A48" s="949">
        <v>15</v>
      </c>
      <c r="B48" s="942"/>
      <c r="C48" s="943"/>
      <c r="D48" s="946"/>
      <c r="E48" s="766" t="s">
        <v>18</v>
      </c>
      <c r="F48" s="755">
        <v>76</v>
      </c>
      <c r="G48" s="755">
        <v>60</v>
      </c>
      <c r="H48" s="755">
        <v>70</v>
      </c>
      <c r="I48" s="773">
        <v>63</v>
      </c>
      <c r="J48" s="755">
        <v>56</v>
      </c>
      <c r="K48" s="755">
        <v>56</v>
      </c>
      <c r="L48" s="755">
        <v>46</v>
      </c>
      <c r="M48" s="755">
        <v>61</v>
      </c>
      <c r="N48" s="755">
        <v>58</v>
      </c>
      <c r="O48" s="755">
        <v>65</v>
      </c>
      <c r="P48" s="755">
        <v>60</v>
      </c>
      <c r="Q48" s="755">
        <v>76</v>
      </c>
      <c r="R48" s="755">
        <v>77</v>
      </c>
      <c r="S48" s="755">
        <v>824</v>
      </c>
      <c r="T48" s="768">
        <v>63.384615384615387</v>
      </c>
      <c r="U48" s="755">
        <v>46</v>
      </c>
      <c r="V48" s="772"/>
      <c r="W48" s="772"/>
    </row>
    <row r="49" spans="1:23" ht="15.75" customHeight="1" thickBot="1" x14ac:dyDescent="0.4">
      <c r="A49" s="950"/>
      <c r="B49" s="942"/>
      <c r="C49" s="944"/>
      <c r="D49" s="947"/>
      <c r="E49" s="766" t="s">
        <v>19</v>
      </c>
      <c r="F49" s="755">
        <v>86</v>
      </c>
      <c r="G49" s="755">
        <v>61</v>
      </c>
      <c r="H49" s="755">
        <v>58</v>
      </c>
      <c r="I49" s="773">
        <v>63</v>
      </c>
      <c r="J49" s="755">
        <v>50</v>
      </c>
      <c r="K49" s="755">
        <v>42</v>
      </c>
      <c r="L49" s="755">
        <v>89</v>
      </c>
      <c r="M49" s="755">
        <v>61</v>
      </c>
      <c r="N49" s="755">
        <v>64</v>
      </c>
      <c r="O49" s="755">
        <v>59</v>
      </c>
      <c r="P49" s="755">
        <v>53</v>
      </c>
      <c r="Q49" s="755">
        <v>87</v>
      </c>
      <c r="R49" s="755">
        <v>87</v>
      </c>
      <c r="S49" s="755">
        <v>860</v>
      </c>
      <c r="T49" s="768">
        <v>66.15384615384616</v>
      </c>
      <c r="U49" s="755">
        <v>40</v>
      </c>
      <c r="V49" s="772"/>
      <c r="W49" s="772"/>
    </row>
    <row r="50" spans="1:23" ht="15.75" customHeight="1" thickBot="1" x14ac:dyDescent="0.35">
      <c r="A50" s="951"/>
      <c r="B50" s="942"/>
      <c r="C50" s="945"/>
      <c r="D50" s="948"/>
      <c r="E50" s="766" t="s">
        <v>13</v>
      </c>
      <c r="F50" s="755">
        <f>AVERAGE(F48:F49)</f>
        <v>81</v>
      </c>
      <c r="G50" s="755">
        <f t="shared" ref="G50:T50" si="14">AVERAGE(G48:G49)</f>
        <v>60.5</v>
      </c>
      <c r="H50" s="755">
        <f t="shared" si="14"/>
        <v>64</v>
      </c>
      <c r="I50" s="755">
        <f t="shared" si="14"/>
        <v>63</v>
      </c>
      <c r="J50" s="755">
        <f t="shared" si="14"/>
        <v>53</v>
      </c>
      <c r="K50" s="755">
        <f t="shared" si="14"/>
        <v>49</v>
      </c>
      <c r="L50" s="755">
        <f t="shared" si="14"/>
        <v>67.5</v>
      </c>
      <c r="M50" s="755">
        <f t="shared" si="14"/>
        <v>61</v>
      </c>
      <c r="N50" s="755">
        <f t="shared" si="14"/>
        <v>61</v>
      </c>
      <c r="O50" s="755">
        <f t="shared" si="14"/>
        <v>62</v>
      </c>
      <c r="P50" s="755">
        <f t="shared" si="14"/>
        <v>56.5</v>
      </c>
      <c r="Q50" s="755">
        <f t="shared" si="14"/>
        <v>81.5</v>
      </c>
      <c r="R50" s="755">
        <f t="shared" si="14"/>
        <v>82</v>
      </c>
      <c r="S50" s="755">
        <f t="shared" si="14"/>
        <v>842</v>
      </c>
      <c r="T50" s="755">
        <f t="shared" si="14"/>
        <v>64.769230769230774</v>
      </c>
      <c r="U50" s="755"/>
      <c r="V50" s="771"/>
      <c r="W50" s="771"/>
    </row>
    <row r="51" spans="1:23" ht="15" customHeight="1" thickBot="1" x14ac:dyDescent="0.4">
      <c r="A51" s="939">
        <v>16</v>
      </c>
      <c r="B51" s="942"/>
      <c r="C51" s="943"/>
      <c r="D51" s="946"/>
      <c r="E51" s="766" t="s">
        <v>18</v>
      </c>
      <c r="F51" s="755">
        <v>92</v>
      </c>
      <c r="G51" s="755">
        <v>94</v>
      </c>
      <c r="H51" s="755">
        <v>92</v>
      </c>
      <c r="I51" s="755">
        <v>96</v>
      </c>
      <c r="J51" s="755">
        <v>95</v>
      </c>
      <c r="K51" s="755">
        <v>97</v>
      </c>
      <c r="L51" s="755">
        <v>94</v>
      </c>
      <c r="M51" s="755">
        <v>93</v>
      </c>
      <c r="N51" s="755">
        <v>86</v>
      </c>
      <c r="O51" s="755">
        <v>94</v>
      </c>
      <c r="P51" s="755">
        <v>100</v>
      </c>
      <c r="Q51" s="755">
        <v>89</v>
      </c>
      <c r="R51" s="755">
        <v>94</v>
      </c>
      <c r="S51" s="755">
        <v>1216</v>
      </c>
      <c r="T51" s="768">
        <v>93.538461538461533</v>
      </c>
      <c r="U51" s="755">
        <v>4</v>
      </c>
      <c r="V51" s="772"/>
      <c r="W51" s="772"/>
    </row>
    <row r="52" spans="1:23" ht="15" customHeight="1" thickBot="1" x14ac:dyDescent="0.4">
      <c r="A52" s="940"/>
      <c r="B52" s="942"/>
      <c r="C52" s="944"/>
      <c r="D52" s="947"/>
      <c r="E52" s="766" t="s">
        <v>19</v>
      </c>
      <c r="F52" s="755">
        <v>96</v>
      </c>
      <c r="G52" s="755">
        <v>87</v>
      </c>
      <c r="H52" s="755">
        <v>92</v>
      </c>
      <c r="I52" s="755">
        <v>96</v>
      </c>
      <c r="J52" s="755">
        <v>100</v>
      </c>
      <c r="K52" s="755">
        <v>98</v>
      </c>
      <c r="L52" s="755">
        <v>96</v>
      </c>
      <c r="M52" s="755">
        <v>100</v>
      </c>
      <c r="N52" s="755">
        <v>98</v>
      </c>
      <c r="O52" s="755">
        <v>99</v>
      </c>
      <c r="P52" s="755">
        <v>100</v>
      </c>
      <c r="Q52" s="755">
        <v>100</v>
      </c>
      <c r="R52" s="755">
        <v>100</v>
      </c>
      <c r="S52" s="755">
        <v>1262</v>
      </c>
      <c r="T52" s="768">
        <v>97.07692307692308</v>
      </c>
      <c r="U52" s="755">
        <v>3</v>
      </c>
      <c r="V52" s="772"/>
      <c r="W52" s="772"/>
    </row>
    <row r="53" spans="1:23" ht="15" customHeight="1" thickBot="1" x14ac:dyDescent="0.35">
      <c r="A53" s="941"/>
      <c r="B53" s="942"/>
      <c r="C53" s="945"/>
      <c r="D53" s="948"/>
      <c r="E53" s="766" t="s">
        <v>13</v>
      </c>
      <c r="F53" s="755">
        <f>AVERAGE(F51:F52)</f>
        <v>94</v>
      </c>
      <c r="G53" s="755">
        <f t="shared" ref="G53:T53" si="15">AVERAGE(G51:G52)</f>
        <v>90.5</v>
      </c>
      <c r="H53" s="755">
        <f t="shared" si="15"/>
        <v>92</v>
      </c>
      <c r="I53" s="755">
        <f t="shared" si="15"/>
        <v>96</v>
      </c>
      <c r="J53" s="755">
        <f t="shared" si="15"/>
        <v>97.5</v>
      </c>
      <c r="K53" s="755">
        <f t="shared" si="15"/>
        <v>97.5</v>
      </c>
      <c r="L53" s="755">
        <f t="shared" si="15"/>
        <v>95</v>
      </c>
      <c r="M53" s="755">
        <f t="shared" si="15"/>
        <v>96.5</v>
      </c>
      <c r="N53" s="755">
        <f t="shared" si="15"/>
        <v>92</v>
      </c>
      <c r="O53" s="755">
        <f t="shared" si="15"/>
        <v>96.5</v>
      </c>
      <c r="P53" s="755">
        <f t="shared" si="15"/>
        <v>100</v>
      </c>
      <c r="Q53" s="755">
        <f t="shared" si="15"/>
        <v>94.5</v>
      </c>
      <c r="R53" s="755">
        <f t="shared" si="15"/>
        <v>97</v>
      </c>
      <c r="S53" s="755">
        <f t="shared" si="15"/>
        <v>1239</v>
      </c>
      <c r="T53" s="755">
        <f t="shared" si="15"/>
        <v>95.307692307692307</v>
      </c>
      <c r="U53" s="755"/>
      <c r="V53" s="771"/>
      <c r="W53" s="771"/>
    </row>
    <row r="54" spans="1:23" ht="15" customHeight="1" thickBot="1" x14ac:dyDescent="0.4">
      <c r="A54" s="949">
        <v>17</v>
      </c>
      <c r="B54" s="942"/>
      <c r="C54" s="943"/>
      <c r="D54" s="946"/>
      <c r="E54" s="766" t="s">
        <v>18</v>
      </c>
      <c r="F54" s="755">
        <v>74</v>
      </c>
      <c r="G54" s="755">
        <v>87</v>
      </c>
      <c r="H54" s="755">
        <v>72</v>
      </c>
      <c r="I54" s="755">
        <v>61</v>
      </c>
      <c r="J54" s="755">
        <v>60</v>
      </c>
      <c r="K54" s="755">
        <v>55</v>
      </c>
      <c r="L54" s="755">
        <v>76</v>
      </c>
      <c r="M54" s="755">
        <v>71</v>
      </c>
      <c r="N54" s="755">
        <v>92</v>
      </c>
      <c r="O54" s="755">
        <v>85</v>
      </c>
      <c r="P54" s="755">
        <v>59</v>
      </c>
      <c r="Q54" s="755">
        <v>81</v>
      </c>
      <c r="R54" s="755">
        <v>90</v>
      </c>
      <c r="S54" s="755">
        <v>963</v>
      </c>
      <c r="T54" s="768">
        <v>74.07692307692308</v>
      </c>
      <c r="U54" s="755">
        <v>28</v>
      </c>
      <c r="V54" s="772"/>
      <c r="W54" s="772"/>
    </row>
    <row r="55" spans="1:23" ht="15" customHeight="1" thickBot="1" x14ac:dyDescent="0.4">
      <c r="A55" s="950"/>
      <c r="B55" s="942"/>
      <c r="C55" s="944"/>
      <c r="D55" s="947"/>
      <c r="E55" s="766" t="s">
        <v>19</v>
      </c>
      <c r="F55" s="755">
        <v>78</v>
      </c>
      <c r="G55" s="755">
        <v>91</v>
      </c>
      <c r="H55" s="755">
        <v>54</v>
      </c>
      <c r="I55" s="755">
        <v>71</v>
      </c>
      <c r="J55" s="755">
        <v>76</v>
      </c>
      <c r="K55" s="755">
        <v>55</v>
      </c>
      <c r="L55" s="755">
        <v>81</v>
      </c>
      <c r="M55" s="755">
        <v>95</v>
      </c>
      <c r="N55" s="755">
        <v>92</v>
      </c>
      <c r="O55" s="755">
        <v>88</v>
      </c>
      <c r="P55" s="755">
        <v>94</v>
      </c>
      <c r="Q55" s="755">
        <v>96</v>
      </c>
      <c r="R55" s="755">
        <v>96</v>
      </c>
      <c r="S55" s="755">
        <v>1067</v>
      </c>
      <c r="T55" s="768">
        <v>82.07692307692308</v>
      </c>
      <c r="U55" s="755">
        <v>17</v>
      </c>
      <c r="V55" s="772"/>
      <c r="W55" s="772"/>
    </row>
    <row r="56" spans="1:23" ht="15" customHeight="1" thickBot="1" x14ac:dyDescent="0.35">
      <c r="A56" s="951"/>
      <c r="B56" s="942"/>
      <c r="C56" s="945"/>
      <c r="D56" s="948"/>
      <c r="E56" s="766" t="s">
        <v>13</v>
      </c>
      <c r="F56" s="755">
        <f>AVERAGE(F54:F55)</f>
        <v>76</v>
      </c>
      <c r="G56" s="755">
        <f t="shared" ref="G56:T56" si="16">AVERAGE(G54:G55)</f>
        <v>89</v>
      </c>
      <c r="H56" s="755">
        <f t="shared" si="16"/>
        <v>63</v>
      </c>
      <c r="I56" s="755">
        <f t="shared" si="16"/>
        <v>66</v>
      </c>
      <c r="J56" s="755">
        <f t="shared" si="16"/>
        <v>68</v>
      </c>
      <c r="K56" s="755">
        <f t="shared" si="16"/>
        <v>55</v>
      </c>
      <c r="L56" s="755">
        <f t="shared" si="16"/>
        <v>78.5</v>
      </c>
      <c r="M56" s="755">
        <f t="shared" si="16"/>
        <v>83</v>
      </c>
      <c r="N56" s="755">
        <f t="shared" si="16"/>
        <v>92</v>
      </c>
      <c r="O56" s="755">
        <f t="shared" si="16"/>
        <v>86.5</v>
      </c>
      <c r="P56" s="755">
        <f t="shared" si="16"/>
        <v>76.5</v>
      </c>
      <c r="Q56" s="755">
        <f t="shared" si="16"/>
        <v>88.5</v>
      </c>
      <c r="R56" s="755">
        <f t="shared" si="16"/>
        <v>93</v>
      </c>
      <c r="S56" s="755">
        <f t="shared" si="16"/>
        <v>1015</v>
      </c>
      <c r="T56" s="755">
        <f t="shared" si="16"/>
        <v>78.07692307692308</v>
      </c>
      <c r="U56" s="755"/>
      <c r="V56" s="771"/>
      <c r="W56" s="771"/>
    </row>
    <row r="57" spans="1:23" ht="15.75" customHeight="1" thickBot="1" x14ac:dyDescent="0.4">
      <c r="A57" s="949">
        <v>18</v>
      </c>
      <c r="B57" s="942"/>
      <c r="C57" s="943"/>
      <c r="D57" s="946"/>
      <c r="E57" s="766" t="s">
        <v>18</v>
      </c>
      <c r="F57" s="755">
        <v>70</v>
      </c>
      <c r="G57" s="755">
        <v>54</v>
      </c>
      <c r="H57" s="755">
        <v>72</v>
      </c>
      <c r="I57" s="773">
        <v>47</v>
      </c>
      <c r="J57" s="755">
        <v>60</v>
      </c>
      <c r="K57" s="755">
        <v>46</v>
      </c>
      <c r="L57" s="755">
        <v>63</v>
      </c>
      <c r="M57" s="755">
        <v>52</v>
      </c>
      <c r="N57" s="755">
        <v>63</v>
      </c>
      <c r="O57" s="755">
        <v>61</v>
      </c>
      <c r="P57" s="755">
        <v>47</v>
      </c>
      <c r="Q57" s="755">
        <v>74</v>
      </c>
      <c r="R57" s="755">
        <v>67</v>
      </c>
      <c r="S57" s="755">
        <v>776</v>
      </c>
      <c r="T57" s="768">
        <v>59.692307692307693</v>
      </c>
      <c r="U57" s="755">
        <v>49</v>
      </c>
      <c r="V57" s="772"/>
      <c r="W57" s="772"/>
    </row>
    <row r="58" spans="1:23" ht="15.75" customHeight="1" thickBot="1" x14ac:dyDescent="0.4">
      <c r="A58" s="950"/>
      <c r="B58" s="942"/>
      <c r="C58" s="944"/>
      <c r="D58" s="947"/>
      <c r="E58" s="766" t="s">
        <v>19</v>
      </c>
      <c r="F58" s="755">
        <v>81</v>
      </c>
      <c r="G58" s="755">
        <v>50</v>
      </c>
      <c r="H58" s="755">
        <v>70</v>
      </c>
      <c r="I58" s="773">
        <v>46</v>
      </c>
      <c r="J58" s="755">
        <v>50</v>
      </c>
      <c r="K58" s="755">
        <v>37</v>
      </c>
      <c r="L58" s="755">
        <v>39</v>
      </c>
      <c r="M58" s="755">
        <v>57</v>
      </c>
      <c r="N58" s="755">
        <v>71</v>
      </c>
      <c r="O58" s="755">
        <v>66</v>
      </c>
      <c r="P58" s="755">
        <v>53</v>
      </c>
      <c r="Q58" s="755">
        <v>84</v>
      </c>
      <c r="R58" s="755">
        <v>72</v>
      </c>
      <c r="S58" s="755">
        <v>776</v>
      </c>
      <c r="T58" s="768">
        <v>59.692307692307693</v>
      </c>
      <c r="U58" s="755">
        <v>47</v>
      </c>
      <c r="V58" s="772"/>
      <c r="W58" s="772"/>
    </row>
    <row r="59" spans="1:23" ht="15.75" customHeight="1" thickBot="1" x14ac:dyDescent="0.35">
      <c r="A59" s="951"/>
      <c r="B59" s="942"/>
      <c r="C59" s="945"/>
      <c r="D59" s="948"/>
      <c r="E59" s="766" t="s">
        <v>13</v>
      </c>
      <c r="F59" s="755">
        <f>AVERAGE(F57:F58)</f>
        <v>75.5</v>
      </c>
      <c r="G59" s="755">
        <f t="shared" ref="G59:T59" si="17">AVERAGE(G57:G58)</f>
        <v>52</v>
      </c>
      <c r="H59" s="755">
        <f t="shared" si="17"/>
        <v>71</v>
      </c>
      <c r="I59" s="755">
        <f t="shared" si="17"/>
        <v>46.5</v>
      </c>
      <c r="J59" s="755">
        <f t="shared" si="17"/>
        <v>55</v>
      </c>
      <c r="K59" s="755">
        <f t="shared" si="17"/>
        <v>41.5</v>
      </c>
      <c r="L59" s="755">
        <f t="shared" si="17"/>
        <v>51</v>
      </c>
      <c r="M59" s="755">
        <f t="shared" si="17"/>
        <v>54.5</v>
      </c>
      <c r="N59" s="755">
        <f t="shared" si="17"/>
        <v>67</v>
      </c>
      <c r="O59" s="755">
        <f t="shared" si="17"/>
        <v>63.5</v>
      </c>
      <c r="P59" s="755">
        <f t="shared" si="17"/>
        <v>50</v>
      </c>
      <c r="Q59" s="755">
        <f t="shared" si="17"/>
        <v>79</v>
      </c>
      <c r="R59" s="755">
        <f t="shared" si="17"/>
        <v>69.5</v>
      </c>
      <c r="S59" s="755">
        <f t="shared" si="17"/>
        <v>776</v>
      </c>
      <c r="T59" s="755">
        <f t="shared" si="17"/>
        <v>59.692307692307693</v>
      </c>
      <c r="U59" s="755"/>
      <c r="V59" s="771"/>
      <c r="W59" s="771"/>
    </row>
    <row r="60" spans="1:23" ht="15.75" customHeight="1" thickBot="1" x14ac:dyDescent="0.4">
      <c r="A60" s="939">
        <v>19</v>
      </c>
      <c r="B60" s="942"/>
      <c r="C60" s="943"/>
      <c r="D60" s="946"/>
      <c r="E60" s="766" t="s">
        <v>18</v>
      </c>
      <c r="F60" s="755">
        <v>89</v>
      </c>
      <c r="G60" s="755">
        <v>82</v>
      </c>
      <c r="H60" s="755">
        <v>86</v>
      </c>
      <c r="I60" s="755">
        <v>69</v>
      </c>
      <c r="J60" s="755">
        <v>57</v>
      </c>
      <c r="K60" s="755">
        <v>72</v>
      </c>
      <c r="L60" s="755">
        <v>59</v>
      </c>
      <c r="M60" s="755">
        <v>61</v>
      </c>
      <c r="N60" s="755">
        <v>74</v>
      </c>
      <c r="O60" s="755">
        <v>83</v>
      </c>
      <c r="P60" s="755">
        <v>77</v>
      </c>
      <c r="Q60" s="755">
        <v>89</v>
      </c>
      <c r="R60" s="755">
        <v>85</v>
      </c>
      <c r="S60" s="755">
        <v>983</v>
      </c>
      <c r="T60" s="768">
        <v>75.615384615384613</v>
      </c>
      <c r="U60" s="755">
        <v>21</v>
      </c>
      <c r="V60" s="772"/>
      <c r="W60" s="772"/>
    </row>
    <row r="61" spans="1:23" ht="15.75" customHeight="1" thickBot="1" x14ac:dyDescent="0.4">
      <c r="A61" s="940"/>
      <c r="B61" s="942"/>
      <c r="C61" s="944"/>
      <c r="D61" s="947"/>
      <c r="E61" s="766" t="s">
        <v>19</v>
      </c>
      <c r="F61" s="755">
        <v>86</v>
      </c>
      <c r="G61" s="755">
        <v>77</v>
      </c>
      <c r="H61" s="755">
        <v>81</v>
      </c>
      <c r="I61" s="755">
        <v>76</v>
      </c>
      <c r="J61" s="755">
        <v>71</v>
      </c>
      <c r="K61" s="755">
        <v>63</v>
      </c>
      <c r="L61" s="755">
        <v>73</v>
      </c>
      <c r="M61" s="755">
        <v>89</v>
      </c>
      <c r="N61" s="755">
        <v>90</v>
      </c>
      <c r="O61" s="755">
        <v>81</v>
      </c>
      <c r="P61" s="755">
        <v>95</v>
      </c>
      <c r="Q61" s="755">
        <v>95</v>
      </c>
      <c r="R61" s="755">
        <v>92</v>
      </c>
      <c r="S61" s="755">
        <v>1069</v>
      </c>
      <c r="T61" s="768">
        <v>82.230769230769226</v>
      </c>
      <c r="U61" s="755">
        <v>16</v>
      </c>
      <c r="V61" s="772"/>
      <c r="W61" s="772"/>
    </row>
    <row r="62" spans="1:23" ht="15.75" customHeight="1" thickBot="1" x14ac:dyDescent="0.35">
      <c r="A62" s="941"/>
      <c r="B62" s="942"/>
      <c r="C62" s="945"/>
      <c r="D62" s="948"/>
      <c r="E62" s="766" t="s">
        <v>13</v>
      </c>
      <c r="F62" s="755">
        <f>AVERAGE(F60:F61)</f>
        <v>87.5</v>
      </c>
      <c r="G62" s="755">
        <f t="shared" ref="G62:T62" si="18">AVERAGE(G60:G61)</f>
        <v>79.5</v>
      </c>
      <c r="H62" s="755">
        <f t="shared" si="18"/>
        <v>83.5</v>
      </c>
      <c r="I62" s="755">
        <f t="shared" si="18"/>
        <v>72.5</v>
      </c>
      <c r="J62" s="755">
        <f t="shared" si="18"/>
        <v>64</v>
      </c>
      <c r="K62" s="755">
        <f t="shared" si="18"/>
        <v>67.5</v>
      </c>
      <c r="L62" s="755">
        <f t="shared" si="18"/>
        <v>66</v>
      </c>
      <c r="M62" s="755">
        <f t="shared" si="18"/>
        <v>75</v>
      </c>
      <c r="N62" s="755">
        <f t="shared" si="18"/>
        <v>82</v>
      </c>
      <c r="O62" s="755">
        <f t="shared" si="18"/>
        <v>82</v>
      </c>
      <c r="P62" s="755">
        <f t="shared" si="18"/>
        <v>86</v>
      </c>
      <c r="Q62" s="755">
        <f t="shared" si="18"/>
        <v>92</v>
      </c>
      <c r="R62" s="755">
        <f t="shared" si="18"/>
        <v>88.5</v>
      </c>
      <c r="S62" s="755">
        <f t="shared" si="18"/>
        <v>1026</v>
      </c>
      <c r="T62" s="755">
        <f t="shared" si="18"/>
        <v>78.92307692307692</v>
      </c>
      <c r="U62" s="755"/>
      <c r="V62" s="771"/>
      <c r="W62" s="771"/>
    </row>
    <row r="63" spans="1:23" ht="15.75" customHeight="1" thickBot="1" x14ac:dyDescent="0.4">
      <c r="A63" s="949">
        <v>20</v>
      </c>
      <c r="B63" s="942"/>
      <c r="C63" s="943"/>
      <c r="D63" s="946"/>
      <c r="E63" s="766" t="s">
        <v>18</v>
      </c>
      <c r="F63" s="755">
        <v>69</v>
      </c>
      <c r="G63" s="755">
        <v>80</v>
      </c>
      <c r="H63" s="755">
        <v>75</v>
      </c>
      <c r="I63" s="755">
        <v>57</v>
      </c>
      <c r="J63" s="755">
        <v>55</v>
      </c>
      <c r="K63" s="755">
        <v>52</v>
      </c>
      <c r="L63" s="755">
        <v>53</v>
      </c>
      <c r="M63" s="755">
        <v>59</v>
      </c>
      <c r="N63" s="755">
        <v>66</v>
      </c>
      <c r="O63" s="755">
        <v>63</v>
      </c>
      <c r="P63" s="755">
        <v>69</v>
      </c>
      <c r="Q63" s="755">
        <v>80</v>
      </c>
      <c r="R63" s="755">
        <v>66</v>
      </c>
      <c r="S63" s="755">
        <v>844</v>
      </c>
      <c r="T63" s="768">
        <v>64.92307692307692</v>
      </c>
      <c r="U63" s="755">
        <v>43</v>
      </c>
      <c r="V63" s="772"/>
      <c r="W63" s="772"/>
    </row>
    <row r="64" spans="1:23" ht="15.75" customHeight="1" thickBot="1" x14ac:dyDescent="0.4">
      <c r="A64" s="950"/>
      <c r="B64" s="942"/>
      <c r="C64" s="944"/>
      <c r="D64" s="947"/>
      <c r="E64" s="766" t="s">
        <v>19</v>
      </c>
      <c r="F64" s="755"/>
      <c r="G64" s="755"/>
      <c r="H64" s="755"/>
      <c r="I64" s="755"/>
      <c r="J64" s="755"/>
      <c r="K64" s="755"/>
      <c r="L64" s="755"/>
      <c r="M64" s="755"/>
      <c r="N64" s="755"/>
      <c r="O64" s="755"/>
      <c r="P64" s="755"/>
      <c r="Q64" s="755"/>
      <c r="R64" s="755"/>
      <c r="S64" s="755"/>
      <c r="T64" s="768"/>
      <c r="U64" s="755"/>
      <c r="V64" s="772"/>
      <c r="W64" s="772"/>
    </row>
    <row r="65" spans="1:23" ht="15.75" customHeight="1" thickBot="1" x14ac:dyDescent="0.35">
      <c r="A65" s="951"/>
      <c r="B65" s="942"/>
      <c r="C65" s="945"/>
      <c r="D65" s="948"/>
      <c r="E65" s="766" t="s">
        <v>13</v>
      </c>
      <c r="F65" s="755">
        <f>AVERAGE(F63:F64)</f>
        <v>69</v>
      </c>
      <c r="G65" s="755">
        <f t="shared" ref="G65:T65" si="19">AVERAGE(G63:G64)</f>
        <v>80</v>
      </c>
      <c r="H65" s="755">
        <f t="shared" si="19"/>
        <v>75</v>
      </c>
      <c r="I65" s="755">
        <f t="shared" si="19"/>
        <v>57</v>
      </c>
      <c r="J65" s="755">
        <f t="shared" si="19"/>
        <v>55</v>
      </c>
      <c r="K65" s="755">
        <f t="shared" si="19"/>
        <v>52</v>
      </c>
      <c r="L65" s="755">
        <f t="shared" si="19"/>
        <v>53</v>
      </c>
      <c r="M65" s="755">
        <f t="shared" si="19"/>
        <v>59</v>
      </c>
      <c r="N65" s="755">
        <f t="shared" si="19"/>
        <v>66</v>
      </c>
      <c r="O65" s="755">
        <f t="shared" si="19"/>
        <v>63</v>
      </c>
      <c r="P65" s="755">
        <f t="shared" si="19"/>
        <v>69</v>
      </c>
      <c r="Q65" s="755">
        <f t="shared" si="19"/>
        <v>80</v>
      </c>
      <c r="R65" s="755">
        <f t="shared" si="19"/>
        <v>66</v>
      </c>
      <c r="S65" s="755">
        <f t="shared" si="19"/>
        <v>844</v>
      </c>
      <c r="T65" s="755">
        <f t="shared" si="19"/>
        <v>64.92307692307692</v>
      </c>
      <c r="U65" s="755"/>
      <c r="V65" s="771"/>
      <c r="W65" s="771"/>
    </row>
    <row r="66" spans="1:23" ht="15.75" customHeight="1" thickBot="1" x14ac:dyDescent="0.4">
      <c r="A66" s="949">
        <v>21</v>
      </c>
      <c r="B66" s="942"/>
      <c r="C66" s="943"/>
      <c r="D66" s="946"/>
      <c r="E66" s="766" t="s">
        <v>18</v>
      </c>
      <c r="F66" s="755">
        <v>78</v>
      </c>
      <c r="G66" s="755">
        <v>75</v>
      </c>
      <c r="H66" s="755">
        <v>81</v>
      </c>
      <c r="I66" s="755">
        <v>59</v>
      </c>
      <c r="J66" s="755">
        <v>50</v>
      </c>
      <c r="K66" s="755">
        <v>57</v>
      </c>
      <c r="L66" s="755">
        <v>56</v>
      </c>
      <c r="M66" s="755">
        <v>56</v>
      </c>
      <c r="N66" s="755">
        <v>67</v>
      </c>
      <c r="O66" s="755">
        <v>74</v>
      </c>
      <c r="P66" s="755">
        <v>70</v>
      </c>
      <c r="Q66" s="755">
        <v>83</v>
      </c>
      <c r="R66" s="755">
        <v>74</v>
      </c>
      <c r="S66" s="755">
        <v>880</v>
      </c>
      <c r="T66" s="768">
        <v>67.692307692307693</v>
      </c>
      <c r="U66" s="755">
        <v>37</v>
      </c>
      <c r="V66" s="772"/>
      <c r="W66" s="772"/>
    </row>
    <row r="67" spans="1:23" ht="15.75" customHeight="1" thickBot="1" x14ac:dyDescent="0.4">
      <c r="A67" s="950"/>
      <c r="B67" s="942"/>
      <c r="C67" s="944"/>
      <c r="D67" s="947"/>
      <c r="E67" s="766" t="s">
        <v>19</v>
      </c>
      <c r="F67" s="755">
        <v>87</v>
      </c>
      <c r="G67" s="755">
        <v>64</v>
      </c>
      <c r="H67" s="755">
        <v>77</v>
      </c>
      <c r="I67" s="755">
        <v>62</v>
      </c>
      <c r="J67" s="755">
        <v>65</v>
      </c>
      <c r="K67" s="755">
        <v>58</v>
      </c>
      <c r="L67" s="755">
        <v>59</v>
      </c>
      <c r="M67" s="755">
        <v>79</v>
      </c>
      <c r="N67" s="755">
        <v>67</v>
      </c>
      <c r="O67" s="755">
        <v>69</v>
      </c>
      <c r="P67" s="755">
        <v>86</v>
      </c>
      <c r="Q67" s="755">
        <v>93</v>
      </c>
      <c r="R67" s="755">
        <v>75</v>
      </c>
      <c r="S67" s="755">
        <v>941</v>
      </c>
      <c r="T67" s="768">
        <v>72.384615384615387</v>
      </c>
      <c r="U67" s="755">
        <v>34</v>
      </c>
      <c r="V67" s="772"/>
      <c r="W67" s="772"/>
    </row>
    <row r="68" spans="1:23" ht="15.75" customHeight="1" thickBot="1" x14ac:dyDescent="0.35">
      <c r="A68" s="951"/>
      <c r="B68" s="942"/>
      <c r="C68" s="945"/>
      <c r="D68" s="948"/>
      <c r="E68" s="766" t="s">
        <v>13</v>
      </c>
      <c r="F68" s="755">
        <f>AVERAGE(F66:F67)</f>
        <v>82.5</v>
      </c>
      <c r="G68" s="755">
        <f t="shared" ref="G68:T68" si="20">AVERAGE(G66:G67)</f>
        <v>69.5</v>
      </c>
      <c r="H68" s="755">
        <f t="shared" si="20"/>
        <v>79</v>
      </c>
      <c r="I68" s="755">
        <f t="shared" si="20"/>
        <v>60.5</v>
      </c>
      <c r="J68" s="755">
        <f t="shared" si="20"/>
        <v>57.5</v>
      </c>
      <c r="K68" s="755">
        <f t="shared" si="20"/>
        <v>57.5</v>
      </c>
      <c r="L68" s="755">
        <f t="shared" si="20"/>
        <v>57.5</v>
      </c>
      <c r="M68" s="755">
        <f t="shared" si="20"/>
        <v>67.5</v>
      </c>
      <c r="N68" s="755">
        <f t="shared" si="20"/>
        <v>67</v>
      </c>
      <c r="O68" s="755">
        <f t="shared" si="20"/>
        <v>71.5</v>
      </c>
      <c r="P68" s="755">
        <f t="shared" si="20"/>
        <v>78</v>
      </c>
      <c r="Q68" s="755">
        <f t="shared" si="20"/>
        <v>88</v>
      </c>
      <c r="R68" s="755">
        <f t="shared" si="20"/>
        <v>74.5</v>
      </c>
      <c r="S68" s="755">
        <f t="shared" si="20"/>
        <v>910.5</v>
      </c>
      <c r="T68" s="755">
        <f t="shared" si="20"/>
        <v>70.038461538461547</v>
      </c>
      <c r="U68" s="755"/>
      <c r="V68" s="771"/>
      <c r="W68" s="771"/>
    </row>
    <row r="69" spans="1:23" ht="15" customHeight="1" thickBot="1" x14ac:dyDescent="0.4">
      <c r="A69" s="939">
        <v>22</v>
      </c>
      <c r="B69" s="942"/>
      <c r="C69" s="943"/>
      <c r="D69" s="946"/>
      <c r="E69" s="766" t="s">
        <v>18</v>
      </c>
      <c r="F69" s="755">
        <v>81</v>
      </c>
      <c r="G69" s="755">
        <v>82</v>
      </c>
      <c r="H69" s="755">
        <v>83</v>
      </c>
      <c r="I69" s="755">
        <v>81</v>
      </c>
      <c r="J69" s="755">
        <v>77</v>
      </c>
      <c r="K69" s="755">
        <v>81</v>
      </c>
      <c r="L69" s="755">
        <v>80</v>
      </c>
      <c r="M69" s="755">
        <v>89</v>
      </c>
      <c r="N69" s="755">
        <v>87</v>
      </c>
      <c r="O69" s="755">
        <v>94</v>
      </c>
      <c r="P69" s="755">
        <v>84</v>
      </c>
      <c r="Q69" s="755">
        <v>84</v>
      </c>
      <c r="R69" s="755">
        <v>94</v>
      </c>
      <c r="S69" s="755">
        <v>1097</v>
      </c>
      <c r="T69" s="768">
        <v>84.384615384615387</v>
      </c>
      <c r="U69" s="755">
        <v>6</v>
      </c>
      <c r="V69" s="772"/>
      <c r="W69" s="772"/>
    </row>
    <row r="70" spans="1:23" ht="15" customHeight="1" thickBot="1" x14ac:dyDescent="0.4">
      <c r="A70" s="940"/>
      <c r="B70" s="942"/>
      <c r="C70" s="944"/>
      <c r="D70" s="947"/>
      <c r="E70" s="766" t="s">
        <v>19</v>
      </c>
      <c r="F70" s="755">
        <v>82</v>
      </c>
      <c r="G70" s="755">
        <v>80</v>
      </c>
      <c r="H70" s="755">
        <v>86</v>
      </c>
      <c r="I70" s="755">
        <v>77</v>
      </c>
      <c r="J70" s="755">
        <v>78</v>
      </c>
      <c r="K70" s="755">
        <v>81</v>
      </c>
      <c r="L70" s="755">
        <v>87</v>
      </c>
      <c r="M70" s="755">
        <v>93</v>
      </c>
      <c r="N70" s="755">
        <v>82</v>
      </c>
      <c r="O70" s="755">
        <v>94</v>
      </c>
      <c r="P70" s="755">
        <v>92</v>
      </c>
      <c r="Q70" s="755">
        <v>100</v>
      </c>
      <c r="R70" s="755">
        <v>98</v>
      </c>
      <c r="S70" s="755">
        <v>1130</v>
      </c>
      <c r="T70" s="768">
        <v>86.92307692307692</v>
      </c>
      <c r="U70" s="755">
        <v>7</v>
      </c>
      <c r="V70" s="772"/>
      <c r="W70" s="772"/>
    </row>
    <row r="71" spans="1:23" ht="15" customHeight="1" thickBot="1" x14ac:dyDescent="0.35">
      <c r="A71" s="941"/>
      <c r="B71" s="942"/>
      <c r="C71" s="945"/>
      <c r="D71" s="948"/>
      <c r="E71" s="766" t="s">
        <v>13</v>
      </c>
      <c r="F71" s="755">
        <f>AVERAGE(F69:F70)</f>
        <v>81.5</v>
      </c>
      <c r="G71" s="755">
        <f t="shared" ref="G71:T71" si="21">AVERAGE(G69:G70)</f>
        <v>81</v>
      </c>
      <c r="H71" s="755">
        <f t="shared" si="21"/>
        <v>84.5</v>
      </c>
      <c r="I71" s="755">
        <f t="shared" si="21"/>
        <v>79</v>
      </c>
      <c r="J71" s="755">
        <f t="shared" si="21"/>
        <v>77.5</v>
      </c>
      <c r="K71" s="755">
        <f t="shared" si="21"/>
        <v>81</v>
      </c>
      <c r="L71" s="755">
        <f t="shared" si="21"/>
        <v>83.5</v>
      </c>
      <c r="M71" s="755">
        <f t="shared" si="21"/>
        <v>91</v>
      </c>
      <c r="N71" s="755">
        <f t="shared" si="21"/>
        <v>84.5</v>
      </c>
      <c r="O71" s="755">
        <f t="shared" si="21"/>
        <v>94</v>
      </c>
      <c r="P71" s="755">
        <f t="shared" si="21"/>
        <v>88</v>
      </c>
      <c r="Q71" s="755">
        <f t="shared" si="21"/>
        <v>92</v>
      </c>
      <c r="R71" s="755">
        <f t="shared" si="21"/>
        <v>96</v>
      </c>
      <c r="S71" s="755">
        <f t="shared" si="21"/>
        <v>1113.5</v>
      </c>
      <c r="T71" s="755">
        <f t="shared" si="21"/>
        <v>85.65384615384616</v>
      </c>
      <c r="U71" s="755"/>
      <c r="V71" s="771"/>
      <c r="W71" s="771"/>
    </row>
    <row r="72" spans="1:23" ht="15" customHeight="1" thickBot="1" x14ac:dyDescent="0.4">
      <c r="A72" s="949">
        <v>23</v>
      </c>
      <c r="B72" s="942"/>
      <c r="C72" s="943"/>
      <c r="D72" s="946"/>
      <c r="E72" s="766" t="s">
        <v>18</v>
      </c>
      <c r="F72" s="755">
        <v>68</v>
      </c>
      <c r="G72" s="755">
        <v>66</v>
      </c>
      <c r="H72" s="755">
        <v>66</v>
      </c>
      <c r="I72" s="755">
        <v>58</v>
      </c>
      <c r="J72" s="755">
        <v>47</v>
      </c>
      <c r="K72" s="755">
        <v>41</v>
      </c>
      <c r="L72" s="755">
        <v>54</v>
      </c>
      <c r="M72" s="755">
        <v>62</v>
      </c>
      <c r="N72" s="755">
        <v>55</v>
      </c>
      <c r="O72" s="755">
        <v>65</v>
      </c>
      <c r="P72" s="755">
        <v>51</v>
      </c>
      <c r="Q72" s="755">
        <v>79</v>
      </c>
      <c r="R72" s="755">
        <v>80</v>
      </c>
      <c r="S72" s="755">
        <v>792</v>
      </c>
      <c r="T72" s="768">
        <v>60.92307692307692</v>
      </c>
      <c r="U72" s="755">
        <v>48</v>
      </c>
      <c r="V72" s="772"/>
      <c r="W72" s="772"/>
    </row>
    <row r="73" spans="1:23" ht="15" customHeight="1" thickBot="1" x14ac:dyDescent="0.4">
      <c r="A73" s="950"/>
      <c r="B73" s="942"/>
      <c r="C73" s="944"/>
      <c r="D73" s="947"/>
      <c r="E73" s="766" t="s">
        <v>19</v>
      </c>
      <c r="F73" s="755">
        <v>77</v>
      </c>
      <c r="G73" s="755">
        <v>69</v>
      </c>
      <c r="H73" s="755">
        <v>55</v>
      </c>
      <c r="I73" s="755">
        <v>58</v>
      </c>
      <c r="J73" s="755">
        <v>55</v>
      </c>
      <c r="K73" s="755">
        <v>48</v>
      </c>
      <c r="L73" s="755">
        <v>51</v>
      </c>
      <c r="M73" s="755">
        <v>71</v>
      </c>
      <c r="N73" s="755">
        <v>54</v>
      </c>
      <c r="O73" s="755">
        <v>74</v>
      </c>
      <c r="P73" s="755">
        <v>68</v>
      </c>
      <c r="Q73" s="755">
        <v>84</v>
      </c>
      <c r="R73" s="755">
        <v>87</v>
      </c>
      <c r="S73" s="755">
        <v>851</v>
      </c>
      <c r="T73" s="768">
        <v>65.461538461538467</v>
      </c>
      <c r="U73" s="755">
        <v>42</v>
      </c>
      <c r="V73" s="772"/>
      <c r="W73" s="772"/>
    </row>
    <row r="74" spans="1:23" ht="15" customHeight="1" thickBot="1" x14ac:dyDescent="0.35">
      <c r="A74" s="951"/>
      <c r="B74" s="942"/>
      <c r="C74" s="945"/>
      <c r="D74" s="948"/>
      <c r="E74" s="766" t="s">
        <v>13</v>
      </c>
      <c r="F74" s="755">
        <f>AVERAGE(F72:F73)</f>
        <v>72.5</v>
      </c>
      <c r="G74" s="755">
        <f t="shared" ref="G74:T74" si="22">AVERAGE(G72:G73)</f>
        <v>67.5</v>
      </c>
      <c r="H74" s="755">
        <f t="shared" si="22"/>
        <v>60.5</v>
      </c>
      <c r="I74" s="755">
        <f t="shared" si="22"/>
        <v>58</v>
      </c>
      <c r="J74" s="755">
        <f t="shared" si="22"/>
        <v>51</v>
      </c>
      <c r="K74" s="755">
        <f t="shared" si="22"/>
        <v>44.5</v>
      </c>
      <c r="L74" s="755">
        <f t="shared" si="22"/>
        <v>52.5</v>
      </c>
      <c r="M74" s="755">
        <f t="shared" si="22"/>
        <v>66.5</v>
      </c>
      <c r="N74" s="755">
        <f t="shared" si="22"/>
        <v>54.5</v>
      </c>
      <c r="O74" s="755">
        <f t="shared" si="22"/>
        <v>69.5</v>
      </c>
      <c r="P74" s="755">
        <f t="shared" si="22"/>
        <v>59.5</v>
      </c>
      <c r="Q74" s="755">
        <f t="shared" si="22"/>
        <v>81.5</v>
      </c>
      <c r="R74" s="755">
        <f t="shared" si="22"/>
        <v>83.5</v>
      </c>
      <c r="S74" s="755">
        <f t="shared" si="22"/>
        <v>821.5</v>
      </c>
      <c r="T74" s="755">
        <f t="shared" si="22"/>
        <v>63.192307692307693</v>
      </c>
      <c r="U74" s="755"/>
      <c r="V74" s="771"/>
      <c r="W74" s="771"/>
    </row>
    <row r="75" spans="1:23" ht="15.75" customHeight="1" thickBot="1" x14ac:dyDescent="0.4">
      <c r="A75" s="949">
        <v>24</v>
      </c>
      <c r="B75" s="942"/>
      <c r="C75" s="943"/>
      <c r="D75" s="946"/>
      <c r="E75" s="766" t="s">
        <v>18</v>
      </c>
      <c r="F75" s="755">
        <v>86</v>
      </c>
      <c r="G75" s="755">
        <v>97</v>
      </c>
      <c r="H75" s="755">
        <v>84</v>
      </c>
      <c r="I75" s="773">
        <v>99</v>
      </c>
      <c r="J75" s="773">
        <v>90</v>
      </c>
      <c r="K75" s="755">
        <v>100</v>
      </c>
      <c r="L75" s="773">
        <v>96</v>
      </c>
      <c r="M75" s="755">
        <v>99</v>
      </c>
      <c r="N75" s="755">
        <v>91</v>
      </c>
      <c r="O75" s="755">
        <v>92</v>
      </c>
      <c r="P75" s="755">
        <v>100</v>
      </c>
      <c r="Q75" s="755">
        <v>93</v>
      </c>
      <c r="R75" s="755">
        <v>97</v>
      </c>
      <c r="S75" s="755">
        <v>1224</v>
      </c>
      <c r="T75" s="768">
        <v>94.15384615384616</v>
      </c>
      <c r="U75" s="755">
        <v>3</v>
      </c>
      <c r="V75" s="772"/>
      <c r="W75" s="772"/>
    </row>
    <row r="76" spans="1:23" ht="15.75" customHeight="1" thickBot="1" x14ac:dyDescent="0.4">
      <c r="A76" s="950"/>
      <c r="B76" s="942"/>
      <c r="C76" s="944"/>
      <c r="D76" s="947"/>
      <c r="E76" s="766" t="s">
        <v>19</v>
      </c>
      <c r="F76" s="755">
        <v>91</v>
      </c>
      <c r="G76" s="755">
        <v>93</v>
      </c>
      <c r="H76" s="755">
        <v>85</v>
      </c>
      <c r="I76" s="773">
        <v>95</v>
      </c>
      <c r="J76" s="773">
        <v>100</v>
      </c>
      <c r="K76" s="755">
        <v>99</v>
      </c>
      <c r="L76" s="773">
        <v>96</v>
      </c>
      <c r="M76" s="755">
        <v>100</v>
      </c>
      <c r="N76" s="755">
        <v>100</v>
      </c>
      <c r="O76" s="755">
        <v>97</v>
      </c>
      <c r="P76" s="755">
        <v>100</v>
      </c>
      <c r="Q76" s="755">
        <v>100</v>
      </c>
      <c r="R76" s="755">
        <v>100</v>
      </c>
      <c r="S76" s="755">
        <v>1256</v>
      </c>
      <c r="T76" s="768">
        <v>96.615384615384613</v>
      </c>
      <c r="U76" s="755">
        <v>4</v>
      </c>
      <c r="V76" s="772"/>
      <c r="W76" s="772"/>
    </row>
    <row r="77" spans="1:23" ht="15.75" customHeight="1" thickBot="1" x14ac:dyDescent="0.35">
      <c r="A77" s="951"/>
      <c r="B77" s="942"/>
      <c r="C77" s="945"/>
      <c r="D77" s="948"/>
      <c r="E77" s="766" t="s">
        <v>13</v>
      </c>
      <c r="F77" s="755">
        <f>AVERAGE(F75:F76)</f>
        <v>88.5</v>
      </c>
      <c r="G77" s="755">
        <f t="shared" ref="G77:T77" si="23">AVERAGE(G75:G76)</f>
        <v>95</v>
      </c>
      <c r="H77" s="755">
        <f t="shared" si="23"/>
        <v>84.5</v>
      </c>
      <c r="I77" s="755">
        <f t="shared" si="23"/>
        <v>97</v>
      </c>
      <c r="J77" s="755">
        <f t="shared" si="23"/>
        <v>95</v>
      </c>
      <c r="K77" s="755">
        <f t="shared" si="23"/>
        <v>99.5</v>
      </c>
      <c r="L77" s="755">
        <f t="shared" si="23"/>
        <v>96</v>
      </c>
      <c r="M77" s="755">
        <f t="shared" si="23"/>
        <v>99.5</v>
      </c>
      <c r="N77" s="755">
        <f t="shared" si="23"/>
        <v>95.5</v>
      </c>
      <c r="O77" s="755">
        <f t="shared" si="23"/>
        <v>94.5</v>
      </c>
      <c r="P77" s="755">
        <f t="shared" si="23"/>
        <v>100</v>
      </c>
      <c r="Q77" s="755">
        <f t="shared" si="23"/>
        <v>96.5</v>
      </c>
      <c r="R77" s="755">
        <f t="shared" si="23"/>
        <v>98.5</v>
      </c>
      <c r="S77" s="755">
        <f t="shared" si="23"/>
        <v>1240</v>
      </c>
      <c r="T77" s="755">
        <f t="shared" si="23"/>
        <v>95.384615384615387</v>
      </c>
      <c r="U77" s="755"/>
      <c r="V77" s="771"/>
      <c r="W77" s="771"/>
    </row>
    <row r="78" spans="1:23" ht="15" customHeight="1" thickBot="1" x14ac:dyDescent="0.4">
      <c r="A78" s="939">
        <v>25</v>
      </c>
      <c r="B78" s="942"/>
      <c r="C78" s="943"/>
      <c r="D78" s="946"/>
      <c r="E78" s="766" t="s">
        <v>18</v>
      </c>
      <c r="F78" s="755">
        <v>75</v>
      </c>
      <c r="G78" s="773">
        <v>87</v>
      </c>
      <c r="H78" s="773">
        <v>77</v>
      </c>
      <c r="I78" s="773">
        <v>69</v>
      </c>
      <c r="J78" s="755">
        <v>68</v>
      </c>
      <c r="K78" s="773">
        <v>72</v>
      </c>
      <c r="L78" s="755">
        <v>84</v>
      </c>
      <c r="M78" s="755">
        <v>77</v>
      </c>
      <c r="N78" s="755">
        <v>86</v>
      </c>
      <c r="O78" s="755">
        <v>86</v>
      </c>
      <c r="P78" s="755">
        <v>79</v>
      </c>
      <c r="Q78" s="755">
        <v>85</v>
      </c>
      <c r="R78" s="755">
        <v>76</v>
      </c>
      <c r="S78" s="755">
        <v>1021</v>
      </c>
      <c r="T78" s="768">
        <v>78.538461538461533</v>
      </c>
      <c r="U78" s="755">
        <v>20</v>
      </c>
      <c r="V78" s="772"/>
      <c r="W78" s="772"/>
    </row>
    <row r="79" spans="1:23" ht="15" customHeight="1" thickBot="1" x14ac:dyDescent="0.4">
      <c r="A79" s="940"/>
      <c r="B79" s="942"/>
      <c r="C79" s="944"/>
      <c r="D79" s="947"/>
      <c r="E79" s="766" t="s">
        <v>19</v>
      </c>
      <c r="F79" s="755">
        <v>82</v>
      </c>
      <c r="G79" s="773">
        <v>80</v>
      </c>
      <c r="H79" s="773">
        <v>70</v>
      </c>
      <c r="I79" s="773">
        <v>60</v>
      </c>
      <c r="J79" s="755">
        <v>60</v>
      </c>
      <c r="K79" s="773">
        <v>70</v>
      </c>
      <c r="L79" s="755">
        <v>72</v>
      </c>
      <c r="M79" s="755">
        <v>89</v>
      </c>
      <c r="N79" s="755">
        <v>80</v>
      </c>
      <c r="O79" s="755">
        <v>83</v>
      </c>
      <c r="P79" s="755">
        <v>90</v>
      </c>
      <c r="Q79" s="755">
        <v>91</v>
      </c>
      <c r="R79" s="755">
        <v>96</v>
      </c>
      <c r="S79" s="755">
        <v>1023</v>
      </c>
      <c r="T79" s="768">
        <v>78.692307692307693</v>
      </c>
      <c r="U79" s="755">
        <v>21</v>
      </c>
      <c r="V79" s="772"/>
      <c r="W79" s="772"/>
    </row>
    <row r="80" spans="1:23" ht="15" customHeight="1" thickBot="1" x14ac:dyDescent="0.35">
      <c r="A80" s="941"/>
      <c r="B80" s="942"/>
      <c r="C80" s="945"/>
      <c r="D80" s="948"/>
      <c r="E80" s="766" t="s">
        <v>13</v>
      </c>
      <c r="F80" s="755">
        <f>AVERAGE(F78:F79)</f>
        <v>78.5</v>
      </c>
      <c r="G80" s="755">
        <f t="shared" ref="G80:T80" si="24">AVERAGE(G78:G79)</f>
        <v>83.5</v>
      </c>
      <c r="H80" s="755">
        <f t="shared" si="24"/>
        <v>73.5</v>
      </c>
      <c r="I80" s="755">
        <f t="shared" si="24"/>
        <v>64.5</v>
      </c>
      <c r="J80" s="755">
        <f t="shared" si="24"/>
        <v>64</v>
      </c>
      <c r="K80" s="755">
        <f t="shared" si="24"/>
        <v>71</v>
      </c>
      <c r="L80" s="755">
        <f t="shared" si="24"/>
        <v>78</v>
      </c>
      <c r="M80" s="755">
        <f t="shared" si="24"/>
        <v>83</v>
      </c>
      <c r="N80" s="755">
        <f t="shared" si="24"/>
        <v>83</v>
      </c>
      <c r="O80" s="755">
        <f t="shared" si="24"/>
        <v>84.5</v>
      </c>
      <c r="P80" s="755">
        <f t="shared" si="24"/>
        <v>84.5</v>
      </c>
      <c r="Q80" s="755">
        <f t="shared" si="24"/>
        <v>88</v>
      </c>
      <c r="R80" s="755">
        <f t="shared" si="24"/>
        <v>86</v>
      </c>
      <c r="S80" s="755">
        <f t="shared" si="24"/>
        <v>1022</v>
      </c>
      <c r="T80" s="755">
        <f t="shared" si="24"/>
        <v>78.615384615384613</v>
      </c>
      <c r="U80" s="755"/>
      <c r="V80" s="771"/>
      <c r="W80" s="771"/>
    </row>
    <row r="81" spans="1:23" ht="15.75" customHeight="1" thickBot="1" x14ac:dyDescent="0.4">
      <c r="A81" s="949">
        <v>26</v>
      </c>
      <c r="B81" s="942"/>
      <c r="C81" s="952"/>
      <c r="D81" s="955"/>
      <c r="E81" s="766" t="s">
        <v>18</v>
      </c>
      <c r="F81" s="755">
        <v>89</v>
      </c>
      <c r="G81" s="755">
        <v>85</v>
      </c>
      <c r="H81" s="755">
        <v>82</v>
      </c>
      <c r="I81" s="755">
        <v>88</v>
      </c>
      <c r="J81" s="755">
        <v>75</v>
      </c>
      <c r="K81" s="755">
        <v>74</v>
      </c>
      <c r="L81" s="755">
        <v>85</v>
      </c>
      <c r="M81" s="755">
        <v>76</v>
      </c>
      <c r="N81" s="755">
        <v>72</v>
      </c>
      <c r="O81" s="755">
        <v>86</v>
      </c>
      <c r="P81" s="755">
        <v>82</v>
      </c>
      <c r="Q81" s="755">
        <v>80</v>
      </c>
      <c r="R81" s="755">
        <v>72</v>
      </c>
      <c r="S81" s="755">
        <v>1046</v>
      </c>
      <c r="T81" s="768">
        <v>80.461538461538467</v>
      </c>
      <c r="U81" s="755">
        <v>12</v>
      </c>
      <c r="V81" s="772"/>
      <c r="W81" s="772"/>
    </row>
    <row r="82" spans="1:23" ht="15.75" customHeight="1" thickBot="1" x14ac:dyDescent="0.4">
      <c r="A82" s="950"/>
      <c r="B82" s="942"/>
      <c r="C82" s="953"/>
      <c r="D82" s="956"/>
      <c r="E82" s="766" t="s">
        <v>19</v>
      </c>
      <c r="F82" s="755">
        <v>88</v>
      </c>
      <c r="G82" s="755">
        <v>87</v>
      </c>
      <c r="H82" s="755">
        <v>75</v>
      </c>
      <c r="I82" s="755">
        <v>85</v>
      </c>
      <c r="J82" s="755">
        <v>85</v>
      </c>
      <c r="K82" s="755">
        <v>78</v>
      </c>
      <c r="L82" s="755">
        <v>78</v>
      </c>
      <c r="M82" s="755">
        <v>91</v>
      </c>
      <c r="N82" s="755">
        <v>74</v>
      </c>
      <c r="O82" s="755">
        <v>89</v>
      </c>
      <c r="P82" s="755">
        <v>87</v>
      </c>
      <c r="Q82" s="755">
        <v>100</v>
      </c>
      <c r="R82" s="755">
        <v>83</v>
      </c>
      <c r="S82" s="755">
        <v>1100</v>
      </c>
      <c r="T82" s="768">
        <v>84.614999999999995</v>
      </c>
      <c r="U82" s="755">
        <v>13</v>
      </c>
      <c r="V82" s="772"/>
      <c r="W82" s="772"/>
    </row>
    <row r="83" spans="1:23" ht="15.75" customHeight="1" thickBot="1" x14ac:dyDescent="0.35">
      <c r="A83" s="951"/>
      <c r="B83" s="942"/>
      <c r="C83" s="954"/>
      <c r="D83" s="957"/>
      <c r="E83" s="766" t="s">
        <v>13</v>
      </c>
      <c r="F83" s="755">
        <f>AVERAGE(F81:F82)</f>
        <v>88.5</v>
      </c>
      <c r="G83" s="755">
        <f t="shared" ref="G83:T83" si="25">AVERAGE(G81:G82)</f>
        <v>86</v>
      </c>
      <c r="H83" s="755">
        <f t="shared" si="25"/>
        <v>78.5</v>
      </c>
      <c r="I83" s="755">
        <f t="shared" si="25"/>
        <v>86.5</v>
      </c>
      <c r="J83" s="755">
        <f t="shared" si="25"/>
        <v>80</v>
      </c>
      <c r="K83" s="755">
        <f t="shared" si="25"/>
        <v>76</v>
      </c>
      <c r="L83" s="755">
        <f t="shared" si="25"/>
        <v>81.5</v>
      </c>
      <c r="M83" s="755">
        <f t="shared" si="25"/>
        <v>83.5</v>
      </c>
      <c r="N83" s="755">
        <f t="shared" si="25"/>
        <v>73</v>
      </c>
      <c r="O83" s="755">
        <f t="shared" si="25"/>
        <v>87.5</v>
      </c>
      <c r="P83" s="755">
        <f t="shared" si="25"/>
        <v>84.5</v>
      </c>
      <c r="Q83" s="755">
        <f t="shared" si="25"/>
        <v>90</v>
      </c>
      <c r="R83" s="755">
        <f t="shared" si="25"/>
        <v>77.5</v>
      </c>
      <c r="S83" s="755">
        <f t="shared" si="25"/>
        <v>1073</v>
      </c>
      <c r="T83" s="755">
        <f t="shared" si="25"/>
        <v>82.538269230769231</v>
      </c>
      <c r="U83" s="755"/>
      <c r="V83" s="771"/>
      <c r="W83" s="771"/>
    </row>
    <row r="84" spans="1:23" ht="15.75" customHeight="1" thickBot="1" x14ac:dyDescent="0.4">
      <c r="A84" s="949">
        <v>27</v>
      </c>
      <c r="B84" s="942"/>
      <c r="C84" s="943"/>
      <c r="D84" s="946"/>
      <c r="E84" s="766" t="s">
        <v>18</v>
      </c>
      <c r="F84" s="755">
        <v>75</v>
      </c>
      <c r="G84" s="755">
        <v>56</v>
      </c>
      <c r="H84" s="755">
        <v>82</v>
      </c>
      <c r="I84" s="773">
        <v>65</v>
      </c>
      <c r="J84" s="755">
        <v>60</v>
      </c>
      <c r="K84" s="755">
        <v>48</v>
      </c>
      <c r="L84" s="755">
        <v>57</v>
      </c>
      <c r="M84" s="755">
        <v>62</v>
      </c>
      <c r="N84" s="755">
        <v>59</v>
      </c>
      <c r="O84" s="755">
        <v>68</v>
      </c>
      <c r="P84" s="755">
        <v>67</v>
      </c>
      <c r="Q84" s="755">
        <v>82</v>
      </c>
      <c r="R84" s="755">
        <v>90</v>
      </c>
      <c r="S84" s="755">
        <v>871</v>
      </c>
      <c r="T84" s="768">
        <v>67</v>
      </c>
      <c r="U84" s="755">
        <v>39</v>
      </c>
      <c r="V84" s="772"/>
      <c r="W84" s="772"/>
    </row>
    <row r="85" spans="1:23" ht="15.75" customHeight="1" thickBot="1" x14ac:dyDescent="0.4">
      <c r="A85" s="950"/>
      <c r="B85" s="942"/>
      <c r="C85" s="944"/>
      <c r="D85" s="947"/>
      <c r="E85" s="766" t="s">
        <v>19</v>
      </c>
      <c r="F85" s="755">
        <v>81</v>
      </c>
      <c r="G85" s="755">
        <v>53</v>
      </c>
      <c r="H85" s="755">
        <v>69</v>
      </c>
      <c r="I85" s="773">
        <v>65</v>
      </c>
      <c r="J85" s="755">
        <v>64</v>
      </c>
      <c r="K85" s="755">
        <v>67</v>
      </c>
      <c r="L85" s="755">
        <v>46</v>
      </c>
      <c r="M85" s="755">
        <v>75</v>
      </c>
      <c r="N85" s="755">
        <v>69</v>
      </c>
      <c r="O85" s="755">
        <v>77</v>
      </c>
      <c r="P85" s="755">
        <v>77</v>
      </c>
      <c r="Q85" s="755">
        <v>96</v>
      </c>
      <c r="R85" s="755">
        <v>93</v>
      </c>
      <c r="S85" s="755">
        <v>932</v>
      </c>
      <c r="T85" s="768">
        <v>71.692307692307693</v>
      </c>
      <c r="U85" s="755">
        <v>35</v>
      </c>
      <c r="V85" s="772"/>
      <c r="W85" s="772"/>
    </row>
    <row r="86" spans="1:23" ht="15.75" customHeight="1" thickBot="1" x14ac:dyDescent="0.35">
      <c r="A86" s="951"/>
      <c r="B86" s="942"/>
      <c r="C86" s="945"/>
      <c r="D86" s="948"/>
      <c r="E86" s="766" t="s">
        <v>13</v>
      </c>
      <c r="F86" s="755">
        <f>AVERAGE(F84:F85)</f>
        <v>78</v>
      </c>
      <c r="G86" s="755">
        <f t="shared" ref="G86:T86" si="26">AVERAGE(G84:G85)</f>
        <v>54.5</v>
      </c>
      <c r="H86" s="755">
        <f t="shared" si="26"/>
        <v>75.5</v>
      </c>
      <c r="I86" s="755">
        <f t="shared" si="26"/>
        <v>65</v>
      </c>
      <c r="J86" s="755">
        <f t="shared" si="26"/>
        <v>62</v>
      </c>
      <c r="K86" s="755">
        <f t="shared" si="26"/>
        <v>57.5</v>
      </c>
      <c r="L86" s="755">
        <f t="shared" si="26"/>
        <v>51.5</v>
      </c>
      <c r="M86" s="755">
        <f t="shared" si="26"/>
        <v>68.5</v>
      </c>
      <c r="N86" s="755">
        <f t="shared" si="26"/>
        <v>64</v>
      </c>
      <c r="O86" s="755">
        <f t="shared" si="26"/>
        <v>72.5</v>
      </c>
      <c r="P86" s="755">
        <f t="shared" si="26"/>
        <v>72</v>
      </c>
      <c r="Q86" s="755">
        <f t="shared" si="26"/>
        <v>89</v>
      </c>
      <c r="R86" s="755">
        <f t="shared" si="26"/>
        <v>91.5</v>
      </c>
      <c r="S86" s="755">
        <f t="shared" si="26"/>
        <v>901.5</v>
      </c>
      <c r="T86" s="755">
        <f t="shared" si="26"/>
        <v>69.34615384615384</v>
      </c>
      <c r="U86" s="755"/>
      <c r="V86" s="771"/>
      <c r="W86" s="771"/>
    </row>
    <row r="87" spans="1:23" ht="15.75" customHeight="1" thickBot="1" x14ac:dyDescent="0.4">
      <c r="A87" s="939">
        <v>28</v>
      </c>
      <c r="B87" s="958"/>
      <c r="C87" s="952"/>
      <c r="D87" s="955"/>
      <c r="E87" s="766" t="s">
        <v>18</v>
      </c>
      <c r="F87" s="755">
        <v>82</v>
      </c>
      <c r="G87" s="755">
        <v>70</v>
      </c>
      <c r="H87" s="755">
        <v>81</v>
      </c>
      <c r="I87" s="755">
        <v>51</v>
      </c>
      <c r="J87" s="755">
        <v>53</v>
      </c>
      <c r="K87" s="755">
        <v>50</v>
      </c>
      <c r="L87" s="755">
        <v>54</v>
      </c>
      <c r="M87" s="755">
        <v>64</v>
      </c>
      <c r="N87" s="755">
        <v>67</v>
      </c>
      <c r="O87" s="755">
        <v>61</v>
      </c>
      <c r="P87" s="755">
        <v>69</v>
      </c>
      <c r="Q87" s="755">
        <v>76</v>
      </c>
      <c r="R87" s="755">
        <v>68</v>
      </c>
      <c r="S87" s="755">
        <v>846</v>
      </c>
      <c r="T87" s="768">
        <v>65.07692307692308</v>
      </c>
      <c r="U87" s="755">
        <v>42</v>
      </c>
      <c r="V87" s="772"/>
      <c r="W87" s="772"/>
    </row>
    <row r="88" spans="1:23" ht="15.75" customHeight="1" thickBot="1" x14ac:dyDescent="0.4">
      <c r="A88" s="940"/>
      <c r="B88" s="958"/>
      <c r="C88" s="953"/>
      <c r="D88" s="956"/>
      <c r="E88" s="766" t="s">
        <v>19</v>
      </c>
      <c r="F88" s="755">
        <v>84</v>
      </c>
      <c r="G88" s="755">
        <v>55</v>
      </c>
      <c r="H88" s="755">
        <v>80</v>
      </c>
      <c r="I88" s="755">
        <v>54</v>
      </c>
      <c r="J88" s="755">
        <v>54</v>
      </c>
      <c r="K88" s="755">
        <v>44</v>
      </c>
      <c r="L88" s="755">
        <v>44</v>
      </c>
      <c r="M88" s="755">
        <v>57</v>
      </c>
      <c r="N88" s="755">
        <v>53</v>
      </c>
      <c r="O88" s="755">
        <v>69</v>
      </c>
      <c r="P88" s="755">
        <v>61</v>
      </c>
      <c r="Q88" s="755">
        <v>73</v>
      </c>
      <c r="R88" s="755">
        <v>77</v>
      </c>
      <c r="S88" s="755">
        <v>805</v>
      </c>
      <c r="T88" s="768">
        <v>61.92307692307692</v>
      </c>
      <c r="U88" s="755">
        <v>45</v>
      </c>
      <c r="V88" s="772"/>
      <c r="W88" s="772"/>
    </row>
    <row r="89" spans="1:23" ht="15.75" customHeight="1" thickBot="1" x14ac:dyDescent="0.35">
      <c r="A89" s="941"/>
      <c r="B89" s="958"/>
      <c r="C89" s="954"/>
      <c r="D89" s="957"/>
      <c r="E89" s="766" t="s">
        <v>13</v>
      </c>
      <c r="F89" s="755">
        <f>AVERAGE(F87:F88)</f>
        <v>83</v>
      </c>
      <c r="G89" s="755">
        <f t="shared" ref="G89:T89" si="27">AVERAGE(G87:G88)</f>
        <v>62.5</v>
      </c>
      <c r="H89" s="755">
        <f t="shared" si="27"/>
        <v>80.5</v>
      </c>
      <c r="I89" s="755">
        <f t="shared" si="27"/>
        <v>52.5</v>
      </c>
      <c r="J89" s="755">
        <f t="shared" si="27"/>
        <v>53.5</v>
      </c>
      <c r="K89" s="755">
        <f t="shared" si="27"/>
        <v>47</v>
      </c>
      <c r="L89" s="755">
        <f t="shared" si="27"/>
        <v>49</v>
      </c>
      <c r="M89" s="755">
        <f t="shared" si="27"/>
        <v>60.5</v>
      </c>
      <c r="N89" s="755">
        <f t="shared" si="27"/>
        <v>60</v>
      </c>
      <c r="O89" s="755">
        <f t="shared" si="27"/>
        <v>65</v>
      </c>
      <c r="P89" s="755">
        <f t="shared" si="27"/>
        <v>65</v>
      </c>
      <c r="Q89" s="755">
        <f t="shared" si="27"/>
        <v>74.5</v>
      </c>
      <c r="R89" s="755">
        <f t="shared" si="27"/>
        <v>72.5</v>
      </c>
      <c r="S89" s="755">
        <f t="shared" si="27"/>
        <v>825.5</v>
      </c>
      <c r="T89" s="755">
        <f t="shared" si="27"/>
        <v>63.5</v>
      </c>
      <c r="U89" s="755"/>
      <c r="V89" s="771"/>
      <c r="W89" s="771"/>
    </row>
    <row r="90" spans="1:23" ht="15" customHeight="1" x14ac:dyDescent="0.35">
      <c r="A90" s="949">
        <v>29</v>
      </c>
      <c r="B90" s="959"/>
      <c r="C90" s="943"/>
      <c r="D90" s="946"/>
      <c r="E90" s="766" t="s">
        <v>18</v>
      </c>
      <c r="F90" s="755">
        <v>86</v>
      </c>
      <c r="G90" s="755">
        <v>72</v>
      </c>
      <c r="H90" s="755">
        <v>80</v>
      </c>
      <c r="I90" s="755">
        <v>57</v>
      </c>
      <c r="J90" s="755">
        <v>53</v>
      </c>
      <c r="K90" s="755">
        <v>56</v>
      </c>
      <c r="L90" s="755">
        <v>60</v>
      </c>
      <c r="M90" s="755">
        <v>63</v>
      </c>
      <c r="N90" s="755">
        <v>74</v>
      </c>
      <c r="O90" s="755">
        <v>82</v>
      </c>
      <c r="P90" s="755">
        <v>86</v>
      </c>
      <c r="Q90" s="755">
        <v>79</v>
      </c>
      <c r="R90" s="755">
        <v>88</v>
      </c>
      <c r="S90" s="755">
        <v>936</v>
      </c>
      <c r="T90" s="768">
        <v>72</v>
      </c>
      <c r="U90" s="755">
        <v>30</v>
      </c>
      <c r="V90" s="772"/>
      <c r="W90" s="772"/>
    </row>
    <row r="91" spans="1:23" ht="15" customHeight="1" x14ac:dyDescent="0.35">
      <c r="A91" s="950"/>
      <c r="B91" s="960"/>
      <c r="C91" s="944"/>
      <c r="D91" s="947"/>
      <c r="E91" s="766" t="s">
        <v>19</v>
      </c>
      <c r="F91" s="755">
        <v>88</v>
      </c>
      <c r="G91" s="755">
        <v>70</v>
      </c>
      <c r="H91" s="755">
        <v>73</v>
      </c>
      <c r="I91" s="755">
        <v>63</v>
      </c>
      <c r="J91" s="755">
        <v>68</v>
      </c>
      <c r="K91" s="755">
        <v>50</v>
      </c>
      <c r="L91" s="755">
        <v>69</v>
      </c>
      <c r="M91" s="755">
        <v>81</v>
      </c>
      <c r="N91" s="755">
        <v>73</v>
      </c>
      <c r="O91" s="755">
        <v>85</v>
      </c>
      <c r="P91" s="755">
        <v>89</v>
      </c>
      <c r="Q91" s="755">
        <v>93</v>
      </c>
      <c r="R91" s="755">
        <v>86</v>
      </c>
      <c r="S91" s="755">
        <v>988</v>
      </c>
      <c r="T91" s="768">
        <v>76</v>
      </c>
      <c r="U91" s="755">
        <v>28</v>
      </c>
      <c r="V91" s="772"/>
      <c r="W91" s="772"/>
    </row>
    <row r="92" spans="1:23" ht="15" customHeight="1" thickBot="1" x14ac:dyDescent="0.35">
      <c r="A92" s="951"/>
      <c r="B92" s="961"/>
      <c r="C92" s="945"/>
      <c r="D92" s="948"/>
      <c r="E92" s="766" t="s">
        <v>13</v>
      </c>
      <c r="F92" s="755">
        <f>AVERAGE(F90:F91)</f>
        <v>87</v>
      </c>
      <c r="G92" s="755">
        <f t="shared" ref="G92:T92" si="28">AVERAGE(G90:G91)</f>
        <v>71</v>
      </c>
      <c r="H92" s="755">
        <f t="shared" si="28"/>
        <v>76.5</v>
      </c>
      <c r="I92" s="755">
        <f t="shared" si="28"/>
        <v>60</v>
      </c>
      <c r="J92" s="755">
        <f t="shared" si="28"/>
        <v>60.5</v>
      </c>
      <c r="K92" s="755">
        <f t="shared" si="28"/>
        <v>53</v>
      </c>
      <c r="L92" s="755">
        <f t="shared" si="28"/>
        <v>64.5</v>
      </c>
      <c r="M92" s="755">
        <f t="shared" si="28"/>
        <v>72</v>
      </c>
      <c r="N92" s="755">
        <f t="shared" si="28"/>
        <v>73.5</v>
      </c>
      <c r="O92" s="755">
        <f t="shared" si="28"/>
        <v>83.5</v>
      </c>
      <c r="P92" s="755">
        <f t="shared" si="28"/>
        <v>87.5</v>
      </c>
      <c r="Q92" s="755">
        <f t="shared" si="28"/>
        <v>86</v>
      </c>
      <c r="R92" s="755">
        <f t="shared" si="28"/>
        <v>87</v>
      </c>
      <c r="S92" s="755">
        <f t="shared" si="28"/>
        <v>962</v>
      </c>
      <c r="T92" s="755">
        <f t="shared" si="28"/>
        <v>74</v>
      </c>
      <c r="U92" s="755"/>
      <c r="V92" s="771"/>
      <c r="W92" s="771"/>
    </row>
    <row r="93" spans="1:23" ht="15.75" customHeight="1" thickBot="1" x14ac:dyDescent="0.4">
      <c r="A93" s="949">
        <v>30</v>
      </c>
      <c r="B93" s="942"/>
      <c r="C93" s="943"/>
      <c r="D93" s="946"/>
      <c r="E93" s="766" t="s">
        <v>18</v>
      </c>
      <c r="F93" s="755">
        <v>83</v>
      </c>
      <c r="G93" s="773">
        <v>71</v>
      </c>
      <c r="H93" s="773">
        <v>81</v>
      </c>
      <c r="I93" s="773">
        <v>67</v>
      </c>
      <c r="J93" s="773">
        <v>57</v>
      </c>
      <c r="K93" s="755">
        <v>62</v>
      </c>
      <c r="L93" s="755">
        <v>55</v>
      </c>
      <c r="M93" s="755">
        <v>57</v>
      </c>
      <c r="N93" s="755">
        <v>64</v>
      </c>
      <c r="O93" s="755">
        <v>74</v>
      </c>
      <c r="P93" s="755">
        <v>84</v>
      </c>
      <c r="Q93" s="773">
        <v>76</v>
      </c>
      <c r="R93" s="773">
        <v>82</v>
      </c>
      <c r="S93" s="755">
        <v>913</v>
      </c>
      <c r="T93" s="768">
        <v>70.230769230769226</v>
      </c>
      <c r="U93" s="755">
        <v>32</v>
      </c>
      <c r="V93" s="772"/>
      <c r="W93" s="772"/>
    </row>
    <row r="94" spans="1:23" ht="15.75" customHeight="1" thickBot="1" x14ac:dyDescent="0.4">
      <c r="A94" s="950"/>
      <c r="B94" s="942"/>
      <c r="C94" s="944"/>
      <c r="D94" s="947"/>
      <c r="E94" s="766" t="s">
        <v>19</v>
      </c>
      <c r="F94" s="755">
        <v>93</v>
      </c>
      <c r="G94" s="773">
        <v>53</v>
      </c>
      <c r="H94" s="773">
        <v>79</v>
      </c>
      <c r="I94" s="773">
        <v>65</v>
      </c>
      <c r="J94" s="773">
        <v>70</v>
      </c>
      <c r="K94" s="755">
        <v>67</v>
      </c>
      <c r="L94" s="755">
        <v>63</v>
      </c>
      <c r="M94" s="755">
        <v>81</v>
      </c>
      <c r="N94" s="755">
        <v>82</v>
      </c>
      <c r="O94" s="755">
        <v>86</v>
      </c>
      <c r="P94" s="755">
        <v>82</v>
      </c>
      <c r="Q94" s="773">
        <v>97</v>
      </c>
      <c r="R94" s="773">
        <v>93</v>
      </c>
      <c r="S94" s="755">
        <v>1011</v>
      </c>
      <c r="T94" s="768">
        <v>77.769230769230774</v>
      </c>
      <c r="U94" s="755">
        <v>25</v>
      </c>
      <c r="V94" s="772"/>
      <c r="W94" s="772"/>
    </row>
    <row r="95" spans="1:23" ht="15.75" customHeight="1" thickBot="1" x14ac:dyDescent="0.35">
      <c r="A95" s="951"/>
      <c r="B95" s="942"/>
      <c r="C95" s="945"/>
      <c r="D95" s="948"/>
      <c r="E95" s="766" t="s">
        <v>13</v>
      </c>
      <c r="F95" s="755">
        <f>AVERAGE(F93:F94)</f>
        <v>88</v>
      </c>
      <c r="G95" s="755">
        <f t="shared" ref="G95:T95" si="29">AVERAGE(G93:G94)</f>
        <v>62</v>
      </c>
      <c r="H95" s="755">
        <f t="shared" si="29"/>
        <v>80</v>
      </c>
      <c r="I95" s="755">
        <f t="shared" si="29"/>
        <v>66</v>
      </c>
      <c r="J95" s="755">
        <f t="shared" si="29"/>
        <v>63.5</v>
      </c>
      <c r="K95" s="755">
        <f t="shared" si="29"/>
        <v>64.5</v>
      </c>
      <c r="L95" s="755">
        <f t="shared" si="29"/>
        <v>59</v>
      </c>
      <c r="M95" s="755">
        <f t="shared" si="29"/>
        <v>69</v>
      </c>
      <c r="N95" s="755">
        <f t="shared" si="29"/>
        <v>73</v>
      </c>
      <c r="O95" s="755">
        <f t="shared" si="29"/>
        <v>80</v>
      </c>
      <c r="P95" s="755">
        <f t="shared" si="29"/>
        <v>83</v>
      </c>
      <c r="Q95" s="755">
        <f t="shared" si="29"/>
        <v>86.5</v>
      </c>
      <c r="R95" s="755">
        <f t="shared" si="29"/>
        <v>87.5</v>
      </c>
      <c r="S95" s="755">
        <f t="shared" si="29"/>
        <v>962</v>
      </c>
      <c r="T95" s="755">
        <f t="shared" si="29"/>
        <v>74</v>
      </c>
      <c r="U95" s="755"/>
      <c r="V95" s="771"/>
      <c r="W95" s="771"/>
    </row>
    <row r="96" spans="1:23" ht="15" customHeight="1" x14ac:dyDescent="0.35">
      <c r="A96" s="939">
        <v>31</v>
      </c>
      <c r="B96" s="962"/>
      <c r="C96" s="943"/>
      <c r="D96" s="946"/>
      <c r="E96" s="766" t="s">
        <v>18</v>
      </c>
      <c r="F96" s="755">
        <v>84</v>
      </c>
      <c r="G96" s="755">
        <v>75</v>
      </c>
      <c r="H96" s="755">
        <v>76</v>
      </c>
      <c r="I96" s="773">
        <v>53</v>
      </c>
      <c r="J96" s="755">
        <v>62</v>
      </c>
      <c r="K96" s="755">
        <v>48</v>
      </c>
      <c r="L96" s="755">
        <v>71</v>
      </c>
      <c r="M96" s="773">
        <v>63</v>
      </c>
      <c r="N96" s="755">
        <v>65</v>
      </c>
      <c r="O96" s="755">
        <v>80</v>
      </c>
      <c r="P96" s="755">
        <v>67</v>
      </c>
      <c r="Q96" s="755">
        <v>81</v>
      </c>
      <c r="R96" s="755">
        <v>88</v>
      </c>
      <c r="S96" s="755">
        <v>913</v>
      </c>
      <c r="T96" s="768">
        <v>70.230769230769226</v>
      </c>
      <c r="U96" s="755">
        <v>32</v>
      </c>
      <c r="V96" s="772"/>
      <c r="W96" s="772"/>
    </row>
    <row r="97" spans="1:23" ht="15" customHeight="1" x14ac:dyDescent="0.35">
      <c r="A97" s="940"/>
      <c r="B97" s="963"/>
      <c r="C97" s="944"/>
      <c r="D97" s="947"/>
      <c r="E97" s="766" t="s">
        <v>19</v>
      </c>
      <c r="F97" s="755">
        <v>87</v>
      </c>
      <c r="G97" s="755">
        <v>72</v>
      </c>
      <c r="H97" s="755">
        <v>66</v>
      </c>
      <c r="I97" s="773">
        <v>64</v>
      </c>
      <c r="J97" s="755">
        <v>63</v>
      </c>
      <c r="K97" s="755">
        <v>63</v>
      </c>
      <c r="L97" s="755">
        <v>60</v>
      </c>
      <c r="M97" s="773">
        <v>92</v>
      </c>
      <c r="N97" s="755">
        <v>72</v>
      </c>
      <c r="O97" s="755">
        <v>81</v>
      </c>
      <c r="P97" s="755">
        <v>77</v>
      </c>
      <c r="Q97" s="755">
        <v>76</v>
      </c>
      <c r="R97" s="755">
        <v>95</v>
      </c>
      <c r="S97" s="755">
        <v>968</v>
      </c>
      <c r="T97" s="768">
        <v>74.461538461538467</v>
      </c>
      <c r="U97" s="755">
        <v>31</v>
      </c>
      <c r="V97" s="772"/>
      <c r="W97" s="772"/>
    </row>
    <row r="98" spans="1:23" ht="15" customHeight="1" thickBot="1" x14ac:dyDescent="0.35">
      <c r="A98" s="941"/>
      <c r="B98" s="964"/>
      <c r="C98" s="945"/>
      <c r="D98" s="948"/>
      <c r="E98" s="766" t="s">
        <v>13</v>
      </c>
      <c r="F98" s="755">
        <f>AVERAGE(F96:F97)</f>
        <v>85.5</v>
      </c>
      <c r="G98" s="755">
        <f t="shared" ref="G98:T98" si="30">AVERAGE(G96:G97)</f>
        <v>73.5</v>
      </c>
      <c r="H98" s="755">
        <f t="shared" si="30"/>
        <v>71</v>
      </c>
      <c r="I98" s="755">
        <f t="shared" si="30"/>
        <v>58.5</v>
      </c>
      <c r="J98" s="755">
        <f t="shared" si="30"/>
        <v>62.5</v>
      </c>
      <c r="K98" s="755">
        <f t="shared" si="30"/>
        <v>55.5</v>
      </c>
      <c r="L98" s="755">
        <f t="shared" si="30"/>
        <v>65.5</v>
      </c>
      <c r="M98" s="755">
        <f t="shared" si="30"/>
        <v>77.5</v>
      </c>
      <c r="N98" s="755">
        <f t="shared" si="30"/>
        <v>68.5</v>
      </c>
      <c r="O98" s="755">
        <f t="shared" si="30"/>
        <v>80.5</v>
      </c>
      <c r="P98" s="755">
        <f t="shared" si="30"/>
        <v>72</v>
      </c>
      <c r="Q98" s="755">
        <f t="shared" si="30"/>
        <v>78.5</v>
      </c>
      <c r="R98" s="755">
        <f t="shared" si="30"/>
        <v>91.5</v>
      </c>
      <c r="S98" s="755">
        <f t="shared" si="30"/>
        <v>940.5</v>
      </c>
      <c r="T98" s="755">
        <f t="shared" si="30"/>
        <v>72.34615384615384</v>
      </c>
      <c r="U98" s="755"/>
      <c r="V98" s="771"/>
      <c r="W98" s="771"/>
    </row>
    <row r="99" spans="1:23" ht="15" customHeight="1" thickBot="1" x14ac:dyDescent="0.4">
      <c r="A99" s="949">
        <v>32</v>
      </c>
      <c r="B99" s="942"/>
      <c r="C99" s="943"/>
      <c r="D99" s="946"/>
      <c r="E99" s="766" t="s">
        <v>18</v>
      </c>
      <c r="F99" s="755">
        <v>74</v>
      </c>
      <c r="G99" s="755">
        <v>81</v>
      </c>
      <c r="H99" s="755">
        <v>76</v>
      </c>
      <c r="I99" s="755">
        <v>78</v>
      </c>
      <c r="J99" s="755">
        <v>67</v>
      </c>
      <c r="K99" s="755">
        <v>78</v>
      </c>
      <c r="L99" s="755">
        <v>79</v>
      </c>
      <c r="M99" s="755">
        <v>82</v>
      </c>
      <c r="N99" s="755">
        <v>80</v>
      </c>
      <c r="O99" s="755">
        <v>85</v>
      </c>
      <c r="P99" s="755">
        <v>86</v>
      </c>
      <c r="Q99" s="755">
        <v>78</v>
      </c>
      <c r="R99" s="755">
        <v>82</v>
      </c>
      <c r="S99" s="755">
        <v>1026</v>
      </c>
      <c r="T99" s="768">
        <v>78.92307692307692</v>
      </c>
      <c r="U99" s="755">
        <v>19</v>
      </c>
      <c r="V99" s="772"/>
      <c r="W99" s="772"/>
    </row>
    <row r="100" spans="1:23" ht="15" customHeight="1" thickBot="1" x14ac:dyDescent="0.4">
      <c r="A100" s="950"/>
      <c r="B100" s="942"/>
      <c r="C100" s="944"/>
      <c r="D100" s="947"/>
      <c r="E100" s="766" t="s">
        <v>19</v>
      </c>
      <c r="F100" s="755">
        <v>88</v>
      </c>
      <c r="G100" s="755">
        <v>81</v>
      </c>
      <c r="H100" s="755">
        <v>74</v>
      </c>
      <c r="I100" s="755">
        <v>80</v>
      </c>
      <c r="J100" s="755">
        <v>75</v>
      </c>
      <c r="K100" s="755">
        <v>80</v>
      </c>
      <c r="L100" s="755">
        <v>73</v>
      </c>
      <c r="M100" s="755">
        <v>90</v>
      </c>
      <c r="N100" s="755">
        <v>81</v>
      </c>
      <c r="O100" s="755">
        <v>88</v>
      </c>
      <c r="P100" s="755">
        <v>92</v>
      </c>
      <c r="Q100" s="755">
        <v>96</v>
      </c>
      <c r="R100" s="755">
        <v>91</v>
      </c>
      <c r="S100" s="755">
        <v>1089</v>
      </c>
      <c r="T100" s="768">
        <v>83.769230769230774</v>
      </c>
      <c r="U100" s="755">
        <v>14</v>
      </c>
      <c r="V100" s="772"/>
      <c r="W100" s="772"/>
    </row>
    <row r="101" spans="1:23" ht="15" customHeight="1" thickBot="1" x14ac:dyDescent="0.35">
      <c r="A101" s="951"/>
      <c r="B101" s="942"/>
      <c r="C101" s="945"/>
      <c r="D101" s="948"/>
      <c r="E101" s="766" t="s">
        <v>13</v>
      </c>
      <c r="F101" s="755">
        <f>AVERAGE(F99:F100)</f>
        <v>81</v>
      </c>
      <c r="G101" s="755">
        <f t="shared" ref="G101:T101" si="31">AVERAGE(G99:G100)</f>
        <v>81</v>
      </c>
      <c r="H101" s="755">
        <f t="shared" si="31"/>
        <v>75</v>
      </c>
      <c r="I101" s="755">
        <f t="shared" si="31"/>
        <v>79</v>
      </c>
      <c r="J101" s="755">
        <f t="shared" si="31"/>
        <v>71</v>
      </c>
      <c r="K101" s="755">
        <f t="shared" si="31"/>
        <v>79</v>
      </c>
      <c r="L101" s="755">
        <f t="shared" si="31"/>
        <v>76</v>
      </c>
      <c r="M101" s="755">
        <f t="shared" si="31"/>
        <v>86</v>
      </c>
      <c r="N101" s="755">
        <f t="shared" si="31"/>
        <v>80.5</v>
      </c>
      <c r="O101" s="755">
        <f t="shared" si="31"/>
        <v>86.5</v>
      </c>
      <c r="P101" s="755">
        <f t="shared" si="31"/>
        <v>89</v>
      </c>
      <c r="Q101" s="755">
        <f t="shared" si="31"/>
        <v>87</v>
      </c>
      <c r="R101" s="755">
        <f t="shared" si="31"/>
        <v>86.5</v>
      </c>
      <c r="S101" s="755">
        <f t="shared" si="31"/>
        <v>1057.5</v>
      </c>
      <c r="T101" s="755">
        <f t="shared" si="31"/>
        <v>81.34615384615384</v>
      </c>
      <c r="U101" s="755"/>
      <c r="V101" s="771"/>
      <c r="W101" s="771"/>
    </row>
    <row r="102" spans="1:23" ht="15.75" customHeight="1" thickBot="1" x14ac:dyDescent="0.4">
      <c r="A102" s="949">
        <v>33</v>
      </c>
      <c r="B102" s="942"/>
      <c r="C102" s="943"/>
      <c r="D102" s="946"/>
      <c r="E102" s="766" t="s">
        <v>18</v>
      </c>
      <c r="F102" s="755">
        <v>66</v>
      </c>
      <c r="G102" s="755">
        <v>55</v>
      </c>
      <c r="H102" s="755">
        <v>72</v>
      </c>
      <c r="I102" s="773">
        <v>66</v>
      </c>
      <c r="J102" s="755">
        <v>57</v>
      </c>
      <c r="K102" s="755">
        <v>61</v>
      </c>
      <c r="L102" s="755">
        <v>52</v>
      </c>
      <c r="M102" s="755">
        <v>58</v>
      </c>
      <c r="N102" s="755">
        <v>69</v>
      </c>
      <c r="O102" s="755">
        <v>61</v>
      </c>
      <c r="P102" s="755">
        <v>64</v>
      </c>
      <c r="Q102" s="755">
        <v>72</v>
      </c>
      <c r="R102" s="755">
        <v>82</v>
      </c>
      <c r="S102" s="755">
        <v>835</v>
      </c>
      <c r="T102" s="768">
        <v>64.230769230769226</v>
      </c>
      <c r="U102" s="755">
        <v>45</v>
      </c>
      <c r="V102" s="772"/>
      <c r="W102" s="772"/>
    </row>
    <row r="103" spans="1:23" ht="15.75" customHeight="1" thickBot="1" x14ac:dyDescent="0.4">
      <c r="A103" s="950"/>
      <c r="B103" s="942"/>
      <c r="C103" s="944"/>
      <c r="D103" s="947"/>
      <c r="E103" s="766" t="s">
        <v>19</v>
      </c>
      <c r="F103" s="755">
        <v>64</v>
      </c>
      <c r="G103" s="755">
        <v>46</v>
      </c>
      <c r="H103" s="755">
        <v>68</v>
      </c>
      <c r="I103" s="773">
        <v>58</v>
      </c>
      <c r="J103" s="755">
        <v>58</v>
      </c>
      <c r="K103" s="755">
        <v>41</v>
      </c>
      <c r="L103" s="755">
        <v>43</v>
      </c>
      <c r="M103" s="755">
        <v>73</v>
      </c>
      <c r="N103" s="755">
        <v>72</v>
      </c>
      <c r="O103" s="755">
        <v>70</v>
      </c>
      <c r="P103" s="755">
        <v>61</v>
      </c>
      <c r="Q103" s="755">
        <v>94</v>
      </c>
      <c r="R103" s="755">
        <v>84</v>
      </c>
      <c r="S103" s="755">
        <v>832</v>
      </c>
      <c r="T103" s="768">
        <v>64</v>
      </c>
      <c r="U103" s="755">
        <v>44</v>
      </c>
      <c r="V103" s="772"/>
      <c r="W103" s="772"/>
    </row>
    <row r="104" spans="1:23" ht="15.75" customHeight="1" thickBot="1" x14ac:dyDescent="0.35">
      <c r="A104" s="951"/>
      <c r="B104" s="942"/>
      <c r="C104" s="945"/>
      <c r="D104" s="948"/>
      <c r="E104" s="766" t="s">
        <v>13</v>
      </c>
      <c r="F104" s="755">
        <f>AVERAGE(F102:F103)</f>
        <v>65</v>
      </c>
      <c r="G104" s="755">
        <f t="shared" ref="G104:T104" si="32">AVERAGE(G102:G103)</f>
        <v>50.5</v>
      </c>
      <c r="H104" s="755">
        <f t="shared" si="32"/>
        <v>70</v>
      </c>
      <c r="I104" s="755">
        <f t="shared" si="32"/>
        <v>62</v>
      </c>
      <c r="J104" s="755">
        <f t="shared" si="32"/>
        <v>57.5</v>
      </c>
      <c r="K104" s="755">
        <f t="shared" si="32"/>
        <v>51</v>
      </c>
      <c r="L104" s="755">
        <f t="shared" si="32"/>
        <v>47.5</v>
      </c>
      <c r="M104" s="755">
        <f t="shared" si="32"/>
        <v>65.5</v>
      </c>
      <c r="N104" s="755">
        <f t="shared" si="32"/>
        <v>70.5</v>
      </c>
      <c r="O104" s="755">
        <f t="shared" si="32"/>
        <v>65.5</v>
      </c>
      <c r="P104" s="755">
        <f t="shared" si="32"/>
        <v>62.5</v>
      </c>
      <c r="Q104" s="755">
        <f t="shared" si="32"/>
        <v>83</v>
      </c>
      <c r="R104" s="755">
        <f t="shared" si="32"/>
        <v>83</v>
      </c>
      <c r="S104" s="755">
        <f t="shared" si="32"/>
        <v>833.5</v>
      </c>
      <c r="T104" s="755">
        <f t="shared" si="32"/>
        <v>64.115384615384613</v>
      </c>
      <c r="U104" s="755"/>
      <c r="V104" s="771"/>
      <c r="W104" s="771"/>
    </row>
    <row r="105" spans="1:23" ht="15.75" customHeight="1" thickBot="1" x14ac:dyDescent="0.4">
      <c r="A105" s="939">
        <v>34</v>
      </c>
      <c r="B105" s="942"/>
      <c r="C105" s="943"/>
      <c r="D105" s="946"/>
      <c r="E105" s="766" t="s">
        <v>18</v>
      </c>
      <c r="F105" s="755">
        <v>75</v>
      </c>
      <c r="G105" s="755">
        <v>79</v>
      </c>
      <c r="H105" s="755">
        <v>76</v>
      </c>
      <c r="I105" s="755">
        <v>67</v>
      </c>
      <c r="J105" s="755">
        <v>73</v>
      </c>
      <c r="K105" s="755">
        <v>77</v>
      </c>
      <c r="L105" s="755">
        <v>78</v>
      </c>
      <c r="M105" s="755">
        <v>87</v>
      </c>
      <c r="N105" s="755">
        <v>94</v>
      </c>
      <c r="O105" s="755">
        <v>90</v>
      </c>
      <c r="P105" s="755">
        <v>88</v>
      </c>
      <c r="Q105" s="755">
        <v>83</v>
      </c>
      <c r="R105" s="755">
        <v>90</v>
      </c>
      <c r="S105" s="755">
        <v>1057</v>
      </c>
      <c r="T105" s="768">
        <v>81.307692307692307</v>
      </c>
      <c r="U105" s="755">
        <v>10</v>
      </c>
      <c r="V105" s="772"/>
      <c r="W105" s="772"/>
    </row>
    <row r="106" spans="1:23" ht="15.75" customHeight="1" thickBot="1" x14ac:dyDescent="0.4">
      <c r="A106" s="940"/>
      <c r="B106" s="942"/>
      <c r="C106" s="944"/>
      <c r="D106" s="947"/>
      <c r="E106" s="766" t="s">
        <v>19</v>
      </c>
      <c r="F106" s="755">
        <v>82</v>
      </c>
      <c r="G106" s="755">
        <v>70</v>
      </c>
      <c r="H106" s="755">
        <v>78</v>
      </c>
      <c r="I106" s="755">
        <v>60</v>
      </c>
      <c r="J106" s="755">
        <v>83</v>
      </c>
      <c r="K106" s="755">
        <v>87</v>
      </c>
      <c r="L106" s="755">
        <v>87</v>
      </c>
      <c r="M106" s="755">
        <v>92</v>
      </c>
      <c r="N106" s="755">
        <v>82</v>
      </c>
      <c r="O106" s="755">
        <v>95</v>
      </c>
      <c r="P106" s="755">
        <v>96</v>
      </c>
      <c r="Q106" s="755">
        <v>97</v>
      </c>
      <c r="R106" s="755">
        <v>94</v>
      </c>
      <c r="S106" s="755">
        <v>1103</v>
      </c>
      <c r="T106" s="768">
        <v>84.84615384615384</v>
      </c>
      <c r="U106" s="755">
        <v>10</v>
      </c>
      <c r="V106" s="772"/>
      <c r="W106" s="772"/>
    </row>
    <row r="107" spans="1:23" ht="15.75" customHeight="1" thickBot="1" x14ac:dyDescent="0.35">
      <c r="A107" s="941"/>
      <c r="B107" s="942"/>
      <c r="C107" s="945"/>
      <c r="D107" s="948"/>
      <c r="E107" s="766" t="s">
        <v>13</v>
      </c>
      <c r="F107" s="755">
        <f>AVERAGE(F105:F106)</f>
        <v>78.5</v>
      </c>
      <c r="G107" s="755">
        <f t="shared" ref="G107:T107" si="33">AVERAGE(G105:G106)</f>
        <v>74.5</v>
      </c>
      <c r="H107" s="755">
        <f t="shared" si="33"/>
        <v>77</v>
      </c>
      <c r="I107" s="755">
        <f t="shared" si="33"/>
        <v>63.5</v>
      </c>
      <c r="J107" s="755">
        <f t="shared" si="33"/>
        <v>78</v>
      </c>
      <c r="K107" s="755">
        <f t="shared" si="33"/>
        <v>82</v>
      </c>
      <c r="L107" s="755">
        <f t="shared" si="33"/>
        <v>82.5</v>
      </c>
      <c r="M107" s="755">
        <f t="shared" si="33"/>
        <v>89.5</v>
      </c>
      <c r="N107" s="755">
        <f t="shared" si="33"/>
        <v>88</v>
      </c>
      <c r="O107" s="755">
        <f t="shared" si="33"/>
        <v>92.5</v>
      </c>
      <c r="P107" s="755">
        <f t="shared" si="33"/>
        <v>92</v>
      </c>
      <c r="Q107" s="755">
        <f t="shared" si="33"/>
        <v>90</v>
      </c>
      <c r="R107" s="755">
        <f t="shared" si="33"/>
        <v>92</v>
      </c>
      <c r="S107" s="755">
        <f t="shared" si="33"/>
        <v>1080</v>
      </c>
      <c r="T107" s="755">
        <f t="shared" si="33"/>
        <v>83.076923076923066</v>
      </c>
      <c r="U107" s="755"/>
      <c r="V107" s="771"/>
      <c r="W107" s="771"/>
    </row>
    <row r="108" spans="1:23" ht="15.75" customHeight="1" thickBot="1" x14ac:dyDescent="0.4">
      <c r="A108" s="949">
        <v>35</v>
      </c>
      <c r="B108" s="942"/>
      <c r="C108" s="943"/>
      <c r="D108" s="946"/>
      <c r="E108" s="766" t="s">
        <v>18</v>
      </c>
      <c r="F108" s="755">
        <v>87</v>
      </c>
      <c r="G108" s="755">
        <v>86</v>
      </c>
      <c r="H108" s="755">
        <v>94</v>
      </c>
      <c r="I108" s="755">
        <v>63</v>
      </c>
      <c r="J108" s="755">
        <v>60</v>
      </c>
      <c r="K108" s="755">
        <v>77</v>
      </c>
      <c r="L108" s="755">
        <v>85</v>
      </c>
      <c r="M108" s="755">
        <v>93</v>
      </c>
      <c r="N108" s="755">
        <v>94</v>
      </c>
      <c r="O108" s="755">
        <v>93</v>
      </c>
      <c r="P108" s="755">
        <v>87</v>
      </c>
      <c r="Q108" s="755">
        <v>93</v>
      </c>
      <c r="R108" s="755">
        <v>94</v>
      </c>
      <c r="S108" s="755">
        <v>1106</v>
      </c>
      <c r="T108" s="768">
        <v>85.07692307692308</v>
      </c>
      <c r="U108" s="755">
        <v>5</v>
      </c>
      <c r="V108" s="772"/>
      <c r="W108" s="772"/>
    </row>
    <row r="109" spans="1:23" ht="15.75" customHeight="1" thickBot="1" x14ac:dyDescent="0.4">
      <c r="A109" s="950"/>
      <c r="B109" s="942"/>
      <c r="C109" s="944"/>
      <c r="D109" s="947"/>
      <c r="E109" s="766" t="s">
        <v>19</v>
      </c>
      <c r="F109" s="755">
        <v>83</v>
      </c>
      <c r="G109" s="755">
        <v>89</v>
      </c>
      <c r="H109" s="755">
        <v>98</v>
      </c>
      <c r="I109" s="755">
        <v>65</v>
      </c>
      <c r="J109" s="755">
        <v>76</v>
      </c>
      <c r="K109" s="755">
        <v>71</v>
      </c>
      <c r="L109" s="755">
        <v>83</v>
      </c>
      <c r="M109" s="755">
        <v>93</v>
      </c>
      <c r="N109" s="755">
        <v>89</v>
      </c>
      <c r="O109" s="755">
        <v>91</v>
      </c>
      <c r="P109" s="755">
        <v>94</v>
      </c>
      <c r="Q109" s="755">
        <v>94</v>
      </c>
      <c r="R109" s="755">
        <v>98</v>
      </c>
      <c r="S109" s="755">
        <v>1124</v>
      </c>
      <c r="T109" s="768">
        <v>86.461538461538467</v>
      </c>
      <c r="U109" s="755">
        <v>8</v>
      </c>
      <c r="V109" s="772"/>
      <c r="W109" s="772"/>
    </row>
    <row r="110" spans="1:23" ht="15.75" customHeight="1" thickBot="1" x14ac:dyDescent="0.35">
      <c r="A110" s="951"/>
      <c r="B110" s="942"/>
      <c r="C110" s="945"/>
      <c r="D110" s="948"/>
      <c r="E110" s="766" t="s">
        <v>13</v>
      </c>
      <c r="F110" s="755">
        <f>AVERAGE(F108:F109)</f>
        <v>85</v>
      </c>
      <c r="G110" s="755">
        <f t="shared" ref="G110:T110" si="34">AVERAGE(G108:G109)</f>
        <v>87.5</v>
      </c>
      <c r="H110" s="755">
        <f t="shared" si="34"/>
        <v>96</v>
      </c>
      <c r="I110" s="755">
        <f t="shared" si="34"/>
        <v>64</v>
      </c>
      <c r="J110" s="755">
        <f t="shared" si="34"/>
        <v>68</v>
      </c>
      <c r="K110" s="755">
        <f t="shared" si="34"/>
        <v>74</v>
      </c>
      <c r="L110" s="755">
        <f t="shared" si="34"/>
        <v>84</v>
      </c>
      <c r="M110" s="755">
        <f t="shared" si="34"/>
        <v>93</v>
      </c>
      <c r="N110" s="755">
        <f t="shared" si="34"/>
        <v>91.5</v>
      </c>
      <c r="O110" s="755">
        <f t="shared" si="34"/>
        <v>92</v>
      </c>
      <c r="P110" s="755">
        <f t="shared" si="34"/>
        <v>90.5</v>
      </c>
      <c r="Q110" s="755">
        <f t="shared" si="34"/>
        <v>93.5</v>
      </c>
      <c r="R110" s="755">
        <f t="shared" si="34"/>
        <v>96</v>
      </c>
      <c r="S110" s="755">
        <f t="shared" si="34"/>
        <v>1115</v>
      </c>
      <c r="T110" s="755">
        <f t="shared" si="34"/>
        <v>85.769230769230774</v>
      </c>
      <c r="U110" s="755"/>
      <c r="V110" s="771"/>
      <c r="W110" s="771"/>
    </row>
    <row r="111" spans="1:23" ht="15.75" customHeight="1" thickBot="1" x14ac:dyDescent="0.4">
      <c r="A111" s="949">
        <v>36</v>
      </c>
      <c r="B111" s="942"/>
      <c r="C111" s="943"/>
      <c r="D111" s="946"/>
      <c r="E111" s="766" t="s">
        <v>18</v>
      </c>
      <c r="F111" s="755">
        <v>77</v>
      </c>
      <c r="G111" s="755">
        <v>80</v>
      </c>
      <c r="H111" s="755">
        <v>68</v>
      </c>
      <c r="I111" s="773">
        <v>69</v>
      </c>
      <c r="J111" s="755">
        <v>61</v>
      </c>
      <c r="K111" s="755">
        <v>50</v>
      </c>
      <c r="L111" s="755">
        <v>68</v>
      </c>
      <c r="M111" s="755">
        <v>83</v>
      </c>
      <c r="N111" s="755">
        <v>69</v>
      </c>
      <c r="O111" s="755">
        <v>78</v>
      </c>
      <c r="P111" s="755">
        <v>96</v>
      </c>
      <c r="Q111" s="755">
        <v>79</v>
      </c>
      <c r="R111" s="755">
        <v>70</v>
      </c>
      <c r="S111" s="755">
        <v>948</v>
      </c>
      <c r="T111" s="768">
        <v>72.92307692307692</v>
      </c>
      <c r="U111" s="755">
        <v>29</v>
      </c>
      <c r="V111" s="772"/>
      <c r="W111" s="772"/>
    </row>
    <row r="112" spans="1:23" ht="15.75" customHeight="1" thickBot="1" x14ac:dyDescent="0.4">
      <c r="A112" s="950"/>
      <c r="B112" s="942"/>
      <c r="C112" s="944"/>
      <c r="D112" s="947"/>
      <c r="E112" s="766" t="s">
        <v>19</v>
      </c>
      <c r="F112" s="755">
        <v>79</v>
      </c>
      <c r="G112" s="755">
        <v>75</v>
      </c>
      <c r="H112" s="755">
        <v>63</v>
      </c>
      <c r="I112" s="773">
        <v>68</v>
      </c>
      <c r="J112" s="755">
        <v>61</v>
      </c>
      <c r="K112" s="755">
        <v>64</v>
      </c>
      <c r="L112" s="755">
        <v>85</v>
      </c>
      <c r="M112" s="755">
        <v>94</v>
      </c>
      <c r="N112" s="755">
        <v>73</v>
      </c>
      <c r="O112" s="755">
        <v>82</v>
      </c>
      <c r="P112" s="755">
        <v>91</v>
      </c>
      <c r="Q112" s="755">
        <v>91</v>
      </c>
      <c r="R112" s="755">
        <v>90</v>
      </c>
      <c r="S112" s="755">
        <v>1016</v>
      </c>
      <c r="T112" s="768">
        <v>78.15384615384616</v>
      </c>
      <c r="U112" s="755">
        <v>24</v>
      </c>
      <c r="V112" s="772"/>
      <c r="W112" s="772"/>
    </row>
    <row r="113" spans="1:23" ht="15.75" customHeight="1" thickBot="1" x14ac:dyDescent="0.35">
      <c r="A113" s="951"/>
      <c r="B113" s="942"/>
      <c r="C113" s="945"/>
      <c r="D113" s="948"/>
      <c r="E113" s="766" t="s">
        <v>13</v>
      </c>
      <c r="F113" s="755">
        <f>AVERAGE(F111:F112)</f>
        <v>78</v>
      </c>
      <c r="G113" s="755">
        <f t="shared" ref="G113:T113" si="35">AVERAGE(G111:G112)</f>
        <v>77.5</v>
      </c>
      <c r="H113" s="755">
        <f t="shared" si="35"/>
        <v>65.5</v>
      </c>
      <c r="I113" s="755">
        <f t="shared" si="35"/>
        <v>68.5</v>
      </c>
      <c r="J113" s="755">
        <f t="shared" si="35"/>
        <v>61</v>
      </c>
      <c r="K113" s="755">
        <f t="shared" si="35"/>
        <v>57</v>
      </c>
      <c r="L113" s="755">
        <f t="shared" si="35"/>
        <v>76.5</v>
      </c>
      <c r="M113" s="755">
        <f t="shared" si="35"/>
        <v>88.5</v>
      </c>
      <c r="N113" s="755">
        <f t="shared" si="35"/>
        <v>71</v>
      </c>
      <c r="O113" s="755">
        <f t="shared" si="35"/>
        <v>80</v>
      </c>
      <c r="P113" s="755">
        <f t="shared" si="35"/>
        <v>93.5</v>
      </c>
      <c r="Q113" s="755">
        <f t="shared" si="35"/>
        <v>85</v>
      </c>
      <c r="R113" s="755">
        <f t="shared" si="35"/>
        <v>80</v>
      </c>
      <c r="S113" s="755">
        <f t="shared" si="35"/>
        <v>982</v>
      </c>
      <c r="T113" s="755">
        <f t="shared" si="35"/>
        <v>75.538461538461547</v>
      </c>
      <c r="U113" s="755"/>
      <c r="V113" s="771"/>
      <c r="W113" s="771"/>
    </row>
    <row r="114" spans="1:23" ht="15" customHeight="1" thickBot="1" x14ac:dyDescent="0.4">
      <c r="A114" s="939" t="s">
        <v>107</v>
      </c>
      <c r="B114" s="942"/>
      <c r="C114" s="943"/>
      <c r="D114" s="946"/>
      <c r="E114" s="766" t="s">
        <v>18</v>
      </c>
      <c r="F114" s="755">
        <v>74</v>
      </c>
      <c r="G114" s="755">
        <v>71</v>
      </c>
      <c r="H114" s="755">
        <v>70</v>
      </c>
      <c r="I114" s="755">
        <v>54</v>
      </c>
      <c r="J114" s="755">
        <v>60</v>
      </c>
      <c r="K114" s="755">
        <v>56</v>
      </c>
      <c r="L114" s="755">
        <v>59</v>
      </c>
      <c r="M114" s="755">
        <v>53</v>
      </c>
      <c r="N114" s="755">
        <v>68</v>
      </c>
      <c r="O114" s="755">
        <v>67</v>
      </c>
      <c r="P114" s="755">
        <v>68</v>
      </c>
      <c r="Q114" s="755">
        <v>80</v>
      </c>
      <c r="R114" s="755">
        <v>78</v>
      </c>
      <c r="S114" s="755">
        <v>858</v>
      </c>
      <c r="T114" s="768">
        <v>66</v>
      </c>
      <c r="U114" s="755">
        <v>40</v>
      </c>
      <c r="V114" s="772"/>
      <c r="W114" s="772"/>
    </row>
    <row r="115" spans="1:23" ht="15" customHeight="1" thickBot="1" x14ac:dyDescent="0.4">
      <c r="A115" s="940"/>
      <c r="B115" s="942"/>
      <c r="C115" s="944"/>
      <c r="D115" s="947"/>
      <c r="E115" s="766" t="s">
        <v>19</v>
      </c>
      <c r="F115" s="755"/>
      <c r="G115" s="755"/>
      <c r="H115" s="755"/>
      <c r="I115" s="755"/>
      <c r="J115" s="755"/>
      <c r="K115" s="755"/>
      <c r="L115" s="755"/>
      <c r="M115" s="755"/>
      <c r="N115" s="755"/>
      <c r="O115" s="755"/>
      <c r="P115" s="755"/>
      <c r="Q115" s="755"/>
      <c r="R115" s="755"/>
      <c r="S115" s="755"/>
      <c r="T115" s="768"/>
      <c r="U115" s="755"/>
      <c r="V115" s="772"/>
      <c r="W115" s="772"/>
    </row>
    <row r="116" spans="1:23" ht="15" customHeight="1" thickBot="1" x14ac:dyDescent="0.35">
      <c r="A116" s="941"/>
      <c r="B116" s="942"/>
      <c r="C116" s="945"/>
      <c r="D116" s="948"/>
      <c r="E116" s="766" t="s">
        <v>13</v>
      </c>
      <c r="F116" s="755">
        <f>AVERAGE(F114:F115)</f>
        <v>74</v>
      </c>
      <c r="G116" s="755">
        <f t="shared" ref="G116:T116" si="36">AVERAGE(G114:G115)</f>
        <v>71</v>
      </c>
      <c r="H116" s="755">
        <f t="shared" si="36"/>
        <v>70</v>
      </c>
      <c r="I116" s="755">
        <f t="shared" si="36"/>
        <v>54</v>
      </c>
      <c r="J116" s="755">
        <f t="shared" si="36"/>
        <v>60</v>
      </c>
      <c r="K116" s="755">
        <f t="shared" si="36"/>
        <v>56</v>
      </c>
      <c r="L116" s="755">
        <f t="shared" si="36"/>
        <v>59</v>
      </c>
      <c r="M116" s="755">
        <f t="shared" si="36"/>
        <v>53</v>
      </c>
      <c r="N116" s="755">
        <f t="shared" si="36"/>
        <v>68</v>
      </c>
      <c r="O116" s="755">
        <f t="shared" si="36"/>
        <v>67</v>
      </c>
      <c r="P116" s="755">
        <f t="shared" si="36"/>
        <v>68</v>
      </c>
      <c r="Q116" s="755">
        <f t="shared" si="36"/>
        <v>80</v>
      </c>
      <c r="R116" s="755">
        <f t="shared" si="36"/>
        <v>78</v>
      </c>
      <c r="S116" s="755">
        <f t="shared" si="36"/>
        <v>858</v>
      </c>
      <c r="T116" s="755">
        <f t="shared" si="36"/>
        <v>66</v>
      </c>
      <c r="U116" s="755"/>
      <c r="V116" s="771"/>
      <c r="W116" s="771"/>
    </row>
    <row r="117" spans="1:23" ht="15" customHeight="1" thickBot="1" x14ac:dyDescent="0.4">
      <c r="A117" s="949">
        <v>38</v>
      </c>
      <c r="B117" s="942"/>
      <c r="C117" s="943"/>
      <c r="D117" s="946"/>
      <c r="E117" s="766" t="s">
        <v>18</v>
      </c>
      <c r="F117" s="755">
        <v>77</v>
      </c>
      <c r="G117" s="755">
        <v>81</v>
      </c>
      <c r="H117" s="755">
        <v>74</v>
      </c>
      <c r="I117" s="755">
        <v>73</v>
      </c>
      <c r="J117" s="755">
        <v>63</v>
      </c>
      <c r="K117" s="755">
        <v>67</v>
      </c>
      <c r="L117" s="755">
        <v>72</v>
      </c>
      <c r="M117" s="755">
        <v>78</v>
      </c>
      <c r="N117" s="755">
        <v>63</v>
      </c>
      <c r="O117" s="755">
        <v>83</v>
      </c>
      <c r="P117" s="755">
        <v>92</v>
      </c>
      <c r="Q117" s="755">
        <v>78</v>
      </c>
      <c r="R117" s="755">
        <v>75</v>
      </c>
      <c r="S117" s="755">
        <v>976</v>
      </c>
      <c r="T117" s="768">
        <v>75.07692307692308</v>
      </c>
      <c r="U117" s="755">
        <v>22</v>
      </c>
      <c r="V117" s="772"/>
      <c r="W117" s="772"/>
    </row>
    <row r="118" spans="1:23" ht="15" customHeight="1" thickBot="1" x14ac:dyDescent="0.4">
      <c r="A118" s="950"/>
      <c r="B118" s="942"/>
      <c r="C118" s="944"/>
      <c r="D118" s="947"/>
      <c r="E118" s="766" t="s">
        <v>19</v>
      </c>
      <c r="F118" s="755">
        <v>80</v>
      </c>
      <c r="G118" s="755">
        <v>78</v>
      </c>
      <c r="H118" s="755">
        <v>58</v>
      </c>
      <c r="I118" s="755">
        <v>60</v>
      </c>
      <c r="J118" s="755">
        <v>56</v>
      </c>
      <c r="K118" s="755">
        <v>59</v>
      </c>
      <c r="L118" s="755">
        <v>61</v>
      </c>
      <c r="M118" s="755">
        <v>76</v>
      </c>
      <c r="N118" s="755">
        <v>60</v>
      </c>
      <c r="O118" s="755">
        <v>78</v>
      </c>
      <c r="P118" s="755">
        <v>65</v>
      </c>
      <c r="Q118" s="755">
        <v>84</v>
      </c>
      <c r="R118" s="755">
        <v>72</v>
      </c>
      <c r="S118" s="755">
        <v>887</v>
      </c>
      <c r="T118" s="768">
        <v>68.230769230769226</v>
      </c>
      <c r="U118" s="755">
        <v>39</v>
      </c>
      <c r="V118" s="772"/>
      <c r="W118" s="772"/>
    </row>
    <row r="119" spans="1:23" ht="15" customHeight="1" thickBot="1" x14ac:dyDescent="0.35">
      <c r="A119" s="951"/>
      <c r="B119" s="942"/>
      <c r="C119" s="945"/>
      <c r="D119" s="948"/>
      <c r="E119" s="766" t="s">
        <v>13</v>
      </c>
      <c r="F119" s="755">
        <f>AVERAGE(F117:F118)</f>
        <v>78.5</v>
      </c>
      <c r="G119" s="755">
        <f t="shared" ref="G119:T119" si="37">AVERAGE(G117:G118)</f>
        <v>79.5</v>
      </c>
      <c r="H119" s="755">
        <f t="shared" si="37"/>
        <v>66</v>
      </c>
      <c r="I119" s="755">
        <f t="shared" si="37"/>
        <v>66.5</v>
      </c>
      <c r="J119" s="755">
        <f t="shared" si="37"/>
        <v>59.5</v>
      </c>
      <c r="K119" s="755">
        <f t="shared" si="37"/>
        <v>63</v>
      </c>
      <c r="L119" s="755">
        <f t="shared" si="37"/>
        <v>66.5</v>
      </c>
      <c r="M119" s="755">
        <f t="shared" si="37"/>
        <v>77</v>
      </c>
      <c r="N119" s="755">
        <f t="shared" si="37"/>
        <v>61.5</v>
      </c>
      <c r="O119" s="755">
        <f t="shared" si="37"/>
        <v>80.5</v>
      </c>
      <c r="P119" s="755">
        <f t="shared" si="37"/>
        <v>78.5</v>
      </c>
      <c r="Q119" s="755">
        <f t="shared" si="37"/>
        <v>81</v>
      </c>
      <c r="R119" s="755">
        <f t="shared" si="37"/>
        <v>73.5</v>
      </c>
      <c r="S119" s="755">
        <f t="shared" si="37"/>
        <v>931.5</v>
      </c>
      <c r="T119" s="755">
        <f t="shared" si="37"/>
        <v>71.65384615384616</v>
      </c>
      <c r="U119" s="755"/>
      <c r="V119" s="771"/>
      <c r="W119" s="771"/>
    </row>
    <row r="120" spans="1:23" ht="15.75" customHeight="1" thickBot="1" x14ac:dyDescent="0.4">
      <c r="A120" s="949">
        <v>39</v>
      </c>
      <c r="B120" s="942"/>
      <c r="C120" s="943"/>
      <c r="D120" s="946"/>
      <c r="E120" s="766" t="s">
        <v>18</v>
      </c>
      <c r="F120" s="755">
        <v>82</v>
      </c>
      <c r="G120" s="755">
        <v>66</v>
      </c>
      <c r="H120" s="755">
        <v>78</v>
      </c>
      <c r="I120" s="773">
        <v>66</v>
      </c>
      <c r="J120" s="755">
        <v>60</v>
      </c>
      <c r="K120" s="755">
        <v>55</v>
      </c>
      <c r="L120" s="755">
        <v>53</v>
      </c>
      <c r="M120" s="755">
        <v>62</v>
      </c>
      <c r="N120" s="755">
        <v>63</v>
      </c>
      <c r="O120" s="755">
        <v>76</v>
      </c>
      <c r="P120" s="755">
        <v>77</v>
      </c>
      <c r="Q120" s="755">
        <v>85</v>
      </c>
      <c r="R120" s="755">
        <v>82</v>
      </c>
      <c r="S120" s="755">
        <v>905</v>
      </c>
      <c r="T120" s="768">
        <v>69.615384615384613</v>
      </c>
      <c r="U120" s="755">
        <v>35</v>
      </c>
      <c r="V120" s="772"/>
      <c r="W120" s="772"/>
    </row>
    <row r="121" spans="1:23" ht="15.75" customHeight="1" thickBot="1" x14ac:dyDescent="0.4">
      <c r="A121" s="950"/>
      <c r="B121" s="942"/>
      <c r="C121" s="944"/>
      <c r="D121" s="947"/>
      <c r="E121" s="766" t="s">
        <v>19</v>
      </c>
      <c r="F121" s="755">
        <v>89</v>
      </c>
      <c r="G121" s="755">
        <v>62</v>
      </c>
      <c r="H121" s="755">
        <v>65</v>
      </c>
      <c r="I121" s="773">
        <v>65</v>
      </c>
      <c r="J121" s="755">
        <v>61</v>
      </c>
      <c r="K121" s="755">
        <v>57</v>
      </c>
      <c r="L121" s="755">
        <v>50</v>
      </c>
      <c r="M121" s="755">
        <v>76</v>
      </c>
      <c r="N121" s="755">
        <v>75</v>
      </c>
      <c r="O121" s="755">
        <v>80</v>
      </c>
      <c r="P121" s="755">
        <v>79</v>
      </c>
      <c r="Q121" s="755">
        <v>95</v>
      </c>
      <c r="R121" s="755">
        <v>78</v>
      </c>
      <c r="S121" s="755">
        <v>932</v>
      </c>
      <c r="T121" s="768">
        <v>71.692307692307693</v>
      </c>
      <c r="U121" s="755">
        <v>35</v>
      </c>
      <c r="V121" s="772"/>
      <c r="W121" s="772"/>
    </row>
    <row r="122" spans="1:23" ht="15.75" customHeight="1" thickBot="1" x14ac:dyDescent="0.35">
      <c r="A122" s="951"/>
      <c r="B122" s="942"/>
      <c r="C122" s="945"/>
      <c r="D122" s="948"/>
      <c r="E122" s="766" t="s">
        <v>13</v>
      </c>
      <c r="F122" s="755">
        <f>AVERAGE(F120:F121)</f>
        <v>85.5</v>
      </c>
      <c r="G122" s="755">
        <f t="shared" ref="G122:T122" si="38">AVERAGE(G120:G121)</f>
        <v>64</v>
      </c>
      <c r="H122" s="755">
        <f t="shared" si="38"/>
        <v>71.5</v>
      </c>
      <c r="I122" s="755">
        <f t="shared" si="38"/>
        <v>65.5</v>
      </c>
      <c r="J122" s="755">
        <f t="shared" si="38"/>
        <v>60.5</v>
      </c>
      <c r="K122" s="755">
        <f t="shared" si="38"/>
        <v>56</v>
      </c>
      <c r="L122" s="755">
        <f t="shared" si="38"/>
        <v>51.5</v>
      </c>
      <c r="M122" s="755">
        <f t="shared" si="38"/>
        <v>69</v>
      </c>
      <c r="N122" s="755">
        <f t="shared" si="38"/>
        <v>69</v>
      </c>
      <c r="O122" s="755">
        <f t="shared" si="38"/>
        <v>78</v>
      </c>
      <c r="P122" s="755">
        <f t="shared" si="38"/>
        <v>78</v>
      </c>
      <c r="Q122" s="755">
        <f t="shared" si="38"/>
        <v>90</v>
      </c>
      <c r="R122" s="755">
        <f t="shared" si="38"/>
        <v>80</v>
      </c>
      <c r="S122" s="755">
        <f t="shared" si="38"/>
        <v>918.5</v>
      </c>
      <c r="T122" s="755">
        <f t="shared" si="38"/>
        <v>70.65384615384616</v>
      </c>
      <c r="U122" s="755"/>
      <c r="V122" s="771"/>
      <c r="W122" s="771"/>
    </row>
    <row r="123" spans="1:23" ht="15" customHeight="1" thickBot="1" x14ac:dyDescent="0.4">
      <c r="A123" s="939">
        <v>40</v>
      </c>
      <c r="B123" s="942"/>
      <c r="C123" s="943"/>
      <c r="D123" s="946"/>
      <c r="E123" s="766" t="s">
        <v>18</v>
      </c>
      <c r="F123" s="755">
        <v>82</v>
      </c>
      <c r="G123" s="755">
        <v>81</v>
      </c>
      <c r="H123" s="755">
        <v>82</v>
      </c>
      <c r="I123" s="755">
        <v>79</v>
      </c>
      <c r="J123" s="755">
        <v>68</v>
      </c>
      <c r="K123" s="755">
        <v>71</v>
      </c>
      <c r="L123" s="755">
        <v>79</v>
      </c>
      <c r="M123" s="773">
        <v>78</v>
      </c>
      <c r="N123" s="755">
        <v>82</v>
      </c>
      <c r="O123" s="755">
        <v>78</v>
      </c>
      <c r="P123" s="755">
        <v>81</v>
      </c>
      <c r="Q123" s="755">
        <v>85</v>
      </c>
      <c r="R123" s="755">
        <v>86</v>
      </c>
      <c r="S123" s="755">
        <v>1032</v>
      </c>
      <c r="T123" s="768">
        <v>79.384615384615387</v>
      </c>
      <c r="U123" s="755">
        <v>18</v>
      </c>
      <c r="V123" s="772"/>
      <c r="W123" s="772"/>
    </row>
    <row r="124" spans="1:23" ht="15" customHeight="1" thickBot="1" x14ac:dyDescent="0.4">
      <c r="A124" s="940"/>
      <c r="B124" s="942"/>
      <c r="C124" s="944"/>
      <c r="D124" s="947"/>
      <c r="E124" s="766" t="s">
        <v>19</v>
      </c>
      <c r="F124" s="755">
        <v>83</v>
      </c>
      <c r="G124" s="755">
        <v>82</v>
      </c>
      <c r="H124" s="755">
        <v>77</v>
      </c>
      <c r="I124" s="755">
        <v>73</v>
      </c>
      <c r="J124" s="755">
        <v>68</v>
      </c>
      <c r="K124" s="755">
        <v>69</v>
      </c>
      <c r="L124" s="755">
        <v>69</v>
      </c>
      <c r="M124" s="773">
        <v>81</v>
      </c>
      <c r="N124" s="755">
        <v>74</v>
      </c>
      <c r="O124" s="755">
        <v>87</v>
      </c>
      <c r="P124" s="755">
        <v>90</v>
      </c>
      <c r="Q124" s="755">
        <v>93</v>
      </c>
      <c r="R124" s="755">
        <v>93</v>
      </c>
      <c r="S124" s="755">
        <v>1039</v>
      </c>
      <c r="T124" s="768">
        <v>79.92307692307692</v>
      </c>
      <c r="U124" s="755">
        <v>19</v>
      </c>
      <c r="V124" s="772"/>
      <c r="W124" s="772"/>
    </row>
    <row r="125" spans="1:23" ht="15" customHeight="1" thickBot="1" x14ac:dyDescent="0.35">
      <c r="A125" s="941"/>
      <c r="B125" s="942"/>
      <c r="C125" s="945"/>
      <c r="D125" s="948"/>
      <c r="E125" s="766" t="s">
        <v>13</v>
      </c>
      <c r="F125" s="755">
        <f>AVERAGE(F123:F124)</f>
        <v>82.5</v>
      </c>
      <c r="G125" s="755">
        <f t="shared" ref="G125:T125" si="39">AVERAGE(G123:G124)</f>
        <v>81.5</v>
      </c>
      <c r="H125" s="755">
        <f t="shared" si="39"/>
        <v>79.5</v>
      </c>
      <c r="I125" s="755">
        <f t="shared" si="39"/>
        <v>76</v>
      </c>
      <c r="J125" s="755">
        <f t="shared" si="39"/>
        <v>68</v>
      </c>
      <c r="K125" s="755">
        <f t="shared" si="39"/>
        <v>70</v>
      </c>
      <c r="L125" s="755">
        <f t="shared" si="39"/>
        <v>74</v>
      </c>
      <c r="M125" s="755">
        <f t="shared" si="39"/>
        <v>79.5</v>
      </c>
      <c r="N125" s="755">
        <f t="shared" si="39"/>
        <v>78</v>
      </c>
      <c r="O125" s="755">
        <f t="shared" si="39"/>
        <v>82.5</v>
      </c>
      <c r="P125" s="755">
        <f t="shared" si="39"/>
        <v>85.5</v>
      </c>
      <c r="Q125" s="755">
        <f t="shared" si="39"/>
        <v>89</v>
      </c>
      <c r="R125" s="755">
        <f t="shared" si="39"/>
        <v>89.5</v>
      </c>
      <c r="S125" s="755">
        <f t="shared" si="39"/>
        <v>1035.5</v>
      </c>
      <c r="T125" s="755">
        <f t="shared" si="39"/>
        <v>79.65384615384616</v>
      </c>
      <c r="U125" s="755"/>
      <c r="V125" s="771"/>
      <c r="W125" s="771"/>
    </row>
    <row r="126" spans="1:23" s="211" customFormat="1" ht="15" customHeight="1" x14ac:dyDescent="0.3">
      <c r="A126" s="965">
        <v>41</v>
      </c>
      <c r="B126" s="962"/>
      <c r="C126" s="774"/>
      <c r="D126" s="775"/>
      <c r="E126" s="766" t="s">
        <v>18</v>
      </c>
      <c r="F126" s="755">
        <v>86</v>
      </c>
      <c r="G126" s="755">
        <v>73</v>
      </c>
      <c r="H126" s="755">
        <v>74</v>
      </c>
      <c r="I126" s="755">
        <v>68</v>
      </c>
      <c r="J126" s="755">
        <v>58</v>
      </c>
      <c r="K126" s="755">
        <v>64</v>
      </c>
      <c r="L126" s="755">
        <v>74</v>
      </c>
      <c r="M126" s="755">
        <v>77</v>
      </c>
      <c r="N126" s="755">
        <v>79</v>
      </c>
      <c r="O126" s="755">
        <v>86</v>
      </c>
      <c r="P126" s="755">
        <v>76</v>
      </c>
      <c r="Q126" s="755">
        <v>73</v>
      </c>
      <c r="R126" s="755">
        <v>84</v>
      </c>
      <c r="S126" s="755">
        <v>972</v>
      </c>
      <c r="T126" s="768">
        <v>74.769230769230774</v>
      </c>
      <c r="U126" s="755">
        <v>24</v>
      </c>
      <c r="V126" s="771"/>
      <c r="W126" s="771"/>
    </row>
    <row r="127" spans="1:23" s="211" customFormat="1" ht="15" customHeight="1" x14ac:dyDescent="0.3">
      <c r="A127" s="966"/>
      <c r="B127" s="963"/>
      <c r="C127" s="774"/>
      <c r="D127" s="775"/>
      <c r="E127" s="766" t="s">
        <v>19</v>
      </c>
      <c r="F127" s="755">
        <v>82</v>
      </c>
      <c r="G127" s="755">
        <v>68</v>
      </c>
      <c r="H127" s="755">
        <v>64</v>
      </c>
      <c r="I127" s="755">
        <v>67</v>
      </c>
      <c r="J127" s="755">
        <v>68</v>
      </c>
      <c r="K127" s="755">
        <v>62</v>
      </c>
      <c r="L127" s="755">
        <v>71</v>
      </c>
      <c r="M127" s="755">
        <v>80</v>
      </c>
      <c r="N127" s="755">
        <v>76</v>
      </c>
      <c r="O127" s="755">
        <v>87</v>
      </c>
      <c r="P127" s="755">
        <v>89</v>
      </c>
      <c r="Q127" s="755">
        <v>84</v>
      </c>
      <c r="R127" s="755">
        <v>82</v>
      </c>
      <c r="S127" s="755">
        <v>980</v>
      </c>
      <c r="T127" s="768">
        <v>75.384615384615387</v>
      </c>
      <c r="U127" s="755">
        <v>30</v>
      </c>
      <c r="V127" s="771"/>
      <c r="W127" s="771"/>
    </row>
    <row r="128" spans="1:23" s="211" customFormat="1" ht="15" customHeight="1" thickBot="1" x14ac:dyDescent="0.35">
      <c r="A128" s="967"/>
      <c r="B128" s="964"/>
      <c r="C128" s="774"/>
      <c r="D128" s="775"/>
      <c r="E128" s="766" t="s">
        <v>13</v>
      </c>
      <c r="F128" s="755">
        <f>AVERAGE(F126:F127)</f>
        <v>84</v>
      </c>
      <c r="G128" s="755">
        <f t="shared" ref="G128:T128" si="40">AVERAGE(G126:G127)</f>
        <v>70.5</v>
      </c>
      <c r="H128" s="755">
        <f t="shared" si="40"/>
        <v>69</v>
      </c>
      <c r="I128" s="755">
        <f t="shared" si="40"/>
        <v>67.5</v>
      </c>
      <c r="J128" s="755">
        <f t="shared" si="40"/>
        <v>63</v>
      </c>
      <c r="K128" s="755">
        <f t="shared" si="40"/>
        <v>63</v>
      </c>
      <c r="L128" s="755">
        <f t="shared" si="40"/>
        <v>72.5</v>
      </c>
      <c r="M128" s="755">
        <f t="shared" si="40"/>
        <v>78.5</v>
      </c>
      <c r="N128" s="755">
        <f t="shared" si="40"/>
        <v>77.5</v>
      </c>
      <c r="O128" s="755">
        <f t="shared" si="40"/>
        <v>86.5</v>
      </c>
      <c r="P128" s="755">
        <f t="shared" si="40"/>
        <v>82.5</v>
      </c>
      <c r="Q128" s="755">
        <f t="shared" si="40"/>
        <v>78.5</v>
      </c>
      <c r="R128" s="755">
        <f t="shared" si="40"/>
        <v>83</v>
      </c>
      <c r="S128" s="755">
        <f t="shared" si="40"/>
        <v>976</v>
      </c>
      <c r="T128" s="755">
        <f t="shared" si="40"/>
        <v>75.07692307692308</v>
      </c>
      <c r="U128" s="755"/>
      <c r="V128" s="771"/>
      <c r="W128" s="771"/>
    </row>
    <row r="129" spans="1:23" ht="15.75" customHeight="1" thickBot="1" x14ac:dyDescent="0.4">
      <c r="A129" s="949">
        <v>42</v>
      </c>
      <c r="B129" s="942"/>
      <c r="C129" s="943"/>
      <c r="D129" s="946"/>
      <c r="E129" s="766" t="s">
        <v>18</v>
      </c>
      <c r="F129" s="755">
        <v>81</v>
      </c>
      <c r="G129" s="773">
        <v>82</v>
      </c>
      <c r="H129" s="773">
        <v>90</v>
      </c>
      <c r="I129" s="773">
        <v>61</v>
      </c>
      <c r="J129" s="773">
        <v>63</v>
      </c>
      <c r="K129" s="755">
        <v>73</v>
      </c>
      <c r="L129" s="755">
        <v>78</v>
      </c>
      <c r="M129" s="755">
        <v>85</v>
      </c>
      <c r="N129" s="755">
        <v>91</v>
      </c>
      <c r="O129" s="755">
        <v>92</v>
      </c>
      <c r="P129" s="773">
        <v>83</v>
      </c>
      <c r="Q129" s="755">
        <v>73</v>
      </c>
      <c r="R129" s="755">
        <v>85</v>
      </c>
      <c r="S129" s="755">
        <v>1037</v>
      </c>
      <c r="T129" s="768">
        <v>79.769230769230774</v>
      </c>
      <c r="U129" s="755">
        <v>15</v>
      </c>
      <c r="V129" s="772"/>
      <c r="W129" s="772"/>
    </row>
    <row r="130" spans="1:23" ht="15.75" customHeight="1" thickBot="1" x14ac:dyDescent="0.4">
      <c r="A130" s="950"/>
      <c r="B130" s="942"/>
      <c r="C130" s="944"/>
      <c r="D130" s="947"/>
      <c r="E130" s="766" t="s">
        <v>19</v>
      </c>
      <c r="F130" s="755">
        <v>92</v>
      </c>
      <c r="G130" s="755">
        <v>73</v>
      </c>
      <c r="H130" s="755">
        <v>90</v>
      </c>
      <c r="I130" s="755">
        <v>63</v>
      </c>
      <c r="J130" s="755">
        <v>63</v>
      </c>
      <c r="K130" s="755">
        <v>72</v>
      </c>
      <c r="L130" s="755">
        <v>84</v>
      </c>
      <c r="M130" s="755">
        <v>91</v>
      </c>
      <c r="N130" s="755">
        <v>94</v>
      </c>
      <c r="O130" s="755">
        <v>84</v>
      </c>
      <c r="P130" s="755">
        <v>94</v>
      </c>
      <c r="Q130" s="755">
        <v>88</v>
      </c>
      <c r="R130" s="755">
        <v>91</v>
      </c>
      <c r="S130" s="755">
        <v>1079</v>
      </c>
      <c r="T130" s="768">
        <v>83</v>
      </c>
      <c r="U130" s="755">
        <v>15</v>
      </c>
      <c r="V130" s="772"/>
      <c r="W130" s="772"/>
    </row>
    <row r="131" spans="1:23" ht="15.75" customHeight="1" thickBot="1" x14ac:dyDescent="0.35">
      <c r="A131" s="951"/>
      <c r="B131" s="942"/>
      <c r="C131" s="945"/>
      <c r="D131" s="948"/>
      <c r="E131" s="766" t="s">
        <v>13</v>
      </c>
      <c r="F131" s="755">
        <f>AVERAGE(F129:F130)</f>
        <v>86.5</v>
      </c>
      <c r="G131" s="755">
        <f t="shared" ref="G131:T131" si="41">AVERAGE(G129:G130)</f>
        <v>77.5</v>
      </c>
      <c r="H131" s="755">
        <f t="shared" si="41"/>
        <v>90</v>
      </c>
      <c r="I131" s="755">
        <f t="shared" si="41"/>
        <v>62</v>
      </c>
      <c r="J131" s="755">
        <f t="shared" si="41"/>
        <v>63</v>
      </c>
      <c r="K131" s="755">
        <f t="shared" si="41"/>
        <v>72.5</v>
      </c>
      <c r="L131" s="755">
        <f t="shared" si="41"/>
        <v>81</v>
      </c>
      <c r="M131" s="755">
        <f t="shared" si="41"/>
        <v>88</v>
      </c>
      <c r="N131" s="755">
        <f t="shared" si="41"/>
        <v>92.5</v>
      </c>
      <c r="O131" s="755">
        <f t="shared" si="41"/>
        <v>88</v>
      </c>
      <c r="P131" s="755">
        <f t="shared" si="41"/>
        <v>88.5</v>
      </c>
      <c r="Q131" s="755">
        <f t="shared" si="41"/>
        <v>80.5</v>
      </c>
      <c r="R131" s="755">
        <f t="shared" si="41"/>
        <v>88</v>
      </c>
      <c r="S131" s="755">
        <f t="shared" si="41"/>
        <v>1058</v>
      </c>
      <c r="T131" s="755">
        <f t="shared" si="41"/>
        <v>81.384615384615387</v>
      </c>
      <c r="U131" s="755"/>
      <c r="V131" s="771"/>
      <c r="W131" s="771"/>
    </row>
    <row r="132" spans="1:23" ht="15.75" customHeight="1" thickBot="1" x14ac:dyDescent="0.4">
      <c r="A132" s="949">
        <v>43</v>
      </c>
      <c r="B132" s="942"/>
      <c r="C132" s="943"/>
      <c r="D132" s="946"/>
      <c r="E132" s="766" t="s">
        <v>18</v>
      </c>
      <c r="F132" s="755">
        <v>90</v>
      </c>
      <c r="G132" s="773">
        <v>77</v>
      </c>
      <c r="H132" s="773">
        <v>85</v>
      </c>
      <c r="I132" s="773">
        <v>68</v>
      </c>
      <c r="J132" s="755">
        <v>67</v>
      </c>
      <c r="K132" s="773">
        <v>73</v>
      </c>
      <c r="L132" s="755">
        <v>81</v>
      </c>
      <c r="M132" s="773">
        <v>77</v>
      </c>
      <c r="N132" s="773">
        <v>73</v>
      </c>
      <c r="O132" s="755">
        <v>85</v>
      </c>
      <c r="P132" s="755">
        <v>85</v>
      </c>
      <c r="Q132" s="773">
        <v>84</v>
      </c>
      <c r="R132" s="773">
        <v>90</v>
      </c>
      <c r="S132" s="755">
        <v>1035</v>
      </c>
      <c r="T132" s="768">
        <v>79.615384615384613</v>
      </c>
      <c r="U132" s="755">
        <v>16</v>
      </c>
      <c r="V132" s="772"/>
      <c r="W132" s="772"/>
    </row>
    <row r="133" spans="1:23" ht="15.75" customHeight="1" thickBot="1" x14ac:dyDescent="0.4">
      <c r="A133" s="950"/>
      <c r="B133" s="942"/>
      <c r="C133" s="944"/>
      <c r="D133" s="947"/>
      <c r="E133" s="766" t="s">
        <v>19</v>
      </c>
      <c r="F133" s="755">
        <v>89</v>
      </c>
      <c r="G133" s="773">
        <v>68</v>
      </c>
      <c r="H133" s="773">
        <v>80</v>
      </c>
      <c r="I133" s="773">
        <v>74</v>
      </c>
      <c r="J133" s="773">
        <v>70</v>
      </c>
      <c r="K133" s="755">
        <v>70</v>
      </c>
      <c r="L133" s="755">
        <v>59</v>
      </c>
      <c r="M133" s="755">
        <v>82</v>
      </c>
      <c r="N133" s="755">
        <v>75</v>
      </c>
      <c r="O133" s="755">
        <v>90</v>
      </c>
      <c r="P133" s="773">
        <v>83</v>
      </c>
      <c r="Q133" s="755">
        <v>93</v>
      </c>
      <c r="R133" s="755">
        <v>84</v>
      </c>
      <c r="S133" s="755">
        <v>1017</v>
      </c>
      <c r="T133" s="768">
        <v>78.230769230769226</v>
      </c>
      <c r="U133" s="755">
        <v>22</v>
      </c>
      <c r="V133" s="772"/>
      <c r="W133" s="772"/>
    </row>
    <row r="134" spans="1:23" ht="15.75" customHeight="1" thickBot="1" x14ac:dyDescent="0.35">
      <c r="A134" s="951"/>
      <c r="B134" s="942"/>
      <c r="C134" s="945"/>
      <c r="D134" s="948"/>
      <c r="E134" s="766" t="s">
        <v>13</v>
      </c>
      <c r="F134" s="755">
        <f>AVERAGE(F132:F133)</f>
        <v>89.5</v>
      </c>
      <c r="G134" s="755">
        <f t="shared" ref="G134:T134" si="42">AVERAGE(G132:G133)</f>
        <v>72.5</v>
      </c>
      <c r="H134" s="755">
        <f t="shared" si="42"/>
        <v>82.5</v>
      </c>
      <c r="I134" s="755">
        <f t="shared" si="42"/>
        <v>71</v>
      </c>
      <c r="J134" s="755">
        <f t="shared" si="42"/>
        <v>68.5</v>
      </c>
      <c r="K134" s="755">
        <f t="shared" si="42"/>
        <v>71.5</v>
      </c>
      <c r="L134" s="755">
        <f t="shared" si="42"/>
        <v>70</v>
      </c>
      <c r="M134" s="755">
        <f t="shared" si="42"/>
        <v>79.5</v>
      </c>
      <c r="N134" s="755">
        <f t="shared" si="42"/>
        <v>74</v>
      </c>
      <c r="O134" s="755">
        <f t="shared" si="42"/>
        <v>87.5</v>
      </c>
      <c r="P134" s="755">
        <f t="shared" si="42"/>
        <v>84</v>
      </c>
      <c r="Q134" s="755">
        <f t="shared" si="42"/>
        <v>88.5</v>
      </c>
      <c r="R134" s="755">
        <f t="shared" si="42"/>
        <v>87</v>
      </c>
      <c r="S134" s="755">
        <f t="shared" si="42"/>
        <v>1026</v>
      </c>
      <c r="T134" s="755">
        <f t="shared" si="42"/>
        <v>78.92307692307692</v>
      </c>
      <c r="U134" s="755"/>
      <c r="V134" s="771"/>
      <c r="W134" s="771"/>
    </row>
    <row r="135" spans="1:23" ht="15.75" customHeight="1" thickBot="1" x14ac:dyDescent="0.4">
      <c r="A135" s="939">
        <v>44</v>
      </c>
      <c r="B135" s="942"/>
      <c r="C135" s="943"/>
      <c r="D135" s="946"/>
      <c r="E135" s="766" t="s">
        <v>18</v>
      </c>
      <c r="F135" s="755">
        <v>73</v>
      </c>
      <c r="G135" s="755">
        <v>89</v>
      </c>
      <c r="H135" s="755">
        <v>71</v>
      </c>
      <c r="I135" s="755">
        <v>73</v>
      </c>
      <c r="J135" s="755">
        <v>65</v>
      </c>
      <c r="K135" s="755">
        <v>65</v>
      </c>
      <c r="L135" s="755">
        <v>73</v>
      </c>
      <c r="M135" s="755">
        <v>63</v>
      </c>
      <c r="N135" s="755">
        <v>74</v>
      </c>
      <c r="O135" s="755">
        <v>79</v>
      </c>
      <c r="P135" s="755">
        <v>73</v>
      </c>
      <c r="Q135" s="755">
        <v>88</v>
      </c>
      <c r="R135" s="755">
        <v>85</v>
      </c>
      <c r="S135" s="755">
        <v>971</v>
      </c>
      <c r="T135" s="768">
        <v>74.692307692307693</v>
      </c>
      <c r="U135" s="755">
        <v>26</v>
      </c>
      <c r="V135" s="772"/>
      <c r="W135" s="772"/>
    </row>
    <row r="136" spans="1:23" ht="15.75" customHeight="1" thickBot="1" x14ac:dyDescent="0.4">
      <c r="A136" s="940"/>
      <c r="B136" s="942"/>
      <c r="C136" s="944"/>
      <c r="D136" s="947"/>
      <c r="E136" s="766" t="s">
        <v>19</v>
      </c>
      <c r="F136" s="755">
        <v>84</v>
      </c>
      <c r="G136" s="773">
        <v>90</v>
      </c>
      <c r="H136" s="773">
        <v>63</v>
      </c>
      <c r="I136" s="773">
        <v>57</v>
      </c>
      <c r="J136" s="755">
        <v>65</v>
      </c>
      <c r="K136" s="773">
        <v>60</v>
      </c>
      <c r="L136" s="755">
        <v>74</v>
      </c>
      <c r="M136" s="773">
        <v>76</v>
      </c>
      <c r="N136" s="773">
        <v>74</v>
      </c>
      <c r="O136" s="755">
        <v>86</v>
      </c>
      <c r="P136" s="755">
        <v>91</v>
      </c>
      <c r="Q136" s="773">
        <v>94</v>
      </c>
      <c r="R136" s="773">
        <v>93</v>
      </c>
      <c r="S136" s="755">
        <v>1007</v>
      </c>
      <c r="T136" s="768">
        <v>77.461538461538467</v>
      </c>
      <c r="U136" s="755">
        <v>27</v>
      </c>
      <c r="V136" s="772"/>
      <c r="W136" s="772"/>
    </row>
    <row r="137" spans="1:23" ht="15.75" customHeight="1" thickBot="1" x14ac:dyDescent="0.35">
      <c r="A137" s="941"/>
      <c r="B137" s="942"/>
      <c r="C137" s="945"/>
      <c r="D137" s="948"/>
      <c r="E137" s="766" t="s">
        <v>13</v>
      </c>
      <c r="F137" s="755">
        <f>AVERAGE(F135:F136)</f>
        <v>78.5</v>
      </c>
      <c r="G137" s="755">
        <f t="shared" ref="G137:T137" si="43">AVERAGE(G135:G136)</f>
        <v>89.5</v>
      </c>
      <c r="H137" s="755">
        <f t="shared" si="43"/>
        <v>67</v>
      </c>
      <c r="I137" s="755">
        <f t="shared" si="43"/>
        <v>65</v>
      </c>
      <c r="J137" s="755">
        <f t="shared" si="43"/>
        <v>65</v>
      </c>
      <c r="K137" s="755">
        <f t="shared" si="43"/>
        <v>62.5</v>
      </c>
      <c r="L137" s="755">
        <f t="shared" si="43"/>
        <v>73.5</v>
      </c>
      <c r="M137" s="755">
        <f t="shared" si="43"/>
        <v>69.5</v>
      </c>
      <c r="N137" s="755">
        <f t="shared" si="43"/>
        <v>74</v>
      </c>
      <c r="O137" s="755">
        <f t="shared" si="43"/>
        <v>82.5</v>
      </c>
      <c r="P137" s="755">
        <f t="shared" si="43"/>
        <v>82</v>
      </c>
      <c r="Q137" s="755">
        <f t="shared" si="43"/>
        <v>91</v>
      </c>
      <c r="R137" s="755">
        <f t="shared" si="43"/>
        <v>89</v>
      </c>
      <c r="S137" s="755">
        <f t="shared" si="43"/>
        <v>989</v>
      </c>
      <c r="T137" s="755">
        <f t="shared" si="43"/>
        <v>76.07692307692308</v>
      </c>
      <c r="U137" s="755"/>
      <c r="V137" s="771"/>
      <c r="W137" s="771"/>
    </row>
    <row r="138" spans="1:23" ht="15" customHeight="1" thickBot="1" x14ac:dyDescent="0.4">
      <c r="A138" s="949">
        <v>45</v>
      </c>
      <c r="B138" s="942"/>
      <c r="C138" s="943"/>
      <c r="D138" s="946"/>
      <c r="E138" s="766" t="s">
        <v>18</v>
      </c>
      <c r="F138" s="755">
        <v>71</v>
      </c>
      <c r="G138" s="755">
        <v>48</v>
      </c>
      <c r="H138" s="755">
        <v>85</v>
      </c>
      <c r="I138" s="755">
        <v>55</v>
      </c>
      <c r="J138" s="755">
        <v>55</v>
      </c>
      <c r="K138" s="755">
        <v>47</v>
      </c>
      <c r="L138" s="755">
        <v>50</v>
      </c>
      <c r="M138" s="755">
        <v>60</v>
      </c>
      <c r="N138" s="755">
        <v>55</v>
      </c>
      <c r="O138" s="755">
        <v>54</v>
      </c>
      <c r="P138" s="755">
        <v>64</v>
      </c>
      <c r="Q138" s="755">
        <v>81</v>
      </c>
      <c r="R138" s="755">
        <v>73</v>
      </c>
      <c r="S138" s="755">
        <v>798</v>
      </c>
      <c r="T138" s="768">
        <v>61.384615384615387</v>
      </c>
      <c r="U138" s="755">
        <v>47</v>
      </c>
      <c r="V138" s="772"/>
      <c r="W138" s="772"/>
    </row>
    <row r="139" spans="1:23" ht="15" customHeight="1" thickBot="1" x14ac:dyDescent="0.4">
      <c r="A139" s="950"/>
      <c r="B139" s="942"/>
      <c r="C139" s="944"/>
      <c r="D139" s="947"/>
      <c r="E139" s="766" t="s">
        <v>19</v>
      </c>
      <c r="F139" s="755">
        <v>75</v>
      </c>
      <c r="G139" s="755">
        <v>52</v>
      </c>
      <c r="H139" s="755">
        <v>76</v>
      </c>
      <c r="I139" s="755">
        <v>63</v>
      </c>
      <c r="J139" s="755">
        <v>53</v>
      </c>
      <c r="K139" s="755">
        <v>43</v>
      </c>
      <c r="L139" s="755">
        <v>50</v>
      </c>
      <c r="M139" s="755">
        <v>65</v>
      </c>
      <c r="N139" s="755">
        <v>64</v>
      </c>
      <c r="O139" s="755">
        <v>75</v>
      </c>
      <c r="P139" s="755">
        <v>68</v>
      </c>
      <c r="Q139" s="755">
        <v>90</v>
      </c>
      <c r="R139" s="755">
        <v>82</v>
      </c>
      <c r="S139" s="755">
        <v>856</v>
      </c>
      <c r="T139" s="768">
        <v>65.84615384615384</v>
      </c>
      <c r="U139" s="755">
        <v>41</v>
      </c>
      <c r="V139" s="772"/>
      <c r="W139" s="772"/>
    </row>
    <row r="140" spans="1:23" ht="15" customHeight="1" thickBot="1" x14ac:dyDescent="0.35">
      <c r="A140" s="951"/>
      <c r="B140" s="942"/>
      <c r="C140" s="945"/>
      <c r="D140" s="948"/>
      <c r="E140" s="766" t="s">
        <v>13</v>
      </c>
      <c r="F140" s="755">
        <f>AVERAGE(F138:F139)</f>
        <v>73</v>
      </c>
      <c r="G140" s="755">
        <f t="shared" ref="G140:T140" si="44">AVERAGE(G138:G139)</f>
        <v>50</v>
      </c>
      <c r="H140" s="755">
        <f t="shared" si="44"/>
        <v>80.5</v>
      </c>
      <c r="I140" s="755">
        <f t="shared" si="44"/>
        <v>59</v>
      </c>
      <c r="J140" s="755">
        <f t="shared" si="44"/>
        <v>54</v>
      </c>
      <c r="K140" s="755">
        <f t="shared" si="44"/>
        <v>45</v>
      </c>
      <c r="L140" s="755">
        <f t="shared" si="44"/>
        <v>50</v>
      </c>
      <c r="M140" s="755">
        <f t="shared" si="44"/>
        <v>62.5</v>
      </c>
      <c r="N140" s="755">
        <f t="shared" si="44"/>
        <v>59.5</v>
      </c>
      <c r="O140" s="755">
        <f t="shared" si="44"/>
        <v>64.5</v>
      </c>
      <c r="P140" s="755">
        <f t="shared" si="44"/>
        <v>66</v>
      </c>
      <c r="Q140" s="755">
        <f t="shared" si="44"/>
        <v>85.5</v>
      </c>
      <c r="R140" s="755">
        <f t="shared" si="44"/>
        <v>77.5</v>
      </c>
      <c r="S140" s="755">
        <f t="shared" si="44"/>
        <v>827</v>
      </c>
      <c r="T140" s="755">
        <f t="shared" si="44"/>
        <v>63.615384615384613</v>
      </c>
      <c r="U140" s="755"/>
      <c r="V140" s="771"/>
      <c r="W140" s="771"/>
    </row>
    <row r="141" spans="1:23" ht="15.75" customHeight="1" thickBot="1" x14ac:dyDescent="0.4">
      <c r="A141" s="949">
        <v>46</v>
      </c>
      <c r="B141" s="942"/>
      <c r="C141" s="943"/>
      <c r="D141" s="946"/>
      <c r="E141" s="766" t="s">
        <v>18</v>
      </c>
      <c r="F141" s="755">
        <v>84</v>
      </c>
      <c r="G141" s="755">
        <v>76</v>
      </c>
      <c r="H141" s="755">
        <v>83</v>
      </c>
      <c r="I141" s="755">
        <v>65</v>
      </c>
      <c r="J141" s="755">
        <v>68</v>
      </c>
      <c r="K141" s="755">
        <v>67</v>
      </c>
      <c r="L141" s="755">
        <v>85</v>
      </c>
      <c r="M141" s="773">
        <v>80</v>
      </c>
      <c r="N141" s="755">
        <v>87</v>
      </c>
      <c r="O141" s="755">
        <v>86</v>
      </c>
      <c r="P141" s="755">
        <v>82</v>
      </c>
      <c r="Q141" s="755">
        <v>85</v>
      </c>
      <c r="R141" s="755">
        <v>92</v>
      </c>
      <c r="S141" s="755">
        <v>1040</v>
      </c>
      <c r="T141" s="768">
        <v>80</v>
      </c>
      <c r="U141" s="755">
        <v>13</v>
      </c>
      <c r="V141" s="772"/>
      <c r="W141" s="772"/>
    </row>
    <row r="142" spans="1:23" ht="15.75" customHeight="1" thickBot="1" x14ac:dyDescent="0.4">
      <c r="A142" s="950"/>
      <c r="B142" s="942"/>
      <c r="C142" s="944"/>
      <c r="D142" s="947"/>
      <c r="E142" s="766" t="s">
        <v>19</v>
      </c>
      <c r="F142" s="755">
        <v>84</v>
      </c>
      <c r="G142" s="755">
        <v>79</v>
      </c>
      <c r="H142" s="755">
        <v>84</v>
      </c>
      <c r="I142" s="755">
        <v>72</v>
      </c>
      <c r="J142" s="755">
        <v>72</v>
      </c>
      <c r="K142" s="755">
        <v>80</v>
      </c>
      <c r="L142" s="755">
        <v>80</v>
      </c>
      <c r="M142" s="755">
        <v>87</v>
      </c>
      <c r="N142" s="755">
        <v>84</v>
      </c>
      <c r="O142" s="755">
        <v>86</v>
      </c>
      <c r="P142" s="755">
        <v>97</v>
      </c>
      <c r="Q142" s="755">
        <v>92</v>
      </c>
      <c r="R142" s="755">
        <v>96</v>
      </c>
      <c r="S142" s="755">
        <v>1093</v>
      </c>
      <c r="T142" s="768">
        <v>84.07692307692308</v>
      </c>
      <c r="U142" s="755">
        <v>12</v>
      </c>
      <c r="V142" s="772"/>
      <c r="W142" s="772"/>
    </row>
    <row r="143" spans="1:23" ht="15.75" customHeight="1" thickBot="1" x14ac:dyDescent="0.35">
      <c r="A143" s="951"/>
      <c r="B143" s="942"/>
      <c r="C143" s="945"/>
      <c r="D143" s="948"/>
      <c r="E143" s="766" t="s">
        <v>13</v>
      </c>
      <c r="F143" s="755">
        <f>AVERAGE(F141:F142)</f>
        <v>84</v>
      </c>
      <c r="G143" s="755">
        <f t="shared" ref="G143:T143" si="45">AVERAGE(G141:G142)</f>
        <v>77.5</v>
      </c>
      <c r="H143" s="755">
        <f t="shared" si="45"/>
        <v>83.5</v>
      </c>
      <c r="I143" s="755">
        <f t="shared" si="45"/>
        <v>68.5</v>
      </c>
      <c r="J143" s="755">
        <f t="shared" si="45"/>
        <v>70</v>
      </c>
      <c r="K143" s="755">
        <f t="shared" si="45"/>
        <v>73.5</v>
      </c>
      <c r="L143" s="755">
        <f t="shared" si="45"/>
        <v>82.5</v>
      </c>
      <c r="M143" s="755">
        <f t="shared" si="45"/>
        <v>83.5</v>
      </c>
      <c r="N143" s="755">
        <f t="shared" si="45"/>
        <v>85.5</v>
      </c>
      <c r="O143" s="755">
        <f t="shared" si="45"/>
        <v>86</v>
      </c>
      <c r="P143" s="755">
        <f t="shared" si="45"/>
        <v>89.5</v>
      </c>
      <c r="Q143" s="755">
        <f t="shared" si="45"/>
        <v>88.5</v>
      </c>
      <c r="R143" s="755">
        <f t="shared" si="45"/>
        <v>94</v>
      </c>
      <c r="S143" s="755">
        <f t="shared" si="45"/>
        <v>1066.5</v>
      </c>
      <c r="T143" s="755">
        <f t="shared" si="45"/>
        <v>82.038461538461547</v>
      </c>
      <c r="U143" s="755"/>
      <c r="V143" s="771"/>
      <c r="W143" s="771"/>
    </row>
    <row r="144" spans="1:23" ht="15" customHeight="1" thickBot="1" x14ac:dyDescent="0.4">
      <c r="A144" s="939">
        <v>47</v>
      </c>
      <c r="B144" s="942"/>
      <c r="C144" s="943"/>
      <c r="D144" s="946"/>
      <c r="E144" s="766" t="s">
        <v>18</v>
      </c>
      <c r="F144" s="755">
        <v>72</v>
      </c>
      <c r="G144" s="755">
        <v>84</v>
      </c>
      <c r="H144" s="755">
        <v>75</v>
      </c>
      <c r="I144" s="755">
        <v>57</v>
      </c>
      <c r="J144" s="755">
        <v>50</v>
      </c>
      <c r="K144" s="755">
        <v>50</v>
      </c>
      <c r="L144" s="755">
        <v>65</v>
      </c>
      <c r="M144" s="755">
        <v>69</v>
      </c>
      <c r="N144" s="755">
        <v>67</v>
      </c>
      <c r="O144" s="755">
        <v>79</v>
      </c>
      <c r="P144" s="755">
        <v>64</v>
      </c>
      <c r="Q144" s="755">
        <v>81</v>
      </c>
      <c r="R144" s="755">
        <v>87</v>
      </c>
      <c r="S144" s="755">
        <v>900</v>
      </c>
      <c r="T144" s="768">
        <v>69.230769230769226</v>
      </c>
      <c r="U144" s="755">
        <v>36</v>
      </c>
      <c r="V144" s="772"/>
      <c r="W144" s="772"/>
    </row>
    <row r="145" spans="1:23" ht="15" customHeight="1" thickBot="1" x14ac:dyDescent="0.4">
      <c r="A145" s="940"/>
      <c r="B145" s="942"/>
      <c r="C145" s="944"/>
      <c r="D145" s="947"/>
      <c r="E145" s="766" t="s">
        <v>19</v>
      </c>
      <c r="F145" s="755"/>
      <c r="G145" s="755"/>
      <c r="H145" s="755"/>
      <c r="I145" s="755"/>
      <c r="J145" s="755"/>
      <c r="K145" s="755"/>
      <c r="L145" s="755"/>
      <c r="M145" s="773"/>
      <c r="N145" s="755"/>
      <c r="O145" s="755"/>
      <c r="P145" s="755"/>
      <c r="Q145" s="755"/>
      <c r="R145" s="755"/>
      <c r="S145" s="755"/>
      <c r="T145" s="768"/>
      <c r="U145" s="755"/>
      <c r="V145" s="772"/>
      <c r="W145" s="772"/>
    </row>
    <row r="146" spans="1:23" ht="15" customHeight="1" thickBot="1" x14ac:dyDescent="0.35">
      <c r="A146" s="941"/>
      <c r="B146" s="942"/>
      <c r="C146" s="945"/>
      <c r="D146" s="948"/>
      <c r="E146" s="766" t="s">
        <v>13</v>
      </c>
      <c r="F146" s="755">
        <f>AVERAGE(F144:F145)</f>
        <v>72</v>
      </c>
      <c r="G146" s="755">
        <f t="shared" ref="G146:T146" si="46">AVERAGE(G144:G145)</f>
        <v>84</v>
      </c>
      <c r="H146" s="755">
        <f t="shared" si="46"/>
        <v>75</v>
      </c>
      <c r="I146" s="755">
        <f t="shared" si="46"/>
        <v>57</v>
      </c>
      <c r="J146" s="755">
        <f t="shared" si="46"/>
        <v>50</v>
      </c>
      <c r="K146" s="755">
        <f t="shared" si="46"/>
        <v>50</v>
      </c>
      <c r="L146" s="755">
        <f t="shared" si="46"/>
        <v>65</v>
      </c>
      <c r="M146" s="755">
        <f t="shared" si="46"/>
        <v>69</v>
      </c>
      <c r="N146" s="755">
        <f t="shared" si="46"/>
        <v>67</v>
      </c>
      <c r="O146" s="755">
        <f t="shared" si="46"/>
        <v>79</v>
      </c>
      <c r="P146" s="755">
        <f t="shared" si="46"/>
        <v>64</v>
      </c>
      <c r="Q146" s="755">
        <f t="shared" si="46"/>
        <v>81</v>
      </c>
      <c r="R146" s="755">
        <f t="shared" si="46"/>
        <v>87</v>
      </c>
      <c r="S146" s="755">
        <f t="shared" si="46"/>
        <v>900</v>
      </c>
      <c r="T146" s="755">
        <f t="shared" si="46"/>
        <v>69.230769230769226</v>
      </c>
      <c r="U146" s="755"/>
      <c r="V146" s="771"/>
      <c r="W146" s="771"/>
    </row>
    <row r="147" spans="1:23" ht="15" customHeight="1" thickBot="1" x14ac:dyDescent="0.4">
      <c r="A147" s="949">
        <v>48</v>
      </c>
      <c r="B147" s="942"/>
      <c r="C147" s="943"/>
      <c r="D147" s="946"/>
      <c r="E147" s="766" t="s">
        <v>18</v>
      </c>
      <c r="F147" s="755">
        <v>71</v>
      </c>
      <c r="G147" s="755">
        <v>60</v>
      </c>
      <c r="H147" s="755">
        <v>65</v>
      </c>
      <c r="I147" s="755">
        <v>61</v>
      </c>
      <c r="J147" s="755">
        <v>62</v>
      </c>
      <c r="K147" s="755">
        <v>64</v>
      </c>
      <c r="L147" s="755">
        <v>72</v>
      </c>
      <c r="M147" s="755">
        <v>68</v>
      </c>
      <c r="N147" s="755">
        <v>73</v>
      </c>
      <c r="O147" s="755">
        <v>83</v>
      </c>
      <c r="P147" s="755">
        <v>75</v>
      </c>
      <c r="Q147" s="755">
        <v>84</v>
      </c>
      <c r="R147" s="755">
        <v>84</v>
      </c>
      <c r="S147" s="755">
        <v>922</v>
      </c>
      <c r="T147" s="768">
        <v>70.92307692307692</v>
      </c>
      <c r="U147" s="755">
        <v>31</v>
      </c>
      <c r="V147" s="772"/>
      <c r="W147" s="772"/>
    </row>
    <row r="148" spans="1:23" ht="15" customHeight="1" thickBot="1" x14ac:dyDescent="0.4">
      <c r="A148" s="950"/>
      <c r="B148" s="942"/>
      <c r="C148" s="944"/>
      <c r="D148" s="947"/>
      <c r="E148" s="766" t="s">
        <v>19</v>
      </c>
      <c r="F148" s="755">
        <v>74</v>
      </c>
      <c r="G148" s="755">
        <v>61</v>
      </c>
      <c r="H148" s="755">
        <v>66</v>
      </c>
      <c r="I148" s="755">
        <v>64</v>
      </c>
      <c r="J148" s="755">
        <v>67</v>
      </c>
      <c r="K148" s="755">
        <v>65</v>
      </c>
      <c r="L148" s="755">
        <v>85</v>
      </c>
      <c r="M148" s="755">
        <v>89</v>
      </c>
      <c r="N148" s="755">
        <v>86</v>
      </c>
      <c r="O148" s="755">
        <v>89</v>
      </c>
      <c r="P148" s="755">
        <v>90</v>
      </c>
      <c r="Q148" s="755">
        <v>92</v>
      </c>
      <c r="R148" s="755">
        <v>89</v>
      </c>
      <c r="S148" s="755">
        <v>1017</v>
      </c>
      <c r="T148" s="768">
        <v>78.230769230769226</v>
      </c>
      <c r="U148" s="755">
        <v>22</v>
      </c>
      <c r="V148" s="772"/>
      <c r="W148" s="772"/>
    </row>
    <row r="149" spans="1:23" ht="15" customHeight="1" thickBot="1" x14ac:dyDescent="0.35">
      <c r="A149" s="951"/>
      <c r="B149" s="942"/>
      <c r="C149" s="945"/>
      <c r="D149" s="948"/>
      <c r="E149" s="766" t="s">
        <v>13</v>
      </c>
      <c r="F149" s="755">
        <f>AVERAGE(F147:F148)</f>
        <v>72.5</v>
      </c>
      <c r="G149" s="755">
        <f t="shared" ref="G149:T149" si="47">AVERAGE(G147:G148)</f>
        <v>60.5</v>
      </c>
      <c r="H149" s="755">
        <f t="shared" si="47"/>
        <v>65.5</v>
      </c>
      <c r="I149" s="755">
        <f t="shared" si="47"/>
        <v>62.5</v>
      </c>
      <c r="J149" s="755">
        <f t="shared" si="47"/>
        <v>64.5</v>
      </c>
      <c r="K149" s="755">
        <f t="shared" si="47"/>
        <v>64.5</v>
      </c>
      <c r="L149" s="755">
        <f t="shared" si="47"/>
        <v>78.5</v>
      </c>
      <c r="M149" s="755">
        <f t="shared" si="47"/>
        <v>78.5</v>
      </c>
      <c r="N149" s="755">
        <f t="shared" si="47"/>
        <v>79.5</v>
      </c>
      <c r="O149" s="755">
        <f t="shared" si="47"/>
        <v>86</v>
      </c>
      <c r="P149" s="755">
        <f t="shared" si="47"/>
        <v>82.5</v>
      </c>
      <c r="Q149" s="755">
        <f t="shared" si="47"/>
        <v>88</v>
      </c>
      <c r="R149" s="755">
        <f t="shared" si="47"/>
        <v>86.5</v>
      </c>
      <c r="S149" s="755">
        <f t="shared" si="47"/>
        <v>969.5</v>
      </c>
      <c r="T149" s="755">
        <f t="shared" si="47"/>
        <v>74.576923076923066</v>
      </c>
      <c r="U149" s="755"/>
      <c r="V149" s="771"/>
      <c r="W149" s="771"/>
    </row>
    <row r="150" spans="1:23" ht="15.75" customHeight="1" thickBot="1" x14ac:dyDescent="0.4">
      <c r="A150" s="949">
        <v>49</v>
      </c>
      <c r="B150" s="942"/>
      <c r="C150" s="943"/>
      <c r="D150" s="946"/>
      <c r="E150" s="766" t="s">
        <v>18</v>
      </c>
      <c r="F150" s="755">
        <v>78</v>
      </c>
      <c r="G150" s="755">
        <v>70</v>
      </c>
      <c r="H150" s="755">
        <v>86</v>
      </c>
      <c r="I150" s="755">
        <v>65</v>
      </c>
      <c r="J150" s="755">
        <v>59</v>
      </c>
      <c r="K150" s="755">
        <v>56</v>
      </c>
      <c r="L150" s="755">
        <v>69</v>
      </c>
      <c r="M150" s="755">
        <v>69</v>
      </c>
      <c r="N150" s="755">
        <v>72</v>
      </c>
      <c r="O150" s="755">
        <v>67</v>
      </c>
      <c r="P150" s="755">
        <v>71</v>
      </c>
      <c r="Q150" s="755">
        <v>64</v>
      </c>
      <c r="R150" s="755">
        <v>80</v>
      </c>
      <c r="S150" s="755">
        <v>906</v>
      </c>
      <c r="T150" s="768">
        <v>69.692307692307693</v>
      </c>
      <c r="U150" s="755">
        <v>34</v>
      </c>
      <c r="V150" s="769"/>
      <c r="W150" s="769"/>
    </row>
    <row r="151" spans="1:23" s="791" customFormat="1" ht="15.75" customHeight="1" thickBot="1" x14ac:dyDescent="0.4">
      <c r="A151" s="950"/>
      <c r="B151" s="942"/>
      <c r="C151" s="944"/>
      <c r="D151" s="947"/>
      <c r="E151" s="788" t="s">
        <v>19</v>
      </c>
      <c r="F151" s="773">
        <v>75</v>
      </c>
      <c r="G151" s="773">
        <v>49</v>
      </c>
      <c r="H151" s="773">
        <v>79</v>
      </c>
      <c r="I151" s="773">
        <v>55</v>
      </c>
      <c r="J151" s="773">
        <v>52</v>
      </c>
      <c r="K151" s="773">
        <v>45</v>
      </c>
      <c r="L151" s="773">
        <v>52</v>
      </c>
      <c r="M151" s="773">
        <v>66</v>
      </c>
      <c r="N151" s="773">
        <v>70</v>
      </c>
      <c r="O151" s="773">
        <v>78</v>
      </c>
      <c r="P151" s="773">
        <v>80</v>
      </c>
      <c r="Q151" s="773">
        <v>90</v>
      </c>
      <c r="R151" s="773">
        <v>85</v>
      </c>
      <c r="S151" s="773">
        <f>SUM(F151:R151)</f>
        <v>876</v>
      </c>
      <c r="T151" s="789">
        <f>AVERAGE(F151:R151)</f>
        <v>67.384615384615387</v>
      </c>
      <c r="U151" s="773">
        <v>38</v>
      </c>
      <c r="V151" s="790"/>
      <c r="W151" s="790"/>
    </row>
    <row r="152" spans="1:23" ht="15.75" customHeight="1" thickBot="1" x14ac:dyDescent="0.35">
      <c r="A152" s="951"/>
      <c r="B152" s="942"/>
      <c r="C152" s="945"/>
      <c r="D152" s="948"/>
      <c r="E152" s="766" t="s">
        <v>13</v>
      </c>
      <c r="F152" s="755">
        <f>AVERAGE(F150:F151)</f>
        <v>76.5</v>
      </c>
      <c r="G152" s="755">
        <f t="shared" ref="G152:T152" si="48">AVERAGE(G150:G151)</f>
        <v>59.5</v>
      </c>
      <c r="H152" s="755">
        <f t="shared" si="48"/>
        <v>82.5</v>
      </c>
      <c r="I152" s="755">
        <f t="shared" si="48"/>
        <v>60</v>
      </c>
      <c r="J152" s="755">
        <f t="shared" si="48"/>
        <v>55.5</v>
      </c>
      <c r="K152" s="755">
        <f t="shared" si="48"/>
        <v>50.5</v>
      </c>
      <c r="L152" s="755">
        <f t="shared" si="48"/>
        <v>60.5</v>
      </c>
      <c r="M152" s="755">
        <f t="shared" si="48"/>
        <v>67.5</v>
      </c>
      <c r="N152" s="755">
        <f t="shared" si="48"/>
        <v>71</v>
      </c>
      <c r="O152" s="755">
        <f t="shared" si="48"/>
        <v>72.5</v>
      </c>
      <c r="P152" s="755">
        <f t="shared" si="48"/>
        <v>75.5</v>
      </c>
      <c r="Q152" s="755">
        <f t="shared" si="48"/>
        <v>77</v>
      </c>
      <c r="R152" s="755">
        <f t="shared" si="48"/>
        <v>82.5</v>
      </c>
      <c r="S152" s="755">
        <f t="shared" si="48"/>
        <v>891</v>
      </c>
      <c r="T152" s="755">
        <f t="shared" si="48"/>
        <v>68.538461538461547</v>
      </c>
      <c r="U152" s="755"/>
      <c r="V152" s="771"/>
      <c r="W152" s="771"/>
    </row>
    <row r="153" spans="1:23" ht="15.75" customHeight="1" thickBot="1" x14ac:dyDescent="0.4">
      <c r="A153" s="939">
        <v>50</v>
      </c>
      <c r="B153" s="942"/>
      <c r="C153" s="943"/>
      <c r="D153" s="946"/>
      <c r="E153" s="766" t="s">
        <v>18</v>
      </c>
      <c r="F153" s="755">
        <v>87</v>
      </c>
      <c r="G153" s="755">
        <v>98</v>
      </c>
      <c r="H153" s="755">
        <v>86</v>
      </c>
      <c r="I153" s="755">
        <v>99</v>
      </c>
      <c r="J153" s="755">
        <v>100</v>
      </c>
      <c r="K153" s="755">
        <v>100</v>
      </c>
      <c r="L153" s="755">
        <v>96</v>
      </c>
      <c r="M153" s="755">
        <v>100</v>
      </c>
      <c r="N153" s="755">
        <v>89</v>
      </c>
      <c r="O153" s="755">
        <v>95</v>
      </c>
      <c r="P153" s="755">
        <v>96</v>
      </c>
      <c r="Q153" s="755">
        <v>89</v>
      </c>
      <c r="R153" s="755">
        <v>100</v>
      </c>
      <c r="S153" s="755">
        <v>1235</v>
      </c>
      <c r="T153" s="768">
        <v>95</v>
      </c>
      <c r="U153" s="755">
        <v>2</v>
      </c>
      <c r="V153" s="769"/>
      <c r="W153" s="769"/>
    </row>
    <row r="154" spans="1:23" ht="15.75" customHeight="1" thickBot="1" x14ac:dyDescent="0.4">
      <c r="A154" s="940"/>
      <c r="B154" s="942"/>
      <c r="C154" s="944"/>
      <c r="D154" s="947"/>
      <c r="E154" s="766" t="s">
        <v>19</v>
      </c>
      <c r="F154" s="755">
        <v>93</v>
      </c>
      <c r="G154" s="755">
        <v>95</v>
      </c>
      <c r="H154" s="755">
        <v>93</v>
      </c>
      <c r="I154" s="755">
        <v>96</v>
      </c>
      <c r="J154" s="755">
        <v>97</v>
      </c>
      <c r="K154" s="755">
        <v>98</v>
      </c>
      <c r="L154" s="755">
        <v>98</v>
      </c>
      <c r="M154" s="755">
        <v>100</v>
      </c>
      <c r="N154" s="755">
        <v>100</v>
      </c>
      <c r="O154" s="755">
        <v>99</v>
      </c>
      <c r="P154" s="755">
        <v>100</v>
      </c>
      <c r="Q154" s="755">
        <v>99</v>
      </c>
      <c r="R154" s="755">
        <v>99</v>
      </c>
      <c r="S154" s="755">
        <v>1267</v>
      </c>
      <c r="T154" s="768">
        <v>97.461538461538467</v>
      </c>
      <c r="U154" s="755">
        <v>2</v>
      </c>
      <c r="V154" s="769"/>
      <c r="W154" s="769"/>
    </row>
    <row r="155" spans="1:23" ht="15.75" customHeight="1" thickBot="1" x14ac:dyDescent="0.35">
      <c r="A155" s="941"/>
      <c r="B155" s="942"/>
      <c r="C155" s="945"/>
      <c r="D155" s="948"/>
      <c r="E155" s="766" t="s">
        <v>13</v>
      </c>
      <c r="F155" s="755">
        <f>AVERAGE(F153:F154)</f>
        <v>90</v>
      </c>
      <c r="G155" s="755">
        <f t="shared" ref="G155:T155" si="49">AVERAGE(G153:G154)</f>
        <v>96.5</v>
      </c>
      <c r="H155" s="755">
        <f t="shared" si="49"/>
        <v>89.5</v>
      </c>
      <c r="I155" s="755">
        <f t="shared" si="49"/>
        <v>97.5</v>
      </c>
      <c r="J155" s="755">
        <f t="shared" si="49"/>
        <v>98.5</v>
      </c>
      <c r="K155" s="755">
        <f t="shared" si="49"/>
        <v>99</v>
      </c>
      <c r="L155" s="755">
        <f t="shared" si="49"/>
        <v>97</v>
      </c>
      <c r="M155" s="755">
        <f t="shared" si="49"/>
        <v>100</v>
      </c>
      <c r="N155" s="755">
        <f t="shared" si="49"/>
        <v>94.5</v>
      </c>
      <c r="O155" s="755">
        <f t="shared" si="49"/>
        <v>97</v>
      </c>
      <c r="P155" s="755">
        <f t="shared" si="49"/>
        <v>98</v>
      </c>
      <c r="Q155" s="755">
        <f t="shared" si="49"/>
        <v>94</v>
      </c>
      <c r="R155" s="755">
        <f t="shared" si="49"/>
        <v>99.5</v>
      </c>
      <c r="S155" s="755">
        <f t="shared" si="49"/>
        <v>1251</v>
      </c>
      <c r="T155" s="755">
        <f t="shared" si="49"/>
        <v>96.230769230769226</v>
      </c>
      <c r="U155" s="755"/>
      <c r="V155" s="771"/>
      <c r="W155" s="771"/>
    </row>
    <row r="156" spans="1:23" ht="15.75" customHeight="1" thickBot="1" x14ac:dyDescent="0.3">
      <c r="A156" s="977"/>
      <c r="B156" s="874"/>
      <c r="C156" s="971"/>
      <c r="D156" s="974"/>
      <c r="E156" s="80" t="s">
        <v>18</v>
      </c>
      <c r="V156" s="188"/>
      <c r="W156" s="188"/>
    </row>
    <row r="157" spans="1:23" ht="15.75" customHeight="1" thickBot="1" x14ac:dyDescent="0.3">
      <c r="A157" s="978"/>
      <c r="B157" s="874"/>
      <c r="C157" s="972"/>
      <c r="D157" s="975"/>
      <c r="E157" s="80" t="s">
        <v>19</v>
      </c>
      <c r="F157" s="291"/>
      <c r="G157" s="291"/>
      <c r="H157" s="291"/>
      <c r="I157" s="291"/>
      <c r="J157" s="291"/>
      <c r="K157" s="291"/>
      <c r="L157" s="291"/>
      <c r="M157" s="291"/>
      <c r="N157" s="291"/>
      <c r="O157" s="291"/>
      <c r="P157" s="291"/>
      <c r="Q157" s="291"/>
      <c r="R157" s="291"/>
      <c r="S157" s="291"/>
      <c r="T157" s="210"/>
      <c r="U157" s="291"/>
      <c r="V157" s="188"/>
      <c r="W157" s="188"/>
    </row>
    <row r="158" spans="1:23" ht="15.75" customHeight="1" thickBot="1" x14ac:dyDescent="0.3">
      <c r="A158" s="979"/>
      <c r="B158" s="874"/>
      <c r="C158" s="973"/>
      <c r="D158" s="976"/>
      <c r="E158" s="80" t="s">
        <v>13</v>
      </c>
      <c r="F158" s="291"/>
      <c r="G158" s="291"/>
      <c r="H158" s="291"/>
      <c r="I158" s="291"/>
      <c r="J158" s="291"/>
      <c r="K158" s="291"/>
      <c r="L158" s="291"/>
      <c r="M158" s="291"/>
      <c r="N158" s="291"/>
      <c r="O158" s="291"/>
      <c r="P158" s="291"/>
      <c r="Q158" s="291"/>
      <c r="R158" s="291"/>
      <c r="S158" s="291"/>
      <c r="T158" s="210"/>
      <c r="U158" s="291"/>
      <c r="V158" s="291"/>
      <c r="W158" s="291"/>
    </row>
    <row r="159" spans="1:23" ht="15" customHeight="1" thickBot="1" x14ac:dyDescent="0.3">
      <c r="A159" s="968"/>
      <c r="B159" s="874"/>
      <c r="C159" s="971"/>
      <c r="D159" s="974"/>
      <c r="E159" s="80" t="s">
        <v>18</v>
      </c>
      <c r="F159" s="291"/>
      <c r="G159" s="291"/>
      <c r="H159" s="291"/>
      <c r="I159" s="291"/>
      <c r="J159" s="291"/>
      <c r="K159" s="291"/>
      <c r="L159" s="291"/>
      <c r="M159" s="291"/>
      <c r="N159" s="291"/>
      <c r="O159" s="291"/>
      <c r="P159" s="291"/>
      <c r="Q159" s="291"/>
      <c r="R159" s="291"/>
      <c r="S159" s="291"/>
      <c r="T159" s="210"/>
      <c r="U159" s="291"/>
      <c r="V159" s="188"/>
      <c r="W159" s="188"/>
    </row>
    <row r="160" spans="1:23" ht="15" customHeight="1" thickBot="1" x14ac:dyDescent="0.3">
      <c r="A160" s="969"/>
      <c r="B160" s="874"/>
      <c r="C160" s="972"/>
      <c r="D160" s="975"/>
      <c r="E160" s="80" t="s">
        <v>19</v>
      </c>
      <c r="F160" s="291"/>
      <c r="G160" s="267"/>
      <c r="H160" s="267"/>
      <c r="I160" s="267"/>
      <c r="J160" s="267"/>
      <c r="K160" s="267"/>
      <c r="L160" s="267"/>
      <c r="M160" s="267"/>
      <c r="N160" s="267"/>
      <c r="O160" s="267"/>
      <c r="P160" s="291"/>
      <c r="Q160" s="267"/>
      <c r="R160" s="267"/>
      <c r="S160" s="291"/>
      <c r="T160" s="210"/>
      <c r="U160" s="291"/>
      <c r="V160" s="267"/>
      <c r="W160" s="267"/>
    </row>
    <row r="161" spans="1:23" ht="15" customHeight="1" thickBot="1" x14ac:dyDescent="0.3">
      <c r="A161" s="970"/>
      <c r="B161" s="874"/>
      <c r="C161" s="973"/>
      <c r="D161" s="976"/>
      <c r="E161" s="80" t="s">
        <v>13</v>
      </c>
      <c r="F161" s="291"/>
      <c r="G161" s="291"/>
      <c r="H161" s="291"/>
      <c r="I161" s="291"/>
      <c r="J161" s="291"/>
      <c r="K161" s="291"/>
      <c r="L161" s="291"/>
      <c r="M161" s="291"/>
      <c r="N161" s="291"/>
      <c r="O161" s="291"/>
      <c r="P161" s="291"/>
      <c r="Q161" s="291"/>
      <c r="R161" s="291"/>
      <c r="S161" s="291"/>
      <c r="T161" s="210"/>
      <c r="U161" s="291"/>
      <c r="V161" s="291"/>
      <c r="W161" s="291"/>
    </row>
    <row r="162" spans="1:23" ht="15" customHeight="1" thickBot="1" x14ac:dyDescent="0.3">
      <c r="A162" s="968"/>
      <c r="B162" s="874"/>
      <c r="C162" s="971"/>
      <c r="D162" s="974"/>
      <c r="E162" s="80" t="s">
        <v>18</v>
      </c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2"/>
      <c r="U162" s="81"/>
      <c r="V162" s="81"/>
      <c r="W162" s="81"/>
    </row>
    <row r="163" spans="1:23" ht="15" customHeight="1" thickBot="1" x14ac:dyDescent="0.3">
      <c r="A163" s="969"/>
      <c r="B163" s="874"/>
      <c r="C163" s="972"/>
      <c r="D163" s="975"/>
      <c r="E163" s="80" t="s">
        <v>19</v>
      </c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2"/>
      <c r="U163" s="81"/>
      <c r="V163" s="81"/>
      <c r="W163" s="81"/>
    </row>
    <row r="164" spans="1:23" ht="15" customHeight="1" thickBot="1" x14ac:dyDescent="0.3">
      <c r="A164" s="970"/>
      <c r="B164" s="874"/>
      <c r="C164" s="973"/>
      <c r="D164" s="976"/>
      <c r="E164" s="80" t="s">
        <v>13</v>
      </c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2"/>
      <c r="U164" s="81"/>
      <c r="V164" s="81"/>
      <c r="W164" s="81"/>
    </row>
    <row r="165" spans="1:23" ht="15" customHeight="1" thickBot="1" x14ac:dyDescent="0.3">
      <c r="A165" s="968"/>
      <c r="B165" s="874"/>
      <c r="C165" s="971"/>
      <c r="D165" s="974"/>
      <c r="E165" s="80" t="s">
        <v>18</v>
      </c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2"/>
      <c r="U165" s="81"/>
      <c r="V165" s="81"/>
      <c r="W165" s="81"/>
    </row>
    <row r="166" spans="1:23" ht="15" customHeight="1" thickBot="1" x14ac:dyDescent="0.3">
      <c r="A166" s="969"/>
      <c r="B166" s="874"/>
      <c r="C166" s="972"/>
      <c r="D166" s="975"/>
      <c r="E166" s="80" t="s">
        <v>19</v>
      </c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2"/>
      <c r="U166" s="81"/>
      <c r="V166" s="81"/>
      <c r="W166" s="81"/>
    </row>
    <row r="167" spans="1:23" ht="15" customHeight="1" thickBot="1" x14ac:dyDescent="0.3">
      <c r="A167" s="970"/>
      <c r="B167" s="874"/>
      <c r="C167" s="973"/>
      <c r="D167" s="976"/>
      <c r="E167" s="80" t="s">
        <v>13</v>
      </c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2"/>
      <c r="U167" s="81"/>
      <c r="V167" s="81"/>
      <c r="W167" s="81"/>
    </row>
    <row r="168" spans="1:23" ht="15" customHeight="1" thickBot="1" x14ac:dyDescent="0.3">
      <c r="A168" s="968"/>
      <c r="B168" s="874"/>
      <c r="C168" s="971"/>
      <c r="D168" s="974"/>
      <c r="E168" s="80" t="s">
        <v>18</v>
      </c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2"/>
      <c r="U168" s="81"/>
      <c r="V168" s="81"/>
      <c r="W168" s="81"/>
    </row>
    <row r="169" spans="1:23" ht="15" customHeight="1" thickBot="1" x14ac:dyDescent="0.3">
      <c r="A169" s="969"/>
      <c r="B169" s="874"/>
      <c r="C169" s="972"/>
      <c r="D169" s="975"/>
      <c r="E169" s="80" t="s">
        <v>19</v>
      </c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2"/>
      <c r="U169" s="81"/>
      <c r="V169" s="81"/>
      <c r="W169" s="81"/>
    </row>
    <row r="170" spans="1:23" ht="15" customHeight="1" thickBot="1" x14ac:dyDescent="0.3">
      <c r="A170" s="970"/>
      <c r="B170" s="874"/>
      <c r="C170" s="973"/>
      <c r="D170" s="976"/>
      <c r="E170" s="80" t="s">
        <v>13</v>
      </c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2"/>
      <c r="U170" s="81"/>
      <c r="V170" s="81"/>
      <c r="W170" s="81"/>
    </row>
    <row r="171" spans="1:23" ht="15" customHeight="1" thickBot="1" x14ac:dyDescent="0.3">
      <c r="A171" s="968"/>
      <c r="B171" s="874"/>
      <c r="C171" s="971"/>
      <c r="D171" s="974"/>
      <c r="E171" s="80" t="s">
        <v>18</v>
      </c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2"/>
      <c r="U171" s="81"/>
      <c r="V171" s="81"/>
      <c r="W171" s="81"/>
    </row>
    <row r="172" spans="1:23" ht="15" customHeight="1" thickBot="1" x14ac:dyDescent="0.3">
      <c r="A172" s="969"/>
      <c r="B172" s="874"/>
      <c r="C172" s="972"/>
      <c r="D172" s="975"/>
      <c r="E172" s="80" t="s">
        <v>19</v>
      </c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2"/>
      <c r="U172" s="81"/>
      <c r="V172" s="81"/>
      <c r="W172" s="81"/>
    </row>
    <row r="173" spans="1:23" ht="15" customHeight="1" thickBot="1" x14ac:dyDescent="0.3">
      <c r="A173" s="970"/>
      <c r="B173" s="874"/>
      <c r="C173" s="973"/>
      <c r="D173" s="976"/>
      <c r="E173" s="80" t="s">
        <v>13</v>
      </c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2"/>
      <c r="U173" s="81"/>
      <c r="V173" s="81"/>
      <c r="W173" s="81"/>
    </row>
    <row r="174" spans="1:23" ht="15" customHeight="1" thickBot="1" x14ac:dyDescent="0.3">
      <c r="A174" s="968"/>
      <c r="B174" s="874"/>
      <c r="C174" s="971"/>
      <c r="D174" s="974"/>
      <c r="E174" s="80" t="s">
        <v>18</v>
      </c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2"/>
      <c r="U174" s="81"/>
      <c r="V174" s="81"/>
      <c r="W174" s="81"/>
    </row>
    <row r="175" spans="1:23" ht="15" customHeight="1" thickBot="1" x14ac:dyDescent="0.3">
      <c r="A175" s="969"/>
      <c r="B175" s="874"/>
      <c r="C175" s="972"/>
      <c r="D175" s="975"/>
      <c r="E175" s="80" t="s">
        <v>19</v>
      </c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2"/>
      <c r="U175" s="81"/>
      <c r="V175" s="81"/>
      <c r="W175" s="81"/>
    </row>
    <row r="176" spans="1:23" ht="15" customHeight="1" thickBot="1" x14ac:dyDescent="0.3">
      <c r="A176" s="970"/>
      <c r="B176" s="874"/>
      <c r="C176" s="973"/>
      <c r="D176" s="976"/>
      <c r="E176" s="80" t="s">
        <v>13</v>
      </c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2"/>
      <c r="U176" s="81"/>
      <c r="V176" s="81"/>
      <c r="W176" s="81"/>
    </row>
    <row r="177" spans="2:2" ht="15.75" thickBot="1" x14ac:dyDescent="0.3">
      <c r="B177" s="874"/>
    </row>
    <row r="178" spans="2:2" ht="15.75" thickBot="1" x14ac:dyDescent="0.3">
      <c r="B178" s="874"/>
    </row>
    <row r="179" spans="2:2" ht="15.75" thickBot="1" x14ac:dyDescent="0.3">
      <c r="B179" s="874"/>
    </row>
  </sheetData>
  <mergeCells count="229">
    <mergeCell ref="A174:A176"/>
    <mergeCell ref="B177:B179"/>
    <mergeCell ref="C174:C176"/>
    <mergeCell ref="D174:D176"/>
    <mergeCell ref="A168:A170"/>
    <mergeCell ref="B171:B173"/>
    <mergeCell ref="C168:C170"/>
    <mergeCell ref="D168:D170"/>
    <mergeCell ref="A171:A173"/>
    <mergeCell ref="B174:B176"/>
    <mergeCell ref="C171:C173"/>
    <mergeCell ref="D171:D173"/>
    <mergeCell ref="A162:A164"/>
    <mergeCell ref="B165:B167"/>
    <mergeCell ref="C162:C164"/>
    <mergeCell ref="D162:D164"/>
    <mergeCell ref="A165:A167"/>
    <mergeCell ref="B168:B170"/>
    <mergeCell ref="C165:C167"/>
    <mergeCell ref="D165:D167"/>
    <mergeCell ref="A156:A158"/>
    <mergeCell ref="B159:B161"/>
    <mergeCell ref="C156:C158"/>
    <mergeCell ref="D156:D158"/>
    <mergeCell ref="A159:A161"/>
    <mergeCell ref="B162:B164"/>
    <mergeCell ref="C159:C161"/>
    <mergeCell ref="D159:D161"/>
    <mergeCell ref="A150:A152"/>
    <mergeCell ref="B153:B155"/>
    <mergeCell ref="C150:C152"/>
    <mergeCell ref="D150:D152"/>
    <mergeCell ref="A153:A155"/>
    <mergeCell ref="B156:B158"/>
    <mergeCell ref="C153:C155"/>
    <mergeCell ref="D153:D155"/>
    <mergeCell ref="A144:A146"/>
    <mergeCell ref="B147:B149"/>
    <mergeCell ref="C144:C146"/>
    <mergeCell ref="D144:D146"/>
    <mergeCell ref="A147:A149"/>
    <mergeCell ref="B150:B152"/>
    <mergeCell ref="C147:C149"/>
    <mergeCell ref="D147:D149"/>
    <mergeCell ref="A138:A140"/>
    <mergeCell ref="B141:B143"/>
    <mergeCell ref="C138:C140"/>
    <mergeCell ref="D138:D140"/>
    <mergeCell ref="A141:A143"/>
    <mergeCell ref="B144:B146"/>
    <mergeCell ref="C141:C143"/>
    <mergeCell ref="D141:D143"/>
    <mergeCell ref="A132:A134"/>
    <mergeCell ref="B135:B137"/>
    <mergeCell ref="C132:C134"/>
    <mergeCell ref="D132:D134"/>
    <mergeCell ref="A135:A137"/>
    <mergeCell ref="B138:B140"/>
    <mergeCell ref="C135:C137"/>
    <mergeCell ref="D135:D137"/>
    <mergeCell ref="A123:A125"/>
    <mergeCell ref="B129:B131"/>
    <mergeCell ref="C123:C125"/>
    <mergeCell ref="D123:D125"/>
    <mergeCell ref="A129:A131"/>
    <mergeCell ref="B132:B134"/>
    <mergeCell ref="C129:C131"/>
    <mergeCell ref="D129:D131"/>
    <mergeCell ref="A117:A119"/>
    <mergeCell ref="B120:B122"/>
    <mergeCell ref="C117:C119"/>
    <mergeCell ref="D117:D119"/>
    <mergeCell ref="A120:A122"/>
    <mergeCell ref="B123:B125"/>
    <mergeCell ref="C120:C122"/>
    <mergeCell ref="D120:D122"/>
    <mergeCell ref="B126:B128"/>
    <mergeCell ref="A126:A128"/>
    <mergeCell ref="A111:A113"/>
    <mergeCell ref="B114:B116"/>
    <mergeCell ref="C111:C113"/>
    <mergeCell ref="D111:D113"/>
    <mergeCell ref="A114:A116"/>
    <mergeCell ref="B117:B119"/>
    <mergeCell ref="C114:C116"/>
    <mergeCell ref="D114:D116"/>
    <mergeCell ref="A105:A107"/>
    <mergeCell ref="B108:B110"/>
    <mergeCell ref="C105:C107"/>
    <mergeCell ref="D105:D107"/>
    <mergeCell ref="A108:A110"/>
    <mergeCell ref="B111:B113"/>
    <mergeCell ref="C108:C110"/>
    <mergeCell ref="D108:D110"/>
    <mergeCell ref="A99:A101"/>
    <mergeCell ref="B102:B104"/>
    <mergeCell ref="C99:C101"/>
    <mergeCell ref="D99:D101"/>
    <mergeCell ref="A102:A104"/>
    <mergeCell ref="B105:B107"/>
    <mergeCell ref="C102:C104"/>
    <mergeCell ref="D102:D104"/>
    <mergeCell ref="A93:A95"/>
    <mergeCell ref="B96:B98"/>
    <mergeCell ref="C93:C95"/>
    <mergeCell ref="D93:D95"/>
    <mergeCell ref="A96:A98"/>
    <mergeCell ref="B99:B101"/>
    <mergeCell ref="C96:C98"/>
    <mergeCell ref="D96:D98"/>
    <mergeCell ref="A87:A89"/>
    <mergeCell ref="B87:B89"/>
    <mergeCell ref="C87:C89"/>
    <mergeCell ref="D87:D89"/>
    <mergeCell ref="A90:A92"/>
    <mergeCell ref="B93:B95"/>
    <mergeCell ref="C90:C92"/>
    <mergeCell ref="D90:D92"/>
    <mergeCell ref="A81:A83"/>
    <mergeCell ref="B81:B83"/>
    <mergeCell ref="C81:C83"/>
    <mergeCell ref="D81:D83"/>
    <mergeCell ref="A84:A86"/>
    <mergeCell ref="B84:B86"/>
    <mergeCell ref="C84:C86"/>
    <mergeCell ref="D84:D86"/>
    <mergeCell ref="B90:B92"/>
    <mergeCell ref="A75:A77"/>
    <mergeCell ref="B75:B77"/>
    <mergeCell ref="C75:C77"/>
    <mergeCell ref="D75:D77"/>
    <mergeCell ref="A78:A80"/>
    <mergeCell ref="B78:B80"/>
    <mergeCell ref="C78:C80"/>
    <mergeCell ref="D78:D80"/>
    <mergeCell ref="A69:A71"/>
    <mergeCell ref="B69:B71"/>
    <mergeCell ref="C69:C71"/>
    <mergeCell ref="D69:D71"/>
    <mergeCell ref="A72:A74"/>
    <mergeCell ref="B72:B74"/>
    <mergeCell ref="C72:C74"/>
    <mergeCell ref="D72:D74"/>
    <mergeCell ref="A63:A65"/>
    <mergeCell ref="B63:B65"/>
    <mergeCell ref="C63:C65"/>
    <mergeCell ref="D63:D65"/>
    <mergeCell ref="A66:A68"/>
    <mergeCell ref="B66:B68"/>
    <mergeCell ref="C66:C68"/>
    <mergeCell ref="D66:D68"/>
    <mergeCell ref="A57:A59"/>
    <mergeCell ref="B57:B59"/>
    <mergeCell ref="C57:C59"/>
    <mergeCell ref="D57:D59"/>
    <mergeCell ref="A60:A62"/>
    <mergeCell ref="B60:B62"/>
    <mergeCell ref="C60:C62"/>
    <mergeCell ref="D60:D62"/>
    <mergeCell ref="A51:A53"/>
    <mergeCell ref="B51:B53"/>
    <mergeCell ref="C51:C53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1:W1"/>
    <mergeCell ref="A3:W3"/>
    <mergeCell ref="A6:A8"/>
    <mergeCell ref="B6:B8"/>
    <mergeCell ref="C6:C8"/>
    <mergeCell ref="D6:D8"/>
    <mergeCell ref="A15:A17"/>
    <mergeCell ref="B15:B17"/>
    <mergeCell ref="C15:C17"/>
    <mergeCell ref="D15:D17"/>
  </mergeCells>
  <pageMargins left="0.7" right="0.7" top="0.75" bottom="0.75" header="0.3" footer="0.3"/>
  <pageSetup paperSize="9" scale="5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view="pageBreakPreview" zoomScale="60" zoomScaleNormal="100" workbookViewId="0">
      <selection activeCell="B4" sqref="B4:B53"/>
    </sheetView>
  </sheetViews>
  <sheetFormatPr defaultRowHeight="15" x14ac:dyDescent="0.25"/>
  <cols>
    <col min="1" max="1" width="6" customWidth="1"/>
    <col min="2" max="2" width="61.42578125" customWidth="1"/>
    <col min="3" max="3" width="10.28515625" customWidth="1"/>
    <col min="4" max="4" width="8.28515625" customWidth="1"/>
    <col min="5" max="6" width="9.42578125" bestFit="1" customWidth="1"/>
    <col min="7" max="7" width="9.42578125" style="211" bestFit="1" customWidth="1"/>
    <col min="8" max="17" width="9.42578125" bestFit="1" customWidth="1"/>
    <col min="18" max="18" width="10.5703125" style="211" bestFit="1" customWidth="1"/>
    <col min="19" max="19" width="11.85546875" bestFit="1" customWidth="1"/>
    <col min="20" max="20" width="9.42578125" bestFit="1" customWidth="1"/>
  </cols>
  <sheetData>
    <row r="1" spans="1:23" ht="27.75" x14ac:dyDescent="0.25">
      <c r="A1" s="893" t="s">
        <v>44</v>
      </c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4"/>
      <c r="N1" s="894"/>
      <c r="O1" s="894"/>
      <c r="P1" s="894"/>
      <c r="Q1" s="894"/>
      <c r="R1" s="894"/>
      <c r="S1" s="894"/>
      <c r="T1" s="894"/>
      <c r="U1" s="894"/>
      <c r="V1" s="894"/>
      <c r="W1" s="895"/>
    </row>
    <row r="2" spans="1:23" ht="31.5" thickBot="1" x14ac:dyDescent="0.3">
      <c r="A2" s="896" t="s">
        <v>79</v>
      </c>
      <c r="B2" s="896"/>
      <c r="C2" s="896"/>
      <c r="D2" s="896"/>
      <c r="E2" s="896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</row>
    <row r="3" spans="1:23" ht="126.75" thickBot="1" x14ac:dyDescent="0.5">
      <c r="A3" s="426" t="s">
        <v>80</v>
      </c>
      <c r="B3" s="427" t="s">
        <v>1</v>
      </c>
      <c r="C3" s="428" t="s">
        <v>2</v>
      </c>
      <c r="D3" s="427" t="s">
        <v>3</v>
      </c>
      <c r="E3" s="429" t="s">
        <v>22</v>
      </c>
      <c r="F3" s="429" t="s">
        <v>5</v>
      </c>
      <c r="G3" s="429" t="s">
        <v>29</v>
      </c>
      <c r="H3" s="429" t="s">
        <v>70</v>
      </c>
      <c r="I3" s="429" t="s">
        <v>71</v>
      </c>
      <c r="J3" s="429" t="s">
        <v>72</v>
      </c>
      <c r="K3" s="429" t="s">
        <v>73</v>
      </c>
      <c r="L3" s="429" t="s">
        <v>24</v>
      </c>
      <c r="M3" s="429" t="s">
        <v>74</v>
      </c>
      <c r="N3" s="429" t="s">
        <v>75</v>
      </c>
      <c r="O3" s="429" t="s">
        <v>27</v>
      </c>
      <c r="P3" s="429" t="s">
        <v>26</v>
      </c>
      <c r="Q3" s="429" t="s">
        <v>28</v>
      </c>
      <c r="R3" s="430" t="s">
        <v>12</v>
      </c>
      <c r="S3" s="430" t="s">
        <v>13</v>
      </c>
      <c r="T3" s="430" t="s">
        <v>14</v>
      </c>
      <c r="U3" s="430" t="s">
        <v>15</v>
      </c>
      <c r="V3" s="431" t="s">
        <v>16</v>
      </c>
      <c r="W3" s="432"/>
    </row>
    <row r="4" spans="1:23" ht="33" customHeight="1" thickBot="1" x14ac:dyDescent="0.5">
      <c r="A4" s="433">
        <v>1</v>
      </c>
      <c r="B4" s="434"/>
      <c r="C4" s="435">
        <v>16</v>
      </c>
      <c r="D4" s="435" t="s">
        <v>17</v>
      </c>
      <c r="E4" s="436">
        <v>86</v>
      </c>
      <c r="F4" s="436">
        <v>89</v>
      </c>
      <c r="G4" s="436">
        <v>82</v>
      </c>
      <c r="H4" s="436">
        <v>72</v>
      </c>
      <c r="I4" s="436">
        <v>70</v>
      </c>
      <c r="J4" s="436">
        <v>75</v>
      </c>
      <c r="K4" s="436">
        <v>79</v>
      </c>
      <c r="L4" s="436">
        <v>69</v>
      </c>
      <c r="M4" s="436">
        <v>83</v>
      </c>
      <c r="N4" s="436">
        <v>91</v>
      </c>
      <c r="O4" s="436">
        <v>78</v>
      </c>
      <c r="P4" s="437">
        <v>82</v>
      </c>
      <c r="Q4" s="437">
        <v>83</v>
      </c>
      <c r="R4" s="437">
        <f t="shared" ref="R4:R35" si="0">SUM(E4:Q4)</f>
        <v>1039</v>
      </c>
      <c r="S4" s="438">
        <f t="shared" ref="S4:S35" si="1">AVERAGE(E4:Q4)</f>
        <v>79.92307692307692</v>
      </c>
      <c r="T4" s="439">
        <f>RANK(S4,$S$4:$S$53)</f>
        <v>14</v>
      </c>
      <c r="U4" s="440"/>
      <c r="V4" s="440"/>
      <c r="W4" s="432"/>
    </row>
    <row r="5" spans="1:23" ht="25.5" customHeight="1" thickBot="1" x14ac:dyDescent="0.5">
      <c r="A5" s="441">
        <v>2</v>
      </c>
      <c r="B5" s="442"/>
      <c r="C5" s="443">
        <v>16</v>
      </c>
      <c r="D5" s="443" t="s">
        <v>17</v>
      </c>
      <c r="E5" s="444">
        <v>63</v>
      </c>
      <c r="F5" s="444">
        <v>67</v>
      </c>
      <c r="G5" s="444">
        <v>72</v>
      </c>
      <c r="H5" s="444">
        <v>54</v>
      </c>
      <c r="I5" s="444">
        <v>52</v>
      </c>
      <c r="J5" s="444">
        <v>50</v>
      </c>
      <c r="K5" s="444">
        <v>58</v>
      </c>
      <c r="L5" s="444">
        <v>62</v>
      </c>
      <c r="M5" s="444">
        <v>75</v>
      </c>
      <c r="N5" s="444">
        <v>73</v>
      </c>
      <c r="O5" s="444">
        <v>57</v>
      </c>
      <c r="P5" s="444">
        <v>76</v>
      </c>
      <c r="Q5" s="444">
        <v>83</v>
      </c>
      <c r="R5" s="437">
        <f t="shared" si="0"/>
        <v>842</v>
      </c>
      <c r="S5" s="438">
        <f t="shared" si="1"/>
        <v>64.769230769230774</v>
      </c>
      <c r="T5" s="439">
        <f t="shared" ref="T5:T53" si="2">RANK(S5,$S$4:$S$53)</f>
        <v>44</v>
      </c>
      <c r="U5" s="445"/>
      <c r="V5" s="445"/>
      <c r="W5" s="432"/>
    </row>
    <row r="6" spans="1:23" ht="27.75" customHeight="1" thickBot="1" x14ac:dyDescent="0.5">
      <c r="A6" s="441">
        <v>3</v>
      </c>
      <c r="B6" s="442"/>
      <c r="C6" s="443">
        <v>15</v>
      </c>
      <c r="D6" s="443" t="s">
        <v>20</v>
      </c>
      <c r="E6" s="444">
        <v>86</v>
      </c>
      <c r="F6" s="444">
        <v>93</v>
      </c>
      <c r="G6" s="444">
        <v>83</v>
      </c>
      <c r="H6" s="444">
        <v>78</v>
      </c>
      <c r="I6" s="444">
        <v>76</v>
      </c>
      <c r="J6" s="444">
        <v>79</v>
      </c>
      <c r="K6" s="444">
        <v>84</v>
      </c>
      <c r="L6" s="444">
        <v>71</v>
      </c>
      <c r="M6" s="444">
        <v>88</v>
      </c>
      <c r="N6" s="444">
        <v>92</v>
      </c>
      <c r="O6" s="444">
        <v>86</v>
      </c>
      <c r="P6" s="444">
        <v>91</v>
      </c>
      <c r="Q6" s="444">
        <v>90</v>
      </c>
      <c r="R6" s="437">
        <f t="shared" si="0"/>
        <v>1097</v>
      </c>
      <c r="S6" s="438">
        <f t="shared" si="1"/>
        <v>84.384615384615387</v>
      </c>
      <c r="T6" s="439">
        <f t="shared" si="2"/>
        <v>6</v>
      </c>
      <c r="U6" s="445"/>
      <c r="V6" s="445"/>
      <c r="W6" s="432"/>
    </row>
    <row r="7" spans="1:23" ht="25.5" customHeight="1" thickBot="1" x14ac:dyDescent="0.5">
      <c r="A7" s="433">
        <v>4</v>
      </c>
      <c r="B7" s="442"/>
      <c r="C7" s="443">
        <v>15</v>
      </c>
      <c r="D7" s="443" t="s">
        <v>20</v>
      </c>
      <c r="E7" s="444">
        <v>78</v>
      </c>
      <c r="F7" s="444">
        <v>74</v>
      </c>
      <c r="G7" s="444">
        <v>84</v>
      </c>
      <c r="H7" s="444">
        <v>65</v>
      </c>
      <c r="I7" s="444">
        <v>53</v>
      </c>
      <c r="J7" s="444">
        <v>62</v>
      </c>
      <c r="K7" s="444">
        <v>71</v>
      </c>
      <c r="L7" s="444">
        <v>70</v>
      </c>
      <c r="M7" s="444">
        <v>80</v>
      </c>
      <c r="N7" s="444">
        <v>82</v>
      </c>
      <c r="O7" s="444">
        <v>81</v>
      </c>
      <c r="P7" s="444">
        <v>84</v>
      </c>
      <c r="Q7" s="444">
        <v>88</v>
      </c>
      <c r="R7" s="437">
        <f t="shared" si="0"/>
        <v>972</v>
      </c>
      <c r="S7" s="438">
        <f t="shared" si="1"/>
        <v>74.769230769230774</v>
      </c>
      <c r="T7" s="439">
        <f t="shared" si="2"/>
        <v>24</v>
      </c>
      <c r="U7" s="445"/>
      <c r="V7" s="445"/>
      <c r="W7" s="432"/>
    </row>
    <row r="8" spans="1:23" ht="27.75" customHeight="1" thickBot="1" x14ac:dyDescent="0.5">
      <c r="A8" s="441">
        <v>5</v>
      </c>
      <c r="B8" s="446"/>
      <c r="C8" s="447">
        <v>15</v>
      </c>
      <c r="D8" s="447" t="s">
        <v>20</v>
      </c>
      <c r="E8" s="444">
        <v>79</v>
      </c>
      <c r="F8" s="444">
        <v>92</v>
      </c>
      <c r="G8" s="444">
        <v>86</v>
      </c>
      <c r="H8" s="444">
        <v>79</v>
      </c>
      <c r="I8" s="444">
        <v>71</v>
      </c>
      <c r="J8" s="444">
        <v>80</v>
      </c>
      <c r="K8" s="444">
        <v>82</v>
      </c>
      <c r="L8" s="444">
        <v>77</v>
      </c>
      <c r="M8" s="444">
        <v>92</v>
      </c>
      <c r="N8" s="444">
        <v>86</v>
      </c>
      <c r="O8" s="444">
        <v>82</v>
      </c>
      <c r="P8" s="444">
        <v>81</v>
      </c>
      <c r="Q8" s="444">
        <v>86</v>
      </c>
      <c r="R8" s="437">
        <f t="shared" si="0"/>
        <v>1073</v>
      </c>
      <c r="S8" s="438">
        <f t="shared" si="1"/>
        <v>82.538461538461533</v>
      </c>
      <c r="T8" s="439">
        <f t="shared" si="2"/>
        <v>8</v>
      </c>
      <c r="U8" s="445"/>
      <c r="V8" s="445"/>
      <c r="W8" s="432"/>
    </row>
    <row r="9" spans="1:23" ht="30" customHeight="1" thickBot="1" x14ac:dyDescent="0.5">
      <c r="A9" s="441">
        <v>6</v>
      </c>
      <c r="B9" s="442"/>
      <c r="C9" s="443">
        <v>16</v>
      </c>
      <c r="D9" s="443" t="s">
        <v>20</v>
      </c>
      <c r="E9" s="444">
        <v>67</v>
      </c>
      <c r="F9" s="444">
        <v>52</v>
      </c>
      <c r="G9" s="444">
        <v>73</v>
      </c>
      <c r="H9" s="444">
        <v>54</v>
      </c>
      <c r="I9" s="444">
        <v>42</v>
      </c>
      <c r="J9" s="444">
        <v>48</v>
      </c>
      <c r="K9" s="444">
        <v>52</v>
      </c>
      <c r="L9" s="444">
        <v>56</v>
      </c>
      <c r="M9" s="444">
        <v>59</v>
      </c>
      <c r="N9" s="444">
        <v>50</v>
      </c>
      <c r="O9" s="444">
        <v>47</v>
      </c>
      <c r="P9" s="444">
        <v>71</v>
      </c>
      <c r="Q9" s="444">
        <v>72</v>
      </c>
      <c r="R9" s="437">
        <f t="shared" si="0"/>
        <v>743</v>
      </c>
      <c r="S9" s="438">
        <f t="shared" si="1"/>
        <v>57.153846153846153</v>
      </c>
      <c r="T9" s="439">
        <f t="shared" si="2"/>
        <v>50</v>
      </c>
      <c r="U9" s="445"/>
      <c r="V9" s="445"/>
      <c r="W9" s="432"/>
    </row>
    <row r="10" spans="1:23" ht="34.5" customHeight="1" thickBot="1" x14ac:dyDescent="0.5">
      <c r="A10" s="433">
        <v>7</v>
      </c>
      <c r="B10" s="442"/>
      <c r="C10" s="443">
        <v>15</v>
      </c>
      <c r="D10" s="443" t="s">
        <v>17</v>
      </c>
      <c r="E10" s="444">
        <v>72</v>
      </c>
      <c r="F10" s="444">
        <v>67</v>
      </c>
      <c r="G10" s="444">
        <v>61</v>
      </c>
      <c r="H10" s="444">
        <v>68</v>
      </c>
      <c r="I10" s="444">
        <v>68</v>
      </c>
      <c r="J10" s="444">
        <v>62</v>
      </c>
      <c r="K10" s="444">
        <v>52</v>
      </c>
      <c r="L10" s="444">
        <v>63</v>
      </c>
      <c r="M10" s="444">
        <v>56</v>
      </c>
      <c r="N10" s="444">
        <v>74</v>
      </c>
      <c r="O10" s="444">
        <v>65</v>
      </c>
      <c r="P10" s="444">
        <v>78</v>
      </c>
      <c r="Q10" s="444">
        <v>61</v>
      </c>
      <c r="R10" s="437">
        <f t="shared" si="0"/>
        <v>847</v>
      </c>
      <c r="S10" s="438">
        <f t="shared" si="1"/>
        <v>65.15384615384616</v>
      </c>
      <c r="T10" s="439">
        <f t="shared" si="2"/>
        <v>41</v>
      </c>
      <c r="U10" s="445"/>
      <c r="V10" s="445"/>
      <c r="W10" s="432"/>
    </row>
    <row r="11" spans="1:23" ht="29.25" customHeight="1" thickBot="1" x14ac:dyDescent="0.5">
      <c r="A11" s="441">
        <v>8</v>
      </c>
      <c r="B11" s="442"/>
      <c r="C11" s="443">
        <v>15</v>
      </c>
      <c r="D11" s="443" t="s">
        <v>20</v>
      </c>
      <c r="E11" s="444">
        <v>89</v>
      </c>
      <c r="F11" s="444">
        <v>86</v>
      </c>
      <c r="G11" s="444">
        <v>80</v>
      </c>
      <c r="H11" s="444">
        <v>71</v>
      </c>
      <c r="I11" s="444">
        <v>67</v>
      </c>
      <c r="J11" s="444">
        <v>71</v>
      </c>
      <c r="K11" s="444">
        <v>82</v>
      </c>
      <c r="L11" s="444">
        <v>65</v>
      </c>
      <c r="M11" s="444">
        <v>87</v>
      </c>
      <c r="N11" s="444">
        <v>83</v>
      </c>
      <c r="O11" s="444">
        <v>82</v>
      </c>
      <c r="P11" s="444">
        <v>89</v>
      </c>
      <c r="Q11" s="444">
        <v>83</v>
      </c>
      <c r="R11" s="437">
        <f t="shared" si="0"/>
        <v>1035</v>
      </c>
      <c r="S11" s="438">
        <f t="shared" si="1"/>
        <v>79.615384615384613</v>
      </c>
      <c r="T11" s="439">
        <f t="shared" si="2"/>
        <v>16</v>
      </c>
      <c r="U11" s="445"/>
      <c r="V11" s="445"/>
      <c r="W11" s="432"/>
    </row>
    <row r="12" spans="1:23" ht="33" customHeight="1" thickBot="1" x14ac:dyDescent="0.5">
      <c r="A12" s="441">
        <v>9</v>
      </c>
      <c r="B12" s="442"/>
      <c r="C12" s="443">
        <v>15</v>
      </c>
      <c r="D12" s="443" t="s">
        <v>20</v>
      </c>
      <c r="E12" s="444">
        <v>84</v>
      </c>
      <c r="F12" s="444">
        <v>70</v>
      </c>
      <c r="G12" s="444">
        <v>92</v>
      </c>
      <c r="H12" s="444">
        <v>81</v>
      </c>
      <c r="I12" s="444">
        <v>67</v>
      </c>
      <c r="J12" s="444">
        <v>60</v>
      </c>
      <c r="K12" s="444">
        <v>64</v>
      </c>
      <c r="L12" s="444">
        <v>72</v>
      </c>
      <c r="M12" s="444">
        <v>69</v>
      </c>
      <c r="N12" s="444">
        <v>70</v>
      </c>
      <c r="O12" s="444">
        <v>72</v>
      </c>
      <c r="P12" s="444">
        <v>83</v>
      </c>
      <c r="Q12" s="444">
        <v>90</v>
      </c>
      <c r="R12" s="437">
        <f t="shared" si="0"/>
        <v>974</v>
      </c>
      <c r="S12" s="438">
        <f t="shared" si="1"/>
        <v>74.92307692307692</v>
      </c>
      <c r="T12" s="439">
        <f t="shared" si="2"/>
        <v>23</v>
      </c>
      <c r="U12" s="445"/>
      <c r="V12" s="445"/>
      <c r="W12" s="432"/>
    </row>
    <row r="13" spans="1:23" ht="28.5" customHeight="1" thickBot="1" x14ac:dyDescent="0.5">
      <c r="A13" s="433">
        <v>10</v>
      </c>
      <c r="B13" s="442"/>
      <c r="C13" s="443">
        <v>16</v>
      </c>
      <c r="D13" s="443" t="s">
        <v>20</v>
      </c>
      <c r="E13" s="444">
        <v>78</v>
      </c>
      <c r="F13" s="444">
        <v>81</v>
      </c>
      <c r="G13" s="444">
        <v>93</v>
      </c>
      <c r="H13" s="444">
        <v>68</v>
      </c>
      <c r="I13" s="444">
        <v>61</v>
      </c>
      <c r="J13" s="444">
        <v>74</v>
      </c>
      <c r="K13" s="444">
        <v>75</v>
      </c>
      <c r="L13" s="444">
        <v>81</v>
      </c>
      <c r="M13" s="444">
        <v>85</v>
      </c>
      <c r="N13" s="444">
        <v>89</v>
      </c>
      <c r="O13" s="444">
        <v>83</v>
      </c>
      <c r="P13" s="444">
        <v>88</v>
      </c>
      <c r="Q13" s="444">
        <v>96</v>
      </c>
      <c r="R13" s="437">
        <f t="shared" si="0"/>
        <v>1052</v>
      </c>
      <c r="S13" s="438">
        <f t="shared" si="1"/>
        <v>80.92307692307692</v>
      </c>
      <c r="T13" s="439">
        <f t="shared" si="2"/>
        <v>11</v>
      </c>
      <c r="U13" s="445"/>
      <c r="V13" s="445"/>
      <c r="W13" s="432"/>
    </row>
    <row r="14" spans="1:23" ht="36.75" customHeight="1" thickBot="1" x14ac:dyDescent="0.5">
      <c r="A14" s="441">
        <v>11</v>
      </c>
      <c r="B14" s="442"/>
      <c r="C14" s="443">
        <v>15</v>
      </c>
      <c r="D14" s="443" t="s">
        <v>17</v>
      </c>
      <c r="E14" s="444">
        <v>76</v>
      </c>
      <c r="F14" s="444">
        <v>64</v>
      </c>
      <c r="G14" s="444">
        <v>71</v>
      </c>
      <c r="H14" s="444">
        <v>64</v>
      </c>
      <c r="I14" s="444">
        <v>61</v>
      </c>
      <c r="J14" s="444">
        <v>55</v>
      </c>
      <c r="K14" s="444">
        <v>64</v>
      </c>
      <c r="L14" s="444">
        <v>63</v>
      </c>
      <c r="M14" s="444">
        <v>70</v>
      </c>
      <c r="N14" s="444">
        <v>67</v>
      </c>
      <c r="O14" s="444">
        <v>69</v>
      </c>
      <c r="P14" s="444">
        <v>71</v>
      </c>
      <c r="Q14" s="444">
        <v>80</v>
      </c>
      <c r="R14" s="437">
        <f t="shared" si="0"/>
        <v>875</v>
      </c>
      <c r="S14" s="438">
        <f t="shared" si="1"/>
        <v>67.307692307692307</v>
      </c>
      <c r="T14" s="439">
        <f t="shared" si="2"/>
        <v>38</v>
      </c>
      <c r="U14" s="445"/>
      <c r="V14" s="445"/>
      <c r="W14" s="432"/>
    </row>
    <row r="15" spans="1:23" ht="36.75" customHeight="1" thickBot="1" x14ac:dyDescent="0.5">
      <c r="A15" s="441">
        <v>12</v>
      </c>
      <c r="B15" s="442"/>
      <c r="C15" s="443">
        <v>15</v>
      </c>
      <c r="D15" s="443" t="s">
        <v>20</v>
      </c>
      <c r="E15" s="444">
        <v>69</v>
      </c>
      <c r="F15" s="444">
        <v>68</v>
      </c>
      <c r="G15" s="444">
        <v>82</v>
      </c>
      <c r="H15" s="444">
        <v>75</v>
      </c>
      <c r="I15" s="444">
        <v>58</v>
      </c>
      <c r="J15" s="444">
        <v>70</v>
      </c>
      <c r="K15" s="444">
        <v>80</v>
      </c>
      <c r="L15" s="444">
        <v>86</v>
      </c>
      <c r="M15" s="444">
        <v>79</v>
      </c>
      <c r="N15" s="444">
        <v>77</v>
      </c>
      <c r="O15" s="444">
        <v>76</v>
      </c>
      <c r="P15" s="444">
        <v>80</v>
      </c>
      <c r="Q15" s="444">
        <v>70</v>
      </c>
      <c r="R15" s="437">
        <f t="shared" si="0"/>
        <v>970</v>
      </c>
      <c r="S15" s="438">
        <f t="shared" si="1"/>
        <v>74.615384615384613</v>
      </c>
      <c r="T15" s="439">
        <f t="shared" si="2"/>
        <v>27</v>
      </c>
      <c r="U15" s="445"/>
      <c r="V15" s="445"/>
      <c r="W15" s="432"/>
    </row>
    <row r="16" spans="1:23" ht="31.5" customHeight="1" thickBot="1" x14ac:dyDescent="0.5">
      <c r="A16" s="433">
        <v>13</v>
      </c>
      <c r="B16" s="442"/>
      <c r="C16" s="443">
        <v>15</v>
      </c>
      <c r="D16" s="443" t="s">
        <v>20</v>
      </c>
      <c r="E16" s="444">
        <v>95</v>
      </c>
      <c r="F16" s="444">
        <v>92</v>
      </c>
      <c r="G16" s="444">
        <v>94</v>
      </c>
      <c r="H16" s="444">
        <v>99</v>
      </c>
      <c r="I16" s="444">
        <v>98</v>
      </c>
      <c r="J16" s="444">
        <v>100</v>
      </c>
      <c r="K16" s="444">
        <v>95</v>
      </c>
      <c r="L16" s="444">
        <v>97</v>
      </c>
      <c r="M16" s="444">
        <v>95</v>
      </c>
      <c r="N16" s="444">
        <v>95</v>
      </c>
      <c r="O16" s="444">
        <v>100</v>
      </c>
      <c r="P16" s="444">
        <v>92</v>
      </c>
      <c r="Q16" s="444">
        <v>97</v>
      </c>
      <c r="R16" s="437">
        <f t="shared" si="0"/>
        <v>1249</v>
      </c>
      <c r="S16" s="438">
        <f t="shared" si="1"/>
        <v>96.07692307692308</v>
      </c>
      <c r="T16" s="439">
        <f t="shared" si="2"/>
        <v>1</v>
      </c>
      <c r="U16" s="445"/>
      <c r="V16" s="445"/>
      <c r="W16" s="432"/>
    </row>
    <row r="17" spans="1:23" ht="32.25" customHeight="1" thickBot="1" x14ac:dyDescent="0.5">
      <c r="A17" s="441">
        <v>14</v>
      </c>
      <c r="B17" s="442"/>
      <c r="C17" s="443">
        <v>16</v>
      </c>
      <c r="D17" s="443" t="s">
        <v>20</v>
      </c>
      <c r="E17" s="444">
        <v>88</v>
      </c>
      <c r="F17" s="444">
        <v>90</v>
      </c>
      <c r="G17" s="444">
        <v>82</v>
      </c>
      <c r="H17" s="444">
        <v>65</v>
      </c>
      <c r="I17" s="444">
        <v>71</v>
      </c>
      <c r="J17" s="444">
        <v>70</v>
      </c>
      <c r="K17" s="444">
        <v>79</v>
      </c>
      <c r="L17" s="444">
        <v>74</v>
      </c>
      <c r="M17" s="444">
        <v>91</v>
      </c>
      <c r="N17" s="444">
        <v>86</v>
      </c>
      <c r="O17" s="444">
        <v>83</v>
      </c>
      <c r="P17" s="444">
        <v>86</v>
      </c>
      <c r="Q17" s="444">
        <v>94</v>
      </c>
      <c r="R17" s="437">
        <f t="shared" si="0"/>
        <v>1059</v>
      </c>
      <c r="S17" s="438">
        <f t="shared" si="1"/>
        <v>81.461538461538467</v>
      </c>
      <c r="T17" s="439">
        <f t="shared" si="2"/>
        <v>9</v>
      </c>
      <c r="U17" s="445"/>
      <c r="V17" s="445"/>
      <c r="W17" s="432"/>
    </row>
    <row r="18" spans="1:23" ht="39" customHeight="1" thickBot="1" x14ac:dyDescent="0.5">
      <c r="A18" s="441">
        <v>15</v>
      </c>
      <c r="B18" s="442"/>
      <c r="C18" s="443">
        <v>16</v>
      </c>
      <c r="D18" s="443" t="s">
        <v>17</v>
      </c>
      <c r="E18" s="444">
        <v>76</v>
      </c>
      <c r="F18" s="444">
        <v>60</v>
      </c>
      <c r="G18" s="444">
        <v>70</v>
      </c>
      <c r="H18" s="444">
        <v>63</v>
      </c>
      <c r="I18" s="444">
        <v>56</v>
      </c>
      <c r="J18" s="444">
        <v>56</v>
      </c>
      <c r="K18" s="444">
        <v>46</v>
      </c>
      <c r="L18" s="444">
        <v>61</v>
      </c>
      <c r="M18" s="444">
        <v>58</v>
      </c>
      <c r="N18" s="444">
        <v>65</v>
      </c>
      <c r="O18" s="444">
        <v>60</v>
      </c>
      <c r="P18" s="444">
        <v>76</v>
      </c>
      <c r="Q18" s="444">
        <v>77</v>
      </c>
      <c r="R18" s="437">
        <f t="shared" si="0"/>
        <v>824</v>
      </c>
      <c r="S18" s="438">
        <f t="shared" si="1"/>
        <v>63.384615384615387</v>
      </c>
      <c r="T18" s="439">
        <f t="shared" si="2"/>
        <v>46</v>
      </c>
      <c r="U18" s="445"/>
      <c r="V18" s="445"/>
      <c r="W18" s="432"/>
    </row>
    <row r="19" spans="1:23" ht="30.75" customHeight="1" thickBot="1" x14ac:dyDescent="0.5">
      <c r="A19" s="433">
        <v>16</v>
      </c>
      <c r="B19" s="442"/>
      <c r="C19" s="443">
        <v>15</v>
      </c>
      <c r="D19" s="443" t="s">
        <v>20</v>
      </c>
      <c r="E19" s="444">
        <v>92</v>
      </c>
      <c r="F19" s="444">
        <v>94</v>
      </c>
      <c r="G19" s="444">
        <v>92</v>
      </c>
      <c r="H19" s="444">
        <v>96</v>
      </c>
      <c r="I19" s="444">
        <v>95</v>
      </c>
      <c r="J19" s="444">
        <v>97</v>
      </c>
      <c r="K19" s="444">
        <v>94</v>
      </c>
      <c r="L19" s="444">
        <v>93</v>
      </c>
      <c r="M19" s="444">
        <v>86</v>
      </c>
      <c r="N19" s="444">
        <v>94</v>
      </c>
      <c r="O19" s="444">
        <v>100</v>
      </c>
      <c r="P19" s="444">
        <v>89</v>
      </c>
      <c r="Q19" s="444">
        <v>94</v>
      </c>
      <c r="R19" s="437">
        <f t="shared" si="0"/>
        <v>1216</v>
      </c>
      <c r="S19" s="438">
        <f t="shared" si="1"/>
        <v>93.538461538461533</v>
      </c>
      <c r="T19" s="439">
        <f t="shared" si="2"/>
        <v>4</v>
      </c>
      <c r="U19" s="445"/>
      <c r="V19" s="445"/>
      <c r="W19" s="432"/>
    </row>
    <row r="20" spans="1:23" ht="34.5" customHeight="1" thickBot="1" x14ac:dyDescent="0.5">
      <c r="A20" s="441">
        <v>17</v>
      </c>
      <c r="B20" s="442"/>
      <c r="C20" s="443">
        <v>15</v>
      </c>
      <c r="D20" s="443" t="s">
        <v>17</v>
      </c>
      <c r="E20" s="444">
        <v>74</v>
      </c>
      <c r="F20" s="444">
        <v>87</v>
      </c>
      <c r="G20" s="444">
        <v>72</v>
      </c>
      <c r="H20" s="444">
        <v>61</v>
      </c>
      <c r="I20" s="444">
        <v>60</v>
      </c>
      <c r="J20" s="444">
        <v>55</v>
      </c>
      <c r="K20" s="444">
        <v>76</v>
      </c>
      <c r="L20" s="444">
        <v>71</v>
      </c>
      <c r="M20" s="444">
        <v>92</v>
      </c>
      <c r="N20" s="444">
        <v>85</v>
      </c>
      <c r="O20" s="444">
        <v>59</v>
      </c>
      <c r="P20" s="444">
        <v>81</v>
      </c>
      <c r="Q20" s="444">
        <v>90</v>
      </c>
      <c r="R20" s="437">
        <f t="shared" si="0"/>
        <v>963</v>
      </c>
      <c r="S20" s="438">
        <f t="shared" si="1"/>
        <v>74.07692307692308</v>
      </c>
      <c r="T20" s="439">
        <f t="shared" si="2"/>
        <v>28</v>
      </c>
      <c r="U20" s="445"/>
      <c r="V20" s="445"/>
      <c r="W20" s="432"/>
    </row>
    <row r="21" spans="1:23" ht="32.25" customHeight="1" thickBot="1" x14ac:dyDescent="0.5">
      <c r="A21" s="441">
        <v>18</v>
      </c>
      <c r="B21" s="442"/>
      <c r="C21" s="443">
        <v>15</v>
      </c>
      <c r="D21" s="443" t="s">
        <v>20</v>
      </c>
      <c r="E21" s="444">
        <v>70</v>
      </c>
      <c r="F21" s="444">
        <v>54</v>
      </c>
      <c r="G21" s="444">
        <v>72</v>
      </c>
      <c r="H21" s="444">
        <v>47</v>
      </c>
      <c r="I21" s="444">
        <v>60</v>
      </c>
      <c r="J21" s="444">
        <v>46</v>
      </c>
      <c r="K21" s="444">
        <v>63</v>
      </c>
      <c r="L21" s="444">
        <v>52</v>
      </c>
      <c r="M21" s="444">
        <v>63</v>
      </c>
      <c r="N21" s="444">
        <v>61</v>
      </c>
      <c r="O21" s="444">
        <v>47</v>
      </c>
      <c r="P21" s="444">
        <v>74</v>
      </c>
      <c r="Q21" s="444">
        <v>67</v>
      </c>
      <c r="R21" s="437">
        <f t="shared" si="0"/>
        <v>776</v>
      </c>
      <c r="S21" s="438">
        <f t="shared" si="1"/>
        <v>59.692307692307693</v>
      </c>
      <c r="T21" s="439">
        <f t="shared" si="2"/>
        <v>49</v>
      </c>
      <c r="U21" s="445"/>
      <c r="V21" s="445"/>
      <c r="W21" s="432"/>
    </row>
    <row r="22" spans="1:23" ht="30" customHeight="1" thickBot="1" x14ac:dyDescent="0.5">
      <c r="A22" s="433">
        <v>19</v>
      </c>
      <c r="B22" s="442"/>
      <c r="C22" s="443">
        <v>15</v>
      </c>
      <c r="D22" s="443" t="s">
        <v>20</v>
      </c>
      <c r="E22" s="444">
        <v>89</v>
      </c>
      <c r="F22" s="444">
        <v>82</v>
      </c>
      <c r="G22" s="444">
        <v>86</v>
      </c>
      <c r="H22" s="444">
        <v>69</v>
      </c>
      <c r="I22" s="444">
        <v>57</v>
      </c>
      <c r="J22" s="444">
        <v>72</v>
      </c>
      <c r="K22" s="444">
        <v>59</v>
      </c>
      <c r="L22" s="444">
        <v>61</v>
      </c>
      <c r="M22" s="444">
        <v>74</v>
      </c>
      <c r="N22" s="444">
        <v>83</v>
      </c>
      <c r="O22" s="444">
        <v>77</v>
      </c>
      <c r="P22" s="444">
        <v>89</v>
      </c>
      <c r="Q22" s="444">
        <v>85</v>
      </c>
      <c r="R22" s="437">
        <f t="shared" si="0"/>
        <v>983</v>
      </c>
      <c r="S22" s="438">
        <f t="shared" si="1"/>
        <v>75.615384615384613</v>
      </c>
      <c r="T22" s="439">
        <f t="shared" si="2"/>
        <v>21</v>
      </c>
      <c r="U22" s="445"/>
      <c r="V22" s="445"/>
      <c r="W22" s="432"/>
    </row>
    <row r="23" spans="1:23" s="406" customFormat="1" ht="31.5" customHeight="1" thickBot="1" x14ac:dyDescent="0.5">
      <c r="A23" s="441">
        <v>20</v>
      </c>
      <c r="B23" s="448"/>
      <c r="C23" s="449">
        <v>16</v>
      </c>
      <c r="D23" s="449" t="s">
        <v>20</v>
      </c>
      <c r="E23" s="450">
        <v>69</v>
      </c>
      <c r="F23" s="450">
        <v>80</v>
      </c>
      <c r="G23" s="450">
        <v>75</v>
      </c>
      <c r="H23" s="450">
        <v>57</v>
      </c>
      <c r="I23" s="450">
        <v>55</v>
      </c>
      <c r="J23" s="450">
        <v>52</v>
      </c>
      <c r="K23" s="450">
        <v>53</v>
      </c>
      <c r="L23" s="450">
        <v>59</v>
      </c>
      <c r="M23" s="450">
        <v>66</v>
      </c>
      <c r="N23" s="450">
        <v>63</v>
      </c>
      <c r="O23" s="450">
        <v>69</v>
      </c>
      <c r="P23" s="450">
        <v>80</v>
      </c>
      <c r="Q23" s="450">
        <v>66</v>
      </c>
      <c r="R23" s="437">
        <f t="shared" si="0"/>
        <v>844</v>
      </c>
      <c r="S23" s="438">
        <f t="shared" si="1"/>
        <v>64.92307692307692</v>
      </c>
      <c r="T23" s="439">
        <f t="shared" si="2"/>
        <v>43</v>
      </c>
      <c r="U23" s="451"/>
      <c r="V23" s="451"/>
      <c r="W23" s="452"/>
    </row>
    <row r="24" spans="1:23" ht="35.25" customHeight="1" thickBot="1" x14ac:dyDescent="0.5">
      <c r="A24" s="441">
        <v>21</v>
      </c>
      <c r="B24" s="446"/>
      <c r="C24" s="447">
        <v>16</v>
      </c>
      <c r="D24" s="447" t="s">
        <v>20</v>
      </c>
      <c r="E24" s="444">
        <v>78</v>
      </c>
      <c r="F24" s="444">
        <v>75</v>
      </c>
      <c r="G24" s="444">
        <v>81</v>
      </c>
      <c r="H24" s="444">
        <v>59</v>
      </c>
      <c r="I24" s="444">
        <v>50</v>
      </c>
      <c r="J24" s="444">
        <v>57</v>
      </c>
      <c r="K24" s="444">
        <v>56</v>
      </c>
      <c r="L24" s="444">
        <v>56</v>
      </c>
      <c r="M24" s="444">
        <v>67</v>
      </c>
      <c r="N24" s="444">
        <v>74</v>
      </c>
      <c r="O24" s="444">
        <v>70</v>
      </c>
      <c r="P24" s="444">
        <v>83</v>
      </c>
      <c r="Q24" s="444">
        <v>74</v>
      </c>
      <c r="R24" s="437">
        <f t="shared" si="0"/>
        <v>880</v>
      </c>
      <c r="S24" s="438">
        <f t="shared" si="1"/>
        <v>67.692307692307693</v>
      </c>
      <c r="T24" s="439">
        <f t="shared" si="2"/>
        <v>37</v>
      </c>
      <c r="U24" s="445"/>
      <c r="V24" s="445"/>
      <c r="W24" s="432"/>
    </row>
    <row r="25" spans="1:23" ht="34.5" customHeight="1" thickBot="1" x14ac:dyDescent="0.5">
      <c r="A25" s="433">
        <v>22</v>
      </c>
      <c r="B25" s="446"/>
      <c r="C25" s="447">
        <v>16</v>
      </c>
      <c r="D25" s="447" t="s">
        <v>17</v>
      </c>
      <c r="E25" s="444">
        <v>81</v>
      </c>
      <c r="F25" s="444">
        <v>82</v>
      </c>
      <c r="G25" s="444">
        <v>83</v>
      </c>
      <c r="H25" s="444">
        <v>81</v>
      </c>
      <c r="I25" s="444">
        <v>77</v>
      </c>
      <c r="J25" s="444">
        <v>81</v>
      </c>
      <c r="K25" s="444">
        <v>80</v>
      </c>
      <c r="L25" s="444">
        <v>89</v>
      </c>
      <c r="M25" s="444">
        <v>87</v>
      </c>
      <c r="N25" s="444">
        <v>94</v>
      </c>
      <c r="O25" s="444">
        <v>84</v>
      </c>
      <c r="P25" s="444">
        <v>84</v>
      </c>
      <c r="Q25" s="444">
        <v>94</v>
      </c>
      <c r="R25" s="437">
        <f t="shared" si="0"/>
        <v>1097</v>
      </c>
      <c r="S25" s="438">
        <f t="shared" si="1"/>
        <v>84.384615384615387</v>
      </c>
      <c r="T25" s="439">
        <f t="shared" si="2"/>
        <v>6</v>
      </c>
      <c r="U25" s="445"/>
      <c r="V25" s="445"/>
      <c r="W25" s="432"/>
    </row>
    <row r="26" spans="1:23" ht="38.25" customHeight="1" thickBot="1" x14ac:dyDescent="0.5">
      <c r="A26" s="441">
        <v>23</v>
      </c>
      <c r="B26" s="446"/>
      <c r="C26" s="447">
        <v>16</v>
      </c>
      <c r="D26" s="447" t="s">
        <v>17</v>
      </c>
      <c r="E26" s="444">
        <v>68</v>
      </c>
      <c r="F26" s="444">
        <v>66</v>
      </c>
      <c r="G26" s="444">
        <v>66</v>
      </c>
      <c r="H26" s="444">
        <v>58</v>
      </c>
      <c r="I26" s="444">
        <v>47</v>
      </c>
      <c r="J26" s="444">
        <v>41</v>
      </c>
      <c r="K26" s="444">
        <v>54</v>
      </c>
      <c r="L26" s="444">
        <v>62</v>
      </c>
      <c r="M26" s="444">
        <v>55</v>
      </c>
      <c r="N26" s="444">
        <v>65</v>
      </c>
      <c r="O26" s="444">
        <v>51</v>
      </c>
      <c r="P26" s="444">
        <v>79</v>
      </c>
      <c r="Q26" s="444">
        <v>80</v>
      </c>
      <c r="R26" s="437">
        <f t="shared" si="0"/>
        <v>792</v>
      </c>
      <c r="S26" s="438">
        <f t="shared" si="1"/>
        <v>60.92307692307692</v>
      </c>
      <c r="T26" s="439">
        <f t="shared" si="2"/>
        <v>48</v>
      </c>
      <c r="U26" s="445"/>
      <c r="V26" s="445"/>
      <c r="W26" s="432"/>
    </row>
    <row r="27" spans="1:23" ht="37.5" customHeight="1" thickBot="1" x14ac:dyDescent="0.5">
      <c r="A27" s="441">
        <v>24</v>
      </c>
      <c r="B27" s="446"/>
      <c r="C27" s="447">
        <v>15</v>
      </c>
      <c r="D27" s="447" t="s">
        <v>17</v>
      </c>
      <c r="E27" s="444">
        <v>86</v>
      </c>
      <c r="F27" s="444">
        <v>97</v>
      </c>
      <c r="G27" s="444">
        <v>84</v>
      </c>
      <c r="H27" s="444">
        <v>99</v>
      </c>
      <c r="I27" s="444">
        <v>90</v>
      </c>
      <c r="J27" s="444">
        <v>100</v>
      </c>
      <c r="K27" s="444">
        <v>96</v>
      </c>
      <c r="L27" s="444">
        <v>99</v>
      </c>
      <c r="M27" s="444">
        <v>91</v>
      </c>
      <c r="N27" s="444">
        <v>92</v>
      </c>
      <c r="O27" s="444">
        <v>100</v>
      </c>
      <c r="P27" s="444">
        <v>93</v>
      </c>
      <c r="Q27" s="444">
        <v>97</v>
      </c>
      <c r="R27" s="437">
        <f t="shared" si="0"/>
        <v>1224</v>
      </c>
      <c r="S27" s="438">
        <f t="shared" si="1"/>
        <v>94.15384615384616</v>
      </c>
      <c r="T27" s="439">
        <f t="shared" si="2"/>
        <v>3</v>
      </c>
      <c r="U27" s="445"/>
      <c r="V27" s="445"/>
      <c r="W27" s="432"/>
    </row>
    <row r="28" spans="1:23" ht="30.75" customHeight="1" thickBot="1" x14ac:dyDescent="0.5">
      <c r="A28" s="433">
        <v>25</v>
      </c>
      <c r="B28" s="446"/>
      <c r="C28" s="447">
        <v>15</v>
      </c>
      <c r="D28" s="447" t="s">
        <v>20</v>
      </c>
      <c r="E28" s="444">
        <v>75</v>
      </c>
      <c r="F28" s="444">
        <v>87</v>
      </c>
      <c r="G28" s="444">
        <v>77</v>
      </c>
      <c r="H28" s="444">
        <v>69</v>
      </c>
      <c r="I28" s="444">
        <v>68</v>
      </c>
      <c r="J28" s="444">
        <v>72</v>
      </c>
      <c r="K28" s="444">
        <v>84</v>
      </c>
      <c r="L28" s="444">
        <v>77</v>
      </c>
      <c r="M28" s="444">
        <v>86</v>
      </c>
      <c r="N28" s="444">
        <v>86</v>
      </c>
      <c r="O28" s="444">
        <v>79</v>
      </c>
      <c r="P28" s="444">
        <v>85</v>
      </c>
      <c r="Q28" s="444">
        <v>76</v>
      </c>
      <c r="R28" s="437">
        <f t="shared" si="0"/>
        <v>1021</v>
      </c>
      <c r="S28" s="438">
        <f t="shared" si="1"/>
        <v>78.538461538461533</v>
      </c>
      <c r="T28" s="439">
        <f t="shared" si="2"/>
        <v>20</v>
      </c>
      <c r="U28" s="445"/>
      <c r="V28" s="445"/>
      <c r="W28" s="432"/>
    </row>
    <row r="29" spans="1:23" ht="38.25" customHeight="1" thickBot="1" x14ac:dyDescent="0.5">
      <c r="A29" s="441">
        <v>26</v>
      </c>
      <c r="B29" s="446"/>
      <c r="C29" s="447">
        <v>16</v>
      </c>
      <c r="D29" s="447" t="s">
        <v>20</v>
      </c>
      <c r="E29" s="444">
        <v>89</v>
      </c>
      <c r="F29" s="444">
        <v>85</v>
      </c>
      <c r="G29" s="444">
        <v>82</v>
      </c>
      <c r="H29" s="444">
        <v>88</v>
      </c>
      <c r="I29" s="444">
        <v>75</v>
      </c>
      <c r="J29" s="444">
        <v>74</v>
      </c>
      <c r="K29" s="444">
        <v>85</v>
      </c>
      <c r="L29" s="444">
        <v>76</v>
      </c>
      <c r="M29" s="444">
        <v>72</v>
      </c>
      <c r="N29" s="444">
        <v>86</v>
      </c>
      <c r="O29" s="444">
        <v>82</v>
      </c>
      <c r="P29" s="444">
        <v>80</v>
      </c>
      <c r="Q29" s="444">
        <v>72</v>
      </c>
      <c r="R29" s="437">
        <f t="shared" si="0"/>
        <v>1046</v>
      </c>
      <c r="S29" s="438">
        <f t="shared" si="1"/>
        <v>80.461538461538467</v>
      </c>
      <c r="T29" s="439">
        <f t="shared" si="2"/>
        <v>12</v>
      </c>
      <c r="U29" s="445"/>
      <c r="V29" s="445"/>
      <c r="W29" s="432"/>
    </row>
    <row r="30" spans="1:23" ht="35.25" customHeight="1" thickBot="1" x14ac:dyDescent="0.5">
      <c r="A30" s="441">
        <v>27</v>
      </c>
      <c r="B30" s="446"/>
      <c r="C30" s="447">
        <v>16</v>
      </c>
      <c r="D30" s="447" t="s">
        <v>20</v>
      </c>
      <c r="E30" s="444">
        <v>75</v>
      </c>
      <c r="F30" s="444">
        <v>56</v>
      </c>
      <c r="G30" s="444">
        <v>82</v>
      </c>
      <c r="H30" s="444">
        <v>65</v>
      </c>
      <c r="I30" s="444">
        <v>60</v>
      </c>
      <c r="J30" s="444">
        <v>48</v>
      </c>
      <c r="K30" s="444">
        <v>57</v>
      </c>
      <c r="L30" s="444">
        <v>62</v>
      </c>
      <c r="M30" s="444">
        <v>59</v>
      </c>
      <c r="N30" s="444">
        <v>68</v>
      </c>
      <c r="O30" s="444">
        <v>67</v>
      </c>
      <c r="P30" s="444">
        <v>82</v>
      </c>
      <c r="Q30" s="444">
        <v>90</v>
      </c>
      <c r="R30" s="437">
        <f t="shared" si="0"/>
        <v>871</v>
      </c>
      <c r="S30" s="438">
        <f t="shared" si="1"/>
        <v>67</v>
      </c>
      <c r="T30" s="439">
        <f t="shared" si="2"/>
        <v>39</v>
      </c>
      <c r="U30" s="445"/>
      <c r="V30" s="445"/>
      <c r="W30" s="432"/>
    </row>
    <row r="31" spans="1:23" ht="29.25" customHeight="1" thickBot="1" x14ac:dyDescent="0.5">
      <c r="A31" s="433">
        <v>28</v>
      </c>
      <c r="B31" s="446"/>
      <c r="C31" s="447">
        <v>15</v>
      </c>
      <c r="D31" s="447" t="s">
        <v>20</v>
      </c>
      <c r="E31" s="444">
        <v>82</v>
      </c>
      <c r="F31" s="444">
        <v>70</v>
      </c>
      <c r="G31" s="444">
        <v>81</v>
      </c>
      <c r="H31" s="444">
        <v>51</v>
      </c>
      <c r="I31" s="444">
        <v>53</v>
      </c>
      <c r="J31" s="444">
        <v>50</v>
      </c>
      <c r="K31" s="444">
        <v>54</v>
      </c>
      <c r="L31" s="444">
        <v>64</v>
      </c>
      <c r="M31" s="444">
        <v>67</v>
      </c>
      <c r="N31" s="444">
        <v>61</v>
      </c>
      <c r="O31" s="444">
        <v>69</v>
      </c>
      <c r="P31" s="444">
        <v>76</v>
      </c>
      <c r="Q31" s="444">
        <v>68</v>
      </c>
      <c r="R31" s="437">
        <f t="shared" si="0"/>
        <v>846</v>
      </c>
      <c r="S31" s="438">
        <f t="shared" si="1"/>
        <v>65.07692307692308</v>
      </c>
      <c r="T31" s="439">
        <f t="shared" si="2"/>
        <v>42</v>
      </c>
      <c r="U31" s="445"/>
      <c r="V31" s="445"/>
      <c r="W31" s="432"/>
    </row>
    <row r="32" spans="1:23" ht="40.5" customHeight="1" thickBot="1" x14ac:dyDescent="0.5">
      <c r="A32" s="441">
        <v>29</v>
      </c>
      <c r="B32" s="446"/>
      <c r="C32" s="447">
        <v>16</v>
      </c>
      <c r="D32" s="447" t="s">
        <v>20</v>
      </c>
      <c r="E32" s="444">
        <v>86</v>
      </c>
      <c r="F32" s="444">
        <v>72</v>
      </c>
      <c r="G32" s="444">
        <v>80</v>
      </c>
      <c r="H32" s="444">
        <v>57</v>
      </c>
      <c r="I32" s="444">
        <v>53</v>
      </c>
      <c r="J32" s="444">
        <v>56</v>
      </c>
      <c r="K32" s="444">
        <v>60</v>
      </c>
      <c r="L32" s="444">
        <v>63</v>
      </c>
      <c r="M32" s="444">
        <v>74</v>
      </c>
      <c r="N32" s="444">
        <v>82</v>
      </c>
      <c r="O32" s="444">
        <v>86</v>
      </c>
      <c r="P32" s="444">
        <v>79</v>
      </c>
      <c r="Q32" s="444">
        <v>88</v>
      </c>
      <c r="R32" s="437">
        <f t="shared" si="0"/>
        <v>936</v>
      </c>
      <c r="S32" s="438">
        <f t="shared" si="1"/>
        <v>72</v>
      </c>
      <c r="T32" s="439">
        <f t="shared" si="2"/>
        <v>30</v>
      </c>
      <c r="U32" s="445"/>
      <c r="V32" s="445"/>
      <c r="W32" s="432"/>
    </row>
    <row r="33" spans="1:23" ht="46.5" customHeight="1" thickBot="1" x14ac:dyDescent="0.5">
      <c r="A33" s="441">
        <v>30</v>
      </c>
      <c r="B33" s="446"/>
      <c r="C33" s="447">
        <v>15</v>
      </c>
      <c r="D33" s="447" t="s">
        <v>20</v>
      </c>
      <c r="E33" s="444">
        <v>83</v>
      </c>
      <c r="F33" s="444">
        <v>71</v>
      </c>
      <c r="G33" s="444">
        <v>81</v>
      </c>
      <c r="H33" s="444">
        <v>67</v>
      </c>
      <c r="I33" s="444">
        <v>57</v>
      </c>
      <c r="J33" s="444">
        <v>62</v>
      </c>
      <c r="K33" s="444">
        <v>55</v>
      </c>
      <c r="L33" s="444">
        <v>57</v>
      </c>
      <c r="M33" s="444">
        <v>64</v>
      </c>
      <c r="N33" s="444">
        <v>74</v>
      </c>
      <c r="O33" s="444">
        <v>84</v>
      </c>
      <c r="P33" s="444">
        <v>76</v>
      </c>
      <c r="Q33" s="444">
        <v>82</v>
      </c>
      <c r="R33" s="437">
        <f t="shared" si="0"/>
        <v>913</v>
      </c>
      <c r="S33" s="438">
        <f t="shared" si="1"/>
        <v>70.230769230769226</v>
      </c>
      <c r="T33" s="439">
        <f t="shared" si="2"/>
        <v>32</v>
      </c>
      <c r="U33" s="445"/>
      <c r="V33" s="445"/>
      <c r="W33" s="432"/>
    </row>
    <row r="34" spans="1:23" ht="38.25" customHeight="1" thickBot="1" x14ac:dyDescent="0.5">
      <c r="A34" s="433">
        <v>31</v>
      </c>
      <c r="B34" s="446"/>
      <c r="C34" s="447">
        <v>16</v>
      </c>
      <c r="D34" s="447" t="s">
        <v>20</v>
      </c>
      <c r="E34" s="444">
        <v>84</v>
      </c>
      <c r="F34" s="444">
        <v>75</v>
      </c>
      <c r="G34" s="444">
        <v>76</v>
      </c>
      <c r="H34" s="444">
        <v>53</v>
      </c>
      <c r="I34" s="444">
        <v>62</v>
      </c>
      <c r="J34" s="444">
        <v>48</v>
      </c>
      <c r="K34" s="444">
        <v>71</v>
      </c>
      <c r="L34" s="444">
        <v>63</v>
      </c>
      <c r="M34" s="444">
        <v>65</v>
      </c>
      <c r="N34" s="444">
        <v>80</v>
      </c>
      <c r="O34" s="444">
        <v>67</v>
      </c>
      <c r="P34" s="444">
        <v>81</v>
      </c>
      <c r="Q34" s="444">
        <v>88</v>
      </c>
      <c r="R34" s="437">
        <f t="shared" si="0"/>
        <v>913</v>
      </c>
      <c r="S34" s="438">
        <f t="shared" si="1"/>
        <v>70.230769230769226</v>
      </c>
      <c r="T34" s="439">
        <f t="shared" si="2"/>
        <v>32</v>
      </c>
      <c r="U34" s="445"/>
      <c r="V34" s="445"/>
      <c r="W34" s="432"/>
    </row>
    <row r="35" spans="1:23" ht="39" customHeight="1" thickBot="1" x14ac:dyDescent="0.5">
      <c r="A35" s="441">
        <v>32</v>
      </c>
      <c r="B35" s="453"/>
      <c r="C35" s="454">
        <v>17</v>
      </c>
      <c r="D35" s="454" t="s">
        <v>20</v>
      </c>
      <c r="E35" s="444">
        <v>74</v>
      </c>
      <c r="F35" s="444">
        <v>81</v>
      </c>
      <c r="G35" s="444">
        <v>76</v>
      </c>
      <c r="H35" s="444">
        <v>78</v>
      </c>
      <c r="I35" s="444">
        <v>67</v>
      </c>
      <c r="J35" s="444">
        <v>78</v>
      </c>
      <c r="K35" s="444">
        <v>79</v>
      </c>
      <c r="L35" s="444">
        <v>82</v>
      </c>
      <c r="M35" s="444">
        <v>80</v>
      </c>
      <c r="N35" s="444">
        <v>85</v>
      </c>
      <c r="O35" s="444">
        <v>86</v>
      </c>
      <c r="P35" s="444">
        <v>78</v>
      </c>
      <c r="Q35" s="444">
        <v>82</v>
      </c>
      <c r="R35" s="437">
        <f t="shared" si="0"/>
        <v>1026</v>
      </c>
      <c r="S35" s="438">
        <f t="shared" si="1"/>
        <v>78.92307692307692</v>
      </c>
      <c r="T35" s="439">
        <f t="shared" si="2"/>
        <v>19</v>
      </c>
      <c r="U35" s="445"/>
      <c r="V35" s="445"/>
      <c r="W35" s="432"/>
    </row>
    <row r="36" spans="1:23" ht="36.75" customHeight="1" thickBot="1" x14ac:dyDescent="0.5">
      <c r="A36" s="441">
        <v>33</v>
      </c>
      <c r="B36" s="453"/>
      <c r="C36" s="454">
        <v>15</v>
      </c>
      <c r="D36" s="454" t="s">
        <v>17</v>
      </c>
      <c r="E36" s="444">
        <v>66</v>
      </c>
      <c r="F36" s="444">
        <v>55</v>
      </c>
      <c r="G36" s="444">
        <v>72</v>
      </c>
      <c r="H36" s="444">
        <v>66</v>
      </c>
      <c r="I36" s="444">
        <v>57</v>
      </c>
      <c r="J36" s="444">
        <v>61</v>
      </c>
      <c r="K36" s="444">
        <v>52</v>
      </c>
      <c r="L36" s="444">
        <v>58</v>
      </c>
      <c r="M36" s="444">
        <v>69</v>
      </c>
      <c r="N36" s="444">
        <v>61</v>
      </c>
      <c r="O36" s="444">
        <v>64</v>
      </c>
      <c r="P36" s="444">
        <v>72</v>
      </c>
      <c r="Q36" s="444">
        <v>82</v>
      </c>
      <c r="R36" s="437">
        <f t="shared" ref="R36:R53" si="3">SUM(E36:Q36)</f>
        <v>835</v>
      </c>
      <c r="S36" s="438">
        <f t="shared" ref="S36:S53" si="4">AVERAGE(E36:Q36)</f>
        <v>64.230769230769226</v>
      </c>
      <c r="T36" s="439">
        <f t="shared" si="2"/>
        <v>45</v>
      </c>
      <c r="U36" s="445"/>
      <c r="V36" s="445"/>
      <c r="W36" s="432"/>
    </row>
    <row r="37" spans="1:23" ht="39" customHeight="1" thickBot="1" x14ac:dyDescent="0.5">
      <c r="A37" s="433">
        <v>34</v>
      </c>
      <c r="B37" s="446"/>
      <c r="C37" s="447">
        <v>17</v>
      </c>
      <c r="D37" s="447" t="s">
        <v>17</v>
      </c>
      <c r="E37" s="444">
        <v>75</v>
      </c>
      <c r="F37" s="444">
        <v>79</v>
      </c>
      <c r="G37" s="444">
        <v>76</v>
      </c>
      <c r="H37" s="444">
        <v>67</v>
      </c>
      <c r="I37" s="444">
        <v>73</v>
      </c>
      <c r="J37" s="444">
        <v>77</v>
      </c>
      <c r="K37" s="444">
        <v>78</v>
      </c>
      <c r="L37" s="444">
        <v>87</v>
      </c>
      <c r="M37" s="444">
        <v>94</v>
      </c>
      <c r="N37" s="444">
        <v>90</v>
      </c>
      <c r="O37" s="444">
        <v>88</v>
      </c>
      <c r="P37" s="444">
        <v>83</v>
      </c>
      <c r="Q37" s="444">
        <v>90</v>
      </c>
      <c r="R37" s="437">
        <f t="shared" si="3"/>
        <v>1057</v>
      </c>
      <c r="S37" s="438">
        <f t="shared" si="4"/>
        <v>81.307692307692307</v>
      </c>
      <c r="T37" s="439">
        <f t="shared" si="2"/>
        <v>10</v>
      </c>
      <c r="U37" s="445"/>
      <c r="V37" s="445"/>
      <c r="W37" s="432"/>
    </row>
    <row r="38" spans="1:23" ht="41.25" customHeight="1" thickBot="1" x14ac:dyDescent="0.5">
      <c r="A38" s="441">
        <v>35</v>
      </c>
      <c r="B38" s="446"/>
      <c r="C38" s="447">
        <v>16</v>
      </c>
      <c r="D38" s="447" t="s">
        <v>17</v>
      </c>
      <c r="E38" s="444">
        <v>87</v>
      </c>
      <c r="F38" s="444">
        <v>86</v>
      </c>
      <c r="G38" s="444">
        <v>94</v>
      </c>
      <c r="H38" s="444">
        <v>63</v>
      </c>
      <c r="I38" s="444">
        <v>60</v>
      </c>
      <c r="J38" s="444">
        <v>77</v>
      </c>
      <c r="K38" s="444">
        <v>85</v>
      </c>
      <c r="L38" s="444">
        <v>93</v>
      </c>
      <c r="M38" s="444">
        <v>94</v>
      </c>
      <c r="N38" s="444">
        <v>93</v>
      </c>
      <c r="O38" s="444">
        <v>87</v>
      </c>
      <c r="P38" s="444">
        <v>93</v>
      </c>
      <c r="Q38" s="444">
        <v>94</v>
      </c>
      <c r="R38" s="437">
        <f t="shared" si="3"/>
        <v>1106</v>
      </c>
      <c r="S38" s="438">
        <f t="shared" si="4"/>
        <v>85.07692307692308</v>
      </c>
      <c r="T38" s="439">
        <f t="shared" si="2"/>
        <v>5</v>
      </c>
      <c r="U38" s="445"/>
      <c r="V38" s="445"/>
      <c r="W38" s="432"/>
    </row>
    <row r="39" spans="1:23" ht="36.75" customHeight="1" thickBot="1" x14ac:dyDescent="0.5">
      <c r="A39" s="441">
        <v>36</v>
      </c>
      <c r="B39" s="446"/>
      <c r="C39" s="447">
        <v>15</v>
      </c>
      <c r="D39" s="447" t="s">
        <v>17</v>
      </c>
      <c r="E39" s="444">
        <v>77</v>
      </c>
      <c r="F39" s="444">
        <v>80</v>
      </c>
      <c r="G39" s="444">
        <v>68</v>
      </c>
      <c r="H39" s="444">
        <v>69</v>
      </c>
      <c r="I39" s="444">
        <v>61</v>
      </c>
      <c r="J39" s="444">
        <v>50</v>
      </c>
      <c r="K39" s="444">
        <v>68</v>
      </c>
      <c r="L39" s="444">
        <v>83</v>
      </c>
      <c r="M39" s="444">
        <v>69</v>
      </c>
      <c r="N39" s="444">
        <v>78</v>
      </c>
      <c r="O39" s="444">
        <v>96</v>
      </c>
      <c r="P39" s="444">
        <v>79</v>
      </c>
      <c r="Q39" s="444">
        <v>70</v>
      </c>
      <c r="R39" s="437">
        <f t="shared" si="3"/>
        <v>948</v>
      </c>
      <c r="S39" s="438">
        <f t="shared" si="4"/>
        <v>72.92307692307692</v>
      </c>
      <c r="T39" s="439">
        <f t="shared" si="2"/>
        <v>29</v>
      </c>
      <c r="U39" s="445"/>
      <c r="V39" s="445"/>
      <c r="W39" s="432"/>
    </row>
    <row r="40" spans="1:23" ht="42" customHeight="1" thickBot="1" x14ac:dyDescent="0.5">
      <c r="A40" s="433">
        <v>37</v>
      </c>
      <c r="B40" s="446"/>
      <c r="C40" s="447">
        <v>15</v>
      </c>
      <c r="D40" s="447" t="s">
        <v>17</v>
      </c>
      <c r="E40" s="444">
        <v>74</v>
      </c>
      <c r="F40" s="444">
        <v>71</v>
      </c>
      <c r="G40" s="444">
        <v>70</v>
      </c>
      <c r="H40" s="444">
        <v>54</v>
      </c>
      <c r="I40" s="444">
        <v>60</v>
      </c>
      <c r="J40" s="444">
        <v>56</v>
      </c>
      <c r="K40" s="444">
        <v>59</v>
      </c>
      <c r="L40" s="444">
        <v>53</v>
      </c>
      <c r="M40" s="444">
        <v>68</v>
      </c>
      <c r="N40" s="444">
        <v>67</v>
      </c>
      <c r="O40" s="444">
        <v>68</v>
      </c>
      <c r="P40" s="444">
        <v>80</v>
      </c>
      <c r="Q40" s="444">
        <v>78</v>
      </c>
      <c r="R40" s="437">
        <f t="shared" si="3"/>
        <v>858</v>
      </c>
      <c r="S40" s="438">
        <f t="shared" si="4"/>
        <v>66</v>
      </c>
      <c r="T40" s="439">
        <f t="shared" si="2"/>
        <v>40</v>
      </c>
      <c r="U40" s="445"/>
      <c r="V40" s="445"/>
      <c r="W40" s="432"/>
    </row>
    <row r="41" spans="1:23" ht="36.75" customHeight="1" thickBot="1" x14ac:dyDescent="0.5">
      <c r="A41" s="441">
        <v>38</v>
      </c>
      <c r="B41" s="446"/>
      <c r="C41" s="447">
        <v>16</v>
      </c>
      <c r="D41" s="447" t="s">
        <v>17</v>
      </c>
      <c r="E41" s="444">
        <v>77</v>
      </c>
      <c r="F41" s="444">
        <v>81</v>
      </c>
      <c r="G41" s="444">
        <v>74</v>
      </c>
      <c r="H41" s="444">
        <v>73</v>
      </c>
      <c r="I41" s="444">
        <v>63</v>
      </c>
      <c r="J41" s="444">
        <v>67</v>
      </c>
      <c r="K41" s="444">
        <v>72</v>
      </c>
      <c r="L41" s="444">
        <v>78</v>
      </c>
      <c r="M41" s="444">
        <v>63</v>
      </c>
      <c r="N41" s="444">
        <v>83</v>
      </c>
      <c r="O41" s="444">
        <v>92</v>
      </c>
      <c r="P41" s="444">
        <v>78</v>
      </c>
      <c r="Q41" s="444">
        <v>75</v>
      </c>
      <c r="R41" s="437">
        <f t="shared" si="3"/>
        <v>976</v>
      </c>
      <c r="S41" s="438">
        <f t="shared" si="4"/>
        <v>75.07692307692308</v>
      </c>
      <c r="T41" s="439">
        <f t="shared" si="2"/>
        <v>22</v>
      </c>
      <c r="U41" s="445"/>
      <c r="V41" s="445"/>
      <c r="W41" s="432"/>
    </row>
    <row r="42" spans="1:23" ht="39" customHeight="1" thickBot="1" x14ac:dyDescent="0.5">
      <c r="A42" s="441">
        <v>39</v>
      </c>
      <c r="B42" s="446"/>
      <c r="C42" s="447">
        <v>14</v>
      </c>
      <c r="D42" s="447" t="s">
        <v>20</v>
      </c>
      <c r="E42" s="444">
        <v>82</v>
      </c>
      <c r="F42" s="444">
        <v>66</v>
      </c>
      <c r="G42" s="444">
        <v>78</v>
      </c>
      <c r="H42" s="444">
        <v>66</v>
      </c>
      <c r="I42" s="444">
        <v>60</v>
      </c>
      <c r="J42" s="444">
        <v>55</v>
      </c>
      <c r="K42" s="444">
        <v>53</v>
      </c>
      <c r="L42" s="444">
        <v>62</v>
      </c>
      <c r="M42" s="444">
        <v>63</v>
      </c>
      <c r="N42" s="444">
        <v>76</v>
      </c>
      <c r="O42" s="444">
        <v>77</v>
      </c>
      <c r="P42" s="444">
        <v>85</v>
      </c>
      <c r="Q42" s="444">
        <v>82</v>
      </c>
      <c r="R42" s="437">
        <f t="shared" si="3"/>
        <v>905</v>
      </c>
      <c r="S42" s="438">
        <f t="shared" si="4"/>
        <v>69.615384615384613</v>
      </c>
      <c r="T42" s="439">
        <f t="shared" si="2"/>
        <v>35</v>
      </c>
      <c r="U42" s="445"/>
      <c r="V42" s="445"/>
      <c r="W42" s="432"/>
    </row>
    <row r="43" spans="1:23" ht="29.25" customHeight="1" thickBot="1" x14ac:dyDescent="0.5">
      <c r="A43" s="433">
        <v>40</v>
      </c>
      <c r="B43" s="446"/>
      <c r="C43" s="447">
        <v>15</v>
      </c>
      <c r="D43" s="447" t="s">
        <v>20</v>
      </c>
      <c r="E43" s="444">
        <v>82</v>
      </c>
      <c r="F43" s="444">
        <v>81</v>
      </c>
      <c r="G43" s="444">
        <v>82</v>
      </c>
      <c r="H43" s="444">
        <v>79</v>
      </c>
      <c r="I43" s="444">
        <v>68</v>
      </c>
      <c r="J43" s="444">
        <v>71</v>
      </c>
      <c r="K43" s="444">
        <v>79</v>
      </c>
      <c r="L43" s="444">
        <v>78</v>
      </c>
      <c r="M43" s="444">
        <v>82</v>
      </c>
      <c r="N43" s="444">
        <v>78</v>
      </c>
      <c r="O43" s="444">
        <v>81</v>
      </c>
      <c r="P43" s="444">
        <v>85</v>
      </c>
      <c r="Q43" s="444">
        <v>86</v>
      </c>
      <c r="R43" s="437">
        <f t="shared" si="3"/>
        <v>1032</v>
      </c>
      <c r="S43" s="438">
        <f t="shared" si="4"/>
        <v>79.384615384615387</v>
      </c>
      <c r="T43" s="439">
        <f t="shared" si="2"/>
        <v>18</v>
      </c>
      <c r="U43" s="445"/>
      <c r="V43" s="445"/>
      <c r="W43" s="432"/>
    </row>
    <row r="44" spans="1:23" ht="36.75" customHeight="1" thickBot="1" x14ac:dyDescent="0.5">
      <c r="A44" s="441">
        <v>41</v>
      </c>
      <c r="B44" s="446"/>
      <c r="C44" s="447">
        <v>15</v>
      </c>
      <c r="D44" s="447" t="s">
        <v>17</v>
      </c>
      <c r="E44" s="444">
        <v>86</v>
      </c>
      <c r="F44" s="444">
        <v>73</v>
      </c>
      <c r="G44" s="444">
        <v>74</v>
      </c>
      <c r="H44" s="444">
        <v>68</v>
      </c>
      <c r="I44" s="444">
        <v>58</v>
      </c>
      <c r="J44" s="444">
        <v>64</v>
      </c>
      <c r="K44" s="444">
        <v>74</v>
      </c>
      <c r="L44" s="444">
        <v>77</v>
      </c>
      <c r="M44" s="444">
        <v>79</v>
      </c>
      <c r="N44" s="444">
        <v>86</v>
      </c>
      <c r="O44" s="444">
        <v>76</v>
      </c>
      <c r="P44" s="444">
        <v>73</v>
      </c>
      <c r="Q44" s="444">
        <v>84</v>
      </c>
      <c r="R44" s="437">
        <f t="shared" si="3"/>
        <v>972</v>
      </c>
      <c r="S44" s="438">
        <f t="shared" si="4"/>
        <v>74.769230769230774</v>
      </c>
      <c r="T44" s="439">
        <f t="shared" si="2"/>
        <v>24</v>
      </c>
      <c r="U44" s="445"/>
      <c r="V44" s="445"/>
      <c r="W44" s="432"/>
    </row>
    <row r="45" spans="1:23" ht="33.75" customHeight="1" thickBot="1" x14ac:dyDescent="0.5">
      <c r="A45" s="441">
        <v>42</v>
      </c>
      <c r="B45" s="446"/>
      <c r="C45" s="447">
        <v>16</v>
      </c>
      <c r="D45" s="447" t="s">
        <v>20</v>
      </c>
      <c r="E45" s="444">
        <v>81</v>
      </c>
      <c r="F45" s="444">
        <v>82</v>
      </c>
      <c r="G45" s="444">
        <v>90</v>
      </c>
      <c r="H45" s="444">
        <v>61</v>
      </c>
      <c r="I45" s="444">
        <v>63</v>
      </c>
      <c r="J45" s="444">
        <v>73</v>
      </c>
      <c r="K45" s="444">
        <v>78</v>
      </c>
      <c r="L45" s="444">
        <v>85</v>
      </c>
      <c r="M45" s="444">
        <v>91</v>
      </c>
      <c r="N45" s="444">
        <v>92</v>
      </c>
      <c r="O45" s="444">
        <v>83</v>
      </c>
      <c r="P45" s="444">
        <v>73</v>
      </c>
      <c r="Q45" s="444">
        <v>85</v>
      </c>
      <c r="R45" s="437">
        <f t="shared" si="3"/>
        <v>1037</v>
      </c>
      <c r="S45" s="438">
        <f t="shared" si="4"/>
        <v>79.769230769230774</v>
      </c>
      <c r="T45" s="439">
        <f t="shared" si="2"/>
        <v>15</v>
      </c>
      <c r="U45" s="445"/>
      <c r="V45" s="445"/>
      <c r="W45" s="432"/>
    </row>
    <row r="46" spans="1:23" ht="42.75" customHeight="1" thickBot="1" x14ac:dyDescent="0.5">
      <c r="A46" s="433">
        <v>43</v>
      </c>
      <c r="B46" s="446"/>
      <c r="C46" s="447">
        <v>15</v>
      </c>
      <c r="D46" s="447" t="s">
        <v>20</v>
      </c>
      <c r="E46" s="444">
        <v>90</v>
      </c>
      <c r="F46" s="444">
        <v>77</v>
      </c>
      <c r="G46" s="444">
        <v>85</v>
      </c>
      <c r="H46" s="444">
        <v>68</v>
      </c>
      <c r="I46" s="444">
        <v>67</v>
      </c>
      <c r="J46" s="444">
        <v>73</v>
      </c>
      <c r="K46" s="444">
        <v>81</v>
      </c>
      <c r="L46" s="444">
        <v>77</v>
      </c>
      <c r="M46" s="444">
        <v>73</v>
      </c>
      <c r="N46" s="444">
        <v>85</v>
      </c>
      <c r="O46" s="444">
        <v>85</v>
      </c>
      <c r="P46" s="444">
        <v>84</v>
      </c>
      <c r="Q46" s="444">
        <v>90</v>
      </c>
      <c r="R46" s="437">
        <f t="shared" si="3"/>
        <v>1035</v>
      </c>
      <c r="S46" s="438">
        <f t="shared" si="4"/>
        <v>79.615384615384613</v>
      </c>
      <c r="T46" s="439">
        <f t="shared" si="2"/>
        <v>16</v>
      </c>
      <c r="U46" s="445"/>
      <c r="V46" s="445"/>
      <c r="W46" s="432"/>
    </row>
    <row r="47" spans="1:23" ht="29.25" customHeight="1" thickBot="1" x14ac:dyDescent="0.5">
      <c r="A47" s="441">
        <v>44</v>
      </c>
      <c r="B47" s="446"/>
      <c r="C47" s="447">
        <v>16</v>
      </c>
      <c r="D47" s="447" t="s">
        <v>20</v>
      </c>
      <c r="E47" s="444">
        <v>73</v>
      </c>
      <c r="F47" s="444">
        <v>89</v>
      </c>
      <c r="G47" s="444">
        <v>71</v>
      </c>
      <c r="H47" s="444">
        <v>73</v>
      </c>
      <c r="I47" s="444">
        <v>65</v>
      </c>
      <c r="J47" s="444">
        <v>65</v>
      </c>
      <c r="K47" s="444">
        <v>73</v>
      </c>
      <c r="L47" s="444">
        <v>63</v>
      </c>
      <c r="M47" s="444">
        <v>74</v>
      </c>
      <c r="N47" s="444">
        <v>79</v>
      </c>
      <c r="O47" s="444">
        <v>73</v>
      </c>
      <c r="P47" s="444">
        <v>88</v>
      </c>
      <c r="Q47" s="444">
        <v>85</v>
      </c>
      <c r="R47" s="437">
        <f t="shared" si="3"/>
        <v>971</v>
      </c>
      <c r="S47" s="438">
        <f t="shared" si="4"/>
        <v>74.692307692307693</v>
      </c>
      <c r="T47" s="439">
        <f t="shared" si="2"/>
        <v>26</v>
      </c>
      <c r="U47" s="445"/>
      <c r="V47" s="445"/>
      <c r="W47" s="432"/>
    </row>
    <row r="48" spans="1:23" ht="33.75" customHeight="1" thickBot="1" x14ac:dyDescent="0.5">
      <c r="A48" s="441">
        <v>45</v>
      </c>
      <c r="B48" s="446"/>
      <c r="C48" s="447">
        <v>15</v>
      </c>
      <c r="D48" s="447" t="s">
        <v>20</v>
      </c>
      <c r="E48" s="444">
        <v>71</v>
      </c>
      <c r="F48" s="444">
        <v>48</v>
      </c>
      <c r="G48" s="444">
        <v>85</v>
      </c>
      <c r="H48" s="444">
        <v>55</v>
      </c>
      <c r="I48" s="444">
        <v>55</v>
      </c>
      <c r="J48" s="444">
        <v>47</v>
      </c>
      <c r="K48" s="444">
        <v>50</v>
      </c>
      <c r="L48" s="444">
        <v>60</v>
      </c>
      <c r="M48" s="444">
        <v>55</v>
      </c>
      <c r="N48" s="444">
        <v>54</v>
      </c>
      <c r="O48" s="444">
        <v>64</v>
      </c>
      <c r="P48" s="444">
        <v>81</v>
      </c>
      <c r="Q48" s="444">
        <v>73</v>
      </c>
      <c r="R48" s="437">
        <f t="shared" si="3"/>
        <v>798</v>
      </c>
      <c r="S48" s="438">
        <f t="shared" si="4"/>
        <v>61.384615384615387</v>
      </c>
      <c r="T48" s="439">
        <f t="shared" si="2"/>
        <v>47</v>
      </c>
      <c r="U48" s="445"/>
      <c r="V48" s="445"/>
      <c r="W48" s="432"/>
    </row>
    <row r="49" spans="1:23" ht="34.5" customHeight="1" thickBot="1" x14ac:dyDescent="0.5">
      <c r="A49" s="433">
        <v>46</v>
      </c>
      <c r="B49" s="446"/>
      <c r="C49" s="447">
        <v>15</v>
      </c>
      <c r="D49" s="447" t="s">
        <v>20</v>
      </c>
      <c r="E49" s="444">
        <v>84</v>
      </c>
      <c r="F49" s="444">
        <v>76</v>
      </c>
      <c r="G49" s="444">
        <v>83</v>
      </c>
      <c r="H49" s="444">
        <v>65</v>
      </c>
      <c r="I49" s="444">
        <v>68</v>
      </c>
      <c r="J49" s="444">
        <v>67</v>
      </c>
      <c r="K49" s="444">
        <v>85</v>
      </c>
      <c r="L49" s="444">
        <v>80</v>
      </c>
      <c r="M49" s="444">
        <v>87</v>
      </c>
      <c r="N49" s="444">
        <v>86</v>
      </c>
      <c r="O49" s="444">
        <v>82</v>
      </c>
      <c r="P49" s="444">
        <v>85</v>
      </c>
      <c r="Q49" s="444">
        <v>92</v>
      </c>
      <c r="R49" s="437">
        <f t="shared" si="3"/>
        <v>1040</v>
      </c>
      <c r="S49" s="438">
        <f t="shared" si="4"/>
        <v>80</v>
      </c>
      <c r="T49" s="439">
        <f t="shared" si="2"/>
        <v>13</v>
      </c>
      <c r="U49" s="445"/>
      <c r="V49" s="445"/>
      <c r="W49" s="432"/>
    </row>
    <row r="50" spans="1:23" ht="34.5" customHeight="1" thickBot="1" x14ac:dyDescent="0.5">
      <c r="A50" s="441">
        <v>47</v>
      </c>
      <c r="B50" s="446"/>
      <c r="C50" s="447">
        <v>16</v>
      </c>
      <c r="D50" s="447" t="s">
        <v>20</v>
      </c>
      <c r="E50" s="444">
        <v>72</v>
      </c>
      <c r="F50" s="444">
        <v>84</v>
      </c>
      <c r="G50" s="444">
        <v>75</v>
      </c>
      <c r="H50" s="444">
        <v>57</v>
      </c>
      <c r="I50" s="444">
        <v>50</v>
      </c>
      <c r="J50" s="444">
        <v>50</v>
      </c>
      <c r="K50" s="444">
        <v>65</v>
      </c>
      <c r="L50" s="444">
        <v>69</v>
      </c>
      <c r="M50" s="444">
        <v>67</v>
      </c>
      <c r="N50" s="444">
        <v>79</v>
      </c>
      <c r="O50" s="444">
        <v>64</v>
      </c>
      <c r="P50" s="444">
        <v>81</v>
      </c>
      <c r="Q50" s="444">
        <v>87</v>
      </c>
      <c r="R50" s="437">
        <f t="shared" si="3"/>
        <v>900</v>
      </c>
      <c r="S50" s="438">
        <f t="shared" si="4"/>
        <v>69.230769230769226</v>
      </c>
      <c r="T50" s="439">
        <f t="shared" si="2"/>
        <v>36</v>
      </c>
      <c r="U50" s="445"/>
      <c r="V50" s="445"/>
      <c r="W50" s="432"/>
    </row>
    <row r="51" spans="1:23" ht="36.75" customHeight="1" thickBot="1" x14ac:dyDescent="0.5">
      <c r="A51" s="441">
        <v>48</v>
      </c>
      <c r="B51" s="446"/>
      <c r="C51" s="447">
        <v>15</v>
      </c>
      <c r="D51" s="447" t="s">
        <v>17</v>
      </c>
      <c r="E51" s="444">
        <v>71</v>
      </c>
      <c r="F51" s="444">
        <v>60</v>
      </c>
      <c r="G51" s="444">
        <v>65</v>
      </c>
      <c r="H51" s="444">
        <v>61</v>
      </c>
      <c r="I51" s="444">
        <v>62</v>
      </c>
      <c r="J51" s="444">
        <v>64</v>
      </c>
      <c r="K51" s="444">
        <v>72</v>
      </c>
      <c r="L51" s="444">
        <v>68</v>
      </c>
      <c r="M51" s="444">
        <v>73</v>
      </c>
      <c r="N51" s="444">
        <v>83</v>
      </c>
      <c r="O51" s="444">
        <v>75</v>
      </c>
      <c r="P51" s="444">
        <v>84</v>
      </c>
      <c r="Q51" s="444">
        <v>84</v>
      </c>
      <c r="R51" s="437">
        <f t="shared" si="3"/>
        <v>922</v>
      </c>
      <c r="S51" s="438">
        <f t="shared" si="4"/>
        <v>70.92307692307692</v>
      </c>
      <c r="T51" s="439">
        <f t="shared" si="2"/>
        <v>31</v>
      </c>
      <c r="U51" s="445"/>
      <c r="V51" s="445"/>
      <c r="W51" s="432"/>
    </row>
    <row r="52" spans="1:23" ht="25.5" customHeight="1" thickBot="1" x14ac:dyDescent="0.5">
      <c r="A52" s="433">
        <v>49</v>
      </c>
      <c r="B52" s="446"/>
      <c r="C52" s="447">
        <v>15</v>
      </c>
      <c r="D52" s="447" t="s">
        <v>20</v>
      </c>
      <c r="E52" s="444">
        <v>78</v>
      </c>
      <c r="F52" s="444">
        <v>70</v>
      </c>
      <c r="G52" s="444">
        <v>86</v>
      </c>
      <c r="H52" s="444">
        <v>65</v>
      </c>
      <c r="I52" s="444">
        <v>59</v>
      </c>
      <c r="J52" s="444">
        <v>56</v>
      </c>
      <c r="K52" s="444">
        <v>69</v>
      </c>
      <c r="L52" s="444">
        <v>69</v>
      </c>
      <c r="M52" s="444">
        <v>72</v>
      </c>
      <c r="N52" s="444">
        <v>67</v>
      </c>
      <c r="O52" s="444">
        <v>71</v>
      </c>
      <c r="P52" s="444">
        <v>64</v>
      </c>
      <c r="Q52" s="444">
        <v>80</v>
      </c>
      <c r="R52" s="437">
        <f t="shared" si="3"/>
        <v>906</v>
      </c>
      <c r="S52" s="438">
        <f t="shared" si="4"/>
        <v>69.692307692307693</v>
      </c>
      <c r="T52" s="439">
        <f t="shared" si="2"/>
        <v>34</v>
      </c>
      <c r="U52" s="445"/>
      <c r="V52" s="445"/>
      <c r="W52" s="432"/>
    </row>
    <row r="53" spans="1:23" ht="27.75" customHeight="1" thickBot="1" x14ac:dyDescent="0.5">
      <c r="A53" s="441">
        <v>50</v>
      </c>
      <c r="B53" s="455"/>
      <c r="C53" s="447">
        <v>15</v>
      </c>
      <c r="D53" s="447" t="s">
        <v>20</v>
      </c>
      <c r="E53" s="444">
        <v>87</v>
      </c>
      <c r="F53" s="444">
        <v>98</v>
      </c>
      <c r="G53" s="444">
        <v>86</v>
      </c>
      <c r="H53" s="444">
        <v>99</v>
      </c>
      <c r="I53" s="444">
        <v>100</v>
      </c>
      <c r="J53" s="444">
        <v>100</v>
      </c>
      <c r="K53" s="444">
        <v>96</v>
      </c>
      <c r="L53" s="444">
        <v>100</v>
      </c>
      <c r="M53" s="444">
        <v>89</v>
      </c>
      <c r="N53" s="444">
        <v>95</v>
      </c>
      <c r="O53" s="444">
        <v>96</v>
      </c>
      <c r="P53" s="456">
        <v>89</v>
      </c>
      <c r="Q53" s="456">
        <v>100</v>
      </c>
      <c r="R53" s="437">
        <f t="shared" si="3"/>
        <v>1235</v>
      </c>
      <c r="S53" s="438">
        <f t="shared" si="4"/>
        <v>95</v>
      </c>
      <c r="T53" s="439">
        <f t="shared" si="2"/>
        <v>2</v>
      </c>
      <c r="U53" s="445"/>
      <c r="V53" s="445"/>
      <c r="W53" s="432"/>
    </row>
    <row r="54" spans="1:23" ht="23.25" x14ac:dyDescent="0.35">
      <c r="A54" s="425"/>
      <c r="B54" s="425"/>
      <c r="C54" s="425"/>
      <c r="D54" s="425"/>
      <c r="E54" s="425"/>
      <c r="F54" s="425"/>
      <c r="G54" s="425"/>
      <c r="H54" s="425"/>
      <c r="I54" s="425"/>
      <c r="J54" s="425"/>
      <c r="K54" s="425"/>
      <c r="L54" s="425"/>
      <c r="M54" s="425"/>
      <c r="N54" s="425"/>
      <c r="O54" s="425"/>
      <c r="P54" s="425"/>
      <c r="Q54" s="425"/>
      <c r="R54" s="425"/>
      <c r="S54" s="425"/>
      <c r="T54" s="425"/>
      <c r="U54" s="425"/>
      <c r="V54" s="425"/>
      <c r="W54" s="425"/>
    </row>
  </sheetData>
  <mergeCells count="2">
    <mergeCell ref="A1:W1"/>
    <mergeCell ref="A2:W2"/>
  </mergeCells>
  <pageMargins left="0.7" right="0.7" top="0.75" bottom="0.75" header="0.3" footer="0.3"/>
  <pageSetup paperSize="9" scale="49" fitToWidth="0" fitToHeight="0" orientation="landscape" r:id="rId1"/>
  <rowBreaks count="1" manualBreakCount="1">
    <brk id="25" max="2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"/>
  <sheetViews>
    <sheetView view="pageBreakPreview" topLeftCell="B1" zoomScale="60" zoomScaleNormal="100" workbookViewId="0">
      <selection activeCell="B4" sqref="B4:B53"/>
    </sheetView>
  </sheetViews>
  <sheetFormatPr defaultRowHeight="15" x14ac:dyDescent="0.25"/>
  <cols>
    <col min="1" max="1" width="6.140625" customWidth="1"/>
    <col min="2" max="2" width="49.28515625" customWidth="1"/>
    <col min="3" max="3" width="9.42578125" bestFit="1" customWidth="1"/>
    <col min="5" max="6" width="9.42578125" bestFit="1" customWidth="1"/>
    <col min="7" max="7" width="9.42578125" style="211" bestFit="1" customWidth="1"/>
    <col min="8" max="11" width="9.42578125" bestFit="1" customWidth="1"/>
    <col min="12" max="12" width="9.42578125" style="211" bestFit="1" customWidth="1"/>
    <col min="13" max="14" width="9.42578125" bestFit="1" customWidth="1"/>
    <col min="15" max="15" width="9.42578125" style="211" bestFit="1" customWidth="1"/>
    <col min="16" max="17" width="9.42578125" bestFit="1" customWidth="1"/>
    <col min="18" max="18" width="13" customWidth="1"/>
    <col min="19" max="19" width="11.85546875" bestFit="1" customWidth="1"/>
    <col min="20" max="20" width="9.42578125" bestFit="1" customWidth="1"/>
  </cols>
  <sheetData>
    <row r="1" spans="1:22" ht="27.75" x14ac:dyDescent="0.25">
      <c r="A1" s="893" t="s">
        <v>44</v>
      </c>
      <c r="B1" s="894"/>
      <c r="C1" s="894"/>
      <c r="D1" s="894"/>
      <c r="E1" s="894"/>
      <c r="F1" s="894"/>
      <c r="G1" s="894"/>
      <c r="H1" s="894"/>
      <c r="I1" s="894"/>
      <c r="J1" s="894"/>
      <c r="K1" s="894"/>
      <c r="L1" s="894"/>
      <c r="M1" s="894"/>
      <c r="N1" s="894"/>
      <c r="O1" s="894"/>
      <c r="P1" s="894"/>
      <c r="Q1" s="894"/>
      <c r="R1" s="894"/>
      <c r="S1" s="894"/>
      <c r="T1" s="894"/>
      <c r="U1" s="894"/>
      <c r="V1" s="895"/>
    </row>
    <row r="2" spans="1:22" ht="31.5" thickBot="1" x14ac:dyDescent="0.3">
      <c r="A2" s="896" t="s">
        <v>79</v>
      </c>
      <c r="B2" s="896"/>
      <c r="C2" s="896"/>
      <c r="D2" s="896"/>
      <c r="E2" s="896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</row>
    <row r="3" spans="1:22" ht="123.75" thickBot="1" x14ac:dyDescent="0.3">
      <c r="A3" s="426" t="s">
        <v>80</v>
      </c>
      <c r="B3" s="427" t="s">
        <v>1</v>
      </c>
      <c r="C3" s="428" t="s">
        <v>2</v>
      </c>
      <c r="D3" s="427" t="s">
        <v>3</v>
      </c>
      <c r="E3" s="610" t="s">
        <v>22</v>
      </c>
      <c r="F3" s="610" t="s">
        <v>5</v>
      </c>
      <c r="G3" s="610" t="s">
        <v>29</v>
      </c>
      <c r="H3" s="610" t="s">
        <v>6</v>
      </c>
      <c r="I3" s="610" t="s">
        <v>7</v>
      </c>
      <c r="J3" s="610" t="s">
        <v>8</v>
      </c>
      <c r="K3" s="610" t="s">
        <v>9</v>
      </c>
      <c r="L3" s="611" t="s">
        <v>24</v>
      </c>
      <c r="M3" s="610" t="s">
        <v>23</v>
      </c>
      <c r="N3" s="610" t="s">
        <v>25</v>
      </c>
      <c r="O3" s="610" t="s">
        <v>27</v>
      </c>
      <c r="P3" s="610" t="s">
        <v>26</v>
      </c>
      <c r="Q3" s="610" t="s">
        <v>28</v>
      </c>
      <c r="R3" s="611" t="s">
        <v>12</v>
      </c>
      <c r="S3" s="611" t="s">
        <v>13</v>
      </c>
      <c r="T3" s="611" t="s">
        <v>14</v>
      </c>
      <c r="U3" s="611" t="s">
        <v>15</v>
      </c>
      <c r="V3" s="612" t="s">
        <v>16</v>
      </c>
    </row>
    <row r="4" spans="1:22" ht="29.25" thickBot="1" x14ac:dyDescent="0.45">
      <c r="A4" s="433">
        <v>1</v>
      </c>
      <c r="B4" s="654"/>
      <c r="C4" s="643">
        <v>15</v>
      </c>
      <c r="D4" s="643" t="s">
        <v>17</v>
      </c>
      <c r="E4" s="440">
        <v>86</v>
      </c>
      <c r="F4" s="440">
        <v>87</v>
      </c>
      <c r="G4" s="440">
        <v>70</v>
      </c>
      <c r="H4" s="440">
        <v>73</v>
      </c>
      <c r="I4" s="440">
        <v>63</v>
      </c>
      <c r="J4" s="440">
        <v>62</v>
      </c>
      <c r="K4" s="440">
        <v>74</v>
      </c>
      <c r="L4" s="655">
        <v>86</v>
      </c>
      <c r="M4" s="656">
        <v>69</v>
      </c>
      <c r="N4" s="616">
        <v>82</v>
      </c>
      <c r="O4" s="440">
        <v>83</v>
      </c>
      <c r="P4" s="440">
        <v>93</v>
      </c>
      <c r="Q4" s="617">
        <v>80</v>
      </c>
      <c r="R4" s="617">
        <f t="shared" ref="R4:R22" si="0">SUM(E4:Q4)</f>
        <v>1008</v>
      </c>
      <c r="S4" s="619">
        <f t="shared" ref="S4:S22" si="1">AVERAGE(E4:Q4)</f>
        <v>77.538461538461533</v>
      </c>
      <c r="T4" s="617">
        <f t="shared" ref="T4:T22" si="2">RANK(S4,$S$4:$S$53)</f>
        <v>26</v>
      </c>
      <c r="U4" s="440"/>
      <c r="V4" s="440"/>
    </row>
    <row r="5" spans="1:22" ht="29.25" thickBot="1" x14ac:dyDescent="0.45">
      <c r="A5" s="441">
        <v>2</v>
      </c>
      <c r="B5" s="654"/>
      <c r="C5" s="643">
        <v>14</v>
      </c>
      <c r="D5" s="643" t="s">
        <v>17</v>
      </c>
      <c r="E5" s="445">
        <v>74</v>
      </c>
      <c r="F5" s="445">
        <v>70</v>
      </c>
      <c r="G5" s="445">
        <v>66</v>
      </c>
      <c r="H5" s="445">
        <v>48</v>
      </c>
      <c r="I5" s="445">
        <v>58</v>
      </c>
      <c r="J5" s="445">
        <v>53</v>
      </c>
      <c r="K5" s="445">
        <v>61</v>
      </c>
      <c r="L5" s="655">
        <v>71</v>
      </c>
      <c r="M5" s="657">
        <v>58</v>
      </c>
      <c r="N5" s="622">
        <v>63</v>
      </c>
      <c r="O5" s="445">
        <v>63</v>
      </c>
      <c r="P5" s="445">
        <v>84</v>
      </c>
      <c r="Q5" s="445">
        <v>80</v>
      </c>
      <c r="R5" s="617">
        <f t="shared" si="0"/>
        <v>849</v>
      </c>
      <c r="S5" s="619">
        <f t="shared" si="1"/>
        <v>65.307692307692307</v>
      </c>
      <c r="T5" s="617">
        <f t="shared" si="2"/>
        <v>43</v>
      </c>
      <c r="U5" s="445"/>
      <c r="V5" s="445"/>
    </row>
    <row r="6" spans="1:22" ht="29.25" thickBot="1" x14ac:dyDescent="0.45">
      <c r="A6" s="441">
        <v>3</v>
      </c>
      <c r="B6" s="654"/>
      <c r="C6" s="643">
        <v>14</v>
      </c>
      <c r="D6" s="643" t="s">
        <v>20</v>
      </c>
      <c r="E6" s="445">
        <v>92</v>
      </c>
      <c r="F6" s="445">
        <v>94</v>
      </c>
      <c r="G6" s="445">
        <v>84</v>
      </c>
      <c r="H6" s="445">
        <v>83</v>
      </c>
      <c r="I6" s="445">
        <v>90</v>
      </c>
      <c r="J6" s="445">
        <v>81</v>
      </c>
      <c r="K6" s="445">
        <v>87</v>
      </c>
      <c r="L6" s="655">
        <v>95</v>
      </c>
      <c r="M6" s="657">
        <v>89</v>
      </c>
      <c r="N6" s="622">
        <v>96</v>
      </c>
      <c r="O6" s="445">
        <v>96</v>
      </c>
      <c r="P6" s="445">
        <v>97</v>
      </c>
      <c r="Q6" s="445">
        <v>95</v>
      </c>
      <c r="R6" s="617">
        <f t="shared" si="0"/>
        <v>1179</v>
      </c>
      <c r="S6" s="619">
        <f t="shared" si="1"/>
        <v>90.692307692307693</v>
      </c>
      <c r="T6" s="617">
        <f t="shared" si="2"/>
        <v>5</v>
      </c>
      <c r="U6" s="445"/>
      <c r="V6" s="445"/>
    </row>
    <row r="7" spans="1:22" ht="29.25" thickBot="1" x14ac:dyDescent="0.45">
      <c r="A7" s="441">
        <v>4</v>
      </c>
      <c r="B7" s="654"/>
      <c r="C7" s="643">
        <v>15</v>
      </c>
      <c r="D7" s="643" t="s">
        <v>20</v>
      </c>
      <c r="E7" s="445">
        <v>82</v>
      </c>
      <c r="F7" s="445">
        <v>67</v>
      </c>
      <c r="G7" s="445">
        <v>77</v>
      </c>
      <c r="H7" s="445">
        <v>56</v>
      </c>
      <c r="I7" s="445">
        <v>62</v>
      </c>
      <c r="J7" s="445">
        <v>59</v>
      </c>
      <c r="K7" s="445">
        <v>67</v>
      </c>
      <c r="L7" s="655">
        <v>79</v>
      </c>
      <c r="M7" s="657">
        <v>71</v>
      </c>
      <c r="N7" s="622">
        <v>82</v>
      </c>
      <c r="O7" s="445">
        <v>76</v>
      </c>
      <c r="P7" s="445">
        <v>78</v>
      </c>
      <c r="Q7" s="445">
        <v>96</v>
      </c>
      <c r="R7" s="617">
        <f t="shared" si="0"/>
        <v>952</v>
      </c>
      <c r="S7" s="619">
        <f t="shared" si="1"/>
        <v>73.230769230769226</v>
      </c>
      <c r="T7" s="617">
        <f t="shared" si="2"/>
        <v>32</v>
      </c>
      <c r="U7" s="445"/>
      <c r="V7" s="445"/>
    </row>
    <row r="8" spans="1:22" ht="29.25" thickBot="1" x14ac:dyDescent="0.45">
      <c r="A8" s="441">
        <v>5</v>
      </c>
      <c r="B8" s="654"/>
      <c r="C8" s="643">
        <v>14</v>
      </c>
      <c r="D8" s="643" t="s">
        <v>20</v>
      </c>
      <c r="E8" s="445">
        <v>94</v>
      </c>
      <c r="F8" s="445">
        <v>88</v>
      </c>
      <c r="G8" s="445">
        <v>75</v>
      </c>
      <c r="H8" s="445">
        <v>85</v>
      </c>
      <c r="I8" s="445">
        <v>77</v>
      </c>
      <c r="J8" s="445">
        <v>85</v>
      </c>
      <c r="K8" s="445">
        <v>84</v>
      </c>
      <c r="L8" s="655">
        <v>91</v>
      </c>
      <c r="M8" s="658">
        <v>94</v>
      </c>
      <c r="N8" s="622">
        <v>91</v>
      </c>
      <c r="O8" s="445">
        <v>91</v>
      </c>
      <c r="P8" s="445">
        <v>96</v>
      </c>
      <c r="Q8" s="445">
        <v>88</v>
      </c>
      <c r="R8" s="617">
        <f t="shared" si="0"/>
        <v>1139</v>
      </c>
      <c r="S8" s="619">
        <f t="shared" si="1"/>
        <v>87.615384615384613</v>
      </c>
      <c r="T8" s="617">
        <f t="shared" si="2"/>
        <v>6</v>
      </c>
      <c r="U8" s="445"/>
      <c r="V8" s="445"/>
    </row>
    <row r="9" spans="1:22" ht="29.25" thickBot="1" x14ac:dyDescent="0.45">
      <c r="A9" s="441">
        <v>6</v>
      </c>
      <c r="B9" s="654"/>
      <c r="C9" s="643">
        <v>15</v>
      </c>
      <c r="D9" s="643" t="s">
        <v>17</v>
      </c>
      <c r="E9" s="445">
        <v>72</v>
      </c>
      <c r="F9" s="445">
        <v>49</v>
      </c>
      <c r="G9" s="445">
        <v>74</v>
      </c>
      <c r="H9" s="445">
        <v>69</v>
      </c>
      <c r="I9" s="445">
        <v>43</v>
      </c>
      <c r="J9" s="445">
        <v>40</v>
      </c>
      <c r="K9" s="445">
        <v>41</v>
      </c>
      <c r="L9" s="655">
        <v>61</v>
      </c>
      <c r="M9" s="657">
        <v>57</v>
      </c>
      <c r="N9" s="622">
        <v>72</v>
      </c>
      <c r="O9" s="445">
        <v>58</v>
      </c>
      <c r="P9" s="445">
        <v>72</v>
      </c>
      <c r="Q9" s="445">
        <v>75</v>
      </c>
      <c r="R9" s="617">
        <f t="shared" si="0"/>
        <v>783</v>
      </c>
      <c r="S9" s="619">
        <f t="shared" si="1"/>
        <v>60.230769230769234</v>
      </c>
      <c r="T9" s="617">
        <f t="shared" si="2"/>
        <v>46</v>
      </c>
      <c r="U9" s="445"/>
      <c r="V9" s="445"/>
    </row>
    <row r="10" spans="1:22" ht="29.25" thickBot="1" x14ac:dyDescent="0.45">
      <c r="A10" s="441">
        <v>7</v>
      </c>
      <c r="B10" s="654"/>
      <c r="C10" s="643">
        <v>15</v>
      </c>
      <c r="D10" s="643" t="s">
        <v>17</v>
      </c>
      <c r="E10" s="445">
        <v>83</v>
      </c>
      <c r="F10" s="445">
        <v>63</v>
      </c>
      <c r="G10" s="445">
        <v>49</v>
      </c>
      <c r="H10" s="445">
        <v>73</v>
      </c>
      <c r="I10" s="445">
        <v>78</v>
      </c>
      <c r="J10" s="445">
        <v>51</v>
      </c>
      <c r="K10" s="445">
        <v>69</v>
      </c>
      <c r="L10" s="655">
        <v>83</v>
      </c>
      <c r="M10" s="657">
        <v>60</v>
      </c>
      <c r="N10" s="622">
        <v>73</v>
      </c>
      <c r="O10" s="445">
        <v>78</v>
      </c>
      <c r="P10" s="445">
        <v>92</v>
      </c>
      <c r="Q10" s="445">
        <v>90</v>
      </c>
      <c r="R10" s="617">
        <f t="shared" si="0"/>
        <v>942</v>
      </c>
      <c r="S10" s="619">
        <f t="shared" si="1"/>
        <v>72.461538461538467</v>
      </c>
      <c r="T10" s="617">
        <f t="shared" si="2"/>
        <v>33</v>
      </c>
      <c r="U10" s="445"/>
      <c r="V10" s="445"/>
    </row>
    <row r="11" spans="1:22" ht="29.25" thickBot="1" x14ac:dyDescent="0.45">
      <c r="A11" s="441">
        <v>8</v>
      </c>
      <c r="B11" s="654"/>
      <c r="C11" s="643">
        <v>14</v>
      </c>
      <c r="D11" s="643" t="s">
        <v>17</v>
      </c>
      <c r="E11" s="445">
        <v>90</v>
      </c>
      <c r="F11" s="445">
        <v>85</v>
      </c>
      <c r="G11" s="445">
        <v>73</v>
      </c>
      <c r="H11" s="445">
        <v>74</v>
      </c>
      <c r="I11" s="445">
        <v>85</v>
      </c>
      <c r="J11" s="445">
        <v>71</v>
      </c>
      <c r="K11" s="445">
        <v>81</v>
      </c>
      <c r="L11" s="655">
        <v>90</v>
      </c>
      <c r="M11" s="657">
        <v>79</v>
      </c>
      <c r="N11" s="622">
        <v>87</v>
      </c>
      <c r="O11" s="445">
        <v>91</v>
      </c>
      <c r="P11" s="445">
        <v>97</v>
      </c>
      <c r="Q11" s="445">
        <v>95</v>
      </c>
      <c r="R11" s="617">
        <f t="shared" si="0"/>
        <v>1098</v>
      </c>
      <c r="S11" s="619">
        <f t="shared" si="1"/>
        <v>84.461538461538467</v>
      </c>
      <c r="T11" s="617">
        <f t="shared" si="2"/>
        <v>11</v>
      </c>
      <c r="U11" s="445"/>
      <c r="V11" s="445"/>
    </row>
    <row r="12" spans="1:22" ht="29.25" thickBot="1" x14ac:dyDescent="0.45">
      <c r="A12" s="441">
        <v>9</v>
      </c>
      <c r="B12" s="654"/>
      <c r="C12" s="643">
        <v>14</v>
      </c>
      <c r="D12" s="643" t="s">
        <v>17</v>
      </c>
      <c r="E12" s="445">
        <v>95</v>
      </c>
      <c r="F12" s="445">
        <v>70</v>
      </c>
      <c r="G12" s="445">
        <v>85</v>
      </c>
      <c r="H12" s="445">
        <v>85</v>
      </c>
      <c r="I12" s="445">
        <v>85</v>
      </c>
      <c r="J12" s="445">
        <v>58</v>
      </c>
      <c r="K12" s="445">
        <v>55</v>
      </c>
      <c r="L12" s="655">
        <v>79</v>
      </c>
      <c r="M12" s="657">
        <v>55</v>
      </c>
      <c r="N12" s="622">
        <v>83</v>
      </c>
      <c r="O12" s="445">
        <v>90</v>
      </c>
      <c r="P12" s="445">
        <v>91</v>
      </c>
      <c r="Q12" s="445">
        <v>93</v>
      </c>
      <c r="R12" s="617">
        <f t="shared" si="0"/>
        <v>1024</v>
      </c>
      <c r="S12" s="619">
        <f t="shared" si="1"/>
        <v>78.769230769230774</v>
      </c>
      <c r="T12" s="617">
        <f t="shared" si="2"/>
        <v>20</v>
      </c>
      <c r="U12" s="445"/>
      <c r="V12" s="445"/>
    </row>
    <row r="13" spans="1:22" ht="29.25" thickBot="1" x14ac:dyDescent="0.45">
      <c r="A13" s="441">
        <v>10</v>
      </c>
      <c r="B13" s="654"/>
      <c r="C13" s="643">
        <v>14</v>
      </c>
      <c r="D13" s="643" t="s">
        <v>20</v>
      </c>
      <c r="E13" s="445">
        <v>88</v>
      </c>
      <c r="F13" s="445">
        <v>75</v>
      </c>
      <c r="G13" s="445">
        <v>80</v>
      </c>
      <c r="H13" s="445">
        <v>66</v>
      </c>
      <c r="I13" s="445">
        <v>70</v>
      </c>
      <c r="J13" s="445">
        <v>65</v>
      </c>
      <c r="K13" s="445">
        <v>72</v>
      </c>
      <c r="L13" s="655">
        <v>90</v>
      </c>
      <c r="M13" s="657">
        <v>80</v>
      </c>
      <c r="N13" s="622">
        <v>93</v>
      </c>
      <c r="O13" s="445">
        <v>94</v>
      </c>
      <c r="P13" s="445">
        <v>98</v>
      </c>
      <c r="Q13" s="445">
        <v>93</v>
      </c>
      <c r="R13" s="617">
        <f t="shared" si="0"/>
        <v>1064</v>
      </c>
      <c r="S13" s="619">
        <f t="shared" si="1"/>
        <v>81.84615384615384</v>
      </c>
      <c r="T13" s="617">
        <f t="shared" si="2"/>
        <v>18</v>
      </c>
      <c r="U13" s="445"/>
      <c r="V13" s="445"/>
    </row>
    <row r="14" spans="1:22" ht="29.25" thickBot="1" x14ac:dyDescent="0.45">
      <c r="A14" s="441">
        <v>11</v>
      </c>
      <c r="B14" s="654"/>
      <c r="C14" s="643">
        <v>15</v>
      </c>
      <c r="D14" s="643" t="s">
        <v>20</v>
      </c>
      <c r="E14" s="445">
        <v>75</v>
      </c>
      <c r="F14" s="445">
        <v>59</v>
      </c>
      <c r="G14" s="445">
        <v>65</v>
      </c>
      <c r="H14" s="445">
        <v>71</v>
      </c>
      <c r="I14" s="445">
        <v>64</v>
      </c>
      <c r="J14" s="445">
        <v>62</v>
      </c>
      <c r="K14" s="445">
        <v>68</v>
      </c>
      <c r="L14" s="655">
        <v>75</v>
      </c>
      <c r="M14" s="657">
        <v>62</v>
      </c>
      <c r="N14" s="622">
        <v>75</v>
      </c>
      <c r="O14" s="445">
        <v>73</v>
      </c>
      <c r="P14" s="445">
        <v>83</v>
      </c>
      <c r="Q14" s="445">
        <v>91</v>
      </c>
      <c r="R14" s="617">
        <f t="shared" si="0"/>
        <v>923</v>
      </c>
      <c r="S14" s="619">
        <f t="shared" si="1"/>
        <v>71</v>
      </c>
      <c r="T14" s="617">
        <f t="shared" si="2"/>
        <v>37</v>
      </c>
      <c r="U14" s="445"/>
      <c r="V14" s="445"/>
    </row>
    <row r="15" spans="1:22" ht="29.25" thickBot="1" x14ac:dyDescent="0.45">
      <c r="A15" s="441">
        <v>12</v>
      </c>
      <c r="B15" s="654"/>
      <c r="C15" s="643">
        <v>15</v>
      </c>
      <c r="D15" s="643" t="s">
        <v>20</v>
      </c>
      <c r="E15" s="445">
        <v>84</v>
      </c>
      <c r="F15" s="445">
        <v>68</v>
      </c>
      <c r="G15" s="445">
        <v>79</v>
      </c>
      <c r="H15" s="445">
        <v>68</v>
      </c>
      <c r="I15" s="445">
        <v>76</v>
      </c>
      <c r="J15" s="445">
        <v>63</v>
      </c>
      <c r="K15" s="445">
        <v>65</v>
      </c>
      <c r="L15" s="655">
        <v>83</v>
      </c>
      <c r="M15" s="657">
        <v>79</v>
      </c>
      <c r="N15" s="622">
        <v>82</v>
      </c>
      <c r="O15" s="445">
        <v>78</v>
      </c>
      <c r="P15" s="445">
        <v>81</v>
      </c>
      <c r="Q15" s="445">
        <v>80</v>
      </c>
      <c r="R15" s="617">
        <f t="shared" si="0"/>
        <v>986</v>
      </c>
      <c r="S15" s="619">
        <f t="shared" si="1"/>
        <v>75.84615384615384</v>
      </c>
      <c r="T15" s="617">
        <f t="shared" si="2"/>
        <v>29</v>
      </c>
      <c r="U15" s="445"/>
      <c r="V15" s="445"/>
    </row>
    <row r="16" spans="1:22" ht="29.25" thickBot="1" x14ac:dyDescent="0.45">
      <c r="A16" s="441">
        <v>13</v>
      </c>
      <c r="B16" s="654"/>
      <c r="C16" s="643">
        <v>14</v>
      </c>
      <c r="D16" s="643" t="s">
        <v>20</v>
      </c>
      <c r="E16" s="445">
        <v>95</v>
      </c>
      <c r="F16" s="445">
        <v>90</v>
      </c>
      <c r="G16" s="445">
        <v>97</v>
      </c>
      <c r="H16" s="445">
        <v>99</v>
      </c>
      <c r="I16" s="445">
        <v>99</v>
      </c>
      <c r="J16" s="445">
        <v>98</v>
      </c>
      <c r="K16" s="445">
        <v>99</v>
      </c>
      <c r="L16" s="655">
        <v>100</v>
      </c>
      <c r="M16" s="657">
        <v>99</v>
      </c>
      <c r="N16" s="622">
        <v>100</v>
      </c>
      <c r="O16" s="445">
        <v>100</v>
      </c>
      <c r="P16" s="445">
        <v>100</v>
      </c>
      <c r="Q16" s="445">
        <v>100</v>
      </c>
      <c r="R16" s="617">
        <f t="shared" si="0"/>
        <v>1276</v>
      </c>
      <c r="S16" s="619">
        <f t="shared" si="1"/>
        <v>98.15384615384616</v>
      </c>
      <c r="T16" s="617">
        <f t="shared" si="2"/>
        <v>1</v>
      </c>
      <c r="U16" s="445"/>
      <c r="V16" s="445"/>
    </row>
    <row r="17" spans="1:22" ht="29.25" thickBot="1" x14ac:dyDescent="0.45">
      <c r="A17" s="441">
        <v>14</v>
      </c>
      <c r="B17" s="654"/>
      <c r="C17" s="643">
        <v>15</v>
      </c>
      <c r="D17" s="643" t="s">
        <v>20</v>
      </c>
      <c r="E17" s="445">
        <v>82</v>
      </c>
      <c r="F17" s="445">
        <v>83</v>
      </c>
      <c r="G17" s="445">
        <v>77</v>
      </c>
      <c r="H17" s="445">
        <v>63</v>
      </c>
      <c r="I17" s="445">
        <v>74</v>
      </c>
      <c r="J17" s="445">
        <v>89</v>
      </c>
      <c r="K17" s="445">
        <v>91</v>
      </c>
      <c r="L17" s="655">
        <v>86</v>
      </c>
      <c r="M17" s="657">
        <v>82</v>
      </c>
      <c r="N17" s="622">
        <v>96</v>
      </c>
      <c r="O17" s="445">
        <v>90</v>
      </c>
      <c r="P17" s="445">
        <v>96</v>
      </c>
      <c r="Q17" s="445">
        <v>98</v>
      </c>
      <c r="R17" s="617">
        <f t="shared" si="0"/>
        <v>1107</v>
      </c>
      <c r="S17" s="619">
        <f t="shared" si="1"/>
        <v>85.15384615384616</v>
      </c>
      <c r="T17" s="617">
        <f t="shared" si="2"/>
        <v>9</v>
      </c>
      <c r="U17" s="445"/>
      <c r="V17" s="445"/>
    </row>
    <row r="18" spans="1:22" ht="29.25" thickBot="1" x14ac:dyDescent="0.45">
      <c r="A18" s="441">
        <v>15</v>
      </c>
      <c r="B18" s="654"/>
      <c r="C18" s="643">
        <v>15</v>
      </c>
      <c r="D18" s="643" t="s">
        <v>20</v>
      </c>
      <c r="E18" s="445">
        <v>86</v>
      </c>
      <c r="F18" s="445">
        <v>61</v>
      </c>
      <c r="G18" s="445">
        <v>58</v>
      </c>
      <c r="H18" s="445">
        <v>63</v>
      </c>
      <c r="I18" s="445">
        <v>50</v>
      </c>
      <c r="J18" s="445">
        <v>42</v>
      </c>
      <c r="K18" s="445">
        <v>89</v>
      </c>
      <c r="L18" s="655">
        <v>61</v>
      </c>
      <c r="M18" s="657">
        <v>64</v>
      </c>
      <c r="N18" s="622">
        <v>59</v>
      </c>
      <c r="O18" s="445">
        <v>53</v>
      </c>
      <c r="P18" s="445">
        <v>87</v>
      </c>
      <c r="Q18" s="445">
        <v>87</v>
      </c>
      <c r="R18" s="617">
        <f t="shared" si="0"/>
        <v>860</v>
      </c>
      <c r="S18" s="619">
        <f t="shared" si="1"/>
        <v>66.15384615384616</v>
      </c>
      <c r="T18" s="617">
        <f t="shared" si="2"/>
        <v>40</v>
      </c>
      <c r="U18" s="445"/>
      <c r="V18" s="445"/>
    </row>
    <row r="19" spans="1:22" ht="29.25" thickBot="1" x14ac:dyDescent="0.45">
      <c r="A19" s="441">
        <v>16</v>
      </c>
      <c r="B19" s="654"/>
      <c r="C19" s="643">
        <v>15</v>
      </c>
      <c r="D19" s="643" t="s">
        <v>17</v>
      </c>
      <c r="E19" s="445">
        <v>96</v>
      </c>
      <c r="F19" s="445">
        <v>87</v>
      </c>
      <c r="G19" s="445">
        <v>92</v>
      </c>
      <c r="H19" s="445">
        <v>96</v>
      </c>
      <c r="I19" s="445">
        <v>100</v>
      </c>
      <c r="J19" s="445">
        <v>98</v>
      </c>
      <c r="K19" s="445">
        <v>96</v>
      </c>
      <c r="L19" s="655">
        <v>100</v>
      </c>
      <c r="M19" s="657">
        <v>98</v>
      </c>
      <c r="N19" s="622">
        <v>99</v>
      </c>
      <c r="O19" s="445">
        <v>100</v>
      </c>
      <c r="P19" s="445">
        <v>100</v>
      </c>
      <c r="Q19" s="445">
        <v>100</v>
      </c>
      <c r="R19" s="617">
        <f t="shared" si="0"/>
        <v>1262</v>
      </c>
      <c r="S19" s="619">
        <f t="shared" si="1"/>
        <v>97.07692307692308</v>
      </c>
      <c r="T19" s="617">
        <f t="shared" si="2"/>
        <v>3</v>
      </c>
      <c r="U19" s="445"/>
      <c r="V19" s="445"/>
    </row>
    <row r="20" spans="1:22" ht="29.25" thickBot="1" x14ac:dyDescent="0.45">
      <c r="A20" s="441">
        <v>17</v>
      </c>
      <c r="B20" s="654"/>
      <c r="C20" s="643">
        <v>16</v>
      </c>
      <c r="D20" s="643" t="s">
        <v>17</v>
      </c>
      <c r="E20" s="445">
        <v>78</v>
      </c>
      <c r="F20" s="445">
        <v>91</v>
      </c>
      <c r="G20" s="445">
        <v>54</v>
      </c>
      <c r="H20" s="445">
        <v>71</v>
      </c>
      <c r="I20" s="445">
        <v>76</v>
      </c>
      <c r="J20" s="445">
        <v>55</v>
      </c>
      <c r="K20" s="445">
        <v>81</v>
      </c>
      <c r="L20" s="655">
        <v>95</v>
      </c>
      <c r="M20" s="657">
        <v>92</v>
      </c>
      <c r="N20" s="622">
        <v>88</v>
      </c>
      <c r="O20" s="445">
        <v>94</v>
      </c>
      <c r="P20" s="445">
        <v>96</v>
      </c>
      <c r="Q20" s="445">
        <v>96</v>
      </c>
      <c r="R20" s="617">
        <f t="shared" si="0"/>
        <v>1067</v>
      </c>
      <c r="S20" s="619">
        <f t="shared" si="1"/>
        <v>82.07692307692308</v>
      </c>
      <c r="T20" s="617">
        <f t="shared" si="2"/>
        <v>17</v>
      </c>
      <c r="U20" s="445"/>
      <c r="V20" s="445"/>
    </row>
    <row r="21" spans="1:22" ht="29.25" thickBot="1" x14ac:dyDescent="0.45">
      <c r="A21" s="441">
        <v>18</v>
      </c>
      <c r="B21" s="654"/>
      <c r="C21" s="643">
        <v>15</v>
      </c>
      <c r="D21" s="643" t="s">
        <v>17</v>
      </c>
      <c r="E21" s="445">
        <v>81</v>
      </c>
      <c r="F21" s="445">
        <v>50</v>
      </c>
      <c r="G21" s="445">
        <v>70</v>
      </c>
      <c r="H21" s="445">
        <v>46</v>
      </c>
      <c r="I21" s="445">
        <v>50</v>
      </c>
      <c r="J21" s="445">
        <v>37</v>
      </c>
      <c r="K21" s="445">
        <v>39</v>
      </c>
      <c r="L21" s="655">
        <v>57</v>
      </c>
      <c r="M21" s="657">
        <v>71</v>
      </c>
      <c r="N21" s="622">
        <v>66</v>
      </c>
      <c r="O21" s="445">
        <v>53</v>
      </c>
      <c r="P21" s="445">
        <v>84</v>
      </c>
      <c r="Q21" s="445">
        <v>72</v>
      </c>
      <c r="R21" s="617">
        <f t="shared" si="0"/>
        <v>776</v>
      </c>
      <c r="S21" s="619">
        <f t="shared" si="1"/>
        <v>59.692307692307693</v>
      </c>
      <c r="T21" s="617">
        <f t="shared" si="2"/>
        <v>47</v>
      </c>
      <c r="U21" s="445"/>
      <c r="V21" s="445"/>
    </row>
    <row r="22" spans="1:22" ht="29.25" thickBot="1" x14ac:dyDescent="0.45">
      <c r="A22" s="441">
        <v>19</v>
      </c>
      <c r="B22" s="654"/>
      <c r="C22" s="643">
        <v>14</v>
      </c>
      <c r="D22" s="643" t="s">
        <v>20</v>
      </c>
      <c r="E22" s="445">
        <v>86</v>
      </c>
      <c r="F22" s="445">
        <v>77</v>
      </c>
      <c r="G22" s="445">
        <v>81</v>
      </c>
      <c r="H22" s="445">
        <v>76</v>
      </c>
      <c r="I22" s="445">
        <v>71</v>
      </c>
      <c r="J22" s="445">
        <v>63</v>
      </c>
      <c r="K22" s="445">
        <v>73</v>
      </c>
      <c r="L22" s="655">
        <v>89</v>
      </c>
      <c r="M22" s="657">
        <v>90</v>
      </c>
      <c r="N22" s="622">
        <v>81</v>
      </c>
      <c r="O22" s="445">
        <v>95</v>
      </c>
      <c r="P22" s="445">
        <v>95</v>
      </c>
      <c r="Q22" s="445">
        <v>92</v>
      </c>
      <c r="R22" s="617">
        <f t="shared" si="0"/>
        <v>1069</v>
      </c>
      <c r="S22" s="619">
        <f t="shared" si="1"/>
        <v>82.230769230769226</v>
      </c>
      <c r="T22" s="617">
        <f t="shared" si="2"/>
        <v>16</v>
      </c>
      <c r="U22" s="445"/>
      <c r="V22" s="445"/>
    </row>
    <row r="23" spans="1:22" ht="29.25" thickBot="1" x14ac:dyDescent="0.45">
      <c r="A23" s="441">
        <v>20</v>
      </c>
      <c r="B23" s="654"/>
      <c r="C23" s="643">
        <v>14</v>
      </c>
      <c r="D23" s="643" t="s">
        <v>20</v>
      </c>
      <c r="E23" s="445"/>
      <c r="F23" s="445"/>
      <c r="G23" s="445"/>
      <c r="H23" s="445"/>
      <c r="I23" s="445"/>
      <c r="J23" s="445"/>
      <c r="K23" s="445"/>
      <c r="L23" s="655"/>
      <c r="M23" s="657" t="s">
        <v>76</v>
      </c>
      <c r="N23" s="622"/>
      <c r="O23" s="445"/>
      <c r="P23" s="445"/>
      <c r="Q23" s="445"/>
      <c r="R23" s="617"/>
      <c r="S23" s="619"/>
      <c r="T23" s="617"/>
      <c r="U23" s="445"/>
      <c r="V23" s="445"/>
    </row>
    <row r="24" spans="1:22" ht="29.25" thickBot="1" x14ac:dyDescent="0.45">
      <c r="A24" s="441">
        <v>21</v>
      </c>
      <c r="B24" s="654"/>
      <c r="C24" s="643">
        <v>15</v>
      </c>
      <c r="D24" s="643" t="s">
        <v>20</v>
      </c>
      <c r="E24" s="445">
        <v>87</v>
      </c>
      <c r="F24" s="445">
        <v>64</v>
      </c>
      <c r="G24" s="445">
        <v>77</v>
      </c>
      <c r="H24" s="445">
        <v>62</v>
      </c>
      <c r="I24" s="445">
        <v>65</v>
      </c>
      <c r="J24" s="445">
        <v>58</v>
      </c>
      <c r="K24" s="445">
        <v>59</v>
      </c>
      <c r="L24" s="655">
        <v>79</v>
      </c>
      <c r="M24" s="658">
        <v>67</v>
      </c>
      <c r="N24" s="622">
        <v>69</v>
      </c>
      <c r="O24" s="445">
        <v>86</v>
      </c>
      <c r="P24" s="445">
        <v>93</v>
      </c>
      <c r="Q24" s="445">
        <v>75</v>
      </c>
      <c r="R24" s="617">
        <f t="shared" ref="R24:R53" si="3">SUM(E24:Q24)</f>
        <v>941</v>
      </c>
      <c r="S24" s="619">
        <f t="shared" ref="S24:S39" si="4">AVERAGE(E24:Q24)</f>
        <v>72.384615384615387</v>
      </c>
      <c r="T24" s="617">
        <f t="shared" ref="T24:T39" si="5">RANK(S24,$S$4:$S$53)</f>
        <v>34</v>
      </c>
      <c r="U24" s="445"/>
      <c r="V24" s="445"/>
    </row>
    <row r="25" spans="1:22" ht="29.25" thickBot="1" x14ac:dyDescent="0.45">
      <c r="A25" s="441">
        <v>22</v>
      </c>
      <c r="B25" s="654"/>
      <c r="C25" s="643">
        <v>15</v>
      </c>
      <c r="D25" s="643" t="s">
        <v>20</v>
      </c>
      <c r="E25" s="445">
        <v>82</v>
      </c>
      <c r="F25" s="445">
        <v>80</v>
      </c>
      <c r="G25" s="445">
        <v>86</v>
      </c>
      <c r="H25" s="445">
        <v>77</v>
      </c>
      <c r="I25" s="445">
        <v>78</v>
      </c>
      <c r="J25" s="445">
        <v>81</v>
      </c>
      <c r="K25" s="445">
        <v>87</v>
      </c>
      <c r="L25" s="655">
        <v>93</v>
      </c>
      <c r="M25" s="658">
        <v>82</v>
      </c>
      <c r="N25" s="622">
        <v>94</v>
      </c>
      <c r="O25" s="445">
        <v>92</v>
      </c>
      <c r="P25" s="445">
        <v>100</v>
      </c>
      <c r="Q25" s="445">
        <v>98</v>
      </c>
      <c r="R25" s="617">
        <f t="shared" si="3"/>
        <v>1130</v>
      </c>
      <c r="S25" s="619">
        <f t="shared" si="4"/>
        <v>86.92307692307692</v>
      </c>
      <c r="T25" s="617">
        <f t="shared" si="5"/>
        <v>7</v>
      </c>
      <c r="U25" s="445"/>
      <c r="V25" s="445"/>
    </row>
    <row r="26" spans="1:22" ht="29.25" thickBot="1" x14ac:dyDescent="0.45">
      <c r="A26" s="441">
        <v>23</v>
      </c>
      <c r="B26" s="654"/>
      <c r="C26" s="643">
        <v>15</v>
      </c>
      <c r="D26" s="643" t="s">
        <v>17</v>
      </c>
      <c r="E26" s="445">
        <v>77</v>
      </c>
      <c r="F26" s="445">
        <v>69</v>
      </c>
      <c r="G26" s="445">
        <v>55</v>
      </c>
      <c r="H26" s="445">
        <v>58</v>
      </c>
      <c r="I26" s="445">
        <v>55</v>
      </c>
      <c r="J26" s="445">
        <v>48</v>
      </c>
      <c r="K26" s="445">
        <v>51</v>
      </c>
      <c r="L26" s="655">
        <v>71</v>
      </c>
      <c r="M26" s="658">
        <v>54</v>
      </c>
      <c r="N26" s="622">
        <v>74</v>
      </c>
      <c r="O26" s="445">
        <v>68</v>
      </c>
      <c r="P26" s="445">
        <v>84</v>
      </c>
      <c r="Q26" s="445">
        <v>87</v>
      </c>
      <c r="R26" s="617">
        <f t="shared" si="3"/>
        <v>851</v>
      </c>
      <c r="S26" s="619">
        <f t="shared" si="4"/>
        <v>65.461538461538467</v>
      </c>
      <c r="T26" s="617">
        <f t="shared" si="5"/>
        <v>42</v>
      </c>
      <c r="U26" s="445"/>
      <c r="V26" s="445"/>
    </row>
    <row r="27" spans="1:22" ht="29.25" thickBot="1" x14ac:dyDescent="0.45">
      <c r="A27" s="441">
        <v>24</v>
      </c>
      <c r="B27" s="654"/>
      <c r="C27" s="643">
        <v>17</v>
      </c>
      <c r="D27" s="643" t="s">
        <v>20</v>
      </c>
      <c r="E27" s="445">
        <v>91</v>
      </c>
      <c r="F27" s="445">
        <v>93</v>
      </c>
      <c r="G27" s="445">
        <v>85</v>
      </c>
      <c r="H27" s="445">
        <v>95</v>
      </c>
      <c r="I27" s="445">
        <v>100</v>
      </c>
      <c r="J27" s="445">
        <v>99</v>
      </c>
      <c r="K27" s="445">
        <v>96</v>
      </c>
      <c r="L27" s="655">
        <v>100</v>
      </c>
      <c r="M27" s="658">
        <v>100</v>
      </c>
      <c r="N27" s="622">
        <v>97</v>
      </c>
      <c r="O27" s="445">
        <v>100</v>
      </c>
      <c r="P27" s="445">
        <v>100</v>
      </c>
      <c r="Q27" s="445">
        <v>100</v>
      </c>
      <c r="R27" s="617">
        <f t="shared" si="3"/>
        <v>1256</v>
      </c>
      <c r="S27" s="619">
        <f t="shared" si="4"/>
        <v>96.615384615384613</v>
      </c>
      <c r="T27" s="617">
        <f t="shared" si="5"/>
        <v>4</v>
      </c>
      <c r="U27" s="445"/>
      <c r="V27" s="445"/>
    </row>
    <row r="28" spans="1:22" ht="29.25" thickBot="1" x14ac:dyDescent="0.45">
      <c r="A28" s="441">
        <v>25</v>
      </c>
      <c r="B28" s="654"/>
      <c r="C28" s="643">
        <v>15</v>
      </c>
      <c r="D28" s="643" t="s">
        <v>17</v>
      </c>
      <c r="E28" s="445">
        <v>82</v>
      </c>
      <c r="F28" s="445">
        <v>80</v>
      </c>
      <c r="G28" s="445">
        <v>70</v>
      </c>
      <c r="H28" s="445">
        <v>60</v>
      </c>
      <c r="I28" s="445">
        <v>60</v>
      </c>
      <c r="J28" s="445">
        <v>70</v>
      </c>
      <c r="K28" s="445">
        <v>72</v>
      </c>
      <c r="L28" s="655">
        <v>89</v>
      </c>
      <c r="M28" s="658">
        <v>80</v>
      </c>
      <c r="N28" s="622">
        <v>83</v>
      </c>
      <c r="O28" s="445">
        <v>90</v>
      </c>
      <c r="P28" s="445">
        <v>91</v>
      </c>
      <c r="Q28" s="445">
        <v>96</v>
      </c>
      <c r="R28" s="617">
        <f t="shared" si="3"/>
        <v>1023</v>
      </c>
      <c r="S28" s="619">
        <f t="shared" si="4"/>
        <v>78.692307692307693</v>
      </c>
      <c r="T28" s="617">
        <f t="shared" si="5"/>
        <v>21</v>
      </c>
      <c r="U28" s="445"/>
      <c r="V28" s="445"/>
    </row>
    <row r="29" spans="1:22" ht="29.25" thickBot="1" x14ac:dyDescent="0.45">
      <c r="A29" s="441">
        <v>26</v>
      </c>
      <c r="B29" s="654"/>
      <c r="C29" s="643">
        <v>14</v>
      </c>
      <c r="D29" s="643" t="s">
        <v>17</v>
      </c>
      <c r="E29" s="445">
        <v>88</v>
      </c>
      <c r="F29" s="445">
        <v>87</v>
      </c>
      <c r="G29" s="445">
        <v>75</v>
      </c>
      <c r="H29" s="445">
        <v>85</v>
      </c>
      <c r="I29" s="445">
        <v>85</v>
      </c>
      <c r="J29" s="445">
        <v>78</v>
      </c>
      <c r="K29" s="445">
        <v>78</v>
      </c>
      <c r="L29" s="655">
        <v>91</v>
      </c>
      <c r="M29" s="658">
        <v>74</v>
      </c>
      <c r="N29" s="622">
        <v>89</v>
      </c>
      <c r="O29" s="445">
        <v>87</v>
      </c>
      <c r="P29" s="445">
        <v>100</v>
      </c>
      <c r="Q29" s="445">
        <v>75</v>
      </c>
      <c r="R29" s="617">
        <f t="shared" si="3"/>
        <v>1092</v>
      </c>
      <c r="S29" s="619">
        <f t="shared" si="4"/>
        <v>84</v>
      </c>
      <c r="T29" s="617">
        <f t="shared" si="5"/>
        <v>13</v>
      </c>
      <c r="U29" s="445"/>
      <c r="V29" s="445"/>
    </row>
    <row r="30" spans="1:22" ht="29.25" thickBot="1" x14ac:dyDescent="0.45">
      <c r="A30" s="441">
        <v>27</v>
      </c>
      <c r="B30" s="654"/>
      <c r="C30" s="643">
        <v>14</v>
      </c>
      <c r="D30" s="643" t="s">
        <v>17</v>
      </c>
      <c r="E30" s="445">
        <v>81</v>
      </c>
      <c r="F30" s="445">
        <v>53</v>
      </c>
      <c r="G30" s="445">
        <v>69</v>
      </c>
      <c r="H30" s="445">
        <v>65</v>
      </c>
      <c r="I30" s="445">
        <v>64</v>
      </c>
      <c r="J30" s="445">
        <v>67</v>
      </c>
      <c r="K30" s="445">
        <v>46</v>
      </c>
      <c r="L30" s="655">
        <v>75</v>
      </c>
      <c r="M30" s="658">
        <v>69</v>
      </c>
      <c r="N30" s="622">
        <v>77</v>
      </c>
      <c r="O30" s="445">
        <v>77</v>
      </c>
      <c r="P30" s="445">
        <v>96</v>
      </c>
      <c r="Q30" s="445">
        <v>93</v>
      </c>
      <c r="R30" s="617">
        <f t="shared" si="3"/>
        <v>932</v>
      </c>
      <c r="S30" s="619">
        <f t="shared" si="4"/>
        <v>71.692307692307693</v>
      </c>
      <c r="T30" s="617">
        <f t="shared" si="5"/>
        <v>35</v>
      </c>
      <c r="U30" s="445"/>
      <c r="V30" s="445"/>
    </row>
    <row r="31" spans="1:22" ht="29.25" thickBot="1" x14ac:dyDescent="0.45">
      <c r="A31" s="441">
        <v>28</v>
      </c>
      <c r="B31" s="654"/>
      <c r="C31" s="643">
        <v>15</v>
      </c>
      <c r="D31" s="643" t="s">
        <v>20</v>
      </c>
      <c r="E31" s="445">
        <v>84</v>
      </c>
      <c r="F31" s="445">
        <v>55</v>
      </c>
      <c r="G31" s="445">
        <v>80</v>
      </c>
      <c r="H31" s="445">
        <v>54</v>
      </c>
      <c r="I31" s="445">
        <v>54</v>
      </c>
      <c r="J31" s="445">
        <v>44</v>
      </c>
      <c r="K31" s="445">
        <v>44</v>
      </c>
      <c r="L31" s="655">
        <v>57</v>
      </c>
      <c r="M31" s="658">
        <v>53</v>
      </c>
      <c r="N31" s="622">
        <v>69</v>
      </c>
      <c r="O31" s="445">
        <v>61</v>
      </c>
      <c r="P31" s="445">
        <v>73</v>
      </c>
      <c r="Q31" s="445">
        <v>77</v>
      </c>
      <c r="R31" s="617">
        <f t="shared" si="3"/>
        <v>805</v>
      </c>
      <c r="S31" s="619">
        <f t="shared" si="4"/>
        <v>61.92307692307692</v>
      </c>
      <c r="T31" s="617">
        <f t="shared" si="5"/>
        <v>45</v>
      </c>
      <c r="U31" s="445"/>
      <c r="V31" s="445"/>
    </row>
    <row r="32" spans="1:22" ht="29.25" thickBot="1" x14ac:dyDescent="0.45">
      <c r="A32" s="441">
        <v>29</v>
      </c>
      <c r="B32" s="654"/>
      <c r="C32" s="643">
        <v>14</v>
      </c>
      <c r="D32" s="643" t="s">
        <v>20</v>
      </c>
      <c r="E32" s="445">
        <v>88</v>
      </c>
      <c r="F32" s="445">
        <v>70</v>
      </c>
      <c r="G32" s="445">
        <v>73</v>
      </c>
      <c r="H32" s="445">
        <v>63</v>
      </c>
      <c r="I32" s="445">
        <v>68</v>
      </c>
      <c r="J32" s="445">
        <v>50</v>
      </c>
      <c r="K32" s="445">
        <v>69</v>
      </c>
      <c r="L32" s="655">
        <v>81</v>
      </c>
      <c r="M32" s="658">
        <v>73</v>
      </c>
      <c r="N32" s="622">
        <v>85</v>
      </c>
      <c r="O32" s="445">
        <v>89</v>
      </c>
      <c r="P32" s="445">
        <v>93</v>
      </c>
      <c r="Q32" s="445">
        <v>86</v>
      </c>
      <c r="R32" s="617">
        <f t="shared" si="3"/>
        <v>988</v>
      </c>
      <c r="S32" s="619">
        <f t="shared" si="4"/>
        <v>76</v>
      </c>
      <c r="T32" s="617">
        <f t="shared" si="5"/>
        <v>28</v>
      </c>
      <c r="U32" s="445"/>
      <c r="V32" s="445"/>
    </row>
    <row r="33" spans="1:22" ht="29.25" thickBot="1" x14ac:dyDescent="0.45">
      <c r="A33" s="441">
        <v>30</v>
      </c>
      <c r="B33" s="654"/>
      <c r="C33" s="659">
        <v>14</v>
      </c>
      <c r="D33" s="659" t="s">
        <v>20</v>
      </c>
      <c r="E33" s="445">
        <v>93</v>
      </c>
      <c r="F33" s="445">
        <v>53</v>
      </c>
      <c r="G33" s="445">
        <v>79</v>
      </c>
      <c r="H33" s="445">
        <v>65</v>
      </c>
      <c r="I33" s="445">
        <v>70</v>
      </c>
      <c r="J33" s="445">
        <v>67</v>
      </c>
      <c r="K33" s="445">
        <v>63</v>
      </c>
      <c r="L33" s="655">
        <v>81</v>
      </c>
      <c r="M33" s="658">
        <v>82</v>
      </c>
      <c r="N33" s="622">
        <v>86</v>
      </c>
      <c r="O33" s="445">
        <v>82</v>
      </c>
      <c r="P33" s="445">
        <v>97</v>
      </c>
      <c r="Q33" s="445">
        <v>93</v>
      </c>
      <c r="R33" s="617">
        <f t="shared" si="3"/>
        <v>1011</v>
      </c>
      <c r="S33" s="619">
        <f t="shared" si="4"/>
        <v>77.769230769230774</v>
      </c>
      <c r="T33" s="617">
        <f t="shared" si="5"/>
        <v>25</v>
      </c>
      <c r="U33" s="445"/>
      <c r="V33" s="445"/>
    </row>
    <row r="34" spans="1:22" ht="29.25" thickBot="1" x14ac:dyDescent="0.45">
      <c r="A34" s="441">
        <v>31</v>
      </c>
      <c r="B34" s="654"/>
      <c r="C34" s="643">
        <v>15</v>
      </c>
      <c r="D34" s="643" t="s">
        <v>20</v>
      </c>
      <c r="E34" s="445">
        <v>87</v>
      </c>
      <c r="F34" s="445">
        <v>72</v>
      </c>
      <c r="G34" s="445">
        <v>66</v>
      </c>
      <c r="H34" s="445">
        <v>64</v>
      </c>
      <c r="I34" s="445">
        <v>63</v>
      </c>
      <c r="J34" s="445">
        <v>63</v>
      </c>
      <c r="K34" s="445">
        <v>60</v>
      </c>
      <c r="L34" s="655">
        <v>92</v>
      </c>
      <c r="M34" s="658">
        <v>72</v>
      </c>
      <c r="N34" s="622">
        <v>81</v>
      </c>
      <c r="O34" s="445">
        <v>77</v>
      </c>
      <c r="P34" s="445">
        <v>76</v>
      </c>
      <c r="Q34" s="445">
        <v>95</v>
      </c>
      <c r="R34" s="617">
        <f t="shared" si="3"/>
        <v>968</v>
      </c>
      <c r="S34" s="619">
        <f t="shared" si="4"/>
        <v>74.461538461538467</v>
      </c>
      <c r="T34" s="617">
        <f t="shared" si="5"/>
        <v>31</v>
      </c>
      <c r="U34" s="445"/>
      <c r="V34" s="445"/>
    </row>
    <row r="35" spans="1:22" ht="29.25" thickBot="1" x14ac:dyDescent="0.45">
      <c r="A35" s="441">
        <v>32</v>
      </c>
      <c r="B35" s="654"/>
      <c r="C35" s="643">
        <v>15</v>
      </c>
      <c r="D35" s="643" t="s">
        <v>17</v>
      </c>
      <c r="E35" s="445">
        <v>88</v>
      </c>
      <c r="F35" s="445">
        <v>81</v>
      </c>
      <c r="G35" s="445">
        <v>74</v>
      </c>
      <c r="H35" s="445">
        <v>80</v>
      </c>
      <c r="I35" s="445">
        <v>75</v>
      </c>
      <c r="J35" s="445">
        <v>80</v>
      </c>
      <c r="K35" s="445">
        <v>73</v>
      </c>
      <c r="L35" s="660">
        <v>90</v>
      </c>
      <c r="M35" s="658">
        <v>81</v>
      </c>
      <c r="N35" s="622">
        <v>88</v>
      </c>
      <c r="O35" s="445">
        <v>92</v>
      </c>
      <c r="P35" s="445">
        <v>96</v>
      </c>
      <c r="Q35" s="445">
        <v>91</v>
      </c>
      <c r="R35" s="617">
        <f t="shared" si="3"/>
        <v>1089</v>
      </c>
      <c r="S35" s="619">
        <f t="shared" si="4"/>
        <v>83.769230769230774</v>
      </c>
      <c r="T35" s="617">
        <f t="shared" si="5"/>
        <v>14</v>
      </c>
      <c r="U35" s="445"/>
      <c r="V35" s="445"/>
    </row>
    <row r="36" spans="1:22" ht="29.25" thickBot="1" x14ac:dyDescent="0.45">
      <c r="A36" s="441">
        <v>33</v>
      </c>
      <c r="B36" s="654"/>
      <c r="C36" s="643">
        <v>15</v>
      </c>
      <c r="D36" s="643" t="s">
        <v>20</v>
      </c>
      <c r="E36" s="445">
        <v>64</v>
      </c>
      <c r="F36" s="445">
        <v>46</v>
      </c>
      <c r="G36" s="445">
        <v>68</v>
      </c>
      <c r="H36" s="445">
        <v>58</v>
      </c>
      <c r="I36" s="445">
        <v>58</v>
      </c>
      <c r="J36" s="445">
        <v>41</v>
      </c>
      <c r="K36" s="445">
        <v>43</v>
      </c>
      <c r="L36" s="655">
        <v>73</v>
      </c>
      <c r="M36" s="661">
        <v>72</v>
      </c>
      <c r="N36" s="622">
        <v>70</v>
      </c>
      <c r="O36" s="445">
        <v>61</v>
      </c>
      <c r="P36" s="445">
        <v>94</v>
      </c>
      <c r="Q36" s="445">
        <v>84</v>
      </c>
      <c r="R36" s="617">
        <f t="shared" si="3"/>
        <v>832</v>
      </c>
      <c r="S36" s="619">
        <f t="shared" si="4"/>
        <v>64</v>
      </c>
      <c r="T36" s="617">
        <f t="shared" si="5"/>
        <v>44</v>
      </c>
      <c r="U36" s="445"/>
      <c r="V36" s="445"/>
    </row>
    <row r="37" spans="1:22" ht="29.25" thickBot="1" x14ac:dyDescent="0.45">
      <c r="A37" s="441">
        <v>34</v>
      </c>
      <c r="B37" s="654"/>
      <c r="C37" s="643">
        <v>15</v>
      </c>
      <c r="D37" s="643" t="s">
        <v>17</v>
      </c>
      <c r="E37" s="445">
        <v>82</v>
      </c>
      <c r="F37" s="445">
        <v>70</v>
      </c>
      <c r="G37" s="445">
        <v>78</v>
      </c>
      <c r="H37" s="445">
        <v>60</v>
      </c>
      <c r="I37" s="445">
        <v>83</v>
      </c>
      <c r="J37" s="445">
        <v>87</v>
      </c>
      <c r="K37" s="445">
        <v>87</v>
      </c>
      <c r="L37" s="655">
        <v>92</v>
      </c>
      <c r="M37" s="658">
        <v>82</v>
      </c>
      <c r="N37" s="622">
        <v>95</v>
      </c>
      <c r="O37" s="445">
        <v>96</v>
      </c>
      <c r="P37" s="445">
        <v>97</v>
      </c>
      <c r="Q37" s="445">
        <v>94</v>
      </c>
      <c r="R37" s="617">
        <f t="shared" si="3"/>
        <v>1103</v>
      </c>
      <c r="S37" s="619">
        <f t="shared" si="4"/>
        <v>84.84615384615384</v>
      </c>
      <c r="T37" s="617">
        <f t="shared" si="5"/>
        <v>10</v>
      </c>
      <c r="U37" s="445"/>
      <c r="V37" s="445"/>
    </row>
    <row r="38" spans="1:22" ht="29.25" thickBot="1" x14ac:dyDescent="0.45">
      <c r="A38" s="441">
        <v>35</v>
      </c>
      <c r="B38" s="654"/>
      <c r="C38" s="643">
        <v>15</v>
      </c>
      <c r="D38" s="643" t="s">
        <v>17</v>
      </c>
      <c r="E38" s="445">
        <v>83</v>
      </c>
      <c r="F38" s="445">
        <v>89</v>
      </c>
      <c r="G38" s="445">
        <v>98</v>
      </c>
      <c r="H38" s="445">
        <v>65</v>
      </c>
      <c r="I38" s="445">
        <v>76</v>
      </c>
      <c r="J38" s="445">
        <v>71</v>
      </c>
      <c r="K38" s="445">
        <v>83</v>
      </c>
      <c r="L38" s="655">
        <v>93</v>
      </c>
      <c r="M38" s="658">
        <v>89</v>
      </c>
      <c r="N38" s="622">
        <v>91</v>
      </c>
      <c r="O38" s="445">
        <v>94</v>
      </c>
      <c r="P38" s="445">
        <v>94</v>
      </c>
      <c r="Q38" s="445">
        <v>98</v>
      </c>
      <c r="R38" s="617">
        <f t="shared" si="3"/>
        <v>1124</v>
      </c>
      <c r="S38" s="619">
        <f t="shared" si="4"/>
        <v>86.461538461538467</v>
      </c>
      <c r="T38" s="617">
        <f t="shared" si="5"/>
        <v>8</v>
      </c>
      <c r="U38" s="445"/>
      <c r="V38" s="445"/>
    </row>
    <row r="39" spans="1:22" ht="29.25" thickBot="1" x14ac:dyDescent="0.45">
      <c r="A39" s="441">
        <v>36</v>
      </c>
      <c r="B39" s="654"/>
      <c r="C39" s="643">
        <v>16</v>
      </c>
      <c r="D39" s="643" t="s">
        <v>17</v>
      </c>
      <c r="E39" s="445">
        <v>79</v>
      </c>
      <c r="F39" s="445">
        <v>75</v>
      </c>
      <c r="G39" s="445">
        <v>63</v>
      </c>
      <c r="H39" s="445">
        <v>68</v>
      </c>
      <c r="I39" s="445">
        <v>61</v>
      </c>
      <c r="J39" s="445">
        <v>64</v>
      </c>
      <c r="K39" s="445">
        <v>85</v>
      </c>
      <c r="L39" s="655">
        <v>94</v>
      </c>
      <c r="M39" s="658">
        <v>73</v>
      </c>
      <c r="N39" s="622">
        <v>82</v>
      </c>
      <c r="O39" s="445">
        <v>91</v>
      </c>
      <c r="P39" s="445">
        <v>91</v>
      </c>
      <c r="Q39" s="445">
        <v>90</v>
      </c>
      <c r="R39" s="617">
        <f t="shared" si="3"/>
        <v>1016</v>
      </c>
      <c r="S39" s="619">
        <f t="shared" si="4"/>
        <v>78.15384615384616</v>
      </c>
      <c r="T39" s="617">
        <f t="shared" si="5"/>
        <v>24</v>
      </c>
      <c r="U39" s="445"/>
      <c r="V39" s="445"/>
    </row>
    <row r="40" spans="1:22" ht="29.25" thickBot="1" x14ac:dyDescent="0.45">
      <c r="A40" s="441">
        <v>37</v>
      </c>
      <c r="B40" s="654"/>
      <c r="C40" s="643">
        <v>15</v>
      </c>
      <c r="D40" s="643" t="s">
        <v>17</v>
      </c>
      <c r="E40" s="445"/>
      <c r="F40" s="445"/>
      <c r="G40" s="445"/>
      <c r="H40" s="445"/>
      <c r="I40" s="445"/>
      <c r="J40" s="445"/>
      <c r="K40" s="445"/>
      <c r="L40" s="655"/>
      <c r="M40" s="658" t="s">
        <v>76</v>
      </c>
      <c r="N40" s="622"/>
      <c r="O40" s="445"/>
      <c r="P40" s="445"/>
      <c r="Q40" s="445"/>
      <c r="R40" s="617">
        <f t="shared" si="3"/>
        <v>0</v>
      </c>
      <c r="S40" s="619"/>
      <c r="T40" s="617"/>
      <c r="U40" s="445"/>
      <c r="V40" s="445"/>
    </row>
    <row r="41" spans="1:22" ht="29.25" thickBot="1" x14ac:dyDescent="0.45">
      <c r="A41" s="441">
        <v>38</v>
      </c>
      <c r="B41" s="654"/>
      <c r="C41" s="643">
        <v>15</v>
      </c>
      <c r="D41" s="643" t="s">
        <v>17</v>
      </c>
      <c r="E41" s="445">
        <v>80</v>
      </c>
      <c r="F41" s="445">
        <v>78</v>
      </c>
      <c r="G41" s="445">
        <v>58</v>
      </c>
      <c r="H41" s="445">
        <v>60</v>
      </c>
      <c r="I41" s="445">
        <v>56</v>
      </c>
      <c r="J41" s="445">
        <v>59</v>
      </c>
      <c r="K41" s="445">
        <v>61</v>
      </c>
      <c r="L41" s="655">
        <v>76</v>
      </c>
      <c r="M41" s="658">
        <v>60</v>
      </c>
      <c r="N41" s="622">
        <v>78</v>
      </c>
      <c r="O41" s="445">
        <v>65</v>
      </c>
      <c r="P41" s="445">
        <v>84</v>
      </c>
      <c r="Q41" s="445">
        <v>72</v>
      </c>
      <c r="R41" s="617">
        <f t="shared" si="3"/>
        <v>887</v>
      </c>
      <c r="S41" s="619">
        <f t="shared" ref="S41:S49" si="6">AVERAGE(E41:Q41)</f>
        <v>68.230769230769226</v>
      </c>
      <c r="T41" s="617">
        <f t="shared" ref="T41:T49" si="7">RANK(S41,$S$4:$S$53)</f>
        <v>38</v>
      </c>
      <c r="U41" s="445"/>
      <c r="V41" s="445"/>
    </row>
    <row r="42" spans="1:22" ht="29.25" thickBot="1" x14ac:dyDescent="0.45">
      <c r="A42" s="441">
        <v>39</v>
      </c>
      <c r="B42" s="654"/>
      <c r="C42" s="643">
        <v>15</v>
      </c>
      <c r="D42" s="643" t="s">
        <v>17</v>
      </c>
      <c r="E42" s="445">
        <v>89</v>
      </c>
      <c r="F42" s="445">
        <v>62</v>
      </c>
      <c r="G42" s="445">
        <v>65</v>
      </c>
      <c r="H42" s="445">
        <v>65</v>
      </c>
      <c r="I42" s="445">
        <v>61</v>
      </c>
      <c r="J42" s="445">
        <v>57</v>
      </c>
      <c r="K42" s="445">
        <v>50</v>
      </c>
      <c r="L42" s="655">
        <v>76</v>
      </c>
      <c r="M42" s="658">
        <v>75</v>
      </c>
      <c r="N42" s="622">
        <v>80</v>
      </c>
      <c r="O42" s="445">
        <v>79</v>
      </c>
      <c r="P42" s="445">
        <v>95</v>
      </c>
      <c r="Q42" s="445">
        <v>78</v>
      </c>
      <c r="R42" s="617">
        <f t="shared" si="3"/>
        <v>932</v>
      </c>
      <c r="S42" s="619">
        <f t="shared" si="6"/>
        <v>71.692307692307693</v>
      </c>
      <c r="T42" s="617">
        <f t="shared" si="7"/>
        <v>35</v>
      </c>
      <c r="U42" s="445"/>
      <c r="V42" s="445"/>
    </row>
    <row r="43" spans="1:22" ht="29.25" thickBot="1" x14ac:dyDescent="0.45">
      <c r="A43" s="441">
        <v>40</v>
      </c>
      <c r="B43" s="654"/>
      <c r="C43" s="643">
        <v>15</v>
      </c>
      <c r="D43" s="643" t="s">
        <v>20</v>
      </c>
      <c r="E43" s="445">
        <v>83</v>
      </c>
      <c r="F43" s="445">
        <v>82</v>
      </c>
      <c r="G43" s="445">
        <v>77</v>
      </c>
      <c r="H43" s="445">
        <v>73</v>
      </c>
      <c r="I43" s="445">
        <v>68</v>
      </c>
      <c r="J43" s="445">
        <v>69</v>
      </c>
      <c r="K43" s="445">
        <v>69</v>
      </c>
      <c r="L43" s="655">
        <v>81</v>
      </c>
      <c r="M43" s="658">
        <v>74</v>
      </c>
      <c r="N43" s="622">
        <v>87</v>
      </c>
      <c r="O43" s="445">
        <v>90</v>
      </c>
      <c r="P43" s="445">
        <v>93</v>
      </c>
      <c r="Q43" s="445">
        <v>93</v>
      </c>
      <c r="R43" s="617">
        <f t="shared" si="3"/>
        <v>1039</v>
      </c>
      <c r="S43" s="619">
        <f t="shared" si="6"/>
        <v>79.92307692307692</v>
      </c>
      <c r="T43" s="617">
        <f t="shared" si="7"/>
        <v>19</v>
      </c>
      <c r="U43" s="445"/>
      <c r="V43" s="445"/>
    </row>
    <row r="44" spans="1:22" ht="29.25" thickBot="1" x14ac:dyDescent="0.45">
      <c r="A44" s="441">
        <v>41</v>
      </c>
      <c r="B44" s="654"/>
      <c r="C44" s="643">
        <v>15</v>
      </c>
      <c r="D44" s="643" t="s">
        <v>17</v>
      </c>
      <c r="E44" s="445">
        <v>82</v>
      </c>
      <c r="F44" s="445">
        <v>68</v>
      </c>
      <c r="G44" s="445">
        <v>64</v>
      </c>
      <c r="H44" s="445">
        <v>67</v>
      </c>
      <c r="I44" s="445">
        <v>68</v>
      </c>
      <c r="J44" s="445">
        <v>62</v>
      </c>
      <c r="K44" s="445">
        <v>71</v>
      </c>
      <c r="L44" s="655">
        <v>80</v>
      </c>
      <c r="M44" s="658">
        <v>76</v>
      </c>
      <c r="N44" s="622">
        <v>87</v>
      </c>
      <c r="O44" s="445">
        <v>89</v>
      </c>
      <c r="P44" s="445">
        <v>84</v>
      </c>
      <c r="Q44" s="445">
        <v>82</v>
      </c>
      <c r="R44" s="617">
        <f t="shared" si="3"/>
        <v>980</v>
      </c>
      <c r="S44" s="619">
        <f t="shared" si="6"/>
        <v>75.384615384615387</v>
      </c>
      <c r="T44" s="617">
        <f t="shared" si="7"/>
        <v>30</v>
      </c>
      <c r="U44" s="445"/>
      <c r="V44" s="445"/>
    </row>
    <row r="45" spans="1:22" ht="29.25" thickBot="1" x14ac:dyDescent="0.45">
      <c r="A45" s="441">
        <v>42</v>
      </c>
      <c r="B45" s="654"/>
      <c r="C45" s="643">
        <v>12</v>
      </c>
      <c r="D45" s="643" t="s">
        <v>20</v>
      </c>
      <c r="E45" s="445">
        <v>92</v>
      </c>
      <c r="F45" s="445">
        <v>73</v>
      </c>
      <c r="G45" s="445">
        <v>90</v>
      </c>
      <c r="H45" s="445">
        <v>63</v>
      </c>
      <c r="I45" s="445">
        <v>63</v>
      </c>
      <c r="J45" s="445">
        <v>72</v>
      </c>
      <c r="K45" s="445">
        <v>84</v>
      </c>
      <c r="L45" s="655">
        <v>91</v>
      </c>
      <c r="M45" s="658">
        <v>94</v>
      </c>
      <c r="N45" s="622">
        <v>84</v>
      </c>
      <c r="O45" s="445">
        <v>94</v>
      </c>
      <c r="P45" s="445">
        <v>88</v>
      </c>
      <c r="Q45" s="445">
        <v>91</v>
      </c>
      <c r="R45" s="617">
        <f t="shared" si="3"/>
        <v>1079</v>
      </c>
      <c r="S45" s="619">
        <f t="shared" si="6"/>
        <v>83</v>
      </c>
      <c r="T45" s="617">
        <f t="shared" si="7"/>
        <v>15</v>
      </c>
      <c r="U45" s="445"/>
      <c r="V45" s="445"/>
    </row>
    <row r="46" spans="1:22" ht="29.25" thickBot="1" x14ac:dyDescent="0.45">
      <c r="A46" s="441">
        <v>43</v>
      </c>
      <c r="B46" s="654"/>
      <c r="C46" s="643">
        <v>15</v>
      </c>
      <c r="D46" s="643" t="s">
        <v>17</v>
      </c>
      <c r="E46" s="445">
        <v>89</v>
      </c>
      <c r="F46" s="445">
        <v>68</v>
      </c>
      <c r="G46" s="445">
        <v>80</v>
      </c>
      <c r="H46" s="445">
        <v>74</v>
      </c>
      <c r="I46" s="445">
        <v>70</v>
      </c>
      <c r="J46" s="445">
        <v>70</v>
      </c>
      <c r="K46" s="445">
        <v>59</v>
      </c>
      <c r="L46" s="655">
        <v>82</v>
      </c>
      <c r="M46" s="658">
        <v>75</v>
      </c>
      <c r="N46" s="622">
        <v>90</v>
      </c>
      <c r="O46" s="445">
        <v>83</v>
      </c>
      <c r="P46" s="445">
        <v>93</v>
      </c>
      <c r="Q46" s="445">
        <v>84</v>
      </c>
      <c r="R46" s="617">
        <f t="shared" si="3"/>
        <v>1017</v>
      </c>
      <c r="S46" s="619">
        <f t="shared" si="6"/>
        <v>78.230769230769226</v>
      </c>
      <c r="T46" s="617">
        <f t="shared" si="7"/>
        <v>22</v>
      </c>
      <c r="U46" s="445"/>
      <c r="V46" s="445"/>
    </row>
    <row r="47" spans="1:22" ht="29.25" thickBot="1" x14ac:dyDescent="0.45">
      <c r="A47" s="441">
        <v>44</v>
      </c>
      <c r="B47" s="654"/>
      <c r="C47" s="643">
        <v>15</v>
      </c>
      <c r="D47" s="643" t="s">
        <v>17</v>
      </c>
      <c r="E47" s="445">
        <v>84</v>
      </c>
      <c r="F47" s="445">
        <v>90</v>
      </c>
      <c r="G47" s="445">
        <v>63</v>
      </c>
      <c r="H47" s="445">
        <v>57</v>
      </c>
      <c r="I47" s="445">
        <v>65</v>
      </c>
      <c r="J47" s="445">
        <v>60</v>
      </c>
      <c r="K47" s="445">
        <v>74</v>
      </c>
      <c r="L47" s="655">
        <v>76</v>
      </c>
      <c r="M47" s="658">
        <v>74</v>
      </c>
      <c r="N47" s="622">
        <v>86</v>
      </c>
      <c r="O47" s="445">
        <v>91</v>
      </c>
      <c r="P47" s="445">
        <v>94</v>
      </c>
      <c r="Q47" s="445">
        <v>93</v>
      </c>
      <c r="R47" s="617">
        <f t="shared" si="3"/>
        <v>1007</v>
      </c>
      <c r="S47" s="619">
        <f t="shared" si="6"/>
        <v>77.461538461538467</v>
      </c>
      <c r="T47" s="617">
        <f t="shared" si="7"/>
        <v>27</v>
      </c>
      <c r="U47" s="445"/>
      <c r="V47" s="445"/>
    </row>
    <row r="48" spans="1:22" ht="29.25" thickBot="1" x14ac:dyDescent="0.45">
      <c r="A48" s="441">
        <v>45</v>
      </c>
      <c r="B48" s="654"/>
      <c r="C48" s="643">
        <v>15</v>
      </c>
      <c r="D48" s="643" t="s">
        <v>20</v>
      </c>
      <c r="E48" s="445">
        <v>75</v>
      </c>
      <c r="F48" s="445">
        <v>52</v>
      </c>
      <c r="G48" s="445">
        <v>76</v>
      </c>
      <c r="H48" s="445">
        <v>63</v>
      </c>
      <c r="I48" s="445">
        <v>53</v>
      </c>
      <c r="J48" s="445">
        <v>43</v>
      </c>
      <c r="K48" s="445">
        <v>50</v>
      </c>
      <c r="L48" s="655">
        <v>65</v>
      </c>
      <c r="M48" s="658">
        <v>64</v>
      </c>
      <c r="N48" s="622">
        <v>75</v>
      </c>
      <c r="O48" s="445">
        <v>68</v>
      </c>
      <c r="P48" s="445">
        <v>90</v>
      </c>
      <c r="Q48" s="445">
        <v>82</v>
      </c>
      <c r="R48" s="617">
        <f t="shared" si="3"/>
        <v>856</v>
      </c>
      <c r="S48" s="619">
        <f t="shared" si="6"/>
        <v>65.84615384615384</v>
      </c>
      <c r="T48" s="617">
        <f t="shared" si="7"/>
        <v>41</v>
      </c>
      <c r="U48" s="445"/>
      <c r="V48" s="445"/>
    </row>
    <row r="49" spans="1:22" ht="29.25" thickBot="1" x14ac:dyDescent="0.45">
      <c r="A49" s="441">
        <v>47</v>
      </c>
      <c r="B49" s="654"/>
      <c r="C49" s="643">
        <v>15</v>
      </c>
      <c r="D49" s="643" t="s">
        <v>20</v>
      </c>
      <c r="E49" s="445">
        <v>84</v>
      </c>
      <c r="F49" s="445">
        <v>79</v>
      </c>
      <c r="G49" s="445">
        <v>84</v>
      </c>
      <c r="H49" s="445">
        <v>72</v>
      </c>
      <c r="I49" s="445">
        <v>72</v>
      </c>
      <c r="J49" s="445">
        <v>80</v>
      </c>
      <c r="K49" s="445">
        <v>80</v>
      </c>
      <c r="L49" s="655">
        <v>87</v>
      </c>
      <c r="M49" s="658">
        <v>84</v>
      </c>
      <c r="N49" s="622">
        <v>86</v>
      </c>
      <c r="O49" s="445">
        <v>97</v>
      </c>
      <c r="P49" s="445">
        <v>92</v>
      </c>
      <c r="Q49" s="445">
        <v>96</v>
      </c>
      <c r="R49" s="617">
        <f t="shared" si="3"/>
        <v>1093</v>
      </c>
      <c r="S49" s="619">
        <f t="shared" si="6"/>
        <v>84.07692307692308</v>
      </c>
      <c r="T49" s="617">
        <f t="shared" si="7"/>
        <v>12</v>
      </c>
      <c r="U49" s="445"/>
      <c r="V49" s="445"/>
    </row>
    <row r="50" spans="1:22" ht="29.25" thickBot="1" x14ac:dyDescent="0.45">
      <c r="A50" s="441">
        <v>48</v>
      </c>
      <c r="B50" s="654"/>
      <c r="C50" s="643">
        <v>15</v>
      </c>
      <c r="D50" s="643" t="s">
        <v>17</v>
      </c>
      <c r="E50" s="445"/>
      <c r="F50" s="445"/>
      <c r="G50" s="445"/>
      <c r="H50" s="445"/>
      <c r="I50" s="445"/>
      <c r="J50" s="445"/>
      <c r="K50" s="445"/>
      <c r="L50" s="655"/>
      <c r="M50" s="658" t="s">
        <v>76</v>
      </c>
      <c r="N50" s="622"/>
      <c r="O50" s="445"/>
      <c r="P50" s="445"/>
      <c r="Q50" s="445"/>
      <c r="R50" s="617">
        <f t="shared" si="3"/>
        <v>0</v>
      </c>
      <c r="S50" s="619"/>
      <c r="T50" s="617"/>
      <c r="U50" s="445"/>
      <c r="V50" s="445"/>
    </row>
    <row r="51" spans="1:22" ht="29.25" thickBot="1" x14ac:dyDescent="0.45">
      <c r="A51" s="441">
        <v>49</v>
      </c>
      <c r="B51" s="654"/>
      <c r="C51" s="643">
        <v>15</v>
      </c>
      <c r="D51" s="643" t="s">
        <v>17</v>
      </c>
      <c r="E51" s="445">
        <v>74</v>
      </c>
      <c r="F51" s="445">
        <v>61</v>
      </c>
      <c r="G51" s="445">
        <v>66</v>
      </c>
      <c r="H51" s="445">
        <v>64</v>
      </c>
      <c r="I51" s="445">
        <v>67</v>
      </c>
      <c r="J51" s="445">
        <v>65</v>
      </c>
      <c r="K51" s="445">
        <v>85</v>
      </c>
      <c r="L51" s="655">
        <v>89</v>
      </c>
      <c r="M51" s="658">
        <v>86</v>
      </c>
      <c r="N51" s="622">
        <v>89</v>
      </c>
      <c r="O51" s="445">
        <v>90</v>
      </c>
      <c r="P51" s="445">
        <v>92</v>
      </c>
      <c r="Q51" s="445">
        <v>89</v>
      </c>
      <c r="R51" s="617">
        <f t="shared" si="3"/>
        <v>1017</v>
      </c>
      <c r="S51" s="619">
        <f>AVERAGE(E51:Q51)</f>
        <v>78.230769230769226</v>
      </c>
      <c r="T51" s="617">
        <f>RANK(S51,$S$4:$S$53)</f>
        <v>22</v>
      </c>
      <c r="U51" s="445"/>
      <c r="V51" s="445"/>
    </row>
    <row r="52" spans="1:22" ht="29.25" thickBot="1" x14ac:dyDescent="0.45">
      <c r="A52" s="441">
        <v>50</v>
      </c>
      <c r="B52" s="654"/>
      <c r="C52" s="643">
        <v>16</v>
      </c>
      <c r="D52" s="643" t="s">
        <v>17</v>
      </c>
      <c r="E52" s="445">
        <v>75</v>
      </c>
      <c r="F52" s="445">
        <v>49</v>
      </c>
      <c r="G52" s="445">
        <v>79</v>
      </c>
      <c r="H52" s="445">
        <v>55</v>
      </c>
      <c r="I52" s="445">
        <v>52</v>
      </c>
      <c r="J52" s="445">
        <v>45</v>
      </c>
      <c r="K52" s="445">
        <v>52</v>
      </c>
      <c r="L52" s="655">
        <v>66</v>
      </c>
      <c r="M52" s="658">
        <v>70</v>
      </c>
      <c r="N52" s="622">
        <v>78</v>
      </c>
      <c r="O52" s="445">
        <v>80</v>
      </c>
      <c r="P52" s="445">
        <v>90</v>
      </c>
      <c r="Q52" s="445">
        <v>85</v>
      </c>
      <c r="R52" s="617">
        <f>SUM(E52:Q52)</f>
        <v>876</v>
      </c>
      <c r="S52" s="619">
        <f>AVERAGE(E52:Q52)</f>
        <v>67.384615384615387</v>
      </c>
      <c r="T52" s="617">
        <f>RANK(S52,$S$4:$S$53)</f>
        <v>39</v>
      </c>
      <c r="U52" s="445"/>
      <c r="V52" s="445"/>
    </row>
    <row r="53" spans="1:22" ht="29.25" thickBot="1" x14ac:dyDescent="0.45">
      <c r="A53" s="441">
        <v>51</v>
      </c>
      <c r="B53" s="654"/>
      <c r="C53" s="643">
        <v>14</v>
      </c>
      <c r="D53" s="643" t="s">
        <v>20</v>
      </c>
      <c r="E53" s="445">
        <v>93</v>
      </c>
      <c r="F53" s="445">
        <v>95</v>
      </c>
      <c r="G53" s="445">
        <v>93</v>
      </c>
      <c r="H53" s="445">
        <v>96</v>
      </c>
      <c r="I53" s="445">
        <v>97</v>
      </c>
      <c r="J53" s="445">
        <v>98</v>
      </c>
      <c r="K53" s="445">
        <v>98</v>
      </c>
      <c r="L53" s="655">
        <v>100</v>
      </c>
      <c r="M53" s="658">
        <v>100</v>
      </c>
      <c r="N53" s="622">
        <v>99</v>
      </c>
      <c r="O53" s="445">
        <v>100</v>
      </c>
      <c r="P53" s="445">
        <v>99</v>
      </c>
      <c r="Q53" s="631">
        <v>99</v>
      </c>
      <c r="R53" s="617">
        <f t="shared" si="3"/>
        <v>1267</v>
      </c>
      <c r="S53" s="619">
        <f>AVERAGE(E53:Q53)</f>
        <v>97.461538461538467</v>
      </c>
      <c r="T53" s="617">
        <f>RANK(S53,$S$4:$S$53)</f>
        <v>2</v>
      </c>
      <c r="U53" s="445"/>
      <c r="V53" s="445"/>
    </row>
    <row r="54" spans="1:22" ht="16.5" thickBot="1" x14ac:dyDescent="0.3">
      <c r="A54" s="95">
        <v>52</v>
      </c>
      <c r="B54" s="89"/>
      <c r="C54" s="88"/>
      <c r="D54" s="88"/>
      <c r="E54" s="60"/>
      <c r="F54" s="60"/>
      <c r="G54" s="288"/>
      <c r="H54" s="60"/>
      <c r="I54" s="60"/>
      <c r="J54" s="60"/>
      <c r="K54" s="60"/>
      <c r="L54" s="288"/>
      <c r="M54" s="60"/>
      <c r="N54" s="60"/>
      <c r="O54" s="288"/>
      <c r="P54" s="60"/>
      <c r="Q54" s="60"/>
      <c r="R54" s="86"/>
      <c r="S54" s="87"/>
      <c r="T54" s="86"/>
      <c r="U54" s="60"/>
      <c r="V54" s="60"/>
    </row>
    <row r="55" spans="1:22" ht="16.5" thickBot="1" x14ac:dyDescent="0.3">
      <c r="A55" s="95">
        <v>53</v>
      </c>
      <c r="B55" s="91"/>
      <c r="C55" s="96"/>
      <c r="D55" s="96"/>
      <c r="E55" s="60"/>
      <c r="F55" s="60"/>
      <c r="G55" s="288"/>
      <c r="H55" s="60"/>
      <c r="I55" s="60"/>
      <c r="J55" s="60"/>
      <c r="K55" s="60"/>
      <c r="L55" s="288"/>
      <c r="M55" s="60"/>
      <c r="N55" s="60"/>
      <c r="O55" s="288"/>
      <c r="P55" s="60"/>
      <c r="Q55" s="60"/>
      <c r="R55" s="86"/>
      <c r="S55" s="87"/>
      <c r="T55" s="86"/>
      <c r="U55" s="60"/>
      <c r="V55" s="60"/>
    </row>
    <row r="56" spans="1:22" ht="16.5" thickBot="1" x14ac:dyDescent="0.3">
      <c r="A56" s="95">
        <v>54</v>
      </c>
      <c r="B56" s="92"/>
      <c r="C56" s="72"/>
      <c r="D56" s="72"/>
      <c r="E56" s="60"/>
      <c r="F56" s="60"/>
      <c r="G56" s="288"/>
      <c r="H56" s="60"/>
      <c r="I56" s="60"/>
      <c r="J56" s="60"/>
      <c r="K56" s="60"/>
      <c r="L56" s="288"/>
      <c r="M56" s="60"/>
      <c r="N56" s="60"/>
      <c r="O56" s="288"/>
      <c r="P56" s="60"/>
      <c r="Q56" s="60"/>
      <c r="R56" s="86"/>
      <c r="S56" s="87"/>
      <c r="T56" s="86"/>
      <c r="U56" s="60"/>
      <c r="V56" s="60"/>
    </row>
    <row r="57" spans="1:22" ht="16.5" thickBot="1" x14ac:dyDescent="0.3">
      <c r="A57" s="95">
        <v>55</v>
      </c>
      <c r="B57" s="92"/>
      <c r="C57" s="72"/>
      <c r="D57" s="72"/>
      <c r="E57" s="60"/>
      <c r="F57" s="60"/>
      <c r="G57" s="288"/>
      <c r="H57" s="60"/>
      <c r="I57" s="60"/>
      <c r="J57" s="60"/>
      <c r="K57" s="60"/>
      <c r="L57" s="288"/>
      <c r="M57" s="60"/>
      <c r="N57" s="60"/>
      <c r="O57" s="288"/>
      <c r="P57" s="60"/>
      <c r="Q57" s="60"/>
      <c r="R57" s="86"/>
      <c r="S57" s="87"/>
      <c r="T57" s="86"/>
      <c r="U57" s="60"/>
      <c r="V57" s="60"/>
    </row>
    <row r="58" spans="1:22" ht="15.75" x14ac:dyDescent="0.25">
      <c r="A58" s="95">
        <v>56</v>
      </c>
      <c r="B58" s="92"/>
      <c r="C58" s="72"/>
      <c r="D58" s="72"/>
      <c r="E58" s="60"/>
      <c r="F58" s="60"/>
      <c r="G58" s="288"/>
      <c r="H58" s="60"/>
      <c r="I58" s="60"/>
      <c r="J58" s="60"/>
      <c r="K58" s="60"/>
      <c r="L58" s="288"/>
      <c r="M58" s="60"/>
      <c r="N58" s="60"/>
      <c r="O58" s="288"/>
      <c r="P58" s="60"/>
      <c r="Q58" s="60"/>
      <c r="R58" s="65"/>
      <c r="S58" s="100"/>
      <c r="T58" s="65"/>
      <c r="U58" s="60"/>
      <c r="V58" s="60"/>
    </row>
  </sheetData>
  <mergeCells count="2">
    <mergeCell ref="A1:V1"/>
    <mergeCell ref="A2:V2"/>
  </mergeCells>
  <pageMargins left="0.7" right="0.7" top="0.75" bottom="0.75" header="0.3" footer="0.3"/>
  <pageSetup paperSize="9" scale="5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zoomScaleNormal="100" workbookViewId="0">
      <selection activeCell="B4" sqref="B4:B53"/>
    </sheetView>
  </sheetViews>
  <sheetFormatPr defaultRowHeight="15" x14ac:dyDescent="0.25"/>
  <cols>
    <col min="1" max="1" width="5.7109375" customWidth="1"/>
    <col min="2" max="2" width="35.28515625" customWidth="1"/>
    <col min="4" max="4" width="6.7109375" customWidth="1"/>
    <col min="5" max="5" width="12.28515625" customWidth="1"/>
    <col min="6" max="6" width="11" customWidth="1"/>
    <col min="8" max="8" width="12" customWidth="1"/>
  </cols>
  <sheetData>
    <row r="1" spans="1:9" ht="18.75" x14ac:dyDescent="0.25">
      <c r="A1" s="980" t="s">
        <v>44</v>
      </c>
      <c r="B1" s="981"/>
      <c r="C1" s="981"/>
      <c r="D1" s="981"/>
      <c r="E1" s="981"/>
      <c r="F1" s="981"/>
      <c r="G1" s="981"/>
      <c r="H1" s="981"/>
      <c r="I1" s="59"/>
    </row>
    <row r="2" spans="1:9" ht="18" x14ac:dyDescent="0.25">
      <c r="A2" s="867" t="s">
        <v>100</v>
      </c>
      <c r="B2" s="868"/>
      <c r="C2" s="868"/>
      <c r="D2" s="868"/>
      <c r="E2" s="868"/>
      <c r="F2" s="868"/>
      <c r="G2" s="868"/>
      <c r="H2" s="868"/>
      <c r="I2" s="59"/>
    </row>
    <row r="3" spans="1:9" ht="57" thickBot="1" x14ac:dyDescent="0.3">
      <c r="A3" s="666" t="s">
        <v>97</v>
      </c>
      <c r="B3" s="667" t="s">
        <v>1</v>
      </c>
      <c r="C3" s="668" t="s">
        <v>2</v>
      </c>
      <c r="D3" s="667" t="s">
        <v>3</v>
      </c>
      <c r="E3" s="669" t="s">
        <v>35</v>
      </c>
      <c r="F3" s="669" t="s">
        <v>36</v>
      </c>
      <c r="G3" s="669" t="s">
        <v>13</v>
      </c>
      <c r="H3" s="670" t="s">
        <v>14</v>
      </c>
      <c r="I3" s="59"/>
    </row>
    <row r="4" spans="1:9" ht="18.75" x14ac:dyDescent="0.3">
      <c r="A4" s="671">
        <v>1</v>
      </c>
      <c r="B4" s="727"/>
      <c r="C4" s="728">
        <v>15</v>
      </c>
      <c r="D4" s="728" t="s">
        <v>17</v>
      </c>
      <c r="E4" s="673">
        <v>79.92307692307692</v>
      </c>
      <c r="F4" s="673">
        <v>77.538461538461533</v>
      </c>
      <c r="G4" s="673">
        <f>AVERAGE(E4:F4)</f>
        <v>78.730769230769226</v>
      </c>
      <c r="H4" s="674">
        <f>RANK(G4,$G$4:$G$53)</f>
        <v>20</v>
      </c>
      <c r="I4" s="59"/>
    </row>
    <row r="5" spans="1:9" ht="18.75" x14ac:dyDescent="0.3">
      <c r="A5" s="675">
        <v>2</v>
      </c>
      <c r="B5" s="727"/>
      <c r="C5" s="728">
        <v>14</v>
      </c>
      <c r="D5" s="728" t="s">
        <v>17</v>
      </c>
      <c r="E5" s="673">
        <v>64.769230769230774</v>
      </c>
      <c r="F5" s="673">
        <v>65.307692307692307</v>
      </c>
      <c r="G5" s="673">
        <f t="shared" ref="G5:G53" si="0">AVERAGE(E5:F5)</f>
        <v>65.038461538461547</v>
      </c>
      <c r="H5" s="674">
        <f t="shared" ref="H5:H53" si="1">RANK(G5,$G$4:$G$53)</f>
        <v>42</v>
      </c>
      <c r="I5" s="59"/>
    </row>
    <row r="6" spans="1:9" ht="19.5" thickBot="1" x14ac:dyDescent="0.35">
      <c r="A6" s="675">
        <v>3</v>
      </c>
      <c r="B6" s="727"/>
      <c r="C6" s="728">
        <v>14</v>
      </c>
      <c r="D6" s="728" t="s">
        <v>20</v>
      </c>
      <c r="E6" s="673">
        <v>84.384615384615387</v>
      </c>
      <c r="F6" s="673">
        <v>90.692307692307693</v>
      </c>
      <c r="G6" s="673">
        <f t="shared" si="0"/>
        <v>87.538461538461547</v>
      </c>
      <c r="H6" s="674">
        <f t="shared" si="1"/>
        <v>5</v>
      </c>
      <c r="I6" s="59"/>
    </row>
    <row r="7" spans="1:9" ht="18.75" x14ac:dyDescent="0.3">
      <c r="A7" s="671">
        <v>4</v>
      </c>
      <c r="B7" s="727"/>
      <c r="C7" s="728">
        <v>15</v>
      </c>
      <c r="D7" s="728" t="s">
        <v>20</v>
      </c>
      <c r="E7" s="673">
        <v>74.769230769230774</v>
      </c>
      <c r="F7" s="673">
        <v>73.230769230769226</v>
      </c>
      <c r="G7" s="673">
        <f t="shared" si="0"/>
        <v>74</v>
      </c>
      <c r="H7" s="674">
        <f t="shared" si="1"/>
        <v>29</v>
      </c>
      <c r="I7" s="59"/>
    </row>
    <row r="8" spans="1:9" ht="18.75" x14ac:dyDescent="0.3">
      <c r="A8" s="675">
        <v>5</v>
      </c>
      <c r="B8" s="727"/>
      <c r="C8" s="728">
        <v>14</v>
      </c>
      <c r="D8" s="728" t="s">
        <v>20</v>
      </c>
      <c r="E8" s="673">
        <v>82.538461538461533</v>
      </c>
      <c r="F8" s="673">
        <v>87.615384615384613</v>
      </c>
      <c r="G8" s="673">
        <f t="shared" si="0"/>
        <v>85.076923076923066</v>
      </c>
      <c r="H8" s="674">
        <f t="shared" si="1"/>
        <v>8</v>
      </c>
      <c r="I8" s="59"/>
    </row>
    <row r="9" spans="1:9" ht="19.5" thickBot="1" x14ac:dyDescent="0.35">
      <c r="A9" s="675">
        <v>6</v>
      </c>
      <c r="B9" s="727"/>
      <c r="C9" s="728">
        <v>15</v>
      </c>
      <c r="D9" s="728" t="s">
        <v>17</v>
      </c>
      <c r="E9" s="673">
        <v>57.153846153846153</v>
      </c>
      <c r="F9" s="673">
        <v>60.230769230769234</v>
      </c>
      <c r="G9" s="673">
        <f t="shared" si="0"/>
        <v>58.692307692307693</v>
      </c>
      <c r="H9" s="674">
        <f t="shared" si="1"/>
        <v>50</v>
      </c>
      <c r="I9" s="59"/>
    </row>
    <row r="10" spans="1:9" ht="18.75" x14ac:dyDescent="0.3">
      <c r="A10" s="671">
        <v>7</v>
      </c>
      <c r="B10" s="727"/>
      <c r="C10" s="728">
        <v>15</v>
      </c>
      <c r="D10" s="728" t="s">
        <v>17</v>
      </c>
      <c r="E10" s="673">
        <v>65.15384615384616</v>
      </c>
      <c r="F10" s="673">
        <v>72.461538461538467</v>
      </c>
      <c r="G10" s="673">
        <f t="shared" si="0"/>
        <v>68.807692307692321</v>
      </c>
      <c r="H10" s="674">
        <f t="shared" si="1"/>
        <v>39</v>
      </c>
      <c r="I10" s="59"/>
    </row>
    <row r="11" spans="1:9" ht="18.75" x14ac:dyDescent="0.3">
      <c r="A11" s="675">
        <v>8</v>
      </c>
      <c r="B11" s="727"/>
      <c r="C11" s="728">
        <v>14</v>
      </c>
      <c r="D11" s="728" t="s">
        <v>17</v>
      </c>
      <c r="E11" s="673">
        <v>79.615384615384613</v>
      </c>
      <c r="F11" s="673">
        <v>84.461538461538467</v>
      </c>
      <c r="G11" s="673">
        <f t="shared" si="0"/>
        <v>82.038461538461547</v>
      </c>
      <c r="H11" s="674">
        <f t="shared" si="1"/>
        <v>12</v>
      </c>
      <c r="I11" s="59"/>
    </row>
    <row r="12" spans="1:9" ht="19.5" thickBot="1" x14ac:dyDescent="0.35">
      <c r="A12" s="675">
        <v>9</v>
      </c>
      <c r="B12" s="727"/>
      <c r="C12" s="728">
        <v>14</v>
      </c>
      <c r="D12" s="728" t="s">
        <v>17</v>
      </c>
      <c r="E12" s="673">
        <v>74.92307692307692</v>
      </c>
      <c r="F12" s="673">
        <v>78.769230769230774</v>
      </c>
      <c r="G12" s="673">
        <f t="shared" si="0"/>
        <v>76.84615384615384</v>
      </c>
      <c r="H12" s="674">
        <f t="shared" si="1"/>
        <v>23</v>
      </c>
      <c r="I12" s="59"/>
    </row>
    <row r="13" spans="1:9" ht="18.75" x14ac:dyDescent="0.3">
      <c r="A13" s="671">
        <v>10</v>
      </c>
      <c r="B13" s="727"/>
      <c r="C13" s="728">
        <v>14</v>
      </c>
      <c r="D13" s="728" t="s">
        <v>20</v>
      </c>
      <c r="E13" s="673">
        <v>80.92307692307692</v>
      </c>
      <c r="F13" s="673">
        <v>81.84615384615384</v>
      </c>
      <c r="G13" s="673">
        <f t="shared" si="0"/>
        <v>81.384615384615387</v>
      </c>
      <c r="H13" s="674">
        <f t="shared" si="1"/>
        <v>14</v>
      </c>
      <c r="I13" s="59"/>
    </row>
    <row r="14" spans="1:9" ht="22.5" customHeight="1" x14ac:dyDescent="0.3">
      <c r="A14" s="675">
        <v>11</v>
      </c>
      <c r="B14" s="727"/>
      <c r="C14" s="728">
        <v>15</v>
      </c>
      <c r="D14" s="728" t="s">
        <v>20</v>
      </c>
      <c r="E14" s="673">
        <v>67.307692307692307</v>
      </c>
      <c r="F14" s="673">
        <v>71</v>
      </c>
      <c r="G14" s="673">
        <f t="shared" si="0"/>
        <v>69.15384615384616</v>
      </c>
      <c r="H14" s="674">
        <f t="shared" si="1"/>
        <v>38</v>
      </c>
      <c r="I14" s="59"/>
    </row>
    <row r="15" spans="1:9" ht="19.5" thickBot="1" x14ac:dyDescent="0.35">
      <c r="A15" s="675">
        <v>12</v>
      </c>
      <c r="B15" s="727"/>
      <c r="C15" s="728">
        <v>15</v>
      </c>
      <c r="D15" s="728" t="s">
        <v>20</v>
      </c>
      <c r="E15" s="673">
        <v>74.615384615384613</v>
      </c>
      <c r="F15" s="673">
        <v>75.84615384615384</v>
      </c>
      <c r="G15" s="673">
        <f t="shared" si="0"/>
        <v>75.230769230769226</v>
      </c>
      <c r="H15" s="674">
        <f t="shared" si="1"/>
        <v>26</v>
      </c>
      <c r="I15" s="59"/>
    </row>
    <row r="16" spans="1:9" ht="18.75" x14ac:dyDescent="0.3">
      <c r="A16" s="671">
        <v>13</v>
      </c>
      <c r="B16" s="727"/>
      <c r="C16" s="728">
        <v>14</v>
      </c>
      <c r="D16" s="728" t="s">
        <v>20</v>
      </c>
      <c r="E16" s="673">
        <v>96.07692307692308</v>
      </c>
      <c r="F16" s="673">
        <v>98.15384615384616</v>
      </c>
      <c r="G16" s="673">
        <f t="shared" si="0"/>
        <v>97.115384615384613</v>
      </c>
      <c r="H16" s="674">
        <f t="shared" si="1"/>
        <v>1</v>
      </c>
      <c r="I16" s="59"/>
    </row>
    <row r="17" spans="1:9" ht="18.75" x14ac:dyDescent="0.3">
      <c r="A17" s="675">
        <v>14</v>
      </c>
      <c r="B17" s="727"/>
      <c r="C17" s="728">
        <v>15</v>
      </c>
      <c r="D17" s="728" t="s">
        <v>20</v>
      </c>
      <c r="E17" s="673">
        <v>81.461538461538467</v>
      </c>
      <c r="F17" s="673">
        <v>85.15384615384616</v>
      </c>
      <c r="G17" s="673">
        <f t="shared" si="0"/>
        <v>83.307692307692321</v>
      </c>
      <c r="H17" s="674">
        <f t="shared" si="1"/>
        <v>9</v>
      </c>
      <c r="I17" s="59"/>
    </row>
    <row r="18" spans="1:9" ht="19.5" thickBot="1" x14ac:dyDescent="0.35">
      <c r="A18" s="675">
        <v>15</v>
      </c>
      <c r="B18" s="727"/>
      <c r="C18" s="728">
        <v>15</v>
      </c>
      <c r="D18" s="728" t="s">
        <v>20</v>
      </c>
      <c r="E18" s="673">
        <v>63.384615384615387</v>
      </c>
      <c r="F18" s="673">
        <v>66.15384615384616</v>
      </c>
      <c r="G18" s="673">
        <f t="shared" si="0"/>
        <v>64.769230769230774</v>
      </c>
      <c r="H18" s="674">
        <f t="shared" si="1"/>
        <v>44</v>
      </c>
      <c r="I18" s="59"/>
    </row>
    <row r="19" spans="1:9" ht="18.75" x14ac:dyDescent="0.3">
      <c r="A19" s="671">
        <v>16</v>
      </c>
      <c r="B19" s="727"/>
      <c r="C19" s="728">
        <v>15</v>
      </c>
      <c r="D19" s="728" t="s">
        <v>17</v>
      </c>
      <c r="E19" s="673">
        <v>93.538461538461533</v>
      </c>
      <c r="F19" s="673">
        <v>97.07692307692308</v>
      </c>
      <c r="G19" s="673">
        <f t="shared" si="0"/>
        <v>95.307692307692307</v>
      </c>
      <c r="H19" s="674">
        <f t="shared" si="1"/>
        <v>4</v>
      </c>
      <c r="I19" s="59"/>
    </row>
    <row r="20" spans="1:9" ht="18.75" x14ac:dyDescent="0.3">
      <c r="A20" s="675">
        <v>17</v>
      </c>
      <c r="B20" s="727"/>
      <c r="C20" s="728">
        <v>16</v>
      </c>
      <c r="D20" s="728" t="s">
        <v>17</v>
      </c>
      <c r="E20" s="673">
        <v>74.07692307692308</v>
      </c>
      <c r="F20" s="673">
        <v>82.07692307692308</v>
      </c>
      <c r="G20" s="673">
        <f t="shared" si="0"/>
        <v>78.07692307692308</v>
      </c>
      <c r="H20" s="674">
        <f t="shared" si="1"/>
        <v>22</v>
      </c>
      <c r="I20" s="59"/>
    </row>
    <row r="21" spans="1:9" ht="19.5" thickBot="1" x14ac:dyDescent="0.35">
      <c r="A21" s="675">
        <v>18</v>
      </c>
      <c r="B21" s="727"/>
      <c r="C21" s="728">
        <v>15</v>
      </c>
      <c r="D21" s="728" t="s">
        <v>17</v>
      </c>
      <c r="E21" s="673">
        <v>59.692307692307693</v>
      </c>
      <c r="F21" s="673">
        <v>59.692307692307693</v>
      </c>
      <c r="G21" s="673">
        <f t="shared" si="0"/>
        <v>59.692307692307693</v>
      </c>
      <c r="H21" s="674">
        <f t="shared" si="1"/>
        <v>49</v>
      </c>
      <c r="I21" s="59"/>
    </row>
    <row r="22" spans="1:9" ht="18.75" x14ac:dyDescent="0.3">
      <c r="A22" s="671">
        <v>19</v>
      </c>
      <c r="B22" s="727"/>
      <c r="C22" s="728">
        <v>14</v>
      </c>
      <c r="D22" s="728" t="s">
        <v>20</v>
      </c>
      <c r="E22" s="673">
        <v>75.615384615384613</v>
      </c>
      <c r="F22" s="673">
        <v>82.230769230769226</v>
      </c>
      <c r="G22" s="673">
        <f t="shared" si="0"/>
        <v>78.92307692307692</v>
      </c>
      <c r="H22" s="674">
        <f t="shared" si="1"/>
        <v>18</v>
      </c>
      <c r="I22" s="59"/>
    </row>
    <row r="23" spans="1:9" ht="18.75" x14ac:dyDescent="0.3">
      <c r="A23" s="675">
        <v>20</v>
      </c>
      <c r="B23" s="727"/>
      <c r="C23" s="728">
        <v>14</v>
      </c>
      <c r="D23" s="728" t="s">
        <v>20</v>
      </c>
      <c r="E23" s="673">
        <v>64.92307692307692</v>
      </c>
      <c r="F23" s="673"/>
      <c r="G23" s="673">
        <f t="shared" si="0"/>
        <v>64.92307692307692</v>
      </c>
      <c r="H23" s="674">
        <f t="shared" si="1"/>
        <v>43</v>
      </c>
      <c r="I23" s="59"/>
    </row>
    <row r="24" spans="1:9" ht="19.5" thickBot="1" x14ac:dyDescent="0.35">
      <c r="A24" s="675">
        <v>21</v>
      </c>
      <c r="B24" s="727"/>
      <c r="C24" s="728">
        <v>15</v>
      </c>
      <c r="D24" s="728" t="s">
        <v>20</v>
      </c>
      <c r="E24" s="673">
        <v>67.692307692307693</v>
      </c>
      <c r="F24" s="673">
        <v>72.384615384615387</v>
      </c>
      <c r="G24" s="673">
        <f t="shared" si="0"/>
        <v>70.038461538461547</v>
      </c>
      <c r="H24" s="674">
        <f t="shared" si="1"/>
        <v>35</v>
      </c>
      <c r="I24" s="59"/>
    </row>
    <row r="25" spans="1:9" ht="18.75" x14ac:dyDescent="0.3">
      <c r="A25" s="671">
        <v>22</v>
      </c>
      <c r="B25" s="727"/>
      <c r="C25" s="728">
        <v>15</v>
      </c>
      <c r="D25" s="728" t="s">
        <v>20</v>
      </c>
      <c r="E25" s="673">
        <v>84.384615384615387</v>
      </c>
      <c r="F25" s="673">
        <v>86.92307692307692</v>
      </c>
      <c r="G25" s="673">
        <f t="shared" si="0"/>
        <v>85.65384615384616</v>
      </c>
      <c r="H25" s="674">
        <f t="shared" si="1"/>
        <v>7</v>
      </c>
      <c r="I25" s="59"/>
    </row>
    <row r="26" spans="1:9" ht="18.75" x14ac:dyDescent="0.3">
      <c r="A26" s="675">
        <v>23</v>
      </c>
      <c r="B26" s="727"/>
      <c r="C26" s="728">
        <v>15</v>
      </c>
      <c r="D26" s="728" t="s">
        <v>17</v>
      </c>
      <c r="E26" s="673">
        <v>60.92307692307692</v>
      </c>
      <c r="F26" s="673">
        <v>65.461538461538467</v>
      </c>
      <c r="G26" s="673">
        <f t="shared" si="0"/>
        <v>63.192307692307693</v>
      </c>
      <c r="H26" s="674">
        <f t="shared" si="1"/>
        <v>48</v>
      </c>
      <c r="I26" s="59"/>
    </row>
    <row r="27" spans="1:9" ht="19.5" thickBot="1" x14ac:dyDescent="0.35">
      <c r="A27" s="675">
        <v>24</v>
      </c>
      <c r="B27" s="727"/>
      <c r="C27" s="728">
        <v>17</v>
      </c>
      <c r="D27" s="728" t="s">
        <v>20</v>
      </c>
      <c r="E27" s="673">
        <v>94.15384615384616</v>
      </c>
      <c r="F27" s="673">
        <v>96.615384615384613</v>
      </c>
      <c r="G27" s="673">
        <f t="shared" si="0"/>
        <v>95.384615384615387</v>
      </c>
      <c r="H27" s="674">
        <f t="shared" si="1"/>
        <v>3</v>
      </c>
      <c r="I27" s="59"/>
    </row>
    <row r="28" spans="1:9" ht="18.75" x14ac:dyDescent="0.3">
      <c r="A28" s="671">
        <v>25</v>
      </c>
      <c r="B28" s="727"/>
      <c r="C28" s="728">
        <v>15</v>
      </c>
      <c r="D28" s="728" t="s">
        <v>17</v>
      </c>
      <c r="E28" s="673">
        <v>78.538461538461533</v>
      </c>
      <c r="F28" s="673">
        <v>78.692307692307693</v>
      </c>
      <c r="G28" s="673">
        <f t="shared" si="0"/>
        <v>78.615384615384613</v>
      </c>
      <c r="H28" s="674">
        <f t="shared" si="1"/>
        <v>21</v>
      </c>
      <c r="I28" s="59"/>
    </row>
    <row r="29" spans="1:9" ht="18.75" x14ac:dyDescent="0.3">
      <c r="A29" s="675">
        <v>26</v>
      </c>
      <c r="B29" s="727"/>
      <c r="C29" s="728">
        <v>14</v>
      </c>
      <c r="D29" s="728" t="s">
        <v>17</v>
      </c>
      <c r="E29" s="673">
        <v>80.461538461538467</v>
      </c>
      <c r="F29" s="673">
        <v>84</v>
      </c>
      <c r="G29" s="673">
        <f t="shared" si="0"/>
        <v>82.230769230769226</v>
      </c>
      <c r="H29" s="674">
        <f t="shared" si="1"/>
        <v>11</v>
      </c>
      <c r="I29" s="59"/>
    </row>
    <row r="30" spans="1:9" ht="19.5" thickBot="1" x14ac:dyDescent="0.35">
      <c r="A30" s="675">
        <v>27</v>
      </c>
      <c r="B30" s="727"/>
      <c r="C30" s="728">
        <v>14</v>
      </c>
      <c r="D30" s="728" t="s">
        <v>17</v>
      </c>
      <c r="E30" s="673">
        <v>67</v>
      </c>
      <c r="F30" s="673">
        <v>71.692307692307693</v>
      </c>
      <c r="G30" s="673">
        <f t="shared" si="0"/>
        <v>69.34615384615384</v>
      </c>
      <c r="H30" s="674">
        <f t="shared" si="1"/>
        <v>36</v>
      </c>
      <c r="I30" s="59"/>
    </row>
    <row r="31" spans="1:9" ht="18.75" x14ac:dyDescent="0.3">
      <c r="A31" s="671">
        <v>28</v>
      </c>
      <c r="B31" s="727"/>
      <c r="C31" s="728">
        <v>15</v>
      </c>
      <c r="D31" s="728" t="s">
        <v>20</v>
      </c>
      <c r="E31" s="673">
        <v>65.07692307692308</v>
      </c>
      <c r="F31" s="673">
        <v>61.92307692307692</v>
      </c>
      <c r="G31" s="673">
        <f t="shared" si="0"/>
        <v>63.5</v>
      </c>
      <c r="H31" s="674">
        <f t="shared" si="1"/>
        <v>47</v>
      </c>
      <c r="I31" s="59"/>
    </row>
    <row r="32" spans="1:9" ht="18.75" x14ac:dyDescent="0.3">
      <c r="A32" s="675">
        <v>29</v>
      </c>
      <c r="B32" s="727"/>
      <c r="C32" s="728">
        <v>14</v>
      </c>
      <c r="D32" s="728" t="s">
        <v>20</v>
      </c>
      <c r="E32" s="673">
        <v>72</v>
      </c>
      <c r="F32" s="673">
        <v>76</v>
      </c>
      <c r="G32" s="673">
        <f t="shared" si="0"/>
        <v>74</v>
      </c>
      <c r="H32" s="674">
        <f t="shared" si="1"/>
        <v>29</v>
      </c>
      <c r="I32" s="59"/>
    </row>
    <row r="33" spans="1:9" ht="19.5" thickBot="1" x14ac:dyDescent="0.35">
      <c r="A33" s="675">
        <v>30</v>
      </c>
      <c r="B33" s="729"/>
      <c r="C33" s="730">
        <v>14</v>
      </c>
      <c r="D33" s="730" t="s">
        <v>20</v>
      </c>
      <c r="E33" s="673">
        <v>70.230769230769226</v>
      </c>
      <c r="F33" s="673">
        <v>77.769230769230774</v>
      </c>
      <c r="G33" s="673">
        <f t="shared" si="0"/>
        <v>74</v>
      </c>
      <c r="H33" s="674">
        <f t="shared" si="1"/>
        <v>29</v>
      </c>
      <c r="I33" s="59"/>
    </row>
    <row r="34" spans="1:9" ht="18.75" x14ac:dyDescent="0.3">
      <c r="A34" s="671">
        <v>31</v>
      </c>
      <c r="B34" s="727"/>
      <c r="C34" s="728">
        <v>15</v>
      </c>
      <c r="D34" s="728" t="s">
        <v>20</v>
      </c>
      <c r="E34" s="673">
        <v>70.230769230769226</v>
      </c>
      <c r="F34" s="673">
        <v>74.461538461538467</v>
      </c>
      <c r="G34" s="673">
        <f t="shared" si="0"/>
        <v>72.34615384615384</v>
      </c>
      <c r="H34" s="674">
        <f t="shared" si="1"/>
        <v>32</v>
      </c>
      <c r="I34" s="59"/>
    </row>
    <row r="35" spans="1:9" ht="18.75" x14ac:dyDescent="0.3">
      <c r="A35" s="675">
        <v>32</v>
      </c>
      <c r="B35" s="727"/>
      <c r="C35" s="728">
        <v>15</v>
      </c>
      <c r="D35" s="728" t="s">
        <v>17</v>
      </c>
      <c r="E35" s="673">
        <v>78.92307692307692</v>
      </c>
      <c r="F35" s="673">
        <v>83.769230769230774</v>
      </c>
      <c r="G35" s="673">
        <f t="shared" si="0"/>
        <v>81.34615384615384</v>
      </c>
      <c r="H35" s="674">
        <f t="shared" si="1"/>
        <v>16</v>
      </c>
      <c r="I35" s="59"/>
    </row>
    <row r="36" spans="1:9" ht="19.5" thickBot="1" x14ac:dyDescent="0.35">
      <c r="A36" s="675">
        <v>33</v>
      </c>
      <c r="B36" s="727"/>
      <c r="C36" s="728">
        <v>15</v>
      </c>
      <c r="D36" s="728" t="s">
        <v>20</v>
      </c>
      <c r="E36" s="673">
        <v>64.230769230769226</v>
      </c>
      <c r="F36" s="673">
        <v>64</v>
      </c>
      <c r="G36" s="673">
        <f t="shared" si="0"/>
        <v>64.115384615384613</v>
      </c>
      <c r="H36" s="674">
        <f t="shared" si="1"/>
        <v>45</v>
      </c>
      <c r="I36" s="59"/>
    </row>
    <row r="37" spans="1:9" ht="18.75" x14ac:dyDescent="0.3">
      <c r="A37" s="671">
        <v>34</v>
      </c>
      <c r="B37" s="727"/>
      <c r="C37" s="728">
        <v>15</v>
      </c>
      <c r="D37" s="728" t="s">
        <v>17</v>
      </c>
      <c r="E37" s="673">
        <v>81.307692307692307</v>
      </c>
      <c r="F37" s="673">
        <v>84.84615384615384</v>
      </c>
      <c r="G37" s="673">
        <f t="shared" si="0"/>
        <v>83.076923076923066</v>
      </c>
      <c r="H37" s="674">
        <f t="shared" si="1"/>
        <v>10</v>
      </c>
      <c r="I37" s="59"/>
    </row>
    <row r="38" spans="1:9" ht="18.75" x14ac:dyDescent="0.3">
      <c r="A38" s="675">
        <v>35</v>
      </c>
      <c r="B38" s="727"/>
      <c r="C38" s="728">
        <v>15</v>
      </c>
      <c r="D38" s="728" t="s">
        <v>17</v>
      </c>
      <c r="E38" s="673">
        <v>85.07692307692308</v>
      </c>
      <c r="F38" s="673">
        <v>86.461538461538467</v>
      </c>
      <c r="G38" s="673">
        <f t="shared" si="0"/>
        <v>85.769230769230774</v>
      </c>
      <c r="H38" s="674">
        <f t="shared" si="1"/>
        <v>6</v>
      </c>
      <c r="I38" s="59"/>
    </row>
    <row r="39" spans="1:9" ht="19.5" thickBot="1" x14ac:dyDescent="0.35">
      <c r="A39" s="675">
        <v>36</v>
      </c>
      <c r="B39" s="727"/>
      <c r="C39" s="728">
        <v>16</v>
      </c>
      <c r="D39" s="728" t="s">
        <v>17</v>
      </c>
      <c r="E39" s="673">
        <v>72.92307692307692</v>
      </c>
      <c r="F39" s="673">
        <v>78.15384615384616</v>
      </c>
      <c r="G39" s="673">
        <f t="shared" si="0"/>
        <v>75.538461538461547</v>
      </c>
      <c r="H39" s="674">
        <f t="shared" si="1"/>
        <v>25</v>
      </c>
      <c r="I39" s="59"/>
    </row>
    <row r="40" spans="1:9" ht="18.75" x14ac:dyDescent="0.3">
      <c r="A40" s="671">
        <v>37</v>
      </c>
      <c r="B40" s="727"/>
      <c r="C40" s="728">
        <v>15</v>
      </c>
      <c r="D40" s="728" t="s">
        <v>17</v>
      </c>
      <c r="E40" s="673">
        <v>66</v>
      </c>
      <c r="F40" s="673"/>
      <c r="G40" s="673">
        <f t="shared" si="0"/>
        <v>66</v>
      </c>
      <c r="H40" s="674">
        <f t="shared" si="1"/>
        <v>41</v>
      </c>
      <c r="I40" s="59"/>
    </row>
    <row r="41" spans="1:9" ht="18.75" x14ac:dyDescent="0.3">
      <c r="A41" s="675">
        <v>38</v>
      </c>
      <c r="B41" s="727"/>
      <c r="C41" s="728">
        <v>15</v>
      </c>
      <c r="D41" s="728" t="s">
        <v>17</v>
      </c>
      <c r="E41" s="673">
        <v>75.07692307692308</v>
      </c>
      <c r="F41" s="673">
        <v>68.230769230769226</v>
      </c>
      <c r="G41" s="673">
        <f t="shared" si="0"/>
        <v>71.65384615384616</v>
      </c>
      <c r="H41" s="674">
        <f t="shared" si="1"/>
        <v>33</v>
      </c>
      <c r="I41" s="59"/>
    </row>
    <row r="42" spans="1:9" ht="19.5" thickBot="1" x14ac:dyDescent="0.35">
      <c r="A42" s="675">
        <v>39</v>
      </c>
      <c r="B42" s="727"/>
      <c r="C42" s="728">
        <v>15</v>
      </c>
      <c r="D42" s="728" t="s">
        <v>17</v>
      </c>
      <c r="E42" s="673">
        <v>69.615384615384613</v>
      </c>
      <c r="F42" s="673">
        <v>71.692307692307693</v>
      </c>
      <c r="G42" s="673">
        <f t="shared" si="0"/>
        <v>70.65384615384616</v>
      </c>
      <c r="H42" s="674">
        <f t="shared" si="1"/>
        <v>34</v>
      </c>
      <c r="I42" s="59"/>
    </row>
    <row r="43" spans="1:9" ht="18.75" x14ac:dyDescent="0.3">
      <c r="A43" s="671">
        <v>40</v>
      </c>
      <c r="B43" s="727"/>
      <c r="C43" s="728">
        <v>15</v>
      </c>
      <c r="D43" s="728" t="s">
        <v>20</v>
      </c>
      <c r="E43" s="673">
        <v>79.384615384615387</v>
      </c>
      <c r="F43" s="673">
        <v>79.92307692307692</v>
      </c>
      <c r="G43" s="673">
        <f t="shared" si="0"/>
        <v>79.65384615384616</v>
      </c>
      <c r="H43" s="674">
        <f t="shared" si="1"/>
        <v>17</v>
      </c>
      <c r="I43" s="59"/>
    </row>
    <row r="44" spans="1:9" ht="18.75" x14ac:dyDescent="0.3">
      <c r="A44" s="675">
        <v>41</v>
      </c>
      <c r="B44" s="727"/>
      <c r="C44" s="728">
        <v>15</v>
      </c>
      <c r="D44" s="728" t="s">
        <v>17</v>
      </c>
      <c r="E44" s="673">
        <v>74.769230769230774</v>
      </c>
      <c r="F44" s="673">
        <v>75.384615384615387</v>
      </c>
      <c r="G44" s="673">
        <f t="shared" si="0"/>
        <v>75.07692307692308</v>
      </c>
      <c r="H44" s="674">
        <f t="shared" si="1"/>
        <v>27</v>
      </c>
      <c r="I44" s="59"/>
    </row>
    <row r="45" spans="1:9" ht="19.5" thickBot="1" x14ac:dyDescent="0.35">
      <c r="A45" s="675">
        <v>42</v>
      </c>
      <c r="B45" s="727"/>
      <c r="C45" s="728">
        <v>12</v>
      </c>
      <c r="D45" s="728" t="s">
        <v>20</v>
      </c>
      <c r="E45" s="673">
        <v>79.769230769230774</v>
      </c>
      <c r="F45" s="673">
        <v>83</v>
      </c>
      <c r="G45" s="673">
        <f t="shared" si="0"/>
        <v>81.384615384615387</v>
      </c>
      <c r="H45" s="674">
        <f t="shared" si="1"/>
        <v>14</v>
      </c>
      <c r="I45" s="59"/>
    </row>
    <row r="46" spans="1:9" ht="18.75" x14ac:dyDescent="0.3">
      <c r="A46" s="671">
        <v>43</v>
      </c>
      <c r="B46" s="727"/>
      <c r="C46" s="728">
        <v>15</v>
      </c>
      <c r="D46" s="728" t="s">
        <v>17</v>
      </c>
      <c r="E46" s="673">
        <v>79.615384615384613</v>
      </c>
      <c r="F46" s="673">
        <v>78.230769230769226</v>
      </c>
      <c r="G46" s="673">
        <f t="shared" si="0"/>
        <v>78.92307692307692</v>
      </c>
      <c r="H46" s="674">
        <f t="shared" si="1"/>
        <v>18</v>
      </c>
      <c r="I46" s="59"/>
    </row>
    <row r="47" spans="1:9" ht="18.75" x14ac:dyDescent="0.3">
      <c r="A47" s="675">
        <v>44</v>
      </c>
      <c r="B47" s="727"/>
      <c r="C47" s="728">
        <v>15</v>
      </c>
      <c r="D47" s="728" t="s">
        <v>17</v>
      </c>
      <c r="E47" s="673">
        <v>74.692307692307693</v>
      </c>
      <c r="F47" s="673">
        <v>77.461538461538467</v>
      </c>
      <c r="G47" s="673">
        <f t="shared" si="0"/>
        <v>76.07692307692308</v>
      </c>
      <c r="H47" s="674">
        <f t="shared" si="1"/>
        <v>24</v>
      </c>
      <c r="I47" s="59"/>
    </row>
    <row r="48" spans="1:9" ht="19.5" thickBot="1" x14ac:dyDescent="0.35">
      <c r="A48" s="675">
        <v>45</v>
      </c>
      <c r="B48" s="727"/>
      <c r="C48" s="728">
        <v>15</v>
      </c>
      <c r="D48" s="728" t="s">
        <v>20</v>
      </c>
      <c r="E48" s="673">
        <v>61.384615384615387</v>
      </c>
      <c r="F48" s="673">
        <v>65.84615384615384</v>
      </c>
      <c r="G48" s="673">
        <f t="shared" si="0"/>
        <v>63.615384615384613</v>
      </c>
      <c r="H48" s="674">
        <f t="shared" si="1"/>
        <v>46</v>
      </c>
      <c r="I48" s="59"/>
    </row>
    <row r="49" spans="1:9" ht="15.75" customHeight="1" x14ac:dyDescent="0.3">
      <c r="A49" s="671">
        <v>46</v>
      </c>
      <c r="B49" s="727"/>
      <c r="C49" s="728">
        <v>15</v>
      </c>
      <c r="D49" s="728" t="s">
        <v>20</v>
      </c>
      <c r="E49" s="673">
        <v>80</v>
      </c>
      <c r="F49" s="673">
        <v>84.07692307692308</v>
      </c>
      <c r="G49" s="673">
        <f t="shared" si="0"/>
        <v>82.038461538461547</v>
      </c>
      <c r="H49" s="674">
        <f t="shared" si="1"/>
        <v>12</v>
      </c>
      <c r="I49" s="59"/>
    </row>
    <row r="50" spans="1:9" ht="18.75" x14ac:dyDescent="0.3">
      <c r="A50" s="675">
        <v>47</v>
      </c>
      <c r="B50" s="727"/>
      <c r="C50" s="728">
        <v>15</v>
      </c>
      <c r="D50" s="728" t="s">
        <v>17</v>
      </c>
      <c r="E50" s="673">
        <v>69.230769230769226</v>
      </c>
      <c r="F50" s="673"/>
      <c r="G50" s="673">
        <f t="shared" si="0"/>
        <v>69.230769230769226</v>
      </c>
      <c r="H50" s="674">
        <f t="shared" si="1"/>
        <v>37</v>
      </c>
      <c r="I50" s="59"/>
    </row>
    <row r="51" spans="1:9" ht="19.5" thickBot="1" x14ac:dyDescent="0.35">
      <c r="A51" s="675">
        <v>48</v>
      </c>
      <c r="B51" s="727"/>
      <c r="C51" s="728">
        <v>15</v>
      </c>
      <c r="D51" s="728" t="s">
        <v>17</v>
      </c>
      <c r="E51" s="673">
        <v>70.92307692307692</v>
      </c>
      <c r="F51" s="673">
        <v>78.230769230769226</v>
      </c>
      <c r="G51" s="673">
        <f t="shared" si="0"/>
        <v>74.576923076923066</v>
      </c>
      <c r="H51" s="674">
        <f t="shared" si="1"/>
        <v>28</v>
      </c>
      <c r="I51" s="59"/>
    </row>
    <row r="52" spans="1:9" ht="18.75" x14ac:dyDescent="0.3">
      <c r="A52" s="671">
        <v>49</v>
      </c>
      <c r="B52" s="727"/>
      <c r="C52" s="728">
        <v>16</v>
      </c>
      <c r="D52" s="728" t="s">
        <v>17</v>
      </c>
      <c r="E52" s="673">
        <v>69.692307692307693</v>
      </c>
      <c r="F52" s="673">
        <v>67.384615384615387</v>
      </c>
      <c r="G52" s="673">
        <f t="shared" si="0"/>
        <v>68.538461538461547</v>
      </c>
      <c r="H52" s="674">
        <f t="shared" si="1"/>
        <v>40</v>
      </c>
      <c r="I52" s="59"/>
    </row>
    <row r="53" spans="1:9" ht="18.75" x14ac:dyDescent="0.3">
      <c r="A53" s="675">
        <v>50</v>
      </c>
      <c r="B53" s="727"/>
      <c r="C53" s="728">
        <v>14</v>
      </c>
      <c r="D53" s="728" t="s">
        <v>20</v>
      </c>
      <c r="E53" s="673">
        <v>95</v>
      </c>
      <c r="F53" s="673">
        <v>97.461538461538467</v>
      </c>
      <c r="G53" s="673">
        <f t="shared" si="0"/>
        <v>96.230769230769226</v>
      </c>
      <c r="H53" s="674">
        <f t="shared" si="1"/>
        <v>2</v>
      </c>
      <c r="I53" s="59"/>
    </row>
    <row r="54" spans="1:9" ht="15.75" x14ac:dyDescent="0.25">
      <c r="A54" s="95">
        <v>52</v>
      </c>
      <c r="B54" s="89"/>
      <c r="C54" s="88">
        <v>14</v>
      </c>
      <c r="D54" s="88" t="s">
        <v>20</v>
      </c>
      <c r="E54" s="67"/>
      <c r="F54" s="67"/>
      <c r="G54" s="67"/>
      <c r="H54" s="81"/>
      <c r="I54" s="59"/>
    </row>
    <row r="55" spans="1:9" ht="15.75" x14ac:dyDescent="0.25">
      <c r="A55" s="95">
        <v>53</v>
      </c>
      <c r="B55" s="91"/>
      <c r="C55" s="96">
        <v>15</v>
      </c>
      <c r="D55" s="96" t="s">
        <v>17</v>
      </c>
      <c r="E55" s="67"/>
      <c r="F55" s="67"/>
      <c r="G55" s="67"/>
      <c r="H55" s="81"/>
      <c r="I55" s="59"/>
    </row>
    <row r="56" spans="1:9" ht="15.75" x14ac:dyDescent="0.25">
      <c r="A56" s="95">
        <v>54</v>
      </c>
      <c r="B56" s="92"/>
      <c r="C56" s="72">
        <v>15</v>
      </c>
      <c r="D56" s="72" t="s">
        <v>17</v>
      </c>
      <c r="E56" s="67"/>
      <c r="F56" s="67"/>
      <c r="G56" s="67"/>
      <c r="H56" s="81"/>
      <c r="I56" s="59"/>
    </row>
    <row r="57" spans="1:9" ht="15.75" x14ac:dyDescent="0.25">
      <c r="A57" s="95">
        <v>55</v>
      </c>
      <c r="B57" s="92"/>
      <c r="C57" s="72">
        <v>15</v>
      </c>
      <c r="D57" s="72" t="s">
        <v>17</v>
      </c>
      <c r="E57" s="67"/>
      <c r="F57" s="67"/>
      <c r="G57" s="67"/>
      <c r="H57" s="61"/>
      <c r="I57" s="59"/>
    </row>
    <row r="58" spans="1:9" ht="15.75" x14ac:dyDescent="0.25">
      <c r="A58" s="95">
        <v>56</v>
      </c>
      <c r="B58" s="92"/>
      <c r="C58" s="72">
        <v>15</v>
      </c>
      <c r="D58" s="72" t="s">
        <v>20</v>
      </c>
      <c r="E58" s="60"/>
      <c r="F58" s="60"/>
      <c r="G58" s="60"/>
      <c r="H58" s="61"/>
      <c r="I58" s="59"/>
    </row>
  </sheetData>
  <mergeCells count="2">
    <mergeCell ref="A1:H1"/>
    <mergeCell ref="A2:H2"/>
  </mergeCells>
  <pageMargins left="0.7" right="0.7" top="0.75" bottom="0.75" header="0.3" footer="0.3"/>
  <pageSetup paperSize="9" scale="8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Views>
    <sheetView view="pageBreakPreview" zoomScale="60" zoomScaleNormal="100" workbookViewId="0">
      <selection activeCell="B6" sqref="B6:B167"/>
    </sheetView>
  </sheetViews>
  <sheetFormatPr defaultRowHeight="15" x14ac:dyDescent="0.25"/>
  <cols>
    <col min="2" max="2" width="31.28515625" customWidth="1"/>
    <col min="4" max="4" width="7.140625" customWidth="1"/>
    <col min="5" max="5" width="11.85546875" customWidth="1"/>
  </cols>
  <sheetData>
    <row r="1" spans="1:18" ht="20.25" x14ac:dyDescent="0.25">
      <c r="A1" s="861" t="s">
        <v>109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3"/>
    </row>
    <row r="2" spans="1:18" ht="20.25" x14ac:dyDescent="0.25">
      <c r="A2" s="572"/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266"/>
      <c r="R2" s="186"/>
    </row>
    <row r="3" spans="1:18" x14ac:dyDescent="0.25">
      <c r="A3" s="864" t="s">
        <v>110</v>
      </c>
      <c r="B3" s="864"/>
      <c r="C3" s="864"/>
      <c r="D3" s="864"/>
      <c r="E3" s="864"/>
      <c r="F3" s="864"/>
      <c r="G3" s="864"/>
      <c r="H3" s="864"/>
      <c r="I3" s="864"/>
      <c r="J3" s="864"/>
      <c r="K3" s="864"/>
      <c r="L3" s="864"/>
      <c r="M3" s="864"/>
      <c r="N3" s="864"/>
      <c r="O3" s="864"/>
      <c r="P3" s="864"/>
      <c r="Q3" s="864"/>
      <c r="R3" s="864"/>
    </row>
    <row r="4" spans="1:18" ht="15.75" thickBot="1" x14ac:dyDescent="0.3">
      <c r="A4" s="260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</row>
    <row r="5" spans="1:18" ht="72.75" thickBot="1" x14ac:dyDescent="0.3">
      <c r="A5" s="330" t="s">
        <v>68</v>
      </c>
      <c r="B5" s="776" t="s">
        <v>1</v>
      </c>
      <c r="C5" s="330" t="s">
        <v>2</v>
      </c>
      <c r="D5" s="330" t="s">
        <v>3</v>
      </c>
      <c r="E5" s="335" t="s">
        <v>4</v>
      </c>
      <c r="F5" s="335" t="s">
        <v>5</v>
      </c>
      <c r="G5" s="335" t="s">
        <v>94</v>
      </c>
      <c r="H5" s="335" t="s">
        <v>106</v>
      </c>
      <c r="I5" s="335" t="s">
        <v>8</v>
      </c>
      <c r="J5" s="335" t="s">
        <v>9</v>
      </c>
      <c r="K5" s="335" t="s">
        <v>11</v>
      </c>
      <c r="L5" s="335" t="s">
        <v>10</v>
      </c>
      <c r="M5" s="335" t="s">
        <v>77</v>
      </c>
      <c r="N5" s="335" t="s">
        <v>12</v>
      </c>
      <c r="O5" s="335" t="s">
        <v>13</v>
      </c>
      <c r="P5" s="335" t="s">
        <v>14</v>
      </c>
      <c r="Q5" s="335" t="s">
        <v>15</v>
      </c>
      <c r="R5" s="777" t="s">
        <v>16</v>
      </c>
    </row>
    <row r="6" spans="1:18" ht="18" thickBot="1" x14ac:dyDescent="0.3">
      <c r="A6" s="986">
        <v>1</v>
      </c>
      <c r="B6" s="983"/>
      <c r="C6" s="989">
        <v>15</v>
      </c>
      <c r="D6" s="990" t="s">
        <v>17</v>
      </c>
      <c r="E6" s="778" t="s">
        <v>18</v>
      </c>
      <c r="F6" s="779">
        <f>'[1]11A Sem 1'!E4</f>
        <v>59</v>
      </c>
      <c r="G6" s="779">
        <f>'[1]11A Sem 1'!F4</f>
        <v>70</v>
      </c>
      <c r="H6" s="779">
        <f>'[1]11A Sem 1'!G4</f>
        <v>75</v>
      </c>
      <c r="I6" s="779">
        <f>'[1]11A Sem 1'!H4</f>
        <v>56</v>
      </c>
      <c r="J6" s="779">
        <f>'[1]11A Sem 1'!I4</f>
        <v>68</v>
      </c>
      <c r="K6" s="779">
        <f>'[1]11A Sem 1'!J4</f>
        <v>63</v>
      </c>
      <c r="L6" s="779">
        <f>'[1]11A Sem 1'!K4</f>
        <v>90</v>
      </c>
      <c r="M6" s="779">
        <f>'[1]11A Sem 1'!L4</f>
        <v>85</v>
      </c>
      <c r="N6" s="779">
        <f>'[1]11A Sem 1'!M4</f>
        <v>566</v>
      </c>
      <c r="O6" s="779">
        <f>'[1]11A Sem 1'!N4</f>
        <v>70.75</v>
      </c>
      <c r="P6" s="780">
        <f>'[1]11A Sem 1'!O4</f>
        <v>49</v>
      </c>
      <c r="Q6" s="781">
        <f>'[1]11A Sem 1'!P4</f>
        <v>0</v>
      </c>
      <c r="R6" s="781">
        <f>'[1]11A Sem 1'!Q4</f>
        <v>0</v>
      </c>
    </row>
    <row r="7" spans="1:18" ht="16.5" thickBot="1" x14ac:dyDescent="0.3">
      <c r="A7" s="986"/>
      <c r="B7" s="983"/>
      <c r="C7" s="989">
        <v>15</v>
      </c>
      <c r="D7" s="990" t="s">
        <v>20</v>
      </c>
      <c r="E7" s="402" t="s">
        <v>19</v>
      </c>
      <c r="F7" s="782">
        <f>'[1]11A Sem 2'!E4</f>
        <v>54</v>
      </c>
      <c r="G7" s="782">
        <f>'[1]11A Sem 2'!F4</f>
        <v>72</v>
      </c>
      <c r="H7" s="782">
        <f>'[1]11A Sem 2'!G4</f>
        <v>69</v>
      </c>
      <c r="I7" s="782">
        <f>'[1]11A Sem 2'!H4</f>
        <v>68</v>
      </c>
      <c r="J7" s="782">
        <f>'[1]11A Sem 2'!I4</f>
        <v>77</v>
      </c>
      <c r="K7" s="782">
        <f>'[1]11A Sem 2'!J4</f>
        <v>89</v>
      </c>
      <c r="L7" s="782">
        <f>'[1]11A Sem 2'!K4</f>
        <v>82</v>
      </c>
      <c r="M7" s="782">
        <f>'[1]11A Sem 2'!L4</f>
        <v>82</v>
      </c>
      <c r="N7" s="783">
        <f>'[1]11A Sem 2'!M4</f>
        <v>593</v>
      </c>
      <c r="O7" s="783">
        <f>'[1]11A Sem 2'!N4</f>
        <v>74.125</v>
      </c>
      <c r="P7" s="784">
        <f>'[1]11A Sem 2'!O4</f>
        <v>48</v>
      </c>
      <c r="Q7" s="785">
        <f>'[1]11A Sem 2'!P4</f>
        <v>0</v>
      </c>
      <c r="R7" s="785">
        <f>'[1]11A Sem 2'!Q4</f>
        <v>0</v>
      </c>
    </row>
    <row r="8" spans="1:18" ht="16.5" thickBot="1" x14ac:dyDescent="0.3">
      <c r="A8" s="986"/>
      <c r="B8" s="983"/>
      <c r="C8" s="989">
        <v>15</v>
      </c>
      <c r="D8" s="990" t="s">
        <v>20</v>
      </c>
      <c r="E8" s="402" t="s">
        <v>13</v>
      </c>
      <c r="F8" s="783">
        <f>AVERAGE(F6:F7)</f>
        <v>56.5</v>
      </c>
      <c r="G8" s="783">
        <f t="shared" ref="G8:R8" si="0">AVERAGE(G6:G7)</f>
        <v>71</v>
      </c>
      <c r="H8" s="783">
        <f t="shared" si="0"/>
        <v>72</v>
      </c>
      <c r="I8" s="783">
        <f t="shared" si="0"/>
        <v>62</v>
      </c>
      <c r="J8" s="783">
        <f t="shared" si="0"/>
        <v>72.5</v>
      </c>
      <c r="K8" s="783">
        <f t="shared" si="0"/>
        <v>76</v>
      </c>
      <c r="L8" s="783">
        <f t="shared" si="0"/>
        <v>86</v>
      </c>
      <c r="M8" s="783">
        <f t="shared" si="0"/>
        <v>83.5</v>
      </c>
      <c r="N8" s="783">
        <f t="shared" si="0"/>
        <v>579.5</v>
      </c>
      <c r="O8" s="783">
        <f t="shared" si="0"/>
        <v>72.4375</v>
      </c>
      <c r="P8" s="783">
        <f>'[1]11A Sem avr'!$H$4</f>
        <v>48</v>
      </c>
      <c r="Q8" s="783">
        <f t="shared" si="0"/>
        <v>0</v>
      </c>
      <c r="R8" s="783">
        <f t="shared" si="0"/>
        <v>0</v>
      </c>
    </row>
    <row r="9" spans="1:18" ht="16.5" thickBot="1" x14ac:dyDescent="0.3">
      <c r="A9" s="982">
        <v>2</v>
      </c>
      <c r="B9" s="983"/>
      <c r="C9" s="989">
        <v>16</v>
      </c>
      <c r="D9" s="990" t="s">
        <v>17</v>
      </c>
      <c r="E9" s="402" t="s">
        <v>18</v>
      </c>
      <c r="F9" s="783">
        <f>'[1]11A Sem 1'!E5</f>
        <v>83</v>
      </c>
      <c r="G9" s="783">
        <f>'[1]11A Sem 1'!F5</f>
        <v>54</v>
      </c>
      <c r="H9" s="783">
        <f>'[1]11A Sem 1'!G5</f>
        <v>77</v>
      </c>
      <c r="I9" s="783">
        <f>'[1]11A Sem 1'!H5</f>
        <v>62</v>
      </c>
      <c r="J9" s="783">
        <f>'[1]11A Sem 1'!I5</f>
        <v>80</v>
      </c>
      <c r="K9" s="783">
        <f>'[1]11A Sem 1'!J5</f>
        <v>88</v>
      </c>
      <c r="L9" s="783">
        <f>'[1]11A Sem 1'!K5</f>
        <v>87</v>
      </c>
      <c r="M9" s="783">
        <f>'[1]11A Sem 1'!L5</f>
        <v>90</v>
      </c>
      <c r="N9" s="783">
        <f>'[1]11A Sem 1'!M5</f>
        <v>621</v>
      </c>
      <c r="O9" s="783">
        <f>'[1]11A Sem 1'!N5</f>
        <v>77.625</v>
      </c>
      <c r="P9" s="784">
        <f>'[1]11A Sem 1'!O5</f>
        <v>45</v>
      </c>
      <c r="Q9" s="785">
        <f>'[1]11A Sem 1'!P5</f>
        <v>0</v>
      </c>
      <c r="R9" s="785">
        <f>'[1]11A Sem 1'!Q5</f>
        <v>0</v>
      </c>
    </row>
    <row r="10" spans="1:18" ht="16.5" thickBot="1" x14ac:dyDescent="0.3">
      <c r="A10" s="982"/>
      <c r="B10" s="983"/>
      <c r="C10" s="989">
        <v>15</v>
      </c>
      <c r="D10" s="990" t="s">
        <v>20</v>
      </c>
      <c r="E10" s="402" t="s">
        <v>19</v>
      </c>
      <c r="F10" s="783">
        <f>'[1]11A Sem 2'!E5</f>
        <v>81</v>
      </c>
      <c r="G10" s="783">
        <f>'[1]11A Sem 2'!F5</f>
        <v>62</v>
      </c>
      <c r="H10" s="783">
        <f>'[1]11A Sem 2'!G5</f>
        <v>66</v>
      </c>
      <c r="I10" s="783">
        <f>'[1]11A Sem 2'!H5</f>
        <v>75</v>
      </c>
      <c r="J10" s="783">
        <f>'[1]11A Sem 2'!I5</f>
        <v>91</v>
      </c>
      <c r="K10" s="783">
        <f>'[1]11A Sem 2'!J5</f>
        <v>96</v>
      </c>
      <c r="L10" s="783">
        <f>'[1]11A Sem 2'!K5</f>
        <v>93</v>
      </c>
      <c r="M10" s="783">
        <f>'[1]11A Sem 2'!L5</f>
        <v>86</v>
      </c>
      <c r="N10" s="783">
        <f>'[1]11A Sem 2'!M5</f>
        <v>650</v>
      </c>
      <c r="O10" s="783">
        <f>'[1]11A Sem 2'!N5</f>
        <v>81.25</v>
      </c>
      <c r="P10" s="784">
        <f>'[1]11A Sem 2'!O5</f>
        <v>39</v>
      </c>
      <c r="Q10" s="785">
        <f>'[1]11A Sem 2'!P5</f>
        <v>0</v>
      </c>
      <c r="R10" s="785">
        <f>'[1]11A Sem 2'!Q5</f>
        <v>0</v>
      </c>
    </row>
    <row r="11" spans="1:18" ht="16.5" thickBot="1" x14ac:dyDescent="0.3">
      <c r="A11" s="982"/>
      <c r="B11" s="983"/>
      <c r="C11" s="989">
        <v>15</v>
      </c>
      <c r="D11" s="990" t="s">
        <v>20</v>
      </c>
      <c r="E11" s="402" t="s">
        <v>13</v>
      </c>
      <c r="F11" s="783">
        <f>AVERAGE(F9:F10)</f>
        <v>82</v>
      </c>
      <c r="G11" s="783">
        <f t="shared" ref="G11:R11" si="1">AVERAGE(G9:G10)</f>
        <v>58</v>
      </c>
      <c r="H11" s="783">
        <f t="shared" si="1"/>
        <v>71.5</v>
      </c>
      <c r="I11" s="783">
        <f t="shared" si="1"/>
        <v>68.5</v>
      </c>
      <c r="J11" s="783">
        <f t="shared" si="1"/>
        <v>85.5</v>
      </c>
      <c r="K11" s="783">
        <f t="shared" si="1"/>
        <v>92</v>
      </c>
      <c r="L11" s="783">
        <f t="shared" si="1"/>
        <v>90</v>
      </c>
      <c r="M11" s="783">
        <f t="shared" si="1"/>
        <v>88</v>
      </c>
      <c r="N11" s="783">
        <f t="shared" si="1"/>
        <v>635.5</v>
      </c>
      <c r="O11" s="783">
        <f t="shared" si="1"/>
        <v>79.4375</v>
      </c>
      <c r="P11" s="783">
        <f>'[1]11A Sem avr'!$H$5</f>
        <v>42</v>
      </c>
      <c r="Q11" s="783">
        <f t="shared" si="1"/>
        <v>0</v>
      </c>
      <c r="R11" s="783">
        <f t="shared" si="1"/>
        <v>0</v>
      </c>
    </row>
    <row r="12" spans="1:18" ht="16.5" thickBot="1" x14ac:dyDescent="0.3">
      <c r="A12" s="982">
        <v>3</v>
      </c>
      <c r="B12" s="983"/>
      <c r="C12" s="989">
        <v>16</v>
      </c>
      <c r="D12" s="990" t="s">
        <v>20</v>
      </c>
      <c r="E12" s="402" t="s">
        <v>18</v>
      </c>
      <c r="F12" s="783">
        <f>'[1]11A Sem 1'!E6</f>
        <v>51</v>
      </c>
      <c r="G12" s="783">
        <f>'[1]11A Sem 1'!F6</f>
        <v>71</v>
      </c>
      <c r="H12" s="783">
        <f>'[1]11A Sem 1'!G6</f>
        <v>65</v>
      </c>
      <c r="I12" s="783">
        <f>'[1]11A Sem 1'!H6</f>
        <v>67</v>
      </c>
      <c r="J12" s="783">
        <f>'[1]11A Sem 1'!I6</f>
        <v>65</v>
      </c>
      <c r="K12" s="783">
        <f>'[1]11A Sem 1'!J6</f>
        <v>80</v>
      </c>
      <c r="L12" s="783">
        <f>'[1]11A Sem 1'!K6</f>
        <v>75</v>
      </c>
      <c r="M12" s="783">
        <f>'[1]11A Sem 1'!L6</f>
        <v>98</v>
      </c>
      <c r="N12" s="783">
        <f>'[1]11A Sem 1'!M6</f>
        <v>572</v>
      </c>
      <c r="O12" s="783">
        <f>'[1]11A Sem 1'!N6</f>
        <v>71.5</v>
      </c>
      <c r="P12" s="784">
        <f>'[1]11A Sem 1'!O6</f>
        <v>47</v>
      </c>
      <c r="Q12" s="785">
        <f>'[1]11A Sem 1'!P6</f>
        <v>0</v>
      </c>
      <c r="R12" s="785">
        <f>'[1]11A Sem 1'!Q6</f>
        <v>0</v>
      </c>
    </row>
    <row r="13" spans="1:18" ht="16.5" thickBot="1" x14ac:dyDescent="0.3">
      <c r="A13" s="982"/>
      <c r="B13" s="983"/>
      <c r="C13" s="989">
        <v>17</v>
      </c>
      <c r="D13" s="990" t="s">
        <v>17</v>
      </c>
      <c r="E13" s="402" t="s">
        <v>19</v>
      </c>
      <c r="F13" s="783">
        <f>'[1]11A Sem 2'!E6</f>
        <v>73</v>
      </c>
      <c r="G13" s="783">
        <f>'[1]11A Sem 2'!F6</f>
        <v>68</v>
      </c>
      <c r="H13" s="783">
        <f>'[1]11A Sem 2'!G6</f>
        <v>60</v>
      </c>
      <c r="I13" s="783">
        <f>'[1]11A Sem 2'!H6</f>
        <v>65</v>
      </c>
      <c r="J13" s="783">
        <f>'[1]11A Sem 2'!I6</f>
        <v>78</v>
      </c>
      <c r="K13" s="783">
        <f>'[1]11A Sem 2'!J6</f>
        <v>88</v>
      </c>
      <c r="L13" s="783">
        <f>'[1]11A Sem 2'!K6</f>
        <v>80</v>
      </c>
      <c r="M13" s="783">
        <f>'[1]11A Sem 2'!L6</f>
        <v>73</v>
      </c>
      <c r="N13" s="783">
        <f>'[1]11A Sem 2'!M6</f>
        <v>585</v>
      </c>
      <c r="O13" s="783">
        <f>'[1]11A Sem 2'!N6</f>
        <v>73.125</v>
      </c>
      <c r="P13" s="784">
        <f>'[1]11A Sem 2'!O6</f>
        <v>50</v>
      </c>
      <c r="Q13" s="785">
        <f>'[1]11A Sem 2'!P6</f>
        <v>0</v>
      </c>
      <c r="R13" s="785">
        <f>'[1]11A Sem 2'!Q6</f>
        <v>0</v>
      </c>
    </row>
    <row r="14" spans="1:18" ht="16.5" thickBot="1" x14ac:dyDescent="0.3">
      <c r="A14" s="982"/>
      <c r="B14" s="983"/>
      <c r="C14" s="989">
        <v>17</v>
      </c>
      <c r="D14" s="990" t="s">
        <v>17</v>
      </c>
      <c r="E14" s="402" t="s">
        <v>13</v>
      </c>
      <c r="F14" s="783">
        <f>AVERAGE(F12:F13)</f>
        <v>62</v>
      </c>
      <c r="G14" s="783">
        <f t="shared" ref="G14:R14" si="2">AVERAGE(G12:G13)</f>
        <v>69.5</v>
      </c>
      <c r="H14" s="783">
        <f t="shared" si="2"/>
        <v>62.5</v>
      </c>
      <c r="I14" s="783">
        <f t="shared" si="2"/>
        <v>66</v>
      </c>
      <c r="J14" s="783">
        <f t="shared" si="2"/>
        <v>71.5</v>
      </c>
      <c r="K14" s="783">
        <f t="shared" si="2"/>
        <v>84</v>
      </c>
      <c r="L14" s="783">
        <f t="shared" si="2"/>
        <v>77.5</v>
      </c>
      <c r="M14" s="783">
        <f t="shared" si="2"/>
        <v>85.5</v>
      </c>
      <c r="N14" s="783">
        <f t="shared" si="2"/>
        <v>578.5</v>
      </c>
      <c r="O14" s="783">
        <f t="shared" si="2"/>
        <v>72.3125</v>
      </c>
      <c r="P14" s="783">
        <f>'[1]11A Sem avr'!$H$6</f>
        <v>49</v>
      </c>
      <c r="Q14" s="783">
        <f t="shared" si="2"/>
        <v>0</v>
      </c>
      <c r="R14" s="783">
        <f t="shared" si="2"/>
        <v>0</v>
      </c>
    </row>
    <row r="15" spans="1:18" ht="16.5" thickBot="1" x14ac:dyDescent="0.3">
      <c r="A15" s="986">
        <v>4</v>
      </c>
      <c r="B15" s="983"/>
      <c r="C15" s="989">
        <v>16</v>
      </c>
      <c r="D15" s="990" t="s">
        <v>17</v>
      </c>
      <c r="E15" s="402" t="s">
        <v>18</v>
      </c>
      <c r="F15" s="783">
        <f>'[1]11A Sem 1'!E7</f>
        <v>97</v>
      </c>
      <c r="G15" s="783">
        <f>'[1]11A Sem 1'!F7</f>
        <v>96</v>
      </c>
      <c r="H15" s="783">
        <f>'[1]11A Sem 1'!G7</f>
        <v>100</v>
      </c>
      <c r="I15" s="783">
        <f>'[1]11A Sem 1'!H7</f>
        <v>100</v>
      </c>
      <c r="J15" s="783">
        <f>'[1]11A Sem 1'!I7</f>
        <v>98</v>
      </c>
      <c r="K15" s="783">
        <f>'[1]11A Sem 1'!J7</f>
        <v>95</v>
      </c>
      <c r="L15" s="783">
        <f>'[1]11A Sem 1'!K7</f>
        <v>100</v>
      </c>
      <c r="M15" s="783">
        <f>'[1]11A Sem 1'!L7</f>
        <v>100</v>
      </c>
      <c r="N15" s="783">
        <f>'[1]11A Sem 1'!M7</f>
        <v>786</v>
      </c>
      <c r="O15" s="783">
        <f>'[1]11A Sem 1'!N7</f>
        <v>98.25</v>
      </c>
      <c r="P15" s="784">
        <f>'[1]11A Sem 1'!O7</f>
        <v>2</v>
      </c>
      <c r="Q15" s="785">
        <f>'[1]11A Sem 1'!P7</f>
        <v>0</v>
      </c>
      <c r="R15" s="785">
        <f>'[1]11A Sem 1'!Q7</f>
        <v>0</v>
      </c>
    </row>
    <row r="16" spans="1:18" ht="16.5" thickBot="1" x14ac:dyDescent="0.3">
      <c r="A16" s="986"/>
      <c r="B16" s="983"/>
      <c r="C16" s="989">
        <v>15</v>
      </c>
      <c r="D16" s="990" t="s">
        <v>20</v>
      </c>
      <c r="E16" s="402" t="s">
        <v>19</v>
      </c>
      <c r="F16" s="783">
        <f>'[1]11A Sem 2'!E7</f>
        <v>96</v>
      </c>
      <c r="G16" s="783">
        <f>'[1]11A Sem 2'!F7</f>
        <v>100</v>
      </c>
      <c r="H16" s="783">
        <f>'[1]11A Sem 2'!G7</f>
        <v>98</v>
      </c>
      <c r="I16" s="783">
        <f>'[1]11A Sem 2'!H7</f>
        <v>99</v>
      </c>
      <c r="J16" s="783">
        <f>'[1]11A Sem 2'!I7</f>
        <v>100</v>
      </c>
      <c r="K16" s="783">
        <f>'[1]11A Sem 2'!J7</f>
        <v>99</v>
      </c>
      <c r="L16" s="783">
        <f>'[1]11A Sem 2'!K7</f>
        <v>99</v>
      </c>
      <c r="M16" s="783">
        <f>'[1]11A Sem 2'!L7</f>
        <v>100</v>
      </c>
      <c r="N16" s="783">
        <f>'[1]11A Sem 2'!M7</f>
        <v>791</v>
      </c>
      <c r="O16" s="783">
        <f>'[1]11A Sem 2'!N7</f>
        <v>98.875</v>
      </c>
      <c r="P16" s="784">
        <f>'[1]11A Sem 2'!O7</f>
        <v>1</v>
      </c>
      <c r="Q16" s="785">
        <f>'[1]11A Sem 2'!P7</f>
        <v>0</v>
      </c>
      <c r="R16" s="785">
        <f>'[1]11A Sem 2'!Q7</f>
        <v>0</v>
      </c>
    </row>
    <row r="17" spans="1:18" ht="16.5" thickBot="1" x14ac:dyDescent="0.3">
      <c r="A17" s="986"/>
      <c r="B17" s="983"/>
      <c r="C17" s="989">
        <v>15</v>
      </c>
      <c r="D17" s="990" t="s">
        <v>20</v>
      </c>
      <c r="E17" s="402" t="s">
        <v>13</v>
      </c>
      <c r="F17" s="783">
        <f>AVERAGE(F15:F16)</f>
        <v>96.5</v>
      </c>
      <c r="G17" s="783">
        <f t="shared" ref="G17:R17" si="3">AVERAGE(G15:G16)</f>
        <v>98</v>
      </c>
      <c r="H17" s="783">
        <f t="shared" si="3"/>
        <v>99</v>
      </c>
      <c r="I17" s="783">
        <f t="shared" si="3"/>
        <v>99.5</v>
      </c>
      <c r="J17" s="783">
        <f t="shared" si="3"/>
        <v>99</v>
      </c>
      <c r="K17" s="783">
        <f t="shared" si="3"/>
        <v>97</v>
      </c>
      <c r="L17" s="783">
        <f t="shared" si="3"/>
        <v>99.5</v>
      </c>
      <c r="M17" s="783">
        <f t="shared" si="3"/>
        <v>100</v>
      </c>
      <c r="N17" s="783">
        <f t="shared" si="3"/>
        <v>788.5</v>
      </c>
      <c r="O17" s="783">
        <f t="shared" si="3"/>
        <v>98.5625</v>
      </c>
      <c r="P17" s="783">
        <f>'[1]11A Sem avr'!$H$7</f>
        <v>2</v>
      </c>
      <c r="Q17" s="783">
        <f t="shared" si="3"/>
        <v>0</v>
      </c>
      <c r="R17" s="783">
        <f t="shared" si="3"/>
        <v>0</v>
      </c>
    </row>
    <row r="18" spans="1:18" ht="16.5" thickBot="1" x14ac:dyDescent="0.3">
      <c r="A18" s="982">
        <v>5</v>
      </c>
      <c r="B18" s="983"/>
      <c r="C18" s="989">
        <v>16</v>
      </c>
      <c r="D18" s="990" t="s">
        <v>20</v>
      </c>
      <c r="E18" s="402" t="s">
        <v>18</v>
      </c>
      <c r="F18" s="783">
        <f>'[1]11A Sem 1'!E8</f>
        <v>95</v>
      </c>
      <c r="G18" s="783">
        <f>'[1]11A Sem 1'!F8</f>
        <v>95</v>
      </c>
      <c r="H18" s="783">
        <f>'[1]11A Sem 1'!G8</f>
        <v>96</v>
      </c>
      <c r="I18" s="783">
        <f>'[1]11A Sem 1'!H8</f>
        <v>95</v>
      </c>
      <c r="J18" s="783">
        <f>'[1]11A Sem 1'!I8</f>
        <v>98</v>
      </c>
      <c r="K18" s="783">
        <f>'[1]11A Sem 1'!J8</f>
        <v>100</v>
      </c>
      <c r="L18" s="783">
        <f>'[1]11A Sem 1'!K8</f>
        <v>100</v>
      </c>
      <c r="M18" s="783">
        <f>'[1]11A Sem 1'!L8</f>
        <v>97</v>
      </c>
      <c r="N18" s="783">
        <f>'[1]11A Sem 1'!M8</f>
        <v>776</v>
      </c>
      <c r="O18" s="783">
        <f>'[1]11A Sem 1'!N8</f>
        <v>97</v>
      </c>
      <c r="P18" s="784">
        <f>'[1]11A Sem 1'!O8</f>
        <v>3</v>
      </c>
      <c r="Q18" s="785">
        <f>'[1]11A Sem 1'!P8</f>
        <v>0</v>
      </c>
      <c r="R18" s="785">
        <f>'[1]11A Sem 1'!Q8</f>
        <v>0</v>
      </c>
    </row>
    <row r="19" spans="1:18" ht="16.5" thickBot="1" x14ac:dyDescent="0.3">
      <c r="A19" s="982"/>
      <c r="B19" s="983"/>
      <c r="C19" s="989">
        <v>14</v>
      </c>
      <c r="D19" s="990" t="s">
        <v>17</v>
      </c>
      <c r="E19" s="402" t="s">
        <v>19</v>
      </c>
      <c r="F19" s="783">
        <f>'[1]11A Sem 2'!E8</f>
        <v>100</v>
      </c>
      <c r="G19" s="783">
        <f>'[1]11A Sem 2'!F8</f>
        <v>96</v>
      </c>
      <c r="H19" s="783">
        <f>'[1]11A Sem 2'!G8</f>
        <v>92</v>
      </c>
      <c r="I19" s="783">
        <f>'[1]11A Sem 2'!H8</f>
        <v>96</v>
      </c>
      <c r="J19" s="783">
        <f>'[1]11A Sem 2'!I8</f>
        <v>100</v>
      </c>
      <c r="K19" s="783">
        <f>'[1]11A Sem 2'!J8</f>
        <v>99</v>
      </c>
      <c r="L19" s="783">
        <f>'[1]11A Sem 2'!K8</f>
        <v>97</v>
      </c>
      <c r="M19" s="783">
        <f>'[1]11A Sem 2'!L8</f>
        <v>89</v>
      </c>
      <c r="N19" s="783">
        <f>'[1]11A Sem 2'!M8</f>
        <v>769</v>
      </c>
      <c r="O19" s="783">
        <f>'[1]11A Sem 2'!N8</f>
        <v>96.125</v>
      </c>
      <c r="P19" s="784">
        <f>'[1]11A Sem 2'!O8</f>
        <v>5</v>
      </c>
      <c r="Q19" s="785">
        <f>'[1]11A Sem 2'!P8</f>
        <v>0</v>
      </c>
      <c r="R19" s="785">
        <f>'[1]11A Sem 2'!Q8</f>
        <v>0</v>
      </c>
    </row>
    <row r="20" spans="1:18" ht="16.5" thickBot="1" x14ac:dyDescent="0.3">
      <c r="A20" s="982"/>
      <c r="B20" s="983"/>
      <c r="C20" s="989">
        <v>14</v>
      </c>
      <c r="D20" s="990" t="s">
        <v>17</v>
      </c>
      <c r="E20" s="402" t="s">
        <v>13</v>
      </c>
      <c r="F20" s="783">
        <f>AVERAGE(F18:F19)</f>
        <v>97.5</v>
      </c>
      <c r="G20" s="783">
        <f t="shared" ref="G20:R20" si="4">AVERAGE(G18:G19)</f>
        <v>95.5</v>
      </c>
      <c r="H20" s="783">
        <f t="shared" si="4"/>
        <v>94</v>
      </c>
      <c r="I20" s="783">
        <f t="shared" si="4"/>
        <v>95.5</v>
      </c>
      <c r="J20" s="783">
        <f t="shared" si="4"/>
        <v>99</v>
      </c>
      <c r="K20" s="783">
        <f t="shared" si="4"/>
        <v>99.5</v>
      </c>
      <c r="L20" s="783">
        <f t="shared" si="4"/>
        <v>98.5</v>
      </c>
      <c r="M20" s="783">
        <f t="shared" si="4"/>
        <v>93</v>
      </c>
      <c r="N20" s="783">
        <f t="shared" si="4"/>
        <v>772.5</v>
      </c>
      <c r="O20" s="783">
        <f t="shared" si="4"/>
        <v>96.5625</v>
      </c>
      <c r="P20" s="783">
        <f>'[1]11A Sem avr'!$H$8</f>
        <v>4</v>
      </c>
      <c r="Q20" s="783">
        <f t="shared" si="4"/>
        <v>0</v>
      </c>
      <c r="R20" s="783">
        <f t="shared" si="4"/>
        <v>0</v>
      </c>
    </row>
    <row r="21" spans="1:18" ht="16.5" thickBot="1" x14ac:dyDescent="0.3">
      <c r="A21" s="982">
        <v>6</v>
      </c>
      <c r="B21" s="983"/>
      <c r="C21" s="989">
        <v>16</v>
      </c>
      <c r="D21" s="990" t="s">
        <v>17</v>
      </c>
      <c r="E21" s="402" t="s">
        <v>18</v>
      </c>
      <c r="F21" s="783">
        <f>'[1]11A Sem 1'!E9</f>
        <v>75</v>
      </c>
      <c r="G21" s="783">
        <f>'[1]11A Sem 1'!F9</f>
        <v>78</v>
      </c>
      <c r="H21" s="783">
        <f>'[1]11A Sem 1'!G9</f>
        <v>85</v>
      </c>
      <c r="I21" s="783">
        <f>'[1]11A Sem 1'!H9</f>
        <v>86</v>
      </c>
      <c r="J21" s="783">
        <f>'[1]11A Sem 1'!I9</f>
        <v>85</v>
      </c>
      <c r="K21" s="783">
        <f>'[1]11A Sem 1'!J9</f>
        <v>81</v>
      </c>
      <c r="L21" s="783">
        <f>'[1]11A Sem 1'!K9</f>
        <v>99</v>
      </c>
      <c r="M21" s="783">
        <f>'[1]11A Sem 1'!L9</f>
        <v>99</v>
      </c>
      <c r="N21" s="783">
        <f>'[1]11A Sem 1'!M9</f>
        <v>688</v>
      </c>
      <c r="O21" s="783">
        <f>'[1]11A Sem 1'!N9</f>
        <v>86</v>
      </c>
      <c r="P21" s="784">
        <f>'[1]11A Sem 1'!O9</f>
        <v>25</v>
      </c>
      <c r="Q21" s="785">
        <f>'[1]11A Sem 1'!P9</f>
        <v>0</v>
      </c>
      <c r="R21" s="785">
        <f>'[1]11A Sem 1'!Q9</f>
        <v>0</v>
      </c>
    </row>
    <row r="22" spans="1:18" ht="16.5" thickBot="1" x14ac:dyDescent="0.3">
      <c r="A22" s="982"/>
      <c r="B22" s="983"/>
      <c r="C22" s="989">
        <v>16</v>
      </c>
      <c r="D22" s="990" t="s">
        <v>17</v>
      </c>
      <c r="E22" s="402" t="s">
        <v>19</v>
      </c>
      <c r="F22" s="783">
        <f>'[1]11A Sem 2'!E9</f>
        <v>79</v>
      </c>
      <c r="G22" s="783">
        <f>'[1]11A Sem 2'!F9</f>
        <v>80</v>
      </c>
      <c r="H22" s="783">
        <f>'[1]11A Sem 2'!G9</f>
        <v>85</v>
      </c>
      <c r="I22" s="783">
        <f>'[1]11A Sem 2'!H9</f>
        <v>74</v>
      </c>
      <c r="J22" s="783">
        <f>'[1]11A Sem 2'!I9</f>
        <v>90</v>
      </c>
      <c r="K22" s="783">
        <f>'[1]11A Sem 2'!J9</f>
        <v>92</v>
      </c>
      <c r="L22" s="783">
        <f>'[1]11A Sem 2'!K9</f>
        <v>80</v>
      </c>
      <c r="M22" s="783">
        <f>'[1]11A Sem 2'!L9</f>
        <v>82</v>
      </c>
      <c r="N22" s="783">
        <f>'[1]11A Sem 2'!M9</f>
        <v>662</v>
      </c>
      <c r="O22" s="783">
        <f>'[1]11A Sem 2'!N9</f>
        <v>82.75</v>
      </c>
      <c r="P22" s="784">
        <f>'[1]11A Sem 2'!O9</f>
        <v>36</v>
      </c>
      <c r="Q22" s="785">
        <f>'[1]11A Sem 2'!P9</f>
        <v>0</v>
      </c>
      <c r="R22" s="785">
        <f>'[1]11A Sem 2'!Q9</f>
        <v>0</v>
      </c>
    </row>
    <row r="23" spans="1:18" ht="16.5" thickBot="1" x14ac:dyDescent="0.3">
      <c r="A23" s="982"/>
      <c r="B23" s="983"/>
      <c r="C23" s="989">
        <v>16</v>
      </c>
      <c r="D23" s="990" t="s">
        <v>17</v>
      </c>
      <c r="E23" s="402" t="s">
        <v>13</v>
      </c>
      <c r="F23" s="783">
        <f>AVERAGE(F21:F22)</f>
        <v>77</v>
      </c>
      <c r="G23" s="783">
        <f t="shared" ref="G23:R23" si="5">AVERAGE(G21:G22)</f>
        <v>79</v>
      </c>
      <c r="H23" s="783">
        <f t="shared" si="5"/>
        <v>85</v>
      </c>
      <c r="I23" s="783">
        <f t="shared" si="5"/>
        <v>80</v>
      </c>
      <c r="J23" s="783">
        <f t="shared" si="5"/>
        <v>87.5</v>
      </c>
      <c r="K23" s="783">
        <f t="shared" si="5"/>
        <v>86.5</v>
      </c>
      <c r="L23" s="783">
        <f t="shared" si="5"/>
        <v>89.5</v>
      </c>
      <c r="M23" s="783">
        <f t="shared" si="5"/>
        <v>90.5</v>
      </c>
      <c r="N23" s="783">
        <f t="shared" si="5"/>
        <v>675</v>
      </c>
      <c r="O23" s="783">
        <f t="shared" si="5"/>
        <v>84.375</v>
      </c>
      <c r="P23" s="783">
        <f>'[1]11A Sem avr'!$H$9</f>
        <v>32</v>
      </c>
      <c r="Q23" s="783">
        <f t="shared" si="5"/>
        <v>0</v>
      </c>
      <c r="R23" s="783">
        <f t="shared" si="5"/>
        <v>0</v>
      </c>
    </row>
    <row r="24" spans="1:18" ht="16.5" thickBot="1" x14ac:dyDescent="0.3">
      <c r="A24" s="986">
        <v>7</v>
      </c>
      <c r="B24" s="983"/>
      <c r="C24" s="989">
        <v>16</v>
      </c>
      <c r="D24" s="990" t="s">
        <v>20</v>
      </c>
      <c r="E24" s="402" t="s">
        <v>18</v>
      </c>
      <c r="F24" s="783">
        <f>'[1]11A Sem 1'!E10</f>
        <v>92</v>
      </c>
      <c r="G24" s="783">
        <f>'[1]11A Sem 1'!F10</f>
        <v>97</v>
      </c>
      <c r="H24" s="783">
        <f>'[1]11A Sem 1'!G10</f>
        <v>94</v>
      </c>
      <c r="I24" s="783">
        <f>'[1]11A Sem 1'!H10</f>
        <v>90</v>
      </c>
      <c r="J24" s="783">
        <f>'[1]11A Sem 1'!I10</f>
        <v>94</v>
      </c>
      <c r="K24" s="783">
        <f>'[1]11A Sem 1'!J10</f>
        <v>96</v>
      </c>
      <c r="L24" s="783">
        <f>'[1]11A Sem 1'!K10</f>
        <v>98</v>
      </c>
      <c r="M24" s="783">
        <f>'[1]11A Sem 1'!L10</f>
        <v>97</v>
      </c>
      <c r="N24" s="783">
        <f>'[1]11A Sem 1'!M10</f>
        <v>758</v>
      </c>
      <c r="O24" s="783">
        <f>'[1]11A Sem 1'!N10</f>
        <v>94.75</v>
      </c>
      <c r="P24" s="784">
        <f>'[1]11A Sem 1'!O10</f>
        <v>7</v>
      </c>
      <c r="Q24" s="785">
        <f>'[1]11A Sem 1'!P10</f>
        <v>0</v>
      </c>
      <c r="R24" s="785">
        <f>'[1]11A Sem 1'!Q10</f>
        <v>0</v>
      </c>
    </row>
    <row r="25" spans="1:18" ht="16.5" thickBot="1" x14ac:dyDescent="0.3">
      <c r="A25" s="986"/>
      <c r="B25" s="983"/>
      <c r="C25" s="989">
        <v>15</v>
      </c>
      <c r="D25" s="990" t="s">
        <v>20</v>
      </c>
      <c r="E25" s="402" t="s">
        <v>19</v>
      </c>
      <c r="F25" s="783">
        <f>'[1]11A Sem 2'!E10</f>
        <v>91</v>
      </c>
      <c r="G25" s="783">
        <f>'[1]11A Sem 2'!F10</f>
        <v>88</v>
      </c>
      <c r="H25" s="783">
        <f>'[1]11A Sem 2'!G10</f>
        <v>88</v>
      </c>
      <c r="I25" s="783">
        <f>'[1]11A Sem 2'!H10</f>
        <v>90</v>
      </c>
      <c r="J25" s="783">
        <f>'[1]11A Sem 2'!I10</f>
        <v>100</v>
      </c>
      <c r="K25" s="783">
        <f>'[1]11A Sem 2'!J10</f>
        <v>97</v>
      </c>
      <c r="L25" s="783">
        <f>'[1]11A Sem 2'!K10</f>
        <v>96</v>
      </c>
      <c r="M25" s="783">
        <f>'[1]11A Sem 2'!L10</f>
        <v>95</v>
      </c>
      <c r="N25" s="783">
        <f>'[1]11A Sem 2'!M10</f>
        <v>745</v>
      </c>
      <c r="O25" s="783">
        <f>'[1]11A Sem 2'!N10</f>
        <v>93.125</v>
      </c>
      <c r="P25" s="784">
        <f>'[1]11A Sem 2'!O10</f>
        <v>8</v>
      </c>
      <c r="Q25" s="785">
        <f>'[1]11A Sem 2'!P10</f>
        <v>0</v>
      </c>
      <c r="R25" s="785">
        <f>'[1]11A Sem 2'!Q10</f>
        <v>0</v>
      </c>
    </row>
    <row r="26" spans="1:18" ht="16.5" thickBot="1" x14ac:dyDescent="0.3">
      <c r="A26" s="986"/>
      <c r="B26" s="983"/>
      <c r="C26" s="989">
        <v>15</v>
      </c>
      <c r="D26" s="990" t="s">
        <v>20</v>
      </c>
      <c r="E26" s="402" t="s">
        <v>13</v>
      </c>
      <c r="F26" s="783">
        <f>AVERAGE(F24:F25)</f>
        <v>91.5</v>
      </c>
      <c r="G26" s="783">
        <f t="shared" ref="G26:R26" si="6">AVERAGE(G24:G25)</f>
        <v>92.5</v>
      </c>
      <c r="H26" s="783">
        <f t="shared" si="6"/>
        <v>91</v>
      </c>
      <c r="I26" s="783">
        <f t="shared" si="6"/>
        <v>90</v>
      </c>
      <c r="J26" s="783">
        <f t="shared" si="6"/>
        <v>97</v>
      </c>
      <c r="K26" s="783">
        <f t="shared" si="6"/>
        <v>96.5</v>
      </c>
      <c r="L26" s="783">
        <f t="shared" si="6"/>
        <v>97</v>
      </c>
      <c r="M26" s="783">
        <f t="shared" si="6"/>
        <v>96</v>
      </c>
      <c r="N26" s="783">
        <f t="shared" si="6"/>
        <v>751.5</v>
      </c>
      <c r="O26" s="783">
        <f t="shared" si="6"/>
        <v>93.9375</v>
      </c>
      <c r="P26" s="783">
        <f>'[1]11A Sem avr'!$H$10</f>
        <v>8</v>
      </c>
      <c r="Q26" s="783">
        <f t="shared" si="6"/>
        <v>0</v>
      </c>
      <c r="R26" s="783">
        <f t="shared" si="6"/>
        <v>0</v>
      </c>
    </row>
    <row r="27" spans="1:18" ht="16.5" thickBot="1" x14ac:dyDescent="0.3">
      <c r="A27" s="982">
        <v>8</v>
      </c>
      <c r="B27" s="983"/>
      <c r="C27" s="989">
        <v>16</v>
      </c>
      <c r="D27" s="990" t="s">
        <v>17</v>
      </c>
      <c r="E27" s="402" t="s">
        <v>18</v>
      </c>
      <c r="F27" s="783">
        <f>'[1]11A Sem 1'!E11</f>
        <v>73</v>
      </c>
      <c r="G27" s="783">
        <f>'[1]11A Sem 1'!F11</f>
        <v>87</v>
      </c>
      <c r="H27" s="783">
        <f>'[1]11A Sem 1'!G11</f>
        <v>85</v>
      </c>
      <c r="I27" s="783">
        <f>'[1]11A Sem 1'!H11</f>
        <v>80</v>
      </c>
      <c r="J27" s="783">
        <f>'[1]11A Sem 1'!I11</f>
        <v>77</v>
      </c>
      <c r="K27" s="783">
        <f>'[1]11A Sem 1'!J11</f>
        <v>79</v>
      </c>
      <c r="L27" s="783">
        <f>'[1]11A Sem 1'!K11</f>
        <v>97</v>
      </c>
      <c r="M27" s="783">
        <f>'[1]11A Sem 1'!L11</f>
        <v>98</v>
      </c>
      <c r="N27" s="783">
        <f>'[1]11A Sem 1'!M11</f>
        <v>676</v>
      </c>
      <c r="O27" s="783">
        <f>'[1]11A Sem 1'!N11</f>
        <v>84.5</v>
      </c>
      <c r="P27" s="784">
        <f>'[1]11A Sem 1'!O11</f>
        <v>33</v>
      </c>
      <c r="Q27" s="785">
        <f>'[1]11A Sem 1'!P11</f>
        <v>0</v>
      </c>
      <c r="R27" s="785">
        <f>'[1]11A Sem 1'!Q11</f>
        <v>0</v>
      </c>
    </row>
    <row r="28" spans="1:18" ht="16.5" thickBot="1" x14ac:dyDescent="0.3">
      <c r="A28" s="982"/>
      <c r="B28" s="983"/>
      <c r="C28" s="989">
        <v>15</v>
      </c>
      <c r="D28" s="990" t="s">
        <v>20</v>
      </c>
      <c r="E28" s="402" t="s">
        <v>19</v>
      </c>
      <c r="F28" s="783">
        <f>'[1]11A Sem 2'!E11</f>
        <v>71</v>
      </c>
      <c r="G28" s="783">
        <f>'[1]11A Sem 2'!F11</f>
        <v>92</v>
      </c>
      <c r="H28" s="783">
        <f>'[1]11A Sem 2'!G11</f>
        <v>79</v>
      </c>
      <c r="I28" s="783">
        <f>'[1]11A Sem 2'!H11</f>
        <v>72</v>
      </c>
      <c r="J28" s="783">
        <f>'[1]11A Sem 2'!I11</f>
        <v>89</v>
      </c>
      <c r="K28" s="783">
        <f>'[1]11A Sem 2'!J11</f>
        <v>83</v>
      </c>
      <c r="L28" s="783">
        <f>'[1]11A Sem 2'!K11</f>
        <v>99</v>
      </c>
      <c r="M28" s="783">
        <f>'[1]11A Sem 2'!L11</f>
        <v>98</v>
      </c>
      <c r="N28" s="783">
        <f>'[1]11A Sem 2'!M11</f>
        <v>683</v>
      </c>
      <c r="O28" s="783">
        <f>'[1]11A Sem 2'!N11</f>
        <v>85.375</v>
      </c>
      <c r="P28" s="784">
        <f>'[1]11A Sem 2'!O11</f>
        <v>31</v>
      </c>
      <c r="Q28" s="785">
        <f>'[1]11A Sem 2'!P11</f>
        <v>0</v>
      </c>
      <c r="R28" s="785">
        <f>'[1]11A Sem 2'!Q11</f>
        <v>0</v>
      </c>
    </row>
    <row r="29" spans="1:18" ht="16.5" thickBot="1" x14ac:dyDescent="0.3">
      <c r="A29" s="982"/>
      <c r="B29" s="983"/>
      <c r="C29" s="989">
        <v>15</v>
      </c>
      <c r="D29" s="990" t="s">
        <v>20</v>
      </c>
      <c r="E29" s="402" t="s">
        <v>13</v>
      </c>
      <c r="F29" s="783">
        <f>AVERAGE(F27:F28)</f>
        <v>72</v>
      </c>
      <c r="G29" s="783">
        <f t="shared" ref="G29:R29" si="7">AVERAGE(G27:G28)</f>
        <v>89.5</v>
      </c>
      <c r="H29" s="783">
        <f t="shared" si="7"/>
        <v>82</v>
      </c>
      <c r="I29" s="783">
        <f t="shared" si="7"/>
        <v>76</v>
      </c>
      <c r="J29" s="783">
        <f t="shared" si="7"/>
        <v>83</v>
      </c>
      <c r="K29" s="783">
        <f t="shared" si="7"/>
        <v>81</v>
      </c>
      <c r="L29" s="783">
        <f t="shared" si="7"/>
        <v>98</v>
      </c>
      <c r="M29" s="783">
        <f t="shared" si="7"/>
        <v>98</v>
      </c>
      <c r="N29" s="783">
        <f t="shared" si="7"/>
        <v>679.5</v>
      </c>
      <c r="O29" s="783">
        <f t="shared" si="7"/>
        <v>84.9375</v>
      </c>
      <c r="P29" s="783">
        <f>'[1]11A Sem avr'!$H$11</f>
        <v>30</v>
      </c>
      <c r="Q29" s="783">
        <f t="shared" si="7"/>
        <v>0</v>
      </c>
      <c r="R29" s="783">
        <f t="shared" si="7"/>
        <v>0</v>
      </c>
    </row>
    <row r="30" spans="1:18" ht="16.5" thickBot="1" x14ac:dyDescent="0.3">
      <c r="A30" s="982">
        <v>9</v>
      </c>
      <c r="B30" s="983"/>
      <c r="C30" s="989">
        <v>16</v>
      </c>
      <c r="D30" s="990" t="s">
        <v>20</v>
      </c>
      <c r="E30" s="402" t="s">
        <v>18</v>
      </c>
      <c r="F30" s="783">
        <f>'[1]11A Sem 1'!E11</f>
        <v>73</v>
      </c>
      <c r="G30" s="783">
        <f>'[1]11A Sem 1'!F11</f>
        <v>87</v>
      </c>
      <c r="H30" s="783">
        <f>'[1]11A Sem 1'!G11</f>
        <v>85</v>
      </c>
      <c r="I30" s="783">
        <f>'[1]11A Sem 1'!H11</f>
        <v>80</v>
      </c>
      <c r="J30" s="783">
        <f>'[1]11A Sem 1'!I11</f>
        <v>77</v>
      </c>
      <c r="K30" s="783">
        <f>'[1]11A Sem 1'!J11</f>
        <v>79</v>
      </c>
      <c r="L30" s="783">
        <f>'[1]11A Sem 1'!K11</f>
        <v>97</v>
      </c>
      <c r="M30" s="783">
        <f>'[1]11A Sem 1'!L11</f>
        <v>98</v>
      </c>
      <c r="N30" s="783">
        <f>'[1]11A Sem 1'!M11</f>
        <v>676</v>
      </c>
      <c r="O30" s="783">
        <f>'[1]11A Sem 1'!N11</f>
        <v>84.5</v>
      </c>
      <c r="P30" s="784">
        <f>'[1]11A Sem 1'!O11</f>
        <v>33</v>
      </c>
      <c r="Q30" s="785">
        <f>'[1]11A Sem 1'!P11</f>
        <v>0</v>
      </c>
      <c r="R30" s="785">
        <f>'[1]11A Sem 1'!Q11</f>
        <v>0</v>
      </c>
    </row>
    <row r="31" spans="1:18" ht="16.5" thickBot="1" x14ac:dyDescent="0.3">
      <c r="A31" s="982"/>
      <c r="B31" s="983"/>
      <c r="C31" s="989">
        <v>16</v>
      </c>
      <c r="D31" s="990" t="s">
        <v>20</v>
      </c>
      <c r="E31" s="402" t="s">
        <v>19</v>
      </c>
      <c r="F31" s="783">
        <f>'[1]11A Sem 2'!E12</f>
        <v>81</v>
      </c>
      <c r="G31" s="783">
        <f>'[1]11A Sem 2'!F12</f>
        <v>54</v>
      </c>
      <c r="H31" s="783">
        <f>'[1]11A Sem 2'!G12</f>
        <v>60</v>
      </c>
      <c r="I31" s="783">
        <f>'[1]11A Sem 2'!H12</f>
        <v>66</v>
      </c>
      <c r="J31" s="783">
        <f>'[1]11A Sem 2'!I12</f>
        <v>84</v>
      </c>
      <c r="K31" s="783">
        <f>'[1]11A Sem 2'!J12</f>
        <v>93</v>
      </c>
      <c r="L31" s="783">
        <f>'[1]11A Sem 2'!K12</f>
        <v>82</v>
      </c>
      <c r="M31" s="783">
        <f>'[1]11A Sem 2'!L12</f>
        <v>73</v>
      </c>
      <c r="N31" s="783">
        <f>'[1]11A Sem 2'!M12</f>
        <v>593</v>
      </c>
      <c r="O31" s="783">
        <f>'[1]11A Sem 2'!N12</f>
        <v>74.125</v>
      </c>
      <c r="P31" s="784">
        <f>'[1]11A Sem 2'!O12</f>
        <v>48</v>
      </c>
      <c r="Q31" s="785">
        <f>'[1]11A Sem 2'!P12</f>
        <v>0</v>
      </c>
      <c r="R31" s="785">
        <f>'[1]11A Sem 2'!Q12</f>
        <v>0</v>
      </c>
    </row>
    <row r="32" spans="1:18" ht="16.5" thickBot="1" x14ac:dyDescent="0.3">
      <c r="A32" s="982"/>
      <c r="B32" s="983"/>
      <c r="C32" s="989">
        <v>16</v>
      </c>
      <c r="D32" s="990" t="s">
        <v>20</v>
      </c>
      <c r="E32" s="402" t="s">
        <v>13</v>
      </c>
      <c r="F32" s="783">
        <f>AVERAGE(F30:F31)</f>
        <v>77</v>
      </c>
      <c r="G32" s="783">
        <f t="shared" ref="G32:R32" si="8">AVERAGE(G30:G31)</f>
        <v>70.5</v>
      </c>
      <c r="H32" s="783">
        <f t="shared" si="8"/>
        <v>72.5</v>
      </c>
      <c r="I32" s="783">
        <f t="shared" si="8"/>
        <v>73</v>
      </c>
      <c r="J32" s="783">
        <f t="shared" si="8"/>
        <v>80.5</v>
      </c>
      <c r="K32" s="783">
        <f t="shared" si="8"/>
        <v>86</v>
      </c>
      <c r="L32" s="783">
        <f t="shared" si="8"/>
        <v>89.5</v>
      </c>
      <c r="M32" s="783">
        <f t="shared" si="8"/>
        <v>85.5</v>
      </c>
      <c r="N32" s="783">
        <f t="shared" si="8"/>
        <v>634.5</v>
      </c>
      <c r="O32" s="783">
        <f t="shared" si="8"/>
        <v>79.3125</v>
      </c>
      <c r="P32" s="783">
        <f>'[1]11A Sem avr'!$H$12</f>
        <v>46</v>
      </c>
      <c r="Q32" s="783">
        <f t="shared" si="8"/>
        <v>0</v>
      </c>
      <c r="R32" s="783">
        <f t="shared" si="8"/>
        <v>0</v>
      </c>
    </row>
    <row r="33" spans="1:18" ht="16.5" thickBot="1" x14ac:dyDescent="0.3">
      <c r="A33" s="986">
        <v>10</v>
      </c>
      <c r="B33" s="983"/>
      <c r="C33" s="989">
        <v>16</v>
      </c>
      <c r="D33" s="990" t="s">
        <v>17</v>
      </c>
      <c r="E33" s="402" t="s">
        <v>18</v>
      </c>
      <c r="F33" s="783">
        <f>'[1]11A Sem 1'!E13</f>
        <v>62</v>
      </c>
      <c r="G33" s="783">
        <f>'[1]11A Sem 1'!F13</f>
        <v>50</v>
      </c>
      <c r="H33" s="783">
        <f>'[1]11A Sem 1'!G13</f>
        <v>60</v>
      </c>
      <c r="I33" s="783">
        <f>'[1]11A Sem 1'!H13</f>
        <v>52</v>
      </c>
      <c r="J33" s="783">
        <f>'[1]11A Sem 1'!I13</f>
        <v>58</v>
      </c>
      <c r="K33" s="783">
        <f>'[1]11A Sem 1'!J13</f>
        <v>73</v>
      </c>
      <c r="L33" s="783">
        <f>'[1]11A Sem 1'!K13</f>
        <v>75</v>
      </c>
      <c r="M33" s="783">
        <f>'[1]11A Sem 1'!L13</f>
        <v>91</v>
      </c>
      <c r="N33" s="783">
        <f>'[1]11A Sem 1'!M13</f>
        <v>521</v>
      </c>
      <c r="O33" s="783">
        <f>'[1]11A Sem 1'!N13</f>
        <v>65.125</v>
      </c>
      <c r="P33" s="784">
        <f>'[1]11A Sem 1'!O13</f>
        <v>52</v>
      </c>
      <c r="Q33" s="785">
        <f>'[1]11A Sem 1'!P13</f>
        <v>0</v>
      </c>
      <c r="R33" s="785">
        <f>'[1]11A Sem 1'!Q13</f>
        <v>0</v>
      </c>
    </row>
    <row r="34" spans="1:18" ht="16.5" thickBot="1" x14ac:dyDescent="0.3">
      <c r="A34" s="986"/>
      <c r="B34" s="983"/>
      <c r="C34" s="989">
        <v>16</v>
      </c>
      <c r="D34" s="990" t="s">
        <v>17</v>
      </c>
      <c r="E34" s="402" t="s">
        <v>19</v>
      </c>
      <c r="F34" s="783">
        <f>'[1]11A Sem 2'!E13</f>
        <v>66</v>
      </c>
      <c r="G34" s="783">
        <f>'[1]11A Sem 2'!F13</f>
        <v>72</v>
      </c>
      <c r="H34" s="783">
        <f>'[1]11A Sem 2'!G13</f>
        <v>80</v>
      </c>
      <c r="I34" s="783">
        <f>'[1]11A Sem 2'!H13</f>
        <v>63</v>
      </c>
      <c r="J34" s="783">
        <f>'[1]11A Sem 2'!I13</f>
        <v>73</v>
      </c>
      <c r="K34" s="783">
        <f>'[1]11A Sem 2'!J13</f>
        <v>78</v>
      </c>
      <c r="L34" s="783">
        <f>'[1]11A Sem 2'!K13</f>
        <v>91</v>
      </c>
      <c r="M34" s="783">
        <f>'[1]11A Sem 2'!L13</f>
        <v>92</v>
      </c>
      <c r="N34" s="783">
        <f>'[1]11A Sem 2'!M13</f>
        <v>615</v>
      </c>
      <c r="O34" s="783">
        <f>'[1]11A Sem 2'!N13</f>
        <v>76.875</v>
      </c>
      <c r="P34" s="784">
        <f>'[1]11A Sem 2'!O13</f>
        <v>46</v>
      </c>
      <c r="Q34" s="785">
        <f>'[1]11A Sem 2'!P13</f>
        <v>0</v>
      </c>
      <c r="R34" s="785">
        <f>'[1]11A Sem 2'!Q13</f>
        <v>0</v>
      </c>
    </row>
    <row r="35" spans="1:18" ht="16.5" thickBot="1" x14ac:dyDescent="0.3">
      <c r="A35" s="986"/>
      <c r="B35" s="983"/>
      <c r="C35" s="989">
        <v>16</v>
      </c>
      <c r="D35" s="990" t="s">
        <v>17</v>
      </c>
      <c r="E35" s="402" t="s">
        <v>13</v>
      </c>
      <c r="F35" s="783">
        <f>AVERAGE(F33:F34)</f>
        <v>64</v>
      </c>
      <c r="G35" s="783">
        <f t="shared" ref="G35:R35" si="9">AVERAGE(G33:G34)</f>
        <v>61</v>
      </c>
      <c r="H35" s="783">
        <f t="shared" si="9"/>
        <v>70</v>
      </c>
      <c r="I35" s="783">
        <f t="shared" si="9"/>
        <v>57.5</v>
      </c>
      <c r="J35" s="783">
        <f t="shared" si="9"/>
        <v>65.5</v>
      </c>
      <c r="K35" s="783">
        <f t="shared" si="9"/>
        <v>75.5</v>
      </c>
      <c r="L35" s="783">
        <f t="shared" si="9"/>
        <v>83</v>
      </c>
      <c r="M35" s="783">
        <f t="shared" si="9"/>
        <v>91.5</v>
      </c>
      <c r="N35" s="783">
        <f t="shared" si="9"/>
        <v>568</v>
      </c>
      <c r="O35" s="783">
        <f t="shared" si="9"/>
        <v>71</v>
      </c>
      <c r="P35" s="783">
        <f>'[1]11A Sem avr'!$H$13</f>
        <v>50</v>
      </c>
      <c r="Q35" s="783">
        <f t="shared" si="9"/>
        <v>0</v>
      </c>
      <c r="R35" s="783">
        <f t="shared" si="9"/>
        <v>0</v>
      </c>
    </row>
    <row r="36" spans="1:18" ht="16.5" thickBot="1" x14ac:dyDescent="0.3">
      <c r="A36" s="982">
        <v>11</v>
      </c>
      <c r="B36" s="983"/>
      <c r="C36" s="989">
        <v>16</v>
      </c>
      <c r="D36" s="990" t="s">
        <v>20</v>
      </c>
      <c r="E36" s="402" t="s">
        <v>18</v>
      </c>
      <c r="F36" s="783">
        <f>'[1]11A Sem 1'!E14</f>
        <v>84</v>
      </c>
      <c r="G36" s="783">
        <f>'[1]11A Sem 1'!F14</f>
        <v>74</v>
      </c>
      <c r="H36" s="783">
        <f>'[1]11A Sem 1'!G14</f>
        <v>80</v>
      </c>
      <c r="I36" s="783">
        <f>'[1]11A Sem 1'!H14</f>
        <v>70</v>
      </c>
      <c r="J36" s="783">
        <f>'[1]11A Sem 1'!I14</f>
        <v>86</v>
      </c>
      <c r="K36" s="783">
        <f>'[1]11A Sem 1'!J14</f>
        <v>98</v>
      </c>
      <c r="L36" s="783">
        <f>'[1]11A Sem 1'!K14</f>
        <v>79</v>
      </c>
      <c r="M36" s="783">
        <f>'[1]11A Sem 1'!L14</f>
        <v>83</v>
      </c>
      <c r="N36" s="783">
        <f>'[1]11A Sem 1'!M14</f>
        <v>654</v>
      </c>
      <c r="O36" s="783">
        <f>'[1]11A Sem 1'!N14</f>
        <v>81.75</v>
      </c>
      <c r="P36" s="784">
        <f>'[1]11A Sem 1'!O14</f>
        <v>38</v>
      </c>
      <c r="Q36" s="785">
        <f>'[1]11A Sem 1'!P14</f>
        <v>0</v>
      </c>
      <c r="R36" s="785">
        <f>'[1]11A Sem 1'!Q14</f>
        <v>0</v>
      </c>
    </row>
    <row r="37" spans="1:18" ht="16.5" thickBot="1" x14ac:dyDescent="0.3">
      <c r="A37" s="982"/>
      <c r="B37" s="983"/>
      <c r="C37" s="989">
        <v>15</v>
      </c>
      <c r="D37" s="990" t="s">
        <v>20</v>
      </c>
      <c r="E37" s="402" t="s">
        <v>19</v>
      </c>
      <c r="F37" s="783">
        <f>'[1]11A Sem 2'!E14</f>
        <v>76</v>
      </c>
      <c r="G37" s="783">
        <f>'[1]11A Sem 2'!F14</f>
        <v>85</v>
      </c>
      <c r="H37" s="783">
        <f>'[1]11A Sem 2'!G14</f>
        <v>67</v>
      </c>
      <c r="I37" s="783">
        <f>'[1]11A Sem 2'!H14</f>
        <v>81</v>
      </c>
      <c r="J37" s="783">
        <f>'[1]11A Sem 2'!I14</f>
        <v>86</v>
      </c>
      <c r="K37" s="783">
        <f>'[1]11A Sem 2'!J14</f>
        <v>93</v>
      </c>
      <c r="L37" s="783">
        <f>'[1]11A Sem 2'!K14</f>
        <v>82</v>
      </c>
      <c r="M37" s="783">
        <f>'[1]11A Sem 2'!L14</f>
        <v>80</v>
      </c>
      <c r="N37" s="783">
        <f>'[1]11A Sem 2'!M14</f>
        <v>650</v>
      </c>
      <c r="O37" s="783">
        <f>'[1]11A Sem 2'!N14</f>
        <v>81.25</v>
      </c>
      <c r="P37" s="784">
        <f>'[1]11A Sem 2'!O14</f>
        <v>39</v>
      </c>
      <c r="Q37" s="785">
        <f>'[1]11A Sem 2'!P14</f>
        <v>0</v>
      </c>
      <c r="R37" s="785">
        <f>'[1]11A Sem 2'!Q14</f>
        <v>0</v>
      </c>
    </row>
    <row r="38" spans="1:18" ht="16.5" thickBot="1" x14ac:dyDescent="0.3">
      <c r="A38" s="982"/>
      <c r="B38" s="983"/>
      <c r="C38" s="989">
        <v>15</v>
      </c>
      <c r="D38" s="990" t="s">
        <v>20</v>
      </c>
      <c r="E38" s="402" t="s">
        <v>13</v>
      </c>
      <c r="F38" s="783">
        <f>AVERAGE(F36:F37)</f>
        <v>80</v>
      </c>
      <c r="G38" s="783">
        <f t="shared" ref="G38:R38" si="10">AVERAGE(G36:G37)</f>
        <v>79.5</v>
      </c>
      <c r="H38" s="783">
        <f t="shared" si="10"/>
        <v>73.5</v>
      </c>
      <c r="I38" s="783">
        <f t="shared" si="10"/>
        <v>75.5</v>
      </c>
      <c r="J38" s="783">
        <f t="shared" si="10"/>
        <v>86</v>
      </c>
      <c r="K38" s="783">
        <f t="shared" si="10"/>
        <v>95.5</v>
      </c>
      <c r="L38" s="783">
        <f t="shared" si="10"/>
        <v>80.5</v>
      </c>
      <c r="M38" s="783">
        <f t="shared" si="10"/>
        <v>81.5</v>
      </c>
      <c r="N38" s="783">
        <f t="shared" si="10"/>
        <v>652</v>
      </c>
      <c r="O38" s="783">
        <f t="shared" si="10"/>
        <v>81.5</v>
      </c>
      <c r="P38" s="783">
        <f>'[1]11A Sem avr'!$H$14</f>
        <v>39</v>
      </c>
      <c r="Q38" s="783">
        <f t="shared" si="10"/>
        <v>0</v>
      </c>
      <c r="R38" s="783">
        <f t="shared" si="10"/>
        <v>0</v>
      </c>
    </row>
    <row r="39" spans="1:18" ht="16.5" thickBot="1" x14ac:dyDescent="0.3">
      <c r="A39" s="982">
        <v>12</v>
      </c>
      <c r="B39" s="983"/>
      <c r="C39" s="989">
        <v>16</v>
      </c>
      <c r="D39" s="990" t="s">
        <v>20</v>
      </c>
      <c r="E39" s="402" t="s">
        <v>18</v>
      </c>
      <c r="F39" s="783">
        <f>'[1]11A Sem 1'!E15</f>
        <v>62</v>
      </c>
      <c r="G39" s="783">
        <f>'[1]11A Sem 1'!F15</f>
        <v>74</v>
      </c>
      <c r="H39" s="783">
        <f>'[1]11A Sem 1'!G15</f>
        <v>75</v>
      </c>
      <c r="I39" s="783">
        <f>'[1]11A Sem 1'!H15</f>
        <v>72</v>
      </c>
      <c r="J39" s="783">
        <f>'[1]11A Sem 1'!I15</f>
        <v>71</v>
      </c>
      <c r="K39" s="783">
        <f>'[1]11A Sem 1'!J15</f>
        <v>91</v>
      </c>
      <c r="L39" s="783">
        <f>'[1]11A Sem 1'!K15</f>
        <v>83</v>
      </c>
      <c r="M39" s="783">
        <f>'[1]11A Sem 1'!L15</f>
        <v>86</v>
      </c>
      <c r="N39" s="783">
        <f>'[1]11A Sem 1'!M15</f>
        <v>614</v>
      </c>
      <c r="O39" s="783">
        <f>'[1]11A Sem 1'!N15</f>
        <v>76.75</v>
      </c>
      <c r="P39" s="784">
        <f>'[1]11A Sem 1'!O15</f>
        <v>46</v>
      </c>
      <c r="Q39" s="785">
        <f>'[1]11A Sem 1'!P15</f>
        <v>0</v>
      </c>
      <c r="R39" s="785">
        <f>'[1]11A Sem 1'!Q15</f>
        <v>0</v>
      </c>
    </row>
    <row r="40" spans="1:18" ht="16.5" thickBot="1" x14ac:dyDescent="0.3">
      <c r="A40" s="982"/>
      <c r="B40" s="983"/>
      <c r="C40" s="989">
        <v>15</v>
      </c>
      <c r="D40" s="990" t="s">
        <v>17</v>
      </c>
      <c r="E40" s="402" t="s">
        <v>19</v>
      </c>
      <c r="F40" s="783">
        <f>'[1]11A Sem 2'!E15</f>
        <v>69</v>
      </c>
      <c r="G40" s="783">
        <f>'[1]11A Sem 2'!F15</f>
        <v>79</v>
      </c>
      <c r="H40" s="783">
        <f>'[1]11A Sem 2'!G15</f>
        <v>66</v>
      </c>
      <c r="I40" s="783">
        <f>'[1]11A Sem 2'!H15</f>
        <v>70</v>
      </c>
      <c r="J40" s="783">
        <f>'[1]11A Sem 2'!I15</f>
        <v>86</v>
      </c>
      <c r="K40" s="783">
        <f>'[1]11A Sem 2'!J15</f>
        <v>90</v>
      </c>
      <c r="L40" s="783">
        <f>'[1]11A Sem 2'!K15</f>
        <v>94</v>
      </c>
      <c r="M40" s="783">
        <f>'[1]11A Sem 2'!L15</f>
        <v>87</v>
      </c>
      <c r="N40" s="783">
        <f>'[1]11A Sem 2'!M15</f>
        <v>641</v>
      </c>
      <c r="O40" s="783">
        <f>'[1]11A Sem 2'!N15</f>
        <v>80.125</v>
      </c>
      <c r="P40" s="784">
        <f>'[1]11A Sem 2'!O15</f>
        <v>43</v>
      </c>
      <c r="Q40" s="785">
        <f>'[1]11A Sem 2'!P15</f>
        <v>0</v>
      </c>
      <c r="R40" s="785">
        <f>'[1]11A Sem 2'!Q15</f>
        <v>0</v>
      </c>
    </row>
    <row r="41" spans="1:18" ht="16.5" thickBot="1" x14ac:dyDescent="0.3">
      <c r="A41" s="982"/>
      <c r="B41" s="983"/>
      <c r="C41" s="989">
        <v>15</v>
      </c>
      <c r="D41" s="990" t="s">
        <v>17</v>
      </c>
      <c r="E41" s="402" t="s">
        <v>13</v>
      </c>
      <c r="F41" s="783">
        <f>AVERAGE(F39:F40)</f>
        <v>65.5</v>
      </c>
      <c r="G41" s="783">
        <f t="shared" ref="G41:R41" si="11">AVERAGE(G39:G40)</f>
        <v>76.5</v>
      </c>
      <c r="H41" s="783">
        <f t="shared" si="11"/>
        <v>70.5</v>
      </c>
      <c r="I41" s="783">
        <f t="shared" si="11"/>
        <v>71</v>
      </c>
      <c r="J41" s="783">
        <f t="shared" si="11"/>
        <v>78.5</v>
      </c>
      <c r="K41" s="783">
        <f t="shared" si="11"/>
        <v>90.5</v>
      </c>
      <c r="L41" s="783">
        <f t="shared" si="11"/>
        <v>88.5</v>
      </c>
      <c r="M41" s="783">
        <f t="shared" si="11"/>
        <v>86.5</v>
      </c>
      <c r="N41" s="783">
        <f t="shared" si="11"/>
        <v>627.5</v>
      </c>
      <c r="O41" s="783">
        <f t="shared" si="11"/>
        <v>78.4375</v>
      </c>
      <c r="P41" s="783">
        <f>'[1]11A Sem avr'!$H$15</f>
        <v>45</v>
      </c>
      <c r="Q41" s="783">
        <f t="shared" si="11"/>
        <v>0</v>
      </c>
      <c r="R41" s="783">
        <f t="shared" si="11"/>
        <v>0</v>
      </c>
    </row>
    <row r="42" spans="1:18" ht="16.5" thickBot="1" x14ac:dyDescent="0.3">
      <c r="A42" s="986">
        <v>13</v>
      </c>
      <c r="B42" s="983"/>
      <c r="C42" s="987">
        <v>16</v>
      </c>
      <c r="D42" s="988" t="s">
        <v>17</v>
      </c>
      <c r="E42" s="402" t="s">
        <v>18</v>
      </c>
      <c r="F42" s="783">
        <f>'[1]11A Sem 1'!E16</f>
        <v>67</v>
      </c>
      <c r="G42" s="783">
        <f>'[1]11A Sem 1'!F16</f>
        <v>44</v>
      </c>
      <c r="H42" s="783">
        <f>'[1]11A Sem 1'!G16</f>
        <v>59</v>
      </c>
      <c r="I42" s="783">
        <f>'[1]11A Sem 1'!H16</f>
        <v>54</v>
      </c>
      <c r="J42" s="783">
        <f>'[1]11A Sem 1'!I16</f>
        <v>71</v>
      </c>
      <c r="K42" s="783">
        <f>'[1]11A Sem 1'!J16</f>
        <v>88</v>
      </c>
      <c r="L42" s="783">
        <f>'[1]11A Sem 1'!K16</f>
        <v>94</v>
      </c>
      <c r="M42" s="783">
        <f>'[1]11A Sem 1'!L16</f>
        <v>91</v>
      </c>
      <c r="N42" s="783">
        <f>'[1]11A Sem 1'!M16</f>
        <v>568</v>
      </c>
      <c r="O42" s="783">
        <f>'[1]11A Sem 1'!N16</f>
        <v>71</v>
      </c>
      <c r="P42" s="784">
        <f>'[1]11A Sem 1'!O16</f>
        <v>48</v>
      </c>
      <c r="Q42" s="785">
        <f>'[1]11A Sem 1'!P16</f>
        <v>0</v>
      </c>
      <c r="R42" s="785">
        <f>'[1]11A Sem 1'!Q16</f>
        <v>0</v>
      </c>
    </row>
    <row r="43" spans="1:18" ht="16.5" thickBot="1" x14ac:dyDescent="0.3">
      <c r="A43" s="986"/>
      <c r="B43" s="983"/>
      <c r="C43" s="987">
        <v>16</v>
      </c>
      <c r="D43" s="988" t="s">
        <v>20</v>
      </c>
      <c r="E43" s="402" t="s">
        <v>19</v>
      </c>
      <c r="F43" s="783">
        <f>'[1]11A Sem 2'!E16</f>
        <v>69</v>
      </c>
      <c r="G43" s="783">
        <f>'[1]11A Sem 2'!F16</f>
        <v>60</v>
      </c>
      <c r="H43" s="783">
        <f>'[1]11A Sem 2'!G16</f>
        <v>60</v>
      </c>
      <c r="I43" s="783">
        <f>'[1]11A Sem 2'!H16</f>
        <v>58</v>
      </c>
      <c r="J43" s="783">
        <f>'[1]11A Sem 2'!I16</f>
        <v>79</v>
      </c>
      <c r="K43" s="783">
        <f>'[1]11A Sem 2'!J16</f>
        <v>88</v>
      </c>
      <c r="L43" s="783">
        <f>'[1]11A Sem 2'!K16</f>
        <v>91</v>
      </c>
      <c r="M43" s="783">
        <f>'[1]11A Sem 2'!L16</f>
        <v>93</v>
      </c>
      <c r="N43" s="783">
        <f>'[1]11A Sem 2'!M16</f>
        <v>598</v>
      </c>
      <c r="O43" s="783">
        <f>'[1]11A Sem 2'!N16</f>
        <v>74.75</v>
      </c>
      <c r="P43" s="784">
        <f>'[1]11A Sem 2'!O16</f>
        <v>47</v>
      </c>
      <c r="Q43" s="785">
        <f>'[1]11A Sem 2'!P16</f>
        <v>0</v>
      </c>
      <c r="R43" s="785">
        <f>'[1]11A Sem 2'!Q16</f>
        <v>0</v>
      </c>
    </row>
    <row r="44" spans="1:18" ht="16.5" thickBot="1" x14ac:dyDescent="0.3">
      <c r="A44" s="986"/>
      <c r="B44" s="983"/>
      <c r="C44" s="987">
        <v>16</v>
      </c>
      <c r="D44" s="988" t="s">
        <v>20</v>
      </c>
      <c r="E44" s="402" t="s">
        <v>13</v>
      </c>
      <c r="F44" s="783">
        <f>AVERAGE(F42:F43)</f>
        <v>68</v>
      </c>
      <c r="G44" s="783">
        <f t="shared" ref="G44:R44" si="12">AVERAGE(G42:G43)</f>
        <v>52</v>
      </c>
      <c r="H44" s="783">
        <f t="shared" si="12"/>
        <v>59.5</v>
      </c>
      <c r="I44" s="783">
        <f t="shared" si="12"/>
        <v>56</v>
      </c>
      <c r="J44" s="783">
        <f t="shared" si="12"/>
        <v>75</v>
      </c>
      <c r="K44" s="783">
        <f t="shared" si="12"/>
        <v>88</v>
      </c>
      <c r="L44" s="783">
        <f t="shared" si="12"/>
        <v>92.5</v>
      </c>
      <c r="M44" s="783">
        <f t="shared" si="12"/>
        <v>92</v>
      </c>
      <c r="N44" s="783">
        <f t="shared" si="12"/>
        <v>583</v>
      </c>
      <c r="O44" s="783">
        <f t="shared" si="12"/>
        <v>72.875</v>
      </c>
      <c r="P44" s="783">
        <f>'[1]11A Sem avr'!$H$16</f>
        <v>47</v>
      </c>
      <c r="Q44" s="783">
        <f t="shared" si="12"/>
        <v>0</v>
      </c>
      <c r="R44" s="783">
        <f t="shared" si="12"/>
        <v>0</v>
      </c>
    </row>
    <row r="45" spans="1:18" ht="16.5" thickBot="1" x14ac:dyDescent="0.3">
      <c r="A45" s="982">
        <v>14</v>
      </c>
      <c r="B45" s="983"/>
      <c r="C45" s="989">
        <v>16</v>
      </c>
      <c r="D45" s="990" t="s">
        <v>17</v>
      </c>
      <c r="E45" s="402" t="s">
        <v>18</v>
      </c>
      <c r="F45" s="783">
        <f>'[1]11A Sem 1'!E17</f>
        <v>90</v>
      </c>
      <c r="G45" s="783">
        <f>'[1]11A Sem 1'!F17</f>
        <v>90</v>
      </c>
      <c r="H45" s="783">
        <f>'[1]11A Sem 1'!G17</f>
        <v>92</v>
      </c>
      <c r="I45" s="783">
        <f>'[1]11A Sem 1'!H17</f>
        <v>90</v>
      </c>
      <c r="J45" s="783">
        <f>'[1]11A Sem 1'!I17</f>
        <v>94</v>
      </c>
      <c r="K45" s="783">
        <f>'[1]11A Sem 1'!J17</f>
        <v>92</v>
      </c>
      <c r="L45" s="783">
        <f>'[1]11A Sem 1'!K17</f>
        <v>89</v>
      </c>
      <c r="M45" s="783">
        <f>'[1]11A Sem 1'!L17</f>
        <v>94</v>
      </c>
      <c r="N45" s="783">
        <f>'[1]11A Sem 1'!M17</f>
        <v>731</v>
      </c>
      <c r="O45" s="783">
        <f>'[1]11A Sem 1'!N17</f>
        <v>91.375</v>
      </c>
      <c r="P45" s="784">
        <f>'[1]11A Sem 1'!O17</f>
        <v>14</v>
      </c>
      <c r="Q45" s="785">
        <f>'[1]11A Sem 1'!P17</f>
        <v>0</v>
      </c>
      <c r="R45" s="785">
        <f>'[1]11A Sem 1'!Q17</f>
        <v>0</v>
      </c>
    </row>
    <row r="46" spans="1:18" ht="16.5" thickBot="1" x14ac:dyDescent="0.3">
      <c r="A46" s="982"/>
      <c r="B46" s="983"/>
      <c r="C46" s="989">
        <v>16</v>
      </c>
      <c r="D46" s="990" t="s">
        <v>17</v>
      </c>
      <c r="E46" s="402" t="s">
        <v>19</v>
      </c>
      <c r="F46" s="783">
        <f>'[1]11A Sem 2'!E17</f>
        <v>92</v>
      </c>
      <c r="G46" s="783">
        <f>'[1]11A Sem 2'!F17</f>
        <v>90</v>
      </c>
      <c r="H46" s="783">
        <f>'[1]11A Sem 2'!G17</f>
        <v>83</v>
      </c>
      <c r="I46" s="783">
        <f>'[1]11A Sem 2'!H17</f>
        <v>84</v>
      </c>
      <c r="J46" s="783">
        <f>'[1]11A Sem 2'!I17</f>
        <v>100</v>
      </c>
      <c r="K46" s="783">
        <f>'[1]11A Sem 2'!J17</f>
        <v>92</v>
      </c>
      <c r="L46" s="783">
        <f>'[1]11A Sem 2'!K17</f>
        <v>99</v>
      </c>
      <c r="M46" s="783">
        <f>'[1]11A Sem 2'!L17</f>
        <v>98</v>
      </c>
      <c r="N46" s="783">
        <f>'[1]11A Sem 2'!M17</f>
        <v>738</v>
      </c>
      <c r="O46" s="783">
        <f>'[1]11A Sem 2'!N17</f>
        <v>92.25</v>
      </c>
      <c r="P46" s="784">
        <f>'[1]11A Sem 2'!O17</f>
        <v>9</v>
      </c>
      <c r="Q46" s="785">
        <f>'[1]11A Sem 2'!P17</f>
        <v>0</v>
      </c>
      <c r="R46" s="785">
        <f>'[1]11A Sem 2'!Q17</f>
        <v>0</v>
      </c>
    </row>
    <row r="47" spans="1:18" ht="16.5" thickBot="1" x14ac:dyDescent="0.3">
      <c r="A47" s="982"/>
      <c r="B47" s="983"/>
      <c r="C47" s="989">
        <v>16</v>
      </c>
      <c r="D47" s="990" t="s">
        <v>17</v>
      </c>
      <c r="E47" s="402" t="s">
        <v>13</v>
      </c>
      <c r="F47" s="783">
        <f>AVERAGE(F45:F46)</f>
        <v>91</v>
      </c>
      <c r="G47" s="783">
        <f t="shared" ref="G47:R47" si="13">AVERAGE(G45:G46)</f>
        <v>90</v>
      </c>
      <c r="H47" s="783">
        <f t="shared" si="13"/>
        <v>87.5</v>
      </c>
      <c r="I47" s="783">
        <f t="shared" si="13"/>
        <v>87</v>
      </c>
      <c r="J47" s="783">
        <f t="shared" si="13"/>
        <v>97</v>
      </c>
      <c r="K47" s="783">
        <f t="shared" si="13"/>
        <v>92</v>
      </c>
      <c r="L47" s="783">
        <f t="shared" si="13"/>
        <v>94</v>
      </c>
      <c r="M47" s="783">
        <f t="shared" si="13"/>
        <v>96</v>
      </c>
      <c r="N47" s="783">
        <f t="shared" si="13"/>
        <v>734.5</v>
      </c>
      <c r="O47" s="783">
        <f t="shared" si="13"/>
        <v>91.8125</v>
      </c>
      <c r="P47" s="783">
        <f>'[1]11A Sem avr'!$H$17</f>
        <v>12</v>
      </c>
      <c r="Q47" s="783">
        <f t="shared" si="13"/>
        <v>0</v>
      </c>
      <c r="R47" s="783">
        <f t="shared" si="13"/>
        <v>0</v>
      </c>
    </row>
    <row r="48" spans="1:18" ht="16.5" thickBot="1" x14ac:dyDescent="0.3">
      <c r="A48" s="982">
        <v>15</v>
      </c>
      <c r="B48" s="983"/>
      <c r="C48" s="989">
        <v>16</v>
      </c>
      <c r="D48" s="990" t="s">
        <v>20</v>
      </c>
      <c r="E48" s="402" t="s">
        <v>18</v>
      </c>
      <c r="F48" s="783">
        <f>'[1]11A Sem 1'!E18</f>
        <v>72</v>
      </c>
      <c r="G48" s="783">
        <f>'[1]11A Sem 1'!F18</f>
        <v>79</v>
      </c>
      <c r="H48" s="786">
        <f>'[1]11A Sem 1'!G18</f>
        <v>77</v>
      </c>
      <c r="I48" s="783">
        <f>'[1]11A Sem 1'!H18</f>
        <v>82</v>
      </c>
      <c r="J48" s="783">
        <f>'[1]11A Sem 1'!I18</f>
        <v>80</v>
      </c>
      <c r="K48" s="783">
        <f>'[1]11A Sem 1'!J18</f>
        <v>84</v>
      </c>
      <c r="L48" s="783">
        <f>'[1]11A Sem 1'!K18</f>
        <v>84</v>
      </c>
      <c r="M48" s="783">
        <f>'[1]11A Sem 1'!L18</f>
        <v>91</v>
      </c>
      <c r="N48" s="783">
        <f>'[1]11A Sem 1'!M18</f>
        <v>649</v>
      </c>
      <c r="O48" s="783">
        <f>'[1]11A Sem 1'!N18</f>
        <v>81.125</v>
      </c>
      <c r="P48" s="784">
        <f>'[1]11A Sem 1'!O18</f>
        <v>40</v>
      </c>
      <c r="Q48" s="785">
        <f>'[1]11A Sem 1'!P18</f>
        <v>0</v>
      </c>
      <c r="R48" s="785">
        <f>'[1]11A Sem 1'!Q18</f>
        <v>0</v>
      </c>
    </row>
    <row r="49" spans="1:18" ht="16.5" thickBot="1" x14ac:dyDescent="0.3">
      <c r="A49" s="982"/>
      <c r="B49" s="983"/>
      <c r="C49" s="989">
        <v>15</v>
      </c>
      <c r="D49" s="990" t="s">
        <v>20</v>
      </c>
      <c r="E49" s="402" t="s">
        <v>19</v>
      </c>
      <c r="F49" s="783">
        <f>'[1]11A Sem 2'!E18</f>
        <v>70</v>
      </c>
      <c r="G49" s="783">
        <f>'[1]11A Sem 2'!F18</f>
        <v>82</v>
      </c>
      <c r="H49" s="786">
        <f>'[1]11A Sem 2'!G18</f>
        <v>75</v>
      </c>
      <c r="I49" s="783">
        <f>'[1]11A Sem 2'!H18</f>
        <v>77</v>
      </c>
      <c r="J49" s="783">
        <f>'[1]11A Sem 2'!I18</f>
        <v>79</v>
      </c>
      <c r="K49" s="783">
        <f>'[1]11A Sem 2'!J18</f>
        <v>95</v>
      </c>
      <c r="L49" s="783">
        <f>'[1]11A Sem 2'!K18</f>
        <v>93</v>
      </c>
      <c r="M49" s="783">
        <f>'[1]11A Sem 2'!L18</f>
        <v>93</v>
      </c>
      <c r="N49" s="783">
        <f>'[1]11A Sem 2'!M18</f>
        <v>664</v>
      </c>
      <c r="O49" s="783">
        <f>'[1]11A Sem 2'!N18</f>
        <v>83</v>
      </c>
      <c r="P49" s="784">
        <f>'[1]11A Sem 2'!O18</f>
        <v>35</v>
      </c>
      <c r="Q49" s="785">
        <f>'[1]11A Sem 2'!P18</f>
        <v>0</v>
      </c>
      <c r="R49" s="785">
        <f>'[1]11A Sem 2'!Q18</f>
        <v>0</v>
      </c>
    </row>
    <row r="50" spans="1:18" ht="16.5" thickBot="1" x14ac:dyDescent="0.3">
      <c r="A50" s="982"/>
      <c r="B50" s="983"/>
      <c r="C50" s="989">
        <v>15</v>
      </c>
      <c r="D50" s="990" t="s">
        <v>20</v>
      </c>
      <c r="E50" s="402" t="s">
        <v>13</v>
      </c>
      <c r="F50" s="783">
        <f>AVERAGE(F48:F49)</f>
        <v>71</v>
      </c>
      <c r="G50" s="783">
        <f t="shared" ref="G50:R50" si="14">AVERAGE(G48:G49)</f>
        <v>80.5</v>
      </c>
      <c r="H50" s="783">
        <f t="shared" si="14"/>
        <v>76</v>
      </c>
      <c r="I50" s="783">
        <f t="shared" si="14"/>
        <v>79.5</v>
      </c>
      <c r="J50" s="783">
        <f t="shared" si="14"/>
        <v>79.5</v>
      </c>
      <c r="K50" s="783">
        <f t="shared" si="14"/>
        <v>89.5</v>
      </c>
      <c r="L50" s="783">
        <f t="shared" si="14"/>
        <v>88.5</v>
      </c>
      <c r="M50" s="783">
        <f t="shared" si="14"/>
        <v>92</v>
      </c>
      <c r="N50" s="783">
        <f t="shared" si="14"/>
        <v>656.5</v>
      </c>
      <c r="O50" s="783">
        <f t="shared" si="14"/>
        <v>82.0625</v>
      </c>
      <c r="P50" s="783">
        <f>'[1]11A Sem avr'!$H$18</f>
        <v>38</v>
      </c>
      <c r="Q50" s="783">
        <f t="shared" si="14"/>
        <v>0</v>
      </c>
      <c r="R50" s="783">
        <f t="shared" si="14"/>
        <v>0</v>
      </c>
    </row>
    <row r="51" spans="1:18" ht="16.5" thickBot="1" x14ac:dyDescent="0.3">
      <c r="A51" s="986">
        <v>16</v>
      </c>
      <c r="B51" s="983"/>
      <c r="C51" s="989">
        <v>16</v>
      </c>
      <c r="D51" s="990" t="s">
        <v>20</v>
      </c>
      <c r="E51" s="402" t="s">
        <v>18</v>
      </c>
      <c r="F51" s="783">
        <f>'[1]11A Sem 1'!E19</f>
        <v>89</v>
      </c>
      <c r="G51" s="783">
        <f>'[1]11A Sem 1'!F19</f>
        <v>84</v>
      </c>
      <c r="H51" s="783">
        <f>'[1]11A Sem 1'!G19</f>
        <v>85</v>
      </c>
      <c r="I51" s="783">
        <f>'[1]11A Sem 1'!H19</f>
        <v>78</v>
      </c>
      <c r="J51" s="783">
        <f>'[1]11A Sem 1'!I19</f>
        <v>79</v>
      </c>
      <c r="K51" s="783">
        <f>'[1]11A Sem 1'!J19</f>
        <v>90</v>
      </c>
      <c r="L51" s="783">
        <f>'[1]11A Sem 1'!K19</f>
        <v>91</v>
      </c>
      <c r="M51" s="783">
        <f>'[1]11A Sem 1'!L19</f>
        <v>94</v>
      </c>
      <c r="N51" s="783">
        <f>'[1]11A Sem 1'!M19</f>
        <v>690</v>
      </c>
      <c r="O51" s="783">
        <f>'[1]11A Sem 1'!N19</f>
        <v>86.25</v>
      </c>
      <c r="P51" s="784">
        <f>'[1]11A Sem 1'!O19</f>
        <v>24</v>
      </c>
      <c r="Q51" s="785">
        <f>'[1]11A Sem 1'!P19</f>
        <v>0</v>
      </c>
      <c r="R51" s="785">
        <f>'[1]11A Sem 1'!Q19</f>
        <v>0</v>
      </c>
    </row>
    <row r="52" spans="1:18" ht="16.5" thickBot="1" x14ac:dyDescent="0.3">
      <c r="A52" s="986"/>
      <c r="B52" s="983"/>
      <c r="C52" s="989">
        <v>15</v>
      </c>
      <c r="D52" s="990" t="s">
        <v>20</v>
      </c>
      <c r="E52" s="402" t="s">
        <v>19</v>
      </c>
      <c r="F52" s="783">
        <f>'[1]11A Sem 2'!E19</f>
        <v>84</v>
      </c>
      <c r="G52" s="783">
        <f>'[1]11A Sem 2'!F19</f>
        <v>86</v>
      </c>
      <c r="H52" s="783">
        <f>'[1]11A Sem 2'!G19</f>
        <v>69</v>
      </c>
      <c r="I52" s="783">
        <f>'[1]11A Sem 2'!H19</f>
        <v>78</v>
      </c>
      <c r="J52" s="783">
        <f>'[1]11A Sem 2'!I19</f>
        <v>90</v>
      </c>
      <c r="K52" s="783">
        <f>'[1]11A Sem 2'!J19</f>
        <v>91</v>
      </c>
      <c r="L52" s="783">
        <f>'[1]11A Sem 2'!K19</f>
        <v>96</v>
      </c>
      <c r="M52" s="783">
        <f>'[1]11A Sem 2'!L19</f>
        <v>93</v>
      </c>
      <c r="N52" s="783">
        <f>'[1]11A Sem 2'!M19</f>
        <v>687</v>
      </c>
      <c r="O52" s="783">
        <f>'[1]11A Sem 2'!N19</f>
        <v>85.875</v>
      </c>
      <c r="P52" s="784">
        <f>'[1]11A Sem 2'!O19</f>
        <v>29</v>
      </c>
      <c r="Q52" s="785">
        <f>'[1]11A Sem 2'!P19</f>
        <v>0</v>
      </c>
      <c r="R52" s="785">
        <f>'[1]11A Sem 2'!Q19</f>
        <v>0</v>
      </c>
    </row>
    <row r="53" spans="1:18" ht="16.5" thickBot="1" x14ac:dyDescent="0.3">
      <c r="A53" s="986"/>
      <c r="B53" s="983"/>
      <c r="C53" s="989">
        <v>15</v>
      </c>
      <c r="D53" s="990" t="s">
        <v>20</v>
      </c>
      <c r="E53" s="402" t="s">
        <v>13</v>
      </c>
      <c r="F53" s="783">
        <f>AVERAGE(F51:F52)</f>
        <v>86.5</v>
      </c>
      <c r="G53" s="783">
        <f t="shared" ref="G53:R53" si="15">AVERAGE(G51:G52)</f>
        <v>85</v>
      </c>
      <c r="H53" s="783">
        <f t="shared" si="15"/>
        <v>77</v>
      </c>
      <c r="I53" s="783">
        <f t="shared" si="15"/>
        <v>78</v>
      </c>
      <c r="J53" s="783">
        <f t="shared" si="15"/>
        <v>84.5</v>
      </c>
      <c r="K53" s="783">
        <f t="shared" si="15"/>
        <v>90.5</v>
      </c>
      <c r="L53" s="783">
        <f t="shared" si="15"/>
        <v>93.5</v>
      </c>
      <c r="M53" s="783">
        <f t="shared" si="15"/>
        <v>93.5</v>
      </c>
      <c r="N53" s="783">
        <f t="shared" si="15"/>
        <v>688.5</v>
      </c>
      <c r="O53" s="783">
        <f t="shared" si="15"/>
        <v>86.0625</v>
      </c>
      <c r="P53" s="783">
        <f>'[1]11A Sem avr'!$H$19</f>
        <v>25</v>
      </c>
      <c r="Q53" s="783">
        <f t="shared" si="15"/>
        <v>0</v>
      </c>
      <c r="R53" s="783">
        <f t="shared" si="15"/>
        <v>0</v>
      </c>
    </row>
    <row r="54" spans="1:18" ht="16.5" thickBot="1" x14ac:dyDescent="0.3">
      <c r="A54" s="982">
        <v>17</v>
      </c>
      <c r="B54" s="983"/>
      <c r="C54" s="989">
        <v>16</v>
      </c>
      <c r="D54" s="990" t="s">
        <v>20</v>
      </c>
      <c r="E54" s="402" t="s">
        <v>18</v>
      </c>
      <c r="F54" s="783">
        <f>'[1]11A Sem 1'!E20</f>
        <v>69</v>
      </c>
      <c r="G54" s="783">
        <f>'[1]11A Sem 1'!F20</f>
        <v>54</v>
      </c>
      <c r="H54" s="783">
        <f>'[1]11A Sem 1'!G20</f>
        <v>55</v>
      </c>
      <c r="I54" s="783">
        <f>'[1]11A Sem 1'!H20</f>
        <v>59</v>
      </c>
      <c r="J54" s="783">
        <f>'[1]11A Sem 1'!I20</f>
        <v>72</v>
      </c>
      <c r="K54" s="783">
        <f>'[1]11A Sem 1'!J20</f>
        <v>84</v>
      </c>
      <c r="L54" s="783">
        <f>'[1]11A Sem 1'!K20</f>
        <v>76</v>
      </c>
      <c r="M54" s="783">
        <f>'[1]11A Sem 1'!L20</f>
        <v>74</v>
      </c>
      <c r="N54" s="783">
        <f>'[1]11A Sem 1'!M20</f>
        <v>543</v>
      </c>
      <c r="O54" s="783">
        <f>'[1]11A Sem 1'!N20</f>
        <v>67.875</v>
      </c>
      <c r="P54" s="784">
        <f>'[1]11A Sem 1'!O20</f>
        <v>50</v>
      </c>
      <c r="Q54" s="785">
        <f>'[1]11A Sem 1'!P20</f>
        <v>0</v>
      </c>
      <c r="R54" s="785">
        <f>'[1]11A Sem 1'!Q20</f>
        <v>0</v>
      </c>
    </row>
    <row r="55" spans="1:18" ht="16.5" thickBot="1" x14ac:dyDescent="0.3">
      <c r="A55" s="982"/>
      <c r="B55" s="983"/>
      <c r="C55" s="989">
        <v>16</v>
      </c>
      <c r="D55" s="990" t="s">
        <v>20</v>
      </c>
      <c r="E55" s="402" t="s">
        <v>19</v>
      </c>
      <c r="F55" s="783">
        <f>'[1]11A Sem 2'!E20</f>
        <v>61</v>
      </c>
      <c r="G55" s="783">
        <f>'[1]11A Sem 2'!F20</f>
        <v>49</v>
      </c>
      <c r="H55" s="783">
        <f>'[1]11A Sem 2'!G20</f>
        <v>57</v>
      </c>
      <c r="I55" s="783">
        <f>'[1]11A Sem 2'!H20</f>
        <v>56</v>
      </c>
      <c r="J55" s="783">
        <f>'[1]11A Sem 2'!I20</f>
        <v>81</v>
      </c>
      <c r="K55" s="783">
        <f>'[1]11A Sem 2'!J20</f>
        <v>90</v>
      </c>
      <c r="L55" s="783">
        <f>'[1]11A Sem 2'!K20</f>
        <v>81</v>
      </c>
      <c r="M55" s="783">
        <f>'[1]11A Sem 2'!L20</f>
        <v>75</v>
      </c>
      <c r="N55" s="783">
        <f>'[1]11A Sem 2'!M20</f>
        <v>550</v>
      </c>
      <c r="O55" s="783">
        <f>'[1]11A Sem 2'!N20</f>
        <v>68.75</v>
      </c>
      <c r="P55" s="784">
        <f>'[1]11A Sem 2'!O20</f>
        <v>53</v>
      </c>
      <c r="Q55" s="785">
        <f>'[1]11A Sem 2'!P20</f>
        <v>0</v>
      </c>
      <c r="R55" s="785">
        <f>'[1]11A Sem 2'!Q20</f>
        <v>0</v>
      </c>
    </row>
    <row r="56" spans="1:18" ht="16.5" thickBot="1" x14ac:dyDescent="0.3">
      <c r="A56" s="982"/>
      <c r="B56" s="983"/>
      <c r="C56" s="989">
        <v>16</v>
      </c>
      <c r="D56" s="990" t="s">
        <v>20</v>
      </c>
      <c r="E56" s="402" t="s">
        <v>13</v>
      </c>
      <c r="F56" s="783">
        <f>AVERAGE(F54:F55)</f>
        <v>65</v>
      </c>
      <c r="G56" s="783">
        <f t="shared" ref="G56:R56" si="16">AVERAGE(G54:G55)</f>
        <v>51.5</v>
      </c>
      <c r="H56" s="783">
        <f t="shared" si="16"/>
        <v>56</v>
      </c>
      <c r="I56" s="783">
        <f t="shared" si="16"/>
        <v>57.5</v>
      </c>
      <c r="J56" s="783">
        <f t="shared" si="16"/>
        <v>76.5</v>
      </c>
      <c r="K56" s="783">
        <f t="shared" si="16"/>
        <v>87</v>
      </c>
      <c r="L56" s="783">
        <f t="shared" si="16"/>
        <v>78.5</v>
      </c>
      <c r="M56" s="783">
        <f t="shared" si="16"/>
        <v>74.5</v>
      </c>
      <c r="N56" s="783">
        <f t="shared" si="16"/>
        <v>546.5</v>
      </c>
      <c r="O56" s="783">
        <f t="shared" si="16"/>
        <v>68.3125</v>
      </c>
      <c r="P56" s="783">
        <f>'[1]11A Sem avr'!$H$20</f>
        <v>52</v>
      </c>
      <c r="Q56" s="783">
        <f t="shared" si="16"/>
        <v>0</v>
      </c>
      <c r="R56" s="783">
        <f t="shared" si="16"/>
        <v>0</v>
      </c>
    </row>
    <row r="57" spans="1:18" ht="16.5" thickBot="1" x14ac:dyDescent="0.3">
      <c r="A57" s="982">
        <v>18</v>
      </c>
      <c r="B57" s="983"/>
      <c r="C57" s="989">
        <v>16</v>
      </c>
      <c r="D57" s="990" t="s">
        <v>20</v>
      </c>
      <c r="E57" s="402" t="s">
        <v>18</v>
      </c>
      <c r="F57" s="783">
        <f>'[1]11A Sem 1'!E21</f>
        <v>96</v>
      </c>
      <c r="G57" s="783">
        <f>'[1]11A Sem 1'!F21</f>
        <v>95</v>
      </c>
      <c r="H57" s="786">
        <f>'[1]11A Sem 1'!G21</f>
        <v>91</v>
      </c>
      <c r="I57" s="783">
        <f>'[1]11A Sem 1'!H21</f>
        <v>85</v>
      </c>
      <c r="J57" s="783">
        <f>'[1]11A Sem 1'!I21</f>
        <v>98</v>
      </c>
      <c r="K57" s="783">
        <f>'[1]11A Sem 1'!J21</f>
        <v>99</v>
      </c>
      <c r="L57" s="783">
        <f>'[1]11A Sem 1'!K21</f>
        <v>100</v>
      </c>
      <c r="M57" s="783">
        <f>'[1]11A Sem 1'!L21</f>
        <v>97</v>
      </c>
      <c r="N57" s="783">
        <f>'[1]11A Sem 1'!M21</f>
        <v>761</v>
      </c>
      <c r="O57" s="783">
        <f>'[1]11A Sem 1'!N21</f>
        <v>95.125</v>
      </c>
      <c r="P57" s="784">
        <f>'[1]11A Sem 1'!O21</f>
        <v>6</v>
      </c>
      <c r="Q57" s="785">
        <f>'[1]11A Sem 1'!P21</f>
        <v>0</v>
      </c>
      <c r="R57" s="785">
        <f>'[1]11A Sem 1'!Q21</f>
        <v>0</v>
      </c>
    </row>
    <row r="58" spans="1:18" ht="16.5" thickBot="1" x14ac:dyDescent="0.3">
      <c r="A58" s="982"/>
      <c r="B58" s="983"/>
      <c r="C58" s="989">
        <v>16</v>
      </c>
      <c r="D58" s="990" t="s">
        <v>17</v>
      </c>
      <c r="E58" s="402" t="s">
        <v>19</v>
      </c>
      <c r="F58" s="783">
        <f>'[1]11A Sem 2'!E21</f>
        <v>97</v>
      </c>
      <c r="G58" s="783">
        <f>'[1]11A Sem 2'!F21</f>
        <v>93</v>
      </c>
      <c r="H58" s="786">
        <f>'[1]11A Sem 2'!G21</f>
        <v>91</v>
      </c>
      <c r="I58" s="783">
        <f>'[1]11A Sem 2'!H21</f>
        <v>84</v>
      </c>
      <c r="J58" s="783">
        <f>'[1]11A Sem 2'!I21</f>
        <v>100</v>
      </c>
      <c r="K58" s="783">
        <f>'[1]11A Sem 2'!J21</f>
        <v>97</v>
      </c>
      <c r="L58" s="783">
        <f>'[1]11A Sem 2'!K21</f>
        <v>83</v>
      </c>
      <c r="M58" s="783">
        <f>'[1]11A Sem 2'!L21</f>
        <v>85</v>
      </c>
      <c r="N58" s="783">
        <f>'[1]11A Sem 2'!M21</f>
        <v>730</v>
      </c>
      <c r="O58" s="783">
        <f>'[1]11A Sem 2'!N21</f>
        <v>91.25</v>
      </c>
      <c r="P58" s="784">
        <f>'[1]11A Sem 2'!O21</f>
        <v>13</v>
      </c>
      <c r="Q58" s="785">
        <f>'[1]11A Sem 2'!P21</f>
        <v>0</v>
      </c>
      <c r="R58" s="785">
        <f>'[1]11A Sem 2'!Q21</f>
        <v>0</v>
      </c>
    </row>
    <row r="59" spans="1:18" ht="16.5" thickBot="1" x14ac:dyDescent="0.3">
      <c r="A59" s="982"/>
      <c r="B59" s="983"/>
      <c r="C59" s="989">
        <v>16</v>
      </c>
      <c r="D59" s="990" t="s">
        <v>17</v>
      </c>
      <c r="E59" s="402" t="s">
        <v>13</v>
      </c>
      <c r="F59" s="783">
        <f>AVERAGE(F57:F58)</f>
        <v>96.5</v>
      </c>
      <c r="G59" s="783">
        <f t="shared" ref="G59:R59" si="17">AVERAGE(G57:G58)</f>
        <v>94</v>
      </c>
      <c r="H59" s="783">
        <f t="shared" si="17"/>
        <v>91</v>
      </c>
      <c r="I59" s="783">
        <f t="shared" si="17"/>
        <v>84.5</v>
      </c>
      <c r="J59" s="783">
        <f t="shared" si="17"/>
        <v>99</v>
      </c>
      <c r="K59" s="783">
        <f t="shared" si="17"/>
        <v>98</v>
      </c>
      <c r="L59" s="783">
        <f t="shared" si="17"/>
        <v>91.5</v>
      </c>
      <c r="M59" s="783">
        <f t="shared" si="17"/>
        <v>91</v>
      </c>
      <c r="N59" s="783">
        <f t="shared" si="17"/>
        <v>745.5</v>
      </c>
      <c r="O59" s="783">
        <f t="shared" si="17"/>
        <v>93.1875</v>
      </c>
      <c r="P59" s="783">
        <f>'[1]11A Sem avr'!$H$21</f>
        <v>9</v>
      </c>
      <c r="Q59" s="783">
        <f t="shared" si="17"/>
        <v>0</v>
      </c>
      <c r="R59" s="783">
        <f t="shared" si="17"/>
        <v>0</v>
      </c>
    </row>
    <row r="60" spans="1:18" ht="16.5" thickBot="1" x14ac:dyDescent="0.3">
      <c r="A60" s="986">
        <v>19</v>
      </c>
      <c r="B60" s="983"/>
      <c r="C60" s="989">
        <v>16</v>
      </c>
      <c r="D60" s="990" t="s">
        <v>20</v>
      </c>
      <c r="E60" s="402" t="s">
        <v>18</v>
      </c>
      <c r="F60" s="783">
        <f>'[1]11A Sem 1'!E22</f>
        <v>83</v>
      </c>
      <c r="G60" s="783">
        <f>'[1]11A Sem 1'!F22</f>
        <v>84</v>
      </c>
      <c r="H60" s="783">
        <f>'[1]11A Sem 1'!G22</f>
        <v>93</v>
      </c>
      <c r="I60" s="783">
        <f>'[1]11A Sem 1'!H22</f>
        <v>98</v>
      </c>
      <c r="J60" s="783">
        <f>'[1]11A Sem 1'!I22</f>
        <v>98</v>
      </c>
      <c r="K60" s="783">
        <f>'[1]11A Sem 1'!J22</f>
        <v>100</v>
      </c>
      <c r="L60" s="783">
        <f>'[1]11A Sem 1'!K22</f>
        <v>96</v>
      </c>
      <c r="M60" s="783">
        <f>'[1]11A Sem 1'!L22</f>
        <v>90</v>
      </c>
      <c r="N60" s="783">
        <f>'[1]11A Sem 1'!M22</f>
        <v>742</v>
      </c>
      <c r="O60" s="783">
        <f>'[1]11A Sem 1'!N22</f>
        <v>92.75</v>
      </c>
      <c r="P60" s="784">
        <f>'[1]11A Sem 1'!O22</f>
        <v>11</v>
      </c>
      <c r="Q60" s="785">
        <f>'[1]11A Sem 1'!P22</f>
        <v>0</v>
      </c>
      <c r="R60" s="785">
        <f>'[1]11A Sem 1'!Q22</f>
        <v>0</v>
      </c>
    </row>
    <row r="61" spans="1:18" ht="16.5" thickBot="1" x14ac:dyDescent="0.3">
      <c r="A61" s="986"/>
      <c r="B61" s="983"/>
      <c r="C61" s="989">
        <v>16</v>
      </c>
      <c r="D61" s="990" t="s">
        <v>20</v>
      </c>
      <c r="E61" s="402" t="s">
        <v>19</v>
      </c>
      <c r="F61" s="783">
        <f>'[1]11A Sem 2'!E22</f>
        <v>92</v>
      </c>
      <c r="G61" s="783">
        <f>'[1]11A Sem 2'!F22</f>
        <v>93</v>
      </c>
      <c r="H61" s="783">
        <f>'[1]11A Sem 2'!G22</f>
        <v>88</v>
      </c>
      <c r="I61" s="783">
        <f>'[1]11A Sem 2'!H22</f>
        <v>94</v>
      </c>
      <c r="J61" s="783">
        <f>'[1]11A Sem 2'!I22</f>
        <v>98</v>
      </c>
      <c r="K61" s="783">
        <f>'[1]11A Sem 2'!J22</f>
        <v>99</v>
      </c>
      <c r="L61" s="783">
        <f>'[1]11A Sem 2'!K22</f>
        <v>87</v>
      </c>
      <c r="M61" s="783">
        <f>'[1]11A Sem 2'!L22</f>
        <v>85</v>
      </c>
      <c r="N61" s="783">
        <f>'[1]11A Sem 2'!M22</f>
        <v>736</v>
      </c>
      <c r="O61" s="783">
        <f>'[1]11A Sem 2'!N22</f>
        <v>92</v>
      </c>
      <c r="P61" s="784">
        <f>'[1]11A Sem 2'!O22</f>
        <v>10</v>
      </c>
      <c r="Q61" s="785">
        <f>'[1]11A Sem 2'!P22</f>
        <v>0</v>
      </c>
      <c r="R61" s="785">
        <f>'[1]11A Sem 2'!Q22</f>
        <v>0</v>
      </c>
    </row>
    <row r="62" spans="1:18" ht="16.5" thickBot="1" x14ac:dyDescent="0.3">
      <c r="A62" s="986"/>
      <c r="B62" s="983"/>
      <c r="C62" s="989">
        <v>16</v>
      </c>
      <c r="D62" s="990" t="s">
        <v>20</v>
      </c>
      <c r="E62" s="402" t="s">
        <v>13</v>
      </c>
      <c r="F62" s="783">
        <f>AVERAGE(F60:F61)</f>
        <v>87.5</v>
      </c>
      <c r="G62" s="783">
        <f t="shared" ref="G62:R62" si="18">AVERAGE(G60:G61)</f>
        <v>88.5</v>
      </c>
      <c r="H62" s="783">
        <f t="shared" si="18"/>
        <v>90.5</v>
      </c>
      <c r="I62" s="783">
        <f t="shared" si="18"/>
        <v>96</v>
      </c>
      <c r="J62" s="783">
        <f t="shared" si="18"/>
        <v>98</v>
      </c>
      <c r="K62" s="783">
        <f t="shared" si="18"/>
        <v>99.5</v>
      </c>
      <c r="L62" s="783">
        <f t="shared" si="18"/>
        <v>91.5</v>
      </c>
      <c r="M62" s="783">
        <f t="shared" si="18"/>
        <v>87.5</v>
      </c>
      <c r="N62" s="783">
        <f t="shared" si="18"/>
        <v>739</v>
      </c>
      <c r="O62" s="783">
        <f t="shared" si="18"/>
        <v>92.375</v>
      </c>
      <c r="P62" s="783">
        <f>'[1]11A Sem avr'!$H$22</f>
        <v>11</v>
      </c>
      <c r="Q62" s="783">
        <f t="shared" si="18"/>
        <v>0</v>
      </c>
      <c r="R62" s="783">
        <f t="shared" si="18"/>
        <v>0</v>
      </c>
    </row>
    <row r="63" spans="1:18" ht="16.5" thickBot="1" x14ac:dyDescent="0.3">
      <c r="A63" s="982">
        <v>20</v>
      </c>
      <c r="B63" s="983"/>
      <c r="C63" s="989">
        <v>16</v>
      </c>
      <c r="D63" s="990" t="s">
        <v>17</v>
      </c>
      <c r="E63" s="402" t="s">
        <v>18</v>
      </c>
      <c r="F63" s="783">
        <f>'[1]11A Sem 1'!E23</f>
        <v>76</v>
      </c>
      <c r="G63" s="783">
        <f>'[1]11A Sem 1'!F23</f>
        <v>82</v>
      </c>
      <c r="H63" s="783">
        <f>'[1]11A Sem 1'!G23</f>
        <v>90</v>
      </c>
      <c r="I63" s="783">
        <f>'[1]11A Sem 1'!H23</f>
        <v>80</v>
      </c>
      <c r="J63" s="783">
        <f>'[1]11A Sem 1'!I23</f>
        <v>85</v>
      </c>
      <c r="K63" s="783">
        <f>'[1]11A Sem 1'!J23</f>
        <v>86</v>
      </c>
      <c r="L63" s="783">
        <f>'[1]11A Sem 1'!K23</f>
        <v>93</v>
      </c>
      <c r="M63" s="783">
        <f>'[1]11A Sem 1'!L23</f>
        <v>95</v>
      </c>
      <c r="N63" s="783">
        <f>'[1]11A Sem 1'!M23</f>
        <v>687</v>
      </c>
      <c r="O63" s="783">
        <f>'[1]11A Sem 1'!N23</f>
        <v>85.875</v>
      </c>
      <c r="P63" s="784">
        <f>'[1]11A Sem 1'!O23</f>
        <v>26</v>
      </c>
      <c r="Q63" s="785">
        <f>'[1]11A Sem 1'!P23</f>
        <v>0</v>
      </c>
      <c r="R63" s="785">
        <f>'[1]11A Sem 1'!Q23</f>
        <v>0</v>
      </c>
    </row>
    <row r="64" spans="1:18" ht="16.5" thickBot="1" x14ac:dyDescent="0.3">
      <c r="A64" s="982"/>
      <c r="B64" s="983"/>
      <c r="C64" s="989">
        <v>15</v>
      </c>
      <c r="D64" s="990" t="s">
        <v>20</v>
      </c>
      <c r="E64" s="402" t="s">
        <v>19</v>
      </c>
      <c r="F64" s="783">
        <f>'[1]11A Sem 2'!E23</f>
        <v>86</v>
      </c>
      <c r="G64" s="783">
        <f>'[1]11A Sem 2'!F23</f>
        <v>77</v>
      </c>
      <c r="H64" s="783">
        <f>'[1]11A Sem 2'!G23</f>
        <v>70</v>
      </c>
      <c r="I64" s="783">
        <f>'[1]11A Sem 2'!H23</f>
        <v>74</v>
      </c>
      <c r="J64" s="783">
        <f>'[1]11A Sem 2'!I23</f>
        <v>80</v>
      </c>
      <c r="K64" s="783">
        <f>'[1]11A Sem 2'!J23</f>
        <v>93</v>
      </c>
      <c r="L64" s="783">
        <f>'[1]11A Sem 2'!K23</f>
        <v>89</v>
      </c>
      <c r="M64" s="783">
        <f>'[1]11A Sem 2'!L23</f>
        <v>91</v>
      </c>
      <c r="N64" s="783">
        <f>'[1]11A Sem 2'!M23</f>
        <v>660</v>
      </c>
      <c r="O64" s="783">
        <f>'[1]11A Sem 2'!N23</f>
        <v>82.5</v>
      </c>
      <c r="P64" s="784">
        <f>'[1]11A Sem 2'!O23</f>
        <v>38</v>
      </c>
      <c r="Q64" s="785">
        <f>'[1]11A Sem 2'!P23</f>
        <v>0</v>
      </c>
      <c r="R64" s="785">
        <f>'[1]11A Sem 2'!Q23</f>
        <v>0</v>
      </c>
    </row>
    <row r="65" spans="1:18" ht="16.5" thickBot="1" x14ac:dyDescent="0.3">
      <c r="A65" s="982"/>
      <c r="B65" s="983"/>
      <c r="C65" s="989">
        <v>15</v>
      </c>
      <c r="D65" s="990" t="s">
        <v>20</v>
      </c>
      <c r="E65" s="402" t="s">
        <v>13</v>
      </c>
      <c r="F65" s="783">
        <f>AVERAGE(F63:F64)</f>
        <v>81</v>
      </c>
      <c r="G65" s="783">
        <f t="shared" ref="G65:R65" si="19">AVERAGE(G63:G64)</f>
        <v>79.5</v>
      </c>
      <c r="H65" s="783">
        <f t="shared" si="19"/>
        <v>80</v>
      </c>
      <c r="I65" s="783">
        <f t="shared" si="19"/>
        <v>77</v>
      </c>
      <c r="J65" s="783">
        <f t="shared" si="19"/>
        <v>82.5</v>
      </c>
      <c r="K65" s="783">
        <f t="shared" si="19"/>
        <v>89.5</v>
      </c>
      <c r="L65" s="783">
        <f t="shared" si="19"/>
        <v>91</v>
      </c>
      <c r="M65" s="783">
        <f t="shared" si="19"/>
        <v>93</v>
      </c>
      <c r="N65" s="783">
        <f t="shared" si="19"/>
        <v>673.5</v>
      </c>
      <c r="O65" s="783">
        <f t="shared" si="19"/>
        <v>84.1875</v>
      </c>
      <c r="P65" s="783">
        <f>'[1]11A Sem avr'!$H$23</f>
        <v>34</v>
      </c>
      <c r="Q65" s="783">
        <f t="shared" si="19"/>
        <v>0</v>
      </c>
      <c r="R65" s="783">
        <f t="shared" si="19"/>
        <v>0</v>
      </c>
    </row>
    <row r="66" spans="1:18" ht="16.5" thickBot="1" x14ac:dyDescent="0.3">
      <c r="A66" s="982">
        <v>21</v>
      </c>
      <c r="B66" s="983"/>
      <c r="C66" s="989">
        <v>16</v>
      </c>
      <c r="D66" s="990" t="s">
        <v>17</v>
      </c>
      <c r="E66" s="402" t="s">
        <v>18</v>
      </c>
      <c r="F66" s="783">
        <f>'[1]11A Sem 1'!E24</f>
        <v>87</v>
      </c>
      <c r="G66" s="783">
        <f>'[1]11A Sem 1'!F24</f>
        <v>90</v>
      </c>
      <c r="H66" s="783">
        <f>'[1]11A Sem 1'!G24</f>
        <v>100</v>
      </c>
      <c r="I66" s="783">
        <f>'[1]11A Sem 1'!H24</f>
        <v>91</v>
      </c>
      <c r="J66" s="783">
        <f>'[1]11A Sem 1'!I24</f>
        <v>92</v>
      </c>
      <c r="K66" s="783">
        <f>'[1]11A Sem 1'!J24</f>
        <v>90</v>
      </c>
      <c r="L66" s="783">
        <f>'[1]11A Sem 1'!K24</f>
        <v>97</v>
      </c>
      <c r="M66" s="783">
        <f>'[1]11A Sem 1'!L24</f>
        <v>94</v>
      </c>
      <c r="N66" s="783">
        <f>'[1]11A Sem 1'!M24</f>
        <v>741</v>
      </c>
      <c r="O66" s="783">
        <f>'[1]11A Sem 1'!N24</f>
        <v>92.625</v>
      </c>
      <c r="P66" s="784">
        <f>'[1]11A Sem 1'!O24</f>
        <v>12</v>
      </c>
      <c r="Q66" s="785">
        <f>'[1]11A Sem 1'!P24</f>
        <v>0</v>
      </c>
      <c r="R66" s="785">
        <f>'[1]11A Sem 1'!Q24</f>
        <v>0</v>
      </c>
    </row>
    <row r="67" spans="1:18" ht="16.5" thickBot="1" x14ac:dyDescent="0.3">
      <c r="A67" s="982"/>
      <c r="B67" s="983"/>
      <c r="C67" s="989">
        <v>16</v>
      </c>
      <c r="D67" s="990" t="s">
        <v>17</v>
      </c>
      <c r="E67" s="402" t="s">
        <v>19</v>
      </c>
      <c r="F67" s="783">
        <f>'[1]11A Sem 2'!E24</f>
        <v>85</v>
      </c>
      <c r="G67" s="783">
        <f>'[1]11A Sem 2'!F24</f>
        <v>84</v>
      </c>
      <c r="H67" s="783">
        <f>'[1]11A Sem 2'!G24</f>
        <v>80</v>
      </c>
      <c r="I67" s="783">
        <f>'[1]11A Sem 2'!H24</f>
        <v>83</v>
      </c>
      <c r="J67" s="783">
        <f>'[1]11A Sem 2'!I24</f>
        <v>94</v>
      </c>
      <c r="K67" s="783">
        <f>'[1]11A Sem 2'!J24</f>
        <v>99</v>
      </c>
      <c r="L67" s="783">
        <f>'[1]11A Sem 2'!K24</f>
        <v>93</v>
      </c>
      <c r="M67" s="783">
        <f>'[1]11A Sem 2'!L24</f>
        <v>92</v>
      </c>
      <c r="N67" s="783">
        <f>'[1]11A Sem 2'!M24</f>
        <v>710</v>
      </c>
      <c r="O67" s="783">
        <f>'[1]11A Sem 2'!N24</f>
        <v>88.75</v>
      </c>
      <c r="P67" s="784">
        <f>'[1]11A Sem 2'!O24</f>
        <v>17</v>
      </c>
      <c r="Q67" s="785">
        <f>'[1]11A Sem 2'!P24</f>
        <v>0</v>
      </c>
      <c r="R67" s="785">
        <f>'[1]11A Sem 2'!Q24</f>
        <v>0</v>
      </c>
    </row>
    <row r="68" spans="1:18" ht="16.5" thickBot="1" x14ac:dyDescent="0.3">
      <c r="A68" s="982"/>
      <c r="B68" s="983"/>
      <c r="C68" s="989">
        <v>16</v>
      </c>
      <c r="D68" s="990" t="s">
        <v>17</v>
      </c>
      <c r="E68" s="402" t="s">
        <v>13</v>
      </c>
      <c r="F68" s="783">
        <f>AVERAGE(F66:F67)</f>
        <v>86</v>
      </c>
      <c r="G68" s="783">
        <f t="shared" ref="G68:R68" si="20">AVERAGE(G66:G67)</f>
        <v>87</v>
      </c>
      <c r="H68" s="783">
        <f t="shared" si="20"/>
        <v>90</v>
      </c>
      <c r="I68" s="783">
        <f t="shared" si="20"/>
        <v>87</v>
      </c>
      <c r="J68" s="783">
        <f t="shared" si="20"/>
        <v>93</v>
      </c>
      <c r="K68" s="783">
        <f t="shared" si="20"/>
        <v>94.5</v>
      </c>
      <c r="L68" s="783">
        <f t="shared" si="20"/>
        <v>95</v>
      </c>
      <c r="M68" s="783">
        <f t="shared" si="20"/>
        <v>93</v>
      </c>
      <c r="N68" s="783">
        <f t="shared" si="20"/>
        <v>725.5</v>
      </c>
      <c r="O68" s="783">
        <f t="shared" si="20"/>
        <v>90.6875</v>
      </c>
      <c r="P68" s="783">
        <f>'[1]11A Sem avr'!$H$24</f>
        <v>15</v>
      </c>
      <c r="Q68" s="783">
        <f t="shared" si="20"/>
        <v>0</v>
      </c>
      <c r="R68" s="783">
        <f t="shared" si="20"/>
        <v>0</v>
      </c>
    </row>
    <row r="69" spans="1:18" ht="16.5" thickBot="1" x14ac:dyDescent="0.3">
      <c r="A69" s="986">
        <v>22</v>
      </c>
      <c r="B69" s="983"/>
      <c r="C69" s="989">
        <v>16</v>
      </c>
      <c r="D69" s="990" t="s">
        <v>20</v>
      </c>
      <c r="E69" s="402" t="s">
        <v>18</v>
      </c>
      <c r="F69" s="783">
        <f>'[1]11A Sem 1'!E25</f>
        <v>88</v>
      </c>
      <c r="G69" s="783">
        <f>'[1]11A Sem 1'!F25</f>
        <v>86</v>
      </c>
      <c r="H69" s="783">
        <f>'[1]11A Sem 1'!G25</f>
        <v>91</v>
      </c>
      <c r="I69" s="783">
        <f>'[1]11A Sem 1'!H25</f>
        <v>87</v>
      </c>
      <c r="J69" s="783">
        <f>'[1]11A Sem 1'!I25</f>
        <v>94</v>
      </c>
      <c r="K69" s="783">
        <f>'[1]11A Sem 1'!J25</f>
        <v>99</v>
      </c>
      <c r="L69" s="783">
        <f>'[1]11A Sem 1'!K25</f>
        <v>95</v>
      </c>
      <c r="M69" s="783">
        <f>'[1]11A Sem 1'!L25</f>
        <v>89</v>
      </c>
      <c r="N69" s="783">
        <f>'[1]11A Sem 1'!M25</f>
        <v>729</v>
      </c>
      <c r="O69" s="783">
        <f>'[1]11A Sem 1'!N25</f>
        <v>91.125</v>
      </c>
      <c r="P69" s="784">
        <f>'[1]11A Sem 1'!O25</f>
        <v>15</v>
      </c>
      <c r="Q69" s="785">
        <f>'[1]11A Sem 1'!P25</f>
        <v>0</v>
      </c>
      <c r="R69" s="785">
        <f>'[1]11A Sem 1'!Q25</f>
        <v>0</v>
      </c>
    </row>
    <row r="70" spans="1:18" ht="16.5" thickBot="1" x14ac:dyDescent="0.3">
      <c r="A70" s="986"/>
      <c r="B70" s="983"/>
      <c r="C70" s="989">
        <v>15</v>
      </c>
      <c r="D70" s="990" t="s">
        <v>20</v>
      </c>
      <c r="E70" s="402" t="s">
        <v>19</v>
      </c>
      <c r="F70" s="783">
        <f>'[1]11A Sem 2'!E25</f>
        <v>93</v>
      </c>
      <c r="G70" s="783">
        <f>'[1]11A Sem 2'!F25</f>
        <v>89</v>
      </c>
      <c r="H70" s="783">
        <f>'[1]11A Sem 2'!G25</f>
        <v>90</v>
      </c>
      <c r="I70" s="783">
        <f>'[1]11A Sem 2'!H25</f>
        <v>84</v>
      </c>
      <c r="J70" s="783">
        <f>'[1]11A Sem 2'!I25</f>
        <v>100</v>
      </c>
      <c r="K70" s="783">
        <f>'[1]11A Sem 2'!J25</f>
        <v>100</v>
      </c>
      <c r="L70" s="783">
        <f>'[1]11A Sem 2'!K25</f>
        <v>86</v>
      </c>
      <c r="M70" s="783">
        <f>'[1]11A Sem 2'!L25</f>
        <v>85</v>
      </c>
      <c r="N70" s="783">
        <f>'[1]11A Sem 2'!M25</f>
        <v>727</v>
      </c>
      <c r="O70" s="783">
        <f>'[1]11A Sem 2'!N25</f>
        <v>90.875</v>
      </c>
      <c r="P70" s="784">
        <f>'[1]11A Sem 2'!O25</f>
        <v>14</v>
      </c>
      <c r="Q70" s="785">
        <f>'[1]11A Sem 2'!P25</f>
        <v>0</v>
      </c>
      <c r="R70" s="785">
        <f>'[1]11A Sem 2'!Q25</f>
        <v>0</v>
      </c>
    </row>
    <row r="71" spans="1:18" ht="16.5" thickBot="1" x14ac:dyDescent="0.3">
      <c r="A71" s="986"/>
      <c r="B71" s="983"/>
      <c r="C71" s="989">
        <v>15</v>
      </c>
      <c r="D71" s="990" t="s">
        <v>20</v>
      </c>
      <c r="E71" s="402" t="s">
        <v>13</v>
      </c>
      <c r="F71" s="783">
        <f>AVERAGE(F69:F70)</f>
        <v>90.5</v>
      </c>
      <c r="G71" s="783">
        <f t="shared" ref="G71:R71" si="21">AVERAGE(G69:G70)</f>
        <v>87.5</v>
      </c>
      <c r="H71" s="783">
        <f t="shared" si="21"/>
        <v>90.5</v>
      </c>
      <c r="I71" s="783">
        <f t="shared" si="21"/>
        <v>85.5</v>
      </c>
      <c r="J71" s="783">
        <f t="shared" si="21"/>
        <v>97</v>
      </c>
      <c r="K71" s="783">
        <f t="shared" si="21"/>
        <v>99.5</v>
      </c>
      <c r="L71" s="783">
        <f t="shared" si="21"/>
        <v>90.5</v>
      </c>
      <c r="M71" s="783">
        <f t="shared" si="21"/>
        <v>87</v>
      </c>
      <c r="N71" s="783">
        <f t="shared" si="21"/>
        <v>728</v>
      </c>
      <c r="O71" s="783">
        <f t="shared" si="21"/>
        <v>91</v>
      </c>
      <c r="P71" s="783">
        <f>'[1]11A Sem avr'!$H$25</f>
        <v>14</v>
      </c>
      <c r="Q71" s="783">
        <f t="shared" si="21"/>
        <v>0</v>
      </c>
      <c r="R71" s="783">
        <f t="shared" si="21"/>
        <v>0</v>
      </c>
    </row>
    <row r="72" spans="1:18" ht="16.5" thickBot="1" x14ac:dyDescent="0.3">
      <c r="A72" s="982">
        <v>23</v>
      </c>
      <c r="B72" s="983"/>
      <c r="C72" s="989">
        <v>16</v>
      </c>
      <c r="D72" s="990" t="s">
        <v>20</v>
      </c>
      <c r="E72" s="402" t="s">
        <v>18</v>
      </c>
      <c r="F72" s="783">
        <f>'[1]11A Sem 1'!E26</f>
        <v>72</v>
      </c>
      <c r="G72" s="783">
        <f>'[1]11A Sem 1'!F26</f>
        <v>61</v>
      </c>
      <c r="H72" s="783">
        <f>'[1]11A Sem 1'!G26</f>
        <v>81</v>
      </c>
      <c r="I72" s="783">
        <f>'[1]11A Sem 1'!H26</f>
        <v>69</v>
      </c>
      <c r="J72" s="783">
        <f>'[1]11A Sem 1'!I26</f>
        <v>79</v>
      </c>
      <c r="K72" s="783">
        <f>'[1]11A Sem 1'!J26</f>
        <v>96</v>
      </c>
      <c r="L72" s="783">
        <f>'[1]11A Sem 1'!K26</f>
        <v>91</v>
      </c>
      <c r="M72" s="783">
        <f>'[1]11A Sem 1'!L26</f>
        <v>89</v>
      </c>
      <c r="N72" s="783">
        <f>'[1]11A Sem 1'!M26</f>
        <v>638</v>
      </c>
      <c r="O72" s="783">
        <f>'[1]11A Sem 1'!N26</f>
        <v>79.75</v>
      </c>
      <c r="P72" s="784">
        <f>'[1]11A Sem 1'!O26</f>
        <v>42</v>
      </c>
      <c r="Q72" s="785">
        <f>'[1]11A Sem 1'!P26</f>
        <v>0</v>
      </c>
      <c r="R72" s="785">
        <f>'[1]11A Sem 1'!Q26</f>
        <v>0</v>
      </c>
    </row>
    <row r="73" spans="1:18" ht="16.5" thickBot="1" x14ac:dyDescent="0.3">
      <c r="A73" s="982"/>
      <c r="B73" s="983"/>
      <c r="C73" s="989">
        <v>16</v>
      </c>
      <c r="D73" s="990" t="s">
        <v>17</v>
      </c>
      <c r="E73" s="402" t="s">
        <v>19</v>
      </c>
      <c r="F73" s="783">
        <f>'[1]11A Sem 2'!E26</f>
        <v>70</v>
      </c>
      <c r="G73" s="783">
        <f>'[1]11A Sem 2'!F26</f>
        <v>62</v>
      </c>
      <c r="H73" s="783">
        <f>'[1]11A Sem 2'!G26</f>
        <v>67</v>
      </c>
      <c r="I73" s="783">
        <f>'[1]11A Sem 2'!H26</f>
        <v>66</v>
      </c>
      <c r="J73" s="783">
        <f>'[1]11A Sem 2'!I26</f>
        <v>82</v>
      </c>
      <c r="K73" s="783">
        <f>'[1]11A Sem 2'!J26</f>
        <v>99</v>
      </c>
      <c r="L73" s="783">
        <f>'[1]11A Sem 2'!K26</f>
        <v>92</v>
      </c>
      <c r="M73" s="783">
        <f>'[1]11A Sem 2'!L26</f>
        <v>85</v>
      </c>
      <c r="N73" s="783">
        <f>'[1]11A Sem 2'!M26</f>
        <v>623</v>
      </c>
      <c r="O73" s="783">
        <f>'[1]11A Sem 2'!N26</f>
        <v>77.875</v>
      </c>
      <c r="P73" s="784">
        <f>'[1]11A Sem 2'!O26</f>
        <v>45</v>
      </c>
      <c r="Q73" s="785">
        <f>'[1]11A Sem 2'!P26</f>
        <v>0</v>
      </c>
      <c r="R73" s="785">
        <f>'[1]11A Sem 2'!Q26</f>
        <v>0</v>
      </c>
    </row>
    <row r="74" spans="1:18" ht="16.5" thickBot="1" x14ac:dyDescent="0.3">
      <c r="A74" s="982"/>
      <c r="B74" s="983"/>
      <c r="C74" s="989">
        <v>16</v>
      </c>
      <c r="D74" s="990" t="s">
        <v>17</v>
      </c>
      <c r="E74" s="402" t="s">
        <v>13</v>
      </c>
      <c r="F74" s="783">
        <f>AVERAGE(F72:F73)</f>
        <v>71</v>
      </c>
      <c r="G74" s="783">
        <f t="shared" ref="G74:R74" si="22">AVERAGE(G72:G73)</f>
        <v>61.5</v>
      </c>
      <c r="H74" s="783">
        <f t="shared" si="22"/>
        <v>74</v>
      </c>
      <c r="I74" s="783">
        <f t="shared" si="22"/>
        <v>67.5</v>
      </c>
      <c r="J74" s="783">
        <f t="shared" si="22"/>
        <v>80.5</v>
      </c>
      <c r="K74" s="783">
        <f t="shared" si="22"/>
        <v>97.5</v>
      </c>
      <c r="L74" s="783">
        <f t="shared" si="22"/>
        <v>91.5</v>
      </c>
      <c r="M74" s="783">
        <f t="shared" si="22"/>
        <v>87</v>
      </c>
      <c r="N74" s="783">
        <f t="shared" si="22"/>
        <v>630.5</v>
      </c>
      <c r="O74" s="783">
        <f t="shared" si="22"/>
        <v>78.8125</v>
      </c>
      <c r="P74" s="783">
        <f>'[1]11A Sem avr'!$H$26</f>
        <v>44</v>
      </c>
      <c r="Q74" s="783">
        <f t="shared" si="22"/>
        <v>0</v>
      </c>
      <c r="R74" s="783">
        <f t="shared" si="22"/>
        <v>0</v>
      </c>
    </row>
    <row r="75" spans="1:18" ht="16.5" thickBot="1" x14ac:dyDescent="0.3">
      <c r="A75" s="982">
        <v>24</v>
      </c>
      <c r="B75" s="983"/>
      <c r="C75" s="987">
        <v>16</v>
      </c>
      <c r="D75" s="988" t="s">
        <v>20</v>
      </c>
      <c r="E75" s="402" t="s">
        <v>18</v>
      </c>
      <c r="F75" s="783">
        <f>'[1]11A Sem 1'!E27</f>
        <v>81</v>
      </c>
      <c r="G75" s="783">
        <f>'[1]11A Sem 1'!F27</f>
        <v>93</v>
      </c>
      <c r="H75" s="786">
        <f>'[1]11A Sem 1'!G27</f>
        <v>88</v>
      </c>
      <c r="I75" s="786">
        <f>'[1]11A Sem 1'!H27</f>
        <v>82</v>
      </c>
      <c r="J75" s="783">
        <f>'[1]11A Sem 1'!I27</f>
        <v>86</v>
      </c>
      <c r="K75" s="786">
        <f>'[1]11A Sem 1'!J27</f>
        <v>91</v>
      </c>
      <c r="L75" s="783">
        <f>'[1]11A Sem 1'!K27</f>
        <v>89</v>
      </c>
      <c r="M75" s="783">
        <f>'[1]11A Sem 1'!L27</f>
        <v>93</v>
      </c>
      <c r="N75" s="783">
        <f>'[1]11A Sem 1'!M27</f>
        <v>703</v>
      </c>
      <c r="O75" s="783">
        <f>'[1]11A Sem 1'!N27</f>
        <v>87.875</v>
      </c>
      <c r="P75" s="784">
        <f>'[1]11A Sem 1'!O27</f>
        <v>18</v>
      </c>
      <c r="Q75" s="785">
        <f>'[1]11A Sem 1'!P27</f>
        <v>0</v>
      </c>
      <c r="R75" s="785">
        <f>'[1]11A Sem 1'!Q27</f>
        <v>0</v>
      </c>
    </row>
    <row r="76" spans="1:18" ht="16.5" thickBot="1" x14ac:dyDescent="0.3">
      <c r="A76" s="982"/>
      <c r="B76" s="983"/>
      <c r="C76" s="987">
        <v>15</v>
      </c>
      <c r="D76" s="988" t="s">
        <v>20</v>
      </c>
      <c r="E76" s="402" t="s">
        <v>19</v>
      </c>
      <c r="F76" s="783">
        <f>'[1]11A Sem 2'!E27</f>
        <v>82</v>
      </c>
      <c r="G76" s="783">
        <f>'[1]11A Sem 2'!F27</f>
        <v>95</v>
      </c>
      <c r="H76" s="786">
        <f>'[1]11A Sem 2'!G27</f>
        <v>79</v>
      </c>
      <c r="I76" s="786">
        <f>'[1]11A Sem 2'!H27</f>
        <v>75</v>
      </c>
      <c r="J76" s="783">
        <f>'[1]11A Sem 2'!I27</f>
        <v>88</v>
      </c>
      <c r="K76" s="786">
        <f>'[1]11A Sem 2'!J27</f>
        <v>90</v>
      </c>
      <c r="L76" s="783">
        <f>'[1]11A Sem 2'!K27</f>
        <v>93</v>
      </c>
      <c r="M76" s="783">
        <f>'[1]11A Sem 2'!L27</f>
        <v>92</v>
      </c>
      <c r="N76" s="783">
        <f>'[1]11A Sem 2'!M27</f>
        <v>694</v>
      </c>
      <c r="O76" s="783">
        <f>'[1]11A Sem 2'!N27</f>
        <v>86.75</v>
      </c>
      <c r="P76" s="784">
        <f>'[1]11A Sem 2'!O27</f>
        <v>24</v>
      </c>
      <c r="Q76" s="785">
        <f>'[1]11A Sem 2'!P27</f>
        <v>0</v>
      </c>
      <c r="R76" s="785">
        <f>'[1]11A Sem 2'!Q27</f>
        <v>0</v>
      </c>
    </row>
    <row r="77" spans="1:18" ht="16.5" thickBot="1" x14ac:dyDescent="0.3">
      <c r="A77" s="982"/>
      <c r="B77" s="983"/>
      <c r="C77" s="987">
        <v>15</v>
      </c>
      <c r="D77" s="988" t="s">
        <v>20</v>
      </c>
      <c r="E77" s="402" t="s">
        <v>13</v>
      </c>
      <c r="F77" s="783">
        <f>AVERAGE(F75:F76)</f>
        <v>81.5</v>
      </c>
      <c r="G77" s="783">
        <f t="shared" ref="G77:R77" si="23">AVERAGE(G75:G76)</f>
        <v>94</v>
      </c>
      <c r="H77" s="783">
        <f t="shared" si="23"/>
        <v>83.5</v>
      </c>
      <c r="I77" s="783">
        <f t="shared" si="23"/>
        <v>78.5</v>
      </c>
      <c r="J77" s="783">
        <f t="shared" si="23"/>
        <v>87</v>
      </c>
      <c r="K77" s="783">
        <f t="shared" si="23"/>
        <v>90.5</v>
      </c>
      <c r="L77" s="783">
        <f t="shared" si="23"/>
        <v>91</v>
      </c>
      <c r="M77" s="783">
        <f t="shared" si="23"/>
        <v>92.5</v>
      </c>
      <c r="N77" s="783">
        <f t="shared" si="23"/>
        <v>698.5</v>
      </c>
      <c r="O77" s="783">
        <f t="shared" si="23"/>
        <v>87.3125</v>
      </c>
      <c r="P77" s="783">
        <f>'[1]11A Sem avr'!$H$27</f>
        <v>19</v>
      </c>
      <c r="Q77" s="783">
        <f t="shared" si="23"/>
        <v>0</v>
      </c>
      <c r="R77" s="783">
        <f t="shared" si="23"/>
        <v>0</v>
      </c>
    </row>
    <row r="78" spans="1:18" ht="16.5" thickBot="1" x14ac:dyDescent="0.3">
      <c r="A78" s="986">
        <v>25</v>
      </c>
      <c r="B78" s="983"/>
      <c r="C78" s="989">
        <v>16</v>
      </c>
      <c r="D78" s="990" t="s">
        <v>17</v>
      </c>
      <c r="E78" s="402" t="s">
        <v>18</v>
      </c>
      <c r="F78" s="783">
        <f>'[1]11A Sem 1'!E28</f>
        <v>94</v>
      </c>
      <c r="G78" s="786">
        <f>'[1]11A Sem 1'!F28</f>
        <v>78</v>
      </c>
      <c r="H78" s="786">
        <f>'[1]11A Sem 1'!G28</f>
        <v>89</v>
      </c>
      <c r="I78" s="783">
        <f>'[1]11A Sem 1'!H28</f>
        <v>80</v>
      </c>
      <c r="J78" s="786">
        <f>'[1]11A Sem 1'!I28</f>
        <v>88</v>
      </c>
      <c r="K78" s="783">
        <f>'[1]11A Sem 1'!J28</f>
        <v>88</v>
      </c>
      <c r="L78" s="783">
        <f>'[1]11A Sem 1'!K28</f>
        <v>90</v>
      </c>
      <c r="M78" s="783">
        <f>'[1]11A Sem 1'!L28</f>
        <v>93</v>
      </c>
      <c r="N78" s="783">
        <f>'[1]11A Sem 1'!M28</f>
        <v>700</v>
      </c>
      <c r="O78" s="783">
        <f>'[1]11A Sem 1'!N28</f>
        <v>87.5</v>
      </c>
      <c r="P78" s="784">
        <f>'[1]11A Sem 1'!O28</f>
        <v>20</v>
      </c>
      <c r="Q78" s="785">
        <f>'[1]11A Sem 1'!P28</f>
        <v>0</v>
      </c>
      <c r="R78" s="785">
        <f>'[1]11A Sem 1'!Q28</f>
        <v>0</v>
      </c>
    </row>
    <row r="79" spans="1:18" ht="16.5" thickBot="1" x14ac:dyDescent="0.3">
      <c r="A79" s="986"/>
      <c r="B79" s="983"/>
      <c r="C79" s="989">
        <v>15</v>
      </c>
      <c r="D79" s="990" t="s">
        <v>20</v>
      </c>
      <c r="E79" s="402" t="s">
        <v>19</v>
      </c>
      <c r="F79" s="783">
        <f>'[1]11A Sem 2'!E28</f>
        <v>84</v>
      </c>
      <c r="G79" s="786">
        <f>'[1]11A Sem 2'!F28</f>
        <v>83</v>
      </c>
      <c r="H79" s="786">
        <f>'[1]11A Sem 2'!G28</f>
        <v>80</v>
      </c>
      <c r="I79" s="783">
        <f>'[1]11A Sem 2'!H28</f>
        <v>77</v>
      </c>
      <c r="J79" s="786">
        <f>'[1]11A Sem 2'!I28</f>
        <v>95</v>
      </c>
      <c r="K79" s="783">
        <f>'[1]11A Sem 2'!J28</f>
        <v>99</v>
      </c>
      <c r="L79" s="783">
        <f>'[1]11A Sem 2'!K28</f>
        <v>82</v>
      </c>
      <c r="M79" s="783">
        <f>'[1]11A Sem 2'!L28</f>
        <v>88</v>
      </c>
      <c r="N79" s="783">
        <f>'[1]11A Sem 2'!M28</f>
        <v>688</v>
      </c>
      <c r="O79" s="783">
        <f>'[1]11A Sem 2'!N28</f>
        <v>86</v>
      </c>
      <c r="P79" s="784">
        <f>'[1]11A Sem 2'!O28</f>
        <v>28</v>
      </c>
      <c r="Q79" s="785">
        <f>'[1]11A Sem 2'!P28</f>
        <v>0</v>
      </c>
      <c r="R79" s="785">
        <f>'[1]11A Sem 2'!Q28</f>
        <v>0</v>
      </c>
    </row>
    <row r="80" spans="1:18" ht="16.5" thickBot="1" x14ac:dyDescent="0.3">
      <c r="A80" s="986"/>
      <c r="B80" s="983"/>
      <c r="C80" s="989">
        <v>15</v>
      </c>
      <c r="D80" s="990" t="s">
        <v>20</v>
      </c>
      <c r="E80" s="402" t="s">
        <v>13</v>
      </c>
      <c r="F80" s="783">
        <f>AVERAGE(F78:F79)</f>
        <v>89</v>
      </c>
      <c r="G80" s="783">
        <f t="shared" ref="G80:R80" si="24">AVERAGE(G78:G79)</f>
        <v>80.5</v>
      </c>
      <c r="H80" s="783">
        <f t="shared" si="24"/>
        <v>84.5</v>
      </c>
      <c r="I80" s="783">
        <f t="shared" si="24"/>
        <v>78.5</v>
      </c>
      <c r="J80" s="783">
        <f t="shared" si="24"/>
        <v>91.5</v>
      </c>
      <c r="K80" s="783">
        <f t="shared" si="24"/>
        <v>93.5</v>
      </c>
      <c r="L80" s="783">
        <f t="shared" si="24"/>
        <v>86</v>
      </c>
      <c r="M80" s="783">
        <f t="shared" si="24"/>
        <v>90.5</v>
      </c>
      <c r="N80" s="783">
        <f t="shared" si="24"/>
        <v>694</v>
      </c>
      <c r="O80" s="783">
        <f t="shared" si="24"/>
        <v>86.75</v>
      </c>
      <c r="P80" s="783">
        <f>'[1]11A Sem avr'!$H$28</f>
        <v>22</v>
      </c>
      <c r="Q80" s="783">
        <f t="shared" si="24"/>
        <v>0</v>
      </c>
      <c r="R80" s="783">
        <f t="shared" si="24"/>
        <v>0</v>
      </c>
    </row>
    <row r="81" spans="1:18" ht="16.5" thickBot="1" x14ac:dyDescent="0.3">
      <c r="A81" s="982">
        <v>26</v>
      </c>
      <c r="B81" s="983"/>
      <c r="C81" s="989">
        <v>16</v>
      </c>
      <c r="D81" s="990" t="s">
        <v>17</v>
      </c>
      <c r="E81" s="402" t="s">
        <v>18</v>
      </c>
      <c r="F81" s="783">
        <f>'[1]11A Sem 1'!E29</f>
        <v>83</v>
      </c>
      <c r="G81" s="783">
        <f>'[1]11A Sem 1'!F29</f>
        <v>72</v>
      </c>
      <c r="H81" s="783">
        <f>'[1]11A Sem 1'!G29</f>
        <v>80</v>
      </c>
      <c r="I81" s="783">
        <f>'[1]11A Sem 1'!H29</f>
        <v>74</v>
      </c>
      <c r="J81" s="783">
        <f>'[1]11A Sem 1'!I29</f>
        <v>84</v>
      </c>
      <c r="K81" s="783">
        <f>'[1]11A Sem 1'!J29</f>
        <v>89</v>
      </c>
      <c r="L81" s="783">
        <f>'[1]11A Sem 1'!K29</f>
        <v>87</v>
      </c>
      <c r="M81" s="783">
        <f>'[1]11A Sem 1'!L29</f>
        <v>91</v>
      </c>
      <c r="N81" s="783">
        <f>'[1]11A Sem 1'!M29</f>
        <v>660</v>
      </c>
      <c r="O81" s="783">
        <f>'[1]11A Sem 1'!N29</f>
        <v>82.5</v>
      </c>
      <c r="P81" s="784">
        <f>'[1]11A Sem 1'!O29</f>
        <v>36</v>
      </c>
      <c r="Q81" s="785">
        <f>'[1]11A Sem 1'!P29</f>
        <v>0</v>
      </c>
      <c r="R81" s="785">
        <f>'[1]11A Sem 1'!Q29</f>
        <v>0</v>
      </c>
    </row>
    <row r="82" spans="1:18" ht="16.5" thickBot="1" x14ac:dyDescent="0.3">
      <c r="A82" s="982"/>
      <c r="B82" s="983"/>
      <c r="C82" s="989">
        <v>16</v>
      </c>
      <c r="D82" s="990" t="s">
        <v>17</v>
      </c>
      <c r="E82" s="402" t="s">
        <v>19</v>
      </c>
      <c r="F82" s="783">
        <f>'[1]11A Sem 2'!E29</f>
        <v>79</v>
      </c>
      <c r="G82" s="783">
        <f>'[1]11A Sem 2'!F29</f>
        <v>78</v>
      </c>
      <c r="H82" s="783">
        <f>'[1]11A Sem 2'!G29</f>
        <v>75</v>
      </c>
      <c r="I82" s="783">
        <f>'[1]11A Sem 2'!H29</f>
        <v>69</v>
      </c>
      <c r="J82" s="783">
        <f>'[1]11A Sem 2'!I29</f>
        <v>97</v>
      </c>
      <c r="K82" s="783">
        <f>'[1]11A Sem 2'!J29</f>
        <v>95</v>
      </c>
      <c r="L82" s="783">
        <f>'[1]11A Sem 2'!K29</f>
        <v>95</v>
      </c>
      <c r="M82" s="783">
        <f>'[1]11A Sem 2'!L29</f>
        <v>95</v>
      </c>
      <c r="N82" s="783">
        <f>'[1]11A Sem 2'!M29</f>
        <v>683</v>
      </c>
      <c r="O82" s="783">
        <f>'[1]11A Sem 2'!N29</f>
        <v>85.375</v>
      </c>
      <c r="P82" s="784">
        <f>'[1]11A Sem 2'!O29</f>
        <v>31</v>
      </c>
      <c r="Q82" s="785">
        <f>'[1]11A Sem 2'!P29</f>
        <v>0</v>
      </c>
      <c r="R82" s="785">
        <f>'[1]11A Sem 2'!Q29</f>
        <v>0</v>
      </c>
    </row>
    <row r="83" spans="1:18" ht="16.5" thickBot="1" x14ac:dyDescent="0.3">
      <c r="A83" s="982"/>
      <c r="B83" s="983"/>
      <c r="C83" s="989">
        <v>16</v>
      </c>
      <c r="D83" s="990" t="s">
        <v>17</v>
      </c>
      <c r="E83" s="402" t="s">
        <v>13</v>
      </c>
      <c r="F83" s="783">
        <f>AVERAGE(F81:F82)</f>
        <v>81</v>
      </c>
      <c r="G83" s="783">
        <f t="shared" ref="G83:R83" si="25">AVERAGE(G81:G82)</f>
        <v>75</v>
      </c>
      <c r="H83" s="783">
        <f t="shared" si="25"/>
        <v>77.5</v>
      </c>
      <c r="I83" s="783">
        <f t="shared" si="25"/>
        <v>71.5</v>
      </c>
      <c r="J83" s="783">
        <f t="shared" si="25"/>
        <v>90.5</v>
      </c>
      <c r="K83" s="783">
        <f t="shared" si="25"/>
        <v>92</v>
      </c>
      <c r="L83" s="783">
        <f t="shared" si="25"/>
        <v>91</v>
      </c>
      <c r="M83" s="783">
        <f t="shared" si="25"/>
        <v>93</v>
      </c>
      <c r="N83" s="783">
        <f t="shared" si="25"/>
        <v>671.5</v>
      </c>
      <c r="O83" s="783">
        <f t="shared" si="25"/>
        <v>83.9375</v>
      </c>
      <c r="P83" s="783">
        <f>'[1]11A Sem avr'!$H$29</f>
        <v>36</v>
      </c>
      <c r="Q83" s="783">
        <f t="shared" si="25"/>
        <v>0</v>
      </c>
      <c r="R83" s="783">
        <f t="shared" si="25"/>
        <v>0</v>
      </c>
    </row>
    <row r="84" spans="1:18" ht="16.5" thickBot="1" x14ac:dyDescent="0.3">
      <c r="A84" s="982">
        <v>27</v>
      </c>
      <c r="B84" s="983"/>
      <c r="C84" s="989">
        <v>16</v>
      </c>
      <c r="D84" s="990" t="s">
        <v>20</v>
      </c>
      <c r="E84" s="402" t="s">
        <v>18</v>
      </c>
      <c r="F84" s="783">
        <f>'[1]11A Sem 1'!E30</f>
        <v>89</v>
      </c>
      <c r="G84" s="783">
        <f>'[1]11A Sem 1'!F30</f>
        <v>77</v>
      </c>
      <c r="H84" s="786">
        <f>'[1]11A Sem 1'!G30</f>
        <v>85</v>
      </c>
      <c r="I84" s="783">
        <f>'[1]11A Sem 1'!H30</f>
        <v>77</v>
      </c>
      <c r="J84" s="783">
        <f>'[1]11A Sem 1'!I30</f>
        <v>86</v>
      </c>
      <c r="K84" s="783">
        <f>'[1]11A Sem 1'!J30</f>
        <v>93</v>
      </c>
      <c r="L84" s="783">
        <f>'[1]11A Sem 1'!K30</f>
        <v>89</v>
      </c>
      <c r="M84" s="783">
        <f>'[1]11A Sem 1'!L30</f>
        <v>96</v>
      </c>
      <c r="N84" s="783">
        <f>'[1]11A Sem 1'!M30</f>
        <v>692</v>
      </c>
      <c r="O84" s="783">
        <f>'[1]11A Sem 1'!N30</f>
        <v>86.5</v>
      </c>
      <c r="P84" s="784">
        <f>'[1]11A Sem 1'!O30</f>
        <v>23</v>
      </c>
      <c r="Q84" s="785">
        <f>'[1]11A Sem 1'!P30</f>
        <v>0</v>
      </c>
      <c r="R84" s="785">
        <f>'[1]11A Sem 1'!Q30</f>
        <v>0</v>
      </c>
    </row>
    <row r="85" spans="1:18" ht="16.5" thickBot="1" x14ac:dyDescent="0.3">
      <c r="A85" s="982"/>
      <c r="B85" s="983"/>
      <c r="C85" s="989">
        <v>15</v>
      </c>
      <c r="D85" s="990" t="s">
        <v>17</v>
      </c>
      <c r="E85" s="402" t="s">
        <v>19</v>
      </c>
      <c r="F85" s="783">
        <f>'[1]11A Sem 2'!E30</f>
        <v>92</v>
      </c>
      <c r="G85" s="783">
        <f>'[1]11A Sem 2'!F30</f>
        <v>90</v>
      </c>
      <c r="H85" s="786">
        <f>'[1]11A Sem 2'!G30</f>
        <v>69</v>
      </c>
      <c r="I85" s="783">
        <f>'[1]11A Sem 2'!H30</f>
        <v>78</v>
      </c>
      <c r="J85" s="783">
        <f>'[1]11A Sem 2'!I30</f>
        <v>90</v>
      </c>
      <c r="K85" s="783">
        <f>'[1]11A Sem 2'!J30</f>
        <v>96</v>
      </c>
      <c r="L85" s="783">
        <f>'[1]11A Sem 2'!K30</f>
        <v>95</v>
      </c>
      <c r="M85" s="783">
        <f>'[1]11A Sem 2'!L30</f>
        <v>89</v>
      </c>
      <c r="N85" s="783">
        <f>'[1]11A Sem 2'!M30</f>
        <v>699</v>
      </c>
      <c r="O85" s="783">
        <f>'[1]11A Sem 2'!N30</f>
        <v>87.375</v>
      </c>
      <c r="P85" s="784">
        <f>'[1]11A Sem 2'!O30</f>
        <v>20</v>
      </c>
      <c r="Q85" s="785">
        <f>'[1]11A Sem 2'!P30</f>
        <v>0</v>
      </c>
      <c r="R85" s="785">
        <f>'[1]11A Sem 2'!Q30</f>
        <v>0</v>
      </c>
    </row>
    <row r="86" spans="1:18" ht="16.5" thickBot="1" x14ac:dyDescent="0.3">
      <c r="A86" s="982"/>
      <c r="B86" s="983"/>
      <c r="C86" s="989">
        <v>15</v>
      </c>
      <c r="D86" s="990" t="s">
        <v>17</v>
      </c>
      <c r="E86" s="402" t="s">
        <v>13</v>
      </c>
      <c r="F86" s="783">
        <f>AVERAGE(F84:F85)</f>
        <v>90.5</v>
      </c>
      <c r="G86" s="783">
        <f t="shared" ref="G86:R86" si="26">AVERAGE(G84:G85)</f>
        <v>83.5</v>
      </c>
      <c r="H86" s="783">
        <f t="shared" si="26"/>
        <v>77</v>
      </c>
      <c r="I86" s="783">
        <f t="shared" si="26"/>
        <v>77.5</v>
      </c>
      <c r="J86" s="783">
        <f t="shared" si="26"/>
        <v>88</v>
      </c>
      <c r="K86" s="783">
        <f t="shared" si="26"/>
        <v>94.5</v>
      </c>
      <c r="L86" s="783">
        <f t="shared" si="26"/>
        <v>92</v>
      </c>
      <c r="M86" s="783">
        <f t="shared" si="26"/>
        <v>92.5</v>
      </c>
      <c r="N86" s="783">
        <f t="shared" si="26"/>
        <v>695.5</v>
      </c>
      <c r="O86" s="783">
        <f t="shared" si="26"/>
        <v>86.9375</v>
      </c>
      <c r="P86" s="783">
        <f>'[1]11A Sem avr'!$H$30</f>
        <v>21</v>
      </c>
      <c r="Q86" s="783">
        <f t="shared" si="26"/>
        <v>0</v>
      </c>
      <c r="R86" s="783">
        <f t="shared" si="26"/>
        <v>0</v>
      </c>
    </row>
    <row r="87" spans="1:18" ht="16.5" thickBot="1" x14ac:dyDescent="0.3">
      <c r="A87" s="986">
        <v>28</v>
      </c>
      <c r="B87" s="983"/>
      <c r="C87" s="989">
        <v>16</v>
      </c>
      <c r="D87" s="990" t="s">
        <v>20</v>
      </c>
      <c r="E87" s="402" t="s">
        <v>18</v>
      </c>
      <c r="F87" s="783">
        <f>'[1]11A Sem 1'!E31</f>
        <v>71</v>
      </c>
      <c r="G87" s="783">
        <f>'[1]11A Sem 1'!F31</f>
        <v>83</v>
      </c>
      <c r="H87" s="783">
        <f>'[1]11A Sem 1'!G31</f>
        <v>80</v>
      </c>
      <c r="I87" s="783">
        <f>'[1]11A Sem 1'!H31</f>
        <v>85</v>
      </c>
      <c r="J87" s="783">
        <f>'[1]11A Sem 1'!I31</f>
        <v>79</v>
      </c>
      <c r="K87" s="783">
        <f>'[1]11A Sem 1'!J31</f>
        <v>98</v>
      </c>
      <c r="L87" s="783">
        <f>'[1]11A Sem 1'!K31</f>
        <v>96</v>
      </c>
      <c r="M87" s="783">
        <f>'[1]11A Sem 1'!L31</f>
        <v>89</v>
      </c>
      <c r="N87" s="783">
        <f>'[1]11A Sem 1'!M31</f>
        <v>681</v>
      </c>
      <c r="O87" s="783">
        <f>'[1]11A Sem 1'!N31</f>
        <v>85.125</v>
      </c>
      <c r="P87" s="784">
        <f>'[1]11A Sem 1'!O31</f>
        <v>29</v>
      </c>
      <c r="Q87" s="785">
        <f>'[1]11A Sem 1'!P31</f>
        <v>0</v>
      </c>
      <c r="R87" s="785">
        <f>'[1]11A Sem 1'!Q31</f>
        <v>0</v>
      </c>
    </row>
    <row r="88" spans="1:18" ht="16.5" thickBot="1" x14ac:dyDescent="0.3">
      <c r="A88" s="986"/>
      <c r="B88" s="983"/>
      <c r="C88" s="989">
        <v>16</v>
      </c>
      <c r="D88" s="990" t="s">
        <v>20</v>
      </c>
      <c r="E88" s="402" t="s">
        <v>19</v>
      </c>
      <c r="F88" s="783">
        <f>'[1]11A Sem 2'!E31</f>
        <v>81</v>
      </c>
      <c r="G88" s="783">
        <f>'[1]11A Sem 2'!F31</f>
        <v>84</v>
      </c>
      <c r="H88" s="783">
        <f>'[1]11A Sem 2'!G31</f>
        <v>81</v>
      </c>
      <c r="I88" s="783">
        <f>'[1]11A Sem 2'!H31</f>
        <v>87</v>
      </c>
      <c r="J88" s="783">
        <f>'[1]11A Sem 2'!I31</f>
        <v>91</v>
      </c>
      <c r="K88" s="783">
        <f>'[1]11A Sem 2'!J31</f>
        <v>100</v>
      </c>
      <c r="L88" s="783">
        <f>'[1]11A Sem 2'!K31</f>
        <v>94</v>
      </c>
      <c r="M88" s="783">
        <f>'[1]11A Sem 2'!L31</f>
        <v>89</v>
      </c>
      <c r="N88" s="783">
        <f>'[1]11A Sem 2'!M31</f>
        <v>707</v>
      </c>
      <c r="O88" s="783">
        <f>'[1]11A Sem 2'!N31</f>
        <v>88.375</v>
      </c>
      <c r="P88" s="784">
        <f>'[1]11A Sem 2'!O31</f>
        <v>18</v>
      </c>
      <c r="Q88" s="785">
        <f>'[1]11A Sem 2'!P31</f>
        <v>0</v>
      </c>
      <c r="R88" s="785">
        <f>'[1]11A Sem 2'!Q31</f>
        <v>0</v>
      </c>
    </row>
    <row r="89" spans="1:18" ht="16.5" thickBot="1" x14ac:dyDescent="0.3">
      <c r="A89" s="986"/>
      <c r="B89" s="983"/>
      <c r="C89" s="989">
        <v>16</v>
      </c>
      <c r="D89" s="990" t="s">
        <v>20</v>
      </c>
      <c r="E89" s="402" t="s">
        <v>13</v>
      </c>
      <c r="F89" s="783">
        <f>AVERAGE(F87:F88)</f>
        <v>76</v>
      </c>
      <c r="G89" s="783">
        <f t="shared" ref="G89:R89" si="27">AVERAGE(G87:G88)</f>
        <v>83.5</v>
      </c>
      <c r="H89" s="783">
        <f t="shared" si="27"/>
        <v>80.5</v>
      </c>
      <c r="I89" s="783">
        <f t="shared" si="27"/>
        <v>86</v>
      </c>
      <c r="J89" s="783">
        <f t="shared" si="27"/>
        <v>85</v>
      </c>
      <c r="K89" s="783">
        <f t="shared" si="27"/>
        <v>99</v>
      </c>
      <c r="L89" s="783">
        <f t="shared" si="27"/>
        <v>95</v>
      </c>
      <c r="M89" s="783">
        <f t="shared" si="27"/>
        <v>89</v>
      </c>
      <c r="N89" s="783">
        <f t="shared" si="27"/>
        <v>694</v>
      </c>
      <c r="O89" s="783">
        <f t="shared" si="27"/>
        <v>86.75</v>
      </c>
      <c r="P89" s="783">
        <f>'[1]11A Sem avr'!$H$31</f>
        <v>22</v>
      </c>
      <c r="Q89" s="783">
        <f t="shared" si="27"/>
        <v>0</v>
      </c>
      <c r="R89" s="783">
        <f t="shared" si="27"/>
        <v>0</v>
      </c>
    </row>
    <row r="90" spans="1:18" ht="16.5" thickBot="1" x14ac:dyDescent="0.3">
      <c r="A90" s="982">
        <v>29</v>
      </c>
      <c r="B90" s="983"/>
      <c r="C90" s="989">
        <v>16</v>
      </c>
      <c r="D90" s="990" t="s">
        <v>20</v>
      </c>
      <c r="E90" s="402" t="s">
        <v>18</v>
      </c>
      <c r="F90" s="783">
        <f>'[1]11A Sem 1'!E32</f>
        <v>53</v>
      </c>
      <c r="G90" s="783">
        <f>'[1]11A Sem 1'!F32</f>
        <v>42</v>
      </c>
      <c r="H90" s="783">
        <f>'[1]11A Sem 1'!G32</f>
        <v>57</v>
      </c>
      <c r="I90" s="783">
        <f>'[1]11A Sem 1'!H32</f>
        <v>63</v>
      </c>
      <c r="J90" s="783">
        <f>'[1]11A Sem 1'!I32</f>
        <v>60</v>
      </c>
      <c r="K90" s="783">
        <f>'[1]11A Sem 1'!J32</f>
        <v>87</v>
      </c>
      <c r="L90" s="783">
        <f>'[1]11A Sem 1'!K32</f>
        <v>73</v>
      </c>
      <c r="M90" s="783">
        <f>'[1]11A Sem 1'!L32</f>
        <v>70</v>
      </c>
      <c r="N90" s="783">
        <f>'[1]11A Sem 1'!M32</f>
        <v>505</v>
      </c>
      <c r="O90" s="783">
        <f>'[1]11A Sem 1'!N32</f>
        <v>63.125</v>
      </c>
      <c r="P90" s="784">
        <f>'[1]11A Sem 1'!O32</f>
        <v>53</v>
      </c>
      <c r="Q90" s="785">
        <f>'[1]11A Sem 1'!P32</f>
        <v>0</v>
      </c>
      <c r="R90" s="785">
        <f>'[1]11A Sem 1'!Q32</f>
        <v>0</v>
      </c>
    </row>
    <row r="91" spans="1:18" ht="16.5" thickBot="1" x14ac:dyDescent="0.3">
      <c r="A91" s="982"/>
      <c r="B91" s="983"/>
      <c r="C91" s="989">
        <v>15</v>
      </c>
      <c r="D91" s="990" t="s">
        <v>20</v>
      </c>
      <c r="E91" s="402" t="s">
        <v>19</v>
      </c>
      <c r="F91" s="783">
        <f>'[1]11A Sem 2'!E32</f>
        <v>55</v>
      </c>
      <c r="G91" s="783">
        <f>'[1]11A Sem 2'!F32</f>
        <v>54</v>
      </c>
      <c r="H91" s="783">
        <f>'[1]11A Sem 2'!G32</f>
        <v>55</v>
      </c>
      <c r="I91" s="783">
        <f>'[1]11A Sem 2'!H32</f>
        <v>53</v>
      </c>
      <c r="J91" s="783">
        <f>'[1]11A Sem 2'!I32</f>
        <v>75</v>
      </c>
      <c r="K91" s="783">
        <f>'[1]11A Sem 2'!J32</f>
        <v>82</v>
      </c>
      <c r="L91" s="783">
        <f>'[1]11A Sem 2'!K32</f>
        <v>86</v>
      </c>
      <c r="M91" s="783">
        <f>'[1]11A Sem 2'!L32</f>
        <v>84</v>
      </c>
      <c r="N91" s="783">
        <f>'[1]11A Sem 2'!M32</f>
        <v>544</v>
      </c>
      <c r="O91" s="783">
        <f>'[1]11A Sem 2'!N32</f>
        <v>68</v>
      </c>
      <c r="P91" s="784">
        <f>'[1]11A Sem 2'!O32</f>
        <v>54</v>
      </c>
      <c r="Q91" s="785">
        <f>'[1]11A Sem 2'!P32</f>
        <v>0</v>
      </c>
      <c r="R91" s="785">
        <f>'[1]11A Sem 2'!Q32</f>
        <v>0</v>
      </c>
    </row>
    <row r="92" spans="1:18" ht="16.5" thickBot="1" x14ac:dyDescent="0.3">
      <c r="A92" s="982"/>
      <c r="B92" s="983"/>
      <c r="C92" s="989">
        <v>15</v>
      </c>
      <c r="D92" s="990" t="s">
        <v>20</v>
      </c>
      <c r="E92" s="402" t="s">
        <v>13</v>
      </c>
      <c r="F92" s="783">
        <f>AVERAGE(F90:F91)</f>
        <v>54</v>
      </c>
      <c r="G92" s="783">
        <f t="shared" ref="G92:R92" si="28">AVERAGE(G90:G91)</f>
        <v>48</v>
      </c>
      <c r="H92" s="783">
        <f t="shared" si="28"/>
        <v>56</v>
      </c>
      <c r="I92" s="783">
        <f t="shared" si="28"/>
        <v>58</v>
      </c>
      <c r="J92" s="783">
        <f t="shared" si="28"/>
        <v>67.5</v>
      </c>
      <c r="K92" s="783">
        <f t="shared" si="28"/>
        <v>84.5</v>
      </c>
      <c r="L92" s="783">
        <f t="shared" si="28"/>
        <v>79.5</v>
      </c>
      <c r="M92" s="783">
        <f t="shared" si="28"/>
        <v>77</v>
      </c>
      <c r="N92" s="783">
        <f t="shared" si="28"/>
        <v>524.5</v>
      </c>
      <c r="O92" s="783">
        <f t="shared" si="28"/>
        <v>65.5625</v>
      </c>
      <c r="P92" s="783">
        <f>'[1]11A Sem avr'!$H$32</f>
        <v>54</v>
      </c>
      <c r="Q92" s="783">
        <f t="shared" si="28"/>
        <v>0</v>
      </c>
      <c r="R92" s="783">
        <f t="shared" si="28"/>
        <v>0</v>
      </c>
    </row>
    <row r="93" spans="1:18" ht="16.5" thickBot="1" x14ac:dyDescent="0.3">
      <c r="A93" s="982">
        <v>30</v>
      </c>
      <c r="B93" s="983"/>
      <c r="C93" s="989">
        <v>16</v>
      </c>
      <c r="D93" s="990" t="s">
        <v>20</v>
      </c>
      <c r="E93" s="402" t="s">
        <v>18</v>
      </c>
      <c r="F93" s="783">
        <f>'[1]11A Sem 1'!E33</f>
        <v>86</v>
      </c>
      <c r="G93" s="786">
        <f>'[1]11A Sem 1'!F33</f>
        <v>85</v>
      </c>
      <c r="H93" s="786">
        <f>'[1]11A Sem 1'!G33</f>
        <v>94</v>
      </c>
      <c r="I93" s="786">
        <f>'[1]11A Sem 1'!H33</f>
        <v>84</v>
      </c>
      <c r="J93" s="783">
        <f>'[1]11A Sem 1'!I33</f>
        <v>93</v>
      </c>
      <c r="K93" s="783">
        <f>'[1]11A Sem 1'!J33</f>
        <v>94</v>
      </c>
      <c r="L93" s="783">
        <f>'[1]11A Sem 1'!K33</f>
        <v>91</v>
      </c>
      <c r="M93" s="783">
        <f>'[1]11A Sem 1'!L33</f>
        <v>91</v>
      </c>
      <c r="N93" s="783">
        <f>'[1]11A Sem 1'!M33</f>
        <v>718</v>
      </c>
      <c r="O93" s="783">
        <f>'[1]11A Sem 1'!N33</f>
        <v>89.75</v>
      </c>
      <c r="P93" s="784">
        <f>'[1]11A Sem 1'!O33</f>
        <v>16</v>
      </c>
      <c r="Q93" s="785">
        <f>'[1]11A Sem 1'!P33</f>
        <v>0</v>
      </c>
      <c r="R93" s="785">
        <f>'[1]11A Sem 1'!Q33</f>
        <v>0</v>
      </c>
    </row>
    <row r="94" spans="1:18" ht="16.5" thickBot="1" x14ac:dyDescent="0.3">
      <c r="A94" s="982"/>
      <c r="B94" s="983"/>
      <c r="C94" s="989">
        <v>15</v>
      </c>
      <c r="D94" s="990" t="s">
        <v>20</v>
      </c>
      <c r="E94" s="402" t="s">
        <v>19</v>
      </c>
      <c r="F94" s="783">
        <f>'[1]11A Sem 2'!E33</f>
        <v>93</v>
      </c>
      <c r="G94" s="786">
        <f>'[1]11A Sem 2'!F33</f>
        <v>88</v>
      </c>
      <c r="H94" s="786">
        <f>'[1]11A Sem 2'!G33</f>
        <v>77</v>
      </c>
      <c r="I94" s="786">
        <f>'[1]11A Sem 2'!H33</f>
        <v>87</v>
      </c>
      <c r="J94" s="783">
        <f>'[1]11A Sem 2'!I33</f>
        <v>96</v>
      </c>
      <c r="K94" s="783">
        <f>'[1]11A Sem 2'!J33</f>
        <v>96</v>
      </c>
      <c r="L94" s="783">
        <f>'[1]11A Sem 2'!K33</f>
        <v>93</v>
      </c>
      <c r="M94" s="783">
        <f>'[1]11A Sem 2'!L33</f>
        <v>94</v>
      </c>
      <c r="N94" s="783">
        <f>'[1]11A Sem 2'!M33</f>
        <v>724</v>
      </c>
      <c r="O94" s="783">
        <f>'[1]11A Sem 2'!N33</f>
        <v>90.5</v>
      </c>
      <c r="P94" s="784">
        <f>'[1]11A Sem 2'!O33</f>
        <v>16</v>
      </c>
      <c r="Q94" s="785">
        <f>'[1]11A Sem 2'!P33</f>
        <v>0</v>
      </c>
      <c r="R94" s="785">
        <f>'[1]11A Sem 2'!Q33</f>
        <v>0</v>
      </c>
    </row>
    <row r="95" spans="1:18" ht="16.5" thickBot="1" x14ac:dyDescent="0.3">
      <c r="A95" s="982"/>
      <c r="B95" s="983"/>
      <c r="C95" s="989">
        <v>15</v>
      </c>
      <c r="D95" s="990" t="s">
        <v>20</v>
      </c>
      <c r="E95" s="402" t="s">
        <v>13</v>
      </c>
      <c r="F95" s="783">
        <f>AVERAGE(F93:F94)</f>
        <v>89.5</v>
      </c>
      <c r="G95" s="783">
        <f t="shared" ref="G95:R95" si="29">AVERAGE(G93:G94)</f>
        <v>86.5</v>
      </c>
      <c r="H95" s="783">
        <f t="shared" si="29"/>
        <v>85.5</v>
      </c>
      <c r="I95" s="783">
        <f t="shared" si="29"/>
        <v>85.5</v>
      </c>
      <c r="J95" s="783">
        <f t="shared" si="29"/>
        <v>94.5</v>
      </c>
      <c r="K95" s="783">
        <f t="shared" si="29"/>
        <v>95</v>
      </c>
      <c r="L95" s="783">
        <f t="shared" si="29"/>
        <v>92</v>
      </c>
      <c r="M95" s="783">
        <f t="shared" si="29"/>
        <v>92.5</v>
      </c>
      <c r="N95" s="783">
        <f t="shared" si="29"/>
        <v>721</v>
      </c>
      <c r="O95" s="783">
        <f t="shared" si="29"/>
        <v>90.125</v>
      </c>
      <c r="P95" s="783">
        <f>'[1]11A Sem avr'!$H$33</f>
        <v>16</v>
      </c>
      <c r="Q95" s="783">
        <f t="shared" si="29"/>
        <v>0</v>
      </c>
      <c r="R95" s="783">
        <f t="shared" si="29"/>
        <v>0</v>
      </c>
    </row>
    <row r="96" spans="1:18" ht="16.5" thickBot="1" x14ac:dyDescent="0.3">
      <c r="A96" s="986">
        <v>31</v>
      </c>
      <c r="B96" s="983"/>
      <c r="C96" s="989">
        <v>16</v>
      </c>
      <c r="D96" s="990" t="s">
        <v>17</v>
      </c>
      <c r="E96" s="402" t="s">
        <v>18</v>
      </c>
      <c r="F96" s="783">
        <f>'[1]11A Sem 1'!E34</f>
        <v>86</v>
      </c>
      <c r="G96" s="783">
        <f>'[1]11A Sem 1'!F34</f>
        <v>63</v>
      </c>
      <c r="H96" s="786">
        <f>'[1]11A Sem 1'!G34</f>
        <v>75</v>
      </c>
      <c r="I96" s="783">
        <f>'[1]11A Sem 1'!H34</f>
        <v>67</v>
      </c>
      <c r="J96" s="783">
        <f>'[1]11A Sem 1'!I34</f>
        <v>75</v>
      </c>
      <c r="K96" s="783">
        <f>'[1]11A Sem 1'!J34</f>
        <v>86</v>
      </c>
      <c r="L96" s="786">
        <f>'[1]11A Sem 1'!K34</f>
        <v>94</v>
      </c>
      <c r="M96" s="783">
        <f>'[1]11A Sem 1'!L34</f>
        <v>91</v>
      </c>
      <c r="N96" s="783">
        <f>'[1]11A Sem 1'!M34</f>
        <v>637</v>
      </c>
      <c r="O96" s="783">
        <f>'[1]11A Sem 1'!N34</f>
        <v>79.625</v>
      </c>
      <c r="P96" s="784">
        <f>'[1]11A Sem 1'!O34</f>
        <v>43</v>
      </c>
      <c r="Q96" s="785">
        <f>'[1]11A Sem 1'!P34</f>
        <v>0</v>
      </c>
      <c r="R96" s="785">
        <f>'[1]11A Sem 1'!Q34</f>
        <v>0</v>
      </c>
    </row>
    <row r="97" spans="1:18" ht="16.5" thickBot="1" x14ac:dyDescent="0.3">
      <c r="A97" s="986"/>
      <c r="B97" s="983"/>
      <c r="C97" s="989">
        <v>15</v>
      </c>
      <c r="D97" s="990" t="s">
        <v>20</v>
      </c>
      <c r="E97" s="402" t="s">
        <v>19</v>
      </c>
      <c r="F97" s="783">
        <f>'[1]11A Sem 2'!E34</f>
        <v>88</v>
      </c>
      <c r="G97" s="783">
        <f>'[1]11A Sem 2'!F34</f>
        <v>64</v>
      </c>
      <c r="H97" s="786">
        <f>'[1]11A Sem 2'!G34</f>
        <v>68</v>
      </c>
      <c r="I97" s="783">
        <f>'[1]11A Sem 2'!H34</f>
        <v>70</v>
      </c>
      <c r="J97" s="783">
        <f>'[1]11A Sem 2'!I34</f>
        <v>86</v>
      </c>
      <c r="K97" s="783">
        <f>'[1]11A Sem 2'!J34</f>
        <v>92</v>
      </c>
      <c r="L97" s="786">
        <f>'[1]11A Sem 2'!K34</f>
        <v>90</v>
      </c>
      <c r="M97" s="783">
        <f>'[1]11A Sem 2'!L34</f>
        <v>87</v>
      </c>
      <c r="N97" s="783">
        <f>'[1]11A Sem 2'!M34</f>
        <v>645</v>
      </c>
      <c r="O97" s="783">
        <f>'[1]11A Sem 2'!N34</f>
        <v>80.625</v>
      </c>
      <c r="P97" s="784">
        <f>'[1]11A Sem 2'!O34</f>
        <v>42</v>
      </c>
      <c r="Q97" s="785">
        <f>'[1]11A Sem 2'!P34</f>
        <v>0</v>
      </c>
      <c r="R97" s="785">
        <f>'[1]11A Sem 2'!Q34</f>
        <v>0</v>
      </c>
    </row>
    <row r="98" spans="1:18" ht="16.5" thickBot="1" x14ac:dyDescent="0.3">
      <c r="A98" s="986"/>
      <c r="B98" s="983"/>
      <c r="C98" s="989">
        <v>15</v>
      </c>
      <c r="D98" s="990" t="s">
        <v>20</v>
      </c>
      <c r="E98" s="402" t="s">
        <v>13</v>
      </c>
      <c r="F98" s="783">
        <f>AVERAGE(F96:F97)</f>
        <v>87</v>
      </c>
      <c r="G98" s="783">
        <f t="shared" ref="G98:R98" si="30">AVERAGE(G96:G97)</f>
        <v>63.5</v>
      </c>
      <c r="H98" s="783">
        <f t="shared" si="30"/>
        <v>71.5</v>
      </c>
      <c r="I98" s="783">
        <f t="shared" si="30"/>
        <v>68.5</v>
      </c>
      <c r="J98" s="783">
        <f t="shared" si="30"/>
        <v>80.5</v>
      </c>
      <c r="K98" s="783">
        <f t="shared" si="30"/>
        <v>89</v>
      </c>
      <c r="L98" s="783">
        <f t="shared" si="30"/>
        <v>92</v>
      </c>
      <c r="M98" s="783">
        <f t="shared" si="30"/>
        <v>89</v>
      </c>
      <c r="N98" s="783">
        <f t="shared" si="30"/>
        <v>641</v>
      </c>
      <c r="O98" s="783">
        <f t="shared" si="30"/>
        <v>80.125</v>
      </c>
      <c r="P98" s="783">
        <f>'[1]11A Sem avr'!$H$34</f>
        <v>40</v>
      </c>
      <c r="Q98" s="783">
        <f t="shared" si="30"/>
        <v>0</v>
      </c>
      <c r="R98" s="783">
        <f t="shared" si="30"/>
        <v>0</v>
      </c>
    </row>
    <row r="99" spans="1:18" ht="16.5" thickBot="1" x14ac:dyDescent="0.3">
      <c r="A99" s="982">
        <v>32</v>
      </c>
      <c r="B99" s="983"/>
      <c r="C99" s="989">
        <v>18</v>
      </c>
      <c r="D99" s="990" t="s">
        <v>20</v>
      </c>
      <c r="E99" s="402" t="s">
        <v>18</v>
      </c>
      <c r="F99" s="783">
        <f>'[1]11A Sem 1'!E35</f>
        <v>96</v>
      </c>
      <c r="G99" s="783">
        <f>'[1]11A Sem 1'!F35</f>
        <v>77</v>
      </c>
      <c r="H99" s="783">
        <f>'[1]11A Sem 1'!G35</f>
        <v>75</v>
      </c>
      <c r="I99" s="783">
        <f>'[1]11A Sem 1'!H35</f>
        <v>80</v>
      </c>
      <c r="J99" s="783">
        <f>'[1]11A Sem 1'!I35</f>
        <v>80</v>
      </c>
      <c r="K99" s="783">
        <f>'[1]11A Sem 1'!J35</f>
        <v>92</v>
      </c>
      <c r="L99" s="783">
        <f>'[1]11A Sem 1'!K35</f>
        <v>86</v>
      </c>
      <c r="M99" s="783">
        <f>'[1]11A Sem 1'!L35</f>
        <v>92</v>
      </c>
      <c r="N99" s="783">
        <f>'[1]11A Sem 1'!M35</f>
        <v>678</v>
      </c>
      <c r="O99" s="783">
        <f>'[1]11A Sem 1'!N35</f>
        <v>84.75</v>
      </c>
      <c r="P99" s="784">
        <f>'[1]11A Sem 1'!O35</f>
        <v>32</v>
      </c>
      <c r="Q99" s="785">
        <f>'[1]11A Sem 1'!P35</f>
        <v>0</v>
      </c>
      <c r="R99" s="785">
        <f>'[1]11A Sem 1'!Q35</f>
        <v>0</v>
      </c>
    </row>
    <row r="100" spans="1:18" ht="16.5" thickBot="1" x14ac:dyDescent="0.3">
      <c r="A100" s="982"/>
      <c r="B100" s="983"/>
      <c r="C100" s="989">
        <v>18</v>
      </c>
      <c r="D100" s="990" t="s">
        <v>20</v>
      </c>
      <c r="E100" s="402" t="s">
        <v>19</v>
      </c>
      <c r="F100" s="783">
        <f>'[1]11A Sem 2'!E35</f>
        <v>83</v>
      </c>
      <c r="G100" s="783">
        <f>'[1]11A Sem 2'!F35</f>
        <v>76</v>
      </c>
      <c r="H100" s="783">
        <f>'[1]11A Sem 2'!G35</f>
        <v>70</v>
      </c>
      <c r="I100" s="783">
        <f>'[1]11A Sem 2'!H35</f>
        <v>62</v>
      </c>
      <c r="J100" s="783">
        <f>'[1]11A Sem 2'!I35</f>
        <v>90</v>
      </c>
      <c r="K100" s="783">
        <f>'[1]11A Sem 2'!J35</f>
        <v>93</v>
      </c>
      <c r="L100" s="783">
        <f>'[1]11A Sem 2'!K35</f>
        <v>93</v>
      </c>
      <c r="M100" s="783">
        <f>'[1]11A Sem 2'!L35</f>
        <v>94</v>
      </c>
      <c r="N100" s="783">
        <f>'[1]11A Sem 2'!M35</f>
        <v>661</v>
      </c>
      <c r="O100" s="783">
        <f>'[1]11A Sem 2'!N35</f>
        <v>82.625</v>
      </c>
      <c r="P100" s="784">
        <f>'[1]11A Sem 2'!O35</f>
        <v>37</v>
      </c>
      <c r="Q100" s="785">
        <f>'[1]11A Sem 2'!P35</f>
        <v>0</v>
      </c>
      <c r="R100" s="785">
        <f>'[1]11A Sem 2'!Q35</f>
        <v>0</v>
      </c>
    </row>
    <row r="101" spans="1:18" ht="16.5" thickBot="1" x14ac:dyDescent="0.3">
      <c r="A101" s="982"/>
      <c r="B101" s="983"/>
      <c r="C101" s="989">
        <v>18</v>
      </c>
      <c r="D101" s="990" t="s">
        <v>20</v>
      </c>
      <c r="E101" s="402" t="s">
        <v>13</v>
      </c>
      <c r="F101" s="783">
        <f>AVERAGE(F99:F100)</f>
        <v>89.5</v>
      </c>
      <c r="G101" s="783">
        <f t="shared" ref="G101:R101" si="31">AVERAGE(G99:G100)</f>
        <v>76.5</v>
      </c>
      <c r="H101" s="783">
        <f t="shared" si="31"/>
        <v>72.5</v>
      </c>
      <c r="I101" s="783">
        <f t="shared" si="31"/>
        <v>71</v>
      </c>
      <c r="J101" s="783">
        <f t="shared" si="31"/>
        <v>85</v>
      </c>
      <c r="K101" s="783">
        <f t="shared" si="31"/>
        <v>92.5</v>
      </c>
      <c r="L101" s="783">
        <f t="shared" si="31"/>
        <v>89.5</v>
      </c>
      <c r="M101" s="783">
        <f t="shared" si="31"/>
        <v>93</v>
      </c>
      <c r="N101" s="783">
        <f t="shared" si="31"/>
        <v>669.5</v>
      </c>
      <c r="O101" s="783">
        <f t="shared" si="31"/>
        <v>83.6875</v>
      </c>
      <c r="P101" s="783">
        <f>'[1]11A Sem avr'!$H$35</f>
        <v>37</v>
      </c>
      <c r="Q101" s="783">
        <f t="shared" si="31"/>
        <v>0</v>
      </c>
      <c r="R101" s="783">
        <f t="shared" si="31"/>
        <v>0</v>
      </c>
    </row>
    <row r="102" spans="1:18" ht="16.5" thickBot="1" x14ac:dyDescent="0.3">
      <c r="A102" s="982">
        <v>33</v>
      </c>
      <c r="B102" s="983"/>
      <c r="C102" s="989">
        <v>17</v>
      </c>
      <c r="D102" s="990" t="s">
        <v>17</v>
      </c>
      <c r="E102" s="402" t="s">
        <v>18</v>
      </c>
      <c r="F102" s="783">
        <f>'[1]11A Sem 1'!E36</f>
        <v>68</v>
      </c>
      <c r="G102" s="783">
        <f>'[1]11A Sem 1'!F36</f>
        <v>59</v>
      </c>
      <c r="H102" s="786">
        <f>'[1]11A Sem 1'!G36</f>
        <v>75</v>
      </c>
      <c r="I102" s="783">
        <f>'[1]11A Sem 1'!H36</f>
        <v>79</v>
      </c>
      <c r="J102" s="783">
        <f>'[1]11A Sem 1'!I36</f>
        <v>78</v>
      </c>
      <c r="K102" s="783">
        <f>'[1]11A Sem 1'!J36</f>
        <v>89</v>
      </c>
      <c r="L102" s="783">
        <f>'[1]11A Sem 1'!K36</f>
        <v>92</v>
      </c>
      <c r="M102" s="783">
        <f>'[1]11A Sem 1'!L36</f>
        <v>82</v>
      </c>
      <c r="N102" s="783">
        <f>'[1]11A Sem 1'!M36</f>
        <v>622</v>
      </c>
      <c r="O102" s="783">
        <f>'[1]11A Sem 1'!N36</f>
        <v>77.75</v>
      </c>
      <c r="P102" s="784">
        <f>'[1]11A Sem 1'!O36</f>
        <v>44</v>
      </c>
      <c r="Q102" s="785">
        <f>'[1]11A Sem 1'!P36</f>
        <v>0</v>
      </c>
      <c r="R102" s="785">
        <f>'[1]11A Sem 1'!Q36</f>
        <v>0</v>
      </c>
    </row>
    <row r="103" spans="1:18" ht="16.5" thickBot="1" x14ac:dyDescent="0.3">
      <c r="A103" s="982"/>
      <c r="B103" s="983"/>
      <c r="C103" s="989">
        <v>17</v>
      </c>
      <c r="D103" s="990" t="s">
        <v>20</v>
      </c>
      <c r="E103" s="402" t="s">
        <v>19</v>
      </c>
      <c r="F103" s="783">
        <f>'[1]11A Sem 2'!E36</f>
        <v>76</v>
      </c>
      <c r="G103" s="783">
        <f>'[1]11A Sem 2'!F36</f>
        <v>74</v>
      </c>
      <c r="H103" s="786">
        <f>'[1]11A Sem 2'!G36</f>
        <v>69</v>
      </c>
      <c r="I103" s="783">
        <f>'[1]11A Sem 2'!H36</f>
        <v>70</v>
      </c>
      <c r="J103" s="783">
        <f>'[1]11A Sem 2'!I36</f>
        <v>83</v>
      </c>
      <c r="K103" s="783">
        <f>'[1]11A Sem 2'!J36</f>
        <v>88</v>
      </c>
      <c r="L103" s="783">
        <f>'[1]11A Sem 2'!K36</f>
        <v>94</v>
      </c>
      <c r="M103" s="783">
        <f>'[1]11A Sem 2'!L36</f>
        <v>94</v>
      </c>
      <c r="N103" s="783">
        <f>'[1]11A Sem 2'!M36</f>
        <v>648</v>
      </c>
      <c r="O103" s="783">
        <f>'[1]11A Sem 2'!N36</f>
        <v>81</v>
      </c>
      <c r="P103" s="784">
        <f>'[1]11A Sem 2'!O36</f>
        <v>41</v>
      </c>
      <c r="Q103" s="785">
        <f>'[1]11A Sem 2'!P36</f>
        <v>0</v>
      </c>
      <c r="R103" s="785">
        <f>'[1]11A Sem 2'!Q36</f>
        <v>0</v>
      </c>
    </row>
    <row r="104" spans="1:18" ht="16.5" thickBot="1" x14ac:dyDescent="0.3">
      <c r="A104" s="982"/>
      <c r="B104" s="983"/>
      <c r="C104" s="989">
        <v>17</v>
      </c>
      <c r="D104" s="990" t="s">
        <v>20</v>
      </c>
      <c r="E104" s="402" t="s">
        <v>13</v>
      </c>
      <c r="F104" s="783">
        <f>AVERAGE(F102:F103)</f>
        <v>72</v>
      </c>
      <c r="G104" s="783">
        <f t="shared" ref="G104:R104" si="32">AVERAGE(G102:G103)</f>
        <v>66.5</v>
      </c>
      <c r="H104" s="783">
        <f t="shared" si="32"/>
        <v>72</v>
      </c>
      <c r="I104" s="783">
        <f t="shared" si="32"/>
        <v>74.5</v>
      </c>
      <c r="J104" s="783">
        <f t="shared" si="32"/>
        <v>80.5</v>
      </c>
      <c r="K104" s="783">
        <f t="shared" si="32"/>
        <v>88.5</v>
      </c>
      <c r="L104" s="783">
        <f t="shared" si="32"/>
        <v>93</v>
      </c>
      <c r="M104" s="783">
        <f t="shared" si="32"/>
        <v>88</v>
      </c>
      <c r="N104" s="783">
        <f t="shared" si="32"/>
        <v>635</v>
      </c>
      <c r="O104" s="783">
        <f t="shared" si="32"/>
        <v>79.375</v>
      </c>
      <c r="P104" s="783">
        <f>'[1]11A Sem avr'!$H$36</f>
        <v>43</v>
      </c>
      <c r="Q104" s="783">
        <f t="shared" si="32"/>
        <v>0</v>
      </c>
      <c r="R104" s="783">
        <f t="shared" si="32"/>
        <v>0</v>
      </c>
    </row>
    <row r="105" spans="1:18" ht="16.5" thickBot="1" x14ac:dyDescent="0.3">
      <c r="A105" s="986">
        <v>34</v>
      </c>
      <c r="B105" s="983"/>
      <c r="C105" s="989">
        <v>16</v>
      </c>
      <c r="D105" s="990" t="s">
        <v>17</v>
      </c>
      <c r="E105" s="402" t="s">
        <v>18</v>
      </c>
      <c r="F105" s="783">
        <f>'[1]11A Sem 1'!E37</f>
        <v>74</v>
      </c>
      <c r="G105" s="783">
        <f>'[1]11A Sem 1'!F37</f>
        <v>84</v>
      </c>
      <c r="H105" s="783">
        <f>'[1]11A Sem 1'!G37</f>
        <v>90</v>
      </c>
      <c r="I105" s="783">
        <f>'[1]11A Sem 1'!H37</f>
        <v>91</v>
      </c>
      <c r="J105" s="783">
        <f>'[1]11A Sem 1'!I37</f>
        <v>87</v>
      </c>
      <c r="K105" s="783">
        <f>'[1]11A Sem 1'!J37</f>
        <v>94</v>
      </c>
      <c r="L105" s="783">
        <f>'[1]11A Sem 1'!K37</f>
        <v>88</v>
      </c>
      <c r="M105" s="783">
        <f>'[1]11A Sem 1'!L37</f>
        <v>93</v>
      </c>
      <c r="N105" s="783">
        <f>'[1]11A Sem 1'!M37</f>
        <v>701</v>
      </c>
      <c r="O105" s="783">
        <f>'[1]11A Sem 1'!N37</f>
        <v>87.625</v>
      </c>
      <c r="P105" s="784">
        <f>'[1]11A Sem 1'!O37</f>
        <v>19</v>
      </c>
      <c r="Q105" s="785">
        <f>'[1]11A Sem 1'!P37</f>
        <v>0</v>
      </c>
      <c r="R105" s="785">
        <f>'[1]11A Sem 1'!Q37</f>
        <v>0</v>
      </c>
    </row>
    <row r="106" spans="1:18" ht="16.5" thickBot="1" x14ac:dyDescent="0.3">
      <c r="A106" s="986"/>
      <c r="B106" s="983"/>
      <c r="C106" s="989">
        <v>15</v>
      </c>
      <c r="D106" s="990" t="s">
        <v>17</v>
      </c>
      <c r="E106" s="402" t="s">
        <v>19</v>
      </c>
      <c r="F106" s="783">
        <f>'[1]11A Sem 2'!E37</f>
        <v>78</v>
      </c>
      <c r="G106" s="783">
        <f>'[1]11A Sem 2'!F37</f>
        <v>82</v>
      </c>
      <c r="H106" s="783">
        <f>'[1]11A Sem 2'!G37</f>
        <v>83</v>
      </c>
      <c r="I106" s="783">
        <f>'[1]11A Sem 2'!H37</f>
        <v>84</v>
      </c>
      <c r="J106" s="783">
        <f>'[1]11A Sem 2'!I37</f>
        <v>96</v>
      </c>
      <c r="K106" s="783">
        <f>'[1]11A Sem 2'!J37</f>
        <v>97</v>
      </c>
      <c r="L106" s="783">
        <f>'[1]11A Sem 2'!K37</f>
        <v>88</v>
      </c>
      <c r="M106" s="783">
        <f>'[1]11A Sem 2'!L37</f>
        <v>83</v>
      </c>
      <c r="N106" s="783">
        <f>'[1]11A Sem 2'!M37</f>
        <v>691</v>
      </c>
      <c r="O106" s="783">
        <f>'[1]11A Sem 2'!N37</f>
        <v>86.375</v>
      </c>
      <c r="P106" s="784">
        <f>'[1]11A Sem 2'!O37</f>
        <v>26</v>
      </c>
      <c r="Q106" s="785">
        <f>'[1]11A Sem 2'!P37</f>
        <v>0</v>
      </c>
      <c r="R106" s="785">
        <f>'[1]11A Sem 2'!Q37</f>
        <v>0</v>
      </c>
    </row>
    <row r="107" spans="1:18" ht="16.5" thickBot="1" x14ac:dyDescent="0.3">
      <c r="A107" s="986"/>
      <c r="B107" s="983"/>
      <c r="C107" s="989">
        <v>15</v>
      </c>
      <c r="D107" s="990" t="s">
        <v>17</v>
      </c>
      <c r="E107" s="402" t="s">
        <v>13</v>
      </c>
      <c r="F107" s="783">
        <f>AVERAGE(F105:F106)</f>
        <v>76</v>
      </c>
      <c r="G107" s="783">
        <f t="shared" ref="G107:R107" si="33">AVERAGE(G105:G106)</f>
        <v>83</v>
      </c>
      <c r="H107" s="783">
        <f t="shared" si="33"/>
        <v>86.5</v>
      </c>
      <c r="I107" s="783">
        <f t="shared" si="33"/>
        <v>87.5</v>
      </c>
      <c r="J107" s="783">
        <f t="shared" si="33"/>
        <v>91.5</v>
      </c>
      <c r="K107" s="783">
        <f t="shared" si="33"/>
        <v>95.5</v>
      </c>
      <c r="L107" s="783">
        <f t="shared" si="33"/>
        <v>88</v>
      </c>
      <c r="M107" s="783">
        <f t="shared" si="33"/>
        <v>88</v>
      </c>
      <c r="N107" s="783">
        <f t="shared" si="33"/>
        <v>696</v>
      </c>
      <c r="O107" s="783">
        <f t="shared" si="33"/>
        <v>87</v>
      </c>
      <c r="P107" s="783">
        <f>'[1]11A Sem avr'!$H$37</f>
        <v>20</v>
      </c>
      <c r="Q107" s="783">
        <f t="shared" si="33"/>
        <v>0</v>
      </c>
      <c r="R107" s="783">
        <f t="shared" si="33"/>
        <v>0</v>
      </c>
    </row>
    <row r="108" spans="1:18" ht="16.5" thickBot="1" x14ac:dyDescent="0.3">
      <c r="A108" s="982">
        <v>35</v>
      </c>
      <c r="B108" s="983"/>
      <c r="C108" s="989">
        <v>16</v>
      </c>
      <c r="D108" s="990" t="s">
        <v>20</v>
      </c>
      <c r="E108" s="402" t="s">
        <v>18</v>
      </c>
      <c r="F108" s="783">
        <f>'[1]11A Sem 1'!E38</f>
        <v>92</v>
      </c>
      <c r="G108" s="783">
        <f>'[1]11A Sem 1'!F38</f>
        <v>91</v>
      </c>
      <c r="H108" s="783">
        <f>'[1]11A Sem 1'!G38</f>
        <v>94</v>
      </c>
      <c r="I108" s="783">
        <f>'[1]11A Sem 1'!H38</f>
        <v>92</v>
      </c>
      <c r="J108" s="783">
        <f>'[1]11A Sem 1'!I38</f>
        <v>93</v>
      </c>
      <c r="K108" s="783">
        <f>'[1]11A Sem 1'!J38</f>
        <v>98</v>
      </c>
      <c r="L108" s="783">
        <f>'[1]11A Sem 1'!K38</f>
        <v>100</v>
      </c>
      <c r="M108" s="783">
        <f>'[1]11A Sem 1'!L38</f>
        <v>94</v>
      </c>
      <c r="N108" s="783">
        <f>'[1]11A Sem 1'!M38</f>
        <v>754</v>
      </c>
      <c r="O108" s="783">
        <f>'[1]11A Sem 1'!N38</f>
        <v>94.25</v>
      </c>
      <c r="P108" s="784">
        <f>'[1]11A Sem 1'!O38</f>
        <v>8</v>
      </c>
      <c r="Q108" s="785">
        <f>'[1]11A Sem 1'!P38</f>
        <v>0</v>
      </c>
      <c r="R108" s="785">
        <f>'[1]11A Sem 1'!Q38</f>
        <v>0</v>
      </c>
    </row>
    <row r="109" spans="1:18" ht="16.5" thickBot="1" x14ac:dyDescent="0.3">
      <c r="A109" s="982"/>
      <c r="B109" s="983"/>
      <c r="C109" s="989">
        <v>15</v>
      </c>
      <c r="D109" s="990" t="s">
        <v>20</v>
      </c>
      <c r="E109" s="402" t="s">
        <v>19</v>
      </c>
      <c r="F109" s="783">
        <f>'[1]11A Sem 2'!E38</f>
        <v>93</v>
      </c>
      <c r="G109" s="783">
        <f>'[1]11A Sem 2'!F38</f>
        <v>93</v>
      </c>
      <c r="H109" s="783">
        <f>'[1]11A Sem 2'!G38</f>
        <v>95</v>
      </c>
      <c r="I109" s="783">
        <f>'[1]11A Sem 2'!H38</f>
        <v>96</v>
      </c>
      <c r="J109" s="783">
        <f>'[1]11A Sem 2'!I38</f>
        <v>99</v>
      </c>
      <c r="K109" s="783">
        <f>'[1]11A Sem 2'!J38</f>
        <v>98</v>
      </c>
      <c r="L109" s="783">
        <f>'[1]11A Sem 2'!K38</f>
        <v>91</v>
      </c>
      <c r="M109" s="783">
        <f>'[1]11A Sem 2'!L38</f>
        <v>95</v>
      </c>
      <c r="N109" s="783">
        <f>'[1]11A Sem 2'!M38</f>
        <v>760</v>
      </c>
      <c r="O109" s="783">
        <f>'[1]11A Sem 2'!N38</f>
        <v>95</v>
      </c>
      <c r="P109" s="784">
        <f>'[1]11A Sem 2'!O38</f>
        <v>7</v>
      </c>
      <c r="Q109" s="785">
        <f>'[1]11A Sem 2'!P38</f>
        <v>0</v>
      </c>
      <c r="R109" s="785">
        <f>'[1]11A Sem 2'!Q38</f>
        <v>0</v>
      </c>
    </row>
    <row r="110" spans="1:18" ht="16.5" thickBot="1" x14ac:dyDescent="0.3">
      <c r="A110" s="982"/>
      <c r="B110" s="983"/>
      <c r="C110" s="989">
        <v>15</v>
      </c>
      <c r="D110" s="990" t="s">
        <v>20</v>
      </c>
      <c r="E110" s="402" t="s">
        <v>13</v>
      </c>
      <c r="F110" s="783">
        <f>AVERAGE(F108:F109)</f>
        <v>92.5</v>
      </c>
      <c r="G110" s="783">
        <f t="shared" ref="G110:R110" si="34">AVERAGE(G108:G109)</f>
        <v>92</v>
      </c>
      <c r="H110" s="783">
        <f t="shared" si="34"/>
        <v>94.5</v>
      </c>
      <c r="I110" s="783">
        <f t="shared" si="34"/>
        <v>94</v>
      </c>
      <c r="J110" s="783">
        <f t="shared" si="34"/>
        <v>96</v>
      </c>
      <c r="K110" s="783">
        <f t="shared" si="34"/>
        <v>98</v>
      </c>
      <c r="L110" s="783">
        <f t="shared" si="34"/>
        <v>95.5</v>
      </c>
      <c r="M110" s="783">
        <f t="shared" si="34"/>
        <v>94.5</v>
      </c>
      <c r="N110" s="783">
        <f t="shared" si="34"/>
        <v>757</v>
      </c>
      <c r="O110" s="783">
        <f>AVERAGE(O108:O109)</f>
        <v>94.625</v>
      </c>
      <c r="P110" s="783">
        <f>'[1]11A Sem avr'!$H$38</f>
        <v>7</v>
      </c>
      <c r="Q110" s="783">
        <f t="shared" si="34"/>
        <v>0</v>
      </c>
      <c r="R110" s="783">
        <f t="shared" si="34"/>
        <v>0</v>
      </c>
    </row>
    <row r="111" spans="1:18" ht="16.5" thickBot="1" x14ac:dyDescent="0.3">
      <c r="A111" s="982">
        <v>36</v>
      </c>
      <c r="B111" s="983"/>
      <c r="C111" s="989">
        <v>16</v>
      </c>
      <c r="D111" s="990" t="s">
        <v>17</v>
      </c>
      <c r="E111" s="402" t="s">
        <v>18</v>
      </c>
      <c r="F111" s="783">
        <f>'[1]11A Sem 1'!E39</f>
        <v>90</v>
      </c>
      <c r="G111" s="783">
        <f>'[1]11A Sem 1'!F39</f>
        <v>71</v>
      </c>
      <c r="H111" s="786">
        <f>'[1]11A Sem 1'!G39</f>
        <v>86</v>
      </c>
      <c r="I111" s="783">
        <f>'[1]11A Sem 1'!H39</f>
        <v>82</v>
      </c>
      <c r="J111" s="783">
        <f>'[1]11A Sem 1'!I39</f>
        <v>88</v>
      </c>
      <c r="K111" s="783">
        <f>'[1]11A Sem 1'!J39</f>
        <v>87</v>
      </c>
      <c r="L111" s="783">
        <f>'[1]11A Sem 1'!K39</f>
        <v>86</v>
      </c>
      <c r="M111" s="783">
        <f>'[1]11A Sem 1'!L39</f>
        <v>89</v>
      </c>
      <c r="N111" s="783">
        <f>'[1]11A Sem 1'!M39</f>
        <v>679</v>
      </c>
      <c r="O111" s="783">
        <f>'[1]11A Sem 1'!N39</f>
        <v>84.875</v>
      </c>
      <c r="P111" s="784">
        <f>'[1]11A Sem 1'!O39</f>
        <v>31</v>
      </c>
      <c r="Q111" s="785">
        <f>'[1]11A Sem 1'!P39</f>
        <v>0</v>
      </c>
      <c r="R111" s="785">
        <f>'[1]11A Sem 1'!Q39</f>
        <v>0</v>
      </c>
    </row>
    <row r="112" spans="1:18" ht="16.5" thickBot="1" x14ac:dyDescent="0.3">
      <c r="A112" s="982"/>
      <c r="B112" s="983"/>
      <c r="C112" s="989">
        <v>15</v>
      </c>
      <c r="D112" s="990" t="s">
        <v>20</v>
      </c>
      <c r="E112" s="402" t="s">
        <v>19</v>
      </c>
      <c r="F112" s="783">
        <f>'[1]11A Sem 2'!E39</f>
        <v>88</v>
      </c>
      <c r="G112" s="783">
        <f>'[1]11A Sem 2'!F39</f>
        <v>66</v>
      </c>
      <c r="H112" s="786">
        <f>'[1]11A Sem 2'!G39</f>
        <v>81</v>
      </c>
      <c r="I112" s="783">
        <f>'[1]11A Sem 2'!H39</f>
        <v>77</v>
      </c>
      <c r="J112" s="783">
        <f>'[1]11A Sem 2'!I39</f>
        <v>87</v>
      </c>
      <c r="K112" s="783">
        <f>'[1]11A Sem 2'!J39</f>
        <v>93</v>
      </c>
      <c r="L112" s="783">
        <f>'[1]11A Sem 2'!K39</f>
        <v>90</v>
      </c>
      <c r="M112" s="783">
        <f>'[1]11A Sem 2'!L39</f>
        <v>85</v>
      </c>
      <c r="N112" s="783">
        <f>'[1]11A Sem 2'!M39</f>
        <v>667</v>
      </c>
      <c r="O112" s="783">
        <f>'[1]11A Sem 2'!N39</f>
        <v>83.375</v>
      </c>
      <c r="P112" s="784">
        <f>'[1]11A Sem 2'!O39</f>
        <v>34</v>
      </c>
      <c r="Q112" s="785">
        <f>'[1]11A Sem 2'!P39</f>
        <v>0</v>
      </c>
      <c r="R112" s="785">
        <f>'[1]11A Sem 2'!Q39</f>
        <v>0</v>
      </c>
    </row>
    <row r="113" spans="1:18" ht="16.5" thickBot="1" x14ac:dyDescent="0.3">
      <c r="A113" s="982"/>
      <c r="B113" s="983"/>
      <c r="C113" s="989">
        <v>15</v>
      </c>
      <c r="D113" s="990" t="s">
        <v>20</v>
      </c>
      <c r="E113" s="402" t="s">
        <v>13</v>
      </c>
      <c r="F113" s="783">
        <f>AVERAGE(F111:F112)</f>
        <v>89</v>
      </c>
      <c r="G113" s="783">
        <f t="shared" ref="G113:R113" si="35">AVERAGE(G111:G112)</f>
        <v>68.5</v>
      </c>
      <c r="H113" s="783">
        <f t="shared" si="35"/>
        <v>83.5</v>
      </c>
      <c r="I113" s="783">
        <f t="shared" si="35"/>
        <v>79.5</v>
      </c>
      <c r="J113" s="783">
        <f t="shared" si="35"/>
        <v>87.5</v>
      </c>
      <c r="K113" s="783">
        <f t="shared" si="35"/>
        <v>90</v>
      </c>
      <c r="L113" s="783">
        <f t="shared" si="35"/>
        <v>88</v>
      </c>
      <c r="M113" s="783">
        <f t="shared" si="35"/>
        <v>87</v>
      </c>
      <c r="N113" s="783">
        <f t="shared" si="35"/>
        <v>673</v>
      </c>
      <c r="O113" s="783">
        <f t="shared" si="35"/>
        <v>84.125</v>
      </c>
      <c r="P113" s="783">
        <f>'[1]11A Sem avr'!$H$39</f>
        <v>35</v>
      </c>
      <c r="Q113" s="783">
        <f t="shared" si="35"/>
        <v>0</v>
      </c>
      <c r="R113" s="783">
        <f t="shared" si="35"/>
        <v>0</v>
      </c>
    </row>
    <row r="114" spans="1:18" ht="16.5" thickBot="1" x14ac:dyDescent="0.3">
      <c r="A114" s="986">
        <v>37</v>
      </c>
      <c r="B114" s="983"/>
      <c r="C114" s="989">
        <v>16</v>
      </c>
      <c r="D114" s="990" t="s">
        <v>17</v>
      </c>
      <c r="E114" s="402" t="s">
        <v>18</v>
      </c>
      <c r="F114" s="783">
        <f>'[1]11A Sem 1'!E40</f>
        <v>72</v>
      </c>
      <c r="G114" s="783">
        <f>'[1]11A Sem 1'!F40</f>
        <v>82</v>
      </c>
      <c r="H114" s="783">
        <f>'[1]11A Sem 1'!G40</f>
        <v>86</v>
      </c>
      <c r="I114" s="783">
        <f>'[1]11A Sem 1'!H40</f>
        <v>88</v>
      </c>
      <c r="J114" s="783">
        <f>'[1]11A Sem 1'!I40</f>
        <v>92</v>
      </c>
      <c r="K114" s="783">
        <f>'[1]11A Sem 1'!J40</f>
        <v>93</v>
      </c>
      <c r="L114" s="783">
        <f>'[1]11A Sem 1'!K40</f>
        <v>92</v>
      </c>
      <c r="M114" s="783">
        <f>'[1]11A Sem 1'!L40</f>
        <v>90</v>
      </c>
      <c r="N114" s="783">
        <f>'[1]11A Sem 1'!M40</f>
        <v>695</v>
      </c>
      <c r="O114" s="783">
        <f>'[1]11A Sem 1'!N40</f>
        <v>86.875</v>
      </c>
      <c r="P114" s="784">
        <f>'[1]11A Sem 1'!O40</f>
        <v>21</v>
      </c>
      <c r="Q114" s="785">
        <f>'[1]11A Sem 1'!P40</f>
        <v>0</v>
      </c>
      <c r="R114" s="785">
        <f>'[1]11A Sem 1'!Q40</f>
        <v>0</v>
      </c>
    </row>
    <row r="115" spans="1:18" ht="16.5" thickBot="1" x14ac:dyDescent="0.3">
      <c r="A115" s="986"/>
      <c r="B115" s="983"/>
      <c r="C115" s="989">
        <v>15</v>
      </c>
      <c r="D115" s="990" t="s">
        <v>20</v>
      </c>
      <c r="E115" s="402" t="s">
        <v>19</v>
      </c>
      <c r="F115" s="783">
        <f>'[1]11A Sem 2'!E40</f>
        <v>71</v>
      </c>
      <c r="G115" s="783">
        <f>'[1]11A Sem 2'!F40</f>
        <v>90</v>
      </c>
      <c r="H115" s="783">
        <f>'[1]11A Sem 2'!G40</f>
        <v>81</v>
      </c>
      <c r="I115" s="783">
        <f>'[1]11A Sem 2'!H40</f>
        <v>92</v>
      </c>
      <c r="J115" s="783">
        <f>'[1]11A Sem 2'!I40</f>
        <v>97</v>
      </c>
      <c r="K115" s="783">
        <f>'[1]11A Sem 2'!J40</f>
        <v>98</v>
      </c>
      <c r="L115" s="783">
        <f>'[1]11A Sem 2'!K40</f>
        <v>91</v>
      </c>
      <c r="M115" s="783">
        <f>'[1]11A Sem 2'!L40</f>
        <v>86</v>
      </c>
      <c r="N115" s="783">
        <f>'[1]11A Sem 2'!M40</f>
        <v>706</v>
      </c>
      <c r="O115" s="783">
        <f>'[1]11A Sem 2'!N40</f>
        <v>88.25</v>
      </c>
      <c r="P115" s="784">
        <f>'[1]11A Sem 2'!O40</f>
        <v>19</v>
      </c>
      <c r="Q115" s="785">
        <f>'[1]11A Sem 2'!P40</f>
        <v>0</v>
      </c>
      <c r="R115" s="785">
        <f>'[1]11A Sem 2'!Q40</f>
        <v>0</v>
      </c>
    </row>
    <row r="116" spans="1:18" ht="16.5" thickBot="1" x14ac:dyDescent="0.3">
      <c r="A116" s="986"/>
      <c r="B116" s="983"/>
      <c r="C116" s="989">
        <v>15</v>
      </c>
      <c r="D116" s="990" t="s">
        <v>20</v>
      </c>
      <c r="E116" s="402" t="s">
        <v>13</v>
      </c>
      <c r="F116" s="783">
        <f>AVERAGE(F114:F115)</f>
        <v>71.5</v>
      </c>
      <c r="G116" s="783">
        <f t="shared" ref="G116:R116" si="36">AVERAGE(G114:G115)</f>
        <v>86</v>
      </c>
      <c r="H116" s="783">
        <f t="shared" si="36"/>
        <v>83.5</v>
      </c>
      <c r="I116" s="783">
        <f t="shared" si="36"/>
        <v>90</v>
      </c>
      <c r="J116" s="783">
        <f t="shared" si="36"/>
        <v>94.5</v>
      </c>
      <c r="K116" s="783">
        <f t="shared" si="36"/>
        <v>95.5</v>
      </c>
      <c r="L116" s="783">
        <f t="shared" si="36"/>
        <v>91.5</v>
      </c>
      <c r="M116" s="783">
        <f t="shared" si="36"/>
        <v>88</v>
      </c>
      <c r="N116" s="783">
        <f t="shared" si="36"/>
        <v>700.5</v>
      </c>
      <c r="O116" s="783">
        <f t="shared" si="36"/>
        <v>87.5625</v>
      </c>
      <c r="P116" s="783">
        <f>'[1]11A Sem avr'!$H$40</f>
        <v>18</v>
      </c>
      <c r="Q116" s="783">
        <f t="shared" si="36"/>
        <v>0</v>
      </c>
      <c r="R116" s="783">
        <f t="shared" si="36"/>
        <v>0</v>
      </c>
    </row>
    <row r="117" spans="1:18" ht="16.5" thickBot="1" x14ac:dyDescent="0.3">
      <c r="A117" s="982">
        <v>38</v>
      </c>
      <c r="B117" s="983"/>
      <c r="C117" s="989">
        <v>16</v>
      </c>
      <c r="D117" s="990" t="s">
        <v>17</v>
      </c>
      <c r="E117" s="402" t="s">
        <v>18</v>
      </c>
      <c r="F117" s="783">
        <f>'[1]11A Sem 1'!E41</f>
        <v>65</v>
      </c>
      <c r="G117" s="783">
        <f>'[1]11A Sem 1'!F41</f>
        <v>89</v>
      </c>
      <c r="H117" s="783">
        <f>'[1]11A Sem 1'!G41</f>
        <v>85</v>
      </c>
      <c r="I117" s="783">
        <f>'[1]11A Sem 1'!H41</f>
        <v>83</v>
      </c>
      <c r="J117" s="783">
        <f>'[1]11A Sem 1'!I41</f>
        <v>83</v>
      </c>
      <c r="K117" s="783">
        <f>'[1]11A Sem 1'!J41</f>
        <v>85</v>
      </c>
      <c r="L117" s="783">
        <f>'[1]11A Sem 1'!K41</f>
        <v>95</v>
      </c>
      <c r="M117" s="783">
        <f>'[1]11A Sem 1'!L41</f>
        <v>99</v>
      </c>
      <c r="N117" s="783">
        <f>'[1]11A Sem 1'!M41</f>
        <v>684</v>
      </c>
      <c r="O117" s="783">
        <f>'[1]11A Sem 1'!N41</f>
        <v>85.5</v>
      </c>
      <c r="P117" s="784">
        <f>'[1]11A Sem 1'!O41</f>
        <v>28</v>
      </c>
      <c r="Q117" s="785">
        <f>'[1]11A Sem 1'!P41</f>
        <v>0</v>
      </c>
      <c r="R117" s="785">
        <f>'[1]11A Sem 1'!Q41</f>
        <v>0</v>
      </c>
    </row>
    <row r="118" spans="1:18" ht="16.5" thickBot="1" x14ac:dyDescent="0.3">
      <c r="A118" s="982"/>
      <c r="B118" s="983"/>
      <c r="C118" s="989">
        <v>15</v>
      </c>
      <c r="D118" s="990" t="s">
        <v>17</v>
      </c>
      <c r="E118" s="402" t="s">
        <v>19</v>
      </c>
      <c r="F118" s="783">
        <f>'[1]11A Sem 2'!E41</f>
        <v>73</v>
      </c>
      <c r="G118" s="783">
        <f>'[1]11A Sem 2'!F41</f>
        <v>93</v>
      </c>
      <c r="H118" s="783">
        <f>'[1]11A Sem 2'!G41</f>
        <v>86</v>
      </c>
      <c r="I118" s="783">
        <f>'[1]11A Sem 2'!H41</f>
        <v>82</v>
      </c>
      <c r="J118" s="783">
        <f>'[1]11A Sem 2'!I41</f>
        <v>82</v>
      </c>
      <c r="K118" s="783">
        <f>'[1]11A Sem 2'!J41</f>
        <v>83</v>
      </c>
      <c r="L118" s="783">
        <f>'[1]11A Sem 2'!K41</f>
        <v>95</v>
      </c>
      <c r="M118" s="783">
        <f>'[1]11A Sem 2'!L41</f>
        <v>89</v>
      </c>
      <c r="N118" s="783">
        <f>'[1]11A Sem 2'!M41</f>
        <v>683</v>
      </c>
      <c r="O118" s="783">
        <f>'[1]11A Sem 2'!N41</f>
        <v>85.375</v>
      </c>
      <c r="P118" s="784">
        <f>'[1]11A Sem 2'!O41</f>
        <v>31</v>
      </c>
      <c r="Q118" s="785">
        <f>'[1]11A Sem 2'!P41</f>
        <v>0</v>
      </c>
      <c r="R118" s="785">
        <f>'[1]11A Sem 2'!Q41</f>
        <v>0</v>
      </c>
    </row>
    <row r="119" spans="1:18" ht="16.5" thickBot="1" x14ac:dyDescent="0.3">
      <c r="A119" s="982"/>
      <c r="B119" s="983"/>
      <c r="C119" s="989">
        <v>15</v>
      </c>
      <c r="D119" s="990" t="s">
        <v>17</v>
      </c>
      <c r="E119" s="402" t="s">
        <v>13</v>
      </c>
      <c r="F119" s="783">
        <f>AVERAGE(F117:F118)</f>
        <v>69</v>
      </c>
      <c r="G119" s="783">
        <f t="shared" ref="G119:R119" si="37">AVERAGE(G117:G118)</f>
        <v>91</v>
      </c>
      <c r="H119" s="783">
        <f t="shared" si="37"/>
        <v>85.5</v>
      </c>
      <c r="I119" s="783">
        <f t="shared" si="37"/>
        <v>82.5</v>
      </c>
      <c r="J119" s="783">
        <f t="shared" si="37"/>
        <v>82.5</v>
      </c>
      <c r="K119" s="783">
        <f t="shared" si="37"/>
        <v>84</v>
      </c>
      <c r="L119" s="783">
        <f t="shared" si="37"/>
        <v>95</v>
      </c>
      <c r="M119" s="783">
        <f t="shared" si="37"/>
        <v>94</v>
      </c>
      <c r="N119" s="783">
        <f t="shared" si="37"/>
        <v>683.5</v>
      </c>
      <c r="O119" s="783">
        <f t="shared" si="37"/>
        <v>85.4375</v>
      </c>
      <c r="P119" s="783">
        <f>'[1]11A Sem avr'!$H$41</f>
        <v>29</v>
      </c>
      <c r="Q119" s="783">
        <f t="shared" si="37"/>
        <v>0</v>
      </c>
      <c r="R119" s="783">
        <f t="shared" si="37"/>
        <v>0</v>
      </c>
    </row>
    <row r="120" spans="1:18" ht="16.5" thickBot="1" x14ac:dyDescent="0.3">
      <c r="A120" s="982">
        <v>39</v>
      </c>
      <c r="B120" s="983"/>
      <c r="C120" s="989">
        <v>16</v>
      </c>
      <c r="D120" s="990" t="s">
        <v>20</v>
      </c>
      <c r="E120" s="402" t="s">
        <v>18</v>
      </c>
      <c r="F120" s="783">
        <f>'[1]11A Sem 1'!E42</f>
        <v>89</v>
      </c>
      <c r="G120" s="783">
        <f>'[1]11A Sem 1'!F42</f>
        <v>65</v>
      </c>
      <c r="H120" s="786">
        <f>'[1]11A Sem 1'!G42</f>
        <v>81</v>
      </c>
      <c r="I120" s="783">
        <f>'[1]11A Sem 1'!H42</f>
        <v>75</v>
      </c>
      <c r="J120" s="783">
        <f>'[1]11A Sem 1'!I42</f>
        <v>80</v>
      </c>
      <c r="K120" s="783">
        <f>'[1]11A Sem 1'!J42</f>
        <v>94</v>
      </c>
      <c r="L120" s="783">
        <f>'[1]11A Sem 1'!K42</f>
        <v>91</v>
      </c>
      <c r="M120" s="783">
        <f>'[1]11A Sem 1'!L42</f>
        <v>91</v>
      </c>
      <c r="N120" s="783">
        <f>'[1]11A Sem 1'!M42</f>
        <v>666</v>
      </c>
      <c r="O120" s="783">
        <f>'[1]11A Sem 1'!N42</f>
        <v>83.25</v>
      </c>
      <c r="P120" s="784">
        <f>'[1]11A Sem 1'!O42</f>
        <v>35</v>
      </c>
      <c r="Q120" s="785">
        <f>'[1]11A Sem 1'!P42</f>
        <v>0</v>
      </c>
      <c r="R120" s="785">
        <f>'[1]11A Sem 1'!Q42</f>
        <v>0</v>
      </c>
    </row>
    <row r="121" spans="1:18" ht="16.5" thickBot="1" x14ac:dyDescent="0.3">
      <c r="A121" s="982"/>
      <c r="B121" s="983"/>
      <c r="C121" s="989">
        <v>16</v>
      </c>
      <c r="D121" s="990" t="s">
        <v>20</v>
      </c>
      <c r="E121" s="402" t="s">
        <v>19</v>
      </c>
      <c r="F121" s="783">
        <f>'[1]11A Sem 2'!E42</f>
        <v>94</v>
      </c>
      <c r="G121" s="783">
        <f>'[1]11A Sem 2'!F42</f>
        <v>67</v>
      </c>
      <c r="H121" s="786">
        <f>'[1]11A Sem 2'!G42</f>
        <v>75</v>
      </c>
      <c r="I121" s="783">
        <f>'[1]11A Sem 2'!H42</f>
        <v>72</v>
      </c>
      <c r="J121" s="783">
        <f>'[1]11A Sem 2'!I42</f>
        <v>93</v>
      </c>
      <c r="K121" s="783">
        <f>'[1]11A Sem 2'!J42</f>
        <v>97</v>
      </c>
      <c r="L121" s="783">
        <f>'[1]11A Sem 2'!K42</f>
        <v>98</v>
      </c>
      <c r="M121" s="783">
        <f>'[1]11A Sem 2'!L42</f>
        <v>88</v>
      </c>
      <c r="N121" s="783">
        <f>'[1]11A Sem 2'!M42</f>
        <v>684</v>
      </c>
      <c r="O121" s="783">
        <f>'[1]11A Sem 2'!N42</f>
        <v>85.5</v>
      </c>
      <c r="P121" s="784">
        <f>'[1]11A Sem 2'!O42</f>
        <v>30</v>
      </c>
      <c r="Q121" s="785">
        <f>'[1]11A Sem 2'!P42</f>
        <v>0</v>
      </c>
      <c r="R121" s="785">
        <f>'[1]11A Sem 2'!Q42</f>
        <v>0</v>
      </c>
    </row>
    <row r="122" spans="1:18" ht="16.5" thickBot="1" x14ac:dyDescent="0.3">
      <c r="A122" s="982"/>
      <c r="B122" s="983"/>
      <c r="C122" s="989">
        <v>16</v>
      </c>
      <c r="D122" s="990" t="s">
        <v>20</v>
      </c>
      <c r="E122" s="402" t="s">
        <v>13</v>
      </c>
      <c r="F122" s="783">
        <f>AVERAGE(F120:F121)</f>
        <v>91.5</v>
      </c>
      <c r="G122" s="783">
        <f t="shared" ref="G122:R122" si="38">AVERAGE(G120:G121)</f>
        <v>66</v>
      </c>
      <c r="H122" s="783">
        <f t="shared" si="38"/>
        <v>78</v>
      </c>
      <c r="I122" s="783">
        <f t="shared" si="38"/>
        <v>73.5</v>
      </c>
      <c r="J122" s="783">
        <f t="shared" si="38"/>
        <v>86.5</v>
      </c>
      <c r="K122" s="783">
        <f t="shared" si="38"/>
        <v>95.5</v>
      </c>
      <c r="L122" s="783">
        <f t="shared" si="38"/>
        <v>94.5</v>
      </c>
      <c r="M122" s="783">
        <f t="shared" si="38"/>
        <v>89.5</v>
      </c>
      <c r="N122" s="783">
        <f t="shared" si="38"/>
        <v>675</v>
      </c>
      <c r="O122" s="783">
        <f t="shared" si="38"/>
        <v>84.375</v>
      </c>
      <c r="P122" s="783">
        <f>'[1]11A Sem avr'!$H$42</f>
        <v>32</v>
      </c>
      <c r="Q122" s="783">
        <f t="shared" si="38"/>
        <v>0</v>
      </c>
      <c r="R122" s="783">
        <f t="shared" si="38"/>
        <v>0</v>
      </c>
    </row>
    <row r="123" spans="1:18" ht="16.5" thickBot="1" x14ac:dyDescent="0.3">
      <c r="A123" s="986">
        <v>40</v>
      </c>
      <c r="B123" s="983"/>
      <c r="C123" s="989">
        <v>16</v>
      </c>
      <c r="D123" s="990" t="s">
        <v>20</v>
      </c>
      <c r="E123" s="402" t="s">
        <v>18</v>
      </c>
      <c r="F123" s="783">
        <f>'[1]11A Sem 1'!E43</f>
        <v>79</v>
      </c>
      <c r="G123" s="783">
        <f>'[1]11A Sem 1'!F43</f>
        <v>82</v>
      </c>
      <c r="H123" s="783">
        <f>'[1]11A Sem 1'!G43</f>
        <v>89</v>
      </c>
      <c r="I123" s="783">
        <f>'[1]11A Sem 1'!H43</f>
        <v>87</v>
      </c>
      <c r="J123" s="783">
        <f>'[1]11A Sem 1'!I43</f>
        <v>88</v>
      </c>
      <c r="K123" s="783">
        <f>'[1]11A Sem 1'!J43</f>
        <v>98</v>
      </c>
      <c r="L123" s="786">
        <f>'[1]11A Sem 1'!K43</f>
        <v>95</v>
      </c>
      <c r="M123" s="783">
        <f>'[1]11A Sem 1'!L43</f>
        <v>88</v>
      </c>
      <c r="N123" s="783">
        <f>'[1]11A Sem 1'!M43</f>
        <v>706</v>
      </c>
      <c r="O123" s="783">
        <f>'[1]11A Sem 1'!N43</f>
        <v>88.25</v>
      </c>
      <c r="P123" s="784">
        <f>'[1]11A Sem 1'!O43</f>
        <v>17</v>
      </c>
      <c r="Q123" s="785">
        <f>'[1]11A Sem 1'!P43</f>
        <v>0</v>
      </c>
      <c r="R123" s="785">
        <f>'[1]11A Sem 1'!Q43</f>
        <v>0</v>
      </c>
    </row>
    <row r="124" spans="1:18" ht="16.5" thickBot="1" x14ac:dyDescent="0.3">
      <c r="A124" s="986"/>
      <c r="B124" s="983"/>
      <c r="C124" s="989">
        <v>16</v>
      </c>
      <c r="D124" s="990" t="s">
        <v>17</v>
      </c>
      <c r="E124" s="402" t="s">
        <v>19</v>
      </c>
      <c r="F124" s="783">
        <f>'[1]11A Sem 2'!E43</f>
        <v>90</v>
      </c>
      <c r="G124" s="783">
        <f>'[1]11A Sem 2'!F43</f>
        <v>91</v>
      </c>
      <c r="H124" s="783">
        <f>'[1]11A Sem 2'!G43</f>
        <v>83</v>
      </c>
      <c r="I124" s="783">
        <f>'[1]11A Sem 2'!H43</f>
        <v>81</v>
      </c>
      <c r="J124" s="783">
        <f>'[1]11A Sem 2'!I43</f>
        <v>97</v>
      </c>
      <c r="K124" s="783">
        <f>'[1]11A Sem 2'!J43</f>
        <v>95</v>
      </c>
      <c r="L124" s="786">
        <f>'[1]11A Sem 2'!K43</f>
        <v>94</v>
      </c>
      <c r="M124" s="783">
        <f>'[1]11A Sem 2'!L43</f>
        <v>96</v>
      </c>
      <c r="N124" s="783">
        <f>'[1]11A Sem 2'!M43</f>
        <v>727</v>
      </c>
      <c r="O124" s="783">
        <f>'[1]11A Sem 2'!N43</f>
        <v>90.875</v>
      </c>
      <c r="P124" s="784">
        <f>'[1]11A Sem 2'!O43</f>
        <v>14</v>
      </c>
      <c r="Q124" s="785">
        <f>'[1]11A Sem 2'!P43</f>
        <v>0</v>
      </c>
      <c r="R124" s="785">
        <f>'[1]11A Sem 2'!Q43</f>
        <v>0</v>
      </c>
    </row>
    <row r="125" spans="1:18" ht="16.5" thickBot="1" x14ac:dyDescent="0.3">
      <c r="A125" s="986"/>
      <c r="B125" s="983"/>
      <c r="C125" s="989">
        <v>16</v>
      </c>
      <c r="D125" s="990" t="s">
        <v>17</v>
      </c>
      <c r="E125" s="402" t="s">
        <v>13</v>
      </c>
      <c r="F125" s="783">
        <f>AVERAGE(F123:F124)</f>
        <v>84.5</v>
      </c>
      <c r="G125" s="783">
        <f t="shared" ref="G125:R125" si="39">AVERAGE(G123:G124)</f>
        <v>86.5</v>
      </c>
      <c r="H125" s="783">
        <f t="shared" si="39"/>
        <v>86</v>
      </c>
      <c r="I125" s="783">
        <f t="shared" si="39"/>
        <v>84</v>
      </c>
      <c r="J125" s="783">
        <f t="shared" si="39"/>
        <v>92.5</v>
      </c>
      <c r="K125" s="783">
        <f t="shared" si="39"/>
        <v>96.5</v>
      </c>
      <c r="L125" s="783">
        <f t="shared" si="39"/>
        <v>94.5</v>
      </c>
      <c r="M125" s="783">
        <f t="shared" si="39"/>
        <v>92</v>
      </c>
      <c r="N125" s="783">
        <f t="shared" si="39"/>
        <v>716.5</v>
      </c>
      <c r="O125" s="783">
        <f t="shared" si="39"/>
        <v>89.5625</v>
      </c>
      <c r="P125" s="783">
        <f>'[1]11A Sem avr'!$H$43</f>
        <v>17</v>
      </c>
      <c r="Q125" s="783">
        <f t="shared" si="39"/>
        <v>0</v>
      </c>
      <c r="R125" s="783">
        <f t="shared" si="39"/>
        <v>0</v>
      </c>
    </row>
    <row r="126" spans="1:18" ht="16.5" thickBot="1" x14ac:dyDescent="0.3">
      <c r="A126" s="982">
        <v>41</v>
      </c>
      <c r="B126" s="983"/>
      <c r="C126" s="989">
        <v>17</v>
      </c>
      <c r="D126" s="990" t="s">
        <v>17</v>
      </c>
      <c r="E126" s="402" t="s">
        <v>18</v>
      </c>
      <c r="F126" s="783">
        <f>'[1]11A Sem 1'!E44</f>
        <v>92</v>
      </c>
      <c r="G126" s="783">
        <f>'[1]11A Sem 1'!F44</f>
        <v>91</v>
      </c>
      <c r="H126" s="783">
        <f>'[1]11A Sem 1'!G44</f>
        <v>92</v>
      </c>
      <c r="I126" s="783">
        <f>'[1]11A Sem 1'!H44</f>
        <v>86</v>
      </c>
      <c r="J126" s="783">
        <f>'[1]11A Sem 1'!I44</f>
        <v>96</v>
      </c>
      <c r="K126" s="783">
        <f>'[1]11A Sem 1'!J44</f>
        <v>91</v>
      </c>
      <c r="L126" s="783">
        <f>'[1]11A Sem 1'!K44</f>
        <v>100</v>
      </c>
      <c r="M126" s="783">
        <f>'[1]11A Sem 1'!L44</f>
        <v>100</v>
      </c>
      <c r="N126" s="783">
        <f>'[1]11A Sem 1'!M44</f>
        <v>748</v>
      </c>
      <c r="O126" s="783">
        <f>'[1]11A Sem 1'!N44</f>
        <v>93.5</v>
      </c>
      <c r="P126" s="784">
        <f>'[1]11A Sem 1'!O44</f>
        <v>10</v>
      </c>
      <c r="Q126" s="785">
        <f>'[1]11A Sem 1'!P44</f>
        <v>0</v>
      </c>
      <c r="R126" s="785">
        <f>'[1]11A Sem 1'!Q44</f>
        <v>0</v>
      </c>
    </row>
    <row r="127" spans="1:18" ht="16.5" thickBot="1" x14ac:dyDescent="0.3">
      <c r="A127" s="982"/>
      <c r="B127" s="983"/>
      <c r="C127" s="989">
        <v>17</v>
      </c>
      <c r="D127" s="990" t="s">
        <v>20</v>
      </c>
      <c r="E127" s="402" t="s">
        <v>19</v>
      </c>
      <c r="F127" s="783">
        <f>'[1]11A Sem 2'!E44</f>
        <v>87</v>
      </c>
      <c r="G127" s="783">
        <f>'[1]11A Sem 2'!F44</f>
        <v>92</v>
      </c>
      <c r="H127" s="783">
        <f>'[1]11A Sem 2'!G44</f>
        <v>92</v>
      </c>
      <c r="I127" s="783">
        <f>'[1]11A Sem 2'!H44</f>
        <v>78</v>
      </c>
      <c r="J127" s="783">
        <f>'[1]11A Sem 2'!I44</f>
        <v>94</v>
      </c>
      <c r="K127" s="783">
        <f>'[1]11A Sem 2'!J44</f>
        <v>98</v>
      </c>
      <c r="L127" s="783">
        <f>'[1]11A Sem 2'!K44</f>
        <v>96</v>
      </c>
      <c r="M127" s="783">
        <f>'[1]11A Sem 2'!L44</f>
        <v>99</v>
      </c>
      <c r="N127" s="783">
        <f>'[1]11A Sem 2'!M44</f>
        <v>736</v>
      </c>
      <c r="O127" s="783">
        <f>'[1]11A Sem 2'!N44</f>
        <v>92</v>
      </c>
      <c r="P127" s="784">
        <f>'[1]11A Sem 2'!O44</f>
        <v>10</v>
      </c>
      <c r="Q127" s="785">
        <f>'[1]11A Sem 2'!P44</f>
        <v>0</v>
      </c>
      <c r="R127" s="785">
        <f>'[1]11A Sem 2'!Q44</f>
        <v>0</v>
      </c>
    </row>
    <row r="128" spans="1:18" ht="16.5" thickBot="1" x14ac:dyDescent="0.3">
      <c r="A128" s="982"/>
      <c r="B128" s="983"/>
      <c r="C128" s="989">
        <v>17</v>
      </c>
      <c r="D128" s="990" t="s">
        <v>20</v>
      </c>
      <c r="E128" s="402" t="s">
        <v>13</v>
      </c>
      <c r="F128" s="783">
        <f>AVERAGE(F126:F127)</f>
        <v>89.5</v>
      </c>
      <c r="G128" s="783">
        <f t="shared" ref="G128:R128" si="40">AVERAGE(G126:G127)</f>
        <v>91.5</v>
      </c>
      <c r="H128" s="783">
        <f t="shared" si="40"/>
        <v>92</v>
      </c>
      <c r="I128" s="783">
        <f t="shared" si="40"/>
        <v>82</v>
      </c>
      <c r="J128" s="783">
        <f t="shared" si="40"/>
        <v>95</v>
      </c>
      <c r="K128" s="783">
        <f t="shared" si="40"/>
        <v>94.5</v>
      </c>
      <c r="L128" s="783">
        <f t="shared" si="40"/>
        <v>98</v>
      </c>
      <c r="M128" s="783">
        <f t="shared" si="40"/>
        <v>99.5</v>
      </c>
      <c r="N128" s="783">
        <f t="shared" si="40"/>
        <v>742</v>
      </c>
      <c r="O128" s="783">
        <f t="shared" si="40"/>
        <v>92.75</v>
      </c>
      <c r="P128" s="783">
        <f>'[1]11A Sem avr'!$H$44</f>
        <v>10</v>
      </c>
      <c r="Q128" s="783">
        <f t="shared" si="40"/>
        <v>0</v>
      </c>
      <c r="R128" s="783">
        <f t="shared" si="40"/>
        <v>0</v>
      </c>
    </row>
    <row r="129" spans="1:18" ht="16.5" thickBot="1" x14ac:dyDescent="0.3">
      <c r="A129" s="982">
        <v>42</v>
      </c>
      <c r="B129" s="983"/>
      <c r="C129" s="987">
        <v>16</v>
      </c>
      <c r="D129" s="988" t="s">
        <v>17</v>
      </c>
      <c r="E129" s="402" t="s">
        <v>18</v>
      </c>
      <c r="F129" s="783">
        <f>'[1]11A Sem 1'!E45</f>
        <v>80</v>
      </c>
      <c r="G129" s="786">
        <f>'[1]11A Sem 1'!F45</f>
        <v>83</v>
      </c>
      <c r="H129" s="786">
        <f>'[1]11A Sem 1'!G45</f>
        <v>85</v>
      </c>
      <c r="I129" s="786">
        <f>'[1]11A Sem 1'!H45</f>
        <v>82</v>
      </c>
      <c r="J129" s="783">
        <f>'[1]11A Sem 1'!I45</f>
        <v>80</v>
      </c>
      <c r="K129" s="783">
        <f>'[1]11A Sem 1'!J45</f>
        <v>90</v>
      </c>
      <c r="L129" s="783">
        <f>'[1]11A Sem 1'!K45</f>
        <v>97</v>
      </c>
      <c r="M129" s="783">
        <f>'[1]11A Sem 1'!L45</f>
        <v>89</v>
      </c>
      <c r="N129" s="783">
        <f>'[1]11A Sem 1'!M45</f>
        <v>686</v>
      </c>
      <c r="O129" s="783">
        <f>'[1]11A Sem 1'!N45</f>
        <v>85.75</v>
      </c>
      <c r="P129" s="784">
        <f>'[1]11A Sem 1'!O45</f>
        <v>27</v>
      </c>
      <c r="Q129" s="785">
        <f>'[1]11A Sem 1'!P45</f>
        <v>0</v>
      </c>
      <c r="R129" s="785">
        <f>'[1]11A Sem 1'!Q45</f>
        <v>0</v>
      </c>
    </row>
    <row r="130" spans="1:18" ht="16.5" thickBot="1" x14ac:dyDescent="0.3">
      <c r="A130" s="982"/>
      <c r="B130" s="983"/>
      <c r="C130" s="987">
        <v>18</v>
      </c>
      <c r="D130" s="988" t="s">
        <v>17</v>
      </c>
      <c r="E130" s="402" t="s">
        <v>19</v>
      </c>
      <c r="F130" s="783">
        <f>'[1]11A Sem 2'!E45</f>
        <v>79</v>
      </c>
      <c r="G130" s="786">
        <f>'[1]11A Sem 2'!F45</f>
        <v>90</v>
      </c>
      <c r="H130" s="786">
        <f>'[1]11A Sem 2'!G45</f>
        <v>75</v>
      </c>
      <c r="I130" s="786">
        <f>'[1]11A Sem 2'!H45</f>
        <v>77</v>
      </c>
      <c r="J130" s="783">
        <f>'[1]11A Sem 2'!I45</f>
        <v>87</v>
      </c>
      <c r="K130" s="783">
        <f>'[1]11A Sem 2'!J45</f>
        <v>87</v>
      </c>
      <c r="L130" s="783">
        <f>'[1]11A Sem 2'!K45</f>
        <v>97</v>
      </c>
      <c r="M130" s="783">
        <f>'[1]11A Sem 2'!L45</f>
        <v>97</v>
      </c>
      <c r="N130" s="783">
        <f>'[1]11A Sem 2'!M45</f>
        <v>689</v>
      </c>
      <c r="O130" s="783">
        <f>'[1]11A Sem 2'!N45</f>
        <v>86.125</v>
      </c>
      <c r="P130" s="784">
        <f>'[1]11A Sem 2'!O45</f>
        <v>27</v>
      </c>
      <c r="Q130" s="785">
        <f>'[1]11A Sem 2'!P45</f>
        <v>0</v>
      </c>
      <c r="R130" s="785">
        <f>'[1]11A Sem 2'!Q45</f>
        <v>0</v>
      </c>
    </row>
    <row r="131" spans="1:18" ht="16.5" thickBot="1" x14ac:dyDescent="0.3">
      <c r="A131" s="982"/>
      <c r="B131" s="983"/>
      <c r="C131" s="987">
        <v>18</v>
      </c>
      <c r="D131" s="988" t="s">
        <v>17</v>
      </c>
      <c r="E131" s="402" t="s">
        <v>13</v>
      </c>
      <c r="F131" s="783">
        <f>AVERAGE(F129:F130)</f>
        <v>79.5</v>
      </c>
      <c r="G131" s="783">
        <f t="shared" ref="G131:R131" si="41">AVERAGE(G129:G130)</f>
        <v>86.5</v>
      </c>
      <c r="H131" s="783">
        <f t="shared" si="41"/>
        <v>80</v>
      </c>
      <c r="I131" s="783">
        <f t="shared" si="41"/>
        <v>79.5</v>
      </c>
      <c r="J131" s="783">
        <f t="shared" si="41"/>
        <v>83.5</v>
      </c>
      <c r="K131" s="783">
        <f t="shared" si="41"/>
        <v>88.5</v>
      </c>
      <c r="L131" s="783">
        <f t="shared" si="41"/>
        <v>97</v>
      </c>
      <c r="M131" s="783">
        <f t="shared" si="41"/>
        <v>93</v>
      </c>
      <c r="N131" s="783">
        <f t="shared" si="41"/>
        <v>687.5</v>
      </c>
      <c r="O131" s="783">
        <f t="shared" si="41"/>
        <v>85.9375</v>
      </c>
      <c r="P131" s="783">
        <f>'[1]11A Sem avr'!$H$45</f>
        <v>27</v>
      </c>
      <c r="Q131" s="783">
        <f t="shared" si="41"/>
        <v>0</v>
      </c>
      <c r="R131" s="783">
        <f t="shared" si="41"/>
        <v>0</v>
      </c>
    </row>
    <row r="132" spans="1:18" ht="16.5" thickBot="1" x14ac:dyDescent="0.3">
      <c r="A132" s="986">
        <v>43</v>
      </c>
      <c r="B132" s="983"/>
      <c r="C132" s="989">
        <v>16</v>
      </c>
      <c r="D132" s="990" t="s">
        <v>17</v>
      </c>
      <c r="E132" s="402" t="s">
        <v>18</v>
      </c>
      <c r="F132" s="783">
        <f>'[1]11A Sem 1'!E46</f>
        <v>76</v>
      </c>
      <c r="G132" s="786">
        <f>'[1]11A Sem 1'!F46</f>
        <v>82</v>
      </c>
      <c r="H132" s="786">
        <f>'[1]11A Sem 1'!G46</f>
        <v>84</v>
      </c>
      <c r="I132" s="783">
        <f>'[1]11A Sem 1'!H46</f>
        <v>78</v>
      </c>
      <c r="J132" s="786">
        <f>'[1]11A Sem 1'!I46</f>
        <v>82</v>
      </c>
      <c r="K132" s="783">
        <f>'[1]11A Sem 1'!J46</f>
        <v>87</v>
      </c>
      <c r="L132" s="786">
        <f>'[1]11A Sem 1'!K46</f>
        <v>94</v>
      </c>
      <c r="M132" s="786">
        <f>'[1]11A Sem 1'!L46</f>
        <v>97</v>
      </c>
      <c r="N132" s="783">
        <f>'[1]11A Sem 1'!M46</f>
        <v>680</v>
      </c>
      <c r="O132" s="783">
        <f>'[1]11A Sem 1'!N46</f>
        <v>85</v>
      </c>
      <c r="P132" s="784">
        <f>'[1]11A Sem 1'!O46</f>
        <v>30</v>
      </c>
      <c r="Q132" s="785">
        <f>'[1]11A Sem 1'!P46</f>
        <v>0</v>
      </c>
      <c r="R132" s="785">
        <f>'[1]11A Sem 1'!Q46</f>
        <v>0</v>
      </c>
    </row>
    <row r="133" spans="1:18" ht="16.5" thickBot="1" x14ac:dyDescent="0.3">
      <c r="A133" s="986"/>
      <c r="B133" s="983"/>
      <c r="C133" s="989">
        <v>16</v>
      </c>
      <c r="D133" s="990" t="s">
        <v>17</v>
      </c>
      <c r="E133" s="402" t="s">
        <v>19</v>
      </c>
      <c r="F133" s="783">
        <f>'[1]11A Sem 2'!E46</f>
        <v>82</v>
      </c>
      <c r="G133" s="786">
        <f>'[1]11A Sem 2'!F46</f>
        <v>85</v>
      </c>
      <c r="H133" s="786">
        <f>'[1]11A Sem 2'!G46</f>
        <v>81</v>
      </c>
      <c r="I133" s="783">
        <f>'[1]11A Sem 2'!H46</f>
        <v>79</v>
      </c>
      <c r="J133" s="786">
        <f>'[1]11A Sem 2'!I46</f>
        <v>92</v>
      </c>
      <c r="K133" s="783">
        <f>'[1]11A Sem 2'!J46</f>
        <v>96</v>
      </c>
      <c r="L133" s="786">
        <f>'[1]11A Sem 2'!K46</f>
        <v>91</v>
      </c>
      <c r="M133" s="786">
        <f>'[1]11A Sem 2'!L46</f>
        <v>90</v>
      </c>
      <c r="N133" s="783">
        <f>'[1]11A Sem 2'!M46</f>
        <v>696</v>
      </c>
      <c r="O133" s="783">
        <f>'[1]11A Sem 2'!N46</f>
        <v>87</v>
      </c>
      <c r="P133" s="784">
        <f>'[1]11A Sem 2'!O46</f>
        <v>21</v>
      </c>
      <c r="Q133" s="785">
        <f>'[1]11A Sem 2'!P46</f>
        <v>0</v>
      </c>
      <c r="R133" s="785">
        <f>'[1]11A Sem 2'!Q46</f>
        <v>0</v>
      </c>
    </row>
    <row r="134" spans="1:18" ht="16.5" thickBot="1" x14ac:dyDescent="0.3">
      <c r="A134" s="986"/>
      <c r="B134" s="983"/>
      <c r="C134" s="989">
        <v>16</v>
      </c>
      <c r="D134" s="990" t="s">
        <v>17</v>
      </c>
      <c r="E134" s="402" t="s">
        <v>13</v>
      </c>
      <c r="F134" s="783">
        <f>AVERAGE(F132:F133)</f>
        <v>79</v>
      </c>
      <c r="G134" s="783">
        <f t="shared" ref="G134:R134" si="42">AVERAGE(G132:G133)</f>
        <v>83.5</v>
      </c>
      <c r="H134" s="783">
        <f t="shared" si="42"/>
        <v>82.5</v>
      </c>
      <c r="I134" s="783">
        <f t="shared" si="42"/>
        <v>78.5</v>
      </c>
      <c r="J134" s="783">
        <f t="shared" si="42"/>
        <v>87</v>
      </c>
      <c r="K134" s="783">
        <f t="shared" si="42"/>
        <v>91.5</v>
      </c>
      <c r="L134" s="783">
        <f t="shared" si="42"/>
        <v>92.5</v>
      </c>
      <c r="M134" s="783">
        <f t="shared" si="42"/>
        <v>93.5</v>
      </c>
      <c r="N134" s="783">
        <f t="shared" si="42"/>
        <v>688</v>
      </c>
      <c r="O134" s="783">
        <f t="shared" si="42"/>
        <v>86</v>
      </c>
      <c r="P134" s="783">
        <f>'[1]11A Sem avr'!$H$46</f>
        <v>26</v>
      </c>
      <c r="Q134" s="783">
        <f t="shared" si="42"/>
        <v>0</v>
      </c>
      <c r="R134" s="783">
        <f t="shared" si="42"/>
        <v>0</v>
      </c>
    </row>
    <row r="135" spans="1:18" ht="16.5" thickBot="1" x14ac:dyDescent="0.3">
      <c r="A135" s="982">
        <v>44</v>
      </c>
      <c r="B135" s="983"/>
      <c r="C135" s="989">
        <v>16</v>
      </c>
      <c r="D135" s="990" t="s">
        <v>20</v>
      </c>
      <c r="E135" s="402" t="s">
        <v>18</v>
      </c>
      <c r="F135" s="783">
        <f>'[1]11A Sem 1'!E47</f>
        <v>88</v>
      </c>
      <c r="G135" s="783">
        <f>'[1]11A Sem 1'!F47</f>
        <v>91</v>
      </c>
      <c r="H135" s="783">
        <f>'[1]11A Sem 1'!G47</f>
        <v>92</v>
      </c>
      <c r="I135" s="783">
        <f>'[1]11A Sem 1'!H47</f>
        <v>87</v>
      </c>
      <c r="J135" s="783">
        <f>'[1]11A Sem 1'!I47</f>
        <v>93</v>
      </c>
      <c r="K135" s="783">
        <f>'[1]11A Sem 1'!J47</f>
        <v>96</v>
      </c>
      <c r="L135" s="783">
        <f>'[1]11A Sem 1'!K47</f>
        <v>97</v>
      </c>
      <c r="M135" s="783">
        <f>'[1]11A Sem 1'!L47</f>
        <v>92</v>
      </c>
      <c r="N135" s="783">
        <f>'[1]11A Sem 1'!M47</f>
        <v>736</v>
      </c>
      <c r="O135" s="783">
        <f>'[1]11A Sem 1'!N47</f>
        <v>92</v>
      </c>
      <c r="P135" s="784">
        <f>'[1]11A Sem 1'!O47</f>
        <v>13</v>
      </c>
      <c r="Q135" s="785">
        <f>'[1]11A Sem 1'!P47</f>
        <v>0</v>
      </c>
      <c r="R135" s="785">
        <f>'[1]11A Sem 1'!Q47</f>
        <v>0</v>
      </c>
    </row>
    <row r="136" spans="1:18" ht="16.5" thickBot="1" x14ac:dyDescent="0.3">
      <c r="A136" s="982"/>
      <c r="B136" s="983"/>
      <c r="C136" s="989">
        <v>15</v>
      </c>
      <c r="D136" s="990" t="s">
        <v>17</v>
      </c>
      <c r="E136" s="402" t="s">
        <v>19</v>
      </c>
      <c r="F136" s="783">
        <f>'[1]11A Sem 2'!E47</f>
        <v>84</v>
      </c>
      <c r="G136" s="783">
        <f>'[1]11A Sem 2'!F47</f>
        <v>91</v>
      </c>
      <c r="H136" s="783">
        <f>'[1]11A Sem 2'!G47</f>
        <v>91</v>
      </c>
      <c r="I136" s="783">
        <f>'[1]11A Sem 2'!H47</f>
        <v>88</v>
      </c>
      <c r="J136" s="783">
        <f>'[1]11A Sem 2'!I47</f>
        <v>96</v>
      </c>
      <c r="K136" s="783">
        <f>'[1]11A Sem 2'!J47</f>
        <v>95</v>
      </c>
      <c r="L136" s="783">
        <f>'[1]11A Sem 2'!K47</f>
        <v>92</v>
      </c>
      <c r="M136" s="783">
        <f>'[1]11A Sem 2'!L47</f>
        <v>94</v>
      </c>
      <c r="N136" s="783">
        <f>'[1]11A Sem 2'!M47</f>
        <v>731</v>
      </c>
      <c r="O136" s="783">
        <f>'[1]11A Sem 2'!N47</f>
        <v>91.375</v>
      </c>
      <c r="P136" s="784">
        <f>'[1]11A Sem 2'!O47</f>
        <v>12</v>
      </c>
      <c r="Q136" s="785">
        <f>'[1]11A Sem 2'!P47</f>
        <v>0</v>
      </c>
      <c r="R136" s="785">
        <f>'[1]11A Sem 2'!Q47</f>
        <v>0</v>
      </c>
    </row>
    <row r="137" spans="1:18" ht="16.5" thickBot="1" x14ac:dyDescent="0.3">
      <c r="A137" s="982"/>
      <c r="B137" s="983"/>
      <c r="C137" s="989">
        <v>15</v>
      </c>
      <c r="D137" s="990" t="s">
        <v>17</v>
      </c>
      <c r="E137" s="402" t="s">
        <v>13</v>
      </c>
      <c r="F137" s="783">
        <f>AVERAGE(F135:F136)</f>
        <v>86</v>
      </c>
      <c r="G137" s="783">
        <f t="shared" ref="G137:R137" si="43">AVERAGE(G135:G136)</f>
        <v>91</v>
      </c>
      <c r="H137" s="783">
        <f t="shared" si="43"/>
        <v>91.5</v>
      </c>
      <c r="I137" s="783">
        <f t="shared" si="43"/>
        <v>87.5</v>
      </c>
      <c r="J137" s="783">
        <f t="shared" si="43"/>
        <v>94.5</v>
      </c>
      <c r="K137" s="783">
        <f t="shared" si="43"/>
        <v>95.5</v>
      </c>
      <c r="L137" s="783">
        <f t="shared" si="43"/>
        <v>94.5</v>
      </c>
      <c r="M137" s="783">
        <f t="shared" si="43"/>
        <v>93</v>
      </c>
      <c r="N137" s="783">
        <f t="shared" si="43"/>
        <v>733.5</v>
      </c>
      <c r="O137" s="783">
        <f t="shared" si="43"/>
        <v>91.6875</v>
      </c>
      <c r="P137" s="783">
        <f>'[1]11A Sem avr'!$H$47</f>
        <v>13</v>
      </c>
      <c r="Q137" s="783">
        <f t="shared" si="43"/>
        <v>0</v>
      </c>
      <c r="R137" s="783">
        <f t="shared" si="43"/>
        <v>0</v>
      </c>
    </row>
    <row r="138" spans="1:18" ht="16.5" thickBot="1" x14ac:dyDescent="0.3">
      <c r="A138" s="982">
        <v>45</v>
      </c>
      <c r="B138" s="983"/>
      <c r="C138" s="989">
        <v>15</v>
      </c>
      <c r="D138" s="990" t="s">
        <v>20</v>
      </c>
      <c r="E138" s="402" t="s">
        <v>18</v>
      </c>
      <c r="F138" s="783">
        <f>'[1]11A Sem 1'!E48</f>
        <v>65</v>
      </c>
      <c r="G138" s="783">
        <f>'[1]11A Sem 1'!F48</f>
        <v>54</v>
      </c>
      <c r="H138" s="783">
        <f>'[1]11A Sem 1'!G48</f>
        <v>62</v>
      </c>
      <c r="I138" s="783">
        <f>'[1]11A Sem 1'!H48</f>
        <v>56</v>
      </c>
      <c r="J138" s="783">
        <f>'[1]11A Sem 1'!I48</f>
        <v>64</v>
      </c>
      <c r="K138" s="783">
        <f>'[1]11A Sem 1'!J48</f>
        <v>74</v>
      </c>
      <c r="L138" s="783">
        <f>'[1]11A Sem 1'!K48</f>
        <v>75</v>
      </c>
      <c r="M138" s="783">
        <f>'[1]11A Sem 1'!L48</f>
        <v>84</v>
      </c>
      <c r="N138" s="783">
        <f>'[1]11A Sem 1'!M48</f>
        <v>534</v>
      </c>
      <c r="O138" s="783">
        <f>'[1]11A Sem 1'!N48</f>
        <v>66.75</v>
      </c>
      <c r="P138" s="784">
        <f>'[1]11A Sem 1'!O48</f>
        <v>51</v>
      </c>
      <c r="Q138" s="785">
        <f>'[1]11A Sem 1'!P48</f>
        <v>0</v>
      </c>
      <c r="R138" s="785">
        <f>'[1]11A Sem 1'!Q48</f>
        <v>0</v>
      </c>
    </row>
    <row r="139" spans="1:18" ht="16.5" thickBot="1" x14ac:dyDescent="0.3">
      <c r="A139" s="982"/>
      <c r="B139" s="983"/>
      <c r="C139" s="989">
        <v>15</v>
      </c>
      <c r="D139" s="990" t="s">
        <v>20</v>
      </c>
      <c r="E139" s="402" t="s">
        <v>19</v>
      </c>
      <c r="F139" s="783">
        <f>'[1]11A Sem 2'!E48</f>
        <v>59</v>
      </c>
      <c r="G139" s="783">
        <f>'[1]11A Sem 2'!F48</f>
        <v>55</v>
      </c>
      <c r="H139" s="783">
        <f>'[1]11A Sem 2'!G48</f>
        <v>69</v>
      </c>
      <c r="I139" s="783">
        <f>'[1]11A Sem 2'!H48</f>
        <v>64</v>
      </c>
      <c r="J139" s="783">
        <f>'[1]11A Sem 2'!I48</f>
        <v>77</v>
      </c>
      <c r="K139" s="783">
        <f>'[1]11A Sem 2'!J48</f>
        <v>80</v>
      </c>
      <c r="L139" s="783">
        <f>'[1]11A Sem 2'!K48</f>
        <v>87</v>
      </c>
      <c r="M139" s="783">
        <f>'[1]11A Sem 2'!L48</f>
        <v>89</v>
      </c>
      <c r="N139" s="783">
        <f>'[1]11A Sem 2'!M48</f>
        <v>580</v>
      </c>
      <c r="O139" s="783">
        <f>'[1]11A Sem 2'!N48</f>
        <v>72.5</v>
      </c>
      <c r="P139" s="784">
        <f>'[1]11A Sem 2'!O48</f>
        <v>51</v>
      </c>
      <c r="Q139" s="785">
        <f>'[1]11A Sem 2'!P48</f>
        <v>0</v>
      </c>
      <c r="R139" s="785">
        <f>'[1]11A Sem 2'!Q48</f>
        <v>0</v>
      </c>
    </row>
    <row r="140" spans="1:18" ht="16.5" thickBot="1" x14ac:dyDescent="0.3">
      <c r="A140" s="982"/>
      <c r="B140" s="983"/>
      <c r="C140" s="989">
        <v>15</v>
      </c>
      <c r="D140" s="990" t="s">
        <v>20</v>
      </c>
      <c r="E140" s="402" t="s">
        <v>13</v>
      </c>
      <c r="F140" s="783">
        <f>AVERAGE(F138:F139)</f>
        <v>62</v>
      </c>
      <c r="G140" s="783">
        <f t="shared" ref="G140:R140" si="44">AVERAGE(G138:G139)</f>
        <v>54.5</v>
      </c>
      <c r="H140" s="783">
        <f t="shared" si="44"/>
        <v>65.5</v>
      </c>
      <c r="I140" s="783">
        <f t="shared" si="44"/>
        <v>60</v>
      </c>
      <c r="J140" s="783">
        <f t="shared" si="44"/>
        <v>70.5</v>
      </c>
      <c r="K140" s="783">
        <f t="shared" si="44"/>
        <v>77</v>
      </c>
      <c r="L140" s="783">
        <f t="shared" si="44"/>
        <v>81</v>
      </c>
      <c r="M140" s="783">
        <f t="shared" si="44"/>
        <v>86.5</v>
      </c>
      <c r="N140" s="783">
        <f t="shared" si="44"/>
        <v>557</v>
      </c>
      <c r="O140" s="783">
        <f t="shared" si="44"/>
        <v>69.625</v>
      </c>
      <c r="P140" s="783">
        <f>'[1]11A Sem avr'!$H$48</f>
        <v>51</v>
      </c>
      <c r="Q140" s="783">
        <f t="shared" si="44"/>
        <v>0</v>
      </c>
      <c r="R140" s="783">
        <f t="shared" si="44"/>
        <v>0</v>
      </c>
    </row>
    <row r="141" spans="1:18" ht="16.5" thickBot="1" x14ac:dyDescent="0.3">
      <c r="A141" s="986">
        <v>46</v>
      </c>
      <c r="B141" s="983"/>
      <c r="C141" s="989">
        <v>16</v>
      </c>
      <c r="D141" s="990" t="s">
        <v>17</v>
      </c>
      <c r="E141" s="402" t="s">
        <v>18</v>
      </c>
      <c r="F141" s="783">
        <f>'[1]11A Sem 1'!E49</f>
        <v>76</v>
      </c>
      <c r="G141" s="783">
        <f>'[1]11A Sem 1'!F49</f>
        <v>72</v>
      </c>
      <c r="H141" s="783">
        <f>'[1]11A Sem 1'!G49</f>
        <v>80</v>
      </c>
      <c r="I141" s="783">
        <f>'[1]11A Sem 1'!H49</f>
        <v>78</v>
      </c>
      <c r="J141" s="783">
        <f>'[1]11A Sem 1'!I49</f>
        <v>79</v>
      </c>
      <c r="K141" s="783">
        <f>'[1]11A Sem 1'!J49</f>
        <v>90</v>
      </c>
      <c r="L141" s="786">
        <f>'[1]11A Sem 1'!K49</f>
        <v>91</v>
      </c>
      <c r="M141" s="783">
        <f>'[1]11A Sem 1'!L49</f>
        <v>94</v>
      </c>
      <c r="N141" s="783">
        <f>'[1]11A Sem 1'!M49</f>
        <v>660</v>
      </c>
      <c r="O141" s="783">
        <f>'[1]11A Sem 1'!N49</f>
        <v>82.5</v>
      </c>
      <c r="P141" s="784">
        <f>'[1]11A Sem 1'!O49</f>
        <v>36</v>
      </c>
      <c r="Q141" s="785">
        <f>'[1]11A Sem 1'!P49</f>
        <v>0</v>
      </c>
      <c r="R141" s="785">
        <f>'[1]11A Sem 1'!Q49</f>
        <v>0</v>
      </c>
    </row>
    <row r="142" spans="1:18" ht="16.5" thickBot="1" x14ac:dyDescent="0.3">
      <c r="A142" s="986"/>
      <c r="B142" s="983"/>
      <c r="C142" s="989">
        <v>16</v>
      </c>
      <c r="D142" s="990" t="s">
        <v>20</v>
      </c>
      <c r="E142" s="402" t="s">
        <v>19</v>
      </c>
      <c r="F142" s="783">
        <f>'[1]11A Sem 2'!E49</f>
        <v>87</v>
      </c>
      <c r="G142" s="783">
        <f>'[1]11A Sem 2'!F49</f>
        <v>81</v>
      </c>
      <c r="H142" s="783">
        <f>'[1]11A Sem 2'!G49</f>
        <v>81</v>
      </c>
      <c r="I142" s="783">
        <f>'[1]11A Sem 2'!H49</f>
        <v>76</v>
      </c>
      <c r="J142" s="783">
        <f>'[1]11A Sem 2'!I49</f>
        <v>92</v>
      </c>
      <c r="K142" s="783">
        <f>'[1]11A Sem 2'!J49</f>
        <v>94</v>
      </c>
      <c r="L142" s="786">
        <f>'[1]11A Sem 2'!K49</f>
        <v>94</v>
      </c>
      <c r="M142" s="783">
        <f>'[1]11A Sem 2'!L49</f>
        <v>91</v>
      </c>
      <c r="N142" s="783">
        <f>'[1]11A Sem 2'!M49</f>
        <v>696</v>
      </c>
      <c r="O142" s="783">
        <f>'[1]11A Sem 2'!N49</f>
        <v>87</v>
      </c>
      <c r="P142" s="784">
        <f>'[1]11A Sem 2'!O49</f>
        <v>21</v>
      </c>
      <c r="Q142" s="785">
        <f>'[1]11A Sem 2'!P49</f>
        <v>0</v>
      </c>
      <c r="R142" s="785">
        <f>'[1]11A Sem 2'!Q49</f>
        <v>0</v>
      </c>
    </row>
    <row r="143" spans="1:18" ht="16.5" thickBot="1" x14ac:dyDescent="0.3">
      <c r="A143" s="986"/>
      <c r="B143" s="983"/>
      <c r="C143" s="989">
        <v>16</v>
      </c>
      <c r="D143" s="990" t="s">
        <v>20</v>
      </c>
      <c r="E143" s="402" t="s">
        <v>13</v>
      </c>
      <c r="F143" s="783">
        <f>AVERAGE(F141:F142)</f>
        <v>81.5</v>
      </c>
      <c r="G143" s="783">
        <f t="shared" ref="G143:R143" si="45">AVERAGE(G141:G142)</f>
        <v>76.5</v>
      </c>
      <c r="H143" s="783">
        <f t="shared" si="45"/>
        <v>80.5</v>
      </c>
      <c r="I143" s="783">
        <f t="shared" si="45"/>
        <v>77</v>
      </c>
      <c r="J143" s="783">
        <f t="shared" si="45"/>
        <v>85.5</v>
      </c>
      <c r="K143" s="783">
        <f t="shared" si="45"/>
        <v>92</v>
      </c>
      <c r="L143" s="783">
        <f t="shared" si="45"/>
        <v>92.5</v>
      </c>
      <c r="M143" s="783">
        <f t="shared" si="45"/>
        <v>92.5</v>
      </c>
      <c r="N143" s="783">
        <f t="shared" si="45"/>
        <v>678</v>
      </c>
      <c r="O143" s="783">
        <f t="shared" si="45"/>
        <v>84.75</v>
      </c>
      <c r="P143" s="783">
        <f>'[1]11A Sem avr'!$H$49</f>
        <v>31</v>
      </c>
      <c r="Q143" s="783">
        <f t="shared" si="45"/>
        <v>0</v>
      </c>
      <c r="R143" s="783">
        <f t="shared" si="45"/>
        <v>0</v>
      </c>
    </row>
    <row r="144" spans="1:18" ht="16.5" thickBot="1" x14ac:dyDescent="0.3">
      <c r="A144" s="982">
        <v>47</v>
      </c>
      <c r="B144" s="983"/>
      <c r="C144" s="989">
        <v>16</v>
      </c>
      <c r="D144" s="990" t="s">
        <v>20</v>
      </c>
      <c r="E144" s="402" t="s">
        <v>18</v>
      </c>
      <c r="F144" s="783">
        <f>'[1]11A Sem 1'!E50</f>
        <v>97</v>
      </c>
      <c r="G144" s="783">
        <f>'[1]11A Sem 1'!F50</f>
        <v>99</v>
      </c>
      <c r="H144" s="783">
        <f>'[1]11A Sem 1'!G50</f>
        <v>100</v>
      </c>
      <c r="I144" s="783">
        <f>'[1]11A Sem 1'!H50</f>
        <v>97</v>
      </c>
      <c r="J144" s="783">
        <f>'[1]11A Sem 1'!I50</f>
        <v>99</v>
      </c>
      <c r="K144" s="783">
        <f>'[1]11A Sem 1'!J50</f>
        <v>100</v>
      </c>
      <c r="L144" s="783">
        <f>'[1]11A Sem 1'!K50</f>
        <v>100</v>
      </c>
      <c r="M144" s="783">
        <f>'[1]11A Sem 1'!L50</f>
        <v>100</v>
      </c>
      <c r="N144" s="783">
        <f>'[1]11A Sem 1'!M50</f>
        <v>792</v>
      </c>
      <c r="O144" s="783">
        <f>'[1]11A Sem 1'!N50</f>
        <v>99</v>
      </c>
      <c r="P144" s="784">
        <f>'[1]11A Sem 1'!O50</f>
        <v>1</v>
      </c>
      <c r="Q144" s="785">
        <f>'[1]11A Sem 1'!P50</f>
        <v>0</v>
      </c>
      <c r="R144" s="785">
        <f>'[1]11A Sem 1'!Q50</f>
        <v>0</v>
      </c>
    </row>
    <row r="145" spans="1:18" ht="16.5" thickBot="1" x14ac:dyDescent="0.3">
      <c r="A145" s="982"/>
      <c r="B145" s="983"/>
      <c r="C145" s="989">
        <v>15</v>
      </c>
      <c r="D145" s="990" t="s">
        <v>17</v>
      </c>
      <c r="E145" s="402" t="s">
        <v>19</v>
      </c>
      <c r="F145" s="783">
        <f>'[1]11A Sem 2'!E50</f>
        <v>100</v>
      </c>
      <c r="G145" s="783">
        <f>'[1]11A Sem 2'!F50</f>
        <v>99</v>
      </c>
      <c r="H145" s="783">
        <f>'[1]11A Sem 2'!G50</f>
        <v>99</v>
      </c>
      <c r="I145" s="783">
        <f>'[1]11A Sem 2'!H50</f>
        <v>100</v>
      </c>
      <c r="J145" s="783">
        <f>'[1]11A Sem 2'!I50</f>
        <v>100</v>
      </c>
      <c r="K145" s="783">
        <f>'[1]11A Sem 2'!J50</f>
        <v>100</v>
      </c>
      <c r="L145" s="783">
        <f>'[1]11A Sem 2'!K50</f>
        <v>97</v>
      </c>
      <c r="M145" s="783">
        <f>'[1]11A Sem 2'!L50</f>
        <v>95</v>
      </c>
      <c r="N145" s="783">
        <f>'[1]11A Sem 2'!M50</f>
        <v>790</v>
      </c>
      <c r="O145" s="783">
        <f>'[1]11A Sem 2'!N50</f>
        <v>98.75</v>
      </c>
      <c r="P145" s="784">
        <f>'[1]11A Sem 2'!O50</f>
        <v>2</v>
      </c>
      <c r="Q145" s="785">
        <f>'[1]11A Sem 2'!P50</f>
        <v>0</v>
      </c>
      <c r="R145" s="785">
        <f>'[1]11A Sem 2'!Q50</f>
        <v>0</v>
      </c>
    </row>
    <row r="146" spans="1:18" ht="16.5" thickBot="1" x14ac:dyDescent="0.3">
      <c r="A146" s="982"/>
      <c r="B146" s="983"/>
      <c r="C146" s="989">
        <v>15</v>
      </c>
      <c r="D146" s="990" t="s">
        <v>17</v>
      </c>
      <c r="E146" s="402" t="s">
        <v>13</v>
      </c>
      <c r="F146" s="783">
        <f>AVERAGE(F144:F145)</f>
        <v>98.5</v>
      </c>
      <c r="G146" s="783">
        <f t="shared" ref="G146:R146" si="46">AVERAGE(G144:G145)</f>
        <v>99</v>
      </c>
      <c r="H146" s="783">
        <f t="shared" si="46"/>
        <v>99.5</v>
      </c>
      <c r="I146" s="783">
        <f t="shared" si="46"/>
        <v>98.5</v>
      </c>
      <c r="J146" s="783">
        <f t="shared" si="46"/>
        <v>99.5</v>
      </c>
      <c r="K146" s="783">
        <f t="shared" si="46"/>
        <v>100</v>
      </c>
      <c r="L146" s="783">
        <f t="shared" si="46"/>
        <v>98.5</v>
      </c>
      <c r="M146" s="783">
        <f t="shared" si="46"/>
        <v>97.5</v>
      </c>
      <c r="N146" s="783">
        <f t="shared" si="46"/>
        <v>791</v>
      </c>
      <c r="O146" s="783">
        <f t="shared" si="46"/>
        <v>98.875</v>
      </c>
      <c r="P146" s="783">
        <f>'[1]11A Sem avr'!$H$50</f>
        <v>1</v>
      </c>
      <c r="Q146" s="783">
        <f t="shared" si="46"/>
        <v>0</v>
      </c>
      <c r="R146" s="783">
        <f t="shared" si="46"/>
        <v>0</v>
      </c>
    </row>
    <row r="147" spans="1:18" ht="16.5" thickBot="1" x14ac:dyDescent="0.3">
      <c r="A147" s="982">
        <v>48</v>
      </c>
      <c r="B147" s="983"/>
      <c r="C147" s="989">
        <v>16</v>
      </c>
      <c r="D147" s="990" t="s">
        <v>17</v>
      </c>
      <c r="E147" s="402" t="s">
        <v>18</v>
      </c>
      <c r="F147" s="783">
        <f>'[1]11A Sem 1'!E51</f>
        <v>79</v>
      </c>
      <c r="G147" s="783">
        <f>'[1]11A Sem 1'!F51</f>
        <v>87</v>
      </c>
      <c r="H147" s="783">
        <f>'[1]11A Sem 1'!G51</f>
        <v>89</v>
      </c>
      <c r="I147" s="783">
        <f>'[1]11A Sem 1'!H51</f>
        <v>84</v>
      </c>
      <c r="J147" s="783">
        <f>'[1]11A Sem 1'!I51</f>
        <v>76</v>
      </c>
      <c r="K147" s="783">
        <f>'[1]11A Sem 1'!J51</f>
        <v>90</v>
      </c>
      <c r="L147" s="783">
        <f>'[1]11A Sem 1'!K51</f>
        <v>95</v>
      </c>
      <c r="M147" s="783">
        <f>'[1]11A Sem 1'!L51</f>
        <v>93</v>
      </c>
      <c r="N147" s="783">
        <f>'[1]11A Sem 1'!M51</f>
        <v>693</v>
      </c>
      <c r="O147" s="783">
        <f>'[1]11A Sem 1'!N51</f>
        <v>86.625</v>
      </c>
      <c r="P147" s="784">
        <f>'[1]11A Sem 1'!O51</f>
        <v>22</v>
      </c>
      <c r="Q147" s="785">
        <f>'[1]11A Sem 1'!P51</f>
        <v>0</v>
      </c>
      <c r="R147" s="785">
        <f>'[1]11A Sem 1'!Q51</f>
        <v>0</v>
      </c>
    </row>
    <row r="148" spans="1:18" ht="16.5" thickBot="1" x14ac:dyDescent="0.3">
      <c r="A148" s="982"/>
      <c r="B148" s="983"/>
      <c r="C148" s="989">
        <v>14</v>
      </c>
      <c r="D148" s="990" t="s">
        <v>20</v>
      </c>
      <c r="E148" s="402" t="s">
        <v>19</v>
      </c>
      <c r="F148" s="783">
        <f>'[1]11A Sem 2'!E51</f>
        <v>84</v>
      </c>
      <c r="G148" s="783">
        <f>'[1]11A Sem 2'!F51</f>
        <v>96</v>
      </c>
      <c r="H148" s="783">
        <f>'[1]11A Sem 2'!G51</f>
        <v>81</v>
      </c>
      <c r="I148" s="783">
        <f>'[1]11A Sem 2'!H51</f>
        <v>71</v>
      </c>
      <c r="J148" s="783">
        <f>'[1]11A Sem 2'!I51</f>
        <v>85</v>
      </c>
      <c r="K148" s="783">
        <f>'[1]11A Sem 2'!J51</f>
        <v>89</v>
      </c>
      <c r="L148" s="783">
        <f>'[1]11A Sem 2'!K51</f>
        <v>96</v>
      </c>
      <c r="M148" s="783">
        <f>'[1]11A Sem 2'!L51</f>
        <v>93</v>
      </c>
      <c r="N148" s="783">
        <f>'[1]11A Sem 2'!M51</f>
        <v>695</v>
      </c>
      <c r="O148" s="783">
        <f>'[1]11A Sem 2'!N51</f>
        <v>86.875</v>
      </c>
      <c r="P148" s="784">
        <f>'[1]11A Sem 2'!O51</f>
        <v>23</v>
      </c>
      <c r="Q148" s="785">
        <f>'[1]11A Sem 2'!P51</f>
        <v>0</v>
      </c>
      <c r="R148" s="785">
        <f>'[1]11A Sem 2'!Q51</f>
        <v>0</v>
      </c>
    </row>
    <row r="149" spans="1:18" ht="16.5" thickBot="1" x14ac:dyDescent="0.3">
      <c r="A149" s="982"/>
      <c r="B149" s="983"/>
      <c r="C149" s="989">
        <v>14</v>
      </c>
      <c r="D149" s="990" t="s">
        <v>20</v>
      </c>
      <c r="E149" s="402" t="s">
        <v>13</v>
      </c>
      <c r="F149" s="783">
        <f>AVERAGE(F147:F148)</f>
        <v>81.5</v>
      </c>
      <c r="G149" s="783">
        <f t="shared" ref="G149:R149" si="47">AVERAGE(G147:G148)</f>
        <v>91.5</v>
      </c>
      <c r="H149" s="783">
        <f t="shared" si="47"/>
        <v>85</v>
      </c>
      <c r="I149" s="783">
        <f t="shared" si="47"/>
        <v>77.5</v>
      </c>
      <c r="J149" s="783">
        <f t="shared" si="47"/>
        <v>80.5</v>
      </c>
      <c r="K149" s="783">
        <f t="shared" si="47"/>
        <v>89.5</v>
      </c>
      <c r="L149" s="783">
        <f t="shared" si="47"/>
        <v>95.5</v>
      </c>
      <c r="M149" s="783">
        <f t="shared" si="47"/>
        <v>93</v>
      </c>
      <c r="N149" s="783">
        <f t="shared" si="47"/>
        <v>694</v>
      </c>
      <c r="O149" s="783">
        <f t="shared" si="47"/>
        <v>86.75</v>
      </c>
      <c r="P149" s="783">
        <f>'[1]11A Sem avr'!$H$51</f>
        <v>22</v>
      </c>
      <c r="Q149" s="783">
        <f t="shared" si="47"/>
        <v>0</v>
      </c>
      <c r="R149" s="783">
        <f t="shared" si="47"/>
        <v>0</v>
      </c>
    </row>
    <row r="150" spans="1:18" ht="16.5" thickBot="1" x14ac:dyDescent="0.3">
      <c r="A150" s="986">
        <v>49</v>
      </c>
      <c r="B150" s="983"/>
      <c r="C150" s="989">
        <v>17</v>
      </c>
      <c r="D150" s="990" t="s">
        <v>17</v>
      </c>
      <c r="E150" s="402" t="s">
        <v>18</v>
      </c>
      <c r="F150" s="783">
        <f>'[1]11A Sem 1'!E52</f>
        <v>75</v>
      </c>
      <c r="G150" s="783">
        <f>'[1]11A Sem 1'!F52</f>
        <v>44</v>
      </c>
      <c r="H150" s="783">
        <f>'[1]11A Sem 1'!G52</f>
        <v>59</v>
      </c>
      <c r="I150" s="783">
        <f>'[1]11A Sem 1'!H52</f>
        <v>38</v>
      </c>
      <c r="J150" s="783">
        <f>'[1]11A Sem 1'!I52</f>
        <v>56</v>
      </c>
      <c r="K150" s="783">
        <f>'[1]11A Sem 1'!J52</f>
        <v>67</v>
      </c>
      <c r="L150" s="783">
        <f>'[1]11A Sem 1'!K52</f>
        <v>81</v>
      </c>
      <c r="M150" s="783">
        <f>'[1]11A Sem 1'!L52</f>
        <v>78</v>
      </c>
      <c r="N150" s="783">
        <f>'[1]11A Sem 1'!M52</f>
        <v>498</v>
      </c>
      <c r="O150" s="783">
        <f>'[1]11A Sem 1'!N52</f>
        <v>62.25</v>
      </c>
      <c r="P150" s="784">
        <f>'[1]11A Sem 1'!O52</f>
        <v>54</v>
      </c>
      <c r="Q150" s="785">
        <f>'[1]11A Sem 1'!P52</f>
        <v>0</v>
      </c>
      <c r="R150" s="785">
        <f>'[1]11A Sem 1'!Q52</f>
        <v>0</v>
      </c>
    </row>
    <row r="151" spans="1:18" ht="16.5" thickBot="1" x14ac:dyDescent="0.3">
      <c r="A151" s="986"/>
      <c r="B151" s="983"/>
      <c r="C151" s="989">
        <v>15</v>
      </c>
      <c r="D151" s="990" t="s">
        <v>20</v>
      </c>
      <c r="E151" s="402" t="s">
        <v>19</v>
      </c>
      <c r="F151" s="783">
        <f>'[1]11A Sem 2'!E52</f>
        <v>82</v>
      </c>
      <c r="G151" s="783">
        <f>'[1]11A Sem 2'!F52</f>
        <v>51</v>
      </c>
      <c r="H151" s="783">
        <f>'[1]11A Sem 2'!G52</f>
        <v>67</v>
      </c>
      <c r="I151" s="783">
        <f>'[1]11A Sem 2'!H52</f>
        <v>52</v>
      </c>
      <c r="J151" s="783">
        <f>'[1]11A Sem 2'!I52</f>
        <v>72</v>
      </c>
      <c r="K151" s="783">
        <f>'[1]11A Sem 2'!J52</f>
        <v>88</v>
      </c>
      <c r="L151" s="783">
        <f>'[1]11A Sem 2'!K52</f>
        <v>81</v>
      </c>
      <c r="M151" s="783">
        <f>'[1]11A Sem 2'!L52</f>
        <v>69</v>
      </c>
      <c r="N151" s="783">
        <f>'[1]11A Sem 2'!M52</f>
        <v>562</v>
      </c>
      <c r="O151" s="783">
        <f>'[1]11A Sem 2'!N52</f>
        <v>70.25</v>
      </c>
      <c r="P151" s="784">
        <f>'[1]11A Sem 2'!O52</f>
        <v>52</v>
      </c>
      <c r="Q151" s="785">
        <f>'[1]11A Sem 2'!P52</f>
        <v>0</v>
      </c>
      <c r="R151" s="785">
        <f>'[1]11A Sem 2'!Q52</f>
        <v>0</v>
      </c>
    </row>
    <row r="152" spans="1:18" ht="16.5" thickBot="1" x14ac:dyDescent="0.3">
      <c r="A152" s="986"/>
      <c r="B152" s="983"/>
      <c r="C152" s="989">
        <v>15</v>
      </c>
      <c r="D152" s="990" t="s">
        <v>20</v>
      </c>
      <c r="E152" s="402" t="s">
        <v>13</v>
      </c>
      <c r="F152" s="783">
        <f>AVERAGE(F150:F151)</f>
        <v>78.5</v>
      </c>
      <c r="G152" s="783">
        <f t="shared" ref="G152:R152" si="48">AVERAGE(G150:G151)</f>
        <v>47.5</v>
      </c>
      <c r="H152" s="783">
        <f t="shared" si="48"/>
        <v>63</v>
      </c>
      <c r="I152" s="783">
        <f t="shared" si="48"/>
        <v>45</v>
      </c>
      <c r="J152" s="783">
        <f t="shared" si="48"/>
        <v>64</v>
      </c>
      <c r="K152" s="783">
        <f t="shared" si="48"/>
        <v>77.5</v>
      </c>
      <c r="L152" s="783">
        <f t="shared" si="48"/>
        <v>81</v>
      </c>
      <c r="M152" s="783">
        <f t="shared" si="48"/>
        <v>73.5</v>
      </c>
      <c r="N152" s="783">
        <f t="shared" si="48"/>
        <v>530</v>
      </c>
      <c r="O152" s="783">
        <f t="shared" si="48"/>
        <v>66.25</v>
      </c>
      <c r="P152" s="783">
        <f>'[1]11A Sem avr'!$H$52</f>
        <v>53</v>
      </c>
      <c r="Q152" s="783">
        <f t="shared" si="48"/>
        <v>0</v>
      </c>
      <c r="R152" s="783">
        <f t="shared" si="48"/>
        <v>0</v>
      </c>
    </row>
    <row r="153" spans="1:18" ht="16.5" thickBot="1" x14ac:dyDescent="0.3">
      <c r="A153" s="982">
        <v>50</v>
      </c>
      <c r="B153" s="983"/>
      <c r="C153" s="989">
        <v>16</v>
      </c>
      <c r="D153" s="990" t="s">
        <v>17</v>
      </c>
      <c r="E153" s="402" t="s">
        <v>18</v>
      </c>
      <c r="F153" s="782">
        <f>'[1]11A Sem 1'!E53</f>
        <v>91</v>
      </c>
      <c r="G153" s="782">
        <f>'[1]11A Sem 1'!F53</f>
        <v>67</v>
      </c>
      <c r="H153" s="782">
        <f>'[1]11A Sem 1'!G53</f>
        <v>87</v>
      </c>
      <c r="I153" s="782">
        <f>'[1]11A Sem 1'!H53</f>
        <v>66</v>
      </c>
      <c r="J153" s="782">
        <f>'[1]11A Sem 1'!I53</f>
        <v>77</v>
      </c>
      <c r="K153" s="782">
        <f>'[1]11A Sem 1'!J53</f>
        <v>93</v>
      </c>
      <c r="L153" s="782">
        <f>'[1]11A Sem 1'!K53</f>
        <v>98</v>
      </c>
      <c r="M153" s="782">
        <f>'[1]11A Sem 1'!L53</f>
        <v>95</v>
      </c>
      <c r="N153" s="783">
        <f>'[1]11A Sem 1'!M53</f>
        <v>674</v>
      </c>
      <c r="O153" s="783">
        <f>'[1]11A Sem 1'!N53</f>
        <v>84.25</v>
      </c>
      <c r="P153" s="784">
        <f>'[1]11A Sem 1'!O53</f>
        <v>34</v>
      </c>
      <c r="Q153" s="785">
        <f>'[1]11A Sem 1'!P53</f>
        <v>0</v>
      </c>
      <c r="R153" s="785">
        <f>'[1]11A Sem 1'!Q53</f>
        <v>0</v>
      </c>
    </row>
    <row r="154" spans="1:18" ht="16.5" thickBot="1" x14ac:dyDescent="0.3">
      <c r="A154" s="982"/>
      <c r="B154" s="983"/>
      <c r="C154" s="989">
        <v>16</v>
      </c>
      <c r="D154" s="990" t="s">
        <v>17</v>
      </c>
      <c r="E154" s="402" t="s">
        <v>19</v>
      </c>
      <c r="F154" s="783">
        <f>'[1]11A Sem 2'!E53</f>
        <v>90</v>
      </c>
      <c r="G154" s="783">
        <f>'[1]11A Sem 2'!F53</f>
        <v>79</v>
      </c>
      <c r="H154" s="783">
        <f>'[1]11A Sem 2'!G53</f>
        <v>81</v>
      </c>
      <c r="I154" s="783">
        <f>'[1]11A Sem 2'!H53</f>
        <v>62</v>
      </c>
      <c r="J154" s="783">
        <f>'[1]11A Sem 2'!I53</f>
        <v>89</v>
      </c>
      <c r="K154" s="783">
        <f>'[1]11A Sem 2'!J53</f>
        <v>98</v>
      </c>
      <c r="L154" s="783">
        <f>'[1]11A Sem 2'!K53</f>
        <v>98</v>
      </c>
      <c r="M154" s="783">
        <f>'[1]11A Sem 2'!L53</f>
        <v>97</v>
      </c>
      <c r="N154" s="783">
        <f>'[1]11A Sem 2'!M53</f>
        <v>694</v>
      </c>
      <c r="O154" s="783">
        <f>'[1]11A Sem 2'!N53</f>
        <v>86.75</v>
      </c>
      <c r="P154" s="784">
        <f>'[1]11A Sem 2'!O53</f>
        <v>24</v>
      </c>
      <c r="Q154" s="785">
        <f>'[1]11A Sem 2'!P53</f>
        <v>0</v>
      </c>
      <c r="R154" s="785">
        <f>'[1]11A Sem 2'!Q53</f>
        <v>0</v>
      </c>
    </row>
    <row r="155" spans="1:18" ht="16.5" thickBot="1" x14ac:dyDescent="0.3">
      <c r="A155" s="982"/>
      <c r="B155" s="983"/>
      <c r="C155" s="989">
        <v>16</v>
      </c>
      <c r="D155" s="990" t="s">
        <v>17</v>
      </c>
      <c r="E155" s="402" t="s">
        <v>13</v>
      </c>
      <c r="F155" s="783">
        <f>AVERAGE(F153:F154)</f>
        <v>90.5</v>
      </c>
      <c r="G155" s="783">
        <f t="shared" ref="G155:R155" si="49">AVERAGE(G153:G154)</f>
        <v>73</v>
      </c>
      <c r="H155" s="783">
        <f t="shared" si="49"/>
        <v>84</v>
      </c>
      <c r="I155" s="783">
        <f t="shared" si="49"/>
        <v>64</v>
      </c>
      <c r="J155" s="783">
        <f t="shared" si="49"/>
        <v>83</v>
      </c>
      <c r="K155" s="783">
        <f t="shared" si="49"/>
        <v>95.5</v>
      </c>
      <c r="L155" s="783">
        <f t="shared" si="49"/>
        <v>98</v>
      </c>
      <c r="M155" s="783">
        <f t="shared" si="49"/>
        <v>96</v>
      </c>
      <c r="N155" s="783">
        <f t="shared" si="49"/>
        <v>684</v>
      </c>
      <c r="O155" s="783">
        <f t="shared" si="49"/>
        <v>85.5</v>
      </c>
      <c r="P155" s="783">
        <f>'[1]11A Sem avr'!$H$53</f>
        <v>28</v>
      </c>
      <c r="Q155" s="783">
        <f t="shared" si="49"/>
        <v>0</v>
      </c>
      <c r="R155" s="783">
        <f t="shared" si="49"/>
        <v>0</v>
      </c>
    </row>
    <row r="156" spans="1:18" ht="16.5" thickBot="1" x14ac:dyDescent="0.3">
      <c r="A156" s="982">
        <v>51</v>
      </c>
      <c r="B156" s="983"/>
      <c r="C156" s="987">
        <v>16</v>
      </c>
      <c r="D156" s="988" t="s">
        <v>17</v>
      </c>
      <c r="E156" s="402" t="s">
        <v>18</v>
      </c>
      <c r="F156" s="783">
        <f>'[1]11A Sem 1'!E54</f>
        <v>89</v>
      </c>
      <c r="G156" s="783">
        <f>'[1]11A Sem 1'!F54</f>
        <v>95</v>
      </c>
      <c r="H156" s="783">
        <f>'[1]11A Sem 1'!G54</f>
        <v>93</v>
      </c>
      <c r="I156" s="783">
        <f>'[1]11A Sem 1'!H54</f>
        <v>90</v>
      </c>
      <c r="J156" s="783">
        <f>'[1]11A Sem 1'!I54</f>
        <v>93</v>
      </c>
      <c r="K156" s="783">
        <f>'[1]11A Sem 1'!J54</f>
        <v>96</v>
      </c>
      <c r="L156" s="783">
        <f>'[1]11A Sem 1'!K54</f>
        <v>99</v>
      </c>
      <c r="M156" s="783">
        <f>'[1]11A Sem 1'!L54</f>
        <v>99</v>
      </c>
      <c r="N156" s="783">
        <f>'[1]11A Sem 1'!M54</f>
        <v>754</v>
      </c>
      <c r="O156" s="783">
        <f>'[1]11A Sem 1'!N54</f>
        <v>94.25</v>
      </c>
      <c r="P156" s="784">
        <f>'[1]11A Sem 1'!O54</f>
        <v>8</v>
      </c>
      <c r="Q156" s="784">
        <f>'[1]11A Sem 1'!P54</f>
        <v>0</v>
      </c>
      <c r="R156" s="784">
        <f>'[1]11A Sem 1'!Q54</f>
        <v>0</v>
      </c>
    </row>
    <row r="157" spans="1:18" ht="16.5" thickBot="1" x14ac:dyDescent="0.3">
      <c r="A157" s="982"/>
      <c r="B157" s="983"/>
      <c r="C157" s="987">
        <v>16</v>
      </c>
      <c r="D157" s="988" t="s">
        <v>17</v>
      </c>
      <c r="E157" s="402" t="s">
        <v>19</v>
      </c>
      <c r="F157" s="783">
        <f>'[1]11A Sem 2'!E54</f>
        <v>98</v>
      </c>
      <c r="G157" s="783">
        <f>'[1]11A Sem 2'!F54</f>
        <v>100</v>
      </c>
      <c r="H157" s="783">
        <f>'[1]11A Sem 2'!G54</f>
        <v>97</v>
      </c>
      <c r="I157" s="783">
        <f>'[1]11A Sem 2'!H54</f>
        <v>91</v>
      </c>
      <c r="J157" s="783">
        <f>'[1]11A Sem 2'!I54</f>
        <v>97</v>
      </c>
      <c r="K157" s="783">
        <f>'[1]11A Sem 2'!J54</f>
        <v>100</v>
      </c>
      <c r="L157" s="783">
        <f>'[1]11A Sem 2'!K54</f>
        <v>100</v>
      </c>
      <c r="M157" s="783">
        <f>'[1]11A Sem 2'!L54</f>
        <v>97</v>
      </c>
      <c r="N157" s="783">
        <f>'[1]11A Sem 2'!M54</f>
        <v>780</v>
      </c>
      <c r="O157" s="783">
        <f>'[1]11A Sem 2'!N54</f>
        <v>97.5</v>
      </c>
      <c r="P157" s="784">
        <f>'[1]11A Sem 2'!O54</f>
        <v>3</v>
      </c>
      <c r="Q157" s="784">
        <f>'[1]11A Sem 2'!P54</f>
        <v>0</v>
      </c>
      <c r="R157" s="784">
        <f>'[1]11A Sem 2'!Q54</f>
        <v>0</v>
      </c>
    </row>
    <row r="158" spans="1:18" ht="16.5" thickBot="1" x14ac:dyDescent="0.3">
      <c r="A158" s="982"/>
      <c r="B158" s="983"/>
      <c r="C158" s="987">
        <v>16</v>
      </c>
      <c r="D158" s="988" t="s">
        <v>17</v>
      </c>
      <c r="E158" s="402" t="s">
        <v>13</v>
      </c>
      <c r="F158" s="783">
        <f>AVERAGE(F156:F157)</f>
        <v>93.5</v>
      </c>
      <c r="G158" s="783">
        <f t="shared" ref="G158:R158" si="50">AVERAGE(G156:G157)</f>
        <v>97.5</v>
      </c>
      <c r="H158" s="783">
        <f t="shared" si="50"/>
        <v>95</v>
      </c>
      <c r="I158" s="783">
        <f t="shared" si="50"/>
        <v>90.5</v>
      </c>
      <c r="J158" s="783">
        <f t="shared" si="50"/>
        <v>95</v>
      </c>
      <c r="K158" s="783">
        <f t="shared" si="50"/>
        <v>98</v>
      </c>
      <c r="L158" s="783">
        <f t="shared" si="50"/>
        <v>99.5</v>
      </c>
      <c r="M158" s="783">
        <f t="shared" si="50"/>
        <v>98</v>
      </c>
      <c r="N158" s="783">
        <f t="shared" si="50"/>
        <v>767</v>
      </c>
      <c r="O158" s="783">
        <f t="shared" si="50"/>
        <v>95.875</v>
      </c>
      <c r="P158" s="783">
        <f>'[1]11A Sem avr'!$H$54</f>
        <v>5</v>
      </c>
      <c r="Q158" s="783">
        <f t="shared" si="50"/>
        <v>0</v>
      </c>
      <c r="R158" s="783">
        <f t="shared" si="50"/>
        <v>0</v>
      </c>
    </row>
    <row r="159" spans="1:18" ht="16.5" thickBot="1" x14ac:dyDescent="0.3">
      <c r="A159" s="986">
        <v>52</v>
      </c>
      <c r="B159" s="983"/>
      <c r="C159" s="987">
        <v>16</v>
      </c>
      <c r="D159" s="988" t="s">
        <v>17</v>
      </c>
      <c r="E159" s="402" t="s">
        <v>18</v>
      </c>
      <c r="F159" s="783">
        <f>'[1]11A Sem 1'!E55</f>
        <v>99</v>
      </c>
      <c r="G159" s="783">
        <f>'[1]11A Sem 1'!F55</f>
        <v>94</v>
      </c>
      <c r="H159" s="783">
        <f>'[1]11A Sem 1'!G55</f>
        <v>99</v>
      </c>
      <c r="I159" s="783">
        <f>'[1]11A Sem 1'!H55</f>
        <v>90</v>
      </c>
      <c r="J159" s="783">
        <f>'[1]11A Sem 1'!I55</f>
        <v>96</v>
      </c>
      <c r="K159" s="783">
        <f>'[1]11A Sem 1'!J55</f>
        <v>100</v>
      </c>
      <c r="L159" s="783">
        <f>'[1]11A Sem 1'!K55</f>
        <v>100</v>
      </c>
      <c r="M159" s="783">
        <f>'[1]11A Sem 1'!L55</f>
        <v>98</v>
      </c>
      <c r="N159" s="783">
        <f>'[1]11A Sem 1'!M55</f>
        <v>776</v>
      </c>
      <c r="O159" s="783">
        <f>'[1]11A Sem 1'!N55</f>
        <v>97</v>
      </c>
      <c r="P159" s="784">
        <f>'[1]11A Sem 1'!O55</f>
        <v>3</v>
      </c>
      <c r="Q159" s="784">
        <f>'[1]11A Sem 1'!P55</f>
        <v>0</v>
      </c>
      <c r="R159" s="784">
        <f>'[1]11A Sem 1'!Q55</f>
        <v>0</v>
      </c>
    </row>
    <row r="160" spans="1:18" ht="16.5" thickBot="1" x14ac:dyDescent="0.3">
      <c r="A160" s="986"/>
      <c r="B160" s="983"/>
      <c r="C160" s="987"/>
      <c r="D160" s="988"/>
      <c r="E160" s="402" t="s">
        <v>19</v>
      </c>
      <c r="F160" s="783">
        <f>'[1]11A Sem 2'!E55</f>
        <v>97</v>
      </c>
      <c r="G160" s="783">
        <f>'[1]11A Sem 2'!F55</f>
        <v>97</v>
      </c>
      <c r="H160" s="783">
        <f>'[1]11A Sem 2'!G55</f>
        <v>93</v>
      </c>
      <c r="I160" s="783">
        <f>'[1]11A Sem 2'!H55</f>
        <v>89</v>
      </c>
      <c r="J160" s="783">
        <f>'[1]11A Sem 2'!I55</f>
        <v>100</v>
      </c>
      <c r="K160" s="783">
        <f>'[1]11A Sem 2'!J55</f>
        <v>100</v>
      </c>
      <c r="L160" s="783">
        <f>'[1]11A Sem 2'!K55</f>
        <v>99</v>
      </c>
      <c r="M160" s="783">
        <f>'[1]11A Sem 2'!L55</f>
        <v>96</v>
      </c>
      <c r="N160" s="783">
        <f>'[1]11A Sem 2'!M55</f>
        <v>771</v>
      </c>
      <c r="O160" s="783">
        <f>'[1]11A Sem 2'!N55</f>
        <v>96.375</v>
      </c>
      <c r="P160" s="784">
        <f>'[1]11A Sem 2'!O55</f>
        <v>4</v>
      </c>
      <c r="Q160" s="784">
        <f>'[1]11A Sem 2'!P55</f>
        <v>0</v>
      </c>
      <c r="R160" s="784">
        <f>'[1]11A Sem 2'!Q55</f>
        <v>0</v>
      </c>
    </row>
    <row r="161" spans="1:18" ht="16.5" thickBot="1" x14ac:dyDescent="0.3">
      <c r="A161" s="986"/>
      <c r="B161" s="983"/>
      <c r="C161" s="987"/>
      <c r="D161" s="988"/>
      <c r="E161" s="402" t="s">
        <v>13</v>
      </c>
      <c r="F161" s="783">
        <f>AVERAGE(F159:F160)</f>
        <v>98</v>
      </c>
      <c r="G161" s="783">
        <f t="shared" ref="G161:R161" si="51">AVERAGE(G159:G160)</f>
        <v>95.5</v>
      </c>
      <c r="H161" s="783">
        <f t="shared" si="51"/>
        <v>96</v>
      </c>
      <c r="I161" s="783">
        <f t="shared" si="51"/>
        <v>89.5</v>
      </c>
      <c r="J161" s="783">
        <f t="shared" si="51"/>
        <v>98</v>
      </c>
      <c r="K161" s="783">
        <f t="shared" si="51"/>
        <v>100</v>
      </c>
      <c r="L161" s="783">
        <f t="shared" si="51"/>
        <v>99.5</v>
      </c>
      <c r="M161" s="783">
        <f t="shared" si="51"/>
        <v>97</v>
      </c>
      <c r="N161" s="783">
        <f t="shared" si="51"/>
        <v>773.5</v>
      </c>
      <c r="O161" s="783">
        <f t="shared" si="51"/>
        <v>96.6875</v>
      </c>
      <c r="P161" s="783">
        <f>'[1]11A Sem avr'!$H$55</f>
        <v>3</v>
      </c>
      <c r="Q161" s="783">
        <f t="shared" si="51"/>
        <v>0</v>
      </c>
      <c r="R161" s="783">
        <f t="shared" si="51"/>
        <v>0</v>
      </c>
    </row>
    <row r="162" spans="1:18" ht="16.5" thickBot="1" x14ac:dyDescent="0.3">
      <c r="A162" s="982">
        <v>53</v>
      </c>
      <c r="B162" s="983"/>
      <c r="C162" s="987">
        <v>16</v>
      </c>
      <c r="D162" s="988" t="s">
        <v>17</v>
      </c>
      <c r="E162" s="402" t="s">
        <v>18</v>
      </c>
      <c r="F162" s="787">
        <f>'[1]11A Sem 1'!E56</f>
        <v>92</v>
      </c>
      <c r="G162" s="787">
        <f>'[1]11A Sem 1'!F56</f>
        <v>91</v>
      </c>
      <c r="H162" s="787">
        <f>'[1]11A Sem 1'!G56</f>
        <v>95</v>
      </c>
      <c r="I162" s="787">
        <f>'[1]11A Sem 1'!H56</f>
        <v>96</v>
      </c>
      <c r="J162" s="787">
        <f>'[1]11A Sem 1'!I56</f>
        <v>96</v>
      </c>
      <c r="K162" s="787">
        <f>'[1]11A Sem 1'!J56</f>
        <v>97</v>
      </c>
      <c r="L162" s="787">
        <f>'[1]11A Sem 1'!K56</f>
        <v>100</v>
      </c>
      <c r="M162" s="787">
        <f>'[1]11A Sem 1'!L56</f>
        <v>100</v>
      </c>
      <c r="N162" s="787">
        <f>'[1]11A Sem 1'!M56</f>
        <v>767</v>
      </c>
      <c r="O162" s="787">
        <f>'[1]11A Sem 1'!N56</f>
        <v>95.875</v>
      </c>
      <c r="P162" s="785">
        <f>'[1]11A Sem 1'!O56</f>
        <v>5</v>
      </c>
      <c r="Q162" s="785">
        <f>'[1]11A Sem 1'!P56</f>
        <v>0</v>
      </c>
      <c r="R162" s="785">
        <f>'[1]11A Sem 1'!Q56</f>
        <v>0</v>
      </c>
    </row>
    <row r="163" spans="1:18" ht="16.5" thickBot="1" x14ac:dyDescent="0.3">
      <c r="A163" s="982"/>
      <c r="B163" s="983"/>
      <c r="C163" s="987"/>
      <c r="D163" s="988"/>
      <c r="E163" s="402" t="s">
        <v>19</v>
      </c>
      <c r="F163" s="787">
        <f>'[1]11A Sem 2'!E56</f>
        <v>94</v>
      </c>
      <c r="G163" s="787">
        <f>'[1]11A Sem 2'!F56</f>
        <v>98</v>
      </c>
      <c r="H163" s="787">
        <f>'[1]11A Sem 2'!G56</f>
        <v>98</v>
      </c>
      <c r="I163" s="787">
        <f>'[1]11A Sem 2'!H56</f>
        <v>89</v>
      </c>
      <c r="J163" s="787">
        <f>'[1]11A Sem 2'!I56</f>
        <v>96</v>
      </c>
      <c r="K163" s="787">
        <f>'[1]11A Sem 2'!J56</f>
        <v>100</v>
      </c>
      <c r="L163" s="787">
        <f>'[1]11A Sem 2'!K56</f>
        <v>97</v>
      </c>
      <c r="M163" s="787">
        <f>'[1]11A Sem 2'!L56</f>
        <v>94</v>
      </c>
      <c r="N163" s="787">
        <f>'[1]11A Sem 2'!M56</f>
        <v>766</v>
      </c>
      <c r="O163" s="787">
        <f>'[1]11A Sem 2'!N56</f>
        <v>95.75</v>
      </c>
      <c r="P163" s="785">
        <f>'[1]11A Sem 2'!O56</f>
        <v>6</v>
      </c>
      <c r="Q163" s="785">
        <f>'[1]11A Sem 2'!P56</f>
        <v>0</v>
      </c>
      <c r="R163" s="785">
        <f>'[1]11A Sem 2'!Q56</f>
        <v>0</v>
      </c>
    </row>
    <row r="164" spans="1:18" ht="16.5" thickBot="1" x14ac:dyDescent="0.3">
      <c r="A164" s="982"/>
      <c r="B164" s="983"/>
      <c r="C164" s="987"/>
      <c r="D164" s="988"/>
      <c r="E164" s="402" t="s">
        <v>13</v>
      </c>
      <c r="F164" s="787">
        <f>AVERAGE(F162:F163)</f>
        <v>93</v>
      </c>
      <c r="G164" s="787">
        <f t="shared" ref="G164:R164" si="52">AVERAGE(G162:G163)</f>
        <v>94.5</v>
      </c>
      <c r="H164" s="787">
        <f t="shared" si="52"/>
        <v>96.5</v>
      </c>
      <c r="I164" s="787">
        <f t="shared" si="52"/>
        <v>92.5</v>
      </c>
      <c r="J164" s="787">
        <f t="shared" si="52"/>
        <v>96</v>
      </c>
      <c r="K164" s="787">
        <f t="shared" si="52"/>
        <v>98.5</v>
      </c>
      <c r="L164" s="787">
        <f t="shared" si="52"/>
        <v>98.5</v>
      </c>
      <c r="M164" s="787">
        <f t="shared" si="52"/>
        <v>97</v>
      </c>
      <c r="N164" s="787">
        <f t="shared" si="52"/>
        <v>766.5</v>
      </c>
      <c r="O164" s="787">
        <f t="shared" si="52"/>
        <v>95.8125</v>
      </c>
      <c r="P164" s="787">
        <f>'[1]11A Sem avr'!$H$56</f>
        <v>6</v>
      </c>
      <c r="Q164" s="787">
        <f t="shared" si="52"/>
        <v>0</v>
      </c>
      <c r="R164" s="787">
        <f t="shared" si="52"/>
        <v>0</v>
      </c>
    </row>
    <row r="165" spans="1:18" ht="16.5" thickBot="1" x14ac:dyDescent="0.3">
      <c r="A165" s="982">
        <v>54</v>
      </c>
      <c r="B165" s="983"/>
      <c r="C165" s="984">
        <v>16</v>
      </c>
      <c r="D165" s="985" t="s">
        <v>17</v>
      </c>
      <c r="E165" s="402" t="s">
        <v>18</v>
      </c>
      <c r="F165" s="787">
        <f>'[1]11A Sem 1'!E57</f>
        <v>81</v>
      </c>
      <c r="G165" s="787">
        <f>'[1]11A Sem 1'!F57</f>
        <v>79</v>
      </c>
      <c r="H165" s="787">
        <f>'[1]11A Sem 1'!G57</f>
        <v>77</v>
      </c>
      <c r="I165" s="787">
        <f>'[1]11A Sem 1'!H57</f>
        <v>79</v>
      </c>
      <c r="J165" s="787">
        <f>'[1]11A Sem 1'!I57</f>
        <v>84</v>
      </c>
      <c r="K165" s="787">
        <f>'[1]11A Sem 1'!J57</f>
        <v>80</v>
      </c>
      <c r="L165" s="787">
        <f>'[1]11A Sem 1'!K57</f>
        <v>81</v>
      </c>
      <c r="M165" s="787">
        <f>'[1]11A Sem 1'!L57</f>
        <v>85</v>
      </c>
      <c r="N165" s="787">
        <f>'[1]11A Sem 1'!M57</f>
        <v>646</v>
      </c>
      <c r="O165" s="787">
        <f>'[1]11A Sem 1'!N57</f>
        <v>80.75</v>
      </c>
      <c r="P165" s="785">
        <f>'[1]11A Sem 1'!O57</f>
        <v>41</v>
      </c>
      <c r="Q165" s="785">
        <f>'[1]11A Sem 1'!P57</f>
        <v>0</v>
      </c>
      <c r="R165" s="785">
        <f>'[1]11A Sem 1'!Q57</f>
        <v>0</v>
      </c>
    </row>
    <row r="166" spans="1:18" ht="16.5" thickBot="1" x14ac:dyDescent="0.3">
      <c r="A166" s="982"/>
      <c r="B166" s="983"/>
      <c r="C166" s="984"/>
      <c r="D166" s="985"/>
      <c r="E166" s="402" t="s">
        <v>19</v>
      </c>
      <c r="F166" s="787">
        <f>'[1]11A Sem 2'!E57</f>
        <v>74</v>
      </c>
      <c r="G166" s="787">
        <f>'[1]11A Sem 2'!F57</f>
        <v>81</v>
      </c>
      <c r="H166" s="787">
        <f>'[1]11A Sem 2'!G57</f>
        <v>66</v>
      </c>
      <c r="I166" s="787">
        <f>'[1]11A Sem 2'!H57</f>
        <v>68</v>
      </c>
      <c r="J166" s="787">
        <f>'[1]11A Sem 2'!I57</f>
        <v>86</v>
      </c>
      <c r="K166" s="787">
        <f>'[1]11A Sem 2'!J57</f>
        <v>86</v>
      </c>
      <c r="L166" s="787">
        <f>'[1]11A Sem 2'!K57</f>
        <v>83</v>
      </c>
      <c r="M166" s="787">
        <f>'[1]11A Sem 2'!L57</f>
        <v>82</v>
      </c>
      <c r="N166" s="787">
        <f>'[1]11A Sem 2'!M57</f>
        <v>626</v>
      </c>
      <c r="O166" s="787">
        <f>'[1]11A Sem 2'!N57</f>
        <v>78.25</v>
      </c>
      <c r="P166" s="785">
        <f>'[1]11A Sem 2'!O57</f>
        <v>44</v>
      </c>
      <c r="Q166" s="785">
        <f>'[1]11A Sem 2'!P57</f>
        <v>0</v>
      </c>
      <c r="R166" s="785">
        <f>'[1]11A Sem 2'!Q57</f>
        <v>0</v>
      </c>
    </row>
    <row r="167" spans="1:18" ht="16.5" thickBot="1" x14ac:dyDescent="0.3">
      <c r="A167" s="982"/>
      <c r="B167" s="983"/>
      <c r="C167" s="984"/>
      <c r="D167" s="985"/>
      <c r="E167" s="402" t="s">
        <v>13</v>
      </c>
      <c r="F167" s="787">
        <f>AVERAGE(F165:F166)</f>
        <v>77.5</v>
      </c>
      <c r="G167" s="787">
        <f t="shared" ref="G167:R167" si="53">AVERAGE(G165:G166)</f>
        <v>80</v>
      </c>
      <c r="H167" s="787">
        <f t="shared" si="53"/>
        <v>71.5</v>
      </c>
      <c r="I167" s="787">
        <f t="shared" si="53"/>
        <v>73.5</v>
      </c>
      <c r="J167" s="787">
        <f t="shared" si="53"/>
        <v>85</v>
      </c>
      <c r="K167" s="787">
        <f t="shared" si="53"/>
        <v>83</v>
      </c>
      <c r="L167" s="787">
        <f t="shared" si="53"/>
        <v>82</v>
      </c>
      <c r="M167" s="787">
        <f t="shared" si="53"/>
        <v>83.5</v>
      </c>
      <c r="N167" s="787">
        <f t="shared" si="53"/>
        <v>636</v>
      </c>
      <c r="O167" s="787">
        <f t="shared" si="53"/>
        <v>79.5</v>
      </c>
      <c r="P167" s="787">
        <f>'[1]11A Sem avr'!$H$57</f>
        <v>41</v>
      </c>
      <c r="Q167" s="787">
        <f t="shared" si="53"/>
        <v>0</v>
      </c>
      <c r="R167" s="787">
        <f t="shared" si="53"/>
        <v>0</v>
      </c>
    </row>
    <row r="168" spans="1:18" ht="16.5" thickBot="1" x14ac:dyDescent="0.3">
      <c r="A168" s="986">
        <v>55</v>
      </c>
      <c r="B168" s="983"/>
      <c r="C168" s="984"/>
      <c r="D168" s="985"/>
      <c r="E168" s="402" t="s">
        <v>18</v>
      </c>
      <c r="F168" s="787">
        <f>'[1]11A Sem 1'!E58</f>
        <v>0</v>
      </c>
      <c r="G168" s="787">
        <f>'[1]11A Sem 1'!F58</f>
        <v>0</v>
      </c>
      <c r="H168" s="787">
        <f>'[1]11A Sem 1'!G58</f>
        <v>0</v>
      </c>
      <c r="I168" s="787">
        <f>'[1]11A Sem 1'!H58</f>
        <v>0</v>
      </c>
      <c r="J168" s="787">
        <f>'[1]11A Sem 1'!I58</f>
        <v>0</v>
      </c>
      <c r="K168" s="787">
        <f>'[1]11A Sem 1'!J58</f>
        <v>0</v>
      </c>
      <c r="L168" s="787">
        <f>'[1]11A Sem 1'!K58</f>
        <v>0</v>
      </c>
      <c r="M168" s="787">
        <f>'[1]11A Sem 1'!L58</f>
        <v>0</v>
      </c>
      <c r="N168" s="787">
        <f>'[1]11A Sem 1'!M58</f>
        <v>0</v>
      </c>
      <c r="O168" s="787">
        <f>'[1]11A Sem 1'!N58</f>
        <v>0</v>
      </c>
      <c r="P168" s="785">
        <f>'[1]11A Sem 1'!O58</f>
        <v>0</v>
      </c>
      <c r="Q168" s="785">
        <f>'[1]11A Sem 1'!P58</f>
        <v>0</v>
      </c>
      <c r="R168" s="785">
        <f>'[1]11A Sem 1'!Q58</f>
        <v>0</v>
      </c>
    </row>
    <row r="169" spans="1:18" ht="16.5" thickBot="1" x14ac:dyDescent="0.3">
      <c r="A169" s="986"/>
      <c r="B169" s="983"/>
      <c r="C169" s="984"/>
      <c r="D169" s="985"/>
      <c r="E169" s="402" t="s">
        <v>19</v>
      </c>
      <c r="F169" s="787">
        <f>'[1]11A Sem 2'!E58</f>
        <v>0</v>
      </c>
      <c r="G169" s="787">
        <f>'[1]11A Sem 2'!F58</f>
        <v>0</v>
      </c>
      <c r="H169" s="787">
        <f>'[1]11A Sem 2'!G58</f>
        <v>0</v>
      </c>
      <c r="I169" s="787">
        <f>'[1]11A Sem 2'!H58</f>
        <v>0</v>
      </c>
      <c r="J169" s="787">
        <f>'[1]11A Sem 2'!I58</f>
        <v>0</v>
      </c>
      <c r="K169" s="787">
        <f>'[1]11A Sem 2'!J58</f>
        <v>0</v>
      </c>
      <c r="L169" s="787">
        <f>'[1]11A Sem 2'!K58</f>
        <v>0</v>
      </c>
      <c r="M169" s="787">
        <f>'[1]11A Sem 2'!L58</f>
        <v>0</v>
      </c>
      <c r="N169" s="787">
        <f>'[1]11A Sem 2'!M58</f>
        <v>0</v>
      </c>
      <c r="O169" s="787">
        <f>'[1]11A Sem 2'!N58</f>
        <v>0</v>
      </c>
      <c r="P169" s="785">
        <f>'[1]11A Sem 2'!O58</f>
        <v>0</v>
      </c>
      <c r="Q169" s="785">
        <f>'[1]11A Sem 2'!P58</f>
        <v>0</v>
      </c>
      <c r="R169" s="785">
        <f>'[1]11A Sem 2'!Q58</f>
        <v>0</v>
      </c>
    </row>
    <row r="170" spans="1:18" ht="16.5" thickBot="1" x14ac:dyDescent="0.3">
      <c r="A170" s="986"/>
      <c r="B170" s="983"/>
      <c r="C170" s="984"/>
      <c r="D170" s="985"/>
      <c r="E170" s="402" t="s">
        <v>13</v>
      </c>
      <c r="F170" s="787">
        <f>AVERAGE(F168:F169)</f>
        <v>0</v>
      </c>
      <c r="G170" s="787">
        <f t="shared" ref="G170:R170" si="54">AVERAGE(G168:G169)</f>
        <v>0</v>
      </c>
      <c r="H170" s="787">
        <f t="shared" si="54"/>
        <v>0</v>
      </c>
      <c r="I170" s="787">
        <f t="shared" si="54"/>
        <v>0</v>
      </c>
      <c r="J170" s="787">
        <f t="shared" si="54"/>
        <v>0</v>
      </c>
      <c r="K170" s="787">
        <f t="shared" si="54"/>
        <v>0</v>
      </c>
      <c r="L170" s="787">
        <f t="shared" si="54"/>
        <v>0</v>
      </c>
      <c r="M170" s="787">
        <f t="shared" si="54"/>
        <v>0</v>
      </c>
      <c r="N170" s="787">
        <f t="shared" si="54"/>
        <v>0</v>
      </c>
      <c r="O170" s="787">
        <f t="shared" si="54"/>
        <v>0</v>
      </c>
      <c r="P170" s="787">
        <f>'[1]11A Sem avr'!$H$58</f>
        <v>0</v>
      </c>
      <c r="Q170" s="787">
        <f t="shared" si="54"/>
        <v>0</v>
      </c>
      <c r="R170" s="787">
        <f t="shared" si="54"/>
        <v>0</v>
      </c>
    </row>
  </sheetData>
  <mergeCells count="222">
    <mergeCell ref="A9:A11"/>
    <mergeCell ref="B9:B11"/>
    <mergeCell ref="C9:C11"/>
    <mergeCell ref="D9:D11"/>
    <mergeCell ref="A12:A14"/>
    <mergeCell ref="B12:B14"/>
    <mergeCell ref="C12:C14"/>
    <mergeCell ref="D12:D14"/>
    <mergeCell ref="A1:R1"/>
    <mergeCell ref="A3:R3"/>
    <mergeCell ref="A6:A8"/>
    <mergeCell ref="B6:B8"/>
    <mergeCell ref="C6:C8"/>
    <mergeCell ref="D6:D8"/>
    <mergeCell ref="A21:A23"/>
    <mergeCell ref="B21:B23"/>
    <mergeCell ref="C21:C23"/>
    <mergeCell ref="D21:D23"/>
    <mergeCell ref="A24:A26"/>
    <mergeCell ref="B24:B26"/>
    <mergeCell ref="C24:C26"/>
    <mergeCell ref="D24:D26"/>
    <mergeCell ref="A15:A17"/>
    <mergeCell ref="B15:B17"/>
    <mergeCell ref="C15:C17"/>
    <mergeCell ref="D15:D17"/>
    <mergeCell ref="A18:A20"/>
    <mergeCell ref="B18:B20"/>
    <mergeCell ref="C18:C20"/>
    <mergeCell ref="D18:D20"/>
    <mergeCell ref="A33:A35"/>
    <mergeCell ref="B33:B35"/>
    <mergeCell ref="C33:C35"/>
    <mergeCell ref="D33:D35"/>
    <mergeCell ref="A36:A38"/>
    <mergeCell ref="B36:B38"/>
    <mergeCell ref="C36:C38"/>
    <mergeCell ref="D36:D38"/>
    <mergeCell ref="A27:A29"/>
    <mergeCell ref="B27:B29"/>
    <mergeCell ref="C27:C29"/>
    <mergeCell ref="D27:D29"/>
    <mergeCell ref="A30:A32"/>
    <mergeCell ref="B30:B32"/>
    <mergeCell ref="C30:C32"/>
    <mergeCell ref="D30:D32"/>
    <mergeCell ref="A45:A47"/>
    <mergeCell ref="B45:B47"/>
    <mergeCell ref="C45:C47"/>
    <mergeCell ref="D45:D47"/>
    <mergeCell ref="A48:A50"/>
    <mergeCell ref="B48:B50"/>
    <mergeCell ref="C48:C50"/>
    <mergeCell ref="D48:D50"/>
    <mergeCell ref="A39:A41"/>
    <mergeCell ref="B39:B41"/>
    <mergeCell ref="C39:C41"/>
    <mergeCell ref="D39:D41"/>
    <mergeCell ref="A42:A44"/>
    <mergeCell ref="B42:B44"/>
    <mergeCell ref="C42:C44"/>
    <mergeCell ref="D42:D44"/>
    <mergeCell ref="A57:A59"/>
    <mergeCell ref="B57:B59"/>
    <mergeCell ref="C57:C59"/>
    <mergeCell ref="D57:D59"/>
    <mergeCell ref="A60:A62"/>
    <mergeCell ref="B60:B62"/>
    <mergeCell ref="C60:C62"/>
    <mergeCell ref="D60:D62"/>
    <mergeCell ref="A51:A53"/>
    <mergeCell ref="B51:B53"/>
    <mergeCell ref="C51:C53"/>
    <mergeCell ref="D51:D53"/>
    <mergeCell ref="A54:A56"/>
    <mergeCell ref="B54:B56"/>
    <mergeCell ref="C54:C56"/>
    <mergeCell ref="D54:D56"/>
    <mergeCell ref="A69:A71"/>
    <mergeCell ref="B69:B71"/>
    <mergeCell ref="C69:C71"/>
    <mergeCell ref="D69:D71"/>
    <mergeCell ref="A72:A74"/>
    <mergeCell ref="B72:B74"/>
    <mergeCell ref="C72:C74"/>
    <mergeCell ref="D72:D74"/>
    <mergeCell ref="A63:A65"/>
    <mergeCell ref="B63:B65"/>
    <mergeCell ref="C63:C65"/>
    <mergeCell ref="D63:D65"/>
    <mergeCell ref="A66:A68"/>
    <mergeCell ref="B66:B68"/>
    <mergeCell ref="C66:C68"/>
    <mergeCell ref="D66:D68"/>
    <mergeCell ref="A81:A83"/>
    <mergeCell ref="B81:B83"/>
    <mergeCell ref="C81:C83"/>
    <mergeCell ref="D81:D83"/>
    <mergeCell ref="A84:A86"/>
    <mergeCell ref="B84:B86"/>
    <mergeCell ref="C84:C86"/>
    <mergeCell ref="D84:D86"/>
    <mergeCell ref="A75:A77"/>
    <mergeCell ref="B75:B77"/>
    <mergeCell ref="C75:C77"/>
    <mergeCell ref="D75:D77"/>
    <mergeCell ref="A78:A80"/>
    <mergeCell ref="B78:B80"/>
    <mergeCell ref="C78:C80"/>
    <mergeCell ref="D78:D80"/>
    <mergeCell ref="A93:A95"/>
    <mergeCell ref="B93:B95"/>
    <mergeCell ref="C93:C95"/>
    <mergeCell ref="D93:D95"/>
    <mergeCell ref="A96:A98"/>
    <mergeCell ref="B96:B98"/>
    <mergeCell ref="C96:C98"/>
    <mergeCell ref="D96:D98"/>
    <mergeCell ref="A87:A89"/>
    <mergeCell ref="B87:B89"/>
    <mergeCell ref="C87:C89"/>
    <mergeCell ref="D87:D89"/>
    <mergeCell ref="A90:A92"/>
    <mergeCell ref="B90:B92"/>
    <mergeCell ref="C90:C92"/>
    <mergeCell ref="D90:D92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41:A143"/>
    <mergeCell ref="B141:B143"/>
    <mergeCell ref="C141:C143"/>
    <mergeCell ref="D141:D143"/>
    <mergeCell ref="A144:A146"/>
    <mergeCell ref="B144:B146"/>
    <mergeCell ref="C144:C146"/>
    <mergeCell ref="D144:D146"/>
    <mergeCell ref="A135:A137"/>
    <mergeCell ref="B135:B137"/>
    <mergeCell ref="C135:C137"/>
    <mergeCell ref="D135:D137"/>
    <mergeCell ref="A138:A140"/>
    <mergeCell ref="B138:B140"/>
    <mergeCell ref="C138:C140"/>
    <mergeCell ref="D138:D140"/>
    <mergeCell ref="A153:A155"/>
    <mergeCell ref="B153:B155"/>
    <mergeCell ref="C153:C155"/>
    <mergeCell ref="D153:D155"/>
    <mergeCell ref="A156:A158"/>
    <mergeCell ref="B156:B158"/>
    <mergeCell ref="C156:C158"/>
    <mergeCell ref="D156:D158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65:A167"/>
    <mergeCell ref="B165:B167"/>
    <mergeCell ref="C165:C167"/>
    <mergeCell ref="D165:D167"/>
    <mergeCell ref="A168:A170"/>
    <mergeCell ref="B168:B170"/>
    <mergeCell ref="C168:C170"/>
    <mergeCell ref="D168:D170"/>
    <mergeCell ref="A159:A161"/>
    <mergeCell ref="B159:B161"/>
    <mergeCell ref="C159:C161"/>
    <mergeCell ref="D159:D161"/>
    <mergeCell ref="A162:A164"/>
    <mergeCell ref="B162:B164"/>
    <mergeCell ref="C162:C164"/>
    <mergeCell ref="D162:D164"/>
  </mergeCells>
  <pageMargins left="0.7" right="0.7" top="0.75" bottom="0.75" header="0.3" footer="0.3"/>
  <pageSetup paperSize="9" scale="6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view="pageBreakPreview" zoomScale="60" zoomScaleNormal="100" workbookViewId="0">
      <selection activeCell="B4" sqref="B4:B59"/>
    </sheetView>
  </sheetViews>
  <sheetFormatPr defaultRowHeight="15" x14ac:dyDescent="0.25"/>
  <cols>
    <col min="1" max="1" width="7.140625" customWidth="1"/>
    <col min="2" max="2" width="38.85546875" customWidth="1"/>
    <col min="3" max="3" width="9.85546875" customWidth="1"/>
    <col min="4" max="4" width="7.42578125" customWidth="1"/>
    <col min="12" max="12" width="9.140625" style="211"/>
    <col min="14" max="14" width="12.28515625" customWidth="1"/>
  </cols>
  <sheetData>
    <row r="1" spans="1:17" ht="21" thickBot="1" x14ac:dyDescent="0.3">
      <c r="A1" s="991" t="s">
        <v>21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2"/>
      <c r="P1" s="992"/>
      <c r="Q1" s="993"/>
    </row>
    <row r="2" spans="1:17" ht="18.75" thickBot="1" x14ac:dyDescent="0.3">
      <c r="A2" s="994" t="s">
        <v>45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4"/>
      <c r="P2" s="994"/>
      <c r="Q2" s="995"/>
    </row>
    <row r="3" spans="1:17" ht="62.25" thickBot="1" x14ac:dyDescent="0.3">
      <c r="A3" s="327" t="s">
        <v>69</v>
      </c>
      <c r="B3" s="328" t="s">
        <v>1</v>
      </c>
      <c r="C3" s="328" t="s">
        <v>2</v>
      </c>
      <c r="D3" s="328" t="s">
        <v>3</v>
      </c>
      <c r="E3" s="342" t="s">
        <v>5</v>
      </c>
      <c r="F3" s="342" t="s">
        <v>6</v>
      </c>
      <c r="G3" s="342" t="s">
        <v>7</v>
      </c>
      <c r="H3" s="342" t="s">
        <v>8</v>
      </c>
      <c r="I3" s="342" t="s">
        <v>9</v>
      </c>
      <c r="J3" s="342" t="s">
        <v>11</v>
      </c>
      <c r="K3" s="342" t="s">
        <v>10</v>
      </c>
      <c r="L3" s="342" t="s">
        <v>78</v>
      </c>
      <c r="M3" s="342" t="s">
        <v>12</v>
      </c>
      <c r="N3" s="342" t="s">
        <v>13</v>
      </c>
      <c r="O3" s="342" t="s">
        <v>14</v>
      </c>
      <c r="P3" s="342" t="s">
        <v>15</v>
      </c>
      <c r="Q3" s="336" t="s">
        <v>16</v>
      </c>
    </row>
    <row r="4" spans="1:17" ht="21.75" customHeight="1" thickBot="1" x14ac:dyDescent="0.3">
      <c r="A4" s="104">
        <v>1</v>
      </c>
      <c r="B4" s="315"/>
      <c r="C4" s="343">
        <v>16</v>
      </c>
      <c r="D4" s="343" t="s">
        <v>17</v>
      </c>
      <c r="E4" s="374">
        <v>59</v>
      </c>
      <c r="F4" s="373">
        <v>70</v>
      </c>
      <c r="G4" s="373">
        <v>75</v>
      </c>
      <c r="H4" s="373">
        <v>56</v>
      </c>
      <c r="I4" s="373">
        <v>68</v>
      </c>
      <c r="J4" s="373">
        <v>63</v>
      </c>
      <c r="K4" s="373">
        <v>90</v>
      </c>
      <c r="L4" s="373">
        <v>85</v>
      </c>
      <c r="M4" s="373">
        <f>SUM(E4:L4)</f>
        <v>566</v>
      </c>
      <c r="N4" s="372">
        <f>AVERAGE(E4:L4)</f>
        <v>70.75</v>
      </c>
      <c r="O4" s="372">
        <f>RANK(N4,$N$4:$N$57)</f>
        <v>49</v>
      </c>
      <c r="P4" s="102"/>
      <c r="Q4" s="105"/>
    </row>
    <row r="5" spans="1:17" ht="20.25" customHeight="1" thickBot="1" x14ac:dyDescent="0.3">
      <c r="A5" s="104">
        <v>2</v>
      </c>
      <c r="B5" s="298"/>
      <c r="C5" s="306">
        <v>16</v>
      </c>
      <c r="D5" s="306" t="s">
        <v>17</v>
      </c>
      <c r="E5" s="374">
        <v>83</v>
      </c>
      <c r="F5" s="373">
        <v>54</v>
      </c>
      <c r="G5" s="373">
        <v>77</v>
      </c>
      <c r="H5" s="373">
        <v>62</v>
      </c>
      <c r="I5" s="373">
        <v>80</v>
      </c>
      <c r="J5" s="373">
        <v>88</v>
      </c>
      <c r="K5" s="373">
        <v>87</v>
      </c>
      <c r="L5" s="373">
        <v>90</v>
      </c>
      <c r="M5" s="373">
        <f t="shared" ref="M5:M57" si="0">SUM(E5:L5)</f>
        <v>621</v>
      </c>
      <c r="N5" s="372">
        <f t="shared" ref="N5:N57" si="1">AVERAGE(E5:L5)</f>
        <v>77.625</v>
      </c>
      <c r="O5" s="372">
        <f t="shared" ref="O5:O57" si="2">RANK(N5,$N$4:$N$57)</f>
        <v>45</v>
      </c>
      <c r="P5" s="102"/>
      <c r="Q5" s="105"/>
    </row>
    <row r="6" spans="1:17" ht="21.75" customHeight="1" thickBot="1" x14ac:dyDescent="0.3">
      <c r="A6" s="104">
        <v>3</v>
      </c>
      <c r="B6" s="298"/>
      <c r="C6" s="306">
        <v>16</v>
      </c>
      <c r="D6" s="306" t="s">
        <v>20</v>
      </c>
      <c r="E6" s="374">
        <v>51</v>
      </c>
      <c r="F6" s="373">
        <v>71</v>
      </c>
      <c r="G6" s="373">
        <v>65</v>
      </c>
      <c r="H6" s="373">
        <v>67</v>
      </c>
      <c r="I6" s="373">
        <v>65</v>
      </c>
      <c r="J6" s="373">
        <v>80</v>
      </c>
      <c r="K6" s="373">
        <v>75</v>
      </c>
      <c r="L6" s="373">
        <v>98</v>
      </c>
      <c r="M6" s="373">
        <f t="shared" si="0"/>
        <v>572</v>
      </c>
      <c r="N6" s="372">
        <f t="shared" si="1"/>
        <v>71.5</v>
      </c>
      <c r="O6" s="372">
        <f t="shared" si="2"/>
        <v>47</v>
      </c>
      <c r="P6" s="102"/>
      <c r="Q6" s="105"/>
    </row>
    <row r="7" spans="1:17" ht="18" customHeight="1" thickBot="1" x14ac:dyDescent="0.3">
      <c r="A7" s="104">
        <v>4</v>
      </c>
      <c r="B7" s="298"/>
      <c r="C7" s="306">
        <v>17</v>
      </c>
      <c r="D7" s="306" t="s">
        <v>17</v>
      </c>
      <c r="E7" s="374">
        <v>97</v>
      </c>
      <c r="F7" s="373">
        <v>96</v>
      </c>
      <c r="G7" s="373">
        <v>100</v>
      </c>
      <c r="H7" s="373">
        <v>100</v>
      </c>
      <c r="I7" s="373">
        <v>98</v>
      </c>
      <c r="J7" s="373">
        <v>95</v>
      </c>
      <c r="K7" s="373">
        <v>100</v>
      </c>
      <c r="L7" s="373">
        <v>100</v>
      </c>
      <c r="M7" s="373">
        <f t="shared" si="0"/>
        <v>786</v>
      </c>
      <c r="N7" s="372">
        <f t="shared" si="1"/>
        <v>98.25</v>
      </c>
      <c r="O7" s="372">
        <f t="shared" si="2"/>
        <v>2</v>
      </c>
      <c r="P7" s="102"/>
      <c r="Q7" s="105"/>
    </row>
    <row r="8" spans="1:17" ht="25.5" customHeight="1" thickBot="1" x14ac:dyDescent="0.3">
      <c r="A8" s="104">
        <v>5</v>
      </c>
      <c r="B8" s="298"/>
      <c r="C8" s="306">
        <v>15</v>
      </c>
      <c r="D8" s="306" t="s">
        <v>20</v>
      </c>
      <c r="E8" s="374">
        <v>95</v>
      </c>
      <c r="F8" s="373">
        <v>95</v>
      </c>
      <c r="G8" s="373">
        <v>96</v>
      </c>
      <c r="H8" s="373">
        <v>95</v>
      </c>
      <c r="I8" s="373">
        <v>98</v>
      </c>
      <c r="J8" s="373">
        <v>100</v>
      </c>
      <c r="K8" s="373">
        <v>100</v>
      </c>
      <c r="L8" s="373">
        <v>97</v>
      </c>
      <c r="M8" s="373">
        <f t="shared" si="0"/>
        <v>776</v>
      </c>
      <c r="N8" s="372">
        <f t="shared" si="1"/>
        <v>97</v>
      </c>
      <c r="O8" s="372">
        <f t="shared" si="2"/>
        <v>3</v>
      </c>
      <c r="P8" s="102"/>
      <c r="Q8" s="105"/>
    </row>
    <row r="9" spans="1:17" ht="21" customHeight="1" thickBot="1" x14ac:dyDescent="0.3">
      <c r="A9" s="104">
        <v>6</v>
      </c>
      <c r="B9" s="298"/>
      <c r="C9" s="306">
        <v>15</v>
      </c>
      <c r="D9" s="306" t="s">
        <v>17</v>
      </c>
      <c r="E9" s="374">
        <v>75</v>
      </c>
      <c r="F9" s="373">
        <v>78</v>
      </c>
      <c r="G9" s="373">
        <v>85</v>
      </c>
      <c r="H9" s="373">
        <v>86</v>
      </c>
      <c r="I9" s="373">
        <v>85</v>
      </c>
      <c r="J9" s="373">
        <v>81</v>
      </c>
      <c r="K9" s="373">
        <v>99</v>
      </c>
      <c r="L9" s="373">
        <v>99</v>
      </c>
      <c r="M9" s="373">
        <f t="shared" si="0"/>
        <v>688</v>
      </c>
      <c r="N9" s="372">
        <f t="shared" si="1"/>
        <v>86</v>
      </c>
      <c r="O9" s="372">
        <f t="shared" si="2"/>
        <v>25</v>
      </c>
      <c r="P9" s="102"/>
      <c r="Q9" s="105"/>
    </row>
    <row r="10" spans="1:17" ht="24" customHeight="1" thickBot="1" x14ac:dyDescent="0.3">
      <c r="A10" s="104">
        <v>7</v>
      </c>
      <c r="B10" s="298"/>
      <c r="C10" s="306">
        <v>15</v>
      </c>
      <c r="D10" s="306" t="s">
        <v>64</v>
      </c>
      <c r="E10" s="374">
        <v>92</v>
      </c>
      <c r="F10" s="373">
        <v>97</v>
      </c>
      <c r="G10" s="373">
        <v>94</v>
      </c>
      <c r="H10" s="373">
        <v>90</v>
      </c>
      <c r="I10" s="373">
        <v>94</v>
      </c>
      <c r="J10" s="373">
        <v>96</v>
      </c>
      <c r="K10" s="373">
        <v>98</v>
      </c>
      <c r="L10" s="373">
        <v>97</v>
      </c>
      <c r="M10" s="373">
        <f t="shared" si="0"/>
        <v>758</v>
      </c>
      <c r="N10" s="372">
        <f t="shared" si="1"/>
        <v>94.75</v>
      </c>
      <c r="O10" s="372">
        <f t="shared" si="2"/>
        <v>7</v>
      </c>
      <c r="P10" s="102"/>
      <c r="Q10" s="105"/>
    </row>
    <row r="11" spans="1:17" ht="20.25" customHeight="1" thickBot="1" x14ac:dyDescent="0.3">
      <c r="A11" s="104">
        <v>8</v>
      </c>
      <c r="B11" s="298"/>
      <c r="C11" s="306">
        <v>16</v>
      </c>
      <c r="D11" s="306" t="s">
        <v>17</v>
      </c>
      <c r="E11" s="374">
        <v>73</v>
      </c>
      <c r="F11" s="373">
        <v>87</v>
      </c>
      <c r="G11" s="373">
        <v>85</v>
      </c>
      <c r="H11" s="373">
        <v>80</v>
      </c>
      <c r="I11" s="373">
        <v>77</v>
      </c>
      <c r="J11" s="373">
        <v>79</v>
      </c>
      <c r="K11" s="373">
        <v>97</v>
      </c>
      <c r="L11" s="373">
        <v>98</v>
      </c>
      <c r="M11" s="373">
        <f t="shared" si="0"/>
        <v>676</v>
      </c>
      <c r="N11" s="372">
        <f t="shared" si="1"/>
        <v>84.5</v>
      </c>
      <c r="O11" s="372">
        <f t="shared" si="2"/>
        <v>33</v>
      </c>
      <c r="P11" s="102"/>
      <c r="Q11" s="105"/>
    </row>
    <row r="12" spans="1:17" ht="24.75" customHeight="1" thickBot="1" x14ac:dyDescent="0.3">
      <c r="A12" s="104">
        <v>9</v>
      </c>
      <c r="B12" s="298"/>
      <c r="C12" s="306">
        <v>16</v>
      </c>
      <c r="D12" s="306" t="s">
        <v>20</v>
      </c>
      <c r="E12" s="374">
        <v>88</v>
      </c>
      <c r="F12" s="373">
        <v>60</v>
      </c>
      <c r="G12" s="373">
        <v>77</v>
      </c>
      <c r="H12" s="373">
        <v>73</v>
      </c>
      <c r="I12" s="373">
        <v>78</v>
      </c>
      <c r="J12" s="373">
        <v>97</v>
      </c>
      <c r="K12" s="373">
        <v>88</v>
      </c>
      <c r="L12" s="373">
        <v>89</v>
      </c>
      <c r="M12" s="373">
        <f t="shared" si="0"/>
        <v>650</v>
      </c>
      <c r="N12" s="372">
        <f t="shared" si="1"/>
        <v>81.25</v>
      </c>
      <c r="O12" s="372">
        <f t="shared" si="2"/>
        <v>39</v>
      </c>
      <c r="P12" s="102"/>
      <c r="Q12" s="105"/>
    </row>
    <row r="13" spans="1:17" ht="19.5" customHeight="1" thickBot="1" x14ac:dyDescent="0.3">
      <c r="A13" s="104">
        <v>10</v>
      </c>
      <c r="B13" s="298"/>
      <c r="C13" s="306">
        <v>16</v>
      </c>
      <c r="D13" s="306" t="s">
        <v>17</v>
      </c>
      <c r="E13" s="374">
        <v>62</v>
      </c>
      <c r="F13" s="373">
        <v>50</v>
      </c>
      <c r="G13" s="373">
        <v>60</v>
      </c>
      <c r="H13" s="373">
        <v>52</v>
      </c>
      <c r="I13" s="373">
        <v>58</v>
      </c>
      <c r="J13" s="373">
        <v>73</v>
      </c>
      <c r="K13" s="373">
        <v>75</v>
      </c>
      <c r="L13" s="373">
        <v>91</v>
      </c>
      <c r="M13" s="373">
        <f t="shared" si="0"/>
        <v>521</v>
      </c>
      <c r="N13" s="372">
        <f t="shared" si="1"/>
        <v>65.125</v>
      </c>
      <c r="O13" s="372">
        <f t="shared" si="2"/>
        <v>52</v>
      </c>
      <c r="P13" s="102"/>
      <c r="Q13" s="105"/>
    </row>
    <row r="14" spans="1:17" ht="22.5" customHeight="1" thickBot="1" x14ac:dyDescent="0.3">
      <c r="A14" s="104">
        <v>11</v>
      </c>
      <c r="B14" s="298"/>
      <c r="C14" s="306">
        <v>15</v>
      </c>
      <c r="D14" s="306" t="s">
        <v>20</v>
      </c>
      <c r="E14" s="374">
        <v>84</v>
      </c>
      <c r="F14" s="373">
        <v>74</v>
      </c>
      <c r="G14" s="373">
        <v>80</v>
      </c>
      <c r="H14" s="373">
        <v>70</v>
      </c>
      <c r="I14" s="373">
        <v>86</v>
      </c>
      <c r="J14" s="373">
        <v>98</v>
      </c>
      <c r="K14" s="373">
        <v>79</v>
      </c>
      <c r="L14" s="373">
        <v>83</v>
      </c>
      <c r="M14" s="373">
        <f t="shared" si="0"/>
        <v>654</v>
      </c>
      <c r="N14" s="372">
        <f t="shared" si="1"/>
        <v>81.75</v>
      </c>
      <c r="O14" s="372">
        <f t="shared" si="2"/>
        <v>38</v>
      </c>
      <c r="P14" s="102"/>
      <c r="Q14" s="105"/>
    </row>
    <row r="15" spans="1:17" ht="29.25" customHeight="1" thickBot="1" x14ac:dyDescent="0.3">
      <c r="A15" s="104">
        <v>12</v>
      </c>
      <c r="B15" s="298"/>
      <c r="C15" s="306">
        <v>16</v>
      </c>
      <c r="D15" s="306" t="s">
        <v>64</v>
      </c>
      <c r="E15" s="374">
        <v>62</v>
      </c>
      <c r="F15" s="373">
        <v>74</v>
      </c>
      <c r="G15" s="373">
        <v>75</v>
      </c>
      <c r="H15" s="373">
        <v>72</v>
      </c>
      <c r="I15" s="373">
        <v>71</v>
      </c>
      <c r="J15" s="373">
        <v>91</v>
      </c>
      <c r="K15" s="373">
        <v>83</v>
      </c>
      <c r="L15" s="373">
        <v>86</v>
      </c>
      <c r="M15" s="373">
        <f t="shared" si="0"/>
        <v>614</v>
      </c>
      <c r="N15" s="372">
        <f t="shared" si="1"/>
        <v>76.75</v>
      </c>
      <c r="O15" s="372">
        <f t="shared" si="2"/>
        <v>46</v>
      </c>
      <c r="P15" s="102"/>
      <c r="Q15" s="105"/>
    </row>
    <row r="16" spans="1:17" ht="23.25" customHeight="1" thickBot="1" x14ac:dyDescent="0.3">
      <c r="A16" s="104">
        <v>13</v>
      </c>
      <c r="B16" s="298"/>
      <c r="C16" s="306">
        <v>16</v>
      </c>
      <c r="D16" s="306" t="s">
        <v>17</v>
      </c>
      <c r="E16" s="374">
        <v>67</v>
      </c>
      <c r="F16" s="373">
        <v>44</v>
      </c>
      <c r="G16" s="373">
        <v>59</v>
      </c>
      <c r="H16" s="373">
        <v>54</v>
      </c>
      <c r="I16" s="373">
        <v>71</v>
      </c>
      <c r="J16" s="373">
        <v>88</v>
      </c>
      <c r="K16" s="373">
        <v>94</v>
      </c>
      <c r="L16" s="373">
        <v>91</v>
      </c>
      <c r="M16" s="373">
        <f t="shared" si="0"/>
        <v>568</v>
      </c>
      <c r="N16" s="372">
        <f t="shared" si="1"/>
        <v>71</v>
      </c>
      <c r="O16" s="372">
        <f t="shared" si="2"/>
        <v>48</v>
      </c>
      <c r="P16" s="102"/>
      <c r="Q16" s="105"/>
    </row>
    <row r="17" spans="1:17" ht="27.75" customHeight="1" thickBot="1" x14ac:dyDescent="0.3">
      <c r="A17" s="104">
        <v>14</v>
      </c>
      <c r="B17" s="298"/>
      <c r="C17" s="306">
        <v>16</v>
      </c>
      <c r="D17" s="306" t="s">
        <v>17</v>
      </c>
      <c r="E17" s="374">
        <v>90</v>
      </c>
      <c r="F17" s="373">
        <v>90</v>
      </c>
      <c r="G17" s="373">
        <v>92</v>
      </c>
      <c r="H17" s="373">
        <v>90</v>
      </c>
      <c r="I17" s="373">
        <v>94</v>
      </c>
      <c r="J17" s="373">
        <v>92</v>
      </c>
      <c r="K17" s="373">
        <v>89</v>
      </c>
      <c r="L17" s="373">
        <v>94</v>
      </c>
      <c r="M17" s="373">
        <f t="shared" si="0"/>
        <v>731</v>
      </c>
      <c r="N17" s="372">
        <f t="shared" si="1"/>
        <v>91.375</v>
      </c>
      <c r="O17" s="372">
        <f t="shared" si="2"/>
        <v>14</v>
      </c>
      <c r="P17" s="102"/>
      <c r="Q17" s="105"/>
    </row>
    <row r="18" spans="1:17" ht="24.75" customHeight="1" thickBot="1" x14ac:dyDescent="0.3">
      <c r="A18" s="104">
        <v>15</v>
      </c>
      <c r="B18" s="298"/>
      <c r="C18" s="306">
        <v>16</v>
      </c>
      <c r="D18" s="306" t="s">
        <v>20</v>
      </c>
      <c r="E18" s="374">
        <v>72</v>
      </c>
      <c r="F18" s="373">
        <v>79</v>
      </c>
      <c r="G18" s="373">
        <v>77</v>
      </c>
      <c r="H18" s="373">
        <v>82</v>
      </c>
      <c r="I18" s="373">
        <v>80</v>
      </c>
      <c r="J18" s="373">
        <v>84</v>
      </c>
      <c r="K18" s="373">
        <v>84</v>
      </c>
      <c r="L18" s="373">
        <v>91</v>
      </c>
      <c r="M18" s="373">
        <f t="shared" si="0"/>
        <v>649</v>
      </c>
      <c r="N18" s="372">
        <f t="shared" si="1"/>
        <v>81.125</v>
      </c>
      <c r="O18" s="372">
        <f t="shared" si="2"/>
        <v>40</v>
      </c>
      <c r="P18" s="102"/>
      <c r="Q18" s="105"/>
    </row>
    <row r="19" spans="1:17" ht="29.25" customHeight="1" thickBot="1" x14ac:dyDescent="0.3">
      <c r="A19" s="104">
        <v>16</v>
      </c>
      <c r="B19" s="298"/>
      <c r="C19" s="306">
        <v>16</v>
      </c>
      <c r="D19" s="306" t="s">
        <v>20</v>
      </c>
      <c r="E19" s="374">
        <v>89</v>
      </c>
      <c r="F19" s="373">
        <v>84</v>
      </c>
      <c r="G19" s="373">
        <v>85</v>
      </c>
      <c r="H19" s="373">
        <v>78</v>
      </c>
      <c r="I19" s="373">
        <v>79</v>
      </c>
      <c r="J19" s="373">
        <v>90</v>
      </c>
      <c r="K19" s="373">
        <v>91</v>
      </c>
      <c r="L19" s="373">
        <v>94</v>
      </c>
      <c r="M19" s="373">
        <f t="shared" si="0"/>
        <v>690</v>
      </c>
      <c r="N19" s="372">
        <f t="shared" si="1"/>
        <v>86.25</v>
      </c>
      <c r="O19" s="372">
        <f t="shared" si="2"/>
        <v>24</v>
      </c>
      <c r="P19" s="102"/>
      <c r="Q19" s="105"/>
    </row>
    <row r="20" spans="1:17" ht="27" customHeight="1" thickBot="1" x14ac:dyDescent="0.3">
      <c r="A20" s="104">
        <v>17</v>
      </c>
      <c r="B20" s="298"/>
      <c r="C20" s="306">
        <v>15</v>
      </c>
      <c r="D20" s="306" t="s">
        <v>20</v>
      </c>
      <c r="E20" s="374">
        <v>69</v>
      </c>
      <c r="F20" s="373">
        <v>54</v>
      </c>
      <c r="G20" s="373">
        <v>55</v>
      </c>
      <c r="H20" s="373">
        <v>59</v>
      </c>
      <c r="I20" s="373">
        <v>72</v>
      </c>
      <c r="J20" s="373">
        <v>84</v>
      </c>
      <c r="K20" s="373">
        <v>76</v>
      </c>
      <c r="L20" s="373">
        <v>74</v>
      </c>
      <c r="M20" s="373">
        <f t="shared" si="0"/>
        <v>543</v>
      </c>
      <c r="N20" s="372">
        <f t="shared" si="1"/>
        <v>67.875</v>
      </c>
      <c r="O20" s="372">
        <f t="shared" si="2"/>
        <v>50</v>
      </c>
      <c r="P20" s="102"/>
      <c r="Q20" s="105"/>
    </row>
    <row r="21" spans="1:17" ht="25.5" customHeight="1" thickBot="1" x14ac:dyDescent="0.3">
      <c r="A21" s="104">
        <v>18</v>
      </c>
      <c r="B21" s="298"/>
      <c r="C21" s="306">
        <v>16</v>
      </c>
      <c r="D21" s="306" t="s">
        <v>20</v>
      </c>
      <c r="E21" s="374">
        <v>96</v>
      </c>
      <c r="F21" s="373">
        <v>95</v>
      </c>
      <c r="G21" s="373">
        <v>91</v>
      </c>
      <c r="H21" s="373">
        <v>85</v>
      </c>
      <c r="I21" s="373">
        <v>98</v>
      </c>
      <c r="J21" s="373">
        <v>99</v>
      </c>
      <c r="K21" s="373">
        <v>100</v>
      </c>
      <c r="L21" s="373">
        <v>97</v>
      </c>
      <c r="M21" s="373">
        <f t="shared" si="0"/>
        <v>761</v>
      </c>
      <c r="N21" s="372">
        <f t="shared" si="1"/>
        <v>95.125</v>
      </c>
      <c r="O21" s="372">
        <f t="shared" si="2"/>
        <v>6</v>
      </c>
      <c r="P21" s="102"/>
      <c r="Q21" s="105"/>
    </row>
    <row r="22" spans="1:17" ht="27" customHeight="1" thickBot="1" x14ac:dyDescent="0.3">
      <c r="A22" s="104">
        <v>19</v>
      </c>
      <c r="B22" s="298"/>
      <c r="C22" s="306">
        <v>16</v>
      </c>
      <c r="D22" s="306" t="s">
        <v>65</v>
      </c>
      <c r="E22" s="374">
        <v>83</v>
      </c>
      <c r="F22" s="373">
        <v>84</v>
      </c>
      <c r="G22" s="373">
        <v>93</v>
      </c>
      <c r="H22" s="373">
        <v>98</v>
      </c>
      <c r="I22" s="373">
        <v>98</v>
      </c>
      <c r="J22" s="373">
        <v>100</v>
      </c>
      <c r="K22" s="373">
        <v>96</v>
      </c>
      <c r="L22" s="373">
        <v>90</v>
      </c>
      <c r="M22" s="373">
        <f t="shared" si="0"/>
        <v>742</v>
      </c>
      <c r="N22" s="372">
        <f t="shared" si="1"/>
        <v>92.75</v>
      </c>
      <c r="O22" s="372">
        <f t="shared" si="2"/>
        <v>11</v>
      </c>
      <c r="P22" s="102"/>
      <c r="Q22" s="105"/>
    </row>
    <row r="23" spans="1:17" ht="28.5" customHeight="1" thickBot="1" x14ac:dyDescent="0.3">
      <c r="A23" s="104">
        <v>20</v>
      </c>
      <c r="B23" s="298"/>
      <c r="C23" s="306">
        <v>16</v>
      </c>
      <c r="D23" s="306" t="s">
        <v>17</v>
      </c>
      <c r="E23" s="374">
        <v>76</v>
      </c>
      <c r="F23" s="373">
        <v>82</v>
      </c>
      <c r="G23" s="373">
        <v>90</v>
      </c>
      <c r="H23" s="373">
        <v>80</v>
      </c>
      <c r="I23" s="373">
        <v>85</v>
      </c>
      <c r="J23" s="373">
        <v>86</v>
      </c>
      <c r="K23" s="373">
        <v>93</v>
      </c>
      <c r="L23" s="373">
        <v>95</v>
      </c>
      <c r="M23" s="373">
        <f t="shared" si="0"/>
        <v>687</v>
      </c>
      <c r="N23" s="372">
        <f t="shared" si="1"/>
        <v>85.875</v>
      </c>
      <c r="O23" s="372">
        <f t="shared" si="2"/>
        <v>26</v>
      </c>
      <c r="P23" s="102"/>
      <c r="Q23" s="105"/>
    </row>
    <row r="24" spans="1:17" ht="33" customHeight="1" thickBot="1" x14ac:dyDescent="0.3">
      <c r="A24" s="104">
        <v>21</v>
      </c>
      <c r="B24" s="298"/>
      <c r="C24" s="306">
        <v>17</v>
      </c>
      <c r="D24" s="306" t="s">
        <v>66</v>
      </c>
      <c r="E24" s="374">
        <v>87</v>
      </c>
      <c r="F24" s="373">
        <v>90</v>
      </c>
      <c r="G24" s="373">
        <v>100</v>
      </c>
      <c r="H24" s="373">
        <v>91</v>
      </c>
      <c r="I24" s="373">
        <v>92</v>
      </c>
      <c r="J24" s="373">
        <v>90</v>
      </c>
      <c r="K24" s="373">
        <v>97</v>
      </c>
      <c r="L24" s="373">
        <v>94</v>
      </c>
      <c r="M24" s="373">
        <f t="shared" si="0"/>
        <v>741</v>
      </c>
      <c r="N24" s="372">
        <f t="shared" si="1"/>
        <v>92.625</v>
      </c>
      <c r="O24" s="372">
        <f t="shared" si="2"/>
        <v>12</v>
      </c>
      <c r="P24" s="102"/>
      <c r="Q24" s="105"/>
    </row>
    <row r="25" spans="1:17" ht="36.75" customHeight="1" thickBot="1" x14ac:dyDescent="0.3">
      <c r="A25" s="104">
        <v>22</v>
      </c>
      <c r="B25" s="298"/>
      <c r="C25" s="306">
        <v>15</v>
      </c>
      <c r="D25" s="306" t="s">
        <v>67</v>
      </c>
      <c r="E25" s="374">
        <v>88</v>
      </c>
      <c r="F25" s="373">
        <v>86</v>
      </c>
      <c r="G25" s="373">
        <v>91</v>
      </c>
      <c r="H25" s="373">
        <v>87</v>
      </c>
      <c r="I25" s="373">
        <v>94</v>
      </c>
      <c r="J25" s="373">
        <v>99</v>
      </c>
      <c r="K25" s="373">
        <v>95</v>
      </c>
      <c r="L25" s="373">
        <v>89</v>
      </c>
      <c r="M25" s="373">
        <f t="shared" si="0"/>
        <v>729</v>
      </c>
      <c r="N25" s="372">
        <f t="shared" si="1"/>
        <v>91.125</v>
      </c>
      <c r="O25" s="372">
        <f t="shared" si="2"/>
        <v>15</v>
      </c>
      <c r="P25" s="102"/>
      <c r="Q25" s="105"/>
    </row>
    <row r="26" spans="1:17" ht="33" customHeight="1" thickBot="1" x14ac:dyDescent="0.3">
      <c r="A26" s="104">
        <v>23</v>
      </c>
      <c r="B26" s="298"/>
      <c r="C26" s="306">
        <v>17</v>
      </c>
      <c r="D26" s="306" t="s">
        <v>20</v>
      </c>
      <c r="E26" s="374">
        <v>72</v>
      </c>
      <c r="F26" s="373">
        <v>61</v>
      </c>
      <c r="G26" s="373">
        <v>81</v>
      </c>
      <c r="H26" s="373">
        <v>69</v>
      </c>
      <c r="I26" s="373">
        <v>79</v>
      </c>
      <c r="J26" s="373">
        <v>96</v>
      </c>
      <c r="K26" s="373">
        <v>91</v>
      </c>
      <c r="L26" s="373">
        <v>89</v>
      </c>
      <c r="M26" s="373">
        <f t="shared" si="0"/>
        <v>638</v>
      </c>
      <c r="N26" s="372">
        <f t="shared" si="1"/>
        <v>79.75</v>
      </c>
      <c r="O26" s="372">
        <f t="shared" si="2"/>
        <v>42</v>
      </c>
      <c r="P26" s="102"/>
      <c r="Q26" s="105"/>
    </row>
    <row r="27" spans="1:17" ht="27.75" customHeight="1" thickBot="1" x14ac:dyDescent="0.3">
      <c r="A27" s="104">
        <v>24</v>
      </c>
      <c r="B27" s="298"/>
      <c r="C27" s="306">
        <v>15</v>
      </c>
      <c r="D27" s="306" t="s">
        <v>20</v>
      </c>
      <c r="E27" s="374">
        <v>81</v>
      </c>
      <c r="F27" s="373">
        <v>93</v>
      </c>
      <c r="G27" s="373">
        <v>88</v>
      </c>
      <c r="H27" s="373">
        <v>82</v>
      </c>
      <c r="I27" s="373">
        <v>86</v>
      </c>
      <c r="J27" s="373">
        <v>91</v>
      </c>
      <c r="K27" s="373">
        <v>89</v>
      </c>
      <c r="L27" s="373">
        <v>93</v>
      </c>
      <c r="M27" s="373">
        <f t="shared" si="0"/>
        <v>703</v>
      </c>
      <c r="N27" s="372">
        <f t="shared" si="1"/>
        <v>87.875</v>
      </c>
      <c r="O27" s="372">
        <f t="shared" si="2"/>
        <v>18</v>
      </c>
      <c r="P27" s="102"/>
      <c r="Q27" s="105"/>
    </row>
    <row r="28" spans="1:17" ht="27.75" customHeight="1" thickBot="1" x14ac:dyDescent="0.3">
      <c r="A28" s="104">
        <v>25</v>
      </c>
      <c r="B28" s="298"/>
      <c r="C28" s="306">
        <v>16</v>
      </c>
      <c r="D28" s="306" t="s">
        <v>17</v>
      </c>
      <c r="E28" s="374">
        <v>94</v>
      </c>
      <c r="F28" s="373">
        <v>78</v>
      </c>
      <c r="G28" s="373">
        <v>89</v>
      </c>
      <c r="H28" s="373">
        <v>80</v>
      </c>
      <c r="I28" s="373">
        <v>88</v>
      </c>
      <c r="J28" s="373">
        <v>88</v>
      </c>
      <c r="K28" s="373">
        <v>90</v>
      </c>
      <c r="L28" s="373">
        <v>93</v>
      </c>
      <c r="M28" s="373">
        <f t="shared" si="0"/>
        <v>700</v>
      </c>
      <c r="N28" s="372">
        <f t="shared" si="1"/>
        <v>87.5</v>
      </c>
      <c r="O28" s="372">
        <f t="shared" si="2"/>
        <v>20</v>
      </c>
      <c r="P28" s="102"/>
      <c r="Q28" s="105"/>
    </row>
    <row r="29" spans="1:17" ht="27" customHeight="1" thickBot="1" x14ac:dyDescent="0.3">
      <c r="A29" s="104">
        <v>26</v>
      </c>
      <c r="B29" s="298"/>
      <c r="C29" s="306">
        <v>16</v>
      </c>
      <c r="D29" s="306" t="s">
        <v>17</v>
      </c>
      <c r="E29" s="374">
        <v>83</v>
      </c>
      <c r="F29" s="373">
        <v>72</v>
      </c>
      <c r="G29" s="373">
        <v>80</v>
      </c>
      <c r="H29" s="373">
        <v>74</v>
      </c>
      <c r="I29" s="373">
        <v>84</v>
      </c>
      <c r="J29" s="373">
        <v>89</v>
      </c>
      <c r="K29" s="373">
        <v>87</v>
      </c>
      <c r="L29" s="373">
        <v>91</v>
      </c>
      <c r="M29" s="373">
        <f t="shared" si="0"/>
        <v>660</v>
      </c>
      <c r="N29" s="372">
        <f t="shared" si="1"/>
        <v>82.5</v>
      </c>
      <c r="O29" s="372">
        <f t="shared" si="2"/>
        <v>36</v>
      </c>
      <c r="P29" s="102"/>
      <c r="Q29" s="105"/>
    </row>
    <row r="30" spans="1:17" ht="30" customHeight="1" thickBot="1" x14ac:dyDescent="0.3">
      <c r="A30" s="104">
        <v>27</v>
      </c>
      <c r="B30" s="298"/>
      <c r="C30" s="306">
        <v>15</v>
      </c>
      <c r="D30" s="306" t="s">
        <v>20</v>
      </c>
      <c r="E30" s="374">
        <v>89</v>
      </c>
      <c r="F30" s="373">
        <v>77</v>
      </c>
      <c r="G30" s="373">
        <v>85</v>
      </c>
      <c r="H30" s="373">
        <v>77</v>
      </c>
      <c r="I30" s="373">
        <v>86</v>
      </c>
      <c r="J30" s="373">
        <v>93</v>
      </c>
      <c r="K30" s="373">
        <v>89</v>
      </c>
      <c r="L30" s="373">
        <v>96</v>
      </c>
      <c r="M30" s="373">
        <f t="shared" si="0"/>
        <v>692</v>
      </c>
      <c r="N30" s="372">
        <f t="shared" si="1"/>
        <v>86.5</v>
      </c>
      <c r="O30" s="372">
        <f t="shared" si="2"/>
        <v>23</v>
      </c>
      <c r="P30" s="102"/>
      <c r="Q30" s="105"/>
    </row>
    <row r="31" spans="1:17" ht="24" customHeight="1" thickBot="1" x14ac:dyDescent="0.3">
      <c r="A31" s="104">
        <v>28</v>
      </c>
      <c r="B31" s="298"/>
      <c r="C31" s="306">
        <v>18</v>
      </c>
      <c r="D31" s="306" t="s">
        <v>20</v>
      </c>
      <c r="E31" s="374">
        <v>71</v>
      </c>
      <c r="F31" s="373">
        <v>83</v>
      </c>
      <c r="G31" s="373">
        <v>80</v>
      </c>
      <c r="H31" s="373">
        <v>85</v>
      </c>
      <c r="I31" s="373">
        <v>79</v>
      </c>
      <c r="J31" s="373">
        <v>98</v>
      </c>
      <c r="K31" s="373">
        <v>96</v>
      </c>
      <c r="L31" s="373">
        <v>89</v>
      </c>
      <c r="M31" s="373">
        <f t="shared" si="0"/>
        <v>681</v>
      </c>
      <c r="N31" s="372">
        <f t="shared" si="1"/>
        <v>85.125</v>
      </c>
      <c r="O31" s="372">
        <f t="shared" si="2"/>
        <v>29</v>
      </c>
      <c r="P31" s="102"/>
      <c r="Q31" s="103"/>
    </row>
    <row r="32" spans="1:17" ht="21.75" customHeight="1" thickBot="1" x14ac:dyDescent="0.3">
      <c r="A32" s="104">
        <v>29</v>
      </c>
      <c r="B32" s="298"/>
      <c r="C32" s="306">
        <v>15</v>
      </c>
      <c r="D32" s="344" t="s">
        <v>20</v>
      </c>
      <c r="E32" s="373">
        <v>53</v>
      </c>
      <c r="F32" s="373">
        <v>42</v>
      </c>
      <c r="G32" s="373">
        <v>57</v>
      </c>
      <c r="H32" s="373">
        <v>63</v>
      </c>
      <c r="I32" s="373">
        <v>60</v>
      </c>
      <c r="J32" s="373">
        <v>87</v>
      </c>
      <c r="K32" s="373">
        <v>73</v>
      </c>
      <c r="L32" s="373">
        <v>70</v>
      </c>
      <c r="M32" s="373">
        <f t="shared" si="0"/>
        <v>505</v>
      </c>
      <c r="N32" s="372">
        <f t="shared" si="1"/>
        <v>63.125</v>
      </c>
      <c r="O32" s="372">
        <f t="shared" si="2"/>
        <v>53</v>
      </c>
      <c r="P32" s="102"/>
      <c r="Q32" s="103"/>
    </row>
    <row r="33" spans="1:17" ht="27" customHeight="1" thickBot="1" x14ac:dyDescent="0.3">
      <c r="A33" s="104">
        <v>30</v>
      </c>
      <c r="B33" s="346"/>
      <c r="C33" s="306">
        <v>17</v>
      </c>
      <c r="D33" s="306" t="s">
        <v>20</v>
      </c>
      <c r="E33" s="373">
        <v>86</v>
      </c>
      <c r="F33" s="373">
        <v>85</v>
      </c>
      <c r="G33" s="373">
        <v>94</v>
      </c>
      <c r="H33" s="373">
        <v>84</v>
      </c>
      <c r="I33" s="373">
        <v>93</v>
      </c>
      <c r="J33" s="373">
        <v>94</v>
      </c>
      <c r="K33" s="373">
        <v>91</v>
      </c>
      <c r="L33" s="373">
        <v>91</v>
      </c>
      <c r="M33" s="373">
        <f t="shared" si="0"/>
        <v>718</v>
      </c>
      <c r="N33" s="372">
        <f t="shared" si="1"/>
        <v>89.75</v>
      </c>
      <c r="O33" s="372">
        <f t="shared" si="2"/>
        <v>16</v>
      </c>
      <c r="P33" s="102"/>
      <c r="Q33" s="103"/>
    </row>
    <row r="34" spans="1:17" ht="27" customHeight="1" thickBot="1" x14ac:dyDescent="0.3">
      <c r="A34" s="104">
        <v>31</v>
      </c>
      <c r="B34" s="304"/>
      <c r="C34" s="345">
        <v>15</v>
      </c>
      <c r="D34" s="345" t="s">
        <v>20</v>
      </c>
      <c r="E34" s="373">
        <v>86</v>
      </c>
      <c r="F34" s="373">
        <v>63</v>
      </c>
      <c r="G34" s="373">
        <v>75</v>
      </c>
      <c r="H34" s="373">
        <v>67</v>
      </c>
      <c r="I34" s="373">
        <v>75</v>
      </c>
      <c r="J34" s="373">
        <v>86</v>
      </c>
      <c r="K34" s="373">
        <v>94</v>
      </c>
      <c r="L34" s="373">
        <v>91</v>
      </c>
      <c r="M34" s="373">
        <f t="shared" si="0"/>
        <v>637</v>
      </c>
      <c r="N34" s="372">
        <f t="shared" si="1"/>
        <v>79.625</v>
      </c>
      <c r="O34" s="372">
        <f t="shared" si="2"/>
        <v>43</v>
      </c>
      <c r="P34" s="102"/>
      <c r="Q34" s="103"/>
    </row>
    <row r="35" spans="1:17" ht="25.5" customHeight="1" thickBot="1" x14ac:dyDescent="0.3">
      <c r="A35" s="104">
        <v>32</v>
      </c>
      <c r="B35" s="298"/>
      <c r="C35" s="306">
        <v>15</v>
      </c>
      <c r="D35" s="306" t="s">
        <v>17</v>
      </c>
      <c r="E35" s="373">
        <v>96</v>
      </c>
      <c r="F35" s="373">
        <v>77</v>
      </c>
      <c r="G35" s="373">
        <v>75</v>
      </c>
      <c r="H35" s="373">
        <v>80</v>
      </c>
      <c r="I35" s="373">
        <v>80</v>
      </c>
      <c r="J35" s="373">
        <v>92</v>
      </c>
      <c r="K35" s="373">
        <v>86</v>
      </c>
      <c r="L35" s="373">
        <v>92</v>
      </c>
      <c r="M35" s="373">
        <f t="shared" si="0"/>
        <v>678</v>
      </c>
      <c r="N35" s="372">
        <f t="shared" si="1"/>
        <v>84.75</v>
      </c>
      <c r="O35" s="372">
        <f t="shared" si="2"/>
        <v>32</v>
      </c>
      <c r="P35" s="102"/>
      <c r="Q35" s="103"/>
    </row>
    <row r="36" spans="1:17" ht="27" customHeight="1" thickBot="1" x14ac:dyDescent="0.3">
      <c r="A36" s="104">
        <v>33</v>
      </c>
      <c r="B36" s="298"/>
      <c r="C36" s="306">
        <v>18</v>
      </c>
      <c r="D36" s="306" t="s">
        <v>20</v>
      </c>
      <c r="E36" s="373">
        <v>68</v>
      </c>
      <c r="F36" s="373">
        <v>59</v>
      </c>
      <c r="G36" s="373">
        <v>75</v>
      </c>
      <c r="H36" s="373">
        <v>79</v>
      </c>
      <c r="I36" s="373">
        <v>78</v>
      </c>
      <c r="J36" s="373">
        <v>89</v>
      </c>
      <c r="K36" s="373">
        <v>92</v>
      </c>
      <c r="L36" s="373">
        <v>82</v>
      </c>
      <c r="M36" s="373">
        <f t="shared" si="0"/>
        <v>622</v>
      </c>
      <c r="N36" s="372">
        <f t="shared" si="1"/>
        <v>77.75</v>
      </c>
      <c r="O36" s="372">
        <f t="shared" si="2"/>
        <v>44</v>
      </c>
      <c r="P36" s="102"/>
      <c r="Q36" s="103"/>
    </row>
    <row r="37" spans="1:17" ht="24" customHeight="1" thickBot="1" x14ac:dyDescent="0.3">
      <c r="A37" s="104">
        <v>34</v>
      </c>
      <c r="B37" s="298"/>
      <c r="C37" s="306">
        <v>16</v>
      </c>
      <c r="D37" s="306" t="s">
        <v>17</v>
      </c>
      <c r="E37" s="373">
        <v>74</v>
      </c>
      <c r="F37" s="373">
        <v>84</v>
      </c>
      <c r="G37" s="373">
        <v>90</v>
      </c>
      <c r="H37" s="373">
        <v>91</v>
      </c>
      <c r="I37" s="373">
        <v>87</v>
      </c>
      <c r="J37" s="373">
        <v>94</v>
      </c>
      <c r="K37" s="373">
        <v>88</v>
      </c>
      <c r="L37" s="373">
        <v>93</v>
      </c>
      <c r="M37" s="373">
        <f t="shared" si="0"/>
        <v>701</v>
      </c>
      <c r="N37" s="372">
        <f t="shared" si="1"/>
        <v>87.625</v>
      </c>
      <c r="O37" s="372">
        <f t="shared" si="2"/>
        <v>19</v>
      </c>
      <c r="P37" s="102"/>
      <c r="Q37" s="103"/>
    </row>
    <row r="38" spans="1:17" ht="23.25" customHeight="1" thickBot="1" x14ac:dyDescent="0.3">
      <c r="A38" s="104">
        <v>35</v>
      </c>
      <c r="B38" s="298"/>
      <c r="C38" s="306">
        <v>16</v>
      </c>
      <c r="D38" s="306" t="s">
        <v>17</v>
      </c>
      <c r="E38" s="373">
        <v>92</v>
      </c>
      <c r="F38" s="373">
        <v>91</v>
      </c>
      <c r="G38" s="373">
        <v>94</v>
      </c>
      <c r="H38" s="373">
        <v>92</v>
      </c>
      <c r="I38" s="373">
        <v>93</v>
      </c>
      <c r="J38" s="373">
        <v>98</v>
      </c>
      <c r="K38" s="373">
        <v>100</v>
      </c>
      <c r="L38" s="373">
        <v>94</v>
      </c>
      <c r="M38" s="373">
        <f t="shared" si="0"/>
        <v>754</v>
      </c>
      <c r="N38" s="372">
        <f t="shared" si="1"/>
        <v>94.25</v>
      </c>
      <c r="O38" s="372">
        <f t="shared" si="2"/>
        <v>8</v>
      </c>
      <c r="P38" s="102"/>
      <c r="Q38" s="103"/>
    </row>
    <row r="39" spans="1:17" ht="23.25" customHeight="1" thickBot="1" x14ac:dyDescent="0.3">
      <c r="A39" s="104">
        <v>36</v>
      </c>
      <c r="B39" s="298"/>
      <c r="C39" s="306">
        <v>15</v>
      </c>
      <c r="D39" s="306" t="s">
        <v>17</v>
      </c>
      <c r="E39" s="373">
        <v>90</v>
      </c>
      <c r="F39" s="373">
        <v>71</v>
      </c>
      <c r="G39" s="373">
        <v>86</v>
      </c>
      <c r="H39" s="373">
        <v>82</v>
      </c>
      <c r="I39" s="373">
        <v>88</v>
      </c>
      <c r="J39" s="373">
        <v>87</v>
      </c>
      <c r="K39" s="373">
        <v>86</v>
      </c>
      <c r="L39" s="373">
        <v>89</v>
      </c>
      <c r="M39" s="373">
        <f t="shared" si="0"/>
        <v>679</v>
      </c>
      <c r="N39" s="372">
        <f t="shared" si="1"/>
        <v>84.875</v>
      </c>
      <c r="O39" s="372">
        <f t="shared" si="2"/>
        <v>31</v>
      </c>
      <c r="P39" s="102"/>
      <c r="Q39" s="103"/>
    </row>
    <row r="40" spans="1:17" ht="19.5" customHeight="1" thickBot="1" x14ac:dyDescent="0.3">
      <c r="A40" s="104">
        <v>37</v>
      </c>
      <c r="B40" s="298"/>
      <c r="C40" s="306">
        <v>15</v>
      </c>
      <c r="D40" s="306" t="s">
        <v>17</v>
      </c>
      <c r="E40" s="373">
        <v>72</v>
      </c>
      <c r="F40" s="373">
        <v>82</v>
      </c>
      <c r="G40" s="373">
        <v>86</v>
      </c>
      <c r="H40" s="373">
        <v>88</v>
      </c>
      <c r="I40" s="373">
        <v>92</v>
      </c>
      <c r="J40" s="373">
        <v>93</v>
      </c>
      <c r="K40" s="373">
        <v>92</v>
      </c>
      <c r="L40" s="373">
        <v>90</v>
      </c>
      <c r="M40" s="373">
        <f t="shared" si="0"/>
        <v>695</v>
      </c>
      <c r="N40" s="372">
        <f t="shared" si="1"/>
        <v>86.875</v>
      </c>
      <c r="O40" s="372">
        <f t="shared" si="2"/>
        <v>21</v>
      </c>
      <c r="P40" s="102"/>
      <c r="Q40" s="103"/>
    </row>
    <row r="41" spans="1:17" ht="21.75" customHeight="1" thickBot="1" x14ac:dyDescent="0.3">
      <c r="A41" s="104">
        <v>38</v>
      </c>
      <c r="B41" s="298"/>
      <c r="C41" s="306">
        <v>15</v>
      </c>
      <c r="D41" s="306" t="s">
        <v>17</v>
      </c>
      <c r="E41" s="373">
        <v>65</v>
      </c>
      <c r="F41" s="373">
        <v>89</v>
      </c>
      <c r="G41" s="373">
        <v>85</v>
      </c>
      <c r="H41" s="373">
        <v>83</v>
      </c>
      <c r="I41" s="373">
        <v>83</v>
      </c>
      <c r="J41" s="373">
        <v>85</v>
      </c>
      <c r="K41" s="373">
        <v>95</v>
      </c>
      <c r="L41" s="373">
        <v>99</v>
      </c>
      <c r="M41" s="373">
        <f t="shared" si="0"/>
        <v>684</v>
      </c>
      <c r="N41" s="372">
        <f t="shared" si="1"/>
        <v>85.5</v>
      </c>
      <c r="O41" s="372">
        <f t="shared" si="2"/>
        <v>28</v>
      </c>
      <c r="P41" s="102"/>
      <c r="Q41" s="103"/>
    </row>
    <row r="42" spans="1:17" ht="25.5" customHeight="1" thickBot="1" x14ac:dyDescent="0.3">
      <c r="A42" s="104">
        <v>39</v>
      </c>
      <c r="B42" s="298"/>
      <c r="C42" s="306">
        <v>16</v>
      </c>
      <c r="D42" s="306" t="s">
        <v>20</v>
      </c>
      <c r="E42" s="373">
        <v>89</v>
      </c>
      <c r="F42" s="373">
        <v>65</v>
      </c>
      <c r="G42" s="373">
        <v>81</v>
      </c>
      <c r="H42" s="373">
        <v>75</v>
      </c>
      <c r="I42" s="373">
        <v>80</v>
      </c>
      <c r="J42" s="373">
        <v>94</v>
      </c>
      <c r="K42" s="373">
        <v>91</v>
      </c>
      <c r="L42" s="373">
        <v>91</v>
      </c>
      <c r="M42" s="373">
        <f t="shared" si="0"/>
        <v>666</v>
      </c>
      <c r="N42" s="372">
        <f t="shared" si="1"/>
        <v>83.25</v>
      </c>
      <c r="O42" s="372">
        <f t="shared" si="2"/>
        <v>35</v>
      </c>
      <c r="P42" s="102"/>
      <c r="Q42" s="103"/>
    </row>
    <row r="43" spans="1:17" ht="22.5" customHeight="1" thickBot="1" x14ac:dyDescent="0.3">
      <c r="A43" s="104">
        <v>40</v>
      </c>
      <c r="B43" s="298"/>
      <c r="C43" s="306">
        <v>16</v>
      </c>
      <c r="D43" s="306" t="s">
        <v>20</v>
      </c>
      <c r="E43" s="373">
        <v>79</v>
      </c>
      <c r="F43" s="373">
        <v>82</v>
      </c>
      <c r="G43" s="373">
        <v>89</v>
      </c>
      <c r="H43" s="373">
        <v>87</v>
      </c>
      <c r="I43" s="373">
        <v>88</v>
      </c>
      <c r="J43" s="373">
        <v>98</v>
      </c>
      <c r="K43" s="373">
        <v>95</v>
      </c>
      <c r="L43" s="373">
        <v>88</v>
      </c>
      <c r="M43" s="373">
        <f t="shared" si="0"/>
        <v>706</v>
      </c>
      <c r="N43" s="372">
        <f t="shared" si="1"/>
        <v>88.25</v>
      </c>
      <c r="O43" s="372">
        <f t="shared" si="2"/>
        <v>17</v>
      </c>
      <c r="P43" s="102"/>
      <c r="Q43" s="103"/>
    </row>
    <row r="44" spans="1:17" ht="23.25" customHeight="1" thickBot="1" x14ac:dyDescent="0.3">
      <c r="A44" s="104">
        <v>41</v>
      </c>
      <c r="B44" s="298"/>
      <c r="C44" s="306">
        <v>15</v>
      </c>
      <c r="D44" s="306" t="s">
        <v>17</v>
      </c>
      <c r="E44" s="373">
        <v>92</v>
      </c>
      <c r="F44" s="373">
        <v>91</v>
      </c>
      <c r="G44" s="373">
        <v>92</v>
      </c>
      <c r="H44" s="373">
        <v>86</v>
      </c>
      <c r="I44" s="373">
        <v>96</v>
      </c>
      <c r="J44" s="373">
        <v>91</v>
      </c>
      <c r="K44" s="373">
        <v>100</v>
      </c>
      <c r="L44" s="373">
        <v>100</v>
      </c>
      <c r="M44" s="373">
        <f t="shared" si="0"/>
        <v>748</v>
      </c>
      <c r="N44" s="372">
        <f t="shared" si="1"/>
        <v>93.5</v>
      </c>
      <c r="O44" s="372">
        <f t="shared" si="2"/>
        <v>10</v>
      </c>
      <c r="P44" s="102"/>
      <c r="Q44" s="103"/>
    </row>
    <row r="45" spans="1:17" ht="21" customHeight="1" thickBot="1" x14ac:dyDescent="0.3">
      <c r="A45" s="104">
        <v>42</v>
      </c>
      <c r="B45" s="298"/>
      <c r="C45" s="306">
        <v>17</v>
      </c>
      <c r="D45" s="306" t="s">
        <v>17</v>
      </c>
      <c r="E45" s="373">
        <v>80</v>
      </c>
      <c r="F45" s="373">
        <v>83</v>
      </c>
      <c r="G45" s="373">
        <v>85</v>
      </c>
      <c r="H45" s="373">
        <v>82</v>
      </c>
      <c r="I45" s="373">
        <v>80</v>
      </c>
      <c r="J45" s="373">
        <v>90</v>
      </c>
      <c r="K45" s="373">
        <v>97</v>
      </c>
      <c r="L45" s="373">
        <v>89</v>
      </c>
      <c r="M45" s="373">
        <f t="shared" si="0"/>
        <v>686</v>
      </c>
      <c r="N45" s="372">
        <f t="shared" si="1"/>
        <v>85.75</v>
      </c>
      <c r="O45" s="372">
        <f t="shared" si="2"/>
        <v>27</v>
      </c>
      <c r="P45" s="102"/>
      <c r="Q45" s="103"/>
    </row>
    <row r="46" spans="1:17" ht="21" customHeight="1" thickBot="1" x14ac:dyDescent="0.3">
      <c r="A46" s="104">
        <v>43</v>
      </c>
      <c r="B46" s="298"/>
      <c r="C46" s="306">
        <v>17</v>
      </c>
      <c r="D46" s="306" t="s">
        <v>17</v>
      </c>
      <c r="E46" s="373">
        <v>76</v>
      </c>
      <c r="F46" s="373">
        <v>82</v>
      </c>
      <c r="G46" s="373">
        <v>84</v>
      </c>
      <c r="H46" s="373">
        <v>78</v>
      </c>
      <c r="I46" s="373">
        <v>82</v>
      </c>
      <c r="J46" s="373">
        <v>87</v>
      </c>
      <c r="K46" s="373">
        <v>94</v>
      </c>
      <c r="L46" s="373">
        <v>97</v>
      </c>
      <c r="M46" s="373">
        <f t="shared" si="0"/>
        <v>680</v>
      </c>
      <c r="N46" s="372">
        <f t="shared" si="1"/>
        <v>85</v>
      </c>
      <c r="O46" s="372">
        <f t="shared" si="2"/>
        <v>30</v>
      </c>
      <c r="P46" s="102"/>
      <c r="Q46" s="103"/>
    </row>
    <row r="47" spans="1:17" ht="24" customHeight="1" thickBot="1" x14ac:dyDescent="0.3">
      <c r="A47" s="104">
        <v>44</v>
      </c>
      <c r="B47" s="298"/>
      <c r="C47" s="306">
        <v>16</v>
      </c>
      <c r="D47" s="306" t="s">
        <v>20</v>
      </c>
      <c r="E47" s="373">
        <v>88</v>
      </c>
      <c r="F47" s="373">
        <v>91</v>
      </c>
      <c r="G47" s="373">
        <v>92</v>
      </c>
      <c r="H47" s="373">
        <v>87</v>
      </c>
      <c r="I47" s="373">
        <v>93</v>
      </c>
      <c r="J47" s="373">
        <v>96</v>
      </c>
      <c r="K47" s="373">
        <v>97</v>
      </c>
      <c r="L47" s="373">
        <v>92</v>
      </c>
      <c r="M47" s="373">
        <f t="shared" si="0"/>
        <v>736</v>
      </c>
      <c r="N47" s="372">
        <f t="shared" si="1"/>
        <v>92</v>
      </c>
      <c r="O47" s="372">
        <f t="shared" si="2"/>
        <v>13</v>
      </c>
      <c r="P47" s="102"/>
      <c r="Q47" s="103"/>
    </row>
    <row r="48" spans="1:17" ht="21.75" customHeight="1" thickBot="1" x14ac:dyDescent="0.3">
      <c r="A48" s="104">
        <v>45</v>
      </c>
      <c r="B48" s="298"/>
      <c r="C48" s="306">
        <v>16</v>
      </c>
      <c r="D48" s="306" t="s">
        <v>20</v>
      </c>
      <c r="E48" s="373">
        <v>65</v>
      </c>
      <c r="F48" s="373">
        <v>54</v>
      </c>
      <c r="G48" s="373">
        <v>62</v>
      </c>
      <c r="H48" s="373">
        <v>56</v>
      </c>
      <c r="I48" s="373">
        <v>64</v>
      </c>
      <c r="J48" s="373">
        <v>74</v>
      </c>
      <c r="K48" s="373">
        <v>75</v>
      </c>
      <c r="L48" s="373">
        <v>84</v>
      </c>
      <c r="M48" s="373">
        <f t="shared" si="0"/>
        <v>534</v>
      </c>
      <c r="N48" s="372">
        <f t="shared" si="1"/>
        <v>66.75</v>
      </c>
      <c r="O48" s="372">
        <f t="shared" si="2"/>
        <v>51</v>
      </c>
      <c r="P48" s="102"/>
      <c r="Q48" s="103"/>
    </row>
    <row r="49" spans="1:17" ht="15.75" customHeight="1" thickBot="1" x14ac:dyDescent="0.3">
      <c r="A49" s="104">
        <v>46</v>
      </c>
      <c r="B49" s="298"/>
      <c r="C49" s="306">
        <v>16</v>
      </c>
      <c r="D49" s="306" t="s">
        <v>20</v>
      </c>
      <c r="E49" s="373">
        <v>76</v>
      </c>
      <c r="F49" s="373">
        <v>72</v>
      </c>
      <c r="G49" s="373">
        <v>80</v>
      </c>
      <c r="H49" s="373">
        <v>78</v>
      </c>
      <c r="I49" s="373">
        <v>79</v>
      </c>
      <c r="J49" s="373">
        <v>90</v>
      </c>
      <c r="K49" s="373">
        <v>91</v>
      </c>
      <c r="L49" s="373">
        <v>94</v>
      </c>
      <c r="M49" s="373">
        <f t="shared" si="0"/>
        <v>660</v>
      </c>
      <c r="N49" s="372">
        <f t="shared" si="1"/>
        <v>82.5</v>
      </c>
      <c r="O49" s="372">
        <f t="shared" si="2"/>
        <v>36</v>
      </c>
      <c r="P49" s="102"/>
      <c r="Q49" s="103"/>
    </row>
    <row r="50" spans="1:17" ht="24" customHeight="1" thickBot="1" x14ac:dyDescent="0.3">
      <c r="A50" s="104">
        <v>48</v>
      </c>
      <c r="B50" s="298"/>
      <c r="C50" s="306">
        <v>17</v>
      </c>
      <c r="D50" s="306" t="s">
        <v>20</v>
      </c>
      <c r="E50" s="373">
        <v>97</v>
      </c>
      <c r="F50" s="373">
        <v>99</v>
      </c>
      <c r="G50" s="373">
        <v>100</v>
      </c>
      <c r="H50" s="373">
        <v>97</v>
      </c>
      <c r="I50" s="373">
        <v>99</v>
      </c>
      <c r="J50" s="373">
        <v>100</v>
      </c>
      <c r="K50" s="373">
        <v>100</v>
      </c>
      <c r="L50" s="373">
        <v>100</v>
      </c>
      <c r="M50" s="373">
        <f t="shared" si="0"/>
        <v>792</v>
      </c>
      <c r="N50" s="372">
        <f t="shared" si="1"/>
        <v>99</v>
      </c>
      <c r="O50" s="372">
        <f t="shared" si="2"/>
        <v>1</v>
      </c>
      <c r="P50" s="102"/>
      <c r="Q50" s="103"/>
    </row>
    <row r="51" spans="1:17" ht="24" customHeight="1" thickBot="1" x14ac:dyDescent="0.3">
      <c r="A51" s="104">
        <v>49</v>
      </c>
      <c r="B51" s="298"/>
      <c r="C51" s="306">
        <v>16</v>
      </c>
      <c r="D51" s="306" t="s">
        <v>20</v>
      </c>
      <c r="E51" s="373">
        <v>79</v>
      </c>
      <c r="F51" s="373">
        <v>87</v>
      </c>
      <c r="G51" s="373">
        <v>89</v>
      </c>
      <c r="H51" s="373">
        <v>84</v>
      </c>
      <c r="I51" s="373">
        <v>76</v>
      </c>
      <c r="J51" s="373">
        <v>90</v>
      </c>
      <c r="K51" s="373">
        <v>95</v>
      </c>
      <c r="L51" s="373">
        <v>93</v>
      </c>
      <c r="M51" s="373">
        <f t="shared" si="0"/>
        <v>693</v>
      </c>
      <c r="N51" s="372">
        <f t="shared" si="1"/>
        <v>86.625</v>
      </c>
      <c r="O51" s="372">
        <f t="shared" si="2"/>
        <v>22</v>
      </c>
      <c r="P51" s="102"/>
      <c r="Q51" s="103"/>
    </row>
    <row r="52" spans="1:17" ht="24" customHeight="1" thickBot="1" x14ac:dyDescent="0.3">
      <c r="A52" s="104">
        <v>50</v>
      </c>
      <c r="B52" s="298"/>
      <c r="C52" s="306">
        <v>15</v>
      </c>
      <c r="D52" s="306" t="s">
        <v>17</v>
      </c>
      <c r="E52" s="373">
        <v>75</v>
      </c>
      <c r="F52" s="373">
        <v>44</v>
      </c>
      <c r="G52" s="373">
        <v>59</v>
      </c>
      <c r="H52" s="373">
        <v>38</v>
      </c>
      <c r="I52" s="373">
        <v>56</v>
      </c>
      <c r="J52" s="373">
        <v>67</v>
      </c>
      <c r="K52" s="373">
        <v>81</v>
      </c>
      <c r="L52" s="373">
        <v>78</v>
      </c>
      <c r="M52" s="373">
        <f t="shared" si="0"/>
        <v>498</v>
      </c>
      <c r="N52" s="372">
        <f t="shared" si="1"/>
        <v>62.25</v>
      </c>
      <c r="O52" s="372">
        <f t="shared" si="2"/>
        <v>54</v>
      </c>
      <c r="P52" s="102"/>
      <c r="Q52" s="103"/>
    </row>
    <row r="53" spans="1:17" ht="21" customHeight="1" thickBot="1" x14ac:dyDescent="0.3">
      <c r="A53" s="104">
        <v>51</v>
      </c>
      <c r="B53" s="298"/>
      <c r="C53" s="306">
        <v>17</v>
      </c>
      <c r="D53" s="306" t="s">
        <v>17</v>
      </c>
      <c r="E53" s="373">
        <v>91</v>
      </c>
      <c r="F53" s="373">
        <v>67</v>
      </c>
      <c r="G53" s="373">
        <v>87</v>
      </c>
      <c r="H53" s="373">
        <v>66</v>
      </c>
      <c r="I53" s="373">
        <v>77</v>
      </c>
      <c r="J53" s="373">
        <v>93</v>
      </c>
      <c r="K53" s="373">
        <v>98</v>
      </c>
      <c r="L53" s="373">
        <v>95</v>
      </c>
      <c r="M53" s="373">
        <f t="shared" si="0"/>
        <v>674</v>
      </c>
      <c r="N53" s="372">
        <f t="shared" si="1"/>
        <v>84.25</v>
      </c>
      <c r="O53" s="372">
        <f t="shared" si="2"/>
        <v>34</v>
      </c>
      <c r="P53" s="102"/>
      <c r="Q53" s="103"/>
    </row>
    <row r="54" spans="1:17" ht="27" customHeight="1" thickBot="1" x14ac:dyDescent="0.3">
      <c r="A54" s="104">
        <v>52</v>
      </c>
      <c r="B54" s="298"/>
      <c r="C54" s="306">
        <v>16</v>
      </c>
      <c r="D54" s="306" t="s">
        <v>17</v>
      </c>
      <c r="E54" s="373">
        <v>89</v>
      </c>
      <c r="F54" s="373">
        <v>95</v>
      </c>
      <c r="G54" s="373">
        <v>93</v>
      </c>
      <c r="H54" s="373">
        <v>90</v>
      </c>
      <c r="I54" s="373">
        <v>93</v>
      </c>
      <c r="J54" s="373">
        <v>96</v>
      </c>
      <c r="K54" s="373">
        <v>99</v>
      </c>
      <c r="L54" s="373">
        <v>99</v>
      </c>
      <c r="M54" s="373">
        <f t="shared" si="0"/>
        <v>754</v>
      </c>
      <c r="N54" s="372">
        <f t="shared" si="1"/>
        <v>94.25</v>
      </c>
      <c r="O54" s="372">
        <f t="shared" si="2"/>
        <v>8</v>
      </c>
      <c r="P54" s="102"/>
      <c r="Q54" s="103"/>
    </row>
    <row r="55" spans="1:17" ht="21.75" customHeight="1" thickBot="1" x14ac:dyDescent="0.3">
      <c r="A55" s="104">
        <v>53</v>
      </c>
      <c r="B55" s="298"/>
      <c r="C55" s="306">
        <v>17</v>
      </c>
      <c r="D55" s="306" t="s">
        <v>17</v>
      </c>
      <c r="E55" s="390">
        <v>99</v>
      </c>
      <c r="F55" s="390">
        <v>94</v>
      </c>
      <c r="G55" s="390">
        <v>99</v>
      </c>
      <c r="H55" s="390">
        <v>90</v>
      </c>
      <c r="I55" s="390">
        <v>96</v>
      </c>
      <c r="J55" s="390">
        <v>100</v>
      </c>
      <c r="K55" s="390">
        <v>100</v>
      </c>
      <c r="L55" s="390">
        <v>98</v>
      </c>
      <c r="M55" s="373">
        <f t="shared" si="0"/>
        <v>776</v>
      </c>
      <c r="N55" s="372">
        <f t="shared" si="1"/>
        <v>97</v>
      </c>
      <c r="O55" s="372">
        <f t="shared" si="2"/>
        <v>3</v>
      </c>
      <c r="P55" s="101"/>
      <c r="Q55" s="101"/>
    </row>
    <row r="56" spans="1:17" ht="20.25" customHeight="1" thickBot="1" x14ac:dyDescent="0.3">
      <c r="A56" s="104">
        <v>54</v>
      </c>
      <c r="B56" s="298"/>
      <c r="C56" s="306">
        <v>17</v>
      </c>
      <c r="D56" s="306" t="s">
        <v>17</v>
      </c>
      <c r="E56" s="390">
        <v>92</v>
      </c>
      <c r="F56" s="390">
        <v>91</v>
      </c>
      <c r="G56" s="390">
        <v>95</v>
      </c>
      <c r="H56" s="390">
        <v>96</v>
      </c>
      <c r="I56" s="390">
        <v>96</v>
      </c>
      <c r="J56" s="390">
        <v>97</v>
      </c>
      <c r="K56" s="390">
        <v>100</v>
      </c>
      <c r="L56" s="390">
        <v>100</v>
      </c>
      <c r="M56" s="373">
        <f t="shared" si="0"/>
        <v>767</v>
      </c>
      <c r="N56" s="372">
        <f t="shared" si="1"/>
        <v>95.875</v>
      </c>
      <c r="O56" s="372">
        <f t="shared" si="2"/>
        <v>5</v>
      </c>
      <c r="P56" s="101"/>
      <c r="Q56" s="101"/>
    </row>
    <row r="57" spans="1:17" ht="19.5" customHeight="1" thickBot="1" x14ac:dyDescent="0.3">
      <c r="A57" s="104">
        <v>55</v>
      </c>
      <c r="B57" s="298"/>
      <c r="C57" s="306">
        <v>17</v>
      </c>
      <c r="D57" s="306" t="s">
        <v>17</v>
      </c>
      <c r="E57" s="390">
        <v>81</v>
      </c>
      <c r="F57" s="390">
        <v>79</v>
      </c>
      <c r="G57" s="390">
        <v>77</v>
      </c>
      <c r="H57" s="390">
        <v>79</v>
      </c>
      <c r="I57" s="390">
        <v>84</v>
      </c>
      <c r="J57" s="390">
        <v>80</v>
      </c>
      <c r="K57" s="390">
        <v>81</v>
      </c>
      <c r="L57" s="390">
        <v>85</v>
      </c>
      <c r="M57" s="373">
        <f t="shared" si="0"/>
        <v>646</v>
      </c>
      <c r="N57" s="372">
        <f t="shared" si="1"/>
        <v>80.75</v>
      </c>
      <c r="O57" s="372">
        <f t="shared" si="2"/>
        <v>41</v>
      </c>
      <c r="P57" s="101"/>
      <c r="Q57" s="101"/>
    </row>
  </sheetData>
  <mergeCells count="2">
    <mergeCell ref="A1:Q1"/>
    <mergeCell ref="A2:Q2"/>
  </mergeCells>
  <pageMargins left="0.7" right="0.7" top="0.75" bottom="0.75" header="0.3" footer="0.3"/>
  <pageSetup paperSize="9" scale="70" fitToWidth="0" fitToHeight="0" orientation="landscape" r:id="rId1"/>
  <rowBreaks count="1" manualBreakCount="1">
    <brk id="25" max="1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workbookViewId="0">
      <selection activeCell="B4" sqref="B4:B57"/>
    </sheetView>
  </sheetViews>
  <sheetFormatPr defaultRowHeight="15" x14ac:dyDescent="0.25"/>
  <cols>
    <col min="1" max="1" width="7.140625" customWidth="1"/>
    <col min="2" max="2" width="34.140625" customWidth="1"/>
    <col min="12" max="12" width="9.140625" style="211"/>
  </cols>
  <sheetData>
    <row r="1" spans="1:18" ht="21" thickBot="1" x14ac:dyDescent="0.3">
      <c r="A1" s="991" t="s">
        <v>21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2"/>
      <c r="P1" s="992"/>
      <c r="Q1" s="993"/>
      <c r="R1" s="106"/>
    </row>
    <row r="2" spans="1:18" ht="18.75" thickBot="1" x14ac:dyDescent="0.3">
      <c r="A2" s="994" t="s">
        <v>45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4"/>
      <c r="P2" s="994"/>
      <c r="Q2" s="995"/>
      <c r="R2" s="106"/>
    </row>
    <row r="3" spans="1:18" ht="57" x14ac:dyDescent="0.25">
      <c r="A3" s="109" t="s">
        <v>0</v>
      </c>
      <c r="B3" s="116" t="s">
        <v>1</v>
      </c>
      <c r="C3" s="116" t="s">
        <v>2</v>
      </c>
      <c r="D3" s="116" t="s">
        <v>3</v>
      </c>
      <c r="E3" s="115" t="s">
        <v>5</v>
      </c>
      <c r="F3" s="115" t="s">
        <v>6</v>
      </c>
      <c r="G3" s="115" t="s">
        <v>7</v>
      </c>
      <c r="H3" s="115" t="s">
        <v>8</v>
      </c>
      <c r="I3" s="115" t="s">
        <v>9</v>
      </c>
      <c r="J3" s="115" t="s">
        <v>10</v>
      </c>
      <c r="K3" s="115" t="s">
        <v>11</v>
      </c>
      <c r="L3" s="295" t="s">
        <v>77</v>
      </c>
      <c r="M3" s="115" t="s">
        <v>12</v>
      </c>
      <c r="N3" s="115" t="s">
        <v>13</v>
      </c>
      <c r="O3" s="115" t="s">
        <v>14</v>
      </c>
      <c r="P3" s="115" t="s">
        <v>15</v>
      </c>
      <c r="Q3" s="113" t="s">
        <v>16</v>
      </c>
      <c r="R3" s="106"/>
    </row>
    <row r="4" spans="1:18" ht="17.25" x14ac:dyDescent="0.25">
      <c r="A4" s="121">
        <v>1</v>
      </c>
      <c r="B4" s="415"/>
      <c r="C4" s="119"/>
      <c r="D4" s="119"/>
      <c r="E4" s="114">
        <v>54</v>
      </c>
      <c r="F4" s="108">
        <v>72</v>
      </c>
      <c r="G4" s="108">
        <v>69</v>
      </c>
      <c r="H4" s="108">
        <v>68</v>
      </c>
      <c r="I4" s="108">
        <v>77</v>
      </c>
      <c r="J4" s="108">
        <v>82</v>
      </c>
      <c r="K4" s="108">
        <v>89</v>
      </c>
      <c r="L4" s="193">
        <v>82</v>
      </c>
      <c r="M4" s="108">
        <f>SUM(E4:L4)</f>
        <v>593</v>
      </c>
      <c r="N4" s="111">
        <f>AVERAGE(E4:L4)</f>
        <v>74.125</v>
      </c>
      <c r="O4" s="111">
        <f>RANK(N4,$N$4:$N$57)</f>
        <v>48</v>
      </c>
      <c r="P4" s="108"/>
      <c r="Q4" s="122"/>
      <c r="R4" s="106"/>
    </row>
    <row r="5" spans="1:18" ht="17.25" x14ac:dyDescent="0.25">
      <c r="A5" s="121">
        <v>2</v>
      </c>
      <c r="B5" s="415"/>
      <c r="C5" s="119"/>
      <c r="D5" s="119"/>
      <c r="E5" s="114">
        <v>81</v>
      </c>
      <c r="F5" s="108">
        <v>62</v>
      </c>
      <c r="G5" s="108">
        <v>66</v>
      </c>
      <c r="H5" s="108">
        <v>75</v>
      </c>
      <c r="I5" s="108">
        <v>91</v>
      </c>
      <c r="J5" s="108">
        <v>93</v>
      </c>
      <c r="K5" s="108">
        <v>96</v>
      </c>
      <c r="L5" s="193">
        <v>86</v>
      </c>
      <c r="M5" s="193">
        <f t="shared" ref="M5:M57" si="0">SUM(E5:L5)</f>
        <v>650</v>
      </c>
      <c r="N5" s="197">
        <f t="shared" ref="N5:N57" si="1">AVERAGE(E5:L5)</f>
        <v>81.25</v>
      </c>
      <c r="O5" s="197">
        <f t="shared" ref="O5:O57" si="2">RANK(N5,$N$4:$N$57)</f>
        <v>39</v>
      </c>
      <c r="P5" s="108"/>
      <c r="Q5" s="122"/>
      <c r="R5" s="106"/>
    </row>
    <row r="6" spans="1:18" ht="17.25" x14ac:dyDescent="0.25">
      <c r="A6" s="121">
        <v>3</v>
      </c>
      <c r="B6" s="415"/>
      <c r="C6" s="119"/>
      <c r="D6" s="119"/>
      <c r="E6" s="114">
        <v>73</v>
      </c>
      <c r="F6" s="108">
        <v>68</v>
      </c>
      <c r="G6" s="108">
        <v>60</v>
      </c>
      <c r="H6" s="108">
        <v>65</v>
      </c>
      <c r="I6" s="108">
        <v>78</v>
      </c>
      <c r="J6" s="108">
        <v>80</v>
      </c>
      <c r="K6" s="108">
        <v>88</v>
      </c>
      <c r="L6" s="193">
        <v>73</v>
      </c>
      <c r="M6" s="193">
        <f t="shared" si="0"/>
        <v>585</v>
      </c>
      <c r="N6" s="197">
        <f t="shared" si="1"/>
        <v>73.125</v>
      </c>
      <c r="O6" s="197">
        <f t="shared" si="2"/>
        <v>50</v>
      </c>
      <c r="P6" s="108"/>
      <c r="Q6" s="122"/>
      <c r="R6" s="106"/>
    </row>
    <row r="7" spans="1:18" ht="17.25" x14ac:dyDescent="0.25">
      <c r="A7" s="297">
        <v>4</v>
      </c>
      <c r="B7" s="415"/>
      <c r="C7" s="119"/>
      <c r="D7" s="119"/>
      <c r="E7" s="114">
        <v>96</v>
      </c>
      <c r="F7" s="108">
        <v>100</v>
      </c>
      <c r="G7" s="108">
        <v>98</v>
      </c>
      <c r="H7" s="108">
        <v>99</v>
      </c>
      <c r="I7" s="108">
        <v>100</v>
      </c>
      <c r="J7" s="108">
        <v>99</v>
      </c>
      <c r="K7" s="108">
        <v>99</v>
      </c>
      <c r="L7" s="193">
        <v>100</v>
      </c>
      <c r="M7" s="193">
        <f t="shared" si="0"/>
        <v>791</v>
      </c>
      <c r="N7" s="197">
        <f t="shared" si="1"/>
        <v>98.875</v>
      </c>
      <c r="O7" s="197">
        <f t="shared" si="2"/>
        <v>1</v>
      </c>
      <c r="P7" s="108"/>
      <c r="Q7" s="122"/>
      <c r="R7" s="106"/>
    </row>
    <row r="8" spans="1:18" ht="17.25" x14ac:dyDescent="0.25">
      <c r="A8" s="297">
        <v>5</v>
      </c>
      <c r="B8" s="415"/>
      <c r="C8" s="119"/>
      <c r="D8" s="119"/>
      <c r="E8" s="114">
        <v>100</v>
      </c>
      <c r="F8" s="108">
        <v>96</v>
      </c>
      <c r="G8" s="108">
        <v>92</v>
      </c>
      <c r="H8" s="108">
        <v>96</v>
      </c>
      <c r="I8" s="108">
        <v>100</v>
      </c>
      <c r="J8" s="108">
        <v>97</v>
      </c>
      <c r="K8" s="108">
        <v>99</v>
      </c>
      <c r="L8" s="193">
        <v>89</v>
      </c>
      <c r="M8" s="193">
        <f t="shared" si="0"/>
        <v>769</v>
      </c>
      <c r="N8" s="197">
        <f t="shared" si="1"/>
        <v>96.125</v>
      </c>
      <c r="O8" s="197">
        <f t="shared" si="2"/>
        <v>5</v>
      </c>
      <c r="P8" s="108"/>
      <c r="Q8" s="122"/>
      <c r="R8" s="106"/>
    </row>
    <row r="9" spans="1:18" ht="17.25" x14ac:dyDescent="0.25">
      <c r="A9" s="297">
        <v>6</v>
      </c>
      <c r="B9" s="415"/>
      <c r="C9" s="119"/>
      <c r="D9" s="119"/>
      <c r="E9" s="114">
        <v>79</v>
      </c>
      <c r="F9" s="108">
        <v>80</v>
      </c>
      <c r="G9" s="108">
        <v>85</v>
      </c>
      <c r="H9" s="108">
        <v>74</v>
      </c>
      <c r="I9" s="108">
        <v>90</v>
      </c>
      <c r="J9" s="108">
        <v>80</v>
      </c>
      <c r="K9" s="108">
        <v>92</v>
      </c>
      <c r="L9" s="193">
        <v>82</v>
      </c>
      <c r="M9" s="193">
        <f t="shared" si="0"/>
        <v>662</v>
      </c>
      <c r="N9" s="197">
        <f t="shared" si="1"/>
        <v>82.75</v>
      </c>
      <c r="O9" s="197">
        <f t="shared" si="2"/>
        <v>36</v>
      </c>
      <c r="P9" s="108"/>
      <c r="Q9" s="122"/>
      <c r="R9" s="106"/>
    </row>
    <row r="10" spans="1:18" ht="17.25" x14ac:dyDescent="0.25">
      <c r="A10" s="297">
        <v>7</v>
      </c>
      <c r="B10" s="415"/>
      <c r="C10" s="119"/>
      <c r="D10" s="119"/>
      <c r="E10" s="114">
        <v>91</v>
      </c>
      <c r="F10" s="108">
        <v>88</v>
      </c>
      <c r="G10" s="108">
        <v>88</v>
      </c>
      <c r="H10" s="108">
        <v>90</v>
      </c>
      <c r="I10" s="108">
        <v>100</v>
      </c>
      <c r="J10" s="108">
        <v>96</v>
      </c>
      <c r="K10" s="108">
        <v>97</v>
      </c>
      <c r="L10" s="193">
        <v>95</v>
      </c>
      <c r="M10" s="193">
        <f t="shared" si="0"/>
        <v>745</v>
      </c>
      <c r="N10" s="197">
        <f t="shared" si="1"/>
        <v>93.125</v>
      </c>
      <c r="O10" s="197">
        <f t="shared" si="2"/>
        <v>8</v>
      </c>
      <c r="P10" s="108"/>
      <c r="Q10" s="122"/>
      <c r="R10" s="106"/>
    </row>
    <row r="11" spans="1:18" ht="17.25" x14ac:dyDescent="0.25">
      <c r="A11" s="297">
        <v>8</v>
      </c>
      <c r="B11" s="415"/>
      <c r="C11" s="119"/>
      <c r="D11" s="119"/>
      <c r="E11" s="114">
        <v>71</v>
      </c>
      <c r="F11" s="108">
        <v>92</v>
      </c>
      <c r="G11" s="108">
        <v>79</v>
      </c>
      <c r="H11" s="108">
        <v>72</v>
      </c>
      <c r="I11" s="108">
        <v>89</v>
      </c>
      <c r="J11" s="108">
        <v>99</v>
      </c>
      <c r="K11" s="108">
        <v>83</v>
      </c>
      <c r="L11" s="193">
        <v>98</v>
      </c>
      <c r="M11" s="193">
        <f t="shared" si="0"/>
        <v>683</v>
      </c>
      <c r="N11" s="197">
        <f t="shared" si="1"/>
        <v>85.375</v>
      </c>
      <c r="O11" s="197">
        <f t="shared" si="2"/>
        <v>31</v>
      </c>
      <c r="P11" s="108"/>
      <c r="Q11" s="122"/>
      <c r="R11" s="106"/>
    </row>
    <row r="12" spans="1:18" ht="17.25" x14ac:dyDescent="0.25">
      <c r="A12" s="297">
        <v>9</v>
      </c>
      <c r="B12" s="415"/>
      <c r="C12" s="119"/>
      <c r="D12" s="119"/>
      <c r="E12" s="114">
        <v>81</v>
      </c>
      <c r="F12" s="108">
        <v>54</v>
      </c>
      <c r="G12" s="108">
        <v>60</v>
      </c>
      <c r="H12" s="108">
        <v>66</v>
      </c>
      <c r="I12" s="108">
        <v>84</v>
      </c>
      <c r="J12" s="108">
        <v>82</v>
      </c>
      <c r="K12" s="108">
        <v>93</v>
      </c>
      <c r="L12" s="193">
        <v>73</v>
      </c>
      <c r="M12" s="193">
        <f t="shared" si="0"/>
        <v>593</v>
      </c>
      <c r="N12" s="197">
        <f t="shared" si="1"/>
        <v>74.125</v>
      </c>
      <c r="O12" s="197">
        <f t="shared" si="2"/>
        <v>48</v>
      </c>
      <c r="P12" s="108"/>
      <c r="Q12" s="122"/>
      <c r="R12" s="106"/>
    </row>
    <row r="13" spans="1:18" ht="17.25" x14ac:dyDescent="0.25">
      <c r="A13" s="297">
        <v>10</v>
      </c>
      <c r="B13" s="415"/>
      <c r="C13" s="119"/>
      <c r="D13" s="119"/>
      <c r="E13" s="114">
        <v>66</v>
      </c>
      <c r="F13" s="108">
        <v>72</v>
      </c>
      <c r="G13" s="108">
        <v>80</v>
      </c>
      <c r="H13" s="108">
        <v>63</v>
      </c>
      <c r="I13" s="108">
        <v>73</v>
      </c>
      <c r="J13" s="108">
        <v>91</v>
      </c>
      <c r="K13" s="108">
        <v>78</v>
      </c>
      <c r="L13" s="193">
        <v>92</v>
      </c>
      <c r="M13" s="193">
        <f t="shared" si="0"/>
        <v>615</v>
      </c>
      <c r="N13" s="197">
        <f t="shared" si="1"/>
        <v>76.875</v>
      </c>
      <c r="O13" s="197">
        <f t="shared" si="2"/>
        <v>46</v>
      </c>
      <c r="P13" s="108"/>
      <c r="Q13" s="122"/>
      <c r="R13" s="106"/>
    </row>
    <row r="14" spans="1:18" ht="17.25" x14ac:dyDescent="0.25">
      <c r="A14" s="297">
        <v>11</v>
      </c>
      <c r="B14" s="415"/>
      <c r="C14" s="119"/>
      <c r="D14" s="119"/>
      <c r="E14" s="114">
        <v>76</v>
      </c>
      <c r="F14" s="108">
        <v>85</v>
      </c>
      <c r="G14" s="108">
        <v>67</v>
      </c>
      <c r="H14" s="108">
        <v>81</v>
      </c>
      <c r="I14" s="108">
        <v>86</v>
      </c>
      <c r="J14" s="108">
        <v>82</v>
      </c>
      <c r="K14" s="108">
        <v>93</v>
      </c>
      <c r="L14" s="193">
        <v>80</v>
      </c>
      <c r="M14" s="193">
        <f t="shared" si="0"/>
        <v>650</v>
      </c>
      <c r="N14" s="197">
        <f t="shared" si="1"/>
        <v>81.25</v>
      </c>
      <c r="O14" s="197">
        <f t="shared" si="2"/>
        <v>39</v>
      </c>
      <c r="P14" s="108"/>
      <c r="Q14" s="122"/>
      <c r="R14" s="106"/>
    </row>
    <row r="15" spans="1:18" ht="17.25" x14ac:dyDescent="0.25">
      <c r="A15" s="297">
        <v>12</v>
      </c>
      <c r="B15" s="415"/>
      <c r="C15" s="119"/>
      <c r="D15" s="119"/>
      <c r="E15" s="114">
        <v>69</v>
      </c>
      <c r="F15" s="108">
        <v>79</v>
      </c>
      <c r="G15" s="108">
        <v>66</v>
      </c>
      <c r="H15" s="108">
        <v>70</v>
      </c>
      <c r="I15" s="108">
        <v>86</v>
      </c>
      <c r="J15" s="108">
        <v>94</v>
      </c>
      <c r="K15" s="108">
        <v>90</v>
      </c>
      <c r="L15" s="193">
        <v>87</v>
      </c>
      <c r="M15" s="193">
        <f t="shared" si="0"/>
        <v>641</v>
      </c>
      <c r="N15" s="197">
        <f t="shared" si="1"/>
        <v>80.125</v>
      </c>
      <c r="O15" s="197">
        <f t="shared" si="2"/>
        <v>43</v>
      </c>
      <c r="P15" s="108"/>
      <c r="Q15" s="122"/>
      <c r="R15" s="106"/>
    </row>
    <row r="16" spans="1:18" ht="17.25" x14ac:dyDescent="0.25">
      <c r="A16" s="297">
        <v>13</v>
      </c>
      <c r="B16" s="415"/>
      <c r="C16" s="119"/>
      <c r="D16" s="119"/>
      <c r="E16" s="114">
        <v>69</v>
      </c>
      <c r="F16" s="108">
        <v>60</v>
      </c>
      <c r="G16" s="108">
        <v>60</v>
      </c>
      <c r="H16" s="108">
        <v>58</v>
      </c>
      <c r="I16" s="108">
        <v>79</v>
      </c>
      <c r="J16" s="108">
        <v>91</v>
      </c>
      <c r="K16" s="108">
        <v>88</v>
      </c>
      <c r="L16" s="193">
        <v>93</v>
      </c>
      <c r="M16" s="193">
        <f t="shared" si="0"/>
        <v>598</v>
      </c>
      <c r="N16" s="197">
        <f t="shared" si="1"/>
        <v>74.75</v>
      </c>
      <c r="O16" s="197">
        <f t="shared" si="2"/>
        <v>47</v>
      </c>
      <c r="P16" s="108"/>
      <c r="Q16" s="122"/>
      <c r="R16" s="106"/>
    </row>
    <row r="17" spans="1:18" ht="17.25" x14ac:dyDescent="0.25">
      <c r="A17" s="297">
        <v>14</v>
      </c>
      <c r="B17" s="415"/>
      <c r="C17" s="119"/>
      <c r="D17" s="119"/>
      <c r="E17" s="114">
        <v>92</v>
      </c>
      <c r="F17" s="108">
        <v>90</v>
      </c>
      <c r="G17" s="108">
        <v>83</v>
      </c>
      <c r="H17" s="108">
        <v>84</v>
      </c>
      <c r="I17" s="108">
        <v>100</v>
      </c>
      <c r="J17" s="108">
        <v>99</v>
      </c>
      <c r="K17" s="108">
        <v>92</v>
      </c>
      <c r="L17" s="193">
        <v>98</v>
      </c>
      <c r="M17" s="193">
        <f t="shared" si="0"/>
        <v>738</v>
      </c>
      <c r="N17" s="197">
        <f t="shared" si="1"/>
        <v>92.25</v>
      </c>
      <c r="O17" s="197">
        <f t="shared" si="2"/>
        <v>9</v>
      </c>
      <c r="P17" s="108"/>
      <c r="Q17" s="122"/>
      <c r="R17" s="106"/>
    </row>
    <row r="18" spans="1:18" ht="17.25" x14ac:dyDescent="0.25">
      <c r="A18" s="297">
        <v>15</v>
      </c>
      <c r="B18" s="415"/>
      <c r="C18" s="119"/>
      <c r="D18" s="119"/>
      <c r="E18" s="114">
        <v>70</v>
      </c>
      <c r="F18" s="108">
        <v>82</v>
      </c>
      <c r="G18" s="108">
        <v>75</v>
      </c>
      <c r="H18" s="108">
        <v>77</v>
      </c>
      <c r="I18" s="108">
        <v>79</v>
      </c>
      <c r="J18" s="108">
        <v>93</v>
      </c>
      <c r="K18" s="108">
        <v>95</v>
      </c>
      <c r="L18" s="193">
        <v>93</v>
      </c>
      <c r="M18" s="193">
        <f t="shared" si="0"/>
        <v>664</v>
      </c>
      <c r="N18" s="197">
        <f t="shared" si="1"/>
        <v>83</v>
      </c>
      <c r="O18" s="197">
        <f t="shared" si="2"/>
        <v>35</v>
      </c>
      <c r="P18" s="108"/>
      <c r="Q18" s="122"/>
      <c r="R18" s="106"/>
    </row>
    <row r="19" spans="1:18" ht="17.25" x14ac:dyDescent="0.25">
      <c r="A19" s="297">
        <v>16</v>
      </c>
      <c r="B19" s="415"/>
      <c r="C19" s="119"/>
      <c r="D19" s="119"/>
      <c r="E19" s="114">
        <v>84</v>
      </c>
      <c r="F19" s="108">
        <v>86</v>
      </c>
      <c r="G19" s="108">
        <v>69</v>
      </c>
      <c r="H19" s="108">
        <v>78</v>
      </c>
      <c r="I19" s="108">
        <v>90</v>
      </c>
      <c r="J19" s="108">
        <v>96</v>
      </c>
      <c r="K19" s="108">
        <v>91</v>
      </c>
      <c r="L19" s="193">
        <v>93</v>
      </c>
      <c r="M19" s="193">
        <f t="shared" si="0"/>
        <v>687</v>
      </c>
      <c r="N19" s="197">
        <f t="shared" si="1"/>
        <v>85.875</v>
      </c>
      <c r="O19" s="197">
        <f t="shared" si="2"/>
        <v>29</v>
      </c>
      <c r="P19" s="108"/>
      <c r="Q19" s="122"/>
      <c r="R19" s="106"/>
    </row>
    <row r="20" spans="1:18" ht="17.25" x14ac:dyDescent="0.25">
      <c r="A20" s="297">
        <v>17</v>
      </c>
      <c r="B20" s="415"/>
      <c r="C20" s="119"/>
      <c r="D20" s="119"/>
      <c r="E20" s="114">
        <v>61</v>
      </c>
      <c r="F20" s="108">
        <v>49</v>
      </c>
      <c r="G20" s="108">
        <v>57</v>
      </c>
      <c r="H20" s="108">
        <v>56</v>
      </c>
      <c r="I20" s="108">
        <v>81</v>
      </c>
      <c r="J20" s="108">
        <v>81</v>
      </c>
      <c r="K20" s="108">
        <v>90</v>
      </c>
      <c r="L20" s="193">
        <v>75</v>
      </c>
      <c r="M20" s="193">
        <f t="shared" si="0"/>
        <v>550</v>
      </c>
      <c r="N20" s="197">
        <f t="shared" si="1"/>
        <v>68.75</v>
      </c>
      <c r="O20" s="197">
        <f t="shared" si="2"/>
        <v>53</v>
      </c>
      <c r="P20" s="108"/>
      <c r="Q20" s="122"/>
      <c r="R20" s="106"/>
    </row>
    <row r="21" spans="1:18" ht="17.25" x14ac:dyDescent="0.25">
      <c r="A21" s="297">
        <v>18</v>
      </c>
      <c r="B21" s="415"/>
      <c r="C21" s="119"/>
      <c r="D21" s="119"/>
      <c r="E21" s="114">
        <v>97</v>
      </c>
      <c r="F21" s="108">
        <v>93</v>
      </c>
      <c r="G21" s="108">
        <v>91</v>
      </c>
      <c r="H21" s="108">
        <v>84</v>
      </c>
      <c r="I21" s="108">
        <v>100</v>
      </c>
      <c r="J21" s="108">
        <v>83</v>
      </c>
      <c r="K21" s="108">
        <v>97</v>
      </c>
      <c r="L21" s="193">
        <v>85</v>
      </c>
      <c r="M21" s="193">
        <f t="shared" si="0"/>
        <v>730</v>
      </c>
      <c r="N21" s="197">
        <f t="shared" si="1"/>
        <v>91.25</v>
      </c>
      <c r="O21" s="197">
        <f t="shared" si="2"/>
        <v>13</v>
      </c>
      <c r="P21" s="108"/>
      <c r="Q21" s="122"/>
      <c r="R21" s="106"/>
    </row>
    <row r="22" spans="1:18" ht="17.25" x14ac:dyDescent="0.25">
      <c r="A22" s="297">
        <v>19</v>
      </c>
      <c r="B22" s="415"/>
      <c r="C22" s="120"/>
      <c r="D22" s="120"/>
      <c r="E22" s="114">
        <v>92</v>
      </c>
      <c r="F22" s="108">
        <v>93</v>
      </c>
      <c r="G22" s="108">
        <v>88</v>
      </c>
      <c r="H22" s="108">
        <v>94</v>
      </c>
      <c r="I22" s="108">
        <v>98</v>
      </c>
      <c r="J22" s="108">
        <v>87</v>
      </c>
      <c r="K22" s="108">
        <v>99</v>
      </c>
      <c r="L22" s="193">
        <v>85</v>
      </c>
      <c r="M22" s="193">
        <f t="shared" si="0"/>
        <v>736</v>
      </c>
      <c r="N22" s="197">
        <f t="shared" si="1"/>
        <v>92</v>
      </c>
      <c r="O22" s="197">
        <f t="shared" si="2"/>
        <v>10</v>
      </c>
      <c r="P22" s="108"/>
      <c r="Q22" s="122"/>
      <c r="R22" s="106"/>
    </row>
    <row r="23" spans="1:18" ht="17.25" x14ac:dyDescent="0.25">
      <c r="A23" s="297">
        <v>20</v>
      </c>
      <c r="B23" s="415"/>
      <c r="C23" s="119"/>
      <c r="D23" s="119"/>
      <c r="E23" s="114">
        <v>86</v>
      </c>
      <c r="F23" s="108">
        <v>77</v>
      </c>
      <c r="G23" s="108">
        <v>70</v>
      </c>
      <c r="H23" s="108">
        <v>74</v>
      </c>
      <c r="I23" s="108">
        <v>80</v>
      </c>
      <c r="J23" s="108">
        <v>89</v>
      </c>
      <c r="K23" s="108">
        <v>93</v>
      </c>
      <c r="L23" s="193">
        <v>91</v>
      </c>
      <c r="M23" s="193">
        <f t="shared" si="0"/>
        <v>660</v>
      </c>
      <c r="N23" s="197">
        <f t="shared" si="1"/>
        <v>82.5</v>
      </c>
      <c r="O23" s="197">
        <f t="shared" si="2"/>
        <v>38</v>
      </c>
      <c r="P23" s="108"/>
      <c r="Q23" s="122"/>
      <c r="R23" s="106"/>
    </row>
    <row r="24" spans="1:18" ht="17.25" x14ac:dyDescent="0.25">
      <c r="A24" s="297">
        <v>21</v>
      </c>
      <c r="B24" s="415"/>
      <c r="C24" s="119"/>
      <c r="D24" s="119"/>
      <c r="E24" s="114">
        <v>85</v>
      </c>
      <c r="F24" s="108">
        <v>84</v>
      </c>
      <c r="G24" s="108">
        <v>80</v>
      </c>
      <c r="H24" s="108">
        <v>83</v>
      </c>
      <c r="I24" s="108">
        <v>94</v>
      </c>
      <c r="J24" s="108">
        <v>93</v>
      </c>
      <c r="K24" s="108">
        <v>99</v>
      </c>
      <c r="L24" s="193">
        <v>92</v>
      </c>
      <c r="M24" s="193">
        <f t="shared" si="0"/>
        <v>710</v>
      </c>
      <c r="N24" s="197">
        <f t="shared" si="1"/>
        <v>88.75</v>
      </c>
      <c r="O24" s="197">
        <f t="shared" si="2"/>
        <v>17</v>
      </c>
      <c r="P24" s="108"/>
      <c r="Q24" s="122"/>
      <c r="R24" s="106"/>
    </row>
    <row r="25" spans="1:18" ht="17.25" x14ac:dyDescent="0.25">
      <c r="A25" s="297">
        <v>22</v>
      </c>
      <c r="B25" s="415"/>
      <c r="C25" s="119"/>
      <c r="D25" s="119"/>
      <c r="E25" s="114">
        <v>93</v>
      </c>
      <c r="F25" s="108">
        <v>89</v>
      </c>
      <c r="G25" s="108">
        <v>90</v>
      </c>
      <c r="H25" s="108">
        <v>84</v>
      </c>
      <c r="I25" s="108">
        <v>100</v>
      </c>
      <c r="J25" s="108">
        <v>86</v>
      </c>
      <c r="K25" s="108">
        <v>100</v>
      </c>
      <c r="L25" s="193">
        <v>85</v>
      </c>
      <c r="M25" s="193">
        <f t="shared" si="0"/>
        <v>727</v>
      </c>
      <c r="N25" s="197">
        <f t="shared" si="1"/>
        <v>90.875</v>
      </c>
      <c r="O25" s="197">
        <f t="shared" si="2"/>
        <v>14</v>
      </c>
      <c r="P25" s="108"/>
      <c r="Q25" s="122"/>
      <c r="R25" s="106"/>
    </row>
    <row r="26" spans="1:18" ht="17.25" x14ac:dyDescent="0.25">
      <c r="A26" s="297">
        <v>23</v>
      </c>
      <c r="B26" s="415"/>
      <c r="C26" s="119"/>
      <c r="D26" s="119"/>
      <c r="E26" s="114">
        <v>70</v>
      </c>
      <c r="F26" s="108">
        <v>62</v>
      </c>
      <c r="G26" s="108">
        <v>67</v>
      </c>
      <c r="H26" s="108">
        <v>66</v>
      </c>
      <c r="I26" s="108">
        <v>82</v>
      </c>
      <c r="J26" s="108">
        <v>92</v>
      </c>
      <c r="K26" s="108">
        <v>99</v>
      </c>
      <c r="L26" s="193">
        <v>85</v>
      </c>
      <c r="M26" s="193">
        <f t="shared" si="0"/>
        <v>623</v>
      </c>
      <c r="N26" s="197">
        <f t="shared" si="1"/>
        <v>77.875</v>
      </c>
      <c r="O26" s="197">
        <f t="shared" si="2"/>
        <v>45</v>
      </c>
      <c r="P26" s="108"/>
      <c r="Q26" s="122"/>
      <c r="R26" s="106"/>
    </row>
    <row r="27" spans="1:18" ht="17.25" x14ac:dyDescent="0.25">
      <c r="A27" s="297">
        <v>24</v>
      </c>
      <c r="B27" s="415"/>
      <c r="C27" s="119"/>
      <c r="D27" s="119"/>
      <c r="E27" s="114">
        <v>82</v>
      </c>
      <c r="F27" s="108">
        <v>95</v>
      </c>
      <c r="G27" s="108">
        <v>79</v>
      </c>
      <c r="H27" s="108">
        <v>75</v>
      </c>
      <c r="I27" s="108">
        <v>88</v>
      </c>
      <c r="J27" s="108">
        <v>93</v>
      </c>
      <c r="K27" s="108">
        <v>90</v>
      </c>
      <c r="L27" s="193">
        <v>92</v>
      </c>
      <c r="M27" s="193">
        <f t="shared" si="0"/>
        <v>694</v>
      </c>
      <c r="N27" s="197">
        <f t="shared" si="1"/>
        <v>86.75</v>
      </c>
      <c r="O27" s="197">
        <f t="shared" si="2"/>
        <v>24</v>
      </c>
      <c r="P27" s="108"/>
      <c r="Q27" s="122"/>
      <c r="R27" s="106"/>
    </row>
    <row r="28" spans="1:18" ht="17.25" x14ac:dyDescent="0.25">
      <c r="A28" s="297">
        <v>25</v>
      </c>
      <c r="B28" s="415"/>
      <c r="C28" s="119"/>
      <c r="D28" s="119"/>
      <c r="E28" s="114">
        <v>84</v>
      </c>
      <c r="F28" s="108">
        <v>83</v>
      </c>
      <c r="G28" s="108">
        <v>80</v>
      </c>
      <c r="H28" s="108">
        <v>77</v>
      </c>
      <c r="I28" s="108">
        <v>95</v>
      </c>
      <c r="J28" s="108">
        <v>82</v>
      </c>
      <c r="K28" s="108">
        <v>99</v>
      </c>
      <c r="L28" s="193">
        <v>88</v>
      </c>
      <c r="M28" s="193">
        <f t="shared" si="0"/>
        <v>688</v>
      </c>
      <c r="N28" s="197">
        <f t="shared" si="1"/>
        <v>86</v>
      </c>
      <c r="O28" s="197">
        <f t="shared" si="2"/>
        <v>28</v>
      </c>
      <c r="P28" s="108"/>
      <c r="Q28" s="122"/>
      <c r="R28" s="106"/>
    </row>
    <row r="29" spans="1:18" ht="17.25" x14ac:dyDescent="0.25">
      <c r="A29" s="297">
        <v>26</v>
      </c>
      <c r="B29" s="415"/>
      <c r="C29" s="119"/>
      <c r="D29" s="119"/>
      <c r="E29" s="114">
        <v>79</v>
      </c>
      <c r="F29" s="108">
        <v>78</v>
      </c>
      <c r="G29" s="108">
        <v>75</v>
      </c>
      <c r="H29" s="108">
        <v>69</v>
      </c>
      <c r="I29" s="108">
        <v>97</v>
      </c>
      <c r="J29" s="108">
        <v>95</v>
      </c>
      <c r="K29" s="108">
        <v>95</v>
      </c>
      <c r="L29" s="193">
        <v>95</v>
      </c>
      <c r="M29" s="193">
        <f t="shared" si="0"/>
        <v>683</v>
      </c>
      <c r="N29" s="197">
        <f t="shared" si="1"/>
        <v>85.375</v>
      </c>
      <c r="O29" s="197">
        <f t="shared" si="2"/>
        <v>31</v>
      </c>
      <c r="P29" s="108"/>
      <c r="Q29" s="122"/>
      <c r="R29" s="106"/>
    </row>
    <row r="30" spans="1:18" ht="17.25" x14ac:dyDescent="0.25">
      <c r="A30" s="297">
        <v>27</v>
      </c>
      <c r="B30" s="415"/>
      <c r="C30" s="119"/>
      <c r="D30" s="119"/>
      <c r="E30" s="114">
        <v>92</v>
      </c>
      <c r="F30" s="108">
        <v>90</v>
      </c>
      <c r="G30" s="108">
        <v>69</v>
      </c>
      <c r="H30" s="108">
        <v>78</v>
      </c>
      <c r="I30" s="108">
        <v>90</v>
      </c>
      <c r="J30" s="108">
        <v>95</v>
      </c>
      <c r="K30" s="108">
        <v>96</v>
      </c>
      <c r="L30" s="193">
        <v>89</v>
      </c>
      <c r="M30" s="193">
        <f t="shared" si="0"/>
        <v>699</v>
      </c>
      <c r="N30" s="197">
        <f t="shared" si="1"/>
        <v>87.375</v>
      </c>
      <c r="O30" s="197">
        <f t="shared" si="2"/>
        <v>20</v>
      </c>
      <c r="P30" s="108"/>
      <c r="Q30" s="122"/>
      <c r="R30" s="106"/>
    </row>
    <row r="31" spans="1:18" ht="17.25" x14ac:dyDescent="0.25">
      <c r="A31" s="297">
        <v>28</v>
      </c>
      <c r="B31" s="415"/>
      <c r="C31" s="119"/>
      <c r="D31" s="119"/>
      <c r="E31" s="114">
        <v>81</v>
      </c>
      <c r="F31" s="108">
        <v>84</v>
      </c>
      <c r="G31" s="108">
        <v>81</v>
      </c>
      <c r="H31" s="108">
        <v>87</v>
      </c>
      <c r="I31" s="108">
        <v>91</v>
      </c>
      <c r="J31" s="108">
        <v>94</v>
      </c>
      <c r="K31" s="108">
        <v>100</v>
      </c>
      <c r="L31" s="193">
        <v>89</v>
      </c>
      <c r="M31" s="193">
        <f t="shared" si="0"/>
        <v>707</v>
      </c>
      <c r="N31" s="197">
        <f t="shared" si="1"/>
        <v>88.375</v>
      </c>
      <c r="O31" s="197">
        <f t="shared" si="2"/>
        <v>18</v>
      </c>
      <c r="P31" s="108"/>
      <c r="Q31" s="112"/>
      <c r="R31" s="106"/>
    </row>
    <row r="32" spans="1:18" ht="17.25" x14ac:dyDescent="0.25">
      <c r="A32" s="297">
        <v>29</v>
      </c>
      <c r="B32" s="415"/>
      <c r="C32" s="118"/>
      <c r="D32" s="118"/>
      <c r="E32" s="108">
        <v>55</v>
      </c>
      <c r="F32" s="108">
        <v>54</v>
      </c>
      <c r="G32" s="108">
        <v>55</v>
      </c>
      <c r="H32" s="108">
        <v>53</v>
      </c>
      <c r="I32" s="108">
        <v>75</v>
      </c>
      <c r="J32" s="108">
        <v>86</v>
      </c>
      <c r="K32" s="108">
        <v>82</v>
      </c>
      <c r="L32" s="193">
        <v>84</v>
      </c>
      <c r="M32" s="193">
        <f t="shared" si="0"/>
        <v>544</v>
      </c>
      <c r="N32" s="197">
        <f t="shared" si="1"/>
        <v>68</v>
      </c>
      <c r="O32" s="197">
        <f t="shared" si="2"/>
        <v>54</v>
      </c>
      <c r="P32" s="108"/>
      <c r="Q32" s="112"/>
      <c r="R32" s="106"/>
    </row>
    <row r="33" spans="1:18" ht="17.25" x14ac:dyDescent="0.25">
      <c r="A33" s="297">
        <v>30</v>
      </c>
      <c r="B33" s="415"/>
      <c r="C33" s="117"/>
      <c r="D33" s="117"/>
      <c r="E33" s="108">
        <v>93</v>
      </c>
      <c r="F33" s="108">
        <v>88</v>
      </c>
      <c r="G33" s="108">
        <v>77</v>
      </c>
      <c r="H33" s="108">
        <v>87</v>
      </c>
      <c r="I33" s="108">
        <v>96</v>
      </c>
      <c r="J33" s="108">
        <v>93</v>
      </c>
      <c r="K33" s="108">
        <v>96</v>
      </c>
      <c r="L33" s="193">
        <v>94</v>
      </c>
      <c r="M33" s="193">
        <f t="shared" si="0"/>
        <v>724</v>
      </c>
      <c r="N33" s="197">
        <f t="shared" si="1"/>
        <v>90.5</v>
      </c>
      <c r="O33" s="197">
        <f t="shared" si="2"/>
        <v>16</v>
      </c>
      <c r="P33" s="108"/>
      <c r="Q33" s="112"/>
      <c r="R33" s="106"/>
    </row>
    <row r="34" spans="1:18" ht="17.25" x14ac:dyDescent="0.25">
      <c r="A34" s="297">
        <v>31</v>
      </c>
      <c r="B34" s="415"/>
      <c r="C34" s="117"/>
      <c r="D34" s="117"/>
      <c r="E34" s="108">
        <v>88</v>
      </c>
      <c r="F34" s="108">
        <v>64</v>
      </c>
      <c r="G34" s="108">
        <v>68</v>
      </c>
      <c r="H34" s="108">
        <v>70</v>
      </c>
      <c r="I34" s="108">
        <v>86</v>
      </c>
      <c r="J34" s="108">
        <v>90</v>
      </c>
      <c r="K34" s="108">
        <v>92</v>
      </c>
      <c r="L34" s="193">
        <v>87</v>
      </c>
      <c r="M34" s="193">
        <f t="shared" si="0"/>
        <v>645</v>
      </c>
      <c r="N34" s="197">
        <f t="shared" si="1"/>
        <v>80.625</v>
      </c>
      <c r="O34" s="197">
        <f t="shared" si="2"/>
        <v>42</v>
      </c>
      <c r="P34" s="108"/>
      <c r="Q34" s="112"/>
      <c r="R34" s="106"/>
    </row>
    <row r="35" spans="1:18" ht="17.25" x14ac:dyDescent="0.25">
      <c r="A35" s="297">
        <v>32</v>
      </c>
      <c r="B35" s="415"/>
      <c r="C35" s="117"/>
      <c r="D35" s="117"/>
      <c r="E35" s="108">
        <v>83</v>
      </c>
      <c r="F35" s="108">
        <v>76</v>
      </c>
      <c r="G35" s="108">
        <v>70</v>
      </c>
      <c r="H35" s="108">
        <v>62</v>
      </c>
      <c r="I35" s="108">
        <v>90</v>
      </c>
      <c r="J35" s="108">
        <v>93</v>
      </c>
      <c r="K35" s="108">
        <v>93</v>
      </c>
      <c r="L35" s="193">
        <v>94</v>
      </c>
      <c r="M35" s="193">
        <f t="shared" si="0"/>
        <v>661</v>
      </c>
      <c r="N35" s="197">
        <f t="shared" si="1"/>
        <v>82.625</v>
      </c>
      <c r="O35" s="197">
        <f t="shared" si="2"/>
        <v>37</v>
      </c>
      <c r="P35" s="108"/>
      <c r="Q35" s="112"/>
      <c r="R35" s="106"/>
    </row>
    <row r="36" spans="1:18" ht="17.25" x14ac:dyDescent="0.25">
      <c r="A36" s="297">
        <v>33</v>
      </c>
      <c r="B36" s="415"/>
      <c r="C36" s="117"/>
      <c r="D36" s="117"/>
      <c r="E36" s="108">
        <v>76</v>
      </c>
      <c r="F36" s="108">
        <v>74</v>
      </c>
      <c r="G36" s="108">
        <v>69</v>
      </c>
      <c r="H36" s="108">
        <v>70</v>
      </c>
      <c r="I36" s="108">
        <v>83</v>
      </c>
      <c r="J36" s="108">
        <v>94</v>
      </c>
      <c r="K36" s="108">
        <v>88</v>
      </c>
      <c r="L36" s="193">
        <v>94</v>
      </c>
      <c r="M36" s="193">
        <f t="shared" si="0"/>
        <v>648</v>
      </c>
      <c r="N36" s="197">
        <f t="shared" si="1"/>
        <v>81</v>
      </c>
      <c r="O36" s="197">
        <f t="shared" si="2"/>
        <v>41</v>
      </c>
      <c r="P36" s="108"/>
      <c r="Q36" s="112"/>
      <c r="R36" s="106"/>
    </row>
    <row r="37" spans="1:18" ht="17.25" x14ac:dyDescent="0.25">
      <c r="A37" s="297">
        <v>34</v>
      </c>
      <c r="B37" s="415"/>
      <c r="C37" s="117"/>
      <c r="D37" s="117"/>
      <c r="E37" s="108">
        <v>78</v>
      </c>
      <c r="F37" s="108">
        <v>82</v>
      </c>
      <c r="G37" s="108">
        <v>83</v>
      </c>
      <c r="H37" s="108">
        <v>84</v>
      </c>
      <c r="I37" s="108">
        <v>96</v>
      </c>
      <c r="J37" s="108">
        <v>88</v>
      </c>
      <c r="K37" s="108">
        <v>97</v>
      </c>
      <c r="L37" s="193">
        <v>83</v>
      </c>
      <c r="M37" s="193">
        <f t="shared" si="0"/>
        <v>691</v>
      </c>
      <c r="N37" s="197">
        <f t="shared" si="1"/>
        <v>86.375</v>
      </c>
      <c r="O37" s="197">
        <f t="shared" si="2"/>
        <v>26</v>
      </c>
      <c r="P37" s="108"/>
      <c r="Q37" s="112"/>
      <c r="R37" s="106"/>
    </row>
    <row r="38" spans="1:18" ht="17.25" x14ac:dyDescent="0.25">
      <c r="A38" s="297">
        <v>35</v>
      </c>
      <c r="B38" s="415"/>
      <c r="C38" s="117"/>
      <c r="D38" s="117"/>
      <c r="E38" s="108">
        <v>93</v>
      </c>
      <c r="F38" s="108">
        <v>93</v>
      </c>
      <c r="G38" s="108">
        <v>95</v>
      </c>
      <c r="H38" s="108">
        <v>96</v>
      </c>
      <c r="I38" s="108">
        <v>99</v>
      </c>
      <c r="J38" s="108">
        <v>91</v>
      </c>
      <c r="K38" s="108">
        <v>98</v>
      </c>
      <c r="L38" s="193">
        <v>95</v>
      </c>
      <c r="M38" s="193">
        <f t="shared" si="0"/>
        <v>760</v>
      </c>
      <c r="N38" s="197">
        <f t="shared" si="1"/>
        <v>95</v>
      </c>
      <c r="O38" s="197">
        <f t="shared" si="2"/>
        <v>7</v>
      </c>
      <c r="P38" s="108"/>
      <c r="Q38" s="112"/>
      <c r="R38" s="106"/>
    </row>
    <row r="39" spans="1:18" ht="17.25" x14ac:dyDescent="0.25">
      <c r="A39" s="297">
        <v>36</v>
      </c>
      <c r="B39" s="415"/>
      <c r="C39" s="117"/>
      <c r="D39" s="117"/>
      <c r="E39" s="108">
        <v>88</v>
      </c>
      <c r="F39" s="108">
        <v>66</v>
      </c>
      <c r="G39" s="108">
        <v>81</v>
      </c>
      <c r="H39" s="108">
        <v>77</v>
      </c>
      <c r="I39" s="108">
        <v>87</v>
      </c>
      <c r="J39" s="108">
        <v>90</v>
      </c>
      <c r="K39" s="108">
        <v>93</v>
      </c>
      <c r="L39" s="193">
        <v>85</v>
      </c>
      <c r="M39" s="193">
        <f t="shared" si="0"/>
        <v>667</v>
      </c>
      <c r="N39" s="197">
        <f t="shared" si="1"/>
        <v>83.375</v>
      </c>
      <c r="O39" s="197">
        <f t="shared" si="2"/>
        <v>34</v>
      </c>
      <c r="P39" s="108"/>
      <c r="Q39" s="112"/>
      <c r="R39" s="106"/>
    </row>
    <row r="40" spans="1:18" ht="17.25" x14ac:dyDescent="0.25">
      <c r="A40" s="297">
        <v>37</v>
      </c>
      <c r="B40" s="415"/>
      <c r="C40" s="117"/>
      <c r="D40" s="117"/>
      <c r="E40" s="108">
        <v>71</v>
      </c>
      <c r="F40" s="108">
        <v>90</v>
      </c>
      <c r="G40" s="108">
        <v>81</v>
      </c>
      <c r="H40" s="108">
        <v>92</v>
      </c>
      <c r="I40" s="108">
        <v>97</v>
      </c>
      <c r="J40" s="108">
        <v>91</v>
      </c>
      <c r="K40" s="108">
        <v>98</v>
      </c>
      <c r="L40" s="193">
        <v>86</v>
      </c>
      <c r="M40" s="193">
        <f t="shared" si="0"/>
        <v>706</v>
      </c>
      <c r="N40" s="197">
        <f t="shared" si="1"/>
        <v>88.25</v>
      </c>
      <c r="O40" s="197">
        <f t="shared" si="2"/>
        <v>19</v>
      </c>
      <c r="P40" s="108"/>
      <c r="Q40" s="112"/>
      <c r="R40" s="106"/>
    </row>
    <row r="41" spans="1:18" ht="17.25" x14ac:dyDescent="0.25">
      <c r="A41" s="297">
        <v>38</v>
      </c>
      <c r="B41" s="415"/>
      <c r="C41" s="117"/>
      <c r="D41" s="117"/>
      <c r="E41" s="108">
        <v>73</v>
      </c>
      <c r="F41" s="108">
        <v>93</v>
      </c>
      <c r="G41" s="108">
        <v>86</v>
      </c>
      <c r="H41" s="108">
        <v>82</v>
      </c>
      <c r="I41" s="108">
        <v>82</v>
      </c>
      <c r="J41" s="108">
        <v>95</v>
      </c>
      <c r="K41" s="108">
        <v>83</v>
      </c>
      <c r="L41" s="193">
        <v>89</v>
      </c>
      <c r="M41" s="193">
        <f t="shared" si="0"/>
        <v>683</v>
      </c>
      <c r="N41" s="197">
        <f t="shared" si="1"/>
        <v>85.375</v>
      </c>
      <c r="O41" s="197">
        <f t="shared" si="2"/>
        <v>31</v>
      </c>
      <c r="P41" s="108"/>
      <c r="Q41" s="112"/>
      <c r="R41" s="106"/>
    </row>
    <row r="42" spans="1:18" ht="17.25" x14ac:dyDescent="0.25">
      <c r="A42" s="297">
        <v>39</v>
      </c>
      <c r="B42" s="415"/>
      <c r="C42" s="117"/>
      <c r="D42" s="117"/>
      <c r="E42" s="108">
        <v>94</v>
      </c>
      <c r="F42" s="108">
        <v>67</v>
      </c>
      <c r="G42" s="108">
        <v>75</v>
      </c>
      <c r="H42" s="108">
        <v>72</v>
      </c>
      <c r="I42" s="108">
        <v>93</v>
      </c>
      <c r="J42" s="108">
        <v>98</v>
      </c>
      <c r="K42" s="108">
        <v>97</v>
      </c>
      <c r="L42" s="193">
        <v>88</v>
      </c>
      <c r="M42" s="193">
        <f t="shared" si="0"/>
        <v>684</v>
      </c>
      <c r="N42" s="197">
        <f t="shared" si="1"/>
        <v>85.5</v>
      </c>
      <c r="O42" s="197">
        <f t="shared" si="2"/>
        <v>30</v>
      </c>
      <c r="P42" s="108"/>
      <c r="Q42" s="112"/>
      <c r="R42" s="106"/>
    </row>
    <row r="43" spans="1:18" ht="17.25" x14ac:dyDescent="0.25">
      <c r="A43" s="297">
        <v>40</v>
      </c>
      <c r="B43" s="415"/>
      <c r="C43" s="117"/>
      <c r="D43" s="117"/>
      <c r="E43" s="108">
        <v>90</v>
      </c>
      <c r="F43" s="108">
        <v>91</v>
      </c>
      <c r="G43" s="108">
        <v>83</v>
      </c>
      <c r="H43" s="108">
        <v>81</v>
      </c>
      <c r="I43" s="108">
        <v>97</v>
      </c>
      <c r="J43" s="108">
        <v>94</v>
      </c>
      <c r="K43" s="108">
        <v>95</v>
      </c>
      <c r="L43" s="193">
        <v>96</v>
      </c>
      <c r="M43" s="193">
        <f t="shared" si="0"/>
        <v>727</v>
      </c>
      <c r="N43" s="197">
        <f t="shared" si="1"/>
        <v>90.875</v>
      </c>
      <c r="O43" s="197">
        <f t="shared" si="2"/>
        <v>14</v>
      </c>
      <c r="P43" s="108"/>
      <c r="Q43" s="112"/>
      <c r="R43" s="106"/>
    </row>
    <row r="44" spans="1:18" ht="17.25" x14ac:dyDescent="0.25">
      <c r="A44" s="297">
        <v>41</v>
      </c>
      <c r="B44" s="415"/>
      <c r="C44" s="117"/>
      <c r="D44" s="117"/>
      <c r="E44" s="108">
        <v>87</v>
      </c>
      <c r="F44" s="108">
        <v>92</v>
      </c>
      <c r="G44" s="108">
        <v>92</v>
      </c>
      <c r="H44" s="108">
        <v>78</v>
      </c>
      <c r="I44" s="108">
        <v>94</v>
      </c>
      <c r="J44" s="108">
        <v>96</v>
      </c>
      <c r="K44" s="108">
        <v>98</v>
      </c>
      <c r="L44" s="193">
        <v>99</v>
      </c>
      <c r="M44" s="193">
        <f t="shared" si="0"/>
        <v>736</v>
      </c>
      <c r="N44" s="197">
        <f t="shared" si="1"/>
        <v>92</v>
      </c>
      <c r="O44" s="197">
        <f t="shared" si="2"/>
        <v>10</v>
      </c>
      <c r="P44" s="108"/>
      <c r="Q44" s="112"/>
      <c r="R44" s="106"/>
    </row>
    <row r="45" spans="1:18" ht="17.25" x14ac:dyDescent="0.25">
      <c r="A45" s="297">
        <v>42</v>
      </c>
      <c r="B45" s="415"/>
      <c r="C45" s="117"/>
      <c r="D45" s="117"/>
      <c r="E45" s="108">
        <v>79</v>
      </c>
      <c r="F45" s="108">
        <v>90</v>
      </c>
      <c r="G45" s="108">
        <v>75</v>
      </c>
      <c r="H45" s="108">
        <v>77</v>
      </c>
      <c r="I45" s="108">
        <v>87</v>
      </c>
      <c r="J45" s="108">
        <v>97</v>
      </c>
      <c r="K45" s="108">
        <v>87</v>
      </c>
      <c r="L45" s="193">
        <v>97</v>
      </c>
      <c r="M45" s="193">
        <f t="shared" si="0"/>
        <v>689</v>
      </c>
      <c r="N45" s="197">
        <f t="shared" si="1"/>
        <v>86.125</v>
      </c>
      <c r="O45" s="197">
        <f t="shared" si="2"/>
        <v>27</v>
      </c>
      <c r="P45" s="108"/>
      <c r="Q45" s="112"/>
      <c r="R45" s="106"/>
    </row>
    <row r="46" spans="1:18" ht="17.25" x14ac:dyDescent="0.25">
      <c r="A46" s="297">
        <v>43</v>
      </c>
      <c r="B46" s="415"/>
      <c r="C46" s="117"/>
      <c r="D46" s="117"/>
      <c r="E46" s="108">
        <v>82</v>
      </c>
      <c r="F46" s="108">
        <v>85</v>
      </c>
      <c r="G46" s="108">
        <v>81</v>
      </c>
      <c r="H46" s="108">
        <v>79</v>
      </c>
      <c r="I46" s="108">
        <v>92</v>
      </c>
      <c r="J46" s="108">
        <v>91</v>
      </c>
      <c r="K46" s="108">
        <v>96</v>
      </c>
      <c r="L46" s="193">
        <v>90</v>
      </c>
      <c r="M46" s="193">
        <f t="shared" si="0"/>
        <v>696</v>
      </c>
      <c r="N46" s="197">
        <f t="shared" si="1"/>
        <v>87</v>
      </c>
      <c r="O46" s="197">
        <f t="shared" si="2"/>
        <v>21</v>
      </c>
      <c r="P46" s="108"/>
      <c r="Q46" s="112"/>
      <c r="R46" s="106"/>
    </row>
    <row r="47" spans="1:18" ht="17.25" x14ac:dyDescent="0.25">
      <c r="A47" s="297">
        <v>44</v>
      </c>
      <c r="B47" s="415"/>
      <c r="C47" s="117"/>
      <c r="D47" s="117"/>
      <c r="E47" s="108">
        <v>84</v>
      </c>
      <c r="F47" s="108">
        <v>91</v>
      </c>
      <c r="G47" s="108">
        <v>91</v>
      </c>
      <c r="H47" s="108">
        <v>88</v>
      </c>
      <c r="I47" s="108">
        <v>96</v>
      </c>
      <c r="J47" s="108">
        <v>92</v>
      </c>
      <c r="K47" s="108">
        <v>95</v>
      </c>
      <c r="L47" s="193">
        <v>94</v>
      </c>
      <c r="M47" s="193">
        <f t="shared" si="0"/>
        <v>731</v>
      </c>
      <c r="N47" s="197">
        <f t="shared" si="1"/>
        <v>91.375</v>
      </c>
      <c r="O47" s="197">
        <f t="shared" si="2"/>
        <v>12</v>
      </c>
      <c r="P47" s="108"/>
      <c r="Q47" s="112"/>
      <c r="R47" s="106"/>
    </row>
    <row r="48" spans="1:18" ht="17.25" x14ac:dyDescent="0.25">
      <c r="A48" s="297">
        <v>45</v>
      </c>
      <c r="B48" s="415"/>
      <c r="C48" s="117"/>
      <c r="D48" s="117"/>
      <c r="E48" s="108">
        <v>59</v>
      </c>
      <c r="F48" s="108">
        <v>55</v>
      </c>
      <c r="G48" s="108">
        <v>69</v>
      </c>
      <c r="H48" s="108">
        <v>64</v>
      </c>
      <c r="I48" s="108">
        <v>77</v>
      </c>
      <c r="J48" s="108">
        <v>87</v>
      </c>
      <c r="K48" s="108">
        <v>80</v>
      </c>
      <c r="L48" s="193">
        <v>89</v>
      </c>
      <c r="M48" s="193">
        <f t="shared" si="0"/>
        <v>580</v>
      </c>
      <c r="N48" s="197">
        <f t="shared" si="1"/>
        <v>72.5</v>
      </c>
      <c r="O48" s="197">
        <f t="shared" si="2"/>
        <v>51</v>
      </c>
      <c r="P48" s="108"/>
      <c r="Q48" s="112"/>
      <c r="R48" s="106"/>
    </row>
    <row r="49" spans="1:18" ht="17.25" x14ac:dyDescent="0.25">
      <c r="A49" s="297">
        <v>46</v>
      </c>
      <c r="B49" s="418"/>
      <c r="C49" s="117"/>
      <c r="D49" s="117"/>
      <c r="E49" s="108">
        <v>87</v>
      </c>
      <c r="F49" s="108">
        <v>81</v>
      </c>
      <c r="G49" s="108">
        <v>81</v>
      </c>
      <c r="H49" s="108">
        <v>76</v>
      </c>
      <c r="I49" s="108">
        <v>92</v>
      </c>
      <c r="J49" s="108">
        <v>94</v>
      </c>
      <c r="K49" s="108">
        <v>94</v>
      </c>
      <c r="L49" s="193">
        <v>91</v>
      </c>
      <c r="M49" s="193">
        <f t="shared" si="0"/>
        <v>696</v>
      </c>
      <c r="N49" s="197">
        <f t="shared" si="1"/>
        <v>87</v>
      </c>
      <c r="O49" s="197">
        <f t="shared" si="2"/>
        <v>21</v>
      </c>
      <c r="P49" s="108"/>
      <c r="Q49" s="112"/>
      <c r="R49" s="106"/>
    </row>
    <row r="50" spans="1:18" ht="17.25" x14ac:dyDescent="0.25">
      <c r="A50" s="297">
        <v>47</v>
      </c>
      <c r="B50" s="32"/>
      <c r="C50" s="416"/>
      <c r="D50" s="117"/>
      <c r="E50" s="108">
        <v>100</v>
      </c>
      <c r="F50" s="108">
        <v>99</v>
      </c>
      <c r="G50" s="108">
        <v>99</v>
      </c>
      <c r="H50" s="108">
        <v>100</v>
      </c>
      <c r="I50" s="108">
        <v>100</v>
      </c>
      <c r="J50" s="108">
        <v>97</v>
      </c>
      <c r="K50" s="108">
        <v>100</v>
      </c>
      <c r="L50" s="193">
        <v>95</v>
      </c>
      <c r="M50" s="193">
        <f t="shared" si="0"/>
        <v>790</v>
      </c>
      <c r="N50" s="197">
        <f t="shared" si="1"/>
        <v>98.75</v>
      </c>
      <c r="O50" s="197">
        <f t="shared" si="2"/>
        <v>2</v>
      </c>
      <c r="P50" s="108"/>
      <c r="Q50" s="112"/>
      <c r="R50" s="106"/>
    </row>
    <row r="51" spans="1:18" ht="17.25" x14ac:dyDescent="0.25">
      <c r="A51" s="297">
        <v>48</v>
      </c>
      <c r="B51" s="32"/>
      <c r="C51" s="416"/>
      <c r="D51" s="117"/>
      <c r="E51" s="108">
        <v>84</v>
      </c>
      <c r="F51" s="108">
        <v>96</v>
      </c>
      <c r="G51" s="108">
        <v>81</v>
      </c>
      <c r="H51" s="108">
        <v>71</v>
      </c>
      <c r="I51" s="108">
        <v>85</v>
      </c>
      <c r="J51" s="108">
        <v>96</v>
      </c>
      <c r="K51" s="108">
        <v>89</v>
      </c>
      <c r="L51" s="193">
        <v>93</v>
      </c>
      <c r="M51" s="193">
        <f t="shared" si="0"/>
        <v>695</v>
      </c>
      <c r="N51" s="197">
        <f t="shared" si="1"/>
        <v>86.875</v>
      </c>
      <c r="O51" s="197">
        <f t="shared" si="2"/>
        <v>23</v>
      </c>
      <c r="P51" s="108"/>
      <c r="Q51" s="112"/>
      <c r="R51" s="106"/>
    </row>
    <row r="52" spans="1:18" ht="17.25" x14ac:dyDescent="0.25">
      <c r="A52" s="297">
        <v>49</v>
      </c>
      <c r="B52" s="32"/>
      <c r="C52" s="416"/>
      <c r="D52" s="117"/>
      <c r="E52" s="108">
        <v>82</v>
      </c>
      <c r="F52" s="108">
        <v>51</v>
      </c>
      <c r="G52" s="108">
        <v>67</v>
      </c>
      <c r="H52" s="108">
        <v>52</v>
      </c>
      <c r="I52" s="108">
        <v>72</v>
      </c>
      <c r="J52" s="108">
        <v>81</v>
      </c>
      <c r="K52" s="108">
        <v>88</v>
      </c>
      <c r="L52" s="193">
        <v>69</v>
      </c>
      <c r="M52" s="193">
        <f t="shared" si="0"/>
        <v>562</v>
      </c>
      <c r="N52" s="197">
        <f t="shared" si="1"/>
        <v>70.25</v>
      </c>
      <c r="O52" s="197">
        <f t="shared" si="2"/>
        <v>52</v>
      </c>
      <c r="P52" s="108"/>
      <c r="Q52" s="112"/>
      <c r="R52" s="106"/>
    </row>
    <row r="53" spans="1:18" ht="17.25" x14ac:dyDescent="0.25">
      <c r="A53" s="297">
        <v>50</v>
      </c>
      <c r="B53" s="32"/>
      <c r="C53" s="416"/>
      <c r="D53" s="117"/>
      <c r="E53" s="108">
        <v>90</v>
      </c>
      <c r="F53" s="108">
        <v>79</v>
      </c>
      <c r="G53" s="108">
        <v>81</v>
      </c>
      <c r="H53" s="108">
        <v>62</v>
      </c>
      <c r="I53" s="108">
        <v>89</v>
      </c>
      <c r="J53" s="108">
        <v>98</v>
      </c>
      <c r="K53" s="108">
        <v>98</v>
      </c>
      <c r="L53" s="193">
        <v>97</v>
      </c>
      <c r="M53" s="193">
        <f t="shared" si="0"/>
        <v>694</v>
      </c>
      <c r="N53" s="197">
        <f t="shared" si="1"/>
        <v>86.75</v>
      </c>
      <c r="O53" s="197">
        <f t="shared" si="2"/>
        <v>24</v>
      </c>
      <c r="P53" s="108"/>
      <c r="Q53" s="112"/>
      <c r="R53" s="106"/>
    </row>
    <row r="54" spans="1:18" ht="17.25" x14ac:dyDescent="0.25">
      <c r="A54" s="297">
        <v>51</v>
      </c>
      <c r="B54" s="32"/>
      <c r="C54" s="416"/>
      <c r="D54" s="117"/>
      <c r="E54" s="108">
        <v>98</v>
      </c>
      <c r="F54" s="108">
        <v>100</v>
      </c>
      <c r="G54" s="108">
        <v>97</v>
      </c>
      <c r="H54" s="108">
        <v>91</v>
      </c>
      <c r="I54" s="108">
        <v>97</v>
      </c>
      <c r="J54" s="108">
        <v>100</v>
      </c>
      <c r="K54" s="108">
        <v>100</v>
      </c>
      <c r="L54" s="193">
        <v>97</v>
      </c>
      <c r="M54" s="193">
        <f t="shared" si="0"/>
        <v>780</v>
      </c>
      <c r="N54" s="197">
        <f t="shared" si="1"/>
        <v>97.5</v>
      </c>
      <c r="O54" s="197">
        <f t="shared" si="2"/>
        <v>3</v>
      </c>
      <c r="P54" s="108"/>
      <c r="Q54" s="112"/>
      <c r="R54" s="106"/>
    </row>
    <row r="55" spans="1:18" ht="17.25" x14ac:dyDescent="0.25">
      <c r="A55" s="297">
        <v>52</v>
      </c>
      <c r="B55" s="32"/>
      <c r="C55" s="416"/>
      <c r="D55" s="117"/>
      <c r="E55" s="108">
        <v>97</v>
      </c>
      <c r="F55" s="108">
        <v>97</v>
      </c>
      <c r="G55" s="108">
        <v>93</v>
      </c>
      <c r="H55" s="108">
        <v>89</v>
      </c>
      <c r="I55" s="108">
        <v>100</v>
      </c>
      <c r="J55" s="108">
        <v>99</v>
      </c>
      <c r="K55" s="108">
        <v>100</v>
      </c>
      <c r="L55" s="193">
        <v>96</v>
      </c>
      <c r="M55" s="193">
        <f t="shared" si="0"/>
        <v>771</v>
      </c>
      <c r="N55" s="197">
        <f t="shared" si="1"/>
        <v>96.375</v>
      </c>
      <c r="O55" s="197">
        <f t="shared" si="2"/>
        <v>4</v>
      </c>
      <c r="P55" s="108"/>
      <c r="Q55" s="112"/>
      <c r="R55" s="106"/>
    </row>
    <row r="56" spans="1:18" ht="17.25" x14ac:dyDescent="0.25">
      <c r="A56" s="297">
        <v>53</v>
      </c>
      <c r="B56" s="32"/>
      <c r="C56" s="417"/>
      <c r="D56" s="110"/>
      <c r="E56" s="107">
        <v>94</v>
      </c>
      <c r="F56" s="107">
        <v>98</v>
      </c>
      <c r="G56" s="107">
        <v>98</v>
      </c>
      <c r="H56" s="107">
        <v>89</v>
      </c>
      <c r="I56" s="107">
        <v>96</v>
      </c>
      <c r="J56" s="107">
        <v>97</v>
      </c>
      <c r="K56" s="107">
        <v>100</v>
      </c>
      <c r="L56" s="288">
        <v>94</v>
      </c>
      <c r="M56" s="193">
        <f t="shared" si="0"/>
        <v>766</v>
      </c>
      <c r="N56" s="197">
        <f t="shared" si="1"/>
        <v>95.75</v>
      </c>
      <c r="O56" s="197">
        <f t="shared" si="2"/>
        <v>6</v>
      </c>
      <c r="P56" s="107"/>
      <c r="Q56" s="107"/>
      <c r="R56" s="106"/>
    </row>
    <row r="57" spans="1:18" ht="17.25" x14ac:dyDescent="0.25">
      <c r="A57" s="297">
        <v>54</v>
      </c>
      <c r="B57" s="32"/>
      <c r="C57" s="417"/>
      <c r="D57" s="110"/>
      <c r="E57" s="107">
        <v>74</v>
      </c>
      <c r="F57" s="107">
        <v>81</v>
      </c>
      <c r="G57" s="107">
        <v>66</v>
      </c>
      <c r="H57" s="107">
        <v>68</v>
      </c>
      <c r="I57" s="107">
        <v>86</v>
      </c>
      <c r="J57" s="107">
        <v>83</v>
      </c>
      <c r="K57" s="107">
        <v>86</v>
      </c>
      <c r="L57" s="288">
        <v>82</v>
      </c>
      <c r="M57" s="193">
        <f t="shared" si="0"/>
        <v>626</v>
      </c>
      <c r="N57" s="197">
        <f t="shared" si="1"/>
        <v>78.25</v>
      </c>
      <c r="O57" s="197">
        <f t="shared" si="2"/>
        <v>44</v>
      </c>
      <c r="P57" s="107"/>
      <c r="Q57" s="107"/>
      <c r="R57" s="106"/>
    </row>
    <row r="58" spans="1:18" x14ac:dyDescent="0.25">
      <c r="A58" s="419"/>
      <c r="B58" s="91"/>
      <c r="C58" s="110"/>
      <c r="D58" s="110"/>
      <c r="E58" s="107"/>
      <c r="F58" s="107"/>
      <c r="G58" s="107"/>
      <c r="H58" s="107"/>
      <c r="I58" s="107"/>
      <c r="J58" s="107"/>
      <c r="K58" s="107"/>
      <c r="L58" s="288"/>
      <c r="M58" s="107"/>
      <c r="N58" s="107"/>
      <c r="O58" s="107"/>
      <c r="P58" s="107"/>
      <c r="Q58" s="107"/>
      <c r="R58" s="106"/>
    </row>
  </sheetData>
  <mergeCells count="2">
    <mergeCell ref="A1:Q1"/>
    <mergeCell ref="A2:Q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zoomScaleNormal="100" workbookViewId="0">
      <selection activeCell="B4" sqref="B4:B57"/>
    </sheetView>
  </sheetViews>
  <sheetFormatPr defaultRowHeight="15" x14ac:dyDescent="0.25"/>
  <cols>
    <col min="1" max="1" width="5.5703125" customWidth="1"/>
    <col min="2" max="2" width="34.140625" customWidth="1"/>
    <col min="3" max="3" width="8" customWidth="1"/>
  </cols>
  <sheetData>
    <row r="1" spans="1:12" ht="20.25" x14ac:dyDescent="0.25">
      <c r="A1" s="865" t="s">
        <v>21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</row>
    <row r="2" spans="1:12" ht="18" x14ac:dyDescent="0.25">
      <c r="A2" s="996" t="s">
        <v>46</v>
      </c>
      <c r="B2" s="997"/>
      <c r="C2" s="997"/>
      <c r="D2" s="997"/>
      <c r="E2" s="997"/>
      <c r="F2" s="997"/>
      <c r="G2" s="997"/>
      <c r="H2" s="997"/>
      <c r="I2" s="997"/>
      <c r="J2" s="123"/>
      <c r="K2" s="123"/>
      <c r="L2" s="123"/>
    </row>
    <row r="3" spans="1:12" ht="45" x14ac:dyDescent="0.25">
      <c r="A3" s="126" t="s">
        <v>47</v>
      </c>
      <c r="B3" s="129" t="s">
        <v>1</v>
      </c>
      <c r="C3" s="129" t="s">
        <v>2</v>
      </c>
      <c r="D3" s="129" t="s">
        <v>3</v>
      </c>
      <c r="E3" s="130" t="s">
        <v>35</v>
      </c>
      <c r="F3" s="130" t="s">
        <v>36</v>
      </c>
      <c r="G3" s="130" t="s">
        <v>13</v>
      </c>
      <c r="H3" s="131" t="s">
        <v>14</v>
      </c>
      <c r="I3" s="130" t="s">
        <v>14</v>
      </c>
      <c r="J3" s="123"/>
      <c r="K3" s="123"/>
      <c r="L3" s="133"/>
    </row>
    <row r="4" spans="1:12" ht="20.25" x14ac:dyDescent="0.25">
      <c r="A4" s="140">
        <v>1</v>
      </c>
      <c r="B4" s="415"/>
      <c r="C4" s="137"/>
      <c r="D4" s="137"/>
      <c r="E4" s="127">
        <v>70.75</v>
      </c>
      <c r="F4" s="127">
        <v>74.125</v>
      </c>
      <c r="G4" s="127">
        <f>AVERAGE(E4:F4)</f>
        <v>72.4375</v>
      </c>
      <c r="H4" s="132">
        <f>RANK(G4,$G$4:$G$57)</f>
        <v>48</v>
      </c>
      <c r="I4" s="128"/>
      <c r="J4" s="123"/>
      <c r="K4" s="123"/>
      <c r="L4" s="123"/>
    </row>
    <row r="5" spans="1:12" ht="20.25" x14ac:dyDescent="0.25">
      <c r="A5" s="140">
        <v>2</v>
      </c>
      <c r="B5" s="415"/>
      <c r="C5" s="137"/>
      <c r="D5" s="137"/>
      <c r="E5" s="127">
        <v>77.625</v>
      </c>
      <c r="F5" s="127">
        <v>81.25</v>
      </c>
      <c r="G5" s="163">
        <f t="shared" ref="G5:G57" si="0">AVERAGE(E5:F5)</f>
        <v>79.4375</v>
      </c>
      <c r="H5" s="167">
        <f t="shared" ref="H5:H57" si="1">RANK(G5,$G$4:$G$57)</f>
        <v>42</v>
      </c>
      <c r="I5" s="128"/>
      <c r="J5" s="123"/>
      <c r="K5" s="123"/>
      <c r="L5" s="123"/>
    </row>
    <row r="6" spans="1:12" ht="20.25" x14ac:dyDescent="0.25">
      <c r="A6" s="140">
        <v>3</v>
      </c>
      <c r="B6" s="415"/>
      <c r="C6" s="137"/>
      <c r="D6" s="137"/>
      <c r="E6" s="127">
        <v>71.5</v>
      </c>
      <c r="F6" s="127">
        <v>73.125</v>
      </c>
      <c r="G6" s="163">
        <f t="shared" si="0"/>
        <v>72.3125</v>
      </c>
      <c r="H6" s="167">
        <f t="shared" si="1"/>
        <v>49</v>
      </c>
      <c r="I6" s="128"/>
      <c r="J6" s="123"/>
      <c r="K6" s="123"/>
      <c r="L6" s="123"/>
    </row>
    <row r="7" spans="1:12" ht="20.25" x14ac:dyDescent="0.25">
      <c r="A7" s="140">
        <v>4</v>
      </c>
      <c r="B7" s="415"/>
      <c r="C7" s="137"/>
      <c r="D7" s="137"/>
      <c r="E7" s="127">
        <v>98.25</v>
      </c>
      <c r="F7" s="127">
        <v>98.875</v>
      </c>
      <c r="G7" s="163">
        <f t="shared" si="0"/>
        <v>98.5625</v>
      </c>
      <c r="H7" s="167">
        <f t="shared" si="1"/>
        <v>2</v>
      </c>
      <c r="I7" s="128"/>
      <c r="J7" s="123"/>
      <c r="K7" s="123"/>
      <c r="L7" s="123"/>
    </row>
    <row r="8" spans="1:12" ht="20.25" x14ac:dyDescent="0.25">
      <c r="A8" s="140">
        <v>5</v>
      </c>
      <c r="B8" s="415"/>
      <c r="C8" s="137"/>
      <c r="D8" s="137"/>
      <c r="E8" s="127">
        <v>97</v>
      </c>
      <c r="F8" s="127">
        <v>96.125</v>
      </c>
      <c r="G8" s="163">
        <f t="shared" si="0"/>
        <v>96.5625</v>
      </c>
      <c r="H8" s="167">
        <f t="shared" si="1"/>
        <v>4</v>
      </c>
      <c r="I8" s="128"/>
      <c r="J8" s="124"/>
      <c r="K8" s="124"/>
      <c r="L8" s="123"/>
    </row>
    <row r="9" spans="1:12" ht="20.25" x14ac:dyDescent="0.25">
      <c r="A9" s="140">
        <v>6</v>
      </c>
      <c r="B9" s="415"/>
      <c r="C9" s="137"/>
      <c r="D9" s="137"/>
      <c r="E9" s="127">
        <v>86</v>
      </c>
      <c r="F9" s="127">
        <v>82.75</v>
      </c>
      <c r="G9" s="163">
        <f t="shared" si="0"/>
        <v>84.375</v>
      </c>
      <c r="H9" s="167">
        <f t="shared" si="1"/>
        <v>32</v>
      </c>
      <c r="I9" s="128"/>
      <c r="J9" s="124"/>
      <c r="K9" s="124"/>
      <c r="L9" s="123"/>
    </row>
    <row r="10" spans="1:12" ht="20.25" x14ac:dyDescent="0.25">
      <c r="A10" s="140">
        <v>7</v>
      </c>
      <c r="B10" s="415"/>
      <c r="C10" s="137"/>
      <c r="D10" s="137"/>
      <c r="E10" s="127">
        <v>94.75</v>
      </c>
      <c r="F10" s="127">
        <v>93.125</v>
      </c>
      <c r="G10" s="163">
        <f t="shared" si="0"/>
        <v>93.9375</v>
      </c>
      <c r="H10" s="167">
        <f t="shared" si="1"/>
        <v>8</v>
      </c>
      <c r="I10" s="128"/>
      <c r="J10" s="124"/>
      <c r="K10" s="124"/>
      <c r="L10" s="123"/>
    </row>
    <row r="11" spans="1:12" ht="20.25" x14ac:dyDescent="0.25">
      <c r="A11" s="140">
        <v>8</v>
      </c>
      <c r="B11" s="415"/>
      <c r="C11" s="137"/>
      <c r="D11" s="137"/>
      <c r="E11" s="127">
        <v>84.5</v>
      </c>
      <c r="F11" s="127">
        <v>85.375</v>
      </c>
      <c r="G11" s="163">
        <f t="shared" si="0"/>
        <v>84.9375</v>
      </c>
      <c r="H11" s="167">
        <f t="shared" si="1"/>
        <v>30</v>
      </c>
      <c r="I11" s="128"/>
      <c r="J11" s="124"/>
      <c r="K11" s="124"/>
      <c r="L11" s="123"/>
    </row>
    <row r="12" spans="1:12" ht="20.25" x14ac:dyDescent="0.25">
      <c r="A12" s="140">
        <v>9</v>
      </c>
      <c r="B12" s="415"/>
      <c r="C12" s="137"/>
      <c r="D12" s="137"/>
      <c r="E12" s="127">
        <v>81.25</v>
      </c>
      <c r="F12" s="127">
        <v>74.125</v>
      </c>
      <c r="G12" s="163">
        <f t="shared" si="0"/>
        <v>77.6875</v>
      </c>
      <c r="H12" s="167">
        <f t="shared" si="1"/>
        <v>46</v>
      </c>
      <c r="I12" s="128"/>
      <c r="J12" s="124"/>
      <c r="K12" s="124"/>
      <c r="L12" s="123"/>
    </row>
    <row r="13" spans="1:12" ht="20.25" x14ac:dyDescent="0.25">
      <c r="A13" s="140">
        <v>10</v>
      </c>
      <c r="B13" s="415"/>
      <c r="C13" s="137"/>
      <c r="D13" s="137"/>
      <c r="E13" s="127">
        <v>65.125</v>
      </c>
      <c r="F13" s="127">
        <v>76.875</v>
      </c>
      <c r="G13" s="163">
        <f t="shared" si="0"/>
        <v>71</v>
      </c>
      <c r="H13" s="167">
        <f t="shared" si="1"/>
        <v>50</v>
      </c>
      <c r="I13" s="128"/>
      <c r="J13" s="124"/>
      <c r="K13" s="124"/>
      <c r="L13" s="123"/>
    </row>
    <row r="14" spans="1:12" ht="20.25" x14ac:dyDescent="0.25">
      <c r="A14" s="140">
        <v>11</v>
      </c>
      <c r="B14" s="415"/>
      <c r="C14" s="137"/>
      <c r="D14" s="137"/>
      <c r="E14" s="127">
        <v>81.75</v>
      </c>
      <c r="F14" s="127">
        <v>81.25</v>
      </c>
      <c r="G14" s="163">
        <f t="shared" si="0"/>
        <v>81.5</v>
      </c>
      <c r="H14" s="167">
        <f t="shared" si="1"/>
        <v>39</v>
      </c>
      <c r="I14" s="128"/>
      <c r="J14" s="124"/>
      <c r="K14" s="124"/>
      <c r="L14" s="123"/>
    </row>
    <row r="15" spans="1:12" ht="20.25" x14ac:dyDescent="0.25">
      <c r="A15" s="140">
        <v>12</v>
      </c>
      <c r="B15" s="415"/>
      <c r="C15" s="137"/>
      <c r="D15" s="137"/>
      <c r="E15" s="127">
        <v>76.75</v>
      </c>
      <c r="F15" s="127">
        <v>80.125</v>
      </c>
      <c r="G15" s="163">
        <f t="shared" si="0"/>
        <v>78.4375</v>
      </c>
      <c r="H15" s="167">
        <f t="shared" si="1"/>
        <v>45</v>
      </c>
      <c r="I15" s="128"/>
      <c r="J15" s="124"/>
      <c r="K15" s="124"/>
      <c r="L15" s="123"/>
    </row>
    <row r="16" spans="1:12" ht="20.25" x14ac:dyDescent="0.25">
      <c r="A16" s="140">
        <v>13</v>
      </c>
      <c r="B16" s="415"/>
      <c r="C16" s="137"/>
      <c r="D16" s="137"/>
      <c r="E16" s="127">
        <v>71</v>
      </c>
      <c r="F16" s="127">
        <v>74.75</v>
      </c>
      <c r="G16" s="163">
        <f t="shared" si="0"/>
        <v>72.875</v>
      </c>
      <c r="H16" s="167">
        <f t="shared" si="1"/>
        <v>47</v>
      </c>
      <c r="I16" s="128"/>
      <c r="J16" s="124"/>
      <c r="K16" s="124"/>
      <c r="L16" s="123"/>
    </row>
    <row r="17" spans="1:11" ht="20.25" x14ac:dyDescent="0.25">
      <c r="A17" s="140">
        <v>14</v>
      </c>
      <c r="B17" s="415"/>
      <c r="C17" s="137"/>
      <c r="D17" s="137"/>
      <c r="E17" s="127">
        <v>91.375</v>
      </c>
      <c r="F17" s="127">
        <v>92.25</v>
      </c>
      <c r="G17" s="163">
        <f t="shared" si="0"/>
        <v>91.8125</v>
      </c>
      <c r="H17" s="167">
        <f t="shared" si="1"/>
        <v>12</v>
      </c>
      <c r="I17" s="128"/>
      <c r="J17" s="124"/>
      <c r="K17" s="124"/>
    </row>
    <row r="18" spans="1:11" ht="20.25" x14ac:dyDescent="0.25">
      <c r="A18" s="140">
        <v>15</v>
      </c>
      <c r="B18" s="415"/>
      <c r="C18" s="137"/>
      <c r="D18" s="137"/>
      <c r="E18" s="127">
        <v>81.125</v>
      </c>
      <c r="F18" s="127">
        <v>83</v>
      </c>
      <c r="G18" s="163">
        <f t="shared" si="0"/>
        <v>82.0625</v>
      </c>
      <c r="H18" s="167">
        <f t="shared" si="1"/>
        <v>38</v>
      </c>
      <c r="I18" s="128"/>
      <c r="J18" s="124"/>
      <c r="K18" s="124"/>
    </row>
    <row r="19" spans="1:11" ht="20.25" x14ac:dyDescent="0.25">
      <c r="A19" s="140">
        <v>16</v>
      </c>
      <c r="B19" s="415"/>
      <c r="C19" s="137"/>
      <c r="D19" s="137"/>
      <c r="E19" s="127">
        <v>86.25</v>
      </c>
      <c r="F19" s="127">
        <v>85.875</v>
      </c>
      <c r="G19" s="163">
        <f t="shared" si="0"/>
        <v>86.0625</v>
      </c>
      <c r="H19" s="167">
        <f t="shared" si="1"/>
        <v>25</v>
      </c>
      <c r="I19" s="128"/>
      <c r="J19" s="124"/>
      <c r="K19" s="124"/>
    </row>
    <row r="20" spans="1:11" ht="20.25" x14ac:dyDescent="0.25">
      <c r="A20" s="140">
        <v>17</v>
      </c>
      <c r="B20" s="415"/>
      <c r="C20" s="137"/>
      <c r="D20" s="137"/>
      <c r="E20" s="127">
        <v>67.875</v>
      </c>
      <c r="F20" s="127">
        <v>68.75</v>
      </c>
      <c r="G20" s="163">
        <f t="shared" si="0"/>
        <v>68.3125</v>
      </c>
      <c r="H20" s="167">
        <f t="shared" si="1"/>
        <v>52</v>
      </c>
      <c r="I20" s="128"/>
      <c r="J20" s="124"/>
      <c r="K20" s="124"/>
    </row>
    <row r="21" spans="1:11" ht="20.25" x14ac:dyDescent="0.25">
      <c r="A21" s="140">
        <v>18</v>
      </c>
      <c r="B21" s="415"/>
      <c r="C21" s="137"/>
      <c r="D21" s="137"/>
      <c r="E21" s="127">
        <v>95.125</v>
      </c>
      <c r="F21" s="127">
        <v>91.25</v>
      </c>
      <c r="G21" s="163">
        <f t="shared" si="0"/>
        <v>93.1875</v>
      </c>
      <c r="H21" s="167">
        <f t="shared" si="1"/>
        <v>9</v>
      </c>
      <c r="I21" s="128"/>
      <c r="J21" s="123"/>
      <c r="K21" s="123"/>
    </row>
    <row r="22" spans="1:11" ht="20.25" x14ac:dyDescent="0.25">
      <c r="A22" s="140">
        <v>19</v>
      </c>
      <c r="B22" s="415"/>
      <c r="C22" s="138"/>
      <c r="D22" s="138"/>
      <c r="E22" s="127">
        <v>92.75</v>
      </c>
      <c r="F22" s="127">
        <v>92</v>
      </c>
      <c r="G22" s="163">
        <f t="shared" si="0"/>
        <v>92.375</v>
      </c>
      <c r="H22" s="167">
        <f t="shared" si="1"/>
        <v>11</v>
      </c>
      <c r="I22" s="128"/>
      <c r="J22" s="123"/>
      <c r="K22" s="123"/>
    </row>
    <row r="23" spans="1:11" ht="20.25" x14ac:dyDescent="0.25">
      <c r="A23" s="140">
        <v>20</v>
      </c>
      <c r="B23" s="415"/>
      <c r="C23" s="137"/>
      <c r="D23" s="137"/>
      <c r="E23" s="127">
        <v>85.875</v>
      </c>
      <c r="F23" s="127">
        <v>82.5</v>
      </c>
      <c r="G23" s="163">
        <f t="shared" si="0"/>
        <v>84.1875</v>
      </c>
      <c r="H23" s="167">
        <f t="shared" si="1"/>
        <v>34</v>
      </c>
      <c r="I23" s="128"/>
      <c r="J23" s="123"/>
      <c r="K23" s="123"/>
    </row>
    <row r="24" spans="1:11" ht="20.25" x14ac:dyDescent="0.25">
      <c r="A24" s="140">
        <v>21</v>
      </c>
      <c r="B24" s="415"/>
      <c r="C24" s="137"/>
      <c r="D24" s="137"/>
      <c r="E24" s="127">
        <v>92.625</v>
      </c>
      <c r="F24" s="127">
        <v>88.75</v>
      </c>
      <c r="G24" s="163">
        <f t="shared" si="0"/>
        <v>90.6875</v>
      </c>
      <c r="H24" s="167">
        <f t="shared" si="1"/>
        <v>15</v>
      </c>
      <c r="I24" s="128"/>
      <c r="J24" s="123"/>
      <c r="K24" s="123"/>
    </row>
    <row r="25" spans="1:11" ht="20.25" x14ac:dyDescent="0.25">
      <c r="A25" s="140">
        <v>22</v>
      </c>
      <c r="B25" s="415"/>
      <c r="C25" s="137"/>
      <c r="D25" s="137"/>
      <c r="E25" s="127">
        <v>91.125</v>
      </c>
      <c r="F25" s="127">
        <v>90.875</v>
      </c>
      <c r="G25" s="163">
        <f t="shared" si="0"/>
        <v>91</v>
      </c>
      <c r="H25" s="167">
        <f t="shared" si="1"/>
        <v>14</v>
      </c>
      <c r="I25" s="128"/>
      <c r="J25" s="123"/>
      <c r="K25" s="123"/>
    </row>
    <row r="26" spans="1:11" ht="20.25" x14ac:dyDescent="0.25">
      <c r="A26" s="140">
        <v>23</v>
      </c>
      <c r="B26" s="415"/>
      <c r="C26" s="137"/>
      <c r="D26" s="137"/>
      <c r="E26" s="127">
        <v>79.75</v>
      </c>
      <c r="F26" s="127">
        <v>77.875</v>
      </c>
      <c r="G26" s="163">
        <f t="shared" si="0"/>
        <v>78.8125</v>
      </c>
      <c r="H26" s="167">
        <f t="shared" si="1"/>
        <v>44</v>
      </c>
      <c r="I26" s="128"/>
      <c r="J26" s="123"/>
      <c r="K26" s="123"/>
    </row>
    <row r="27" spans="1:11" ht="20.25" x14ac:dyDescent="0.25">
      <c r="A27" s="140">
        <v>24</v>
      </c>
      <c r="B27" s="415"/>
      <c r="C27" s="137"/>
      <c r="D27" s="137"/>
      <c r="E27" s="127">
        <v>87.875</v>
      </c>
      <c r="F27" s="127">
        <v>86.75</v>
      </c>
      <c r="G27" s="163">
        <f t="shared" si="0"/>
        <v>87.3125</v>
      </c>
      <c r="H27" s="167">
        <f t="shared" si="1"/>
        <v>19</v>
      </c>
      <c r="I27" s="128"/>
      <c r="J27" s="123"/>
      <c r="K27" s="123"/>
    </row>
    <row r="28" spans="1:11" ht="20.25" x14ac:dyDescent="0.25">
      <c r="A28" s="140">
        <v>25</v>
      </c>
      <c r="B28" s="415"/>
      <c r="C28" s="137"/>
      <c r="D28" s="137"/>
      <c r="E28" s="127">
        <v>87.5</v>
      </c>
      <c r="F28" s="127">
        <v>86</v>
      </c>
      <c r="G28" s="163">
        <f t="shared" si="0"/>
        <v>86.75</v>
      </c>
      <c r="H28" s="167">
        <f t="shared" si="1"/>
        <v>22</v>
      </c>
      <c r="I28" s="128"/>
      <c r="J28" s="123"/>
      <c r="K28" s="123"/>
    </row>
    <row r="29" spans="1:11" ht="20.25" x14ac:dyDescent="0.25">
      <c r="A29" s="140">
        <v>26</v>
      </c>
      <c r="B29" s="415"/>
      <c r="C29" s="137"/>
      <c r="D29" s="137"/>
      <c r="E29" s="127">
        <v>82.5</v>
      </c>
      <c r="F29" s="127">
        <v>85.375</v>
      </c>
      <c r="G29" s="163">
        <f t="shared" si="0"/>
        <v>83.9375</v>
      </c>
      <c r="H29" s="167">
        <f t="shared" si="1"/>
        <v>36</v>
      </c>
      <c r="I29" s="128"/>
      <c r="J29" s="123"/>
      <c r="K29" s="123"/>
    </row>
    <row r="30" spans="1:11" ht="20.25" x14ac:dyDescent="0.25">
      <c r="A30" s="140">
        <v>27</v>
      </c>
      <c r="B30" s="415"/>
      <c r="C30" s="137"/>
      <c r="D30" s="137"/>
      <c r="E30" s="127">
        <v>86.5</v>
      </c>
      <c r="F30" s="127">
        <v>87.375</v>
      </c>
      <c r="G30" s="163">
        <f t="shared" si="0"/>
        <v>86.9375</v>
      </c>
      <c r="H30" s="167">
        <f t="shared" si="1"/>
        <v>21</v>
      </c>
      <c r="I30" s="128"/>
      <c r="J30" s="123"/>
      <c r="K30" s="123"/>
    </row>
    <row r="31" spans="1:11" ht="20.25" x14ac:dyDescent="0.25">
      <c r="A31" s="140">
        <v>28</v>
      </c>
      <c r="B31" s="415"/>
      <c r="C31" s="137"/>
      <c r="D31" s="137"/>
      <c r="E31" s="127">
        <v>85.125</v>
      </c>
      <c r="F31" s="127">
        <v>88.375</v>
      </c>
      <c r="G31" s="163">
        <f t="shared" si="0"/>
        <v>86.75</v>
      </c>
      <c r="H31" s="167">
        <f t="shared" si="1"/>
        <v>22</v>
      </c>
      <c r="I31" s="128"/>
      <c r="J31" s="123"/>
      <c r="K31" s="123"/>
    </row>
    <row r="32" spans="1:11" ht="20.25" x14ac:dyDescent="0.25">
      <c r="A32" s="140">
        <v>29</v>
      </c>
      <c r="B32" s="415"/>
      <c r="C32" s="136"/>
      <c r="D32" s="136"/>
      <c r="E32" s="127">
        <v>63.125</v>
      </c>
      <c r="F32" s="127">
        <v>68</v>
      </c>
      <c r="G32" s="163">
        <f t="shared" si="0"/>
        <v>65.5625</v>
      </c>
      <c r="H32" s="167">
        <f t="shared" si="1"/>
        <v>54</v>
      </c>
      <c r="I32" s="128"/>
      <c r="J32" s="123"/>
      <c r="K32" s="123"/>
    </row>
    <row r="33" spans="1:9" ht="20.25" x14ac:dyDescent="0.25">
      <c r="A33" s="142">
        <v>30</v>
      </c>
      <c r="B33" s="415"/>
      <c r="C33" s="134"/>
      <c r="D33" s="134"/>
      <c r="E33" s="127">
        <v>89.75</v>
      </c>
      <c r="F33" s="127">
        <v>90.5</v>
      </c>
      <c r="G33" s="163">
        <f t="shared" si="0"/>
        <v>90.125</v>
      </c>
      <c r="H33" s="167">
        <f t="shared" si="1"/>
        <v>16</v>
      </c>
      <c r="I33" s="128"/>
    </row>
    <row r="34" spans="1:9" ht="20.25" x14ac:dyDescent="0.25">
      <c r="A34" s="140">
        <v>31</v>
      </c>
      <c r="B34" s="415"/>
      <c r="C34" s="134"/>
      <c r="D34" s="134"/>
      <c r="E34" s="127">
        <v>79.625</v>
      </c>
      <c r="F34" s="127">
        <v>80.625</v>
      </c>
      <c r="G34" s="163">
        <f t="shared" si="0"/>
        <v>80.125</v>
      </c>
      <c r="H34" s="167">
        <f t="shared" si="1"/>
        <v>40</v>
      </c>
      <c r="I34" s="128"/>
    </row>
    <row r="35" spans="1:9" ht="20.25" x14ac:dyDescent="0.25">
      <c r="A35" s="142">
        <v>32</v>
      </c>
      <c r="B35" s="415"/>
      <c r="C35" s="134"/>
      <c r="D35" s="134"/>
      <c r="E35" s="127">
        <v>84.75</v>
      </c>
      <c r="F35" s="127">
        <v>82.625</v>
      </c>
      <c r="G35" s="163">
        <f t="shared" si="0"/>
        <v>83.6875</v>
      </c>
      <c r="H35" s="167">
        <f t="shared" si="1"/>
        <v>37</v>
      </c>
      <c r="I35" s="128"/>
    </row>
    <row r="36" spans="1:9" ht="20.25" x14ac:dyDescent="0.25">
      <c r="A36" s="140">
        <v>33</v>
      </c>
      <c r="B36" s="415"/>
      <c r="C36" s="134"/>
      <c r="D36" s="134"/>
      <c r="E36" s="127">
        <v>77.75</v>
      </c>
      <c r="F36" s="127">
        <v>81</v>
      </c>
      <c r="G36" s="163">
        <f t="shared" si="0"/>
        <v>79.375</v>
      </c>
      <c r="H36" s="167">
        <f t="shared" si="1"/>
        <v>43</v>
      </c>
      <c r="I36" s="128"/>
    </row>
    <row r="37" spans="1:9" ht="20.25" x14ac:dyDescent="0.25">
      <c r="A37" s="142">
        <v>34</v>
      </c>
      <c r="B37" s="415"/>
      <c r="C37" s="134"/>
      <c r="D37" s="134"/>
      <c r="E37" s="127">
        <v>87.625</v>
      </c>
      <c r="F37" s="127">
        <v>86.375</v>
      </c>
      <c r="G37" s="163">
        <f t="shared" si="0"/>
        <v>87</v>
      </c>
      <c r="H37" s="167">
        <f t="shared" si="1"/>
        <v>20</v>
      </c>
      <c r="I37" s="128"/>
    </row>
    <row r="38" spans="1:9" ht="20.25" x14ac:dyDescent="0.25">
      <c r="A38" s="140">
        <v>35</v>
      </c>
      <c r="B38" s="415"/>
      <c r="C38" s="134"/>
      <c r="D38" s="134"/>
      <c r="E38" s="127">
        <v>94.25</v>
      </c>
      <c r="F38" s="127">
        <v>95</v>
      </c>
      <c r="G38" s="163">
        <f t="shared" si="0"/>
        <v>94.625</v>
      </c>
      <c r="H38" s="167">
        <f t="shared" si="1"/>
        <v>7</v>
      </c>
      <c r="I38" s="128"/>
    </row>
    <row r="39" spans="1:9" ht="20.25" x14ac:dyDescent="0.25">
      <c r="A39" s="142">
        <v>36</v>
      </c>
      <c r="B39" s="415"/>
      <c r="C39" s="134"/>
      <c r="D39" s="134"/>
      <c r="E39" s="127">
        <v>84.875</v>
      </c>
      <c r="F39" s="127">
        <v>83.375</v>
      </c>
      <c r="G39" s="163">
        <f t="shared" si="0"/>
        <v>84.125</v>
      </c>
      <c r="H39" s="167">
        <f t="shared" si="1"/>
        <v>35</v>
      </c>
      <c r="I39" s="128"/>
    </row>
    <row r="40" spans="1:9" ht="20.25" x14ac:dyDescent="0.25">
      <c r="A40" s="140">
        <v>37</v>
      </c>
      <c r="B40" s="415"/>
      <c r="C40" s="134"/>
      <c r="D40" s="134"/>
      <c r="E40" s="127">
        <v>86.875</v>
      </c>
      <c r="F40" s="127">
        <v>88.25</v>
      </c>
      <c r="G40" s="163">
        <f t="shared" si="0"/>
        <v>87.5625</v>
      </c>
      <c r="H40" s="167">
        <f t="shared" si="1"/>
        <v>18</v>
      </c>
      <c r="I40" s="128"/>
    </row>
    <row r="41" spans="1:9" ht="20.25" x14ac:dyDescent="0.25">
      <c r="A41" s="142">
        <v>38</v>
      </c>
      <c r="B41" s="415"/>
      <c r="C41" s="134"/>
      <c r="D41" s="134"/>
      <c r="E41" s="127">
        <v>85.5</v>
      </c>
      <c r="F41" s="127">
        <v>85.375</v>
      </c>
      <c r="G41" s="163">
        <f t="shared" si="0"/>
        <v>85.4375</v>
      </c>
      <c r="H41" s="167">
        <f t="shared" si="1"/>
        <v>29</v>
      </c>
      <c r="I41" s="128"/>
    </row>
    <row r="42" spans="1:9" ht="20.25" x14ac:dyDescent="0.25">
      <c r="A42" s="140">
        <v>39</v>
      </c>
      <c r="B42" s="415"/>
      <c r="C42" s="134"/>
      <c r="D42" s="134"/>
      <c r="E42" s="127">
        <v>83.25</v>
      </c>
      <c r="F42" s="127">
        <v>85.5</v>
      </c>
      <c r="G42" s="163">
        <f t="shared" si="0"/>
        <v>84.375</v>
      </c>
      <c r="H42" s="167">
        <f t="shared" si="1"/>
        <v>32</v>
      </c>
      <c r="I42" s="128"/>
    </row>
    <row r="43" spans="1:9" ht="20.25" x14ac:dyDescent="0.25">
      <c r="A43" s="142">
        <v>40</v>
      </c>
      <c r="B43" s="415"/>
      <c r="C43" s="134"/>
      <c r="D43" s="134"/>
      <c r="E43" s="127">
        <v>88.25</v>
      </c>
      <c r="F43" s="127">
        <v>90.875</v>
      </c>
      <c r="G43" s="163">
        <f t="shared" si="0"/>
        <v>89.5625</v>
      </c>
      <c r="H43" s="167">
        <f t="shared" si="1"/>
        <v>17</v>
      </c>
      <c r="I43" s="128"/>
    </row>
    <row r="44" spans="1:9" ht="20.25" x14ac:dyDescent="0.25">
      <c r="A44" s="140">
        <v>41</v>
      </c>
      <c r="B44" s="415"/>
      <c r="C44" s="134"/>
      <c r="D44" s="134"/>
      <c r="E44" s="127">
        <v>93.5</v>
      </c>
      <c r="F44" s="127">
        <v>92</v>
      </c>
      <c r="G44" s="163">
        <f t="shared" si="0"/>
        <v>92.75</v>
      </c>
      <c r="H44" s="167">
        <f t="shared" si="1"/>
        <v>10</v>
      </c>
      <c r="I44" s="128"/>
    </row>
    <row r="45" spans="1:9" ht="20.25" x14ac:dyDescent="0.25">
      <c r="A45" s="142">
        <v>42</v>
      </c>
      <c r="B45" s="415"/>
      <c r="C45" s="134"/>
      <c r="D45" s="134"/>
      <c r="E45" s="127">
        <v>85.75</v>
      </c>
      <c r="F45" s="127">
        <v>86.125</v>
      </c>
      <c r="G45" s="163">
        <f t="shared" si="0"/>
        <v>85.9375</v>
      </c>
      <c r="H45" s="167">
        <f t="shared" si="1"/>
        <v>27</v>
      </c>
      <c r="I45" s="128"/>
    </row>
    <row r="46" spans="1:9" ht="20.25" x14ac:dyDescent="0.25">
      <c r="A46" s="140">
        <v>43</v>
      </c>
      <c r="B46" s="415"/>
      <c r="C46" s="134"/>
      <c r="D46" s="134"/>
      <c r="E46" s="127">
        <v>85</v>
      </c>
      <c r="F46" s="127">
        <v>87</v>
      </c>
      <c r="G46" s="163">
        <f t="shared" si="0"/>
        <v>86</v>
      </c>
      <c r="H46" s="167">
        <f t="shared" si="1"/>
        <v>26</v>
      </c>
      <c r="I46" s="128"/>
    </row>
    <row r="47" spans="1:9" ht="20.25" x14ac:dyDescent="0.25">
      <c r="A47" s="142">
        <v>44</v>
      </c>
      <c r="B47" s="415"/>
      <c r="C47" s="134"/>
      <c r="D47" s="134"/>
      <c r="E47" s="127">
        <v>92</v>
      </c>
      <c r="F47" s="127">
        <v>91.375</v>
      </c>
      <c r="G47" s="163">
        <f t="shared" si="0"/>
        <v>91.6875</v>
      </c>
      <c r="H47" s="167">
        <f t="shared" si="1"/>
        <v>13</v>
      </c>
      <c r="I47" s="128"/>
    </row>
    <row r="48" spans="1:9" ht="20.25" x14ac:dyDescent="0.25">
      <c r="A48" s="140">
        <v>45</v>
      </c>
      <c r="B48" s="415"/>
      <c r="C48" s="134"/>
      <c r="D48" s="134"/>
      <c r="E48" s="127">
        <v>66.75</v>
      </c>
      <c r="F48" s="127">
        <v>72.5</v>
      </c>
      <c r="G48" s="163">
        <f t="shared" si="0"/>
        <v>69.625</v>
      </c>
      <c r="H48" s="167">
        <f t="shared" si="1"/>
        <v>51</v>
      </c>
      <c r="I48" s="128"/>
    </row>
    <row r="49" spans="1:9" ht="20.25" x14ac:dyDescent="0.25">
      <c r="A49" s="142">
        <v>46</v>
      </c>
      <c r="B49" s="418"/>
      <c r="C49" s="134"/>
      <c r="D49" s="134"/>
      <c r="E49" s="127">
        <v>82.5</v>
      </c>
      <c r="F49" s="127">
        <v>87</v>
      </c>
      <c r="G49" s="163">
        <f t="shared" si="0"/>
        <v>84.75</v>
      </c>
      <c r="H49" s="167">
        <f t="shared" si="1"/>
        <v>31</v>
      </c>
      <c r="I49" s="128"/>
    </row>
    <row r="50" spans="1:9" ht="20.25" x14ac:dyDescent="0.25">
      <c r="A50" s="140">
        <v>47</v>
      </c>
      <c r="B50" s="32"/>
      <c r="C50" s="134"/>
      <c r="D50" s="134"/>
      <c r="E50" s="127">
        <v>99</v>
      </c>
      <c r="F50" s="127">
        <v>98.75</v>
      </c>
      <c r="G50" s="163">
        <f t="shared" si="0"/>
        <v>98.875</v>
      </c>
      <c r="H50" s="167">
        <f t="shared" si="1"/>
        <v>1</v>
      </c>
      <c r="I50" s="128"/>
    </row>
    <row r="51" spans="1:9" ht="20.25" x14ac:dyDescent="0.25">
      <c r="A51" s="142">
        <v>48</v>
      </c>
      <c r="B51" s="32"/>
      <c r="C51" s="134"/>
      <c r="D51" s="134"/>
      <c r="E51" s="127">
        <v>86.625</v>
      </c>
      <c r="F51" s="127">
        <v>86.875</v>
      </c>
      <c r="G51" s="163">
        <f t="shared" si="0"/>
        <v>86.75</v>
      </c>
      <c r="H51" s="167">
        <f t="shared" si="1"/>
        <v>22</v>
      </c>
      <c r="I51" s="128"/>
    </row>
    <row r="52" spans="1:9" ht="20.25" x14ac:dyDescent="0.25">
      <c r="A52" s="140">
        <v>49</v>
      </c>
      <c r="B52" s="32"/>
      <c r="C52" s="134"/>
      <c r="D52" s="134"/>
      <c r="E52" s="127">
        <v>62.25</v>
      </c>
      <c r="F52" s="127">
        <v>70.25</v>
      </c>
      <c r="G52" s="163">
        <f t="shared" si="0"/>
        <v>66.25</v>
      </c>
      <c r="H52" s="167">
        <f t="shared" si="1"/>
        <v>53</v>
      </c>
      <c r="I52" s="128"/>
    </row>
    <row r="53" spans="1:9" ht="20.25" x14ac:dyDescent="0.25">
      <c r="A53" s="142">
        <v>50</v>
      </c>
      <c r="B53" s="32"/>
      <c r="C53" s="141"/>
      <c r="D53" s="141"/>
      <c r="E53" s="127">
        <v>84.25</v>
      </c>
      <c r="F53" s="127">
        <v>86.75</v>
      </c>
      <c r="G53" s="163">
        <f t="shared" si="0"/>
        <v>85.5</v>
      </c>
      <c r="H53" s="167">
        <f t="shared" si="1"/>
        <v>28</v>
      </c>
      <c r="I53" s="128"/>
    </row>
    <row r="54" spans="1:9" ht="20.25" x14ac:dyDescent="0.25">
      <c r="A54" s="140">
        <v>51</v>
      </c>
      <c r="B54" s="32"/>
      <c r="C54" s="141"/>
      <c r="D54" s="141"/>
      <c r="E54" s="127">
        <v>94.25</v>
      </c>
      <c r="F54" s="127">
        <v>97.5</v>
      </c>
      <c r="G54" s="163">
        <f t="shared" si="0"/>
        <v>95.875</v>
      </c>
      <c r="H54" s="167">
        <f t="shared" si="1"/>
        <v>5</v>
      </c>
      <c r="I54" s="128"/>
    </row>
    <row r="55" spans="1:9" ht="20.25" x14ac:dyDescent="0.25">
      <c r="A55" s="142">
        <v>52</v>
      </c>
      <c r="B55" s="32"/>
      <c r="C55" s="128"/>
      <c r="D55" s="128"/>
      <c r="E55" s="125">
        <v>97</v>
      </c>
      <c r="F55" s="125">
        <v>96.375</v>
      </c>
      <c r="G55" s="163">
        <f t="shared" si="0"/>
        <v>96.6875</v>
      </c>
      <c r="H55" s="167">
        <f t="shared" si="1"/>
        <v>3</v>
      </c>
      <c r="I55" s="125"/>
    </row>
    <row r="56" spans="1:9" ht="20.25" x14ac:dyDescent="0.25">
      <c r="A56" s="140">
        <v>53</v>
      </c>
      <c r="B56" s="32"/>
      <c r="C56" s="128"/>
      <c r="D56" s="128"/>
      <c r="E56" s="125">
        <v>95.875</v>
      </c>
      <c r="F56" s="125">
        <v>95.75</v>
      </c>
      <c r="G56" s="163">
        <f t="shared" si="0"/>
        <v>95.8125</v>
      </c>
      <c r="H56" s="167">
        <f t="shared" si="1"/>
        <v>6</v>
      </c>
      <c r="I56" s="125"/>
    </row>
    <row r="57" spans="1:9" ht="20.25" x14ac:dyDescent="0.25">
      <c r="A57" s="142">
        <v>54</v>
      </c>
      <c r="B57" s="32"/>
      <c r="C57" s="128"/>
      <c r="D57" s="128"/>
      <c r="E57" s="125">
        <v>80.75</v>
      </c>
      <c r="F57" s="125">
        <v>78.25</v>
      </c>
      <c r="G57" s="163">
        <f t="shared" si="0"/>
        <v>79.5</v>
      </c>
      <c r="H57" s="167">
        <f t="shared" si="1"/>
        <v>41</v>
      </c>
      <c r="I57" s="125"/>
    </row>
    <row r="58" spans="1:9" x14ac:dyDescent="0.25">
      <c r="A58" s="140">
        <v>55</v>
      </c>
      <c r="B58" s="139"/>
      <c r="C58" s="128"/>
      <c r="D58" s="128"/>
      <c r="E58" s="125"/>
      <c r="F58" s="125"/>
      <c r="G58" s="127"/>
      <c r="H58" s="125"/>
      <c r="I58" s="125"/>
    </row>
  </sheetData>
  <mergeCells count="2">
    <mergeCell ref="A2:I2"/>
    <mergeCell ref="A1:L1"/>
  </mergeCells>
  <pageMargins left="0.7" right="0.7" top="0.75" bottom="0.75" header="0.3" footer="0.3"/>
  <pageSetup paperSize="9" scale="6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9"/>
  <sheetViews>
    <sheetView view="pageBreakPreview" topLeftCell="A128" zoomScale="60" zoomScaleNormal="100" workbookViewId="0">
      <selection activeCell="B147" sqref="B6:B149"/>
    </sheetView>
  </sheetViews>
  <sheetFormatPr defaultRowHeight="15" x14ac:dyDescent="0.25"/>
  <cols>
    <col min="1" max="1" width="5.5703125" customWidth="1"/>
    <col min="2" max="2" width="24.140625" customWidth="1"/>
    <col min="3" max="3" width="8.140625" customWidth="1"/>
    <col min="5" max="5" width="12.42578125" customWidth="1"/>
  </cols>
  <sheetData>
    <row r="1" spans="1:16" x14ac:dyDescent="0.25">
      <c r="A1" s="1001" t="s">
        <v>91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  <c r="M1" s="1002"/>
      <c r="N1" s="1002"/>
      <c r="O1" s="1002"/>
      <c r="P1" s="1003"/>
    </row>
    <row r="2" spans="1:16" x14ac:dyDescent="0.25">
      <c r="A2" s="1004"/>
      <c r="B2" s="1005"/>
      <c r="C2" s="1005"/>
      <c r="D2" s="1005"/>
      <c r="E2" s="1005"/>
      <c r="F2" s="1005"/>
      <c r="G2" s="1005"/>
      <c r="H2" s="1005"/>
      <c r="I2" s="1005"/>
      <c r="J2" s="1005"/>
      <c r="K2" s="1005"/>
      <c r="L2" s="1005"/>
      <c r="M2" s="1005"/>
      <c r="N2" s="1005"/>
      <c r="O2" s="1005"/>
      <c r="P2" s="1006"/>
    </row>
    <row r="3" spans="1:16" x14ac:dyDescent="0.25">
      <c r="A3" s="1007" t="s">
        <v>92</v>
      </c>
      <c r="B3" s="1008"/>
      <c r="C3" s="1008"/>
      <c r="D3" s="1008"/>
      <c r="E3" s="1008"/>
      <c r="F3" s="1008"/>
      <c r="G3" s="1008"/>
      <c r="H3" s="1008"/>
      <c r="I3" s="1008"/>
      <c r="J3" s="1008"/>
      <c r="K3" s="1008"/>
      <c r="L3" s="1008"/>
      <c r="M3" s="1008"/>
      <c r="N3" s="1008"/>
      <c r="O3" s="1008"/>
      <c r="P3" s="1009"/>
    </row>
    <row r="4" spans="1:16" x14ac:dyDescent="0.25">
      <c r="A4" s="1007"/>
      <c r="B4" s="1008"/>
      <c r="C4" s="1008"/>
      <c r="D4" s="1008"/>
      <c r="E4" s="1008"/>
      <c r="F4" s="1008"/>
      <c r="G4" s="1008"/>
      <c r="H4" s="1008"/>
      <c r="I4" s="1008"/>
      <c r="J4" s="1008"/>
      <c r="K4" s="1008"/>
      <c r="L4" s="1008"/>
      <c r="M4" s="1008"/>
      <c r="N4" s="1008"/>
      <c r="O4" s="1008"/>
      <c r="P4" s="1009"/>
    </row>
    <row r="5" spans="1:16" x14ac:dyDescent="0.25">
      <c r="A5" s="825" t="s">
        <v>93</v>
      </c>
      <c r="B5" s="825" t="s">
        <v>1</v>
      </c>
      <c r="C5" s="825" t="s">
        <v>2</v>
      </c>
      <c r="D5" s="825" t="s">
        <v>3</v>
      </c>
      <c r="E5" s="825" t="s">
        <v>4</v>
      </c>
      <c r="F5" s="825" t="s">
        <v>5</v>
      </c>
      <c r="G5" s="825" t="s">
        <v>94</v>
      </c>
      <c r="H5" s="825" t="s">
        <v>24</v>
      </c>
      <c r="I5" s="825" t="s">
        <v>95</v>
      </c>
      <c r="J5" s="825" t="s">
        <v>96</v>
      </c>
      <c r="K5" s="825" t="s">
        <v>10</v>
      </c>
      <c r="L5" s="825" t="s">
        <v>77</v>
      </c>
      <c r="M5" s="825" t="s">
        <v>13</v>
      </c>
      <c r="N5" s="825" t="s">
        <v>14</v>
      </c>
      <c r="O5" s="825" t="s">
        <v>15</v>
      </c>
      <c r="P5" s="825" t="s">
        <v>16</v>
      </c>
    </row>
    <row r="6" spans="1:16" x14ac:dyDescent="0.25">
      <c r="A6" s="825">
        <v>1</v>
      </c>
      <c r="B6" s="998"/>
      <c r="C6" s="825">
        <v>15</v>
      </c>
      <c r="D6" s="825" t="s">
        <v>17</v>
      </c>
      <c r="E6" s="825" t="s">
        <v>18</v>
      </c>
      <c r="F6" s="825">
        <v>76</v>
      </c>
      <c r="G6" s="825">
        <v>59</v>
      </c>
      <c r="H6" s="825">
        <v>66</v>
      </c>
      <c r="I6" s="825">
        <v>88</v>
      </c>
      <c r="J6" s="825">
        <v>78</v>
      </c>
      <c r="K6" s="825">
        <v>77</v>
      </c>
      <c r="L6" s="825">
        <v>527</v>
      </c>
      <c r="M6" s="825">
        <v>75.285714285714292</v>
      </c>
      <c r="N6" s="825">
        <v>30</v>
      </c>
      <c r="O6" s="825">
        <v>0</v>
      </c>
      <c r="P6" s="825">
        <v>0</v>
      </c>
    </row>
    <row r="7" spans="1:16" x14ac:dyDescent="0.25">
      <c r="A7" s="825"/>
      <c r="B7" s="999"/>
      <c r="C7" s="825">
        <v>15</v>
      </c>
      <c r="D7" s="825" t="s">
        <v>20</v>
      </c>
      <c r="E7" s="825" t="s">
        <v>19</v>
      </c>
      <c r="F7" s="825">
        <v>68</v>
      </c>
      <c r="G7" s="825">
        <v>50</v>
      </c>
      <c r="H7" s="825">
        <v>76</v>
      </c>
      <c r="I7" s="825">
        <v>68</v>
      </c>
      <c r="J7" s="825">
        <v>70</v>
      </c>
      <c r="K7" s="825">
        <v>78</v>
      </c>
      <c r="L7" s="825">
        <v>497</v>
      </c>
      <c r="M7" s="825">
        <v>71</v>
      </c>
      <c r="N7" s="825">
        <v>38</v>
      </c>
      <c r="O7" s="825">
        <v>0</v>
      </c>
      <c r="P7" s="825">
        <v>0</v>
      </c>
    </row>
    <row r="8" spans="1:16" x14ac:dyDescent="0.25">
      <c r="A8" s="825"/>
      <c r="B8" s="1000"/>
      <c r="C8" s="825">
        <v>15</v>
      </c>
      <c r="D8" s="825" t="s">
        <v>20</v>
      </c>
      <c r="E8" s="825" t="s">
        <v>13</v>
      </c>
      <c r="F8" s="825">
        <v>72</v>
      </c>
      <c r="G8" s="825">
        <v>54.5</v>
      </c>
      <c r="H8" s="825">
        <v>71</v>
      </c>
      <c r="I8" s="825">
        <v>78</v>
      </c>
      <c r="J8" s="825">
        <v>74</v>
      </c>
      <c r="K8" s="825">
        <v>77.5</v>
      </c>
      <c r="L8" s="825">
        <v>512</v>
      </c>
      <c r="M8" s="825">
        <v>73.142857142857139</v>
      </c>
      <c r="N8" s="825">
        <v>36</v>
      </c>
      <c r="O8" s="825">
        <v>0</v>
      </c>
      <c r="P8" s="825">
        <v>0</v>
      </c>
    </row>
    <row r="9" spans="1:16" x14ac:dyDescent="0.25">
      <c r="A9" s="825">
        <v>2</v>
      </c>
      <c r="B9" s="998"/>
      <c r="C9" s="825">
        <v>16</v>
      </c>
      <c r="D9" s="825" t="s">
        <v>17</v>
      </c>
      <c r="E9" s="825" t="s">
        <v>18</v>
      </c>
      <c r="F9" s="825">
        <v>80</v>
      </c>
      <c r="G9" s="825">
        <v>74</v>
      </c>
      <c r="H9" s="825">
        <v>92</v>
      </c>
      <c r="I9" s="825">
        <v>99</v>
      </c>
      <c r="J9" s="825">
        <v>95</v>
      </c>
      <c r="K9" s="825">
        <v>95</v>
      </c>
      <c r="L9" s="825">
        <v>616</v>
      </c>
      <c r="M9" s="825">
        <v>88</v>
      </c>
      <c r="N9" s="825">
        <v>8</v>
      </c>
      <c r="O9" s="825">
        <v>0</v>
      </c>
      <c r="P9" s="825">
        <v>0</v>
      </c>
    </row>
    <row r="10" spans="1:16" x14ac:dyDescent="0.25">
      <c r="A10" s="825"/>
      <c r="B10" s="999"/>
      <c r="C10" s="825">
        <v>15</v>
      </c>
      <c r="D10" s="825" t="s">
        <v>20</v>
      </c>
      <c r="E10" s="825" t="s">
        <v>19</v>
      </c>
      <c r="F10" s="825">
        <v>88</v>
      </c>
      <c r="G10" s="825">
        <v>73</v>
      </c>
      <c r="H10" s="825">
        <v>95</v>
      </c>
      <c r="I10" s="825">
        <v>89</v>
      </c>
      <c r="J10" s="825">
        <v>95</v>
      </c>
      <c r="K10" s="825">
        <v>87</v>
      </c>
      <c r="L10" s="825">
        <v>611</v>
      </c>
      <c r="M10" s="825">
        <v>87.285714285714292</v>
      </c>
      <c r="N10" s="825">
        <v>10</v>
      </c>
      <c r="O10" s="825">
        <v>0</v>
      </c>
      <c r="P10" s="825">
        <v>0</v>
      </c>
    </row>
    <row r="11" spans="1:16" x14ac:dyDescent="0.25">
      <c r="A11" s="825"/>
      <c r="B11" s="1000"/>
      <c r="C11" s="825">
        <v>15</v>
      </c>
      <c r="D11" s="825" t="s">
        <v>20</v>
      </c>
      <c r="E11" s="825" t="s">
        <v>13</v>
      </c>
      <c r="F11" s="825">
        <v>84</v>
      </c>
      <c r="G11" s="825">
        <v>73.5</v>
      </c>
      <c r="H11" s="825">
        <v>93.5</v>
      </c>
      <c r="I11" s="825">
        <v>94</v>
      </c>
      <c r="J11" s="825">
        <v>95</v>
      </c>
      <c r="K11" s="825">
        <v>91</v>
      </c>
      <c r="L11" s="825">
        <v>613.5</v>
      </c>
      <c r="M11" s="825">
        <v>87.642857142857139</v>
      </c>
      <c r="N11" s="825">
        <v>9</v>
      </c>
      <c r="O11" s="825">
        <v>0</v>
      </c>
      <c r="P11" s="825">
        <v>0</v>
      </c>
    </row>
    <row r="12" spans="1:16" x14ac:dyDescent="0.25">
      <c r="A12" s="825">
        <v>3</v>
      </c>
      <c r="B12" s="998"/>
      <c r="C12" s="825">
        <v>16</v>
      </c>
      <c r="D12" s="825" t="s">
        <v>20</v>
      </c>
      <c r="E12" s="825" t="s">
        <v>18</v>
      </c>
      <c r="F12" s="825">
        <v>89</v>
      </c>
      <c r="G12" s="825">
        <v>39</v>
      </c>
      <c r="H12" s="825">
        <v>67</v>
      </c>
      <c r="I12" s="825">
        <v>78</v>
      </c>
      <c r="J12" s="825">
        <v>80</v>
      </c>
      <c r="K12" s="825">
        <v>87</v>
      </c>
      <c r="L12" s="825">
        <v>527</v>
      </c>
      <c r="M12" s="825">
        <v>75.285714285714292</v>
      </c>
      <c r="N12" s="825">
        <v>30</v>
      </c>
      <c r="O12" s="825">
        <v>0</v>
      </c>
      <c r="P12" s="825">
        <v>0</v>
      </c>
    </row>
    <row r="13" spans="1:16" x14ac:dyDescent="0.25">
      <c r="A13" s="825"/>
      <c r="B13" s="999"/>
      <c r="C13" s="825">
        <v>17</v>
      </c>
      <c r="D13" s="825" t="s">
        <v>17</v>
      </c>
      <c r="E13" s="825" t="s">
        <v>19</v>
      </c>
      <c r="F13" s="825">
        <v>82</v>
      </c>
      <c r="G13" s="825">
        <v>47</v>
      </c>
      <c r="H13" s="825">
        <v>83</v>
      </c>
      <c r="I13" s="825">
        <v>79</v>
      </c>
      <c r="J13" s="825">
        <v>87</v>
      </c>
      <c r="K13" s="825">
        <v>89</v>
      </c>
      <c r="L13" s="825">
        <v>553</v>
      </c>
      <c r="M13" s="825">
        <v>79</v>
      </c>
      <c r="N13" s="825">
        <v>24</v>
      </c>
      <c r="O13" s="825">
        <v>0</v>
      </c>
      <c r="P13" s="825">
        <v>0</v>
      </c>
    </row>
    <row r="14" spans="1:16" x14ac:dyDescent="0.25">
      <c r="A14" s="825"/>
      <c r="B14" s="1000"/>
      <c r="C14" s="825">
        <v>17</v>
      </c>
      <c r="D14" s="825" t="s">
        <v>17</v>
      </c>
      <c r="E14" s="825" t="s">
        <v>13</v>
      </c>
      <c r="F14" s="825">
        <v>85.5</v>
      </c>
      <c r="G14" s="825">
        <v>43</v>
      </c>
      <c r="H14" s="825">
        <v>75</v>
      </c>
      <c r="I14" s="825">
        <v>78.5</v>
      </c>
      <c r="J14" s="825">
        <v>83.5</v>
      </c>
      <c r="K14" s="825">
        <v>88</v>
      </c>
      <c r="L14" s="825">
        <v>540</v>
      </c>
      <c r="M14" s="825">
        <v>77.142857142857139</v>
      </c>
      <c r="N14" s="825">
        <v>27</v>
      </c>
      <c r="O14" s="825">
        <v>0</v>
      </c>
      <c r="P14" s="825">
        <v>0</v>
      </c>
    </row>
    <row r="15" spans="1:16" x14ac:dyDescent="0.25">
      <c r="A15" s="825">
        <v>4</v>
      </c>
      <c r="B15" s="998"/>
      <c r="C15" s="825">
        <v>16</v>
      </c>
      <c r="D15" s="825" t="s">
        <v>17</v>
      </c>
      <c r="E15" s="825" t="s">
        <v>18</v>
      </c>
      <c r="F15" s="825">
        <v>72</v>
      </c>
      <c r="G15" s="825">
        <v>68</v>
      </c>
      <c r="H15" s="825">
        <v>79</v>
      </c>
      <c r="I15" s="825">
        <v>89</v>
      </c>
      <c r="J15" s="825">
        <v>84</v>
      </c>
      <c r="K15" s="825">
        <v>84</v>
      </c>
      <c r="L15" s="825">
        <v>549</v>
      </c>
      <c r="M15" s="825">
        <v>78.428571428571431</v>
      </c>
      <c r="N15" s="825">
        <v>23</v>
      </c>
      <c r="O15" s="825">
        <v>0</v>
      </c>
      <c r="P15" s="825">
        <v>0</v>
      </c>
    </row>
    <row r="16" spans="1:16" x14ac:dyDescent="0.25">
      <c r="A16" s="825"/>
      <c r="B16" s="999"/>
      <c r="C16" s="825">
        <v>15</v>
      </c>
      <c r="D16" s="825" t="s">
        <v>20</v>
      </c>
      <c r="E16" s="825" t="s">
        <v>19</v>
      </c>
      <c r="F16" s="825">
        <v>82</v>
      </c>
      <c r="G16" s="825">
        <v>78</v>
      </c>
      <c r="H16" s="825">
        <v>89</v>
      </c>
      <c r="I16" s="825">
        <v>85</v>
      </c>
      <c r="J16" s="825">
        <v>87</v>
      </c>
      <c r="K16" s="825">
        <v>81</v>
      </c>
      <c r="L16" s="825">
        <v>590</v>
      </c>
      <c r="M16" s="825">
        <v>84.285714285714292</v>
      </c>
      <c r="N16" s="825">
        <v>15</v>
      </c>
      <c r="O16" s="825">
        <v>0</v>
      </c>
      <c r="P16" s="825">
        <v>0</v>
      </c>
    </row>
    <row r="17" spans="1:16" x14ac:dyDescent="0.25">
      <c r="A17" s="825"/>
      <c r="B17" s="1000"/>
      <c r="C17" s="825">
        <v>15</v>
      </c>
      <c r="D17" s="825" t="s">
        <v>20</v>
      </c>
      <c r="E17" s="825" t="s">
        <v>13</v>
      </c>
      <c r="F17" s="825">
        <v>77</v>
      </c>
      <c r="G17" s="825">
        <v>73</v>
      </c>
      <c r="H17" s="825">
        <v>84</v>
      </c>
      <c r="I17" s="825">
        <v>87</v>
      </c>
      <c r="J17" s="825">
        <v>85.5</v>
      </c>
      <c r="K17" s="825">
        <v>82.5</v>
      </c>
      <c r="L17" s="825">
        <v>569.5</v>
      </c>
      <c r="M17" s="825">
        <v>81.357142857142861</v>
      </c>
      <c r="N17" s="825">
        <v>17</v>
      </c>
      <c r="O17" s="825">
        <v>0</v>
      </c>
      <c r="P17" s="825">
        <v>0</v>
      </c>
    </row>
    <row r="18" spans="1:16" x14ac:dyDescent="0.25">
      <c r="A18" s="825">
        <v>5</v>
      </c>
      <c r="B18" s="998"/>
      <c r="C18" s="825">
        <v>16</v>
      </c>
      <c r="D18" s="825" t="s">
        <v>20</v>
      </c>
      <c r="E18" s="825" t="s">
        <v>18</v>
      </c>
      <c r="F18" s="825">
        <v>59</v>
      </c>
      <c r="G18" s="825">
        <v>52</v>
      </c>
      <c r="H18" s="825">
        <v>61</v>
      </c>
      <c r="I18" s="825">
        <v>66</v>
      </c>
      <c r="J18" s="825">
        <v>60</v>
      </c>
      <c r="K18" s="825">
        <v>83</v>
      </c>
      <c r="L18" s="825">
        <v>461</v>
      </c>
      <c r="M18" s="825">
        <v>65.857142857142861</v>
      </c>
      <c r="N18" s="825">
        <v>43</v>
      </c>
      <c r="O18" s="825">
        <v>0</v>
      </c>
      <c r="P18" s="825">
        <v>0</v>
      </c>
    </row>
    <row r="19" spans="1:16" x14ac:dyDescent="0.25">
      <c r="A19" s="825"/>
      <c r="B19" s="999"/>
      <c r="C19" s="825">
        <v>14</v>
      </c>
      <c r="D19" s="825" t="s">
        <v>17</v>
      </c>
      <c r="E19" s="825" t="s">
        <v>19</v>
      </c>
      <c r="F19" s="825">
        <v>58</v>
      </c>
      <c r="G19" s="825">
        <v>50</v>
      </c>
      <c r="H19" s="825">
        <v>73</v>
      </c>
      <c r="I19" s="825">
        <v>65</v>
      </c>
      <c r="J19" s="825">
        <v>66</v>
      </c>
      <c r="K19" s="825">
        <v>84</v>
      </c>
      <c r="L19" s="825">
        <v>474</v>
      </c>
      <c r="M19" s="825">
        <v>67.714285714285708</v>
      </c>
      <c r="N19" s="825">
        <v>41</v>
      </c>
      <c r="O19" s="825">
        <v>0</v>
      </c>
      <c r="P19" s="825">
        <v>0</v>
      </c>
    </row>
    <row r="20" spans="1:16" x14ac:dyDescent="0.25">
      <c r="A20" s="825"/>
      <c r="B20" s="1000"/>
      <c r="C20" s="825">
        <v>14</v>
      </c>
      <c r="D20" s="825" t="s">
        <v>17</v>
      </c>
      <c r="E20" s="825" t="s">
        <v>13</v>
      </c>
      <c r="F20" s="825">
        <v>58.5</v>
      </c>
      <c r="G20" s="825">
        <v>51</v>
      </c>
      <c r="H20" s="825">
        <v>67</v>
      </c>
      <c r="I20" s="825">
        <v>65.5</v>
      </c>
      <c r="J20" s="825">
        <v>63</v>
      </c>
      <c r="K20" s="825">
        <v>83.5</v>
      </c>
      <c r="L20" s="825">
        <v>467.5</v>
      </c>
      <c r="M20" s="825">
        <v>66.785714285714278</v>
      </c>
      <c r="N20" s="825">
        <v>43</v>
      </c>
      <c r="O20" s="825">
        <v>0</v>
      </c>
      <c r="P20" s="825">
        <v>0</v>
      </c>
    </row>
    <row r="21" spans="1:16" x14ac:dyDescent="0.25">
      <c r="A21" s="825">
        <v>6</v>
      </c>
      <c r="B21" s="998"/>
      <c r="C21" s="825">
        <v>16</v>
      </c>
      <c r="D21" s="825" t="s">
        <v>17</v>
      </c>
      <c r="E21" s="825" t="s">
        <v>18</v>
      </c>
      <c r="F21" s="825">
        <v>82</v>
      </c>
      <c r="G21" s="825">
        <v>58</v>
      </c>
      <c r="H21" s="825">
        <v>77</v>
      </c>
      <c r="I21" s="825">
        <v>83</v>
      </c>
      <c r="J21" s="825">
        <v>68</v>
      </c>
      <c r="K21" s="825">
        <v>81</v>
      </c>
      <c r="L21" s="825">
        <v>537</v>
      </c>
      <c r="M21" s="825">
        <v>76.714285714285708</v>
      </c>
      <c r="N21" s="825">
        <v>28</v>
      </c>
      <c r="O21" s="825">
        <v>0</v>
      </c>
      <c r="P21" s="825">
        <v>0</v>
      </c>
    </row>
    <row r="22" spans="1:16" x14ac:dyDescent="0.25">
      <c r="A22" s="825"/>
      <c r="B22" s="999"/>
      <c r="C22" s="825">
        <v>16</v>
      </c>
      <c r="D22" s="825" t="s">
        <v>17</v>
      </c>
      <c r="E22" s="825" t="s">
        <v>19</v>
      </c>
      <c r="F22" s="825">
        <v>79</v>
      </c>
      <c r="G22" s="825">
        <v>48</v>
      </c>
      <c r="H22" s="825">
        <v>77</v>
      </c>
      <c r="I22" s="825">
        <v>69</v>
      </c>
      <c r="J22" s="825">
        <v>79</v>
      </c>
      <c r="K22" s="825">
        <v>85</v>
      </c>
      <c r="L22" s="825">
        <v>528</v>
      </c>
      <c r="M22" s="825">
        <v>75.428571428571431</v>
      </c>
      <c r="N22" s="825">
        <v>32</v>
      </c>
      <c r="O22" s="825">
        <v>0</v>
      </c>
      <c r="P22" s="825">
        <v>0</v>
      </c>
    </row>
    <row r="23" spans="1:16" x14ac:dyDescent="0.25">
      <c r="A23" s="825"/>
      <c r="B23" s="1000"/>
      <c r="C23" s="825">
        <v>16</v>
      </c>
      <c r="D23" s="825" t="s">
        <v>17</v>
      </c>
      <c r="E23" s="825" t="s">
        <v>13</v>
      </c>
      <c r="F23" s="825">
        <v>80.5</v>
      </c>
      <c r="G23" s="825">
        <v>53</v>
      </c>
      <c r="H23" s="825">
        <v>77</v>
      </c>
      <c r="I23" s="825">
        <v>76</v>
      </c>
      <c r="J23" s="825">
        <v>73.5</v>
      </c>
      <c r="K23" s="825">
        <v>83</v>
      </c>
      <c r="L23" s="825">
        <v>532.5</v>
      </c>
      <c r="M23" s="825">
        <v>76.071428571428569</v>
      </c>
      <c r="N23" s="825">
        <v>31</v>
      </c>
      <c r="O23" s="825">
        <v>0</v>
      </c>
      <c r="P23" s="825">
        <v>0</v>
      </c>
    </row>
    <row r="24" spans="1:16" x14ac:dyDescent="0.25">
      <c r="A24" s="825">
        <v>7</v>
      </c>
      <c r="B24" s="998"/>
      <c r="C24" s="825">
        <v>16</v>
      </c>
      <c r="D24" s="825" t="s">
        <v>20</v>
      </c>
      <c r="E24" s="825" t="s">
        <v>18</v>
      </c>
      <c r="F24" s="825">
        <v>61</v>
      </c>
      <c r="G24" s="825">
        <v>68</v>
      </c>
      <c r="H24" s="825">
        <v>72</v>
      </c>
      <c r="I24" s="825">
        <v>94</v>
      </c>
      <c r="J24" s="825">
        <v>74</v>
      </c>
      <c r="K24" s="825">
        <v>85</v>
      </c>
      <c r="L24" s="825">
        <v>519</v>
      </c>
      <c r="M24" s="825">
        <v>74.142857142857139</v>
      </c>
      <c r="N24" s="825">
        <v>33</v>
      </c>
      <c r="O24" s="825">
        <v>0</v>
      </c>
      <c r="P24" s="825">
        <v>0</v>
      </c>
    </row>
    <row r="25" spans="1:16" x14ac:dyDescent="0.25">
      <c r="A25" s="825"/>
      <c r="B25" s="999"/>
      <c r="C25" s="825">
        <v>15</v>
      </c>
      <c r="D25" s="825" t="s">
        <v>20</v>
      </c>
      <c r="E25" s="825" t="s">
        <v>19</v>
      </c>
      <c r="F25" s="825">
        <v>77</v>
      </c>
      <c r="G25" s="825">
        <v>71</v>
      </c>
      <c r="H25" s="825">
        <v>85</v>
      </c>
      <c r="I25" s="825">
        <v>87</v>
      </c>
      <c r="J25" s="825">
        <v>90</v>
      </c>
      <c r="K25" s="825">
        <v>81</v>
      </c>
      <c r="L25" s="825">
        <v>578</v>
      </c>
      <c r="M25" s="825">
        <v>82.571428571428569</v>
      </c>
      <c r="N25" s="825">
        <v>18</v>
      </c>
      <c r="O25" s="825">
        <v>0</v>
      </c>
      <c r="P25" s="825">
        <v>0</v>
      </c>
    </row>
    <row r="26" spans="1:16" x14ac:dyDescent="0.25">
      <c r="A26" s="825"/>
      <c r="B26" s="1000"/>
      <c r="C26" s="825">
        <v>15</v>
      </c>
      <c r="D26" s="825" t="s">
        <v>20</v>
      </c>
      <c r="E26" s="825" t="s">
        <v>13</v>
      </c>
      <c r="F26" s="825">
        <v>69</v>
      </c>
      <c r="G26" s="825">
        <v>69.5</v>
      </c>
      <c r="H26" s="825">
        <v>78.5</v>
      </c>
      <c r="I26" s="825">
        <v>90.5</v>
      </c>
      <c r="J26" s="825">
        <v>82</v>
      </c>
      <c r="K26" s="825">
        <v>83</v>
      </c>
      <c r="L26" s="825">
        <v>548.5</v>
      </c>
      <c r="M26" s="825">
        <v>78.357142857142861</v>
      </c>
      <c r="N26" s="825">
        <v>25</v>
      </c>
      <c r="O26" s="825">
        <v>0</v>
      </c>
      <c r="P26" s="825">
        <v>0</v>
      </c>
    </row>
    <row r="27" spans="1:16" x14ac:dyDescent="0.25">
      <c r="A27" s="825">
        <v>8</v>
      </c>
      <c r="B27" s="998"/>
      <c r="C27" s="825">
        <v>16</v>
      </c>
      <c r="D27" s="825" t="s">
        <v>17</v>
      </c>
      <c r="E27" s="825" t="s">
        <v>18</v>
      </c>
      <c r="F27" s="825">
        <v>65</v>
      </c>
      <c r="G27" s="825">
        <v>59</v>
      </c>
      <c r="H27" s="825">
        <v>80</v>
      </c>
      <c r="I27" s="825">
        <v>82</v>
      </c>
      <c r="J27" s="825">
        <v>78</v>
      </c>
      <c r="K27" s="825">
        <v>91</v>
      </c>
      <c r="L27" s="825">
        <v>548</v>
      </c>
      <c r="M27" s="825">
        <v>78.285714285714292</v>
      </c>
      <c r="N27" s="825">
        <v>24</v>
      </c>
      <c r="O27" s="825">
        <v>0</v>
      </c>
      <c r="P27" s="825">
        <v>0</v>
      </c>
    </row>
    <row r="28" spans="1:16" x14ac:dyDescent="0.25">
      <c r="A28" s="825"/>
      <c r="B28" s="999"/>
      <c r="C28" s="825">
        <v>15</v>
      </c>
      <c r="D28" s="825" t="s">
        <v>20</v>
      </c>
      <c r="E28" s="825" t="s">
        <v>19</v>
      </c>
      <c r="F28" s="825">
        <v>66</v>
      </c>
      <c r="G28" s="825">
        <v>65</v>
      </c>
      <c r="H28" s="825">
        <v>81</v>
      </c>
      <c r="I28" s="825">
        <v>76</v>
      </c>
      <c r="J28" s="825">
        <v>86</v>
      </c>
      <c r="K28" s="825">
        <v>93</v>
      </c>
      <c r="L28" s="825">
        <v>552</v>
      </c>
      <c r="M28" s="825">
        <v>78.857142857142861</v>
      </c>
      <c r="N28" s="825">
        <v>26</v>
      </c>
      <c r="O28" s="825">
        <v>0</v>
      </c>
      <c r="P28" s="825">
        <v>0</v>
      </c>
    </row>
    <row r="29" spans="1:16" x14ac:dyDescent="0.25">
      <c r="A29" s="825"/>
      <c r="B29" s="1000"/>
      <c r="C29" s="825">
        <v>15</v>
      </c>
      <c r="D29" s="825" t="s">
        <v>20</v>
      </c>
      <c r="E29" s="825" t="s">
        <v>13</v>
      </c>
      <c r="F29" s="825">
        <v>65.5</v>
      </c>
      <c r="G29" s="825">
        <v>62</v>
      </c>
      <c r="H29" s="825">
        <v>80.5</v>
      </c>
      <c r="I29" s="825">
        <v>79</v>
      </c>
      <c r="J29" s="825">
        <v>82</v>
      </c>
      <c r="K29" s="825">
        <v>92</v>
      </c>
      <c r="L29" s="825">
        <v>550</v>
      </c>
      <c r="M29" s="825">
        <v>78.571428571428584</v>
      </c>
      <c r="N29" s="825">
        <v>24</v>
      </c>
      <c r="O29" s="825">
        <v>0</v>
      </c>
      <c r="P29" s="825">
        <v>0</v>
      </c>
    </row>
    <row r="30" spans="1:16" x14ac:dyDescent="0.25">
      <c r="A30" s="825">
        <v>9</v>
      </c>
      <c r="B30" s="998"/>
      <c r="C30" s="825">
        <v>16</v>
      </c>
      <c r="D30" s="825" t="s">
        <v>20</v>
      </c>
      <c r="E30" s="825" t="s">
        <v>18</v>
      </c>
      <c r="F30" s="825">
        <v>65</v>
      </c>
      <c r="G30" s="825">
        <v>59</v>
      </c>
      <c r="H30" s="825">
        <v>80</v>
      </c>
      <c r="I30" s="825">
        <v>82</v>
      </c>
      <c r="J30" s="825">
        <v>78</v>
      </c>
      <c r="K30" s="825">
        <v>91</v>
      </c>
      <c r="L30" s="825">
        <v>548</v>
      </c>
      <c r="M30" s="825">
        <v>78.285714285714292</v>
      </c>
      <c r="N30" s="825">
        <v>24</v>
      </c>
      <c r="O30" s="825">
        <v>0</v>
      </c>
      <c r="P30" s="825">
        <v>0</v>
      </c>
    </row>
    <row r="31" spans="1:16" x14ac:dyDescent="0.25">
      <c r="A31" s="825"/>
      <c r="B31" s="999"/>
      <c r="C31" s="825">
        <v>16</v>
      </c>
      <c r="D31" s="825" t="s">
        <v>20</v>
      </c>
      <c r="E31" s="825" t="s">
        <v>19</v>
      </c>
      <c r="F31" s="825">
        <v>92</v>
      </c>
      <c r="G31" s="825">
        <v>80</v>
      </c>
      <c r="H31" s="825">
        <v>94</v>
      </c>
      <c r="I31" s="825">
        <v>78</v>
      </c>
      <c r="J31" s="825">
        <v>92</v>
      </c>
      <c r="K31" s="825">
        <v>94</v>
      </c>
      <c r="L31" s="825">
        <v>617</v>
      </c>
      <c r="M31" s="825">
        <v>88.142857142857139</v>
      </c>
      <c r="N31" s="825">
        <v>8</v>
      </c>
      <c r="O31" s="825">
        <v>0</v>
      </c>
      <c r="P31" s="825">
        <v>0</v>
      </c>
    </row>
    <row r="32" spans="1:16" x14ac:dyDescent="0.25">
      <c r="A32" s="825"/>
      <c r="B32" s="1000"/>
      <c r="C32" s="825">
        <v>16</v>
      </c>
      <c r="D32" s="825" t="s">
        <v>20</v>
      </c>
      <c r="E32" s="825" t="s">
        <v>13</v>
      </c>
      <c r="F32" s="825">
        <v>78.5</v>
      </c>
      <c r="G32" s="825">
        <v>69.5</v>
      </c>
      <c r="H32" s="825">
        <v>87</v>
      </c>
      <c r="I32" s="825">
        <v>80</v>
      </c>
      <c r="J32" s="825">
        <v>85</v>
      </c>
      <c r="K32" s="825">
        <v>92.5</v>
      </c>
      <c r="L32" s="825">
        <v>582.5</v>
      </c>
      <c r="M32" s="825">
        <v>83.214285714285722</v>
      </c>
      <c r="N32" s="825">
        <v>7</v>
      </c>
      <c r="O32" s="825">
        <v>0</v>
      </c>
      <c r="P32" s="825">
        <v>0</v>
      </c>
    </row>
    <row r="33" spans="1:16" x14ac:dyDescent="0.25">
      <c r="A33" s="825">
        <v>10</v>
      </c>
      <c r="B33" s="998"/>
      <c r="C33" s="825">
        <v>16</v>
      </c>
      <c r="D33" s="825" t="s">
        <v>17</v>
      </c>
      <c r="E33" s="825" t="s">
        <v>18</v>
      </c>
      <c r="F33" s="825">
        <v>80</v>
      </c>
      <c r="G33" s="825">
        <v>71</v>
      </c>
      <c r="H33" s="825">
        <v>84</v>
      </c>
      <c r="I33" s="825">
        <v>90</v>
      </c>
      <c r="J33" s="825">
        <v>90</v>
      </c>
      <c r="K33" s="825">
        <v>86</v>
      </c>
      <c r="L33" s="825">
        <v>592</v>
      </c>
      <c r="M33" s="825">
        <v>84.571428571428569</v>
      </c>
      <c r="N33" s="825">
        <v>14</v>
      </c>
      <c r="O33" s="825">
        <v>0</v>
      </c>
      <c r="P33" s="825">
        <v>0</v>
      </c>
    </row>
    <row r="34" spans="1:16" x14ac:dyDescent="0.25">
      <c r="A34" s="825"/>
      <c r="B34" s="999"/>
      <c r="C34" s="825">
        <v>16</v>
      </c>
      <c r="D34" s="825" t="s">
        <v>17</v>
      </c>
      <c r="E34" s="825" t="s">
        <v>19</v>
      </c>
      <c r="F34" s="825">
        <v>83</v>
      </c>
      <c r="G34" s="825">
        <v>90</v>
      </c>
      <c r="H34" s="825">
        <v>87</v>
      </c>
      <c r="I34" s="825">
        <v>92</v>
      </c>
      <c r="J34" s="825">
        <v>95</v>
      </c>
      <c r="K34" s="825">
        <v>83</v>
      </c>
      <c r="L34" s="825">
        <v>621</v>
      </c>
      <c r="M34" s="825">
        <v>88.714285714285708</v>
      </c>
      <c r="N34" s="825">
        <v>7</v>
      </c>
      <c r="O34" s="825">
        <v>0</v>
      </c>
      <c r="P34" s="825">
        <v>0</v>
      </c>
    </row>
    <row r="35" spans="1:16" x14ac:dyDescent="0.25">
      <c r="A35" s="825"/>
      <c r="B35" s="1000"/>
      <c r="C35" s="825">
        <v>16</v>
      </c>
      <c r="D35" s="825" t="s">
        <v>17</v>
      </c>
      <c r="E35" s="825" t="s">
        <v>13</v>
      </c>
      <c r="F35" s="825">
        <v>81.5</v>
      </c>
      <c r="G35" s="825">
        <v>80.5</v>
      </c>
      <c r="H35" s="825">
        <v>85.5</v>
      </c>
      <c r="I35" s="825">
        <v>91</v>
      </c>
      <c r="J35" s="825">
        <v>92.5</v>
      </c>
      <c r="K35" s="825">
        <v>84.5</v>
      </c>
      <c r="L35" s="825">
        <v>606.5</v>
      </c>
      <c r="M35" s="825">
        <v>86.642857142857139</v>
      </c>
      <c r="N35" s="825">
        <v>10</v>
      </c>
      <c r="O35" s="825">
        <v>0</v>
      </c>
      <c r="P35" s="825">
        <v>0</v>
      </c>
    </row>
    <row r="36" spans="1:16" x14ac:dyDescent="0.25">
      <c r="A36" s="825">
        <v>11</v>
      </c>
      <c r="B36" s="998"/>
      <c r="C36" s="825">
        <v>16</v>
      </c>
      <c r="D36" s="825" t="s">
        <v>20</v>
      </c>
      <c r="E36" s="825" t="s">
        <v>18</v>
      </c>
      <c r="F36" s="825">
        <v>80</v>
      </c>
      <c r="G36" s="825">
        <v>78</v>
      </c>
      <c r="H36" s="825">
        <v>94</v>
      </c>
      <c r="I36" s="825">
        <v>96</v>
      </c>
      <c r="J36" s="825">
        <v>95</v>
      </c>
      <c r="K36" s="825">
        <v>93</v>
      </c>
      <c r="L36" s="825">
        <v>631</v>
      </c>
      <c r="M36" s="825">
        <v>90.142857142857139</v>
      </c>
      <c r="N36" s="825">
        <v>4</v>
      </c>
      <c r="O36" s="825">
        <v>0</v>
      </c>
      <c r="P36" s="825">
        <v>0</v>
      </c>
    </row>
    <row r="37" spans="1:16" x14ac:dyDescent="0.25">
      <c r="A37" s="825"/>
      <c r="B37" s="999"/>
      <c r="C37" s="825">
        <v>15</v>
      </c>
      <c r="D37" s="825" t="s">
        <v>20</v>
      </c>
      <c r="E37" s="825" t="s">
        <v>19</v>
      </c>
      <c r="F37" s="825">
        <v>86</v>
      </c>
      <c r="G37" s="825">
        <v>79</v>
      </c>
      <c r="H37" s="825">
        <v>97</v>
      </c>
      <c r="I37" s="825">
        <v>86</v>
      </c>
      <c r="J37" s="825">
        <v>94</v>
      </c>
      <c r="K37" s="825">
        <v>94</v>
      </c>
      <c r="L37" s="825">
        <v>624</v>
      </c>
      <c r="M37" s="825">
        <v>89.142857142857139</v>
      </c>
      <c r="N37" s="825">
        <v>6</v>
      </c>
      <c r="O37" s="825">
        <v>0</v>
      </c>
      <c r="P37" s="825">
        <v>0</v>
      </c>
    </row>
    <row r="38" spans="1:16" x14ac:dyDescent="0.25">
      <c r="A38" s="825"/>
      <c r="B38" s="1000"/>
      <c r="C38" s="825">
        <v>15</v>
      </c>
      <c r="D38" s="825" t="s">
        <v>20</v>
      </c>
      <c r="E38" s="825" t="s">
        <v>13</v>
      </c>
      <c r="F38" s="825">
        <v>83</v>
      </c>
      <c r="G38" s="825">
        <v>78.5</v>
      </c>
      <c r="H38" s="825">
        <v>95.5</v>
      </c>
      <c r="I38" s="825">
        <v>91</v>
      </c>
      <c r="J38" s="825">
        <v>94.5</v>
      </c>
      <c r="K38" s="825">
        <v>93.5</v>
      </c>
      <c r="L38" s="825">
        <v>627.5</v>
      </c>
      <c r="M38" s="825">
        <v>89.642857142857139</v>
      </c>
      <c r="N38" s="825">
        <v>4</v>
      </c>
      <c r="O38" s="825">
        <v>0</v>
      </c>
      <c r="P38" s="825">
        <v>0</v>
      </c>
    </row>
    <row r="39" spans="1:16" x14ac:dyDescent="0.25">
      <c r="A39" s="825">
        <v>12</v>
      </c>
      <c r="B39" s="998"/>
      <c r="C39" s="825">
        <v>16</v>
      </c>
      <c r="D39" s="825" t="s">
        <v>20</v>
      </c>
      <c r="E39" s="825" t="s">
        <v>18</v>
      </c>
      <c r="F39" s="825">
        <v>72</v>
      </c>
      <c r="G39" s="825">
        <v>66</v>
      </c>
      <c r="H39" s="825">
        <v>86</v>
      </c>
      <c r="I39" s="825">
        <v>96</v>
      </c>
      <c r="J39" s="825">
        <v>88</v>
      </c>
      <c r="K39" s="825">
        <v>89</v>
      </c>
      <c r="L39" s="825">
        <v>590</v>
      </c>
      <c r="M39" s="825">
        <v>84.285714285714292</v>
      </c>
      <c r="N39" s="825">
        <v>15</v>
      </c>
      <c r="O39" s="825">
        <v>0</v>
      </c>
      <c r="P39" s="825">
        <v>0</v>
      </c>
    </row>
    <row r="40" spans="1:16" x14ac:dyDescent="0.25">
      <c r="A40" s="825"/>
      <c r="B40" s="999"/>
      <c r="C40" s="825">
        <v>15</v>
      </c>
      <c r="D40" s="825" t="s">
        <v>17</v>
      </c>
      <c r="E40" s="825" t="s">
        <v>19</v>
      </c>
      <c r="F40" s="825">
        <v>57</v>
      </c>
      <c r="G40" s="825">
        <v>48</v>
      </c>
      <c r="H40" s="825">
        <v>84</v>
      </c>
      <c r="I40" s="825">
        <v>96</v>
      </c>
      <c r="J40" s="825">
        <v>90</v>
      </c>
      <c r="K40" s="825">
        <v>78</v>
      </c>
      <c r="L40" s="825">
        <v>538</v>
      </c>
      <c r="M40" s="825">
        <v>76.857142857142861</v>
      </c>
      <c r="N40" s="825">
        <v>28</v>
      </c>
      <c r="O40" s="825">
        <v>0</v>
      </c>
      <c r="P40" s="825">
        <v>0</v>
      </c>
    </row>
    <row r="41" spans="1:16" x14ac:dyDescent="0.25">
      <c r="A41" s="825"/>
      <c r="B41" s="1000"/>
      <c r="C41" s="825">
        <v>15</v>
      </c>
      <c r="D41" s="825" t="s">
        <v>17</v>
      </c>
      <c r="E41" s="825" t="s">
        <v>13</v>
      </c>
      <c r="F41" s="825">
        <v>64.5</v>
      </c>
      <c r="G41" s="825">
        <v>57</v>
      </c>
      <c r="H41" s="825">
        <v>85</v>
      </c>
      <c r="I41" s="825">
        <v>96</v>
      </c>
      <c r="J41" s="825">
        <v>89</v>
      </c>
      <c r="K41" s="825">
        <v>83.5</v>
      </c>
      <c r="L41" s="825">
        <v>564</v>
      </c>
      <c r="M41" s="825">
        <v>80.571428571428584</v>
      </c>
      <c r="N41" s="825">
        <v>19</v>
      </c>
      <c r="O41" s="825">
        <v>0</v>
      </c>
      <c r="P41" s="825">
        <v>0</v>
      </c>
    </row>
    <row r="42" spans="1:16" x14ac:dyDescent="0.25">
      <c r="A42" s="825">
        <v>13</v>
      </c>
      <c r="B42" s="998"/>
      <c r="C42" s="825">
        <v>16</v>
      </c>
      <c r="D42" s="825" t="s">
        <v>17</v>
      </c>
      <c r="E42" s="825" t="s">
        <v>18</v>
      </c>
      <c r="F42" s="825">
        <v>60</v>
      </c>
      <c r="G42" s="825">
        <v>58</v>
      </c>
      <c r="H42" s="825">
        <v>70</v>
      </c>
      <c r="I42" s="825">
        <v>66</v>
      </c>
      <c r="J42" s="825">
        <v>67</v>
      </c>
      <c r="K42" s="825">
        <v>91</v>
      </c>
      <c r="L42" s="825">
        <v>486</v>
      </c>
      <c r="M42" s="825">
        <v>69.428571428571431</v>
      </c>
      <c r="N42" s="825">
        <v>39</v>
      </c>
      <c r="O42" s="825">
        <v>0</v>
      </c>
      <c r="P42" s="825">
        <v>0</v>
      </c>
    </row>
    <row r="43" spans="1:16" x14ac:dyDescent="0.25">
      <c r="A43" s="825"/>
      <c r="B43" s="999"/>
      <c r="C43" s="825">
        <v>16</v>
      </c>
      <c r="D43" s="825" t="s">
        <v>20</v>
      </c>
      <c r="E43" s="825" t="s">
        <v>19</v>
      </c>
      <c r="F43" s="825">
        <v>71</v>
      </c>
      <c r="G43" s="825">
        <v>61</v>
      </c>
      <c r="H43" s="825">
        <v>70</v>
      </c>
      <c r="I43" s="825">
        <v>64</v>
      </c>
      <c r="J43" s="825">
        <v>42</v>
      </c>
      <c r="K43" s="825">
        <v>79</v>
      </c>
      <c r="L43" s="825">
        <v>467</v>
      </c>
      <c r="M43" s="825">
        <v>66.714285714285708</v>
      </c>
      <c r="N43" s="825">
        <v>43</v>
      </c>
      <c r="O43" s="825">
        <v>0</v>
      </c>
      <c r="P43" s="825">
        <v>0</v>
      </c>
    </row>
    <row r="44" spans="1:16" x14ac:dyDescent="0.25">
      <c r="A44" s="825"/>
      <c r="B44" s="1000"/>
      <c r="C44" s="825">
        <v>16</v>
      </c>
      <c r="D44" s="825" t="s">
        <v>20</v>
      </c>
      <c r="E44" s="825" t="s">
        <v>13</v>
      </c>
      <c r="F44" s="825">
        <v>65.5</v>
      </c>
      <c r="G44" s="825">
        <v>59.5</v>
      </c>
      <c r="H44" s="825">
        <v>70</v>
      </c>
      <c r="I44" s="825">
        <v>65</v>
      </c>
      <c r="J44" s="825">
        <v>54.5</v>
      </c>
      <c r="K44" s="825">
        <v>85</v>
      </c>
      <c r="L44" s="825">
        <v>476.5</v>
      </c>
      <c r="M44" s="825">
        <v>68.071428571428569</v>
      </c>
      <c r="N44" s="825">
        <v>41</v>
      </c>
      <c r="O44" s="825">
        <v>0</v>
      </c>
      <c r="P44" s="825">
        <v>0</v>
      </c>
    </row>
    <row r="45" spans="1:16" x14ac:dyDescent="0.25">
      <c r="A45" s="825">
        <v>14</v>
      </c>
      <c r="B45" s="998"/>
      <c r="C45" s="825">
        <v>16</v>
      </c>
      <c r="D45" s="825" t="s">
        <v>17</v>
      </c>
      <c r="E45" s="825" t="s">
        <v>18</v>
      </c>
      <c r="F45" s="825">
        <v>64</v>
      </c>
      <c r="G45" s="825">
        <v>44</v>
      </c>
      <c r="H45" s="825">
        <v>66</v>
      </c>
      <c r="I45" s="825">
        <v>70</v>
      </c>
      <c r="J45" s="825">
        <v>70</v>
      </c>
      <c r="K45" s="825">
        <v>81</v>
      </c>
      <c r="L45" s="825">
        <v>486</v>
      </c>
      <c r="M45" s="825">
        <v>69.428571428571431</v>
      </c>
      <c r="N45" s="825">
        <v>39</v>
      </c>
      <c r="O45" s="825">
        <v>0</v>
      </c>
      <c r="P45" s="825">
        <v>0</v>
      </c>
    </row>
    <row r="46" spans="1:16" x14ac:dyDescent="0.25">
      <c r="A46" s="825"/>
      <c r="B46" s="999"/>
      <c r="C46" s="825">
        <v>16</v>
      </c>
      <c r="D46" s="825" t="s">
        <v>17</v>
      </c>
      <c r="E46" s="825" t="s">
        <v>19</v>
      </c>
      <c r="F46" s="825">
        <v>68</v>
      </c>
      <c r="G46" s="825">
        <v>49</v>
      </c>
      <c r="H46" s="825">
        <v>76</v>
      </c>
      <c r="I46" s="825">
        <v>67</v>
      </c>
      <c r="J46" s="825">
        <v>76</v>
      </c>
      <c r="K46" s="825">
        <v>76</v>
      </c>
      <c r="L46" s="825">
        <v>497</v>
      </c>
      <c r="M46" s="825">
        <v>71</v>
      </c>
      <c r="N46" s="825">
        <v>38</v>
      </c>
      <c r="O46" s="825">
        <v>0</v>
      </c>
      <c r="P46" s="825">
        <v>0</v>
      </c>
    </row>
    <row r="47" spans="1:16" x14ac:dyDescent="0.25">
      <c r="A47" s="825"/>
      <c r="B47" s="1000"/>
      <c r="C47" s="825">
        <v>16</v>
      </c>
      <c r="D47" s="825" t="s">
        <v>17</v>
      </c>
      <c r="E47" s="825" t="s">
        <v>13</v>
      </c>
      <c r="F47" s="825">
        <v>66</v>
      </c>
      <c r="G47" s="825">
        <v>46.5</v>
      </c>
      <c r="H47" s="825">
        <v>71</v>
      </c>
      <c r="I47" s="825">
        <v>68.5</v>
      </c>
      <c r="J47" s="825">
        <v>73</v>
      </c>
      <c r="K47" s="825">
        <v>78.5</v>
      </c>
      <c r="L47" s="825">
        <v>491.5</v>
      </c>
      <c r="M47" s="825">
        <v>70.214285714285722</v>
      </c>
      <c r="N47" s="825">
        <v>39</v>
      </c>
      <c r="O47" s="825">
        <v>0</v>
      </c>
      <c r="P47" s="825">
        <v>0</v>
      </c>
    </row>
    <row r="48" spans="1:16" x14ac:dyDescent="0.25">
      <c r="A48" s="825">
        <v>15</v>
      </c>
      <c r="B48" s="998"/>
      <c r="C48" s="825">
        <v>16</v>
      </c>
      <c r="D48" s="825" t="s">
        <v>20</v>
      </c>
      <c r="E48" s="825" t="s">
        <v>18</v>
      </c>
      <c r="F48" s="825">
        <v>82</v>
      </c>
      <c r="G48" s="825">
        <v>87</v>
      </c>
      <c r="H48" s="825">
        <v>91</v>
      </c>
      <c r="I48" s="825">
        <v>88</v>
      </c>
      <c r="J48" s="825">
        <v>95</v>
      </c>
      <c r="K48" s="825">
        <v>97</v>
      </c>
      <c r="L48" s="825">
        <v>638</v>
      </c>
      <c r="M48" s="825">
        <v>91.142857142857139</v>
      </c>
      <c r="N48" s="825">
        <v>3</v>
      </c>
      <c r="O48" s="825">
        <v>0</v>
      </c>
      <c r="P48" s="825">
        <v>0</v>
      </c>
    </row>
    <row r="49" spans="1:16" x14ac:dyDescent="0.25">
      <c r="A49" s="825"/>
      <c r="B49" s="999"/>
      <c r="C49" s="825">
        <v>15</v>
      </c>
      <c r="D49" s="825" t="s">
        <v>20</v>
      </c>
      <c r="E49" s="825" t="s">
        <v>19</v>
      </c>
      <c r="F49" s="825">
        <v>82</v>
      </c>
      <c r="G49" s="825">
        <v>86</v>
      </c>
      <c r="H49" s="825">
        <v>92</v>
      </c>
      <c r="I49" s="825">
        <v>82</v>
      </c>
      <c r="J49" s="825">
        <v>91</v>
      </c>
      <c r="K49" s="825">
        <v>92</v>
      </c>
      <c r="L49" s="825">
        <v>615</v>
      </c>
      <c r="M49" s="825">
        <v>87.857142857142861</v>
      </c>
      <c r="N49" s="825">
        <v>9</v>
      </c>
      <c r="O49" s="825">
        <v>0</v>
      </c>
      <c r="P49" s="825">
        <v>0</v>
      </c>
    </row>
    <row r="50" spans="1:16" x14ac:dyDescent="0.25">
      <c r="A50" s="825"/>
      <c r="B50" s="1000"/>
      <c r="C50" s="825">
        <v>15</v>
      </c>
      <c r="D50" s="825" t="s">
        <v>20</v>
      </c>
      <c r="E50" s="825" t="s">
        <v>13</v>
      </c>
      <c r="F50" s="825">
        <v>82</v>
      </c>
      <c r="G50" s="825">
        <v>86.5</v>
      </c>
      <c r="H50" s="825">
        <v>91.5</v>
      </c>
      <c r="I50" s="825">
        <v>85</v>
      </c>
      <c r="J50" s="825">
        <v>93</v>
      </c>
      <c r="K50" s="825">
        <v>94.5</v>
      </c>
      <c r="L50" s="825">
        <v>626.5</v>
      </c>
      <c r="M50" s="825">
        <v>89.5</v>
      </c>
      <c r="N50" s="825">
        <v>6</v>
      </c>
      <c r="O50" s="825">
        <v>0</v>
      </c>
      <c r="P50" s="825">
        <v>0</v>
      </c>
    </row>
    <row r="51" spans="1:16" x14ac:dyDescent="0.25">
      <c r="A51" s="825">
        <v>16</v>
      </c>
      <c r="B51" s="998"/>
      <c r="C51" s="825">
        <v>16</v>
      </c>
      <c r="D51" s="825" t="s">
        <v>20</v>
      </c>
      <c r="E51" s="825" t="s">
        <v>18</v>
      </c>
      <c r="F51" s="825">
        <v>77</v>
      </c>
      <c r="G51" s="825">
        <v>69</v>
      </c>
      <c r="H51" s="825">
        <v>71</v>
      </c>
      <c r="I51" s="825">
        <v>90</v>
      </c>
      <c r="J51" s="825">
        <v>84</v>
      </c>
      <c r="K51" s="825">
        <v>88</v>
      </c>
      <c r="L51" s="825">
        <v>572</v>
      </c>
      <c r="M51" s="825">
        <v>81.714285714285708</v>
      </c>
      <c r="N51" s="825">
        <v>18</v>
      </c>
      <c r="O51" s="825">
        <v>0</v>
      </c>
      <c r="P51" s="825">
        <v>0</v>
      </c>
    </row>
    <row r="52" spans="1:16" x14ac:dyDescent="0.25">
      <c r="A52" s="825"/>
      <c r="B52" s="999"/>
      <c r="C52" s="825">
        <v>15</v>
      </c>
      <c r="D52" s="825" t="s">
        <v>20</v>
      </c>
      <c r="E52" s="825" t="s">
        <v>19</v>
      </c>
      <c r="F52" s="825">
        <v>83</v>
      </c>
      <c r="G52" s="825">
        <v>79</v>
      </c>
      <c r="H52" s="825">
        <v>81</v>
      </c>
      <c r="I52" s="825">
        <v>81</v>
      </c>
      <c r="J52" s="825">
        <v>88</v>
      </c>
      <c r="K52" s="825">
        <v>87</v>
      </c>
      <c r="L52" s="825">
        <v>586</v>
      </c>
      <c r="M52" s="825">
        <v>83.714285714285708</v>
      </c>
      <c r="N52" s="825">
        <v>17</v>
      </c>
      <c r="O52" s="825">
        <v>0</v>
      </c>
      <c r="P52" s="825">
        <v>0</v>
      </c>
    </row>
    <row r="53" spans="1:16" x14ac:dyDescent="0.25">
      <c r="A53" s="825"/>
      <c r="B53" s="1000"/>
      <c r="C53" s="825">
        <v>15</v>
      </c>
      <c r="D53" s="825" t="s">
        <v>20</v>
      </c>
      <c r="E53" s="825" t="s">
        <v>13</v>
      </c>
      <c r="F53" s="825">
        <v>80</v>
      </c>
      <c r="G53" s="825">
        <v>74</v>
      </c>
      <c r="H53" s="825">
        <v>76</v>
      </c>
      <c r="I53" s="825">
        <v>85.5</v>
      </c>
      <c r="J53" s="825">
        <v>86</v>
      </c>
      <c r="K53" s="825">
        <v>87.5</v>
      </c>
      <c r="L53" s="825">
        <v>579</v>
      </c>
      <c r="M53" s="825">
        <v>82.714285714285708</v>
      </c>
      <c r="N53" s="825">
        <v>16</v>
      </c>
      <c r="O53" s="825">
        <v>0</v>
      </c>
      <c r="P53" s="825">
        <v>0</v>
      </c>
    </row>
    <row r="54" spans="1:16" x14ac:dyDescent="0.25">
      <c r="A54" s="825">
        <v>17</v>
      </c>
      <c r="B54" s="998"/>
      <c r="C54" s="825">
        <v>16</v>
      </c>
      <c r="D54" s="825" t="s">
        <v>20</v>
      </c>
      <c r="E54" s="825" t="s">
        <v>18</v>
      </c>
      <c r="F54" s="825">
        <v>75</v>
      </c>
      <c r="G54" s="825">
        <v>79</v>
      </c>
      <c r="H54" s="825">
        <v>74</v>
      </c>
      <c r="I54" s="825">
        <v>82</v>
      </c>
      <c r="J54" s="825">
        <v>76</v>
      </c>
      <c r="K54" s="825">
        <v>84</v>
      </c>
      <c r="L54" s="825">
        <v>568</v>
      </c>
      <c r="M54" s="825">
        <v>81.142857142857139</v>
      </c>
      <c r="N54" s="825">
        <v>19</v>
      </c>
      <c r="O54" s="825">
        <v>0</v>
      </c>
      <c r="P54" s="825">
        <v>0</v>
      </c>
    </row>
    <row r="55" spans="1:16" x14ac:dyDescent="0.25">
      <c r="A55" s="825"/>
      <c r="B55" s="999"/>
      <c r="C55" s="825">
        <v>16</v>
      </c>
      <c r="D55" s="825" t="s">
        <v>20</v>
      </c>
      <c r="E55" s="825" t="s">
        <v>19</v>
      </c>
      <c r="F55" s="825">
        <v>85</v>
      </c>
      <c r="G55" s="825">
        <v>65</v>
      </c>
      <c r="H55" s="825">
        <v>74</v>
      </c>
      <c r="I55" s="825">
        <v>75</v>
      </c>
      <c r="J55" s="825">
        <v>82</v>
      </c>
      <c r="K55" s="825">
        <v>85</v>
      </c>
      <c r="L55" s="825">
        <v>557</v>
      </c>
      <c r="M55" s="825">
        <v>79.571428571428569</v>
      </c>
      <c r="N55" s="825">
        <v>21</v>
      </c>
      <c r="O55" s="825">
        <v>0</v>
      </c>
      <c r="P55" s="825">
        <v>0</v>
      </c>
    </row>
    <row r="56" spans="1:16" x14ac:dyDescent="0.25">
      <c r="A56" s="825"/>
      <c r="B56" s="1000"/>
      <c r="C56" s="825">
        <v>16</v>
      </c>
      <c r="D56" s="825" t="s">
        <v>20</v>
      </c>
      <c r="E56" s="825" t="s">
        <v>13</v>
      </c>
      <c r="F56" s="825">
        <v>80</v>
      </c>
      <c r="G56" s="825">
        <v>72</v>
      </c>
      <c r="H56" s="825">
        <v>74</v>
      </c>
      <c r="I56" s="825">
        <v>78.5</v>
      </c>
      <c r="J56" s="825">
        <v>79</v>
      </c>
      <c r="K56" s="825">
        <v>84.5</v>
      </c>
      <c r="L56" s="825">
        <v>562.5</v>
      </c>
      <c r="M56" s="825">
        <v>80.357142857142861</v>
      </c>
      <c r="N56" s="825">
        <v>21</v>
      </c>
      <c r="O56" s="825">
        <v>0</v>
      </c>
      <c r="P56" s="825">
        <v>0</v>
      </c>
    </row>
    <row r="57" spans="1:16" x14ac:dyDescent="0.25">
      <c r="A57" s="825">
        <v>18</v>
      </c>
      <c r="B57" s="998"/>
      <c r="C57" s="825">
        <v>16</v>
      </c>
      <c r="D57" s="825" t="s">
        <v>20</v>
      </c>
      <c r="E57" s="825" t="s">
        <v>18</v>
      </c>
      <c r="F57" s="825">
        <v>38</v>
      </c>
      <c r="G57" s="825">
        <v>39</v>
      </c>
      <c r="H57" s="825">
        <v>52</v>
      </c>
      <c r="I57" s="825">
        <v>64</v>
      </c>
      <c r="J57" s="825">
        <v>51</v>
      </c>
      <c r="K57" s="825">
        <v>68</v>
      </c>
      <c r="L57" s="825">
        <v>377</v>
      </c>
      <c r="M57" s="825">
        <v>53.857142857142854</v>
      </c>
      <c r="N57" s="825">
        <v>48</v>
      </c>
      <c r="O57" s="825">
        <v>0</v>
      </c>
      <c r="P57" s="825">
        <v>0</v>
      </c>
    </row>
    <row r="58" spans="1:16" x14ac:dyDescent="0.25">
      <c r="A58" s="825"/>
      <c r="B58" s="999"/>
      <c r="C58" s="825">
        <v>16</v>
      </c>
      <c r="D58" s="825" t="s">
        <v>17</v>
      </c>
      <c r="E58" s="825" t="s">
        <v>19</v>
      </c>
      <c r="F58" s="825">
        <v>56</v>
      </c>
      <c r="G58" s="825">
        <v>44</v>
      </c>
      <c r="H58" s="825">
        <v>59</v>
      </c>
      <c r="I58" s="825">
        <v>57</v>
      </c>
      <c r="J58" s="825">
        <v>68</v>
      </c>
      <c r="K58" s="825">
        <v>77</v>
      </c>
      <c r="L58" s="825">
        <v>434</v>
      </c>
      <c r="M58" s="825">
        <v>62</v>
      </c>
      <c r="N58" s="825">
        <v>48</v>
      </c>
      <c r="O58" s="825">
        <v>0</v>
      </c>
      <c r="P58" s="825">
        <v>0</v>
      </c>
    </row>
    <row r="59" spans="1:16" x14ac:dyDescent="0.25">
      <c r="A59" s="825"/>
      <c r="B59" s="1000"/>
      <c r="C59" s="825">
        <v>16</v>
      </c>
      <c r="D59" s="825" t="s">
        <v>17</v>
      </c>
      <c r="E59" s="825" t="s">
        <v>13</v>
      </c>
      <c r="F59" s="825">
        <v>47</v>
      </c>
      <c r="G59" s="825">
        <v>41.5</v>
      </c>
      <c r="H59" s="825">
        <v>55.5</v>
      </c>
      <c r="I59" s="825">
        <v>60.5</v>
      </c>
      <c r="J59" s="825">
        <v>59.5</v>
      </c>
      <c r="K59" s="825">
        <v>72.5</v>
      </c>
      <c r="L59" s="825">
        <v>405.5</v>
      </c>
      <c r="M59" s="825">
        <v>57.928571428571431</v>
      </c>
      <c r="N59" s="825">
        <v>48</v>
      </c>
      <c r="O59" s="825">
        <v>0</v>
      </c>
      <c r="P59" s="825">
        <v>0</v>
      </c>
    </row>
    <row r="60" spans="1:16" x14ac:dyDescent="0.25">
      <c r="A60" s="825">
        <v>19</v>
      </c>
      <c r="B60" s="998"/>
      <c r="C60" s="825">
        <v>16</v>
      </c>
      <c r="D60" s="825" t="s">
        <v>20</v>
      </c>
      <c r="E60" s="825" t="s">
        <v>18</v>
      </c>
      <c r="F60" s="825">
        <v>80</v>
      </c>
      <c r="G60" s="825">
        <v>83</v>
      </c>
      <c r="H60" s="825">
        <v>84</v>
      </c>
      <c r="I60" s="825">
        <v>89</v>
      </c>
      <c r="J60" s="825">
        <v>91</v>
      </c>
      <c r="K60" s="825">
        <v>98</v>
      </c>
      <c r="L60" s="825">
        <v>624</v>
      </c>
      <c r="M60" s="825">
        <v>89.142857142857139</v>
      </c>
      <c r="N60" s="825">
        <v>7</v>
      </c>
      <c r="O60" s="825">
        <v>0</v>
      </c>
      <c r="P60" s="825">
        <v>0</v>
      </c>
    </row>
    <row r="61" spans="1:16" x14ac:dyDescent="0.25">
      <c r="A61" s="825"/>
      <c r="B61" s="999"/>
      <c r="C61" s="825">
        <v>16</v>
      </c>
      <c r="D61" s="825" t="s">
        <v>20</v>
      </c>
      <c r="E61" s="825" t="s">
        <v>19</v>
      </c>
      <c r="F61" s="825">
        <v>81</v>
      </c>
      <c r="G61" s="825">
        <v>86</v>
      </c>
      <c r="H61" s="825">
        <v>94</v>
      </c>
      <c r="I61" s="825">
        <v>82</v>
      </c>
      <c r="J61" s="825">
        <v>94</v>
      </c>
      <c r="K61" s="825">
        <v>96</v>
      </c>
      <c r="L61" s="825">
        <v>631</v>
      </c>
      <c r="M61" s="825">
        <v>90.142857142857139</v>
      </c>
      <c r="N61" s="825">
        <v>5</v>
      </c>
      <c r="O61" s="825">
        <v>0</v>
      </c>
      <c r="P61" s="825">
        <v>0</v>
      </c>
    </row>
    <row r="62" spans="1:16" x14ac:dyDescent="0.25">
      <c r="A62" s="825"/>
      <c r="B62" s="1000"/>
      <c r="C62" s="825">
        <v>16</v>
      </c>
      <c r="D62" s="825" t="s">
        <v>20</v>
      </c>
      <c r="E62" s="825" t="s">
        <v>13</v>
      </c>
      <c r="F62" s="825">
        <v>80.5</v>
      </c>
      <c r="G62" s="825">
        <v>84.5</v>
      </c>
      <c r="H62" s="825">
        <v>89</v>
      </c>
      <c r="I62" s="825">
        <v>85.5</v>
      </c>
      <c r="J62" s="825">
        <v>92.5</v>
      </c>
      <c r="K62" s="825">
        <v>97</v>
      </c>
      <c r="L62" s="825">
        <v>627.5</v>
      </c>
      <c r="M62" s="825">
        <v>89.642857142857139</v>
      </c>
      <c r="N62" s="825">
        <v>4</v>
      </c>
      <c r="O62" s="825">
        <v>0</v>
      </c>
      <c r="P62" s="825">
        <v>0</v>
      </c>
    </row>
    <row r="63" spans="1:16" x14ac:dyDescent="0.25">
      <c r="A63" s="825">
        <v>20</v>
      </c>
      <c r="B63" s="998"/>
      <c r="C63" s="825">
        <v>16</v>
      </c>
      <c r="D63" s="825" t="s">
        <v>17</v>
      </c>
      <c r="E63" s="825" t="s">
        <v>18</v>
      </c>
      <c r="F63" s="825">
        <v>70</v>
      </c>
      <c r="G63" s="825">
        <v>51</v>
      </c>
      <c r="H63" s="825">
        <v>68</v>
      </c>
      <c r="I63" s="825">
        <v>80</v>
      </c>
      <c r="J63" s="825">
        <v>54</v>
      </c>
      <c r="K63" s="825">
        <v>83</v>
      </c>
      <c r="L63" s="825">
        <v>494</v>
      </c>
      <c r="M63" s="825">
        <v>70.571428571428569</v>
      </c>
      <c r="N63" s="825">
        <v>38</v>
      </c>
      <c r="O63" s="825">
        <v>0</v>
      </c>
      <c r="P63" s="825">
        <v>0</v>
      </c>
    </row>
    <row r="64" spans="1:16" x14ac:dyDescent="0.25">
      <c r="A64" s="825"/>
      <c r="B64" s="999"/>
      <c r="C64" s="825">
        <v>15</v>
      </c>
      <c r="D64" s="825" t="s">
        <v>20</v>
      </c>
      <c r="E64" s="825" t="s">
        <v>19</v>
      </c>
      <c r="F64" s="825">
        <v>75</v>
      </c>
      <c r="G64" s="825">
        <v>50</v>
      </c>
      <c r="H64" s="825">
        <v>78</v>
      </c>
      <c r="I64" s="825">
        <v>68</v>
      </c>
      <c r="J64" s="825">
        <v>68</v>
      </c>
      <c r="K64" s="825">
        <v>93</v>
      </c>
      <c r="L64" s="825">
        <v>517</v>
      </c>
      <c r="M64" s="825">
        <v>73.857142857142861</v>
      </c>
      <c r="N64" s="825">
        <v>35</v>
      </c>
      <c r="O64" s="825">
        <v>0</v>
      </c>
      <c r="P64" s="825">
        <v>0</v>
      </c>
    </row>
    <row r="65" spans="1:16" x14ac:dyDescent="0.25">
      <c r="A65" s="825"/>
      <c r="B65" s="1000"/>
      <c r="C65" s="825">
        <v>15</v>
      </c>
      <c r="D65" s="825" t="s">
        <v>20</v>
      </c>
      <c r="E65" s="825" t="s">
        <v>13</v>
      </c>
      <c r="F65" s="825">
        <v>72.5</v>
      </c>
      <c r="G65" s="825">
        <v>50.5</v>
      </c>
      <c r="H65" s="825">
        <v>73</v>
      </c>
      <c r="I65" s="825">
        <v>74</v>
      </c>
      <c r="J65" s="825">
        <v>61</v>
      </c>
      <c r="K65" s="825">
        <v>88</v>
      </c>
      <c r="L65" s="825">
        <v>505.5</v>
      </c>
      <c r="M65" s="825">
        <v>72.214285714285722</v>
      </c>
      <c r="N65" s="825">
        <v>37</v>
      </c>
      <c r="O65" s="825">
        <v>0</v>
      </c>
      <c r="P65" s="825">
        <v>0</v>
      </c>
    </row>
    <row r="66" spans="1:16" x14ac:dyDescent="0.25">
      <c r="A66" s="825">
        <v>21</v>
      </c>
      <c r="B66" s="998"/>
      <c r="C66" s="825">
        <v>16</v>
      </c>
      <c r="D66" s="825" t="s">
        <v>17</v>
      </c>
      <c r="E66" s="825" t="s">
        <v>18</v>
      </c>
      <c r="F66" s="825">
        <v>62</v>
      </c>
      <c r="G66" s="825">
        <v>75</v>
      </c>
      <c r="H66" s="825">
        <v>85</v>
      </c>
      <c r="I66" s="825">
        <v>89</v>
      </c>
      <c r="J66" s="825">
        <v>92</v>
      </c>
      <c r="K66" s="825">
        <v>99</v>
      </c>
      <c r="L66" s="825">
        <v>597</v>
      </c>
      <c r="M66" s="825">
        <v>85.285714285714292</v>
      </c>
      <c r="N66" s="825">
        <v>12</v>
      </c>
      <c r="O66" s="825">
        <v>0</v>
      </c>
      <c r="P66" s="825">
        <v>0</v>
      </c>
    </row>
    <row r="67" spans="1:16" x14ac:dyDescent="0.25">
      <c r="A67" s="825"/>
      <c r="B67" s="999"/>
      <c r="C67" s="825">
        <v>16</v>
      </c>
      <c r="D67" s="825" t="s">
        <v>17</v>
      </c>
      <c r="E67" s="825" t="s">
        <v>19</v>
      </c>
      <c r="F67" s="825">
        <v>72</v>
      </c>
      <c r="G67" s="825">
        <v>78</v>
      </c>
      <c r="H67" s="825">
        <v>89</v>
      </c>
      <c r="I67" s="825">
        <v>77</v>
      </c>
      <c r="J67" s="825">
        <v>90</v>
      </c>
      <c r="K67" s="825">
        <v>96</v>
      </c>
      <c r="L67" s="825">
        <v>589</v>
      </c>
      <c r="M67" s="825">
        <v>84.142857142857139</v>
      </c>
      <c r="N67" s="825">
        <v>16</v>
      </c>
      <c r="O67" s="825">
        <v>0</v>
      </c>
      <c r="P67" s="825">
        <v>0</v>
      </c>
    </row>
    <row r="68" spans="1:16" x14ac:dyDescent="0.25">
      <c r="A68" s="825"/>
      <c r="B68" s="1000"/>
      <c r="C68" s="825">
        <v>16</v>
      </c>
      <c r="D68" s="825" t="s">
        <v>17</v>
      </c>
      <c r="E68" s="825" t="s">
        <v>13</v>
      </c>
      <c r="F68" s="825">
        <v>67</v>
      </c>
      <c r="G68" s="825">
        <v>76.5</v>
      </c>
      <c r="H68" s="825">
        <v>87</v>
      </c>
      <c r="I68" s="825">
        <v>83</v>
      </c>
      <c r="J68" s="825">
        <v>91</v>
      </c>
      <c r="K68" s="825">
        <v>97.5</v>
      </c>
      <c r="L68" s="825">
        <v>593</v>
      </c>
      <c r="M68" s="825">
        <v>84.714285714285722</v>
      </c>
      <c r="N68" s="825">
        <v>14</v>
      </c>
      <c r="O68" s="825">
        <v>0</v>
      </c>
      <c r="P68" s="825">
        <v>0</v>
      </c>
    </row>
    <row r="69" spans="1:16" x14ac:dyDescent="0.25">
      <c r="A69" s="825">
        <v>22</v>
      </c>
      <c r="B69" s="998"/>
      <c r="C69" s="825">
        <v>16</v>
      </c>
      <c r="D69" s="825" t="s">
        <v>20</v>
      </c>
      <c r="E69" s="825" t="s">
        <v>18</v>
      </c>
      <c r="F69" s="825">
        <v>51</v>
      </c>
      <c r="G69" s="825">
        <v>49</v>
      </c>
      <c r="H69" s="825">
        <v>68</v>
      </c>
      <c r="I69" s="825">
        <v>76</v>
      </c>
      <c r="J69" s="825">
        <v>76</v>
      </c>
      <c r="K69" s="825">
        <v>89</v>
      </c>
      <c r="L69" s="825">
        <v>501</v>
      </c>
      <c r="M69" s="825">
        <v>71.571428571428569</v>
      </c>
      <c r="N69" s="825">
        <v>34</v>
      </c>
      <c r="O69" s="825">
        <v>0</v>
      </c>
      <c r="P69" s="825">
        <v>0</v>
      </c>
    </row>
    <row r="70" spans="1:16" x14ac:dyDescent="0.25">
      <c r="A70" s="825"/>
      <c r="B70" s="999"/>
      <c r="C70" s="825">
        <v>15</v>
      </c>
      <c r="D70" s="825" t="s">
        <v>20</v>
      </c>
      <c r="E70" s="825" t="s">
        <v>19</v>
      </c>
      <c r="F70" s="825">
        <v>56</v>
      </c>
      <c r="G70" s="825">
        <v>71</v>
      </c>
      <c r="H70" s="825">
        <v>84</v>
      </c>
      <c r="I70" s="825">
        <v>64</v>
      </c>
      <c r="J70" s="825">
        <v>82</v>
      </c>
      <c r="K70" s="825">
        <v>88</v>
      </c>
      <c r="L70" s="825">
        <v>525</v>
      </c>
      <c r="M70" s="825">
        <v>75</v>
      </c>
      <c r="N70" s="825">
        <v>34</v>
      </c>
      <c r="O70" s="825">
        <v>0</v>
      </c>
      <c r="P70" s="825">
        <v>0</v>
      </c>
    </row>
    <row r="71" spans="1:16" x14ac:dyDescent="0.25">
      <c r="A71" s="825"/>
      <c r="B71" s="1000"/>
      <c r="C71" s="825">
        <v>15</v>
      </c>
      <c r="D71" s="825" t="s">
        <v>20</v>
      </c>
      <c r="E71" s="825" t="s">
        <v>13</v>
      </c>
      <c r="F71" s="825">
        <v>53.5</v>
      </c>
      <c r="G71" s="825">
        <v>60</v>
      </c>
      <c r="H71" s="825">
        <v>76</v>
      </c>
      <c r="I71" s="825">
        <v>70</v>
      </c>
      <c r="J71" s="825">
        <v>79</v>
      </c>
      <c r="K71" s="825">
        <v>88.5</v>
      </c>
      <c r="L71" s="825">
        <v>513</v>
      </c>
      <c r="M71" s="825">
        <v>73.285714285714278</v>
      </c>
      <c r="N71" s="825">
        <v>35</v>
      </c>
      <c r="O71" s="825">
        <v>0</v>
      </c>
      <c r="P71" s="825">
        <v>0</v>
      </c>
    </row>
    <row r="72" spans="1:16" x14ac:dyDescent="0.25">
      <c r="A72" s="825">
        <v>23</v>
      </c>
      <c r="B72" s="998"/>
      <c r="C72" s="825">
        <v>16</v>
      </c>
      <c r="D72" s="825" t="s">
        <v>20</v>
      </c>
      <c r="E72" s="825" t="s">
        <v>18</v>
      </c>
      <c r="F72" s="825">
        <v>54</v>
      </c>
      <c r="G72" s="825">
        <v>59</v>
      </c>
      <c r="H72" s="825">
        <v>70</v>
      </c>
      <c r="I72" s="825">
        <v>76</v>
      </c>
      <c r="J72" s="825">
        <v>78</v>
      </c>
      <c r="K72" s="825">
        <v>81</v>
      </c>
      <c r="L72" s="825">
        <v>499</v>
      </c>
      <c r="M72" s="825">
        <v>71.285714285714292</v>
      </c>
      <c r="N72" s="825">
        <v>36</v>
      </c>
      <c r="O72" s="825">
        <v>0</v>
      </c>
      <c r="P72" s="825">
        <v>0</v>
      </c>
    </row>
    <row r="73" spans="1:16" x14ac:dyDescent="0.25">
      <c r="A73" s="825"/>
      <c r="B73" s="999"/>
      <c r="C73" s="825">
        <v>16</v>
      </c>
      <c r="D73" s="825" t="s">
        <v>17</v>
      </c>
      <c r="E73" s="825" t="s">
        <v>19</v>
      </c>
      <c r="F73" s="825">
        <v>54</v>
      </c>
      <c r="G73" s="825">
        <v>73</v>
      </c>
      <c r="H73" s="825">
        <v>91</v>
      </c>
      <c r="I73" s="825">
        <v>82</v>
      </c>
      <c r="J73" s="825">
        <v>87</v>
      </c>
      <c r="K73" s="825">
        <v>86</v>
      </c>
      <c r="L73" s="825">
        <v>555</v>
      </c>
      <c r="M73" s="825">
        <v>79.285714285714292</v>
      </c>
      <c r="N73" s="825">
        <v>22</v>
      </c>
      <c r="O73" s="825">
        <v>0</v>
      </c>
      <c r="P73" s="825">
        <v>0</v>
      </c>
    </row>
    <row r="74" spans="1:16" x14ac:dyDescent="0.25">
      <c r="A74" s="825"/>
      <c r="B74" s="1000"/>
      <c r="C74" s="825">
        <v>16</v>
      </c>
      <c r="D74" s="825" t="s">
        <v>17</v>
      </c>
      <c r="E74" s="825" t="s">
        <v>13</v>
      </c>
      <c r="F74" s="825">
        <v>54</v>
      </c>
      <c r="G74" s="825">
        <v>66</v>
      </c>
      <c r="H74" s="825">
        <v>80.5</v>
      </c>
      <c r="I74" s="825">
        <v>79</v>
      </c>
      <c r="J74" s="825">
        <v>82.5</v>
      </c>
      <c r="K74" s="825">
        <v>83.5</v>
      </c>
      <c r="L74" s="825">
        <v>527</v>
      </c>
      <c r="M74" s="825">
        <v>75.285714285714292</v>
      </c>
      <c r="N74" s="825">
        <v>32</v>
      </c>
      <c r="O74" s="825">
        <v>0</v>
      </c>
      <c r="P74" s="825">
        <v>0</v>
      </c>
    </row>
    <row r="75" spans="1:16" x14ac:dyDescent="0.25">
      <c r="A75" s="825">
        <v>24</v>
      </c>
      <c r="B75" s="998"/>
      <c r="C75" s="825">
        <v>16</v>
      </c>
      <c r="D75" s="825" t="s">
        <v>20</v>
      </c>
      <c r="E75" s="825" t="s">
        <v>18</v>
      </c>
      <c r="F75" s="825">
        <v>85</v>
      </c>
      <c r="G75" s="825">
        <v>58</v>
      </c>
      <c r="H75" s="825">
        <v>78</v>
      </c>
      <c r="I75" s="825">
        <v>73</v>
      </c>
      <c r="J75" s="825">
        <v>81</v>
      </c>
      <c r="K75" s="825">
        <v>81</v>
      </c>
      <c r="L75" s="825">
        <v>539</v>
      </c>
      <c r="M75" s="825">
        <v>77</v>
      </c>
      <c r="N75" s="825">
        <v>25</v>
      </c>
      <c r="O75" s="825">
        <v>0</v>
      </c>
      <c r="P75" s="825">
        <v>0</v>
      </c>
    </row>
    <row r="76" spans="1:16" x14ac:dyDescent="0.25">
      <c r="A76" s="825"/>
      <c r="B76" s="999"/>
      <c r="C76" s="825">
        <v>15</v>
      </c>
      <c r="D76" s="825" t="s">
        <v>20</v>
      </c>
      <c r="E76" s="825" t="s">
        <v>19</v>
      </c>
      <c r="F76" s="825">
        <v>83</v>
      </c>
      <c r="G76" s="825">
        <v>49</v>
      </c>
      <c r="H76" s="825">
        <v>78</v>
      </c>
      <c r="I76" s="825">
        <v>70</v>
      </c>
      <c r="J76" s="825">
        <v>83</v>
      </c>
      <c r="K76" s="825">
        <v>79</v>
      </c>
      <c r="L76" s="825">
        <v>534</v>
      </c>
      <c r="M76" s="825">
        <v>76.285714285714292</v>
      </c>
      <c r="N76" s="825">
        <v>29</v>
      </c>
      <c r="O76" s="825">
        <v>0</v>
      </c>
      <c r="P76" s="825">
        <v>0</v>
      </c>
    </row>
    <row r="77" spans="1:16" x14ac:dyDescent="0.25">
      <c r="A77" s="825"/>
      <c r="B77" s="1000"/>
      <c r="C77" s="825">
        <v>15</v>
      </c>
      <c r="D77" s="825" t="s">
        <v>20</v>
      </c>
      <c r="E77" s="825" t="s">
        <v>13</v>
      </c>
      <c r="F77" s="825">
        <v>84</v>
      </c>
      <c r="G77" s="825">
        <v>53.5</v>
      </c>
      <c r="H77" s="825">
        <v>78</v>
      </c>
      <c r="I77" s="825">
        <v>71.5</v>
      </c>
      <c r="J77" s="825">
        <v>82</v>
      </c>
      <c r="K77" s="825">
        <v>80</v>
      </c>
      <c r="L77" s="825">
        <v>536.5</v>
      </c>
      <c r="M77" s="825">
        <v>76.642857142857139</v>
      </c>
      <c r="N77" s="825">
        <v>28</v>
      </c>
      <c r="O77" s="825">
        <v>0</v>
      </c>
      <c r="P77" s="825">
        <v>0</v>
      </c>
    </row>
    <row r="78" spans="1:16" x14ac:dyDescent="0.25">
      <c r="A78" s="825">
        <v>25</v>
      </c>
      <c r="B78" s="998"/>
      <c r="C78" s="825">
        <v>16</v>
      </c>
      <c r="D78" s="825" t="s">
        <v>17</v>
      </c>
      <c r="E78" s="825" t="s">
        <v>18</v>
      </c>
      <c r="F78" s="825">
        <v>94</v>
      </c>
      <c r="G78" s="825">
        <v>88</v>
      </c>
      <c r="H78" s="825">
        <v>95</v>
      </c>
      <c r="I78" s="825">
        <v>97</v>
      </c>
      <c r="J78" s="825">
        <v>96</v>
      </c>
      <c r="K78" s="825">
        <v>94</v>
      </c>
      <c r="L78" s="825">
        <v>664</v>
      </c>
      <c r="M78" s="825">
        <v>94.857142857142861</v>
      </c>
      <c r="N78" s="825">
        <v>1</v>
      </c>
      <c r="O78" s="825">
        <v>0</v>
      </c>
      <c r="P78" s="825">
        <v>0</v>
      </c>
    </row>
    <row r="79" spans="1:16" x14ac:dyDescent="0.25">
      <c r="A79" s="825"/>
      <c r="B79" s="999"/>
      <c r="C79" s="825">
        <v>15</v>
      </c>
      <c r="D79" s="825" t="s">
        <v>20</v>
      </c>
      <c r="E79" s="825" t="s">
        <v>19</v>
      </c>
      <c r="F79" s="825">
        <v>93</v>
      </c>
      <c r="G79" s="825">
        <v>94</v>
      </c>
      <c r="H79" s="825">
        <v>97</v>
      </c>
      <c r="I79" s="825">
        <v>94</v>
      </c>
      <c r="J79" s="825">
        <v>98</v>
      </c>
      <c r="K79" s="825">
        <v>93</v>
      </c>
      <c r="L79" s="825">
        <v>660</v>
      </c>
      <c r="M79" s="825">
        <v>94.285714285714292</v>
      </c>
      <c r="N79" s="825">
        <v>1</v>
      </c>
      <c r="O79" s="825">
        <v>0</v>
      </c>
      <c r="P79" s="825">
        <v>0</v>
      </c>
    </row>
    <row r="80" spans="1:16" x14ac:dyDescent="0.25">
      <c r="A80" s="825"/>
      <c r="B80" s="1000"/>
      <c r="C80" s="825">
        <v>15</v>
      </c>
      <c r="D80" s="825" t="s">
        <v>20</v>
      </c>
      <c r="E80" s="825" t="s">
        <v>13</v>
      </c>
      <c r="F80" s="825">
        <v>93.5</v>
      </c>
      <c r="G80" s="825">
        <v>91</v>
      </c>
      <c r="H80" s="825">
        <v>96</v>
      </c>
      <c r="I80" s="825">
        <v>95.5</v>
      </c>
      <c r="J80" s="825">
        <v>97</v>
      </c>
      <c r="K80" s="825">
        <v>93.5</v>
      </c>
      <c r="L80" s="825">
        <v>662</v>
      </c>
      <c r="M80" s="825">
        <v>94.571428571428584</v>
      </c>
      <c r="N80" s="825">
        <v>1</v>
      </c>
      <c r="O80" s="825">
        <v>0</v>
      </c>
      <c r="P80" s="825">
        <v>0</v>
      </c>
    </row>
    <row r="81" spans="1:16" x14ac:dyDescent="0.25">
      <c r="A81" s="825">
        <v>26</v>
      </c>
      <c r="B81" s="998"/>
      <c r="C81" s="825">
        <v>16</v>
      </c>
      <c r="D81" s="825" t="s">
        <v>17</v>
      </c>
      <c r="E81" s="825" t="s">
        <v>18</v>
      </c>
      <c r="F81" s="825">
        <v>86</v>
      </c>
      <c r="G81" s="825">
        <v>85</v>
      </c>
      <c r="H81" s="825">
        <v>95</v>
      </c>
      <c r="I81" s="825">
        <v>97</v>
      </c>
      <c r="J81" s="825">
        <v>93</v>
      </c>
      <c r="K81" s="825">
        <v>100</v>
      </c>
      <c r="L81" s="825">
        <v>651</v>
      </c>
      <c r="M81" s="825">
        <v>93</v>
      </c>
      <c r="N81" s="825">
        <v>2</v>
      </c>
      <c r="O81" s="825">
        <v>0</v>
      </c>
      <c r="P81" s="825">
        <v>0</v>
      </c>
    </row>
    <row r="82" spans="1:16" x14ac:dyDescent="0.25">
      <c r="A82" s="825"/>
      <c r="B82" s="999"/>
      <c r="C82" s="825">
        <v>16</v>
      </c>
      <c r="D82" s="825" t="s">
        <v>17</v>
      </c>
      <c r="E82" s="825" t="s">
        <v>19</v>
      </c>
      <c r="F82" s="825">
        <v>85</v>
      </c>
      <c r="G82" s="825">
        <v>97</v>
      </c>
      <c r="H82" s="825">
        <v>99</v>
      </c>
      <c r="I82" s="825">
        <v>89</v>
      </c>
      <c r="J82" s="825">
        <v>95</v>
      </c>
      <c r="K82" s="825">
        <v>94</v>
      </c>
      <c r="L82" s="825">
        <v>659</v>
      </c>
      <c r="M82" s="825">
        <v>94.142857142857139</v>
      </c>
      <c r="N82" s="825">
        <v>2</v>
      </c>
      <c r="O82" s="825">
        <v>0</v>
      </c>
      <c r="P82" s="825">
        <v>0</v>
      </c>
    </row>
    <row r="83" spans="1:16" x14ac:dyDescent="0.25">
      <c r="A83" s="825"/>
      <c r="B83" s="1000"/>
      <c r="C83" s="825">
        <v>16</v>
      </c>
      <c r="D83" s="825" t="s">
        <v>17</v>
      </c>
      <c r="E83" s="825" t="s">
        <v>13</v>
      </c>
      <c r="F83" s="825">
        <v>85.5</v>
      </c>
      <c r="G83" s="825">
        <v>91</v>
      </c>
      <c r="H83" s="825">
        <v>97</v>
      </c>
      <c r="I83" s="825">
        <v>93</v>
      </c>
      <c r="J83" s="825">
        <v>94</v>
      </c>
      <c r="K83" s="825">
        <v>97</v>
      </c>
      <c r="L83" s="825">
        <v>655</v>
      </c>
      <c r="M83" s="825">
        <v>93.571428571428569</v>
      </c>
      <c r="N83" s="825">
        <v>2</v>
      </c>
      <c r="O83" s="825">
        <v>0</v>
      </c>
      <c r="P83" s="825">
        <v>0</v>
      </c>
    </row>
    <row r="84" spans="1:16" x14ac:dyDescent="0.25">
      <c r="A84" s="825">
        <v>27</v>
      </c>
      <c r="B84" s="998"/>
      <c r="C84" s="825">
        <v>16</v>
      </c>
      <c r="D84" s="825" t="s">
        <v>20</v>
      </c>
      <c r="E84" s="825" t="s">
        <v>18</v>
      </c>
      <c r="F84" s="825">
        <v>66</v>
      </c>
      <c r="G84" s="825">
        <v>55</v>
      </c>
      <c r="H84" s="825">
        <v>70</v>
      </c>
      <c r="I84" s="825">
        <v>80</v>
      </c>
      <c r="J84" s="825">
        <v>62</v>
      </c>
      <c r="K84" s="825">
        <v>80</v>
      </c>
      <c r="L84" s="825">
        <v>496</v>
      </c>
      <c r="M84" s="825">
        <v>70.857142857142861</v>
      </c>
      <c r="N84" s="825">
        <v>37</v>
      </c>
      <c r="O84" s="825">
        <v>0</v>
      </c>
      <c r="P84" s="825">
        <v>0</v>
      </c>
    </row>
    <row r="85" spans="1:16" x14ac:dyDescent="0.25">
      <c r="A85" s="825"/>
      <c r="B85" s="999"/>
      <c r="C85" s="825">
        <v>15</v>
      </c>
      <c r="D85" s="825" t="s">
        <v>17</v>
      </c>
      <c r="E85" s="825" t="s">
        <v>19</v>
      </c>
      <c r="F85" s="825">
        <v>60</v>
      </c>
      <c r="G85" s="825">
        <v>52</v>
      </c>
      <c r="H85" s="825">
        <v>88</v>
      </c>
      <c r="I85" s="825">
        <v>78</v>
      </c>
      <c r="J85" s="825">
        <v>83</v>
      </c>
      <c r="K85" s="825">
        <v>87</v>
      </c>
      <c r="L85" s="825">
        <v>532</v>
      </c>
      <c r="M85" s="825">
        <v>76</v>
      </c>
      <c r="N85" s="825">
        <v>31</v>
      </c>
      <c r="O85" s="825">
        <v>0</v>
      </c>
      <c r="P85" s="825">
        <v>0</v>
      </c>
    </row>
    <row r="86" spans="1:16" x14ac:dyDescent="0.25">
      <c r="A86" s="825"/>
      <c r="B86" s="1000"/>
      <c r="C86" s="825">
        <v>15</v>
      </c>
      <c r="D86" s="825" t="s">
        <v>17</v>
      </c>
      <c r="E86" s="825" t="s">
        <v>13</v>
      </c>
      <c r="F86" s="825">
        <v>63</v>
      </c>
      <c r="G86" s="825">
        <v>53.5</v>
      </c>
      <c r="H86" s="825">
        <v>79</v>
      </c>
      <c r="I86" s="825">
        <v>79</v>
      </c>
      <c r="J86" s="825">
        <v>72.5</v>
      </c>
      <c r="K86" s="825">
        <v>83.5</v>
      </c>
      <c r="L86" s="825">
        <v>514</v>
      </c>
      <c r="M86" s="825">
        <v>73.428571428571431</v>
      </c>
      <c r="N86" s="825">
        <v>34</v>
      </c>
      <c r="O86" s="825">
        <v>0</v>
      </c>
      <c r="P86" s="825">
        <v>0</v>
      </c>
    </row>
    <row r="87" spans="1:16" x14ac:dyDescent="0.25">
      <c r="A87" s="825">
        <v>28</v>
      </c>
      <c r="B87" s="998"/>
      <c r="C87" s="825">
        <v>16</v>
      </c>
      <c r="D87" s="825" t="s">
        <v>20</v>
      </c>
      <c r="E87" s="825" t="s">
        <v>18</v>
      </c>
      <c r="F87" s="825">
        <v>70</v>
      </c>
      <c r="G87" s="825">
        <v>91</v>
      </c>
      <c r="H87" s="825">
        <v>83</v>
      </c>
      <c r="I87" s="825">
        <v>96</v>
      </c>
      <c r="J87" s="825">
        <v>84</v>
      </c>
      <c r="K87" s="825">
        <v>91</v>
      </c>
      <c r="L87" s="825">
        <v>606</v>
      </c>
      <c r="M87" s="825">
        <v>86.571428571428569</v>
      </c>
      <c r="N87" s="825">
        <v>11</v>
      </c>
      <c r="O87" s="825">
        <v>0</v>
      </c>
      <c r="P87" s="825">
        <v>0</v>
      </c>
    </row>
    <row r="88" spans="1:16" x14ac:dyDescent="0.25">
      <c r="A88" s="825"/>
      <c r="B88" s="999"/>
      <c r="C88" s="825">
        <v>16</v>
      </c>
      <c r="D88" s="825" t="s">
        <v>20</v>
      </c>
      <c r="E88" s="825" t="s">
        <v>19</v>
      </c>
      <c r="F88" s="825">
        <v>85</v>
      </c>
      <c r="G88" s="825">
        <v>96</v>
      </c>
      <c r="H88" s="825">
        <v>94</v>
      </c>
      <c r="I88" s="825">
        <v>82</v>
      </c>
      <c r="J88" s="825">
        <v>89</v>
      </c>
      <c r="K88" s="825">
        <v>95</v>
      </c>
      <c r="L88" s="825">
        <v>633</v>
      </c>
      <c r="M88" s="825">
        <v>90.428571428571431</v>
      </c>
      <c r="N88" s="825">
        <v>4</v>
      </c>
      <c r="O88" s="825">
        <v>0</v>
      </c>
      <c r="P88" s="825">
        <v>0</v>
      </c>
    </row>
    <row r="89" spans="1:16" x14ac:dyDescent="0.25">
      <c r="A89" s="825"/>
      <c r="B89" s="1000"/>
      <c r="C89" s="825">
        <v>16</v>
      </c>
      <c r="D89" s="825" t="s">
        <v>20</v>
      </c>
      <c r="E89" s="825" t="s">
        <v>13</v>
      </c>
      <c r="F89" s="825">
        <v>77.5</v>
      </c>
      <c r="G89" s="825">
        <v>93.5</v>
      </c>
      <c r="H89" s="825">
        <v>88.5</v>
      </c>
      <c r="I89" s="825">
        <v>89</v>
      </c>
      <c r="J89" s="825">
        <v>86.5</v>
      </c>
      <c r="K89" s="825">
        <v>93</v>
      </c>
      <c r="L89" s="825">
        <v>619.5</v>
      </c>
      <c r="M89" s="825">
        <v>88.5</v>
      </c>
      <c r="N89" s="825">
        <v>8</v>
      </c>
      <c r="O89" s="825">
        <v>0</v>
      </c>
      <c r="P89" s="825">
        <v>0</v>
      </c>
    </row>
    <row r="90" spans="1:16" x14ac:dyDescent="0.25">
      <c r="A90" s="825">
        <v>29</v>
      </c>
      <c r="B90" s="998"/>
      <c r="C90" s="825">
        <v>16</v>
      </c>
      <c r="D90" s="825" t="s">
        <v>20</v>
      </c>
      <c r="E90" s="825" t="s">
        <v>18</v>
      </c>
      <c r="F90" s="825">
        <v>53</v>
      </c>
      <c r="G90" s="825">
        <v>62</v>
      </c>
      <c r="H90" s="825">
        <v>66</v>
      </c>
      <c r="I90" s="825">
        <v>71</v>
      </c>
      <c r="J90" s="825">
        <v>61</v>
      </c>
      <c r="K90" s="825">
        <v>77</v>
      </c>
      <c r="L90" s="825">
        <v>472</v>
      </c>
      <c r="M90" s="825">
        <v>67.428571428571431</v>
      </c>
      <c r="N90" s="825">
        <v>41</v>
      </c>
      <c r="O90" s="825">
        <v>0</v>
      </c>
      <c r="P90" s="825">
        <v>0</v>
      </c>
    </row>
    <row r="91" spans="1:16" x14ac:dyDescent="0.25">
      <c r="A91" s="825"/>
      <c r="B91" s="999"/>
      <c r="C91" s="825">
        <v>15</v>
      </c>
      <c r="D91" s="825" t="s">
        <v>20</v>
      </c>
      <c r="E91" s="825" t="s">
        <v>19</v>
      </c>
      <c r="F91" s="825">
        <v>61</v>
      </c>
      <c r="G91" s="825">
        <v>70</v>
      </c>
      <c r="H91" s="825">
        <v>74</v>
      </c>
      <c r="I91" s="825">
        <v>73</v>
      </c>
      <c r="J91" s="825">
        <v>64</v>
      </c>
      <c r="K91" s="825">
        <v>84</v>
      </c>
      <c r="L91" s="825">
        <v>514</v>
      </c>
      <c r="M91" s="825">
        <v>73.428571428571431</v>
      </c>
      <c r="N91" s="825">
        <v>36</v>
      </c>
      <c r="O91" s="825">
        <v>0</v>
      </c>
      <c r="P91" s="825">
        <v>0</v>
      </c>
    </row>
    <row r="92" spans="1:16" x14ac:dyDescent="0.25">
      <c r="A92" s="825"/>
      <c r="B92" s="1000"/>
      <c r="C92" s="825">
        <v>15</v>
      </c>
      <c r="D92" s="825" t="s">
        <v>20</v>
      </c>
      <c r="E92" s="825" t="s">
        <v>13</v>
      </c>
      <c r="F92" s="825">
        <v>57</v>
      </c>
      <c r="G92" s="825">
        <v>66</v>
      </c>
      <c r="H92" s="825">
        <v>70</v>
      </c>
      <c r="I92" s="825">
        <v>72</v>
      </c>
      <c r="J92" s="825">
        <v>62.5</v>
      </c>
      <c r="K92" s="825">
        <v>80.5</v>
      </c>
      <c r="L92" s="825">
        <v>493</v>
      </c>
      <c r="M92" s="825">
        <v>70.428571428571431</v>
      </c>
      <c r="N92" s="825">
        <v>38</v>
      </c>
      <c r="O92" s="825">
        <v>0</v>
      </c>
      <c r="P92" s="825">
        <v>0</v>
      </c>
    </row>
    <row r="93" spans="1:16" x14ac:dyDescent="0.25">
      <c r="A93" s="825">
        <v>30</v>
      </c>
      <c r="B93" s="998"/>
      <c r="C93" s="825">
        <v>16</v>
      </c>
      <c r="D93" s="825" t="s">
        <v>20</v>
      </c>
      <c r="E93" s="825" t="s">
        <v>18</v>
      </c>
      <c r="F93" s="825">
        <v>71</v>
      </c>
      <c r="G93" s="825">
        <v>50</v>
      </c>
      <c r="H93" s="825">
        <v>76</v>
      </c>
      <c r="I93" s="825">
        <v>81</v>
      </c>
      <c r="J93" s="825">
        <v>79</v>
      </c>
      <c r="K93" s="825">
        <v>83</v>
      </c>
      <c r="L93" s="825">
        <v>530</v>
      </c>
      <c r="M93" s="825">
        <v>75.714285714285708</v>
      </c>
      <c r="N93" s="825">
        <v>29</v>
      </c>
      <c r="O93" s="825">
        <v>0</v>
      </c>
      <c r="P93" s="825">
        <v>0</v>
      </c>
    </row>
    <row r="94" spans="1:16" x14ac:dyDescent="0.25">
      <c r="A94" s="825"/>
      <c r="B94" s="999"/>
      <c r="C94" s="825">
        <v>15</v>
      </c>
      <c r="D94" s="825" t="s">
        <v>20</v>
      </c>
      <c r="E94" s="825" t="s">
        <v>19</v>
      </c>
      <c r="F94" s="825">
        <v>76</v>
      </c>
      <c r="G94" s="825">
        <v>42</v>
      </c>
      <c r="H94" s="825">
        <v>80</v>
      </c>
      <c r="I94" s="825">
        <v>64</v>
      </c>
      <c r="J94" s="825">
        <v>75</v>
      </c>
      <c r="K94" s="825">
        <v>84</v>
      </c>
      <c r="L94" s="825">
        <v>508</v>
      </c>
      <c r="M94" s="825">
        <v>72.571428571428569</v>
      </c>
      <c r="N94" s="825">
        <v>37</v>
      </c>
      <c r="O94" s="825">
        <v>0</v>
      </c>
      <c r="P94" s="825">
        <v>0</v>
      </c>
    </row>
    <row r="95" spans="1:16" x14ac:dyDescent="0.25">
      <c r="A95" s="825"/>
      <c r="B95" s="1000"/>
      <c r="C95" s="825">
        <v>15</v>
      </c>
      <c r="D95" s="825" t="s">
        <v>20</v>
      </c>
      <c r="E95" s="825" t="s">
        <v>13</v>
      </c>
      <c r="F95" s="825">
        <v>73.5</v>
      </c>
      <c r="G95" s="825">
        <v>46</v>
      </c>
      <c r="H95" s="825">
        <v>78</v>
      </c>
      <c r="I95" s="825">
        <v>72.5</v>
      </c>
      <c r="J95" s="825">
        <v>77</v>
      </c>
      <c r="K95" s="825">
        <v>83.5</v>
      </c>
      <c r="L95" s="825">
        <v>519</v>
      </c>
      <c r="M95" s="825">
        <v>74.142857142857139</v>
      </c>
      <c r="N95" s="825">
        <v>33</v>
      </c>
      <c r="O95" s="825">
        <v>0</v>
      </c>
      <c r="P95" s="825">
        <v>0</v>
      </c>
    </row>
    <row r="96" spans="1:16" x14ac:dyDescent="0.25">
      <c r="A96" s="825">
        <v>31</v>
      </c>
      <c r="B96" s="998"/>
      <c r="C96" s="825">
        <v>16</v>
      </c>
      <c r="D96" s="825" t="s">
        <v>17</v>
      </c>
      <c r="E96" s="825" t="s">
        <v>18</v>
      </c>
      <c r="F96" s="825">
        <v>86</v>
      </c>
      <c r="G96" s="825">
        <v>88</v>
      </c>
      <c r="H96" s="825">
        <v>82</v>
      </c>
      <c r="I96" s="825">
        <v>90</v>
      </c>
      <c r="J96" s="825">
        <v>87</v>
      </c>
      <c r="K96" s="825">
        <v>95</v>
      </c>
      <c r="L96" s="825">
        <v>625</v>
      </c>
      <c r="M96" s="825">
        <v>89.285714285714292</v>
      </c>
      <c r="N96" s="825">
        <v>6</v>
      </c>
      <c r="O96" s="825">
        <v>0</v>
      </c>
      <c r="P96" s="825">
        <v>0</v>
      </c>
    </row>
    <row r="97" spans="1:16" x14ac:dyDescent="0.25">
      <c r="A97" s="825"/>
      <c r="B97" s="999"/>
      <c r="C97" s="825">
        <v>15</v>
      </c>
      <c r="D97" s="825" t="s">
        <v>20</v>
      </c>
      <c r="E97" s="825" t="s">
        <v>19</v>
      </c>
      <c r="F97" s="825">
        <v>90</v>
      </c>
      <c r="G97" s="825">
        <v>89</v>
      </c>
      <c r="H97" s="825">
        <v>91</v>
      </c>
      <c r="I97" s="825">
        <v>82</v>
      </c>
      <c r="J97" s="825">
        <v>92</v>
      </c>
      <c r="K97" s="825">
        <v>97</v>
      </c>
      <c r="L97" s="825">
        <v>638</v>
      </c>
      <c r="M97" s="825">
        <v>91.142857142857139</v>
      </c>
      <c r="N97" s="825">
        <v>3</v>
      </c>
      <c r="O97" s="825">
        <v>0</v>
      </c>
      <c r="P97" s="825">
        <v>0</v>
      </c>
    </row>
    <row r="98" spans="1:16" x14ac:dyDescent="0.25">
      <c r="A98" s="825"/>
      <c r="B98" s="1000"/>
      <c r="C98" s="825">
        <v>15</v>
      </c>
      <c r="D98" s="825" t="s">
        <v>20</v>
      </c>
      <c r="E98" s="825" t="s">
        <v>13</v>
      </c>
      <c r="F98" s="825">
        <v>88</v>
      </c>
      <c r="G98" s="825">
        <v>88.5</v>
      </c>
      <c r="H98" s="825">
        <v>86.5</v>
      </c>
      <c r="I98" s="825">
        <v>86</v>
      </c>
      <c r="J98" s="825">
        <v>89.5</v>
      </c>
      <c r="K98" s="825">
        <v>96</v>
      </c>
      <c r="L98" s="825">
        <v>631.5</v>
      </c>
      <c r="M98" s="825">
        <v>90.214285714285722</v>
      </c>
      <c r="N98" s="825">
        <v>3</v>
      </c>
      <c r="O98" s="825">
        <v>0</v>
      </c>
      <c r="P98" s="825">
        <v>0</v>
      </c>
    </row>
    <row r="99" spans="1:16" x14ac:dyDescent="0.25">
      <c r="A99" s="825">
        <v>32</v>
      </c>
      <c r="B99" s="998"/>
      <c r="C99" s="825">
        <v>18</v>
      </c>
      <c r="D99" s="825" t="s">
        <v>20</v>
      </c>
      <c r="E99" s="825" t="s">
        <v>18</v>
      </c>
      <c r="F99" s="825">
        <v>97</v>
      </c>
      <c r="G99" s="825">
        <v>70</v>
      </c>
      <c r="H99" s="825">
        <v>71</v>
      </c>
      <c r="I99" s="825">
        <v>86</v>
      </c>
      <c r="J99" s="825">
        <v>90</v>
      </c>
      <c r="K99" s="825">
        <v>88</v>
      </c>
      <c r="L99" s="825">
        <v>594</v>
      </c>
      <c r="M99" s="825">
        <v>84.857142857142861</v>
      </c>
      <c r="N99" s="825">
        <v>13</v>
      </c>
      <c r="O99" s="825">
        <v>0</v>
      </c>
      <c r="P99" s="825">
        <v>0</v>
      </c>
    </row>
    <row r="100" spans="1:16" x14ac:dyDescent="0.25">
      <c r="A100" s="825"/>
      <c r="B100" s="999"/>
      <c r="C100" s="825">
        <v>18</v>
      </c>
      <c r="D100" s="825" t="s">
        <v>20</v>
      </c>
      <c r="E100" s="825" t="s">
        <v>19</v>
      </c>
      <c r="F100" s="825">
        <v>94</v>
      </c>
      <c r="G100" s="825">
        <v>44</v>
      </c>
      <c r="H100" s="825">
        <v>73</v>
      </c>
      <c r="I100" s="825">
        <v>66</v>
      </c>
      <c r="J100" s="825">
        <v>87</v>
      </c>
      <c r="K100" s="825">
        <v>84</v>
      </c>
      <c r="L100" s="825">
        <v>534</v>
      </c>
      <c r="M100" s="825">
        <v>76.285714285714292</v>
      </c>
      <c r="N100" s="825">
        <v>29</v>
      </c>
      <c r="O100" s="825">
        <v>0</v>
      </c>
      <c r="P100" s="825">
        <v>0</v>
      </c>
    </row>
    <row r="101" spans="1:16" x14ac:dyDescent="0.25">
      <c r="A101" s="825"/>
      <c r="B101" s="1000"/>
      <c r="C101" s="825">
        <v>18</v>
      </c>
      <c r="D101" s="825" t="s">
        <v>20</v>
      </c>
      <c r="E101" s="825" t="s">
        <v>13</v>
      </c>
      <c r="F101" s="825">
        <v>95.5</v>
      </c>
      <c r="G101" s="825">
        <v>57</v>
      </c>
      <c r="H101" s="825">
        <v>72</v>
      </c>
      <c r="I101" s="825">
        <v>76</v>
      </c>
      <c r="J101" s="825">
        <v>88.5</v>
      </c>
      <c r="K101" s="825">
        <v>86</v>
      </c>
      <c r="L101" s="825">
        <v>564</v>
      </c>
      <c r="M101" s="825">
        <v>80.571428571428584</v>
      </c>
      <c r="N101" s="825">
        <v>19</v>
      </c>
      <c r="O101" s="825">
        <v>0</v>
      </c>
      <c r="P101" s="825">
        <v>0</v>
      </c>
    </row>
    <row r="102" spans="1:16" x14ac:dyDescent="0.25">
      <c r="A102" s="825">
        <v>33</v>
      </c>
      <c r="B102" s="998"/>
      <c r="C102" s="825">
        <v>17</v>
      </c>
      <c r="D102" s="825" t="s">
        <v>17</v>
      </c>
      <c r="E102" s="825" t="s">
        <v>18</v>
      </c>
      <c r="F102" s="825">
        <v>86</v>
      </c>
      <c r="G102" s="825">
        <v>77</v>
      </c>
      <c r="H102" s="825">
        <v>86</v>
      </c>
      <c r="I102" s="825">
        <v>95</v>
      </c>
      <c r="J102" s="825">
        <v>90</v>
      </c>
      <c r="K102" s="825">
        <v>94</v>
      </c>
      <c r="L102" s="825">
        <v>615</v>
      </c>
      <c r="M102" s="825">
        <v>87.857142857142861</v>
      </c>
      <c r="N102" s="825">
        <v>9</v>
      </c>
      <c r="O102" s="825">
        <v>0</v>
      </c>
      <c r="P102" s="825">
        <v>0</v>
      </c>
    </row>
    <row r="103" spans="1:16" x14ac:dyDescent="0.25">
      <c r="A103" s="825"/>
      <c r="B103" s="999"/>
      <c r="C103" s="825">
        <v>17</v>
      </c>
      <c r="D103" s="825" t="s">
        <v>20</v>
      </c>
      <c r="E103" s="825" t="s">
        <v>19</v>
      </c>
      <c r="F103" s="825">
        <v>83</v>
      </c>
      <c r="G103" s="825">
        <v>74</v>
      </c>
      <c r="H103" s="825">
        <v>89</v>
      </c>
      <c r="I103" s="825">
        <v>83</v>
      </c>
      <c r="J103" s="825">
        <v>89</v>
      </c>
      <c r="K103" s="825">
        <v>89</v>
      </c>
      <c r="L103" s="825">
        <v>596</v>
      </c>
      <c r="M103" s="825">
        <v>85.142857142857139</v>
      </c>
      <c r="N103" s="825">
        <v>13</v>
      </c>
      <c r="O103" s="825">
        <v>0</v>
      </c>
      <c r="P103" s="825">
        <v>0</v>
      </c>
    </row>
    <row r="104" spans="1:16" x14ac:dyDescent="0.25">
      <c r="A104" s="825"/>
      <c r="B104" s="1000"/>
      <c r="C104" s="825">
        <v>17</v>
      </c>
      <c r="D104" s="825" t="s">
        <v>20</v>
      </c>
      <c r="E104" s="825" t="s">
        <v>13</v>
      </c>
      <c r="F104" s="825">
        <v>84.5</v>
      </c>
      <c r="G104" s="825">
        <v>75.5</v>
      </c>
      <c r="H104" s="825">
        <v>87.5</v>
      </c>
      <c r="I104" s="825">
        <v>89</v>
      </c>
      <c r="J104" s="825">
        <v>89.5</v>
      </c>
      <c r="K104" s="825">
        <v>91.5</v>
      </c>
      <c r="L104" s="825">
        <v>605.5</v>
      </c>
      <c r="M104" s="825">
        <v>86.5</v>
      </c>
      <c r="N104" s="825">
        <v>11</v>
      </c>
      <c r="O104" s="825">
        <v>0</v>
      </c>
      <c r="P104" s="825">
        <v>0</v>
      </c>
    </row>
    <row r="105" spans="1:16" x14ac:dyDescent="0.25">
      <c r="A105" s="825">
        <v>34</v>
      </c>
      <c r="B105" s="998"/>
      <c r="C105" s="825">
        <v>16</v>
      </c>
      <c r="D105" s="825" t="s">
        <v>17</v>
      </c>
      <c r="E105" s="825" t="s">
        <v>18</v>
      </c>
      <c r="F105" s="825">
        <v>70</v>
      </c>
      <c r="G105" s="825">
        <v>36</v>
      </c>
      <c r="H105" s="825">
        <v>69</v>
      </c>
      <c r="I105" s="825">
        <v>82</v>
      </c>
      <c r="J105" s="825">
        <v>61</v>
      </c>
      <c r="K105" s="825">
        <v>80</v>
      </c>
      <c r="L105" s="825">
        <v>457</v>
      </c>
      <c r="M105" s="825">
        <v>65.285714285714292</v>
      </c>
      <c r="N105" s="825">
        <v>44</v>
      </c>
      <c r="O105" s="825">
        <v>0</v>
      </c>
      <c r="P105" s="825">
        <v>0</v>
      </c>
    </row>
    <row r="106" spans="1:16" x14ac:dyDescent="0.25">
      <c r="A106" s="825"/>
      <c r="B106" s="999"/>
      <c r="C106" s="825">
        <v>15</v>
      </c>
      <c r="D106" s="825" t="s">
        <v>17</v>
      </c>
      <c r="E106" s="825" t="s">
        <v>19</v>
      </c>
      <c r="F106" s="825">
        <v>60</v>
      </c>
      <c r="G106" s="825">
        <v>40</v>
      </c>
      <c r="H106" s="825">
        <v>70</v>
      </c>
      <c r="I106" s="825">
        <v>75</v>
      </c>
      <c r="J106" s="825">
        <v>69</v>
      </c>
      <c r="K106" s="825">
        <v>80</v>
      </c>
      <c r="L106" s="825">
        <v>463</v>
      </c>
      <c r="M106" s="825">
        <v>66.142857142857139</v>
      </c>
      <c r="N106" s="825">
        <v>45</v>
      </c>
      <c r="O106" s="825">
        <v>0</v>
      </c>
      <c r="P106" s="825">
        <v>0</v>
      </c>
    </row>
    <row r="107" spans="1:16" x14ac:dyDescent="0.25">
      <c r="A107" s="825"/>
      <c r="B107" s="1000"/>
      <c r="C107" s="825">
        <v>15</v>
      </c>
      <c r="D107" s="825" t="s">
        <v>17</v>
      </c>
      <c r="E107" s="825" t="s">
        <v>13</v>
      </c>
      <c r="F107" s="825">
        <v>65</v>
      </c>
      <c r="G107" s="825">
        <v>38</v>
      </c>
      <c r="H107" s="825">
        <v>69.5</v>
      </c>
      <c r="I107" s="825">
        <v>78.5</v>
      </c>
      <c r="J107" s="825">
        <v>65</v>
      </c>
      <c r="K107" s="825">
        <v>80</v>
      </c>
      <c r="L107" s="825">
        <v>460</v>
      </c>
      <c r="M107" s="825">
        <v>65.714285714285722</v>
      </c>
      <c r="N107" s="825">
        <v>44</v>
      </c>
      <c r="O107" s="825">
        <v>0</v>
      </c>
      <c r="P107" s="825">
        <v>0</v>
      </c>
    </row>
    <row r="108" spans="1:16" x14ac:dyDescent="0.25">
      <c r="A108" s="825">
        <v>35</v>
      </c>
      <c r="B108" s="998"/>
      <c r="C108" s="825">
        <v>16</v>
      </c>
      <c r="D108" s="825" t="s">
        <v>20</v>
      </c>
      <c r="E108" s="825" t="s">
        <v>18</v>
      </c>
      <c r="F108" s="825">
        <v>84</v>
      </c>
      <c r="G108" s="825">
        <v>76</v>
      </c>
      <c r="H108" s="825">
        <v>77</v>
      </c>
      <c r="I108" s="825">
        <v>84</v>
      </c>
      <c r="J108" s="825">
        <v>85</v>
      </c>
      <c r="K108" s="825">
        <v>91</v>
      </c>
      <c r="L108" s="825">
        <v>584</v>
      </c>
      <c r="M108" s="825">
        <v>83.428571428571431</v>
      </c>
      <c r="N108" s="825">
        <v>17</v>
      </c>
      <c r="O108" s="825">
        <v>0</v>
      </c>
      <c r="P108" s="825">
        <v>0</v>
      </c>
    </row>
    <row r="109" spans="1:16" x14ac:dyDescent="0.25">
      <c r="A109" s="825"/>
      <c r="B109" s="999"/>
      <c r="C109" s="825">
        <v>15</v>
      </c>
      <c r="D109" s="825" t="s">
        <v>20</v>
      </c>
      <c r="E109" s="825" t="s">
        <v>19</v>
      </c>
      <c r="F109" s="825">
        <v>75</v>
      </c>
      <c r="G109" s="825">
        <v>72</v>
      </c>
      <c r="H109" s="825">
        <v>87</v>
      </c>
      <c r="I109" s="825">
        <v>80</v>
      </c>
      <c r="J109" s="825">
        <v>89</v>
      </c>
      <c r="K109" s="825">
        <v>92</v>
      </c>
      <c r="L109" s="825">
        <v>591</v>
      </c>
      <c r="M109" s="825">
        <v>84.428571428571431</v>
      </c>
      <c r="N109" s="825">
        <v>14</v>
      </c>
      <c r="O109" s="825">
        <v>0</v>
      </c>
      <c r="P109" s="825">
        <v>0</v>
      </c>
    </row>
    <row r="110" spans="1:16" x14ac:dyDescent="0.25">
      <c r="A110" s="825"/>
      <c r="B110" s="1000"/>
      <c r="C110" s="825">
        <v>15</v>
      </c>
      <c r="D110" s="825" t="s">
        <v>20</v>
      </c>
      <c r="E110" s="825" t="s">
        <v>13</v>
      </c>
      <c r="F110" s="825">
        <v>79.5</v>
      </c>
      <c r="G110" s="825">
        <v>74</v>
      </c>
      <c r="H110" s="825">
        <v>82</v>
      </c>
      <c r="I110" s="825">
        <v>82</v>
      </c>
      <c r="J110" s="825">
        <v>87</v>
      </c>
      <c r="K110" s="825">
        <v>91.5</v>
      </c>
      <c r="L110" s="825">
        <v>587.5</v>
      </c>
      <c r="M110" s="825">
        <v>83.928571428571431</v>
      </c>
      <c r="N110" s="825">
        <v>15</v>
      </c>
      <c r="O110" s="825">
        <v>0</v>
      </c>
      <c r="P110" s="825">
        <v>0</v>
      </c>
    </row>
    <row r="111" spans="1:16" x14ac:dyDescent="0.25">
      <c r="A111" s="825">
        <v>36</v>
      </c>
      <c r="B111" s="998"/>
      <c r="C111" s="825">
        <v>16</v>
      </c>
      <c r="D111" s="825" t="s">
        <v>17</v>
      </c>
      <c r="E111" s="825" t="s">
        <v>18</v>
      </c>
      <c r="F111" s="825">
        <v>60</v>
      </c>
      <c r="G111" s="825">
        <v>69</v>
      </c>
      <c r="H111" s="825">
        <v>75</v>
      </c>
      <c r="I111" s="825">
        <v>73</v>
      </c>
      <c r="J111" s="825">
        <v>72</v>
      </c>
      <c r="K111" s="825">
        <v>91</v>
      </c>
      <c r="L111" s="825">
        <v>538</v>
      </c>
      <c r="M111" s="825">
        <v>76.857142857142861</v>
      </c>
      <c r="N111" s="825">
        <v>27</v>
      </c>
      <c r="O111" s="825">
        <v>0</v>
      </c>
      <c r="P111" s="825">
        <v>0</v>
      </c>
    </row>
    <row r="112" spans="1:16" x14ac:dyDescent="0.25">
      <c r="A112" s="825"/>
      <c r="B112" s="999"/>
      <c r="C112" s="825">
        <v>15</v>
      </c>
      <c r="D112" s="825" t="s">
        <v>20</v>
      </c>
      <c r="E112" s="825" t="s">
        <v>19</v>
      </c>
      <c r="F112" s="825">
        <v>67</v>
      </c>
      <c r="G112" s="825">
        <v>58</v>
      </c>
      <c r="H112" s="825">
        <v>79</v>
      </c>
      <c r="I112" s="825">
        <v>63</v>
      </c>
      <c r="J112" s="825">
        <v>81</v>
      </c>
      <c r="K112" s="825">
        <v>86</v>
      </c>
      <c r="L112" s="825">
        <v>527</v>
      </c>
      <c r="M112" s="825">
        <v>75.285714285714292</v>
      </c>
      <c r="N112" s="825">
        <v>33</v>
      </c>
      <c r="O112" s="825">
        <v>0</v>
      </c>
      <c r="P112" s="825">
        <v>0</v>
      </c>
    </row>
    <row r="113" spans="1:16" x14ac:dyDescent="0.25">
      <c r="A113" s="825"/>
      <c r="B113" s="1000"/>
      <c r="C113" s="825">
        <v>15</v>
      </c>
      <c r="D113" s="825" t="s">
        <v>20</v>
      </c>
      <c r="E113" s="825" t="s">
        <v>13</v>
      </c>
      <c r="F113" s="825">
        <v>63.5</v>
      </c>
      <c r="G113" s="825">
        <v>63.5</v>
      </c>
      <c r="H113" s="825">
        <v>77</v>
      </c>
      <c r="I113" s="825">
        <v>68</v>
      </c>
      <c r="J113" s="825">
        <v>76.5</v>
      </c>
      <c r="K113" s="825">
        <v>88.5</v>
      </c>
      <c r="L113" s="825">
        <v>532.5</v>
      </c>
      <c r="M113" s="825">
        <v>76.071428571428584</v>
      </c>
      <c r="N113" s="825">
        <v>30</v>
      </c>
      <c r="O113" s="825">
        <v>0</v>
      </c>
      <c r="P113" s="825">
        <v>0</v>
      </c>
    </row>
    <row r="114" spans="1:16" x14ac:dyDescent="0.25">
      <c r="A114" s="825">
        <v>37</v>
      </c>
      <c r="B114" s="998"/>
      <c r="C114" s="825">
        <v>16</v>
      </c>
      <c r="D114" s="825" t="s">
        <v>17</v>
      </c>
      <c r="E114" s="825" t="s">
        <v>18</v>
      </c>
      <c r="F114" s="825">
        <v>55</v>
      </c>
      <c r="G114" s="825">
        <v>52</v>
      </c>
      <c r="H114" s="825">
        <v>58</v>
      </c>
      <c r="I114" s="825">
        <v>64</v>
      </c>
      <c r="J114" s="825">
        <v>64</v>
      </c>
      <c r="K114" s="825">
        <v>76</v>
      </c>
      <c r="L114" s="825">
        <v>435</v>
      </c>
      <c r="M114" s="825">
        <v>62.142857142857146</v>
      </c>
      <c r="N114" s="825">
        <v>46</v>
      </c>
      <c r="O114" s="825">
        <v>0</v>
      </c>
      <c r="P114" s="825">
        <v>0</v>
      </c>
    </row>
    <row r="115" spans="1:16" x14ac:dyDescent="0.25">
      <c r="A115" s="825"/>
      <c r="B115" s="999"/>
      <c r="C115" s="825">
        <v>15</v>
      </c>
      <c r="D115" s="825" t="s">
        <v>20</v>
      </c>
      <c r="E115" s="825" t="s">
        <v>19</v>
      </c>
      <c r="F115" s="825">
        <v>55</v>
      </c>
      <c r="G115" s="825">
        <v>47</v>
      </c>
      <c r="H115" s="825">
        <v>57</v>
      </c>
      <c r="I115" s="825">
        <v>57</v>
      </c>
      <c r="J115" s="825">
        <v>56</v>
      </c>
      <c r="K115" s="825">
        <v>80</v>
      </c>
      <c r="L115" s="825">
        <v>438</v>
      </c>
      <c r="M115" s="825">
        <v>62.571428571428569</v>
      </c>
      <c r="N115" s="825">
        <v>47</v>
      </c>
      <c r="O115" s="825">
        <v>0</v>
      </c>
      <c r="P115" s="825">
        <v>0</v>
      </c>
    </row>
    <row r="116" spans="1:16" x14ac:dyDescent="0.25">
      <c r="A116" s="825"/>
      <c r="B116" s="1000"/>
      <c r="C116" s="825">
        <v>15</v>
      </c>
      <c r="D116" s="825" t="s">
        <v>20</v>
      </c>
      <c r="E116" s="825" t="s">
        <v>13</v>
      </c>
      <c r="F116" s="825">
        <v>55</v>
      </c>
      <c r="G116" s="825">
        <v>49.5</v>
      </c>
      <c r="H116" s="825">
        <v>57.5</v>
      </c>
      <c r="I116" s="825">
        <v>60.5</v>
      </c>
      <c r="J116" s="825">
        <v>60</v>
      </c>
      <c r="K116" s="825">
        <v>78</v>
      </c>
      <c r="L116" s="825">
        <v>436.5</v>
      </c>
      <c r="M116" s="825">
        <v>62.357142857142861</v>
      </c>
      <c r="N116" s="825">
        <v>46</v>
      </c>
      <c r="O116" s="825">
        <v>0</v>
      </c>
      <c r="P116" s="825">
        <v>0</v>
      </c>
    </row>
    <row r="117" spans="1:16" x14ac:dyDescent="0.25">
      <c r="A117" s="825">
        <v>38</v>
      </c>
      <c r="B117" s="998"/>
      <c r="C117" s="825">
        <v>16</v>
      </c>
      <c r="D117" s="825" t="s">
        <v>17</v>
      </c>
      <c r="E117" s="825" t="s">
        <v>18</v>
      </c>
      <c r="F117" s="825">
        <v>53</v>
      </c>
      <c r="G117" s="825">
        <v>39</v>
      </c>
      <c r="H117" s="825">
        <v>70</v>
      </c>
      <c r="I117" s="825">
        <v>69</v>
      </c>
      <c r="J117" s="825">
        <v>66</v>
      </c>
      <c r="K117" s="825">
        <v>81</v>
      </c>
      <c r="L117" s="825">
        <v>463</v>
      </c>
      <c r="M117" s="825">
        <v>66.142857142857139</v>
      </c>
      <c r="N117" s="825">
        <v>42</v>
      </c>
      <c r="O117" s="825">
        <v>0</v>
      </c>
      <c r="P117" s="825">
        <v>0</v>
      </c>
    </row>
    <row r="118" spans="1:16" x14ac:dyDescent="0.25">
      <c r="A118" s="825"/>
      <c r="B118" s="999"/>
      <c r="C118" s="825">
        <v>15</v>
      </c>
      <c r="D118" s="825" t="s">
        <v>17</v>
      </c>
      <c r="E118" s="825" t="s">
        <v>19</v>
      </c>
      <c r="F118" s="825">
        <v>53</v>
      </c>
      <c r="G118" s="825">
        <v>41</v>
      </c>
      <c r="H118" s="825">
        <v>77</v>
      </c>
      <c r="I118" s="825">
        <v>60</v>
      </c>
      <c r="J118" s="825">
        <v>80</v>
      </c>
      <c r="K118" s="825">
        <v>77</v>
      </c>
      <c r="L118" s="825">
        <v>474</v>
      </c>
      <c r="M118" s="825">
        <v>67.714285714285708</v>
      </c>
      <c r="N118" s="825">
        <v>41</v>
      </c>
      <c r="O118" s="825">
        <v>0</v>
      </c>
      <c r="P118" s="825">
        <v>0</v>
      </c>
    </row>
    <row r="119" spans="1:16" x14ac:dyDescent="0.25">
      <c r="A119" s="825"/>
      <c r="B119" s="1000"/>
      <c r="C119" s="825">
        <v>15</v>
      </c>
      <c r="D119" s="825" t="s">
        <v>17</v>
      </c>
      <c r="E119" s="825" t="s">
        <v>13</v>
      </c>
      <c r="F119" s="825">
        <v>53</v>
      </c>
      <c r="G119" s="825">
        <v>40</v>
      </c>
      <c r="H119" s="825">
        <v>73.5</v>
      </c>
      <c r="I119" s="825">
        <v>64.5</v>
      </c>
      <c r="J119" s="825">
        <v>73</v>
      </c>
      <c r="K119" s="825">
        <v>79</v>
      </c>
      <c r="L119" s="825">
        <v>468.5</v>
      </c>
      <c r="M119" s="825">
        <v>66.928571428571416</v>
      </c>
      <c r="N119" s="825">
        <v>42</v>
      </c>
      <c r="O119" s="825">
        <v>0</v>
      </c>
      <c r="P119" s="825">
        <v>0</v>
      </c>
    </row>
    <row r="120" spans="1:16" x14ac:dyDescent="0.25">
      <c r="A120" s="825">
        <v>39</v>
      </c>
      <c r="B120" s="998"/>
      <c r="C120" s="825">
        <v>16</v>
      </c>
      <c r="D120" s="825" t="s">
        <v>20</v>
      </c>
      <c r="E120" s="825" t="s">
        <v>18</v>
      </c>
      <c r="F120" s="825">
        <v>54</v>
      </c>
      <c r="G120" s="825">
        <v>40</v>
      </c>
      <c r="H120" s="825">
        <v>66</v>
      </c>
      <c r="I120" s="825">
        <v>64</v>
      </c>
      <c r="J120" s="825">
        <v>59</v>
      </c>
      <c r="K120" s="825">
        <v>75</v>
      </c>
      <c r="L120" s="825">
        <v>442</v>
      </c>
      <c r="M120" s="825">
        <v>63.142857142857146</v>
      </c>
      <c r="N120" s="825">
        <v>45</v>
      </c>
      <c r="O120" s="825">
        <v>0</v>
      </c>
      <c r="P120" s="825">
        <v>0</v>
      </c>
    </row>
    <row r="121" spans="1:16" x14ac:dyDescent="0.25">
      <c r="A121" s="825"/>
      <c r="B121" s="999"/>
      <c r="C121" s="825">
        <v>16</v>
      </c>
      <c r="D121" s="825" t="s">
        <v>20</v>
      </c>
      <c r="E121" s="825" t="s">
        <v>19</v>
      </c>
      <c r="F121" s="825">
        <v>62</v>
      </c>
      <c r="G121" s="825">
        <v>39</v>
      </c>
      <c r="H121" s="825">
        <v>77</v>
      </c>
      <c r="I121" s="825">
        <v>60</v>
      </c>
      <c r="J121" s="825">
        <v>61</v>
      </c>
      <c r="K121" s="825">
        <v>77</v>
      </c>
      <c r="L121" s="825">
        <v>465</v>
      </c>
      <c r="M121" s="825">
        <v>66.428571428571431</v>
      </c>
      <c r="N121" s="825">
        <v>44</v>
      </c>
      <c r="O121" s="825">
        <v>0</v>
      </c>
      <c r="P121" s="825">
        <v>0</v>
      </c>
    </row>
    <row r="122" spans="1:16" x14ac:dyDescent="0.25">
      <c r="A122" s="825"/>
      <c r="B122" s="1000"/>
      <c r="C122" s="825">
        <v>16</v>
      </c>
      <c r="D122" s="825" t="s">
        <v>20</v>
      </c>
      <c r="E122" s="825" t="s">
        <v>13</v>
      </c>
      <c r="F122" s="825">
        <v>58</v>
      </c>
      <c r="G122" s="825">
        <v>39.5</v>
      </c>
      <c r="H122" s="825">
        <v>71.5</v>
      </c>
      <c r="I122" s="825">
        <v>62</v>
      </c>
      <c r="J122" s="825">
        <v>60</v>
      </c>
      <c r="K122" s="825">
        <v>76</v>
      </c>
      <c r="L122" s="825">
        <v>453.5</v>
      </c>
      <c r="M122" s="825">
        <v>64.785714285714292</v>
      </c>
      <c r="N122" s="825">
        <v>45</v>
      </c>
      <c r="O122" s="825">
        <v>0</v>
      </c>
      <c r="P122" s="825">
        <v>0</v>
      </c>
    </row>
    <row r="123" spans="1:16" x14ac:dyDescent="0.25">
      <c r="A123" s="825">
        <v>40</v>
      </c>
      <c r="B123" s="998"/>
      <c r="C123" s="825">
        <v>16</v>
      </c>
      <c r="D123" s="825" t="s">
        <v>20</v>
      </c>
      <c r="E123" s="825" t="s">
        <v>18</v>
      </c>
      <c r="F123" s="825">
        <v>79</v>
      </c>
      <c r="G123" s="825">
        <v>73</v>
      </c>
      <c r="H123" s="825">
        <v>81</v>
      </c>
      <c r="I123" s="825">
        <v>81</v>
      </c>
      <c r="J123" s="825">
        <v>79</v>
      </c>
      <c r="K123" s="825">
        <v>82</v>
      </c>
      <c r="L123" s="825">
        <v>563</v>
      </c>
      <c r="M123" s="825">
        <v>80.428571428571431</v>
      </c>
      <c r="N123" s="825">
        <v>20</v>
      </c>
      <c r="O123" s="825">
        <v>0</v>
      </c>
      <c r="P123" s="825">
        <v>0</v>
      </c>
    </row>
    <row r="124" spans="1:16" x14ac:dyDescent="0.25">
      <c r="A124" s="825"/>
      <c r="B124" s="999"/>
      <c r="C124" s="825">
        <v>16</v>
      </c>
      <c r="D124" s="825" t="s">
        <v>17</v>
      </c>
      <c r="E124" s="825" t="s">
        <v>19</v>
      </c>
      <c r="F124" s="825">
        <v>71</v>
      </c>
      <c r="G124" s="825">
        <v>65</v>
      </c>
      <c r="H124" s="825">
        <v>82</v>
      </c>
      <c r="I124" s="825">
        <v>71</v>
      </c>
      <c r="J124" s="825">
        <v>86</v>
      </c>
      <c r="K124" s="825">
        <v>92</v>
      </c>
      <c r="L124" s="825">
        <v>559</v>
      </c>
      <c r="M124" s="825">
        <v>79.857142857142861</v>
      </c>
      <c r="N124" s="825">
        <v>20</v>
      </c>
      <c r="O124" s="825">
        <v>0</v>
      </c>
      <c r="P124" s="825">
        <v>0</v>
      </c>
    </row>
    <row r="125" spans="1:16" x14ac:dyDescent="0.25">
      <c r="A125" s="825"/>
      <c r="B125" s="1000"/>
      <c r="C125" s="825">
        <v>16</v>
      </c>
      <c r="D125" s="825" t="s">
        <v>17</v>
      </c>
      <c r="E125" s="825" t="s">
        <v>13</v>
      </c>
      <c r="F125" s="825">
        <v>75</v>
      </c>
      <c r="G125" s="825">
        <v>69</v>
      </c>
      <c r="H125" s="825">
        <v>81.5</v>
      </c>
      <c r="I125" s="825">
        <v>76</v>
      </c>
      <c r="J125" s="825">
        <v>82.5</v>
      </c>
      <c r="K125" s="825">
        <v>87</v>
      </c>
      <c r="L125" s="825">
        <v>561</v>
      </c>
      <c r="M125" s="825">
        <v>80.142857142857139</v>
      </c>
      <c r="N125" s="825">
        <v>22</v>
      </c>
      <c r="O125" s="825">
        <v>0</v>
      </c>
      <c r="P125" s="825">
        <v>0</v>
      </c>
    </row>
    <row r="126" spans="1:16" x14ac:dyDescent="0.25">
      <c r="A126" s="825">
        <v>41</v>
      </c>
      <c r="B126" s="998"/>
      <c r="C126" s="825">
        <v>17</v>
      </c>
      <c r="D126" s="825" t="s">
        <v>17</v>
      </c>
      <c r="E126" s="825" t="s">
        <v>18</v>
      </c>
      <c r="F126" s="825">
        <v>71</v>
      </c>
      <c r="G126" s="825">
        <v>64</v>
      </c>
      <c r="H126" s="825">
        <v>70</v>
      </c>
      <c r="I126" s="825">
        <v>75</v>
      </c>
      <c r="J126" s="825">
        <v>75</v>
      </c>
      <c r="K126" s="825">
        <v>86</v>
      </c>
      <c r="L126" s="825">
        <v>523</v>
      </c>
      <c r="M126" s="825">
        <v>74.714285714285708</v>
      </c>
      <c r="N126" s="825">
        <v>32</v>
      </c>
      <c r="O126" s="825">
        <v>0</v>
      </c>
      <c r="P126" s="825">
        <v>0</v>
      </c>
    </row>
    <row r="127" spans="1:16" x14ac:dyDescent="0.25">
      <c r="A127" s="825"/>
      <c r="B127" s="999"/>
      <c r="C127" s="825">
        <v>17</v>
      </c>
      <c r="D127" s="825" t="s">
        <v>20</v>
      </c>
      <c r="E127" s="825" t="s">
        <v>19</v>
      </c>
      <c r="F127" s="825">
        <v>69</v>
      </c>
      <c r="G127" s="825">
        <v>70</v>
      </c>
      <c r="H127" s="825">
        <v>76</v>
      </c>
      <c r="I127" s="825">
        <v>67</v>
      </c>
      <c r="J127" s="825">
        <v>86</v>
      </c>
      <c r="K127" s="825">
        <v>94</v>
      </c>
      <c r="L127" s="825">
        <v>548</v>
      </c>
      <c r="M127" s="825">
        <v>78.285714285714292</v>
      </c>
      <c r="N127" s="825">
        <v>27</v>
      </c>
      <c r="O127" s="825">
        <v>0</v>
      </c>
      <c r="P127" s="825">
        <v>0</v>
      </c>
    </row>
    <row r="128" spans="1:16" x14ac:dyDescent="0.25">
      <c r="A128" s="825"/>
      <c r="B128" s="1000"/>
      <c r="C128" s="825">
        <v>17</v>
      </c>
      <c r="D128" s="825" t="s">
        <v>20</v>
      </c>
      <c r="E128" s="825" t="s">
        <v>13</v>
      </c>
      <c r="F128" s="825">
        <v>70</v>
      </c>
      <c r="G128" s="825">
        <v>67</v>
      </c>
      <c r="H128" s="825">
        <v>73</v>
      </c>
      <c r="I128" s="825">
        <v>71</v>
      </c>
      <c r="J128" s="825">
        <v>80.5</v>
      </c>
      <c r="K128" s="825">
        <v>90</v>
      </c>
      <c r="L128" s="825">
        <v>535.5</v>
      </c>
      <c r="M128" s="825">
        <v>76.5</v>
      </c>
      <c r="N128" s="825">
        <v>29</v>
      </c>
      <c r="O128" s="825">
        <v>0</v>
      </c>
      <c r="P128" s="825">
        <v>0</v>
      </c>
    </row>
    <row r="129" spans="1:16" x14ac:dyDescent="0.25">
      <c r="A129" s="825">
        <v>42</v>
      </c>
      <c r="B129" s="998"/>
      <c r="C129" s="825">
        <v>16</v>
      </c>
      <c r="D129" s="825" t="s">
        <v>17</v>
      </c>
      <c r="E129" s="825" t="s">
        <v>18</v>
      </c>
      <c r="F129" s="825">
        <v>65</v>
      </c>
      <c r="G129" s="825">
        <v>65</v>
      </c>
      <c r="H129" s="825">
        <v>79</v>
      </c>
      <c r="I129" s="825">
        <v>91</v>
      </c>
      <c r="J129" s="825">
        <v>87</v>
      </c>
      <c r="K129" s="825">
        <v>100</v>
      </c>
      <c r="L129" s="825">
        <v>585</v>
      </c>
      <c r="M129" s="825">
        <v>83.571428571428569</v>
      </c>
      <c r="N129" s="825">
        <v>16</v>
      </c>
      <c r="O129" s="825">
        <v>0</v>
      </c>
      <c r="P129" s="825">
        <v>0</v>
      </c>
    </row>
    <row r="130" spans="1:16" x14ac:dyDescent="0.25">
      <c r="A130" s="825"/>
      <c r="B130" s="999"/>
      <c r="C130" s="825">
        <v>18</v>
      </c>
      <c r="D130" s="825" t="s">
        <v>17</v>
      </c>
      <c r="E130" s="825" t="s">
        <v>19</v>
      </c>
      <c r="F130" s="825">
        <v>75</v>
      </c>
      <c r="G130" s="825">
        <v>80</v>
      </c>
      <c r="H130" s="825">
        <v>91</v>
      </c>
      <c r="I130" s="825">
        <v>79</v>
      </c>
      <c r="J130" s="825">
        <v>90</v>
      </c>
      <c r="K130" s="825">
        <v>98</v>
      </c>
      <c r="L130" s="825">
        <v>609</v>
      </c>
      <c r="M130" s="825">
        <v>87</v>
      </c>
      <c r="N130" s="825">
        <v>11</v>
      </c>
      <c r="O130" s="825">
        <v>0</v>
      </c>
      <c r="P130" s="825">
        <v>0</v>
      </c>
    </row>
    <row r="131" spans="1:16" x14ac:dyDescent="0.25">
      <c r="A131" s="825"/>
      <c r="B131" s="1000"/>
      <c r="C131" s="825">
        <v>18</v>
      </c>
      <c r="D131" s="825" t="s">
        <v>17</v>
      </c>
      <c r="E131" s="825" t="s">
        <v>13</v>
      </c>
      <c r="F131" s="825">
        <v>70</v>
      </c>
      <c r="G131" s="825">
        <v>72.5</v>
      </c>
      <c r="H131" s="825">
        <v>85</v>
      </c>
      <c r="I131" s="825">
        <v>85</v>
      </c>
      <c r="J131" s="825">
        <v>88.5</v>
      </c>
      <c r="K131" s="825">
        <v>99</v>
      </c>
      <c r="L131" s="825">
        <v>597</v>
      </c>
      <c r="M131" s="825">
        <v>85.285714285714278</v>
      </c>
      <c r="N131" s="825">
        <v>13</v>
      </c>
      <c r="O131" s="825">
        <v>0</v>
      </c>
      <c r="P131" s="825">
        <v>0</v>
      </c>
    </row>
    <row r="132" spans="1:16" x14ac:dyDescent="0.25">
      <c r="A132" s="825">
        <v>43</v>
      </c>
      <c r="B132" s="998"/>
      <c r="C132" s="825">
        <v>16</v>
      </c>
      <c r="D132" s="825" t="s">
        <v>17</v>
      </c>
      <c r="E132" s="825" t="s">
        <v>18</v>
      </c>
      <c r="F132" s="825">
        <v>57</v>
      </c>
      <c r="G132" s="825">
        <v>43</v>
      </c>
      <c r="H132" s="825">
        <v>57</v>
      </c>
      <c r="I132" s="825">
        <v>60</v>
      </c>
      <c r="J132" s="825">
        <v>59</v>
      </c>
      <c r="K132" s="825">
        <v>74</v>
      </c>
      <c r="L132" s="825">
        <v>419</v>
      </c>
      <c r="M132" s="825">
        <v>59.857142857142854</v>
      </c>
      <c r="N132" s="825">
        <v>47</v>
      </c>
      <c r="O132" s="825">
        <v>0</v>
      </c>
      <c r="P132" s="825">
        <v>0</v>
      </c>
    </row>
    <row r="133" spans="1:16" x14ac:dyDescent="0.25">
      <c r="A133" s="825"/>
      <c r="B133" s="999"/>
      <c r="C133" s="825">
        <v>16</v>
      </c>
      <c r="D133" s="825" t="s">
        <v>17</v>
      </c>
      <c r="E133" s="825" t="s">
        <v>19</v>
      </c>
      <c r="F133" s="825">
        <v>53</v>
      </c>
      <c r="G133" s="825">
        <v>43</v>
      </c>
      <c r="H133" s="825">
        <v>65</v>
      </c>
      <c r="I133" s="825">
        <v>63</v>
      </c>
      <c r="J133" s="825">
        <v>74</v>
      </c>
      <c r="K133" s="825">
        <v>73</v>
      </c>
      <c r="L133" s="825">
        <v>451</v>
      </c>
      <c r="M133" s="825">
        <v>64.428571428571431</v>
      </c>
      <c r="N133" s="825">
        <v>46</v>
      </c>
      <c r="O133" s="825">
        <v>0</v>
      </c>
      <c r="P133" s="825">
        <v>0</v>
      </c>
    </row>
    <row r="134" spans="1:16" x14ac:dyDescent="0.25">
      <c r="A134" s="825"/>
      <c r="B134" s="1000"/>
      <c r="C134" s="825">
        <v>16</v>
      </c>
      <c r="D134" s="825" t="s">
        <v>17</v>
      </c>
      <c r="E134" s="825" t="s">
        <v>13</v>
      </c>
      <c r="F134" s="825">
        <v>55</v>
      </c>
      <c r="G134" s="825">
        <v>43</v>
      </c>
      <c r="H134" s="825">
        <v>61</v>
      </c>
      <c r="I134" s="825">
        <v>61.5</v>
      </c>
      <c r="J134" s="825">
        <v>66.5</v>
      </c>
      <c r="K134" s="825">
        <v>73.5</v>
      </c>
      <c r="L134" s="825">
        <v>435</v>
      </c>
      <c r="M134" s="825">
        <v>62.142857142857139</v>
      </c>
      <c r="N134" s="825">
        <v>47</v>
      </c>
      <c r="O134" s="825">
        <v>0</v>
      </c>
      <c r="P134" s="825">
        <v>0</v>
      </c>
    </row>
    <row r="135" spans="1:16" x14ac:dyDescent="0.25">
      <c r="A135" s="825">
        <v>44</v>
      </c>
      <c r="B135" s="998"/>
      <c r="C135" s="825">
        <v>16</v>
      </c>
      <c r="D135" s="825" t="s">
        <v>20</v>
      </c>
      <c r="E135" s="825" t="s">
        <v>18</v>
      </c>
      <c r="F135" s="825">
        <v>67</v>
      </c>
      <c r="G135" s="825">
        <v>59</v>
      </c>
      <c r="H135" s="825">
        <v>85</v>
      </c>
      <c r="I135" s="825">
        <v>87</v>
      </c>
      <c r="J135" s="825">
        <v>81</v>
      </c>
      <c r="K135" s="825">
        <v>86</v>
      </c>
      <c r="L135" s="825">
        <v>550</v>
      </c>
      <c r="M135" s="825">
        <v>78.571428571428569</v>
      </c>
      <c r="N135" s="825">
        <v>22</v>
      </c>
      <c r="O135" s="825">
        <v>0</v>
      </c>
      <c r="P135" s="825">
        <v>0</v>
      </c>
    </row>
    <row r="136" spans="1:16" x14ac:dyDescent="0.25">
      <c r="A136" s="825"/>
      <c r="B136" s="999"/>
      <c r="C136" s="825">
        <v>15</v>
      </c>
      <c r="D136" s="825" t="s">
        <v>17</v>
      </c>
      <c r="E136" s="825" t="s">
        <v>19</v>
      </c>
      <c r="F136" s="825">
        <v>67</v>
      </c>
      <c r="G136" s="825">
        <v>60</v>
      </c>
      <c r="H136" s="825">
        <v>86</v>
      </c>
      <c r="I136" s="825">
        <v>80</v>
      </c>
      <c r="J136" s="825">
        <v>78</v>
      </c>
      <c r="K136" s="825">
        <v>91</v>
      </c>
      <c r="L136" s="825">
        <v>553</v>
      </c>
      <c r="M136" s="825">
        <v>79</v>
      </c>
      <c r="N136" s="825">
        <v>24</v>
      </c>
      <c r="O136" s="825">
        <v>0</v>
      </c>
      <c r="P136" s="825">
        <v>0</v>
      </c>
    </row>
    <row r="137" spans="1:16" x14ac:dyDescent="0.25">
      <c r="A137" s="825"/>
      <c r="B137" s="1000"/>
      <c r="C137" s="825">
        <v>15</v>
      </c>
      <c r="D137" s="825" t="s">
        <v>17</v>
      </c>
      <c r="E137" s="825" t="s">
        <v>13</v>
      </c>
      <c r="F137" s="825">
        <v>67</v>
      </c>
      <c r="G137" s="825">
        <v>59.5</v>
      </c>
      <c r="H137" s="825">
        <v>85.5</v>
      </c>
      <c r="I137" s="825">
        <v>83.5</v>
      </c>
      <c r="J137" s="825">
        <v>79.5</v>
      </c>
      <c r="K137" s="825">
        <v>88.5</v>
      </c>
      <c r="L137" s="825">
        <v>551.5</v>
      </c>
      <c r="M137" s="825">
        <v>78.785714285714278</v>
      </c>
      <c r="N137" s="825">
        <v>23</v>
      </c>
      <c r="O137" s="825">
        <v>0</v>
      </c>
      <c r="P137" s="825">
        <v>0</v>
      </c>
    </row>
    <row r="138" spans="1:16" x14ac:dyDescent="0.25">
      <c r="A138" s="825">
        <v>45</v>
      </c>
      <c r="B138" s="998"/>
      <c r="C138" s="825">
        <v>15</v>
      </c>
      <c r="D138" s="825" t="s">
        <v>20</v>
      </c>
      <c r="E138" s="825" t="s">
        <v>18</v>
      </c>
      <c r="F138" s="825">
        <v>71</v>
      </c>
      <c r="G138" s="825">
        <v>51</v>
      </c>
      <c r="H138" s="825">
        <v>72</v>
      </c>
      <c r="I138" s="825">
        <v>76</v>
      </c>
      <c r="J138" s="825">
        <v>61</v>
      </c>
      <c r="K138" s="825">
        <v>95</v>
      </c>
      <c r="L138" s="825">
        <v>501</v>
      </c>
      <c r="M138" s="825">
        <v>71.571428571428569</v>
      </c>
      <c r="N138" s="825">
        <v>34</v>
      </c>
      <c r="O138" s="825">
        <v>0</v>
      </c>
      <c r="P138" s="825">
        <v>0</v>
      </c>
    </row>
    <row r="139" spans="1:16" x14ac:dyDescent="0.25">
      <c r="A139" s="825"/>
      <c r="B139" s="999"/>
      <c r="C139" s="825">
        <v>15</v>
      </c>
      <c r="D139" s="825" t="s">
        <v>20</v>
      </c>
      <c r="E139" s="825" t="s">
        <v>19</v>
      </c>
      <c r="F139" s="825">
        <v>69</v>
      </c>
      <c r="G139" s="825">
        <v>36</v>
      </c>
      <c r="H139" s="825">
        <v>65</v>
      </c>
      <c r="I139" s="825">
        <v>60</v>
      </c>
      <c r="J139" s="825">
        <v>73</v>
      </c>
      <c r="K139" s="825">
        <v>89</v>
      </c>
      <c r="L139" s="825">
        <v>476</v>
      </c>
      <c r="M139" s="825">
        <v>68</v>
      </c>
      <c r="N139" s="825">
        <v>40</v>
      </c>
      <c r="O139" s="825">
        <v>0</v>
      </c>
      <c r="P139" s="825">
        <v>0</v>
      </c>
    </row>
    <row r="140" spans="1:16" x14ac:dyDescent="0.25">
      <c r="A140" s="825"/>
      <c r="B140" s="1000"/>
      <c r="C140" s="825">
        <v>15</v>
      </c>
      <c r="D140" s="825" t="s">
        <v>20</v>
      </c>
      <c r="E140" s="825" t="s">
        <v>13</v>
      </c>
      <c r="F140" s="825">
        <v>70</v>
      </c>
      <c r="G140" s="825">
        <v>43.5</v>
      </c>
      <c r="H140" s="825">
        <v>68.5</v>
      </c>
      <c r="I140" s="825">
        <v>68</v>
      </c>
      <c r="J140" s="825">
        <v>67</v>
      </c>
      <c r="K140" s="825">
        <v>92</v>
      </c>
      <c r="L140" s="825">
        <v>488.5</v>
      </c>
      <c r="M140" s="825">
        <v>69.785714285714278</v>
      </c>
      <c r="N140" s="825">
        <v>40</v>
      </c>
      <c r="O140" s="825">
        <v>0</v>
      </c>
      <c r="P140" s="825">
        <v>0</v>
      </c>
    </row>
    <row r="141" spans="1:16" x14ac:dyDescent="0.25">
      <c r="A141" s="825">
        <v>46</v>
      </c>
      <c r="B141" s="998"/>
      <c r="C141" s="825">
        <v>16</v>
      </c>
      <c r="D141" s="825" t="s">
        <v>17</v>
      </c>
      <c r="E141" s="825" t="s">
        <v>18</v>
      </c>
      <c r="F141" s="825">
        <v>86</v>
      </c>
      <c r="G141" s="825">
        <v>53</v>
      </c>
      <c r="H141" s="825">
        <v>78</v>
      </c>
      <c r="I141" s="825">
        <v>87</v>
      </c>
      <c r="J141" s="825">
        <v>85</v>
      </c>
      <c r="K141" s="825">
        <v>82</v>
      </c>
      <c r="L141" s="825">
        <v>560</v>
      </c>
      <c r="M141" s="825">
        <v>80</v>
      </c>
      <c r="N141" s="825">
        <v>21</v>
      </c>
      <c r="O141" s="825">
        <v>0</v>
      </c>
      <c r="P141" s="825">
        <v>0</v>
      </c>
    </row>
    <row r="142" spans="1:16" x14ac:dyDescent="0.25">
      <c r="A142" s="825"/>
      <c r="B142" s="999"/>
      <c r="C142" s="825">
        <v>16</v>
      </c>
      <c r="D142" s="825" t="s">
        <v>20</v>
      </c>
      <c r="E142" s="825" t="s">
        <v>19</v>
      </c>
      <c r="F142" s="825">
        <v>79</v>
      </c>
      <c r="G142" s="825">
        <v>57</v>
      </c>
      <c r="H142" s="825">
        <v>86</v>
      </c>
      <c r="I142" s="825">
        <v>85</v>
      </c>
      <c r="J142" s="825">
        <v>90</v>
      </c>
      <c r="K142" s="825">
        <v>87</v>
      </c>
      <c r="L142" s="825">
        <v>575</v>
      </c>
      <c r="M142" s="825">
        <v>82.142857142857139</v>
      </c>
      <c r="N142" s="825">
        <v>19</v>
      </c>
      <c r="O142" s="825">
        <v>0</v>
      </c>
      <c r="P142" s="825">
        <v>0</v>
      </c>
    </row>
    <row r="143" spans="1:16" x14ac:dyDescent="0.25">
      <c r="A143" s="825"/>
      <c r="B143" s="1000"/>
      <c r="C143" s="825">
        <v>16</v>
      </c>
      <c r="D143" s="825" t="s">
        <v>20</v>
      </c>
      <c r="E143" s="825" t="s">
        <v>13</v>
      </c>
      <c r="F143" s="825">
        <v>82.5</v>
      </c>
      <c r="G143" s="825">
        <v>55</v>
      </c>
      <c r="H143" s="825">
        <v>82</v>
      </c>
      <c r="I143" s="825">
        <v>86</v>
      </c>
      <c r="J143" s="825">
        <v>87.5</v>
      </c>
      <c r="K143" s="825">
        <v>84.5</v>
      </c>
      <c r="L143" s="825">
        <v>567.5</v>
      </c>
      <c r="M143" s="825">
        <v>81.071428571428569</v>
      </c>
      <c r="N143" s="825">
        <v>18</v>
      </c>
      <c r="O143" s="825">
        <v>0</v>
      </c>
      <c r="P143" s="825">
        <v>0</v>
      </c>
    </row>
    <row r="144" spans="1:16" x14ac:dyDescent="0.25">
      <c r="A144" s="825">
        <v>47</v>
      </c>
      <c r="B144" s="998"/>
      <c r="C144" s="825">
        <v>16</v>
      </c>
      <c r="D144" s="825" t="s">
        <v>20</v>
      </c>
      <c r="E144" s="825" t="s">
        <v>18</v>
      </c>
      <c r="F144" s="825">
        <v>62</v>
      </c>
      <c r="G144" s="825">
        <v>60</v>
      </c>
      <c r="H144" s="825">
        <v>84</v>
      </c>
      <c r="I144" s="825">
        <v>89</v>
      </c>
      <c r="J144" s="825">
        <v>78</v>
      </c>
      <c r="K144" s="825">
        <v>83</v>
      </c>
      <c r="L144" s="825">
        <v>539</v>
      </c>
      <c r="M144" s="825">
        <v>77</v>
      </c>
      <c r="N144" s="825">
        <v>25</v>
      </c>
      <c r="O144" s="825">
        <v>0</v>
      </c>
      <c r="P144" s="825">
        <v>0</v>
      </c>
    </row>
    <row r="145" spans="1:16" x14ac:dyDescent="0.25">
      <c r="A145" s="825"/>
      <c r="B145" s="999"/>
      <c r="C145" s="825">
        <v>15</v>
      </c>
      <c r="D145" s="825" t="s">
        <v>17</v>
      </c>
      <c r="E145" s="825" t="s">
        <v>19</v>
      </c>
      <c r="F145" s="825">
        <v>61</v>
      </c>
      <c r="G145" s="825">
        <v>54</v>
      </c>
      <c r="H145" s="825">
        <v>90</v>
      </c>
      <c r="I145" s="825">
        <v>91</v>
      </c>
      <c r="J145" s="825">
        <v>89</v>
      </c>
      <c r="K145" s="825">
        <v>81</v>
      </c>
      <c r="L145" s="825">
        <v>554</v>
      </c>
      <c r="M145" s="825">
        <v>79.142857142857139</v>
      </c>
      <c r="N145" s="825">
        <v>23</v>
      </c>
      <c r="O145" s="825">
        <v>0</v>
      </c>
      <c r="P145" s="825">
        <v>0</v>
      </c>
    </row>
    <row r="146" spans="1:16" x14ac:dyDescent="0.25">
      <c r="A146" s="825"/>
      <c r="B146" s="1000"/>
      <c r="C146" s="825">
        <v>15</v>
      </c>
      <c r="D146" s="825" t="s">
        <v>17</v>
      </c>
      <c r="E146" s="825" t="s">
        <v>13</v>
      </c>
      <c r="F146" s="825">
        <v>61.5</v>
      </c>
      <c r="G146" s="825">
        <v>57</v>
      </c>
      <c r="H146" s="825">
        <v>87</v>
      </c>
      <c r="I146" s="825">
        <v>90</v>
      </c>
      <c r="J146" s="825">
        <v>83.5</v>
      </c>
      <c r="K146" s="825">
        <v>82</v>
      </c>
      <c r="L146" s="825">
        <v>546.5</v>
      </c>
      <c r="M146" s="825">
        <v>78.071428571428569</v>
      </c>
      <c r="N146" s="825">
        <v>26</v>
      </c>
      <c r="O146" s="825">
        <v>0</v>
      </c>
      <c r="P146" s="825">
        <v>0</v>
      </c>
    </row>
    <row r="147" spans="1:16" x14ac:dyDescent="0.25">
      <c r="A147" s="825">
        <v>48</v>
      </c>
      <c r="B147" s="998"/>
      <c r="C147" s="825">
        <v>16</v>
      </c>
      <c r="D147" s="825" t="s">
        <v>17</v>
      </c>
      <c r="E147" s="825" t="s">
        <v>18</v>
      </c>
      <c r="F147" s="825">
        <v>79</v>
      </c>
      <c r="G147" s="825">
        <v>79</v>
      </c>
      <c r="H147" s="825">
        <v>83</v>
      </c>
      <c r="I147" s="825">
        <v>88</v>
      </c>
      <c r="J147" s="825">
        <v>90</v>
      </c>
      <c r="K147" s="825">
        <v>96</v>
      </c>
      <c r="L147" s="825">
        <v>608</v>
      </c>
      <c r="M147" s="825">
        <v>86.857142857142861</v>
      </c>
      <c r="N147" s="825">
        <v>10</v>
      </c>
      <c r="O147" s="825">
        <v>0</v>
      </c>
      <c r="P147" s="825">
        <v>0</v>
      </c>
    </row>
    <row r="148" spans="1:16" x14ac:dyDescent="0.25">
      <c r="A148" s="825"/>
      <c r="B148" s="999"/>
      <c r="C148" s="825">
        <v>14</v>
      </c>
      <c r="D148" s="825" t="s">
        <v>20</v>
      </c>
      <c r="E148" s="825" t="s">
        <v>19</v>
      </c>
      <c r="F148" s="825">
        <v>78</v>
      </c>
      <c r="G148" s="825">
        <v>73</v>
      </c>
      <c r="H148" s="825">
        <v>89</v>
      </c>
      <c r="I148" s="825">
        <v>86</v>
      </c>
      <c r="J148" s="825">
        <v>83</v>
      </c>
      <c r="K148" s="825">
        <v>92</v>
      </c>
      <c r="L148" s="825">
        <v>598</v>
      </c>
      <c r="M148" s="825">
        <v>85.428571428571431</v>
      </c>
      <c r="N148" s="825">
        <v>12</v>
      </c>
      <c r="O148" s="825">
        <v>0</v>
      </c>
      <c r="P148" s="825">
        <v>0</v>
      </c>
    </row>
    <row r="149" spans="1:16" x14ac:dyDescent="0.25">
      <c r="A149" s="825"/>
      <c r="B149" s="1000"/>
      <c r="C149" s="825">
        <v>14</v>
      </c>
      <c r="D149" s="825" t="s">
        <v>20</v>
      </c>
      <c r="E149" s="825" t="s">
        <v>13</v>
      </c>
      <c r="F149" s="825">
        <v>78.5</v>
      </c>
      <c r="G149" s="825">
        <v>76</v>
      </c>
      <c r="H149" s="825">
        <v>86</v>
      </c>
      <c r="I149" s="825">
        <v>87</v>
      </c>
      <c r="J149" s="825">
        <v>86.5</v>
      </c>
      <c r="K149" s="825">
        <v>94</v>
      </c>
      <c r="L149" s="825">
        <v>603</v>
      </c>
      <c r="M149" s="825">
        <v>86.142857142857139</v>
      </c>
      <c r="N149" s="825">
        <v>12</v>
      </c>
      <c r="O149" s="825">
        <v>0</v>
      </c>
      <c r="P149" s="825">
        <v>0</v>
      </c>
    </row>
  </sheetData>
  <mergeCells count="51">
    <mergeCell ref="B24:B26"/>
    <mergeCell ref="A1:P2"/>
    <mergeCell ref="A3:P3"/>
    <mergeCell ref="A4:P4"/>
    <mergeCell ref="B6:B8"/>
    <mergeCell ref="B9:B11"/>
    <mergeCell ref="B12:B14"/>
    <mergeCell ref="B15:B17"/>
    <mergeCell ref="B18:B20"/>
    <mergeCell ref="B21:B23"/>
    <mergeCell ref="B60:B62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3:B65"/>
    <mergeCell ref="B66:B68"/>
    <mergeCell ref="B69:B71"/>
    <mergeCell ref="B72:B74"/>
    <mergeCell ref="B75:B77"/>
    <mergeCell ref="B111:B113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47:B149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</mergeCells>
  <pageMargins left="0.7" right="0.7" top="0.75" bottom="0.75" header="0.3" footer="0.3"/>
  <pageSetup paperSize="9" scale="81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view="pageBreakPreview" zoomScale="60" zoomScaleNormal="100" workbookViewId="0">
      <selection activeCell="B4" sqref="B4:B51"/>
    </sheetView>
  </sheetViews>
  <sheetFormatPr defaultRowHeight="15" x14ac:dyDescent="0.25"/>
  <cols>
    <col min="1" max="1" width="5.140625" customWidth="1"/>
    <col min="2" max="2" width="33.85546875" customWidth="1"/>
    <col min="3" max="3" width="4" customWidth="1"/>
    <col min="4" max="4" width="4.28515625" customWidth="1"/>
    <col min="11" max="11" width="9.140625" style="211"/>
    <col min="14" max="14" width="8.28515625" customWidth="1"/>
  </cols>
  <sheetData>
    <row r="1" spans="1:16" ht="21" thickBot="1" x14ac:dyDescent="0.3">
      <c r="A1" s="991" t="s">
        <v>49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2"/>
      <c r="P1" s="993"/>
    </row>
    <row r="2" spans="1:16" ht="18.75" thickBot="1" x14ac:dyDescent="0.3">
      <c r="A2" s="994" t="s">
        <v>48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4"/>
      <c r="P2" s="995"/>
    </row>
    <row r="3" spans="1:16" ht="61.5" thickBot="1" x14ac:dyDescent="0.3">
      <c r="A3" s="145" t="s">
        <v>0</v>
      </c>
      <c r="B3" s="152" t="s">
        <v>1</v>
      </c>
      <c r="C3" s="152" t="s">
        <v>2</v>
      </c>
      <c r="D3" s="152" t="s">
        <v>3</v>
      </c>
      <c r="E3" s="342" t="s">
        <v>5</v>
      </c>
      <c r="F3" s="342" t="s">
        <v>6</v>
      </c>
      <c r="G3" s="342" t="s">
        <v>24</v>
      </c>
      <c r="H3" s="342" t="s">
        <v>74</v>
      </c>
      <c r="I3" s="342" t="s">
        <v>27</v>
      </c>
      <c r="J3" s="342" t="s">
        <v>26</v>
      </c>
      <c r="K3" s="342" t="s">
        <v>77</v>
      </c>
      <c r="L3" s="342" t="s">
        <v>12</v>
      </c>
      <c r="M3" s="342" t="s">
        <v>13</v>
      </c>
      <c r="N3" s="342" t="s">
        <v>14</v>
      </c>
      <c r="O3" s="342" t="s">
        <v>15</v>
      </c>
      <c r="P3" s="336" t="s">
        <v>16</v>
      </c>
    </row>
    <row r="4" spans="1:16" ht="18" thickBot="1" x14ac:dyDescent="0.3">
      <c r="A4" s="158">
        <v>1</v>
      </c>
      <c r="B4" s="304"/>
      <c r="C4" s="316">
        <v>17</v>
      </c>
      <c r="D4" s="316" t="s">
        <v>20</v>
      </c>
      <c r="E4" s="150">
        <v>76</v>
      </c>
      <c r="F4" s="144">
        <v>59</v>
      </c>
      <c r="G4" s="144">
        <v>66</v>
      </c>
      <c r="H4" s="144">
        <v>88</v>
      </c>
      <c r="I4" s="144">
        <v>78</v>
      </c>
      <c r="J4" s="144">
        <v>77</v>
      </c>
      <c r="K4" s="193">
        <v>69</v>
      </c>
      <c r="L4" s="144">
        <v>444</v>
      </c>
      <c r="M4" s="401">
        <v>74</v>
      </c>
      <c r="N4" s="147">
        <v>29</v>
      </c>
      <c r="O4" s="144"/>
      <c r="P4" s="159"/>
    </row>
    <row r="5" spans="1:16" ht="25.5" customHeight="1" thickBot="1" x14ac:dyDescent="0.3">
      <c r="A5" s="158">
        <v>2</v>
      </c>
      <c r="B5" s="298"/>
      <c r="C5" s="317">
        <v>16</v>
      </c>
      <c r="D5" s="317" t="s">
        <v>17</v>
      </c>
      <c r="E5" s="150">
        <v>80</v>
      </c>
      <c r="F5" s="144">
        <v>74</v>
      </c>
      <c r="G5" s="144">
        <v>92</v>
      </c>
      <c r="H5" s="144">
        <v>99</v>
      </c>
      <c r="I5" s="144">
        <v>95</v>
      </c>
      <c r="J5" s="144">
        <v>95</v>
      </c>
      <c r="K5" s="193">
        <v>66</v>
      </c>
      <c r="L5" s="144">
        <v>535</v>
      </c>
      <c r="M5" s="401">
        <v>89.166666666666671</v>
      </c>
      <c r="N5" s="147">
        <v>5</v>
      </c>
      <c r="O5" s="144"/>
      <c r="P5" s="159"/>
    </row>
    <row r="6" spans="1:16" ht="25.5" customHeight="1" thickBot="1" x14ac:dyDescent="0.3">
      <c r="A6" s="158">
        <v>3</v>
      </c>
      <c r="B6" s="298"/>
      <c r="C6" s="317">
        <v>16</v>
      </c>
      <c r="D6" s="317" t="s">
        <v>20</v>
      </c>
      <c r="E6" s="150">
        <v>89</v>
      </c>
      <c r="F6" s="144">
        <v>39</v>
      </c>
      <c r="G6" s="144">
        <v>67</v>
      </c>
      <c r="H6" s="144">
        <v>78</v>
      </c>
      <c r="I6" s="144">
        <v>80</v>
      </c>
      <c r="J6" s="144">
        <v>87</v>
      </c>
      <c r="K6" s="193">
        <v>60</v>
      </c>
      <c r="L6" s="144">
        <v>440</v>
      </c>
      <c r="M6" s="401">
        <v>73.333333333333329</v>
      </c>
      <c r="N6" s="147">
        <v>31</v>
      </c>
      <c r="O6" s="144"/>
      <c r="P6" s="159"/>
    </row>
    <row r="7" spans="1:16" ht="23.25" customHeight="1" thickBot="1" x14ac:dyDescent="0.3">
      <c r="A7" s="158">
        <v>4</v>
      </c>
      <c r="B7" s="298"/>
      <c r="C7" s="318">
        <v>18</v>
      </c>
      <c r="D7" s="318" t="s">
        <v>20</v>
      </c>
      <c r="E7" s="150">
        <v>72</v>
      </c>
      <c r="F7" s="144">
        <v>68</v>
      </c>
      <c r="G7" s="144">
        <v>79</v>
      </c>
      <c r="H7" s="144">
        <v>89</v>
      </c>
      <c r="I7" s="144">
        <v>84</v>
      </c>
      <c r="J7" s="144">
        <v>84</v>
      </c>
      <c r="K7" s="193">
        <v>98</v>
      </c>
      <c r="L7" s="144">
        <v>476</v>
      </c>
      <c r="M7" s="401">
        <v>79.333333333333329</v>
      </c>
      <c r="N7" s="147">
        <v>19</v>
      </c>
      <c r="O7" s="144"/>
      <c r="P7" s="159"/>
    </row>
    <row r="8" spans="1:16" ht="24" customHeight="1" thickBot="1" x14ac:dyDescent="0.3">
      <c r="A8" s="158">
        <v>5</v>
      </c>
      <c r="B8" s="298"/>
      <c r="C8" s="318">
        <v>17</v>
      </c>
      <c r="D8" s="318" t="s">
        <v>17</v>
      </c>
      <c r="E8" s="150">
        <v>59</v>
      </c>
      <c r="F8" s="144">
        <v>52</v>
      </c>
      <c r="G8" s="144">
        <v>61</v>
      </c>
      <c r="H8" s="144">
        <v>66</v>
      </c>
      <c r="I8" s="144">
        <v>60</v>
      </c>
      <c r="J8" s="144">
        <v>83</v>
      </c>
      <c r="K8" s="193">
        <v>92</v>
      </c>
      <c r="L8" s="144">
        <v>381</v>
      </c>
      <c r="M8" s="401">
        <v>63.5</v>
      </c>
      <c r="N8" s="147">
        <v>43</v>
      </c>
      <c r="O8" s="144"/>
      <c r="P8" s="159"/>
    </row>
    <row r="9" spans="1:16" ht="25.5" customHeight="1" thickBot="1" x14ac:dyDescent="0.3">
      <c r="A9" s="158">
        <v>6</v>
      </c>
      <c r="B9" s="298"/>
      <c r="C9" s="307">
        <v>16</v>
      </c>
      <c r="D9" s="319" t="s">
        <v>20</v>
      </c>
      <c r="E9" s="150">
        <v>82</v>
      </c>
      <c r="F9" s="144">
        <v>58</v>
      </c>
      <c r="G9" s="144">
        <v>77</v>
      </c>
      <c r="H9" s="144">
        <v>83</v>
      </c>
      <c r="I9" s="144">
        <v>68</v>
      </c>
      <c r="J9" s="144">
        <v>81</v>
      </c>
      <c r="K9" s="193">
        <v>85</v>
      </c>
      <c r="L9" s="144">
        <v>449</v>
      </c>
      <c r="M9" s="401">
        <v>74.833333333333329</v>
      </c>
      <c r="N9" s="147">
        <v>28</v>
      </c>
      <c r="O9" s="144"/>
      <c r="P9" s="159"/>
    </row>
    <row r="10" spans="1:16" ht="27" customHeight="1" thickBot="1" x14ac:dyDescent="0.3">
      <c r="A10" s="158">
        <v>7</v>
      </c>
      <c r="B10" s="298"/>
      <c r="C10" s="318">
        <v>17</v>
      </c>
      <c r="D10" s="318" t="s">
        <v>17</v>
      </c>
      <c r="E10" s="150">
        <v>61</v>
      </c>
      <c r="F10" s="144">
        <v>68</v>
      </c>
      <c r="G10" s="144">
        <v>72</v>
      </c>
      <c r="H10" s="144">
        <v>94</v>
      </c>
      <c r="I10" s="144">
        <v>74</v>
      </c>
      <c r="J10" s="144">
        <v>85</v>
      </c>
      <c r="K10" s="193">
        <v>88</v>
      </c>
      <c r="L10" s="144">
        <v>454</v>
      </c>
      <c r="M10" s="401">
        <v>75.666666666666671</v>
      </c>
      <c r="N10" s="147">
        <v>27</v>
      </c>
      <c r="O10" s="144"/>
      <c r="P10" s="159"/>
    </row>
    <row r="11" spans="1:16" ht="23.25" customHeight="1" thickBot="1" x14ac:dyDescent="0.3">
      <c r="A11" s="158">
        <v>8</v>
      </c>
      <c r="B11" s="298"/>
      <c r="C11" s="318">
        <v>16</v>
      </c>
      <c r="D11" s="318" t="s">
        <v>20</v>
      </c>
      <c r="E11" s="150">
        <v>65</v>
      </c>
      <c r="F11" s="144">
        <v>59</v>
      </c>
      <c r="G11" s="144">
        <v>80</v>
      </c>
      <c r="H11" s="144">
        <v>82</v>
      </c>
      <c r="I11" s="144">
        <v>78</v>
      </c>
      <c r="J11" s="144">
        <v>91</v>
      </c>
      <c r="K11" s="193">
        <v>79</v>
      </c>
      <c r="L11" s="144">
        <v>455</v>
      </c>
      <c r="M11" s="401">
        <v>75.833333333333329</v>
      </c>
      <c r="N11" s="147">
        <v>26</v>
      </c>
      <c r="O11" s="144"/>
      <c r="P11" s="159"/>
    </row>
    <row r="12" spans="1:16" ht="27" customHeight="1" thickBot="1" x14ac:dyDescent="0.3">
      <c r="A12" s="158">
        <v>9</v>
      </c>
      <c r="B12" s="298"/>
      <c r="C12" s="320">
        <v>16</v>
      </c>
      <c r="D12" s="317" t="s">
        <v>20</v>
      </c>
      <c r="E12" s="150">
        <v>89</v>
      </c>
      <c r="F12" s="144">
        <v>83</v>
      </c>
      <c r="G12" s="144">
        <v>78</v>
      </c>
      <c r="H12" s="144">
        <v>90</v>
      </c>
      <c r="I12" s="144">
        <v>93</v>
      </c>
      <c r="J12" s="144">
        <v>99</v>
      </c>
      <c r="K12" s="193">
        <v>60</v>
      </c>
      <c r="L12" s="144">
        <v>532</v>
      </c>
      <c r="M12" s="401">
        <v>88.666666666666671</v>
      </c>
      <c r="N12" s="147">
        <v>6</v>
      </c>
      <c r="O12" s="144"/>
      <c r="P12" s="159"/>
    </row>
    <row r="13" spans="1:16" ht="26.25" customHeight="1" thickBot="1" x14ac:dyDescent="0.3">
      <c r="A13" s="158">
        <v>10</v>
      </c>
      <c r="B13" s="298"/>
      <c r="C13" s="317"/>
      <c r="D13" s="317" t="s">
        <v>20</v>
      </c>
      <c r="E13" s="150">
        <v>80</v>
      </c>
      <c r="F13" s="144">
        <v>71</v>
      </c>
      <c r="G13" s="144">
        <v>84</v>
      </c>
      <c r="H13" s="144">
        <v>90</v>
      </c>
      <c r="I13" s="144">
        <v>90</v>
      </c>
      <c r="J13" s="144">
        <v>86</v>
      </c>
      <c r="K13" s="193">
        <v>80</v>
      </c>
      <c r="L13" s="144">
        <v>495</v>
      </c>
      <c r="M13" s="401">
        <v>82.5</v>
      </c>
      <c r="N13" s="147">
        <v>16</v>
      </c>
      <c r="O13" s="144"/>
      <c r="P13" s="159"/>
    </row>
    <row r="14" spans="1:16" ht="27.75" customHeight="1" thickBot="1" x14ac:dyDescent="0.3">
      <c r="A14" s="158">
        <v>11</v>
      </c>
      <c r="B14" s="298"/>
      <c r="C14" s="317">
        <v>16</v>
      </c>
      <c r="D14" s="317" t="s">
        <v>17</v>
      </c>
      <c r="E14" s="150">
        <v>80</v>
      </c>
      <c r="F14" s="144">
        <v>78</v>
      </c>
      <c r="G14" s="144">
        <v>94</v>
      </c>
      <c r="H14" s="144">
        <v>96</v>
      </c>
      <c r="I14" s="144">
        <v>95</v>
      </c>
      <c r="J14" s="144">
        <v>93</v>
      </c>
      <c r="K14" s="193">
        <v>67</v>
      </c>
      <c r="L14" s="144">
        <v>536</v>
      </c>
      <c r="M14" s="401">
        <v>89.333333333333329</v>
      </c>
      <c r="N14" s="147">
        <v>4</v>
      </c>
      <c r="O14" s="144"/>
      <c r="P14" s="159"/>
    </row>
    <row r="15" spans="1:16" ht="23.25" customHeight="1" thickBot="1" x14ac:dyDescent="0.3">
      <c r="A15" s="158">
        <v>12</v>
      </c>
      <c r="B15" s="298"/>
      <c r="C15" s="317">
        <v>17</v>
      </c>
      <c r="D15" s="317" t="s">
        <v>17</v>
      </c>
      <c r="E15" s="150">
        <v>72</v>
      </c>
      <c r="F15" s="144">
        <v>66</v>
      </c>
      <c r="G15" s="144">
        <v>86</v>
      </c>
      <c r="H15" s="144">
        <v>96</v>
      </c>
      <c r="I15" s="144">
        <v>88</v>
      </c>
      <c r="J15" s="144">
        <v>89</v>
      </c>
      <c r="K15" s="193">
        <v>66</v>
      </c>
      <c r="L15" s="144">
        <v>497</v>
      </c>
      <c r="M15" s="401">
        <v>82.833333333333329</v>
      </c>
      <c r="N15" s="147">
        <v>14</v>
      </c>
      <c r="O15" s="144"/>
      <c r="P15" s="159"/>
    </row>
    <row r="16" spans="1:16" ht="25.5" customHeight="1" thickBot="1" x14ac:dyDescent="0.3">
      <c r="A16" s="158">
        <v>13</v>
      </c>
      <c r="B16" s="298"/>
      <c r="C16" s="317">
        <v>17</v>
      </c>
      <c r="D16" s="317" t="s">
        <v>20</v>
      </c>
      <c r="E16" s="150">
        <v>60</v>
      </c>
      <c r="F16" s="144">
        <v>58</v>
      </c>
      <c r="G16" s="144">
        <v>70</v>
      </c>
      <c r="H16" s="144">
        <v>66</v>
      </c>
      <c r="I16" s="144">
        <v>67</v>
      </c>
      <c r="J16" s="144">
        <v>91</v>
      </c>
      <c r="K16" s="193">
        <v>60</v>
      </c>
      <c r="L16" s="144">
        <v>412</v>
      </c>
      <c r="M16" s="401">
        <v>68.666666666666671</v>
      </c>
      <c r="N16" s="147">
        <v>37</v>
      </c>
      <c r="O16" s="144"/>
      <c r="P16" s="159"/>
    </row>
    <row r="17" spans="1:16" ht="24" customHeight="1" thickBot="1" x14ac:dyDescent="0.3">
      <c r="A17" s="158">
        <v>14</v>
      </c>
      <c r="B17" s="298"/>
      <c r="C17" s="318">
        <v>17</v>
      </c>
      <c r="D17" s="318" t="s">
        <v>20</v>
      </c>
      <c r="E17" s="150">
        <v>64</v>
      </c>
      <c r="F17" s="144">
        <v>44</v>
      </c>
      <c r="G17" s="144">
        <v>66</v>
      </c>
      <c r="H17" s="144">
        <v>70</v>
      </c>
      <c r="I17" s="144">
        <v>70</v>
      </c>
      <c r="J17" s="144">
        <v>81</v>
      </c>
      <c r="K17" s="193">
        <v>83</v>
      </c>
      <c r="L17" s="144">
        <v>395</v>
      </c>
      <c r="M17" s="401">
        <v>65.833333333333329</v>
      </c>
      <c r="N17" s="147">
        <v>41</v>
      </c>
      <c r="O17" s="144"/>
      <c r="P17" s="159"/>
    </row>
    <row r="18" spans="1:16" ht="21.75" customHeight="1" thickBot="1" x14ac:dyDescent="0.3">
      <c r="A18" s="158">
        <v>15</v>
      </c>
      <c r="B18" s="298"/>
      <c r="C18" s="317">
        <v>17</v>
      </c>
      <c r="D18" s="317" t="s">
        <v>17</v>
      </c>
      <c r="E18" s="150">
        <v>82</v>
      </c>
      <c r="F18" s="144">
        <v>87</v>
      </c>
      <c r="G18" s="144">
        <v>91</v>
      </c>
      <c r="H18" s="144">
        <v>88</v>
      </c>
      <c r="I18" s="144">
        <v>95</v>
      </c>
      <c r="J18" s="144">
        <v>97</v>
      </c>
      <c r="K18" s="193">
        <v>75</v>
      </c>
      <c r="L18" s="144">
        <v>540</v>
      </c>
      <c r="M18" s="401">
        <v>90</v>
      </c>
      <c r="N18" s="147">
        <v>3</v>
      </c>
      <c r="O18" s="144"/>
      <c r="P18" s="159"/>
    </row>
    <row r="19" spans="1:16" ht="25.5" customHeight="1" thickBot="1" x14ac:dyDescent="0.3">
      <c r="A19" s="158">
        <v>16</v>
      </c>
      <c r="B19" s="298"/>
      <c r="C19" s="317">
        <v>16</v>
      </c>
      <c r="D19" s="317" t="s">
        <v>17</v>
      </c>
      <c r="E19" s="150">
        <v>77</v>
      </c>
      <c r="F19" s="144">
        <v>69</v>
      </c>
      <c r="G19" s="144">
        <v>71</v>
      </c>
      <c r="H19" s="144">
        <v>90</v>
      </c>
      <c r="I19" s="144">
        <v>84</v>
      </c>
      <c r="J19" s="144">
        <v>88</v>
      </c>
      <c r="K19" s="193">
        <v>69</v>
      </c>
      <c r="L19" s="144">
        <v>479</v>
      </c>
      <c r="M19" s="401">
        <v>79.833333333333329</v>
      </c>
      <c r="N19" s="147">
        <v>18</v>
      </c>
      <c r="O19" s="144"/>
      <c r="P19" s="159"/>
    </row>
    <row r="20" spans="1:16" ht="21.75" customHeight="1" thickBot="1" x14ac:dyDescent="0.3">
      <c r="A20" s="158">
        <v>17</v>
      </c>
      <c r="B20" s="298"/>
      <c r="C20" s="317">
        <v>17</v>
      </c>
      <c r="D20" s="317" t="s">
        <v>20</v>
      </c>
      <c r="E20" s="150">
        <v>75</v>
      </c>
      <c r="F20" s="144">
        <v>79</v>
      </c>
      <c r="G20" s="144">
        <v>74</v>
      </c>
      <c r="H20" s="144">
        <v>82</v>
      </c>
      <c r="I20" s="144">
        <v>76</v>
      </c>
      <c r="J20" s="144">
        <v>84</v>
      </c>
      <c r="K20" s="193">
        <v>57</v>
      </c>
      <c r="L20" s="144">
        <v>470</v>
      </c>
      <c r="M20" s="401">
        <v>78.333333333333329</v>
      </c>
      <c r="N20" s="147">
        <v>22</v>
      </c>
      <c r="O20" s="144"/>
      <c r="P20" s="159"/>
    </row>
    <row r="21" spans="1:16" ht="24.75" customHeight="1" thickBot="1" x14ac:dyDescent="0.3">
      <c r="A21" s="158">
        <v>18</v>
      </c>
      <c r="B21" s="298"/>
      <c r="C21" s="317">
        <v>17</v>
      </c>
      <c r="D21" s="317" t="s">
        <v>20</v>
      </c>
      <c r="E21" s="150">
        <v>38</v>
      </c>
      <c r="F21" s="144">
        <v>39</v>
      </c>
      <c r="G21" s="144">
        <v>52</v>
      </c>
      <c r="H21" s="144">
        <v>64</v>
      </c>
      <c r="I21" s="144">
        <v>51</v>
      </c>
      <c r="J21" s="144">
        <v>68</v>
      </c>
      <c r="K21" s="193">
        <v>91</v>
      </c>
      <c r="L21" s="144">
        <v>312</v>
      </c>
      <c r="M21" s="401">
        <v>52</v>
      </c>
      <c r="N21" s="147">
        <v>48</v>
      </c>
      <c r="O21" s="144"/>
      <c r="P21" s="159"/>
    </row>
    <row r="22" spans="1:16" ht="24" customHeight="1" thickBot="1" x14ac:dyDescent="0.3">
      <c r="A22" s="158">
        <v>19</v>
      </c>
      <c r="B22" s="298"/>
      <c r="C22" s="317">
        <v>16</v>
      </c>
      <c r="D22" s="317" t="s">
        <v>20</v>
      </c>
      <c r="E22" s="150">
        <v>80</v>
      </c>
      <c r="F22" s="144">
        <v>83</v>
      </c>
      <c r="G22" s="144">
        <v>84</v>
      </c>
      <c r="H22" s="144">
        <v>89</v>
      </c>
      <c r="I22" s="144">
        <v>91</v>
      </c>
      <c r="J22" s="144">
        <v>98</v>
      </c>
      <c r="K22" s="193">
        <v>88</v>
      </c>
      <c r="L22" s="144">
        <v>525</v>
      </c>
      <c r="M22" s="401">
        <v>87.5</v>
      </c>
      <c r="N22" s="147">
        <v>9</v>
      </c>
      <c r="O22" s="144"/>
      <c r="P22" s="159"/>
    </row>
    <row r="23" spans="1:16" ht="24" customHeight="1" thickBot="1" x14ac:dyDescent="0.3">
      <c r="A23" s="158">
        <v>20</v>
      </c>
      <c r="B23" s="298"/>
      <c r="C23" s="317">
        <v>17</v>
      </c>
      <c r="D23" s="317" t="s">
        <v>20</v>
      </c>
      <c r="E23" s="150">
        <v>70</v>
      </c>
      <c r="F23" s="144">
        <v>51</v>
      </c>
      <c r="G23" s="144">
        <v>68</v>
      </c>
      <c r="H23" s="144">
        <v>80</v>
      </c>
      <c r="I23" s="144">
        <v>54</v>
      </c>
      <c r="J23" s="144">
        <v>83</v>
      </c>
      <c r="K23" s="193">
        <v>70</v>
      </c>
      <c r="L23" s="144">
        <v>406</v>
      </c>
      <c r="M23" s="401">
        <v>67.666666666666671</v>
      </c>
      <c r="N23" s="147">
        <v>39</v>
      </c>
      <c r="O23" s="144"/>
      <c r="P23" s="159"/>
    </row>
    <row r="24" spans="1:16" ht="27" customHeight="1" thickBot="1" x14ac:dyDescent="0.3">
      <c r="A24" s="158">
        <v>21</v>
      </c>
      <c r="B24" s="298"/>
      <c r="C24" s="318">
        <v>17</v>
      </c>
      <c r="D24" s="318" t="s">
        <v>20</v>
      </c>
      <c r="E24" s="150">
        <v>62</v>
      </c>
      <c r="F24" s="144">
        <v>75</v>
      </c>
      <c r="G24" s="144">
        <v>85</v>
      </c>
      <c r="H24" s="144">
        <v>89</v>
      </c>
      <c r="I24" s="144">
        <v>92</v>
      </c>
      <c r="J24" s="144">
        <v>99</v>
      </c>
      <c r="K24" s="193">
        <v>80</v>
      </c>
      <c r="L24" s="144">
        <v>502</v>
      </c>
      <c r="M24" s="401">
        <v>83.666666666666671</v>
      </c>
      <c r="N24" s="147">
        <v>12</v>
      </c>
      <c r="O24" s="144"/>
      <c r="P24" s="159"/>
    </row>
    <row r="25" spans="1:16" ht="27" customHeight="1" thickBot="1" x14ac:dyDescent="0.3">
      <c r="A25" s="158">
        <v>22</v>
      </c>
      <c r="B25" s="298"/>
      <c r="C25" s="317">
        <v>17</v>
      </c>
      <c r="D25" s="317" t="s">
        <v>17</v>
      </c>
      <c r="E25" s="150">
        <v>51</v>
      </c>
      <c r="F25" s="144">
        <v>49</v>
      </c>
      <c r="G25" s="144">
        <v>68</v>
      </c>
      <c r="H25" s="144">
        <v>76</v>
      </c>
      <c r="I25" s="144">
        <v>76</v>
      </c>
      <c r="J25" s="144">
        <v>89</v>
      </c>
      <c r="K25" s="193">
        <v>90</v>
      </c>
      <c r="L25" s="144">
        <v>409</v>
      </c>
      <c r="M25" s="401">
        <v>68.166666666666671</v>
      </c>
      <c r="N25" s="147">
        <v>38</v>
      </c>
      <c r="O25" s="144"/>
      <c r="P25" s="159"/>
    </row>
    <row r="26" spans="1:16" ht="23.25" customHeight="1" thickBot="1" x14ac:dyDescent="0.3">
      <c r="A26" s="158">
        <v>23</v>
      </c>
      <c r="B26" s="298"/>
      <c r="C26" s="317"/>
      <c r="D26" s="317" t="s">
        <v>20</v>
      </c>
      <c r="E26" s="150">
        <v>54</v>
      </c>
      <c r="F26" s="144">
        <v>59</v>
      </c>
      <c r="G26" s="144">
        <v>70</v>
      </c>
      <c r="H26" s="144">
        <v>76</v>
      </c>
      <c r="I26" s="144">
        <v>78</v>
      </c>
      <c r="J26" s="144">
        <v>81</v>
      </c>
      <c r="K26" s="193">
        <v>67</v>
      </c>
      <c r="L26" s="144">
        <v>418</v>
      </c>
      <c r="M26" s="401">
        <v>69.666666666666671</v>
      </c>
      <c r="N26" s="147">
        <v>35</v>
      </c>
      <c r="O26" s="144"/>
      <c r="P26" s="159"/>
    </row>
    <row r="27" spans="1:16" ht="29.25" customHeight="1" thickBot="1" x14ac:dyDescent="0.3">
      <c r="A27" s="158">
        <v>24</v>
      </c>
      <c r="B27" s="298"/>
      <c r="C27" s="317">
        <v>17</v>
      </c>
      <c r="D27" s="317" t="s">
        <v>20</v>
      </c>
      <c r="E27" s="150">
        <v>85</v>
      </c>
      <c r="F27" s="144">
        <v>58</v>
      </c>
      <c r="G27" s="144">
        <v>78</v>
      </c>
      <c r="H27" s="144">
        <v>73</v>
      </c>
      <c r="I27" s="144">
        <v>81</v>
      </c>
      <c r="J27" s="144">
        <v>81</v>
      </c>
      <c r="K27" s="193">
        <v>79</v>
      </c>
      <c r="L27" s="144">
        <v>456</v>
      </c>
      <c r="M27" s="401">
        <v>76</v>
      </c>
      <c r="N27" s="147">
        <v>24</v>
      </c>
      <c r="O27" s="144"/>
      <c r="P27" s="159"/>
    </row>
    <row r="28" spans="1:16" ht="20.25" customHeight="1" thickBot="1" x14ac:dyDescent="0.3">
      <c r="A28" s="158">
        <v>25</v>
      </c>
      <c r="B28" s="298"/>
      <c r="C28" s="318">
        <v>18</v>
      </c>
      <c r="D28" s="318" t="s">
        <v>17</v>
      </c>
      <c r="E28" s="150">
        <v>94</v>
      </c>
      <c r="F28" s="144">
        <v>88</v>
      </c>
      <c r="G28" s="144">
        <v>95</v>
      </c>
      <c r="H28" s="144">
        <v>97</v>
      </c>
      <c r="I28" s="144">
        <v>96</v>
      </c>
      <c r="J28" s="144">
        <v>94</v>
      </c>
      <c r="K28" s="193">
        <v>80</v>
      </c>
      <c r="L28" s="144">
        <v>564</v>
      </c>
      <c r="M28" s="401">
        <v>94</v>
      </c>
      <c r="N28" s="147">
        <v>1</v>
      </c>
      <c r="O28" s="144"/>
      <c r="P28" s="159"/>
    </row>
    <row r="29" spans="1:16" ht="24" customHeight="1" thickBot="1" x14ac:dyDescent="0.3">
      <c r="A29" s="158">
        <v>26</v>
      </c>
      <c r="B29" s="298"/>
      <c r="C29" s="317">
        <v>17</v>
      </c>
      <c r="D29" s="317" t="s">
        <v>20</v>
      </c>
      <c r="E29" s="150">
        <v>86</v>
      </c>
      <c r="F29" s="144">
        <v>85</v>
      </c>
      <c r="G29" s="144">
        <v>95</v>
      </c>
      <c r="H29" s="144">
        <v>97</v>
      </c>
      <c r="I29" s="144">
        <v>93</v>
      </c>
      <c r="J29" s="144">
        <v>100</v>
      </c>
      <c r="K29" s="193">
        <v>75</v>
      </c>
      <c r="L29" s="144">
        <v>556</v>
      </c>
      <c r="M29" s="401">
        <v>92.666666666666671</v>
      </c>
      <c r="N29" s="147">
        <v>2</v>
      </c>
      <c r="O29" s="144"/>
      <c r="P29" s="159"/>
    </row>
    <row r="30" spans="1:16" ht="23.25" customHeight="1" thickBot="1" x14ac:dyDescent="0.3">
      <c r="A30" s="158">
        <v>27</v>
      </c>
      <c r="B30" s="298"/>
      <c r="C30" s="317">
        <v>17</v>
      </c>
      <c r="D30" s="317" t="s">
        <v>20</v>
      </c>
      <c r="E30" s="150">
        <v>66</v>
      </c>
      <c r="F30" s="144">
        <v>55</v>
      </c>
      <c r="G30" s="144">
        <v>70</v>
      </c>
      <c r="H30" s="144">
        <v>80</v>
      </c>
      <c r="I30" s="144">
        <v>62</v>
      </c>
      <c r="J30" s="144">
        <v>80</v>
      </c>
      <c r="K30" s="193">
        <v>69</v>
      </c>
      <c r="L30" s="144">
        <v>413</v>
      </c>
      <c r="M30" s="401">
        <v>68.833333333333329</v>
      </c>
      <c r="N30" s="147">
        <v>36</v>
      </c>
      <c r="O30" s="144"/>
      <c r="P30" s="159"/>
    </row>
    <row r="31" spans="1:16" ht="24" customHeight="1" thickBot="1" x14ac:dyDescent="0.3">
      <c r="A31" s="158">
        <v>28</v>
      </c>
      <c r="B31" s="298"/>
      <c r="C31" s="314">
        <v>17</v>
      </c>
      <c r="D31" s="318" t="s">
        <v>17</v>
      </c>
      <c r="E31" s="150">
        <v>70</v>
      </c>
      <c r="F31" s="144">
        <v>91</v>
      </c>
      <c r="G31" s="144">
        <v>83</v>
      </c>
      <c r="H31" s="144">
        <v>96</v>
      </c>
      <c r="I31" s="144">
        <v>84</v>
      </c>
      <c r="J31" s="144">
        <v>91</v>
      </c>
      <c r="K31" s="193">
        <v>81</v>
      </c>
      <c r="L31" s="144">
        <v>515</v>
      </c>
      <c r="M31" s="401">
        <v>85.833333333333329</v>
      </c>
      <c r="N31" s="147">
        <v>10</v>
      </c>
      <c r="O31" s="144"/>
      <c r="P31" s="148"/>
    </row>
    <row r="32" spans="1:16" ht="23.25" customHeight="1" thickBot="1" x14ac:dyDescent="0.3">
      <c r="A32" s="158">
        <v>29</v>
      </c>
      <c r="B32" s="298"/>
      <c r="C32" s="317">
        <v>17</v>
      </c>
      <c r="D32" s="317" t="s">
        <v>20</v>
      </c>
      <c r="E32" s="144">
        <v>53</v>
      </c>
      <c r="F32" s="144">
        <v>62</v>
      </c>
      <c r="G32" s="144">
        <v>66</v>
      </c>
      <c r="H32" s="144">
        <v>71</v>
      </c>
      <c r="I32" s="144">
        <v>61</v>
      </c>
      <c r="J32" s="144">
        <v>77</v>
      </c>
      <c r="K32" s="193">
        <v>55</v>
      </c>
      <c r="L32" s="144">
        <v>390</v>
      </c>
      <c r="M32" s="401">
        <v>65</v>
      </c>
      <c r="N32" s="147">
        <v>42</v>
      </c>
      <c r="O32" s="144"/>
      <c r="P32" s="148"/>
    </row>
    <row r="33" spans="1:16" ht="24" customHeight="1" thickBot="1" x14ac:dyDescent="0.3">
      <c r="A33" s="158">
        <v>31</v>
      </c>
      <c r="B33" s="304"/>
      <c r="C33" s="316">
        <v>17</v>
      </c>
      <c r="D33" s="316" t="s">
        <v>20</v>
      </c>
      <c r="E33" s="144">
        <v>71</v>
      </c>
      <c r="F33" s="144">
        <v>50</v>
      </c>
      <c r="G33" s="144">
        <v>76</v>
      </c>
      <c r="H33" s="144">
        <v>81</v>
      </c>
      <c r="I33" s="144">
        <v>79</v>
      </c>
      <c r="J33" s="144">
        <v>83</v>
      </c>
      <c r="K33" s="193">
        <v>77</v>
      </c>
      <c r="L33" s="144">
        <v>440</v>
      </c>
      <c r="M33" s="401">
        <v>73.333333333333329</v>
      </c>
      <c r="N33" s="147">
        <v>31</v>
      </c>
      <c r="O33" s="144"/>
      <c r="P33" s="148"/>
    </row>
    <row r="34" spans="1:16" ht="24" customHeight="1" thickBot="1" x14ac:dyDescent="0.3">
      <c r="A34" s="158">
        <v>32</v>
      </c>
      <c r="B34" s="298"/>
      <c r="C34" s="318">
        <v>17</v>
      </c>
      <c r="D34" s="318" t="s">
        <v>20</v>
      </c>
      <c r="E34" s="144">
        <v>86</v>
      </c>
      <c r="F34" s="144">
        <v>88</v>
      </c>
      <c r="G34" s="144">
        <v>82</v>
      </c>
      <c r="H34" s="144">
        <v>90</v>
      </c>
      <c r="I34" s="144">
        <v>87</v>
      </c>
      <c r="J34" s="144">
        <v>95</v>
      </c>
      <c r="K34" s="193">
        <v>68</v>
      </c>
      <c r="L34" s="144">
        <v>528</v>
      </c>
      <c r="M34" s="401">
        <v>88</v>
      </c>
      <c r="N34" s="147">
        <v>7</v>
      </c>
      <c r="O34" s="144"/>
      <c r="P34" s="148"/>
    </row>
    <row r="35" spans="1:16" ht="24" customHeight="1" thickBot="1" x14ac:dyDescent="0.3">
      <c r="A35" s="158">
        <v>33</v>
      </c>
      <c r="B35" s="298"/>
      <c r="C35" s="318">
        <v>17</v>
      </c>
      <c r="D35" s="318" t="s">
        <v>20</v>
      </c>
      <c r="E35" s="144">
        <v>97</v>
      </c>
      <c r="F35" s="144">
        <v>70</v>
      </c>
      <c r="G35" s="144">
        <v>71</v>
      </c>
      <c r="H35" s="144">
        <v>86</v>
      </c>
      <c r="I35" s="144">
        <v>90</v>
      </c>
      <c r="J35" s="144">
        <v>88</v>
      </c>
      <c r="K35" s="193">
        <v>70</v>
      </c>
      <c r="L35" s="144">
        <v>502</v>
      </c>
      <c r="M35" s="401">
        <v>83.666666666666671</v>
      </c>
      <c r="N35" s="147">
        <v>12</v>
      </c>
      <c r="O35" s="144"/>
      <c r="P35" s="148"/>
    </row>
    <row r="36" spans="1:16" ht="27.75" customHeight="1" thickBot="1" x14ac:dyDescent="0.3">
      <c r="A36" s="158">
        <v>34</v>
      </c>
      <c r="B36" s="298"/>
      <c r="C36" s="317">
        <v>16</v>
      </c>
      <c r="D36" s="317" t="s">
        <v>17</v>
      </c>
      <c r="E36" s="144">
        <v>86</v>
      </c>
      <c r="F36" s="144">
        <v>77</v>
      </c>
      <c r="G36" s="144">
        <v>86</v>
      </c>
      <c r="H36" s="144">
        <v>95</v>
      </c>
      <c r="I36" s="144">
        <v>90</v>
      </c>
      <c r="J36" s="144">
        <v>94</v>
      </c>
      <c r="K36" s="193">
        <v>69</v>
      </c>
      <c r="L36" s="144">
        <v>528</v>
      </c>
      <c r="M36" s="401">
        <v>88</v>
      </c>
      <c r="N36" s="147">
        <v>7</v>
      </c>
      <c r="O36" s="144"/>
      <c r="P36" s="148"/>
    </row>
    <row r="37" spans="1:16" ht="23.25" customHeight="1" thickBot="1" x14ac:dyDescent="0.3">
      <c r="A37" s="158">
        <v>35</v>
      </c>
      <c r="B37" s="298"/>
      <c r="C37" s="314">
        <v>17</v>
      </c>
      <c r="D37" s="318" t="s">
        <v>17</v>
      </c>
      <c r="E37" s="144">
        <v>70</v>
      </c>
      <c r="F37" s="144">
        <v>36</v>
      </c>
      <c r="G37" s="144">
        <v>69</v>
      </c>
      <c r="H37" s="144">
        <v>82</v>
      </c>
      <c r="I37" s="144">
        <v>61</v>
      </c>
      <c r="J37" s="144">
        <v>80</v>
      </c>
      <c r="K37" s="193">
        <v>83</v>
      </c>
      <c r="L37" s="144">
        <v>398</v>
      </c>
      <c r="M37" s="401">
        <v>66.333333333333329</v>
      </c>
      <c r="N37" s="147">
        <v>40</v>
      </c>
      <c r="O37" s="144"/>
      <c r="P37" s="148"/>
    </row>
    <row r="38" spans="1:16" ht="30" customHeight="1" thickBot="1" x14ac:dyDescent="0.3">
      <c r="A38" s="158">
        <v>36</v>
      </c>
      <c r="B38" s="298"/>
      <c r="C38" s="319">
        <v>17</v>
      </c>
      <c r="D38" s="303" t="s">
        <v>20</v>
      </c>
      <c r="E38" s="144">
        <v>84</v>
      </c>
      <c r="F38" s="144">
        <v>76</v>
      </c>
      <c r="G38" s="144">
        <v>77</v>
      </c>
      <c r="H38" s="144">
        <v>84</v>
      </c>
      <c r="I38" s="144">
        <v>85</v>
      </c>
      <c r="J38" s="144">
        <v>91</v>
      </c>
      <c r="K38" s="193">
        <v>95</v>
      </c>
      <c r="L38" s="144">
        <v>497</v>
      </c>
      <c r="M38" s="401">
        <v>82.833333333333329</v>
      </c>
      <c r="N38" s="147">
        <v>14</v>
      </c>
      <c r="O38" s="144"/>
      <c r="P38" s="148"/>
    </row>
    <row r="39" spans="1:16" ht="21.75" customHeight="1" thickBot="1" x14ac:dyDescent="0.3">
      <c r="A39" s="158">
        <v>37</v>
      </c>
      <c r="B39" s="298"/>
      <c r="C39" s="318">
        <v>16</v>
      </c>
      <c r="D39" s="318" t="s">
        <v>17</v>
      </c>
      <c r="E39" s="144">
        <v>60</v>
      </c>
      <c r="F39" s="144">
        <v>69</v>
      </c>
      <c r="G39" s="144">
        <v>75</v>
      </c>
      <c r="H39" s="144">
        <v>73</v>
      </c>
      <c r="I39" s="144">
        <v>72</v>
      </c>
      <c r="J39" s="144">
        <v>91</v>
      </c>
      <c r="K39" s="193">
        <v>81</v>
      </c>
      <c r="L39" s="144">
        <v>440</v>
      </c>
      <c r="M39" s="401">
        <v>73.333333333333329</v>
      </c>
      <c r="N39" s="147">
        <v>31</v>
      </c>
      <c r="O39" s="144"/>
      <c r="P39" s="148"/>
    </row>
    <row r="40" spans="1:16" ht="25.5" customHeight="1" thickBot="1" x14ac:dyDescent="0.3">
      <c r="A40" s="158">
        <v>38</v>
      </c>
      <c r="B40" s="298"/>
      <c r="C40" s="317">
        <v>18</v>
      </c>
      <c r="D40" s="317" t="s">
        <v>20</v>
      </c>
      <c r="E40" s="144">
        <v>55</v>
      </c>
      <c r="F40" s="144">
        <v>52</v>
      </c>
      <c r="G40" s="144">
        <v>58</v>
      </c>
      <c r="H40" s="144">
        <v>64</v>
      </c>
      <c r="I40" s="144">
        <v>64</v>
      </c>
      <c r="J40" s="144">
        <v>76</v>
      </c>
      <c r="K40" s="193">
        <v>81</v>
      </c>
      <c r="L40" s="144">
        <v>369</v>
      </c>
      <c r="M40" s="401">
        <v>61.5</v>
      </c>
      <c r="N40" s="147">
        <v>45</v>
      </c>
      <c r="O40" s="144"/>
      <c r="P40" s="148"/>
    </row>
    <row r="41" spans="1:16" ht="24" customHeight="1" thickBot="1" x14ac:dyDescent="0.3">
      <c r="A41" s="158">
        <v>39</v>
      </c>
      <c r="B41" s="298"/>
      <c r="C41" s="314">
        <v>17</v>
      </c>
      <c r="D41" s="317" t="s">
        <v>17</v>
      </c>
      <c r="E41" s="144">
        <v>53</v>
      </c>
      <c r="F41" s="144">
        <v>39</v>
      </c>
      <c r="G41" s="144">
        <v>70</v>
      </c>
      <c r="H41" s="144">
        <v>69</v>
      </c>
      <c r="I41" s="144">
        <v>66</v>
      </c>
      <c r="J41" s="144">
        <v>81</v>
      </c>
      <c r="K41" s="193">
        <v>86</v>
      </c>
      <c r="L41" s="144">
        <v>378</v>
      </c>
      <c r="M41" s="401">
        <v>63</v>
      </c>
      <c r="N41" s="147">
        <v>44</v>
      </c>
      <c r="O41" s="144"/>
      <c r="P41" s="148"/>
    </row>
    <row r="42" spans="1:16" ht="25.5" customHeight="1" thickBot="1" x14ac:dyDescent="0.3">
      <c r="A42" s="158">
        <v>40</v>
      </c>
      <c r="B42" s="298"/>
      <c r="C42" s="318">
        <v>16</v>
      </c>
      <c r="D42" s="318" t="s">
        <v>20</v>
      </c>
      <c r="E42" s="144">
        <v>54</v>
      </c>
      <c r="F42" s="144">
        <v>40</v>
      </c>
      <c r="G42" s="144">
        <v>66</v>
      </c>
      <c r="H42" s="144">
        <v>64</v>
      </c>
      <c r="I42" s="144">
        <v>59</v>
      </c>
      <c r="J42" s="144">
        <v>75</v>
      </c>
      <c r="K42" s="193">
        <v>75</v>
      </c>
      <c r="L42" s="144">
        <v>358</v>
      </c>
      <c r="M42" s="401">
        <v>59.666666666666664</v>
      </c>
      <c r="N42" s="147">
        <v>46</v>
      </c>
      <c r="O42" s="144"/>
      <c r="P42" s="148"/>
    </row>
    <row r="43" spans="1:16" ht="25.5" customHeight="1" thickBot="1" x14ac:dyDescent="0.3">
      <c r="A43" s="158">
        <v>41</v>
      </c>
      <c r="B43" s="298"/>
      <c r="C43" s="318">
        <v>17</v>
      </c>
      <c r="D43" s="318" t="s">
        <v>20</v>
      </c>
      <c r="E43" s="144">
        <v>79</v>
      </c>
      <c r="F43" s="144">
        <v>73</v>
      </c>
      <c r="G43" s="144">
        <v>81</v>
      </c>
      <c r="H43" s="144">
        <v>81</v>
      </c>
      <c r="I43" s="144">
        <v>79</v>
      </c>
      <c r="J43" s="144">
        <v>82</v>
      </c>
      <c r="K43" s="193">
        <v>83</v>
      </c>
      <c r="L43" s="144">
        <v>475</v>
      </c>
      <c r="M43" s="401">
        <v>79.166666666666671</v>
      </c>
      <c r="N43" s="147">
        <v>20</v>
      </c>
      <c r="O43" s="144"/>
      <c r="P43" s="148"/>
    </row>
    <row r="44" spans="1:16" ht="21.75" customHeight="1" thickBot="1" x14ac:dyDescent="0.3">
      <c r="A44" s="158">
        <v>42</v>
      </c>
      <c r="B44" s="298"/>
      <c r="C44" s="318">
        <v>17</v>
      </c>
      <c r="D44" s="318" t="s">
        <v>17</v>
      </c>
      <c r="E44" s="144">
        <v>71</v>
      </c>
      <c r="F44" s="144">
        <v>64</v>
      </c>
      <c r="G44" s="144">
        <v>70</v>
      </c>
      <c r="H44" s="144">
        <v>75</v>
      </c>
      <c r="I44" s="144">
        <v>75</v>
      </c>
      <c r="J44" s="144">
        <v>86</v>
      </c>
      <c r="K44" s="193">
        <v>92</v>
      </c>
      <c r="L44" s="144">
        <v>441</v>
      </c>
      <c r="M44" s="401">
        <v>73.5</v>
      </c>
      <c r="N44" s="147">
        <v>30</v>
      </c>
      <c r="O44" s="144"/>
      <c r="P44" s="148"/>
    </row>
    <row r="45" spans="1:16" ht="27" customHeight="1" thickBot="1" x14ac:dyDescent="0.3">
      <c r="A45" s="158">
        <v>43</v>
      </c>
      <c r="B45" s="298"/>
      <c r="C45" s="317">
        <v>16</v>
      </c>
      <c r="D45" s="317" t="s">
        <v>17</v>
      </c>
      <c r="E45" s="144">
        <v>65</v>
      </c>
      <c r="F45" s="144">
        <v>65</v>
      </c>
      <c r="G45" s="144">
        <v>79</v>
      </c>
      <c r="H45" s="144">
        <v>91</v>
      </c>
      <c r="I45" s="144">
        <v>87</v>
      </c>
      <c r="J45" s="144">
        <v>100</v>
      </c>
      <c r="K45" s="193">
        <v>75</v>
      </c>
      <c r="L45" s="144">
        <v>487</v>
      </c>
      <c r="M45" s="401">
        <v>81.166666666666671</v>
      </c>
      <c r="N45" s="147">
        <v>17</v>
      </c>
      <c r="O45" s="144"/>
      <c r="P45" s="148"/>
    </row>
    <row r="46" spans="1:16" ht="25.5" customHeight="1" thickBot="1" x14ac:dyDescent="0.3">
      <c r="A46" s="158">
        <v>44</v>
      </c>
      <c r="B46" s="298"/>
      <c r="C46" s="318">
        <v>16</v>
      </c>
      <c r="D46" s="318" t="s">
        <v>20</v>
      </c>
      <c r="E46" s="144">
        <v>57</v>
      </c>
      <c r="F46" s="144">
        <v>43</v>
      </c>
      <c r="G46" s="144">
        <v>57</v>
      </c>
      <c r="H46" s="144">
        <v>60</v>
      </c>
      <c r="I46" s="144">
        <v>59</v>
      </c>
      <c r="J46" s="144">
        <v>74</v>
      </c>
      <c r="K46" s="193">
        <v>81</v>
      </c>
      <c r="L46" s="144">
        <v>350</v>
      </c>
      <c r="M46" s="401">
        <v>58.333333333333336</v>
      </c>
      <c r="N46" s="147">
        <v>47</v>
      </c>
      <c r="O46" s="144"/>
      <c r="P46" s="148"/>
    </row>
    <row r="47" spans="1:16" ht="21.75" customHeight="1" thickBot="1" x14ac:dyDescent="0.3">
      <c r="A47" s="158">
        <v>45</v>
      </c>
      <c r="B47" s="298"/>
      <c r="C47" s="318">
        <v>17</v>
      </c>
      <c r="D47" s="318" t="s">
        <v>20</v>
      </c>
      <c r="E47" s="144">
        <v>67</v>
      </c>
      <c r="F47" s="144">
        <v>59</v>
      </c>
      <c r="G47" s="144">
        <v>85</v>
      </c>
      <c r="H47" s="144">
        <v>87</v>
      </c>
      <c r="I47" s="144">
        <v>81</v>
      </c>
      <c r="J47" s="144">
        <v>86</v>
      </c>
      <c r="K47" s="193">
        <v>91</v>
      </c>
      <c r="L47" s="144">
        <v>465</v>
      </c>
      <c r="M47" s="401">
        <v>77.5</v>
      </c>
      <c r="N47" s="147">
        <v>23</v>
      </c>
      <c r="O47" s="144"/>
      <c r="P47" s="148"/>
    </row>
    <row r="48" spans="1:16" ht="24" customHeight="1" thickBot="1" x14ac:dyDescent="0.3">
      <c r="A48" s="158">
        <v>46</v>
      </c>
      <c r="B48" s="298"/>
      <c r="C48" s="317">
        <v>16</v>
      </c>
      <c r="D48" s="317" t="s">
        <v>20</v>
      </c>
      <c r="E48" s="144">
        <v>71</v>
      </c>
      <c r="F48" s="144">
        <v>51</v>
      </c>
      <c r="G48" s="144">
        <v>72</v>
      </c>
      <c r="H48" s="144">
        <v>76</v>
      </c>
      <c r="I48" s="144">
        <v>61</v>
      </c>
      <c r="J48" s="144">
        <v>95</v>
      </c>
      <c r="K48" s="193">
        <v>69</v>
      </c>
      <c r="L48" s="144">
        <v>426</v>
      </c>
      <c r="M48" s="401">
        <v>71</v>
      </c>
      <c r="N48" s="147">
        <v>34</v>
      </c>
      <c r="O48" s="144"/>
      <c r="P48" s="148"/>
    </row>
    <row r="49" spans="1:16" ht="23.25" customHeight="1" thickBot="1" x14ac:dyDescent="0.3">
      <c r="A49" s="158">
        <v>47</v>
      </c>
      <c r="B49" s="298"/>
      <c r="C49" s="318">
        <v>17</v>
      </c>
      <c r="D49" s="318" t="s">
        <v>20</v>
      </c>
      <c r="E49" s="144">
        <v>86</v>
      </c>
      <c r="F49" s="144">
        <v>53</v>
      </c>
      <c r="G49" s="144">
        <v>78</v>
      </c>
      <c r="H49" s="144">
        <v>87</v>
      </c>
      <c r="I49" s="144">
        <v>85</v>
      </c>
      <c r="J49" s="144">
        <v>82</v>
      </c>
      <c r="K49" s="193">
        <v>81</v>
      </c>
      <c r="L49" s="144">
        <v>471</v>
      </c>
      <c r="M49" s="401">
        <v>78.5</v>
      </c>
      <c r="N49" s="147">
        <v>21</v>
      </c>
      <c r="O49" s="144"/>
      <c r="P49" s="148"/>
    </row>
    <row r="50" spans="1:16" ht="23.25" customHeight="1" thickBot="1" x14ac:dyDescent="0.3">
      <c r="A50" s="158">
        <v>48</v>
      </c>
      <c r="B50" s="298"/>
      <c r="C50" s="318">
        <v>16</v>
      </c>
      <c r="D50" s="318" t="s">
        <v>20</v>
      </c>
      <c r="E50" s="144">
        <v>62</v>
      </c>
      <c r="F50" s="144">
        <v>60</v>
      </c>
      <c r="G50" s="144">
        <v>84</v>
      </c>
      <c r="H50" s="144">
        <v>89</v>
      </c>
      <c r="I50" s="144">
        <v>78</v>
      </c>
      <c r="J50" s="144">
        <v>83</v>
      </c>
      <c r="K50" s="193">
        <v>99</v>
      </c>
      <c r="L50" s="144">
        <v>456</v>
      </c>
      <c r="M50" s="401">
        <v>76</v>
      </c>
      <c r="N50" s="147">
        <v>24</v>
      </c>
      <c r="O50" s="144"/>
      <c r="P50" s="148"/>
    </row>
    <row r="51" spans="1:16" ht="17.25" customHeight="1" thickBot="1" x14ac:dyDescent="0.3">
      <c r="A51" s="158">
        <v>49</v>
      </c>
      <c r="B51" s="298"/>
      <c r="C51" s="317">
        <v>17</v>
      </c>
      <c r="D51" s="317" t="s">
        <v>20</v>
      </c>
      <c r="E51" s="144">
        <v>79</v>
      </c>
      <c r="F51" s="144">
        <v>79</v>
      </c>
      <c r="G51" s="144">
        <v>83</v>
      </c>
      <c r="H51" s="144">
        <v>88</v>
      </c>
      <c r="I51" s="144">
        <v>90</v>
      </c>
      <c r="J51" s="144">
        <v>96</v>
      </c>
      <c r="K51" s="193">
        <v>81</v>
      </c>
      <c r="L51" s="144">
        <v>515</v>
      </c>
      <c r="M51" s="147">
        <v>85.833333333333329</v>
      </c>
      <c r="N51" s="147">
        <v>10</v>
      </c>
      <c r="O51" s="144"/>
      <c r="P51" s="148"/>
    </row>
  </sheetData>
  <mergeCells count="2">
    <mergeCell ref="A1:P1"/>
    <mergeCell ref="A2:P2"/>
  </mergeCells>
  <pageMargins left="0.7" right="0.7" top="0.75" bottom="0.75" header="0.3" footer="0.3"/>
  <pageSetup paperSize="9" scale="77" fitToWidth="0" fitToHeight="0" orientation="landscape" r:id="rId1"/>
  <rowBreaks count="1" manualBreakCount="1">
    <brk id="24" max="1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view="pageBreakPreview" topLeftCell="A34" zoomScale="60" zoomScaleNormal="100" workbookViewId="0">
      <selection activeCell="B4" sqref="B4:B51"/>
    </sheetView>
  </sheetViews>
  <sheetFormatPr defaultRowHeight="15" x14ac:dyDescent="0.25"/>
  <cols>
    <col min="2" max="2" width="28.85546875" customWidth="1"/>
    <col min="11" max="11" width="9.140625" style="211"/>
  </cols>
  <sheetData>
    <row r="1" spans="1:16" ht="21" thickBot="1" x14ac:dyDescent="0.3">
      <c r="A1" s="991" t="s">
        <v>49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2"/>
      <c r="P1" s="993"/>
    </row>
    <row r="2" spans="1:16" ht="18.75" thickBot="1" x14ac:dyDescent="0.3">
      <c r="A2" s="994" t="s">
        <v>48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4"/>
      <c r="P2" s="995"/>
    </row>
    <row r="3" spans="1:16" ht="56.25" x14ac:dyDescent="0.25">
      <c r="A3" s="145" t="s">
        <v>0</v>
      </c>
      <c r="B3" s="152" t="s">
        <v>1</v>
      </c>
      <c r="C3" s="152" t="s">
        <v>2</v>
      </c>
      <c r="D3" s="152" t="s">
        <v>3</v>
      </c>
      <c r="E3" s="151" t="s">
        <v>5</v>
      </c>
      <c r="F3" s="151" t="s">
        <v>6</v>
      </c>
      <c r="G3" s="151" t="s">
        <v>23</v>
      </c>
      <c r="H3" s="151" t="s">
        <v>24</v>
      </c>
      <c r="I3" s="151" t="s">
        <v>27</v>
      </c>
      <c r="J3" s="151" t="s">
        <v>10</v>
      </c>
      <c r="K3" s="295" t="s">
        <v>77</v>
      </c>
      <c r="L3" s="151" t="s">
        <v>12</v>
      </c>
      <c r="M3" s="151" t="s">
        <v>13</v>
      </c>
      <c r="N3" s="151" t="s">
        <v>14</v>
      </c>
      <c r="O3" s="151" t="s">
        <v>15</v>
      </c>
      <c r="P3" s="149" t="s">
        <v>16</v>
      </c>
    </row>
    <row r="4" spans="1:16" ht="17.25" x14ac:dyDescent="0.25">
      <c r="A4" s="158">
        <v>1</v>
      </c>
      <c r="B4" s="170"/>
      <c r="C4" s="410"/>
      <c r="D4" s="155"/>
      <c r="E4" s="150">
        <v>68</v>
      </c>
      <c r="F4" s="408">
        <v>50</v>
      </c>
      <c r="G4" s="413">
        <v>68</v>
      </c>
      <c r="H4" s="412">
        <v>76</v>
      </c>
      <c r="I4" s="201">
        <v>70</v>
      </c>
      <c r="J4" s="144">
        <v>78</v>
      </c>
      <c r="K4" s="193">
        <v>87</v>
      </c>
      <c r="L4" s="144">
        <f>SUM(E4:K4)</f>
        <v>497</v>
      </c>
      <c r="M4" s="147">
        <f>AVERAGE(E4:K4)</f>
        <v>71</v>
      </c>
      <c r="N4" s="147">
        <f>RANK(M4,$M$4:$M$51)</f>
        <v>38</v>
      </c>
      <c r="O4" s="144"/>
      <c r="P4" s="159"/>
    </row>
    <row r="5" spans="1:16" ht="17.25" x14ac:dyDescent="0.25">
      <c r="A5" s="158">
        <v>2</v>
      </c>
      <c r="B5" s="170"/>
      <c r="C5" s="410"/>
      <c r="D5" s="155"/>
      <c r="E5" s="150">
        <v>88</v>
      </c>
      <c r="F5" s="408">
        <v>73</v>
      </c>
      <c r="G5" s="413">
        <v>89</v>
      </c>
      <c r="H5" s="412">
        <v>95</v>
      </c>
      <c r="I5" s="201">
        <v>95</v>
      </c>
      <c r="J5" s="144">
        <v>87</v>
      </c>
      <c r="K5" s="193">
        <v>84</v>
      </c>
      <c r="L5" s="193">
        <f t="shared" ref="L5:L51" si="0">SUM(E5:K5)</f>
        <v>611</v>
      </c>
      <c r="M5" s="197">
        <f t="shared" ref="M5:M51" si="1">AVERAGE(E5:K5)</f>
        <v>87.285714285714292</v>
      </c>
      <c r="N5" s="197">
        <f t="shared" ref="N5:N51" si="2">RANK(M5,$M$4:$M$51)</f>
        <v>10</v>
      </c>
      <c r="O5" s="144"/>
      <c r="P5" s="159"/>
    </row>
    <row r="6" spans="1:16" ht="17.25" x14ac:dyDescent="0.25">
      <c r="A6" s="158">
        <v>3</v>
      </c>
      <c r="B6" s="170"/>
      <c r="C6" s="410"/>
      <c r="D6" s="155"/>
      <c r="E6" s="150">
        <v>82</v>
      </c>
      <c r="F6" s="408">
        <v>47</v>
      </c>
      <c r="G6" s="413">
        <v>79</v>
      </c>
      <c r="H6" s="412">
        <v>83</v>
      </c>
      <c r="I6" s="201">
        <v>87</v>
      </c>
      <c r="J6" s="144">
        <v>89</v>
      </c>
      <c r="K6" s="193">
        <v>86</v>
      </c>
      <c r="L6" s="193">
        <f t="shared" si="0"/>
        <v>553</v>
      </c>
      <c r="M6" s="197">
        <f t="shared" si="1"/>
        <v>79</v>
      </c>
      <c r="N6" s="197">
        <f t="shared" si="2"/>
        <v>24</v>
      </c>
      <c r="O6" s="144"/>
      <c r="P6" s="159"/>
    </row>
    <row r="7" spans="1:16" ht="17.25" x14ac:dyDescent="0.25">
      <c r="A7" s="297">
        <v>4</v>
      </c>
      <c r="B7" s="170"/>
      <c r="C7" s="410"/>
      <c r="D7" s="155"/>
      <c r="E7" s="150">
        <v>82</v>
      </c>
      <c r="F7" s="408">
        <v>78</v>
      </c>
      <c r="G7" s="413">
        <v>85</v>
      </c>
      <c r="H7" s="412">
        <v>89</v>
      </c>
      <c r="I7" s="201">
        <v>87</v>
      </c>
      <c r="J7" s="144">
        <v>81</v>
      </c>
      <c r="K7" s="193">
        <v>88</v>
      </c>
      <c r="L7" s="193">
        <f t="shared" si="0"/>
        <v>590</v>
      </c>
      <c r="M7" s="197">
        <f t="shared" si="1"/>
        <v>84.285714285714292</v>
      </c>
      <c r="N7" s="197">
        <f t="shared" si="2"/>
        <v>15</v>
      </c>
      <c r="O7" s="144"/>
      <c r="P7" s="159"/>
    </row>
    <row r="8" spans="1:16" ht="17.25" x14ac:dyDescent="0.25">
      <c r="A8" s="297">
        <v>5</v>
      </c>
      <c r="B8" s="170"/>
      <c r="C8" s="410"/>
      <c r="D8" s="155"/>
      <c r="E8" s="150">
        <v>58</v>
      </c>
      <c r="F8" s="408">
        <v>50</v>
      </c>
      <c r="G8" s="413">
        <v>65</v>
      </c>
      <c r="H8" s="412">
        <v>73</v>
      </c>
      <c r="I8" s="201">
        <v>66</v>
      </c>
      <c r="J8" s="144">
        <v>84</v>
      </c>
      <c r="K8" s="193">
        <v>78</v>
      </c>
      <c r="L8" s="193">
        <f t="shared" si="0"/>
        <v>474</v>
      </c>
      <c r="M8" s="197">
        <f t="shared" si="1"/>
        <v>67.714285714285708</v>
      </c>
      <c r="N8" s="197">
        <f t="shared" si="2"/>
        <v>41</v>
      </c>
      <c r="O8" s="144"/>
      <c r="P8" s="159"/>
    </row>
    <row r="9" spans="1:16" ht="17.25" x14ac:dyDescent="0.25">
      <c r="A9" s="297">
        <v>6</v>
      </c>
      <c r="B9" s="170"/>
      <c r="C9" s="410"/>
      <c r="D9" s="155"/>
      <c r="E9" s="150">
        <v>79</v>
      </c>
      <c r="F9" s="408">
        <v>48</v>
      </c>
      <c r="G9" s="413">
        <v>69</v>
      </c>
      <c r="H9" s="412">
        <v>77</v>
      </c>
      <c r="I9" s="201">
        <v>79</v>
      </c>
      <c r="J9" s="144">
        <v>85</v>
      </c>
      <c r="K9" s="193">
        <v>91</v>
      </c>
      <c r="L9" s="193">
        <f t="shared" si="0"/>
        <v>528</v>
      </c>
      <c r="M9" s="197">
        <f t="shared" si="1"/>
        <v>75.428571428571431</v>
      </c>
      <c r="N9" s="197">
        <f t="shared" si="2"/>
        <v>32</v>
      </c>
      <c r="O9" s="144"/>
      <c r="P9" s="159"/>
    </row>
    <row r="10" spans="1:16" ht="17.25" x14ac:dyDescent="0.25">
      <c r="A10" s="297">
        <v>7</v>
      </c>
      <c r="B10" s="170"/>
      <c r="C10" s="410"/>
      <c r="D10" s="155"/>
      <c r="E10" s="150">
        <v>77</v>
      </c>
      <c r="F10" s="408">
        <v>71</v>
      </c>
      <c r="G10" s="413">
        <v>87</v>
      </c>
      <c r="H10" s="412">
        <v>85</v>
      </c>
      <c r="I10" s="201">
        <v>90</v>
      </c>
      <c r="J10" s="144">
        <v>81</v>
      </c>
      <c r="K10" s="193">
        <v>87</v>
      </c>
      <c r="L10" s="193">
        <f t="shared" si="0"/>
        <v>578</v>
      </c>
      <c r="M10" s="197">
        <f t="shared" si="1"/>
        <v>82.571428571428569</v>
      </c>
      <c r="N10" s="197">
        <f t="shared" si="2"/>
        <v>18</v>
      </c>
      <c r="O10" s="144"/>
      <c r="P10" s="159"/>
    </row>
    <row r="11" spans="1:16" ht="17.25" x14ac:dyDescent="0.25">
      <c r="A11" s="297">
        <v>8</v>
      </c>
      <c r="B11" s="170"/>
      <c r="C11" s="410"/>
      <c r="D11" s="155"/>
      <c r="E11" s="150">
        <v>66</v>
      </c>
      <c r="F11" s="408">
        <v>65</v>
      </c>
      <c r="G11" s="413">
        <v>76</v>
      </c>
      <c r="H11" s="412">
        <v>81</v>
      </c>
      <c r="I11" s="201">
        <v>86</v>
      </c>
      <c r="J11" s="144">
        <v>93</v>
      </c>
      <c r="K11" s="193">
        <v>85</v>
      </c>
      <c r="L11" s="193">
        <f t="shared" si="0"/>
        <v>552</v>
      </c>
      <c r="M11" s="197">
        <f t="shared" si="1"/>
        <v>78.857142857142861</v>
      </c>
      <c r="N11" s="197">
        <f t="shared" si="2"/>
        <v>26</v>
      </c>
      <c r="O11" s="144"/>
      <c r="P11" s="159"/>
    </row>
    <row r="12" spans="1:16" ht="17.25" x14ac:dyDescent="0.25">
      <c r="A12" s="297">
        <v>9</v>
      </c>
      <c r="B12" s="170"/>
      <c r="C12" s="410"/>
      <c r="D12" s="155"/>
      <c r="E12" s="150">
        <v>92</v>
      </c>
      <c r="F12" s="408">
        <v>80</v>
      </c>
      <c r="G12" s="413">
        <v>78</v>
      </c>
      <c r="H12" s="412">
        <v>94</v>
      </c>
      <c r="I12" s="201">
        <v>92</v>
      </c>
      <c r="J12" s="144">
        <v>94</v>
      </c>
      <c r="K12" s="193">
        <v>87</v>
      </c>
      <c r="L12" s="193">
        <f t="shared" si="0"/>
        <v>617</v>
      </c>
      <c r="M12" s="197">
        <f t="shared" si="1"/>
        <v>88.142857142857139</v>
      </c>
      <c r="N12" s="197">
        <f t="shared" si="2"/>
        <v>8</v>
      </c>
      <c r="O12" s="144"/>
      <c r="P12" s="159"/>
    </row>
    <row r="13" spans="1:16" ht="17.25" x14ac:dyDescent="0.25">
      <c r="A13" s="297">
        <v>10</v>
      </c>
      <c r="B13" s="170"/>
      <c r="C13" s="410"/>
      <c r="D13" s="155"/>
      <c r="E13" s="150">
        <v>83</v>
      </c>
      <c r="F13" s="408">
        <v>90</v>
      </c>
      <c r="G13" s="413">
        <v>92</v>
      </c>
      <c r="H13" s="412">
        <v>87</v>
      </c>
      <c r="I13" s="201">
        <v>95</v>
      </c>
      <c r="J13" s="144">
        <v>83</v>
      </c>
      <c r="K13" s="193">
        <v>91</v>
      </c>
      <c r="L13" s="193">
        <f t="shared" si="0"/>
        <v>621</v>
      </c>
      <c r="M13" s="197">
        <f t="shared" si="1"/>
        <v>88.714285714285708</v>
      </c>
      <c r="N13" s="197">
        <f t="shared" si="2"/>
        <v>7</v>
      </c>
      <c r="O13" s="144"/>
      <c r="P13" s="159"/>
    </row>
    <row r="14" spans="1:16" ht="17.25" x14ac:dyDescent="0.25">
      <c r="A14" s="297">
        <v>11</v>
      </c>
      <c r="B14" s="170"/>
      <c r="C14" s="410"/>
      <c r="D14" s="155"/>
      <c r="E14" s="150">
        <v>86</v>
      </c>
      <c r="F14" s="408">
        <v>79</v>
      </c>
      <c r="G14" s="413">
        <v>86</v>
      </c>
      <c r="H14" s="412">
        <v>97</v>
      </c>
      <c r="I14" s="201">
        <v>94</v>
      </c>
      <c r="J14" s="144">
        <v>94</v>
      </c>
      <c r="K14" s="193">
        <v>88</v>
      </c>
      <c r="L14" s="193">
        <f t="shared" si="0"/>
        <v>624</v>
      </c>
      <c r="M14" s="197">
        <f t="shared" si="1"/>
        <v>89.142857142857139</v>
      </c>
      <c r="N14" s="197">
        <f t="shared" si="2"/>
        <v>6</v>
      </c>
      <c r="O14" s="144"/>
      <c r="P14" s="159"/>
    </row>
    <row r="15" spans="1:16" ht="17.25" x14ac:dyDescent="0.25">
      <c r="A15" s="297">
        <v>12</v>
      </c>
      <c r="B15" s="170"/>
      <c r="C15" s="410"/>
      <c r="D15" s="155"/>
      <c r="E15" s="150">
        <v>57</v>
      </c>
      <c r="F15" s="408">
        <v>48</v>
      </c>
      <c r="G15" s="413">
        <v>96</v>
      </c>
      <c r="H15" s="412">
        <v>84</v>
      </c>
      <c r="I15" s="201">
        <v>90</v>
      </c>
      <c r="J15" s="144">
        <v>78</v>
      </c>
      <c r="K15" s="193">
        <v>85</v>
      </c>
      <c r="L15" s="193">
        <f t="shared" si="0"/>
        <v>538</v>
      </c>
      <c r="M15" s="197">
        <f t="shared" si="1"/>
        <v>76.857142857142861</v>
      </c>
      <c r="N15" s="197">
        <f t="shared" si="2"/>
        <v>28</v>
      </c>
      <c r="O15" s="144"/>
      <c r="P15" s="159"/>
    </row>
    <row r="16" spans="1:16" ht="17.25" x14ac:dyDescent="0.25">
      <c r="A16" s="297">
        <v>13</v>
      </c>
      <c r="B16" s="170"/>
      <c r="C16" s="410"/>
      <c r="D16" s="155"/>
      <c r="E16" s="150">
        <v>71</v>
      </c>
      <c r="F16" s="408">
        <v>61</v>
      </c>
      <c r="G16" s="413">
        <v>64</v>
      </c>
      <c r="H16" s="412">
        <v>70</v>
      </c>
      <c r="I16" s="201">
        <v>42</v>
      </c>
      <c r="J16" s="144">
        <v>79</v>
      </c>
      <c r="K16" s="193">
        <v>80</v>
      </c>
      <c r="L16" s="193">
        <f t="shared" si="0"/>
        <v>467</v>
      </c>
      <c r="M16" s="197">
        <f t="shared" si="1"/>
        <v>66.714285714285708</v>
      </c>
      <c r="N16" s="197">
        <f t="shared" si="2"/>
        <v>43</v>
      </c>
      <c r="O16" s="144"/>
      <c r="P16" s="159"/>
    </row>
    <row r="17" spans="1:16" ht="17.25" x14ac:dyDescent="0.25">
      <c r="A17" s="297">
        <v>14</v>
      </c>
      <c r="B17" s="170"/>
      <c r="C17" s="410"/>
      <c r="D17" s="155"/>
      <c r="E17" s="150">
        <v>68</v>
      </c>
      <c r="F17" s="408">
        <v>49</v>
      </c>
      <c r="G17" s="413">
        <v>67</v>
      </c>
      <c r="H17" s="412">
        <v>76</v>
      </c>
      <c r="I17" s="201">
        <v>76</v>
      </c>
      <c r="J17" s="144">
        <v>76</v>
      </c>
      <c r="K17" s="193">
        <v>85</v>
      </c>
      <c r="L17" s="193">
        <f t="shared" si="0"/>
        <v>497</v>
      </c>
      <c r="M17" s="197">
        <f t="shared" si="1"/>
        <v>71</v>
      </c>
      <c r="N17" s="197">
        <f t="shared" si="2"/>
        <v>38</v>
      </c>
      <c r="O17" s="144"/>
      <c r="P17" s="159"/>
    </row>
    <row r="18" spans="1:16" ht="17.25" x14ac:dyDescent="0.25">
      <c r="A18" s="297">
        <v>15</v>
      </c>
      <c r="B18" s="170"/>
      <c r="C18" s="410"/>
      <c r="D18" s="155"/>
      <c r="E18" s="150">
        <v>82</v>
      </c>
      <c r="F18" s="408">
        <v>86</v>
      </c>
      <c r="G18" s="413">
        <v>82</v>
      </c>
      <c r="H18" s="412">
        <v>92</v>
      </c>
      <c r="I18" s="201">
        <v>91</v>
      </c>
      <c r="J18" s="144">
        <v>92</v>
      </c>
      <c r="K18" s="193">
        <v>90</v>
      </c>
      <c r="L18" s="193">
        <f t="shared" si="0"/>
        <v>615</v>
      </c>
      <c r="M18" s="197">
        <f t="shared" si="1"/>
        <v>87.857142857142861</v>
      </c>
      <c r="N18" s="197">
        <f t="shared" si="2"/>
        <v>9</v>
      </c>
      <c r="O18" s="144"/>
      <c r="P18" s="159"/>
    </row>
    <row r="19" spans="1:16" ht="17.25" x14ac:dyDescent="0.25">
      <c r="A19" s="297">
        <v>16</v>
      </c>
      <c r="B19" s="170"/>
      <c r="C19" s="410"/>
      <c r="D19" s="155"/>
      <c r="E19" s="150">
        <v>83</v>
      </c>
      <c r="F19" s="408">
        <v>79</v>
      </c>
      <c r="G19" s="413">
        <v>81</v>
      </c>
      <c r="H19" s="412">
        <v>81</v>
      </c>
      <c r="I19" s="201">
        <v>88</v>
      </c>
      <c r="J19" s="144">
        <v>87</v>
      </c>
      <c r="K19" s="193">
        <v>87</v>
      </c>
      <c r="L19" s="193">
        <f t="shared" si="0"/>
        <v>586</v>
      </c>
      <c r="M19" s="197">
        <f t="shared" si="1"/>
        <v>83.714285714285708</v>
      </c>
      <c r="N19" s="197">
        <f t="shared" si="2"/>
        <v>17</v>
      </c>
      <c r="O19" s="144"/>
      <c r="P19" s="159"/>
    </row>
    <row r="20" spans="1:16" ht="17.25" x14ac:dyDescent="0.25">
      <c r="A20" s="297">
        <v>17</v>
      </c>
      <c r="B20" s="170"/>
      <c r="C20" s="410"/>
      <c r="D20" s="155"/>
      <c r="E20" s="150">
        <v>85</v>
      </c>
      <c r="F20" s="408">
        <v>65</v>
      </c>
      <c r="G20" s="413">
        <v>75</v>
      </c>
      <c r="H20" s="412">
        <v>74</v>
      </c>
      <c r="I20" s="201">
        <v>82</v>
      </c>
      <c r="J20" s="144">
        <v>85</v>
      </c>
      <c r="K20" s="193">
        <v>91</v>
      </c>
      <c r="L20" s="193">
        <f t="shared" si="0"/>
        <v>557</v>
      </c>
      <c r="M20" s="197">
        <f t="shared" si="1"/>
        <v>79.571428571428569</v>
      </c>
      <c r="N20" s="197">
        <f t="shared" si="2"/>
        <v>21</v>
      </c>
      <c r="O20" s="144"/>
      <c r="P20" s="159"/>
    </row>
    <row r="21" spans="1:16" ht="17.25" x14ac:dyDescent="0.25">
      <c r="A21" s="297">
        <v>18</v>
      </c>
      <c r="B21" s="170"/>
      <c r="C21" s="410"/>
      <c r="D21" s="155"/>
      <c r="E21" s="150">
        <v>56</v>
      </c>
      <c r="F21" s="408">
        <v>44</v>
      </c>
      <c r="G21" s="413">
        <v>57</v>
      </c>
      <c r="H21" s="412">
        <v>59</v>
      </c>
      <c r="I21" s="201">
        <v>68</v>
      </c>
      <c r="J21" s="144">
        <v>77</v>
      </c>
      <c r="K21" s="193">
        <v>73</v>
      </c>
      <c r="L21" s="193">
        <f t="shared" si="0"/>
        <v>434</v>
      </c>
      <c r="M21" s="197">
        <f t="shared" si="1"/>
        <v>62</v>
      </c>
      <c r="N21" s="197">
        <f t="shared" si="2"/>
        <v>48</v>
      </c>
      <c r="O21" s="144"/>
      <c r="P21" s="159"/>
    </row>
    <row r="22" spans="1:16" ht="17.25" x14ac:dyDescent="0.25">
      <c r="A22" s="297">
        <v>19</v>
      </c>
      <c r="B22" s="170"/>
      <c r="C22" s="411"/>
      <c r="D22" s="156"/>
      <c r="E22" s="150">
        <v>81</v>
      </c>
      <c r="F22" s="408">
        <v>86</v>
      </c>
      <c r="G22" s="413">
        <v>82</v>
      </c>
      <c r="H22" s="412">
        <v>94</v>
      </c>
      <c r="I22" s="201">
        <v>94</v>
      </c>
      <c r="J22" s="144">
        <v>96</v>
      </c>
      <c r="K22" s="193">
        <v>98</v>
      </c>
      <c r="L22" s="193">
        <f t="shared" si="0"/>
        <v>631</v>
      </c>
      <c r="M22" s="197">
        <f t="shared" si="1"/>
        <v>90.142857142857139</v>
      </c>
      <c r="N22" s="197">
        <f t="shared" si="2"/>
        <v>5</v>
      </c>
      <c r="O22" s="144"/>
      <c r="P22" s="159"/>
    </row>
    <row r="23" spans="1:16" ht="17.25" x14ac:dyDescent="0.25">
      <c r="A23" s="297">
        <v>20</v>
      </c>
      <c r="B23" s="170"/>
      <c r="C23" s="410"/>
      <c r="D23" s="155"/>
      <c r="E23" s="150">
        <v>75</v>
      </c>
      <c r="F23" s="408">
        <v>50</v>
      </c>
      <c r="G23" s="413">
        <v>68</v>
      </c>
      <c r="H23" s="412">
        <v>78</v>
      </c>
      <c r="I23" s="201">
        <v>68</v>
      </c>
      <c r="J23" s="144">
        <v>93</v>
      </c>
      <c r="K23" s="193">
        <v>85</v>
      </c>
      <c r="L23" s="193">
        <f t="shared" si="0"/>
        <v>517</v>
      </c>
      <c r="M23" s="197">
        <f t="shared" si="1"/>
        <v>73.857142857142861</v>
      </c>
      <c r="N23" s="197">
        <f t="shared" si="2"/>
        <v>35</v>
      </c>
      <c r="O23" s="144"/>
      <c r="P23" s="159"/>
    </row>
    <row r="24" spans="1:16" ht="17.25" x14ac:dyDescent="0.25">
      <c r="A24" s="297">
        <v>21</v>
      </c>
      <c r="B24" s="170"/>
      <c r="C24" s="410"/>
      <c r="D24" s="155"/>
      <c r="E24" s="150">
        <v>72</v>
      </c>
      <c r="F24" s="408">
        <v>78</v>
      </c>
      <c r="G24" s="413">
        <v>77</v>
      </c>
      <c r="H24" s="412">
        <v>89</v>
      </c>
      <c r="I24" s="201">
        <v>90</v>
      </c>
      <c r="J24" s="144">
        <v>96</v>
      </c>
      <c r="K24" s="193">
        <v>87</v>
      </c>
      <c r="L24" s="193">
        <f t="shared" si="0"/>
        <v>589</v>
      </c>
      <c r="M24" s="197">
        <f t="shared" si="1"/>
        <v>84.142857142857139</v>
      </c>
      <c r="N24" s="197">
        <f t="shared" si="2"/>
        <v>16</v>
      </c>
      <c r="O24" s="144"/>
      <c r="P24" s="159"/>
    </row>
    <row r="25" spans="1:16" ht="17.25" x14ac:dyDescent="0.25">
      <c r="A25" s="297">
        <v>22</v>
      </c>
      <c r="B25" s="170"/>
      <c r="C25" s="410"/>
      <c r="D25" s="155"/>
      <c r="E25" s="150">
        <v>56</v>
      </c>
      <c r="F25" s="408">
        <v>71</v>
      </c>
      <c r="G25" s="413">
        <v>64</v>
      </c>
      <c r="H25" s="412">
        <v>84</v>
      </c>
      <c r="I25" s="201">
        <v>82</v>
      </c>
      <c r="J25" s="144">
        <v>88</v>
      </c>
      <c r="K25" s="193">
        <v>80</v>
      </c>
      <c r="L25" s="193">
        <f t="shared" si="0"/>
        <v>525</v>
      </c>
      <c r="M25" s="197">
        <f t="shared" si="1"/>
        <v>75</v>
      </c>
      <c r="N25" s="197">
        <f t="shared" si="2"/>
        <v>34</v>
      </c>
      <c r="O25" s="144"/>
      <c r="P25" s="159"/>
    </row>
    <row r="26" spans="1:16" ht="17.25" x14ac:dyDescent="0.25">
      <c r="A26" s="297">
        <v>23</v>
      </c>
      <c r="B26" s="170"/>
      <c r="C26" s="410"/>
      <c r="D26" s="155"/>
      <c r="E26" s="150">
        <v>54</v>
      </c>
      <c r="F26" s="408">
        <v>73</v>
      </c>
      <c r="G26" s="413">
        <v>82</v>
      </c>
      <c r="H26" s="412">
        <v>91</v>
      </c>
      <c r="I26" s="201">
        <v>87</v>
      </c>
      <c r="J26" s="144">
        <v>86</v>
      </c>
      <c r="K26" s="193">
        <v>82</v>
      </c>
      <c r="L26" s="193">
        <f t="shared" si="0"/>
        <v>555</v>
      </c>
      <c r="M26" s="197">
        <f t="shared" si="1"/>
        <v>79.285714285714292</v>
      </c>
      <c r="N26" s="197">
        <f t="shared" si="2"/>
        <v>22</v>
      </c>
      <c r="O26" s="144"/>
      <c r="P26" s="159"/>
    </row>
    <row r="27" spans="1:16" ht="17.25" x14ac:dyDescent="0.25">
      <c r="A27" s="297">
        <v>24</v>
      </c>
      <c r="B27" s="170"/>
      <c r="C27" s="410"/>
      <c r="D27" s="155"/>
      <c r="E27" s="150">
        <v>83</v>
      </c>
      <c r="F27" s="408">
        <v>49</v>
      </c>
      <c r="G27" s="413">
        <v>70</v>
      </c>
      <c r="H27" s="412">
        <v>78</v>
      </c>
      <c r="I27" s="201">
        <v>83</v>
      </c>
      <c r="J27" s="144">
        <v>79</v>
      </c>
      <c r="K27" s="193">
        <v>92</v>
      </c>
      <c r="L27" s="193">
        <f t="shared" si="0"/>
        <v>534</v>
      </c>
      <c r="M27" s="197">
        <f t="shared" si="1"/>
        <v>76.285714285714292</v>
      </c>
      <c r="N27" s="197">
        <f t="shared" si="2"/>
        <v>29</v>
      </c>
      <c r="O27" s="144"/>
      <c r="P27" s="159"/>
    </row>
    <row r="28" spans="1:16" ht="17.25" x14ac:dyDescent="0.25">
      <c r="A28" s="297">
        <v>25</v>
      </c>
      <c r="B28" s="170"/>
      <c r="C28" s="410"/>
      <c r="D28" s="155"/>
      <c r="E28" s="150">
        <v>93</v>
      </c>
      <c r="F28" s="408">
        <v>94</v>
      </c>
      <c r="G28" s="413">
        <v>94</v>
      </c>
      <c r="H28" s="412">
        <v>97</v>
      </c>
      <c r="I28" s="201">
        <v>98</v>
      </c>
      <c r="J28" s="144">
        <v>93</v>
      </c>
      <c r="K28" s="193">
        <v>91</v>
      </c>
      <c r="L28" s="193">
        <f t="shared" si="0"/>
        <v>660</v>
      </c>
      <c r="M28" s="197">
        <f t="shared" si="1"/>
        <v>94.285714285714292</v>
      </c>
      <c r="N28" s="197">
        <f t="shared" si="2"/>
        <v>1</v>
      </c>
      <c r="O28" s="144"/>
      <c r="P28" s="159"/>
    </row>
    <row r="29" spans="1:16" ht="17.25" x14ac:dyDescent="0.25">
      <c r="A29" s="297">
        <v>26</v>
      </c>
      <c r="B29" s="170"/>
      <c r="C29" s="410"/>
      <c r="D29" s="155"/>
      <c r="E29" s="150">
        <v>85</v>
      </c>
      <c r="F29" s="408">
        <v>97</v>
      </c>
      <c r="G29" s="413">
        <v>89</v>
      </c>
      <c r="H29" s="412">
        <v>99</v>
      </c>
      <c r="I29" s="201">
        <v>95</v>
      </c>
      <c r="J29" s="144">
        <v>94</v>
      </c>
      <c r="K29" s="193">
        <v>100</v>
      </c>
      <c r="L29" s="193">
        <f t="shared" si="0"/>
        <v>659</v>
      </c>
      <c r="M29" s="197">
        <f t="shared" si="1"/>
        <v>94.142857142857139</v>
      </c>
      <c r="N29" s="197">
        <f t="shared" si="2"/>
        <v>2</v>
      </c>
      <c r="O29" s="144"/>
      <c r="P29" s="159"/>
    </row>
    <row r="30" spans="1:16" ht="17.25" x14ac:dyDescent="0.25">
      <c r="A30" s="297">
        <v>27</v>
      </c>
      <c r="B30" s="170"/>
      <c r="C30" s="410"/>
      <c r="D30" s="155"/>
      <c r="E30" s="150">
        <v>60</v>
      </c>
      <c r="F30" s="408">
        <v>52</v>
      </c>
      <c r="G30" s="413">
        <v>78</v>
      </c>
      <c r="H30" s="412">
        <v>88</v>
      </c>
      <c r="I30" s="201">
        <v>83</v>
      </c>
      <c r="J30" s="144">
        <v>87</v>
      </c>
      <c r="K30" s="193">
        <v>84</v>
      </c>
      <c r="L30" s="193">
        <f t="shared" si="0"/>
        <v>532</v>
      </c>
      <c r="M30" s="197">
        <f t="shared" si="1"/>
        <v>76</v>
      </c>
      <c r="N30" s="197">
        <f t="shared" si="2"/>
        <v>31</v>
      </c>
      <c r="O30" s="144"/>
      <c r="P30" s="159"/>
    </row>
    <row r="31" spans="1:16" ht="17.25" x14ac:dyDescent="0.25">
      <c r="A31" s="297">
        <v>28</v>
      </c>
      <c r="B31" s="170"/>
      <c r="C31" s="410"/>
      <c r="D31" s="155"/>
      <c r="E31" s="150">
        <v>85</v>
      </c>
      <c r="F31" s="408">
        <v>96</v>
      </c>
      <c r="G31" s="414">
        <v>82</v>
      </c>
      <c r="H31" s="412">
        <v>94</v>
      </c>
      <c r="I31" s="201">
        <v>89</v>
      </c>
      <c r="J31" s="144">
        <v>95</v>
      </c>
      <c r="K31" s="193">
        <v>92</v>
      </c>
      <c r="L31" s="193">
        <f t="shared" si="0"/>
        <v>633</v>
      </c>
      <c r="M31" s="197">
        <f t="shared" si="1"/>
        <v>90.428571428571431</v>
      </c>
      <c r="N31" s="197">
        <f t="shared" si="2"/>
        <v>4</v>
      </c>
      <c r="O31" s="144"/>
      <c r="P31" s="148"/>
    </row>
    <row r="32" spans="1:16" ht="18" thickBot="1" x14ac:dyDescent="0.3">
      <c r="A32" s="297">
        <v>29</v>
      </c>
      <c r="B32" s="170"/>
      <c r="C32" s="410"/>
      <c r="D32" s="155"/>
      <c r="E32" s="144">
        <v>61</v>
      </c>
      <c r="F32" s="408">
        <v>70</v>
      </c>
      <c r="G32" s="413">
        <v>73</v>
      </c>
      <c r="H32" s="412">
        <v>74</v>
      </c>
      <c r="I32" s="201">
        <v>64</v>
      </c>
      <c r="J32" s="144">
        <v>84</v>
      </c>
      <c r="K32" s="193">
        <v>88</v>
      </c>
      <c r="L32" s="193">
        <f t="shared" si="0"/>
        <v>514</v>
      </c>
      <c r="M32" s="197">
        <f t="shared" si="1"/>
        <v>73.428571428571431</v>
      </c>
      <c r="N32" s="197">
        <f t="shared" si="2"/>
        <v>36</v>
      </c>
      <c r="O32" s="144"/>
      <c r="P32" s="148"/>
    </row>
    <row r="33" spans="1:16" ht="18" thickBot="1" x14ac:dyDescent="0.3">
      <c r="A33" s="297">
        <v>30</v>
      </c>
      <c r="B33" s="304"/>
      <c r="C33" s="153"/>
      <c r="D33" s="153"/>
      <c r="E33" s="144">
        <v>76</v>
      </c>
      <c r="F33" s="408">
        <v>42</v>
      </c>
      <c r="G33" s="413">
        <v>64</v>
      </c>
      <c r="H33" s="412">
        <v>80</v>
      </c>
      <c r="I33" s="201">
        <v>75</v>
      </c>
      <c r="J33" s="144">
        <v>84</v>
      </c>
      <c r="K33" s="193">
        <v>87</v>
      </c>
      <c r="L33" s="193">
        <f t="shared" si="0"/>
        <v>508</v>
      </c>
      <c r="M33" s="197">
        <f t="shared" si="1"/>
        <v>72.571428571428569</v>
      </c>
      <c r="N33" s="197">
        <f t="shared" si="2"/>
        <v>37</v>
      </c>
      <c r="O33" s="144"/>
      <c r="P33" s="148"/>
    </row>
    <row r="34" spans="1:16" ht="18" thickBot="1" x14ac:dyDescent="0.3">
      <c r="A34" s="297">
        <v>31</v>
      </c>
      <c r="B34" s="298"/>
      <c r="C34" s="153"/>
      <c r="D34" s="153"/>
      <c r="E34" s="144">
        <v>90</v>
      </c>
      <c r="F34" s="408">
        <v>89</v>
      </c>
      <c r="G34" s="413">
        <v>82</v>
      </c>
      <c r="H34" s="412">
        <v>91</v>
      </c>
      <c r="I34" s="201">
        <v>92</v>
      </c>
      <c r="J34" s="144">
        <v>97</v>
      </c>
      <c r="K34" s="193">
        <v>97</v>
      </c>
      <c r="L34" s="193">
        <f t="shared" si="0"/>
        <v>638</v>
      </c>
      <c r="M34" s="197">
        <f t="shared" si="1"/>
        <v>91.142857142857139</v>
      </c>
      <c r="N34" s="197">
        <f t="shared" si="2"/>
        <v>3</v>
      </c>
      <c r="O34" s="144"/>
      <c r="P34" s="148"/>
    </row>
    <row r="35" spans="1:16" ht="18" thickBot="1" x14ac:dyDescent="0.3">
      <c r="A35" s="297">
        <v>32</v>
      </c>
      <c r="B35" s="298"/>
      <c r="C35" s="153"/>
      <c r="D35" s="153"/>
      <c r="E35" s="144">
        <v>94</v>
      </c>
      <c r="F35" s="408">
        <v>44</v>
      </c>
      <c r="G35" s="413">
        <v>66</v>
      </c>
      <c r="H35" s="412">
        <v>73</v>
      </c>
      <c r="I35" s="201">
        <v>87</v>
      </c>
      <c r="J35" s="144">
        <v>84</v>
      </c>
      <c r="K35" s="193">
        <v>86</v>
      </c>
      <c r="L35" s="193">
        <f t="shared" si="0"/>
        <v>534</v>
      </c>
      <c r="M35" s="197">
        <f t="shared" si="1"/>
        <v>76.285714285714292</v>
      </c>
      <c r="N35" s="197">
        <f t="shared" si="2"/>
        <v>29</v>
      </c>
      <c r="O35" s="144"/>
      <c r="P35" s="148"/>
    </row>
    <row r="36" spans="1:16" ht="18" thickBot="1" x14ac:dyDescent="0.3">
      <c r="A36" s="297">
        <v>33</v>
      </c>
      <c r="B36" s="298"/>
      <c r="C36" s="153"/>
      <c r="D36" s="153"/>
      <c r="E36" s="144">
        <v>83</v>
      </c>
      <c r="F36" s="408">
        <v>74</v>
      </c>
      <c r="G36" s="413">
        <v>83</v>
      </c>
      <c r="H36" s="412">
        <v>89</v>
      </c>
      <c r="I36" s="201">
        <v>89</v>
      </c>
      <c r="J36" s="144">
        <v>89</v>
      </c>
      <c r="K36" s="193">
        <v>89</v>
      </c>
      <c r="L36" s="193">
        <f t="shared" si="0"/>
        <v>596</v>
      </c>
      <c r="M36" s="197">
        <f t="shared" si="1"/>
        <v>85.142857142857139</v>
      </c>
      <c r="N36" s="197">
        <f t="shared" si="2"/>
        <v>13</v>
      </c>
      <c r="O36" s="144"/>
      <c r="P36" s="148"/>
    </row>
    <row r="37" spans="1:16" ht="18" thickBot="1" x14ac:dyDescent="0.3">
      <c r="A37" s="297">
        <v>34</v>
      </c>
      <c r="B37" s="298"/>
      <c r="C37" s="153"/>
      <c r="D37" s="153"/>
      <c r="E37" s="144">
        <v>60</v>
      </c>
      <c r="F37" s="408">
        <v>40</v>
      </c>
      <c r="G37" s="413">
        <v>75</v>
      </c>
      <c r="H37" s="412">
        <v>70</v>
      </c>
      <c r="I37" s="201">
        <v>69</v>
      </c>
      <c r="J37" s="144">
        <v>80</v>
      </c>
      <c r="K37" s="193">
        <v>69</v>
      </c>
      <c r="L37" s="193">
        <f t="shared" si="0"/>
        <v>463</v>
      </c>
      <c r="M37" s="197">
        <f t="shared" si="1"/>
        <v>66.142857142857139</v>
      </c>
      <c r="N37" s="197">
        <f t="shared" si="2"/>
        <v>45</v>
      </c>
      <c r="O37" s="144"/>
      <c r="P37" s="148"/>
    </row>
    <row r="38" spans="1:16" ht="18" thickBot="1" x14ac:dyDescent="0.3">
      <c r="A38" s="297">
        <v>35</v>
      </c>
      <c r="B38" s="298"/>
      <c r="C38" s="153"/>
      <c r="D38" s="153"/>
      <c r="E38" s="144">
        <v>75</v>
      </c>
      <c r="F38" s="408">
        <v>72</v>
      </c>
      <c r="G38" s="413">
        <v>80</v>
      </c>
      <c r="H38" s="412">
        <v>87</v>
      </c>
      <c r="I38" s="201">
        <v>89</v>
      </c>
      <c r="J38" s="144">
        <v>92</v>
      </c>
      <c r="K38" s="193">
        <v>96</v>
      </c>
      <c r="L38" s="193">
        <f t="shared" si="0"/>
        <v>591</v>
      </c>
      <c r="M38" s="197">
        <f t="shared" si="1"/>
        <v>84.428571428571431</v>
      </c>
      <c r="N38" s="197">
        <f t="shared" si="2"/>
        <v>14</v>
      </c>
      <c r="O38" s="144"/>
      <c r="P38" s="148"/>
    </row>
    <row r="39" spans="1:16" ht="18" thickBot="1" x14ac:dyDescent="0.3">
      <c r="A39" s="297">
        <v>36</v>
      </c>
      <c r="B39" s="298"/>
      <c r="C39" s="153"/>
      <c r="D39" s="153"/>
      <c r="E39" s="144">
        <v>67</v>
      </c>
      <c r="F39" s="408">
        <v>58</v>
      </c>
      <c r="G39" s="413">
        <v>63</v>
      </c>
      <c r="H39" s="412">
        <v>79</v>
      </c>
      <c r="I39" s="201">
        <v>81</v>
      </c>
      <c r="J39" s="144">
        <v>86</v>
      </c>
      <c r="K39" s="193">
        <v>93</v>
      </c>
      <c r="L39" s="193">
        <f t="shared" si="0"/>
        <v>527</v>
      </c>
      <c r="M39" s="197">
        <f t="shared" si="1"/>
        <v>75.285714285714292</v>
      </c>
      <c r="N39" s="197">
        <f t="shared" si="2"/>
        <v>33</v>
      </c>
      <c r="O39" s="144"/>
      <c r="P39" s="148"/>
    </row>
    <row r="40" spans="1:16" ht="18" thickBot="1" x14ac:dyDescent="0.3">
      <c r="A40" s="297">
        <v>37</v>
      </c>
      <c r="B40" s="298"/>
      <c r="C40" s="153"/>
      <c r="D40" s="153"/>
      <c r="E40" s="144">
        <v>55</v>
      </c>
      <c r="F40" s="408">
        <v>47</v>
      </c>
      <c r="G40" s="413">
        <v>57</v>
      </c>
      <c r="H40" s="412">
        <v>57</v>
      </c>
      <c r="I40" s="201">
        <v>56</v>
      </c>
      <c r="J40" s="144">
        <v>80</v>
      </c>
      <c r="K40" s="193">
        <v>86</v>
      </c>
      <c r="L40" s="193">
        <f t="shared" si="0"/>
        <v>438</v>
      </c>
      <c r="M40" s="197">
        <f t="shared" si="1"/>
        <v>62.571428571428569</v>
      </c>
      <c r="N40" s="197">
        <f t="shared" si="2"/>
        <v>47</v>
      </c>
      <c r="O40" s="144"/>
      <c r="P40" s="148"/>
    </row>
    <row r="41" spans="1:16" ht="18" thickBot="1" x14ac:dyDescent="0.3">
      <c r="A41" s="297">
        <v>38</v>
      </c>
      <c r="B41" s="298"/>
      <c r="C41" s="153"/>
      <c r="D41" s="153"/>
      <c r="E41" s="144">
        <v>53</v>
      </c>
      <c r="F41" s="408">
        <v>41</v>
      </c>
      <c r="G41" s="413">
        <v>60</v>
      </c>
      <c r="H41" s="412">
        <v>77</v>
      </c>
      <c r="I41" s="201">
        <v>80</v>
      </c>
      <c r="J41" s="144">
        <v>77</v>
      </c>
      <c r="K41" s="193">
        <v>86</v>
      </c>
      <c r="L41" s="193">
        <f t="shared" si="0"/>
        <v>474</v>
      </c>
      <c r="M41" s="197">
        <f t="shared" si="1"/>
        <v>67.714285714285708</v>
      </c>
      <c r="N41" s="197">
        <f t="shared" si="2"/>
        <v>41</v>
      </c>
      <c r="O41" s="144"/>
      <c r="P41" s="148"/>
    </row>
    <row r="42" spans="1:16" ht="18" thickBot="1" x14ac:dyDescent="0.3">
      <c r="A42" s="297">
        <v>39</v>
      </c>
      <c r="B42" s="298"/>
      <c r="C42" s="153"/>
      <c r="D42" s="153"/>
      <c r="E42" s="144">
        <v>62</v>
      </c>
      <c r="F42" s="408">
        <v>39</v>
      </c>
      <c r="G42" s="413">
        <v>60</v>
      </c>
      <c r="H42" s="412">
        <v>77</v>
      </c>
      <c r="I42" s="201">
        <v>61</v>
      </c>
      <c r="J42" s="144">
        <v>77</v>
      </c>
      <c r="K42" s="193">
        <v>89</v>
      </c>
      <c r="L42" s="193">
        <f t="shared" si="0"/>
        <v>465</v>
      </c>
      <c r="M42" s="197">
        <f t="shared" si="1"/>
        <v>66.428571428571431</v>
      </c>
      <c r="N42" s="197">
        <f t="shared" si="2"/>
        <v>44</v>
      </c>
      <c r="O42" s="144"/>
      <c r="P42" s="148"/>
    </row>
    <row r="43" spans="1:16" ht="18" thickBot="1" x14ac:dyDescent="0.3">
      <c r="A43" s="297">
        <v>40</v>
      </c>
      <c r="B43" s="298"/>
      <c r="C43" s="153"/>
      <c r="D43" s="153"/>
      <c r="E43" s="144">
        <v>71</v>
      </c>
      <c r="F43" s="408">
        <v>65</v>
      </c>
      <c r="G43" s="413">
        <v>71</v>
      </c>
      <c r="H43" s="412">
        <v>82</v>
      </c>
      <c r="I43" s="201">
        <v>86</v>
      </c>
      <c r="J43" s="144">
        <v>92</v>
      </c>
      <c r="K43" s="193">
        <v>92</v>
      </c>
      <c r="L43" s="193">
        <f t="shared" si="0"/>
        <v>559</v>
      </c>
      <c r="M43" s="197">
        <f t="shared" si="1"/>
        <v>79.857142857142861</v>
      </c>
      <c r="N43" s="197">
        <f t="shared" si="2"/>
        <v>20</v>
      </c>
      <c r="O43" s="144"/>
      <c r="P43" s="148"/>
    </row>
    <row r="44" spans="1:16" ht="18" thickBot="1" x14ac:dyDescent="0.3">
      <c r="A44" s="297">
        <v>41</v>
      </c>
      <c r="B44" s="298"/>
      <c r="C44" s="153"/>
      <c r="D44" s="153"/>
      <c r="E44" s="144">
        <v>69</v>
      </c>
      <c r="F44" s="408">
        <v>70</v>
      </c>
      <c r="G44" s="413">
        <v>67</v>
      </c>
      <c r="H44" s="412">
        <v>76</v>
      </c>
      <c r="I44" s="201">
        <v>86</v>
      </c>
      <c r="J44" s="144">
        <v>94</v>
      </c>
      <c r="K44" s="193">
        <v>86</v>
      </c>
      <c r="L44" s="193">
        <f t="shared" si="0"/>
        <v>548</v>
      </c>
      <c r="M44" s="197">
        <f t="shared" si="1"/>
        <v>78.285714285714292</v>
      </c>
      <c r="N44" s="197">
        <f t="shared" si="2"/>
        <v>27</v>
      </c>
      <c r="O44" s="144"/>
      <c r="P44" s="148"/>
    </row>
    <row r="45" spans="1:16" ht="18" thickBot="1" x14ac:dyDescent="0.3">
      <c r="A45" s="297">
        <v>42</v>
      </c>
      <c r="B45" s="298"/>
      <c r="C45" s="153"/>
      <c r="D45" s="153"/>
      <c r="E45" s="144">
        <v>75</v>
      </c>
      <c r="F45" s="408">
        <v>80</v>
      </c>
      <c r="G45" s="413">
        <v>79</v>
      </c>
      <c r="H45" s="412">
        <v>91</v>
      </c>
      <c r="I45" s="201">
        <v>90</v>
      </c>
      <c r="J45" s="144">
        <v>98</v>
      </c>
      <c r="K45" s="193">
        <v>96</v>
      </c>
      <c r="L45" s="193">
        <f t="shared" si="0"/>
        <v>609</v>
      </c>
      <c r="M45" s="197">
        <f t="shared" si="1"/>
        <v>87</v>
      </c>
      <c r="N45" s="197">
        <f t="shared" si="2"/>
        <v>11</v>
      </c>
      <c r="O45" s="144"/>
      <c r="P45" s="148"/>
    </row>
    <row r="46" spans="1:16" ht="18" thickBot="1" x14ac:dyDescent="0.3">
      <c r="A46" s="297">
        <v>43</v>
      </c>
      <c r="B46" s="298"/>
      <c r="C46" s="153"/>
      <c r="D46" s="153"/>
      <c r="E46" s="144">
        <v>53</v>
      </c>
      <c r="F46" s="408">
        <v>43</v>
      </c>
      <c r="G46" s="413">
        <v>63</v>
      </c>
      <c r="H46" s="412">
        <v>65</v>
      </c>
      <c r="I46" s="201">
        <v>74</v>
      </c>
      <c r="J46" s="144">
        <v>73</v>
      </c>
      <c r="K46" s="193">
        <v>80</v>
      </c>
      <c r="L46" s="193">
        <f t="shared" si="0"/>
        <v>451</v>
      </c>
      <c r="M46" s="197">
        <f t="shared" si="1"/>
        <v>64.428571428571431</v>
      </c>
      <c r="N46" s="197">
        <f t="shared" si="2"/>
        <v>46</v>
      </c>
      <c r="O46" s="144"/>
      <c r="P46" s="148"/>
    </row>
    <row r="47" spans="1:16" ht="18" thickBot="1" x14ac:dyDescent="0.3">
      <c r="A47" s="297">
        <v>44</v>
      </c>
      <c r="B47" s="298"/>
      <c r="C47" s="153"/>
      <c r="D47" s="153"/>
      <c r="E47" s="144">
        <v>67</v>
      </c>
      <c r="F47" s="408">
        <v>60</v>
      </c>
      <c r="G47" s="413">
        <v>80</v>
      </c>
      <c r="H47" s="412">
        <v>86</v>
      </c>
      <c r="I47" s="201">
        <v>78</v>
      </c>
      <c r="J47" s="144">
        <v>91</v>
      </c>
      <c r="K47" s="193">
        <v>91</v>
      </c>
      <c r="L47" s="193">
        <f t="shared" si="0"/>
        <v>553</v>
      </c>
      <c r="M47" s="197">
        <f t="shared" si="1"/>
        <v>79</v>
      </c>
      <c r="N47" s="197">
        <f t="shared" si="2"/>
        <v>24</v>
      </c>
      <c r="O47" s="144"/>
      <c r="P47" s="148"/>
    </row>
    <row r="48" spans="1:16" ht="18" thickBot="1" x14ac:dyDescent="0.3">
      <c r="A48" s="297">
        <v>45</v>
      </c>
      <c r="B48" s="298"/>
      <c r="C48" s="153"/>
      <c r="D48" s="153"/>
      <c r="E48" s="144">
        <v>69</v>
      </c>
      <c r="F48" s="408">
        <v>36</v>
      </c>
      <c r="G48" s="413">
        <v>60</v>
      </c>
      <c r="H48" s="412">
        <v>65</v>
      </c>
      <c r="I48" s="201">
        <v>73</v>
      </c>
      <c r="J48" s="144">
        <v>89</v>
      </c>
      <c r="K48" s="193">
        <v>84</v>
      </c>
      <c r="L48" s="193">
        <f t="shared" si="0"/>
        <v>476</v>
      </c>
      <c r="M48" s="197">
        <f t="shared" si="1"/>
        <v>68</v>
      </c>
      <c r="N48" s="197">
        <f t="shared" si="2"/>
        <v>40</v>
      </c>
      <c r="O48" s="144"/>
      <c r="P48" s="148"/>
    </row>
    <row r="49" spans="1:16" ht="18" thickBot="1" x14ac:dyDescent="0.3">
      <c r="A49" s="297">
        <v>46</v>
      </c>
      <c r="B49" s="298"/>
      <c r="C49" s="153"/>
      <c r="D49" s="153"/>
      <c r="E49" s="144">
        <v>79</v>
      </c>
      <c r="F49" s="408">
        <v>57</v>
      </c>
      <c r="G49" s="413">
        <v>85</v>
      </c>
      <c r="H49" s="412">
        <v>86</v>
      </c>
      <c r="I49" s="201">
        <v>90</v>
      </c>
      <c r="J49" s="144">
        <v>87</v>
      </c>
      <c r="K49" s="193">
        <v>91</v>
      </c>
      <c r="L49" s="193">
        <f t="shared" si="0"/>
        <v>575</v>
      </c>
      <c r="M49" s="197">
        <f t="shared" si="1"/>
        <v>82.142857142857139</v>
      </c>
      <c r="N49" s="197">
        <f t="shared" si="2"/>
        <v>19</v>
      </c>
      <c r="O49" s="144"/>
      <c r="P49" s="148"/>
    </row>
    <row r="50" spans="1:16" ht="18" thickBot="1" x14ac:dyDescent="0.3">
      <c r="A50" s="297">
        <v>47</v>
      </c>
      <c r="B50" s="298"/>
      <c r="C50" s="153"/>
      <c r="D50" s="153"/>
      <c r="E50" s="144">
        <v>61</v>
      </c>
      <c r="F50" s="408">
        <v>54</v>
      </c>
      <c r="G50" s="413">
        <v>91</v>
      </c>
      <c r="H50" s="412">
        <v>90</v>
      </c>
      <c r="I50" s="201">
        <v>89</v>
      </c>
      <c r="J50" s="144">
        <v>81</v>
      </c>
      <c r="K50" s="193">
        <v>88</v>
      </c>
      <c r="L50" s="193">
        <f t="shared" si="0"/>
        <v>554</v>
      </c>
      <c r="M50" s="197">
        <f t="shared" si="1"/>
        <v>79.142857142857139</v>
      </c>
      <c r="N50" s="197">
        <f t="shared" si="2"/>
        <v>23</v>
      </c>
      <c r="O50" s="144"/>
      <c r="P50" s="148"/>
    </row>
    <row r="51" spans="1:16" ht="18" thickBot="1" x14ac:dyDescent="0.3">
      <c r="A51" s="297">
        <v>48</v>
      </c>
      <c r="B51" s="298"/>
      <c r="C51" s="153"/>
      <c r="D51" s="153"/>
      <c r="E51" s="144">
        <v>78</v>
      </c>
      <c r="F51" s="408">
        <v>73</v>
      </c>
      <c r="G51" s="413">
        <v>86</v>
      </c>
      <c r="H51" s="412">
        <v>89</v>
      </c>
      <c r="I51" s="201">
        <v>83</v>
      </c>
      <c r="J51" s="144">
        <v>92</v>
      </c>
      <c r="K51" s="193">
        <v>97</v>
      </c>
      <c r="L51" s="193">
        <f t="shared" si="0"/>
        <v>598</v>
      </c>
      <c r="M51" s="197">
        <f t="shared" si="1"/>
        <v>85.428571428571431</v>
      </c>
      <c r="N51" s="197">
        <f t="shared" si="2"/>
        <v>12</v>
      </c>
      <c r="O51" s="144"/>
      <c r="P51" s="148"/>
    </row>
    <row r="52" spans="1:16" ht="17.25" x14ac:dyDescent="0.25">
      <c r="A52" s="158">
        <v>50</v>
      </c>
      <c r="B52" s="154"/>
      <c r="C52" s="153"/>
      <c r="D52" s="153"/>
      <c r="E52" s="144"/>
      <c r="F52" s="144"/>
      <c r="G52" s="409"/>
      <c r="H52" s="409"/>
      <c r="I52" s="144"/>
      <c r="J52" s="144"/>
      <c r="K52" s="193"/>
      <c r="L52" s="144"/>
      <c r="M52" s="147"/>
      <c r="N52" s="147"/>
      <c r="O52" s="144"/>
      <c r="P52" s="148"/>
    </row>
    <row r="53" spans="1:16" ht="17.25" x14ac:dyDescent="0.25">
      <c r="A53" s="158">
        <v>51</v>
      </c>
      <c r="B53" s="154"/>
      <c r="C53" s="153"/>
      <c r="D53" s="153"/>
      <c r="E53" s="144"/>
      <c r="F53" s="144"/>
      <c r="G53" s="144"/>
      <c r="H53" s="144"/>
      <c r="I53" s="144"/>
      <c r="J53" s="144"/>
      <c r="K53" s="193"/>
      <c r="L53" s="144"/>
      <c r="M53" s="147"/>
      <c r="N53" s="147"/>
      <c r="O53" s="144"/>
      <c r="P53" s="148"/>
    </row>
    <row r="54" spans="1:16" ht="17.25" x14ac:dyDescent="0.25">
      <c r="A54" s="158">
        <v>52</v>
      </c>
      <c r="B54" s="154"/>
      <c r="C54" s="153"/>
      <c r="D54" s="153"/>
      <c r="E54" s="144"/>
      <c r="F54" s="144"/>
      <c r="G54" s="144"/>
      <c r="H54" s="144"/>
      <c r="I54" s="144"/>
      <c r="J54" s="144"/>
      <c r="K54" s="193"/>
      <c r="L54" s="144"/>
      <c r="M54" s="147"/>
      <c r="N54" s="147"/>
      <c r="O54" s="144"/>
      <c r="P54" s="148"/>
    </row>
    <row r="55" spans="1:16" ht="17.25" x14ac:dyDescent="0.25">
      <c r="A55" s="158">
        <v>53</v>
      </c>
      <c r="B55" s="157"/>
      <c r="C55" s="146"/>
      <c r="D55" s="146"/>
      <c r="E55" s="143"/>
      <c r="F55" s="148"/>
      <c r="G55" s="148"/>
      <c r="H55" s="148"/>
      <c r="I55" s="148"/>
      <c r="J55" s="148"/>
      <c r="K55" s="198"/>
      <c r="L55" s="144"/>
      <c r="M55" s="147"/>
      <c r="N55" s="147"/>
      <c r="O55" s="148"/>
      <c r="P55" s="148"/>
    </row>
    <row r="56" spans="1:16" x14ac:dyDescent="0.25">
      <c r="A56" s="158">
        <v>54</v>
      </c>
      <c r="B56" s="157"/>
      <c r="C56" s="146"/>
      <c r="D56" s="146"/>
      <c r="E56" s="143"/>
      <c r="F56" s="143"/>
      <c r="G56" s="143"/>
      <c r="H56" s="143"/>
      <c r="I56" s="143"/>
      <c r="J56" s="143"/>
      <c r="K56" s="288"/>
      <c r="L56" s="143"/>
      <c r="M56" s="143"/>
      <c r="N56" s="143"/>
      <c r="O56" s="143"/>
      <c r="P56" s="143"/>
    </row>
    <row r="57" spans="1:16" x14ac:dyDescent="0.25">
      <c r="A57" s="158">
        <v>55</v>
      </c>
      <c r="B57" s="157"/>
      <c r="C57" s="146"/>
      <c r="D57" s="146"/>
      <c r="E57" s="143"/>
      <c r="F57" s="143"/>
      <c r="G57" s="143"/>
      <c r="H57" s="143"/>
      <c r="I57" s="143"/>
      <c r="J57" s="143"/>
      <c r="K57" s="288"/>
      <c r="L57" s="143"/>
      <c r="M57" s="143"/>
      <c r="N57" s="143"/>
      <c r="O57" s="143"/>
      <c r="P57" s="143"/>
    </row>
  </sheetData>
  <mergeCells count="2">
    <mergeCell ref="A1:P1"/>
    <mergeCell ref="A2:P2"/>
  </mergeCells>
  <pageMargins left="0.7" right="0.7" top="0.75" bottom="0.75" header="0.3" footer="0.3"/>
  <pageSetup paperSize="9" scale="78" orientation="landscape" r:id="rId1"/>
  <rowBreaks count="1" manualBreakCount="1">
    <brk id="31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zoomScaleNormal="100" workbookViewId="0">
      <selection activeCell="B4" sqref="B4:B51"/>
    </sheetView>
  </sheetViews>
  <sheetFormatPr defaultRowHeight="15" x14ac:dyDescent="0.25"/>
  <cols>
    <col min="1" max="1" width="5.85546875" customWidth="1"/>
    <col min="2" max="2" width="25.5703125" customWidth="1"/>
  </cols>
  <sheetData>
    <row r="1" spans="1:11" ht="20.25" x14ac:dyDescent="0.25">
      <c r="A1" s="865" t="s">
        <v>49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</row>
    <row r="2" spans="1:11" ht="18" x14ac:dyDescent="0.25">
      <c r="A2" s="1010" t="s">
        <v>50</v>
      </c>
      <c r="B2" s="1011"/>
      <c r="C2" s="1011"/>
      <c r="D2" s="1011"/>
      <c r="E2" s="1011"/>
      <c r="F2" s="1011"/>
      <c r="G2" s="1011"/>
      <c r="H2" s="1011"/>
      <c r="I2" s="1011"/>
      <c r="J2" s="1011"/>
      <c r="K2" s="1011"/>
    </row>
    <row r="3" spans="1:11" ht="45" x14ac:dyDescent="0.25">
      <c r="A3" s="162" t="s">
        <v>0</v>
      </c>
      <c r="B3" s="168" t="s">
        <v>1</v>
      </c>
      <c r="C3" s="168" t="s">
        <v>2</v>
      </c>
      <c r="D3" s="168" t="s">
        <v>3</v>
      </c>
      <c r="E3" s="165" t="s">
        <v>35</v>
      </c>
      <c r="F3" s="165" t="s">
        <v>36</v>
      </c>
      <c r="G3" s="165" t="s">
        <v>13</v>
      </c>
      <c r="H3" s="166" t="s">
        <v>14</v>
      </c>
      <c r="I3" s="165" t="s">
        <v>14</v>
      </c>
      <c r="J3" s="160"/>
      <c r="K3" s="160"/>
    </row>
    <row r="4" spans="1:11" ht="20.25" x14ac:dyDescent="0.25">
      <c r="A4" s="173">
        <v>1</v>
      </c>
      <c r="B4" s="170"/>
      <c r="C4" s="171"/>
      <c r="D4" s="171"/>
      <c r="E4" s="163">
        <v>74</v>
      </c>
      <c r="F4" s="163">
        <v>71</v>
      </c>
      <c r="G4" s="163">
        <f>AVERAGE(E4:F4)</f>
        <v>72.5</v>
      </c>
      <c r="H4" s="167">
        <f>RANK(G4,$G$4:$G$51)</f>
        <v>34</v>
      </c>
      <c r="I4" s="164"/>
      <c r="J4" s="160"/>
      <c r="K4" s="160"/>
    </row>
    <row r="5" spans="1:11" ht="20.25" x14ac:dyDescent="0.25">
      <c r="A5" s="173">
        <v>2</v>
      </c>
      <c r="B5" s="170"/>
      <c r="C5" s="171"/>
      <c r="D5" s="171"/>
      <c r="E5" s="163">
        <v>89.166666666666671</v>
      </c>
      <c r="F5" s="163">
        <v>87.285714285714292</v>
      </c>
      <c r="G5" s="163">
        <f t="shared" ref="G5:G51" si="0">AVERAGE(E5:F5)</f>
        <v>88.226190476190482</v>
      </c>
      <c r="H5" s="167">
        <f t="shared" ref="H5:H51" si="1">RANK(G5,$G$4:$G$51)</f>
        <v>8</v>
      </c>
      <c r="I5" s="164"/>
      <c r="J5" s="160"/>
      <c r="K5" s="160"/>
    </row>
    <row r="6" spans="1:11" ht="20.25" x14ac:dyDescent="0.25">
      <c r="A6" s="173">
        <v>3</v>
      </c>
      <c r="B6" s="170"/>
      <c r="C6" s="171"/>
      <c r="D6" s="171"/>
      <c r="E6" s="163">
        <v>73.333333333333329</v>
      </c>
      <c r="F6" s="163">
        <v>79</v>
      </c>
      <c r="G6" s="163">
        <f t="shared" si="0"/>
        <v>76.166666666666657</v>
      </c>
      <c r="H6" s="167">
        <f t="shared" si="1"/>
        <v>27</v>
      </c>
      <c r="I6" s="164"/>
      <c r="J6" s="160"/>
      <c r="K6" s="160"/>
    </row>
    <row r="7" spans="1:11" ht="20.25" x14ac:dyDescent="0.25">
      <c r="A7" s="173">
        <v>4</v>
      </c>
      <c r="B7" s="170"/>
      <c r="C7" s="171"/>
      <c r="D7" s="171"/>
      <c r="E7" s="163">
        <v>79.333333333333329</v>
      </c>
      <c r="F7" s="163">
        <v>84.285714285714292</v>
      </c>
      <c r="G7" s="163">
        <f t="shared" si="0"/>
        <v>81.80952380952381</v>
      </c>
      <c r="H7" s="167">
        <f t="shared" si="1"/>
        <v>16</v>
      </c>
      <c r="I7" s="164"/>
      <c r="J7" s="160"/>
      <c r="K7" s="160"/>
    </row>
    <row r="8" spans="1:11" ht="20.25" x14ac:dyDescent="0.25">
      <c r="A8" s="173">
        <v>5</v>
      </c>
      <c r="B8" s="170"/>
      <c r="C8" s="171"/>
      <c r="D8" s="171"/>
      <c r="E8" s="163">
        <v>63.5</v>
      </c>
      <c r="F8" s="163">
        <v>67.714285714285708</v>
      </c>
      <c r="G8" s="163">
        <f t="shared" si="0"/>
        <v>65.607142857142861</v>
      </c>
      <c r="H8" s="167">
        <f t="shared" si="1"/>
        <v>43</v>
      </c>
      <c r="I8" s="164"/>
      <c r="J8" s="161"/>
      <c r="K8" s="161"/>
    </row>
    <row r="9" spans="1:11" ht="20.25" x14ac:dyDescent="0.25">
      <c r="A9" s="173">
        <v>6</v>
      </c>
      <c r="B9" s="170"/>
      <c r="C9" s="171"/>
      <c r="D9" s="171"/>
      <c r="E9" s="163">
        <v>74.833333333333329</v>
      </c>
      <c r="F9" s="163">
        <v>75.428571428571431</v>
      </c>
      <c r="G9" s="163">
        <f t="shared" si="0"/>
        <v>75.13095238095238</v>
      </c>
      <c r="H9" s="167">
        <f t="shared" si="1"/>
        <v>30</v>
      </c>
      <c r="I9" s="164"/>
      <c r="J9" s="161"/>
      <c r="K9" s="161"/>
    </row>
    <row r="10" spans="1:11" ht="20.25" x14ac:dyDescent="0.25">
      <c r="A10" s="173">
        <v>7</v>
      </c>
      <c r="B10" s="170"/>
      <c r="C10" s="171"/>
      <c r="D10" s="171"/>
      <c r="E10" s="163">
        <v>75.666666666666671</v>
      </c>
      <c r="F10" s="163">
        <v>82.571428571428569</v>
      </c>
      <c r="G10" s="163">
        <f t="shared" si="0"/>
        <v>79.11904761904762</v>
      </c>
      <c r="H10" s="167">
        <f t="shared" si="1"/>
        <v>22</v>
      </c>
      <c r="I10" s="164"/>
      <c r="J10" s="161"/>
      <c r="K10" s="161"/>
    </row>
    <row r="11" spans="1:11" ht="20.25" x14ac:dyDescent="0.25">
      <c r="A11" s="173">
        <v>8</v>
      </c>
      <c r="B11" s="170"/>
      <c r="C11" s="171"/>
      <c r="D11" s="171"/>
      <c r="E11" s="163">
        <v>75.833333333333329</v>
      </c>
      <c r="F11" s="163">
        <v>78.857142857142861</v>
      </c>
      <c r="G11" s="163">
        <f t="shared" si="0"/>
        <v>77.345238095238102</v>
      </c>
      <c r="H11" s="167">
        <f t="shared" si="1"/>
        <v>26</v>
      </c>
      <c r="I11" s="164"/>
      <c r="J11" s="161"/>
      <c r="K11" s="161"/>
    </row>
    <row r="12" spans="1:11" ht="20.25" x14ac:dyDescent="0.25">
      <c r="A12" s="173">
        <v>9</v>
      </c>
      <c r="B12" s="170"/>
      <c r="C12" s="171"/>
      <c r="D12" s="171"/>
      <c r="E12" s="163">
        <v>88.666666666666671</v>
      </c>
      <c r="F12" s="163">
        <v>88.142857142857139</v>
      </c>
      <c r="G12" s="163">
        <f t="shared" si="0"/>
        <v>88.404761904761898</v>
      </c>
      <c r="H12" s="167">
        <f t="shared" si="1"/>
        <v>7</v>
      </c>
      <c r="I12" s="164"/>
      <c r="J12" s="161"/>
      <c r="K12" s="161"/>
    </row>
    <row r="13" spans="1:11" ht="20.25" x14ac:dyDescent="0.25">
      <c r="A13" s="173">
        <v>10</v>
      </c>
      <c r="B13" s="170"/>
      <c r="C13" s="171"/>
      <c r="D13" s="171"/>
      <c r="E13" s="163">
        <v>82.5</v>
      </c>
      <c r="F13" s="163">
        <v>88.714285714285708</v>
      </c>
      <c r="G13" s="163">
        <f t="shared" si="0"/>
        <v>85.607142857142861</v>
      </c>
      <c r="H13" s="167">
        <f t="shared" si="1"/>
        <v>12</v>
      </c>
      <c r="I13" s="164"/>
      <c r="J13" s="161"/>
      <c r="K13" s="161"/>
    </row>
    <row r="14" spans="1:11" ht="20.25" x14ac:dyDescent="0.25">
      <c r="A14" s="173">
        <v>11</v>
      </c>
      <c r="B14" s="170"/>
      <c r="C14" s="171"/>
      <c r="D14" s="171"/>
      <c r="E14" s="163">
        <v>89.333333333333329</v>
      </c>
      <c r="F14" s="163">
        <v>89.142857142857139</v>
      </c>
      <c r="G14" s="163">
        <f t="shared" si="0"/>
        <v>89.238095238095241</v>
      </c>
      <c r="H14" s="167">
        <f t="shared" si="1"/>
        <v>4</v>
      </c>
      <c r="I14" s="164"/>
      <c r="J14" s="161"/>
      <c r="K14" s="161"/>
    </row>
    <row r="15" spans="1:11" ht="20.25" x14ac:dyDescent="0.25">
      <c r="A15" s="173">
        <v>12</v>
      </c>
      <c r="B15" s="170"/>
      <c r="C15" s="171"/>
      <c r="D15" s="171"/>
      <c r="E15" s="163">
        <v>82.833333333333329</v>
      </c>
      <c r="F15" s="163">
        <v>76.857142857142861</v>
      </c>
      <c r="G15" s="163">
        <f t="shared" si="0"/>
        <v>79.845238095238102</v>
      </c>
      <c r="H15" s="167">
        <f t="shared" si="1"/>
        <v>20</v>
      </c>
      <c r="I15" s="164"/>
      <c r="J15" s="161"/>
      <c r="K15" s="161"/>
    </row>
    <row r="16" spans="1:11" ht="20.25" x14ac:dyDescent="0.25">
      <c r="A16" s="173">
        <v>13</v>
      </c>
      <c r="B16" s="170"/>
      <c r="C16" s="171"/>
      <c r="D16" s="171"/>
      <c r="E16" s="163">
        <v>68.666666666666671</v>
      </c>
      <c r="F16" s="163">
        <v>66.714285714285708</v>
      </c>
      <c r="G16" s="163">
        <f t="shared" si="0"/>
        <v>67.69047619047619</v>
      </c>
      <c r="H16" s="167">
        <f t="shared" si="1"/>
        <v>41</v>
      </c>
      <c r="I16" s="164"/>
      <c r="J16" s="161"/>
      <c r="K16" s="161"/>
    </row>
    <row r="17" spans="1:11" ht="20.25" x14ac:dyDescent="0.25">
      <c r="A17" s="173">
        <v>14</v>
      </c>
      <c r="B17" s="170"/>
      <c r="C17" s="171"/>
      <c r="D17" s="171"/>
      <c r="E17" s="163">
        <v>65.833333333333329</v>
      </c>
      <c r="F17" s="163">
        <v>71</v>
      </c>
      <c r="G17" s="163">
        <f t="shared" si="0"/>
        <v>68.416666666666657</v>
      </c>
      <c r="H17" s="167">
        <f t="shared" si="1"/>
        <v>40</v>
      </c>
      <c r="I17" s="164"/>
      <c r="J17" s="161"/>
      <c r="K17" s="161"/>
    </row>
    <row r="18" spans="1:11" ht="20.25" x14ac:dyDescent="0.25">
      <c r="A18" s="173">
        <v>15</v>
      </c>
      <c r="B18" s="170"/>
      <c r="C18" s="171"/>
      <c r="D18" s="171"/>
      <c r="E18" s="163">
        <v>90</v>
      </c>
      <c r="F18" s="163">
        <v>87.857142857142861</v>
      </c>
      <c r="G18" s="163">
        <f t="shared" si="0"/>
        <v>88.928571428571431</v>
      </c>
      <c r="H18" s="167">
        <f t="shared" si="1"/>
        <v>5</v>
      </c>
      <c r="I18" s="164"/>
      <c r="J18" s="161"/>
      <c r="K18" s="161"/>
    </row>
    <row r="19" spans="1:11" ht="20.25" x14ac:dyDescent="0.25">
      <c r="A19" s="173">
        <v>16</v>
      </c>
      <c r="B19" s="170"/>
      <c r="C19" s="171"/>
      <c r="D19" s="171"/>
      <c r="E19" s="163">
        <v>79.833333333333329</v>
      </c>
      <c r="F19" s="163">
        <v>83.714285714285708</v>
      </c>
      <c r="G19" s="163">
        <f t="shared" si="0"/>
        <v>81.773809523809518</v>
      </c>
      <c r="H19" s="167">
        <f t="shared" si="1"/>
        <v>17</v>
      </c>
      <c r="I19" s="164"/>
      <c r="J19" s="161"/>
      <c r="K19" s="161"/>
    </row>
    <row r="20" spans="1:11" ht="20.25" x14ac:dyDescent="0.25">
      <c r="A20" s="173">
        <v>17</v>
      </c>
      <c r="B20" s="170"/>
      <c r="C20" s="171"/>
      <c r="D20" s="171"/>
      <c r="E20" s="163">
        <v>78.333333333333329</v>
      </c>
      <c r="F20" s="163">
        <v>79.571428571428569</v>
      </c>
      <c r="G20" s="163">
        <f t="shared" si="0"/>
        <v>78.952380952380949</v>
      </c>
      <c r="H20" s="167">
        <f t="shared" si="1"/>
        <v>23</v>
      </c>
      <c r="I20" s="164"/>
      <c r="J20" s="161"/>
      <c r="K20" s="161"/>
    </row>
    <row r="21" spans="1:11" ht="20.25" x14ac:dyDescent="0.25">
      <c r="A21" s="173">
        <v>18</v>
      </c>
      <c r="B21" s="170"/>
      <c r="C21" s="171"/>
      <c r="D21" s="171"/>
      <c r="E21" s="163">
        <v>52</v>
      </c>
      <c r="F21" s="163">
        <v>62</v>
      </c>
      <c r="G21" s="163">
        <f t="shared" si="0"/>
        <v>57</v>
      </c>
      <c r="H21" s="167">
        <f t="shared" si="1"/>
        <v>48</v>
      </c>
      <c r="I21" s="164"/>
      <c r="J21" s="160"/>
      <c r="K21" s="160"/>
    </row>
    <row r="22" spans="1:11" ht="20.25" x14ac:dyDescent="0.25">
      <c r="A22" s="173">
        <v>19</v>
      </c>
      <c r="B22" s="170"/>
      <c r="C22" s="172"/>
      <c r="D22" s="172"/>
      <c r="E22" s="163">
        <v>87.5</v>
      </c>
      <c r="F22" s="163">
        <v>90.142857142857139</v>
      </c>
      <c r="G22" s="163">
        <f t="shared" si="0"/>
        <v>88.821428571428569</v>
      </c>
      <c r="H22" s="167">
        <f t="shared" si="1"/>
        <v>6</v>
      </c>
      <c r="I22" s="164"/>
      <c r="J22" s="160"/>
      <c r="K22" s="160"/>
    </row>
    <row r="23" spans="1:11" ht="20.25" x14ac:dyDescent="0.25">
      <c r="A23" s="173">
        <v>20</v>
      </c>
      <c r="B23" s="170"/>
      <c r="C23" s="171"/>
      <c r="D23" s="171"/>
      <c r="E23" s="163">
        <v>67.666666666666671</v>
      </c>
      <c r="F23" s="163">
        <v>73.857142857142861</v>
      </c>
      <c r="G23" s="163">
        <f t="shared" si="0"/>
        <v>70.761904761904759</v>
      </c>
      <c r="H23" s="167">
        <f t="shared" si="1"/>
        <v>37</v>
      </c>
      <c r="I23" s="164"/>
      <c r="J23" s="160"/>
      <c r="K23" s="160"/>
    </row>
    <row r="24" spans="1:11" ht="20.25" x14ac:dyDescent="0.25">
      <c r="A24" s="173">
        <v>21</v>
      </c>
      <c r="B24" s="170"/>
      <c r="C24" s="171"/>
      <c r="D24" s="171"/>
      <c r="E24" s="163">
        <v>83.666666666666671</v>
      </c>
      <c r="F24" s="163">
        <v>84.142857142857139</v>
      </c>
      <c r="G24" s="163">
        <f t="shared" si="0"/>
        <v>83.904761904761898</v>
      </c>
      <c r="H24" s="167">
        <f t="shared" si="1"/>
        <v>14</v>
      </c>
      <c r="I24" s="164"/>
      <c r="J24" s="160"/>
      <c r="K24" s="160"/>
    </row>
    <row r="25" spans="1:11" ht="20.25" x14ac:dyDescent="0.25">
      <c r="A25" s="173">
        <v>22</v>
      </c>
      <c r="B25" s="170"/>
      <c r="C25" s="171"/>
      <c r="D25" s="171"/>
      <c r="E25" s="163">
        <v>68.166666666666671</v>
      </c>
      <c r="F25" s="163">
        <v>75</v>
      </c>
      <c r="G25" s="163">
        <f t="shared" si="0"/>
        <v>71.583333333333343</v>
      </c>
      <c r="H25" s="167">
        <f t="shared" si="1"/>
        <v>36</v>
      </c>
      <c r="I25" s="164"/>
      <c r="J25" s="160"/>
      <c r="K25" s="160"/>
    </row>
    <row r="26" spans="1:11" ht="20.25" x14ac:dyDescent="0.25">
      <c r="A26" s="173">
        <v>23</v>
      </c>
      <c r="B26" s="170"/>
      <c r="C26" s="171"/>
      <c r="D26" s="171"/>
      <c r="E26" s="163">
        <v>69.666666666666671</v>
      </c>
      <c r="F26" s="163">
        <v>79.285714285714292</v>
      </c>
      <c r="G26" s="163">
        <f t="shared" si="0"/>
        <v>74.476190476190482</v>
      </c>
      <c r="H26" s="167">
        <f t="shared" si="1"/>
        <v>31</v>
      </c>
      <c r="I26" s="164"/>
      <c r="J26" s="160"/>
      <c r="K26" s="160"/>
    </row>
    <row r="27" spans="1:11" ht="20.25" x14ac:dyDescent="0.25">
      <c r="A27" s="173">
        <v>24</v>
      </c>
      <c r="B27" s="170"/>
      <c r="C27" s="171"/>
      <c r="D27" s="171"/>
      <c r="E27" s="163">
        <v>76</v>
      </c>
      <c r="F27" s="163">
        <v>76.285714285714292</v>
      </c>
      <c r="G27" s="163">
        <f t="shared" si="0"/>
        <v>76.142857142857139</v>
      </c>
      <c r="H27" s="167">
        <f t="shared" si="1"/>
        <v>28</v>
      </c>
      <c r="I27" s="164"/>
      <c r="J27" s="160"/>
      <c r="K27" s="160"/>
    </row>
    <row r="28" spans="1:11" ht="20.25" x14ac:dyDescent="0.25">
      <c r="A28" s="173">
        <v>25</v>
      </c>
      <c r="B28" s="170"/>
      <c r="C28" s="171"/>
      <c r="D28" s="171"/>
      <c r="E28" s="163">
        <v>94</v>
      </c>
      <c r="F28" s="163">
        <v>94.285714285714292</v>
      </c>
      <c r="G28" s="163">
        <f t="shared" si="0"/>
        <v>94.142857142857139</v>
      </c>
      <c r="H28" s="167">
        <f t="shared" si="1"/>
        <v>1</v>
      </c>
      <c r="I28" s="164"/>
      <c r="J28" s="160"/>
      <c r="K28" s="160"/>
    </row>
    <row r="29" spans="1:11" ht="20.25" x14ac:dyDescent="0.25">
      <c r="A29" s="173">
        <v>26</v>
      </c>
      <c r="B29" s="170"/>
      <c r="C29" s="171"/>
      <c r="D29" s="171"/>
      <c r="E29" s="163">
        <v>92.666666666666671</v>
      </c>
      <c r="F29" s="163">
        <v>94.142857142857139</v>
      </c>
      <c r="G29" s="163">
        <f t="shared" si="0"/>
        <v>93.404761904761898</v>
      </c>
      <c r="H29" s="167">
        <f t="shared" si="1"/>
        <v>2</v>
      </c>
      <c r="I29" s="164"/>
      <c r="J29" s="160"/>
      <c r="K29" s="160"/>
    </row>
    <row r="30" spans="1:11" ht="20.25" x14ac:dyDescent="0.25">
      <c r="A30" s="173">
        <v>27</v>
      </c>
      <c r="B30" s="170"/>
      <c r="C30" s="171"/>
      <c r="D30" s="171"/>
      <c r="E30" s="163">
        <v>68.833333333333329</v>
      </c>
      <c r="F30" s="163">
        <v>76</v>
      </c>
      <c r="G30" s="163">
        <f t="shared" si="0"/>
        <v>72.416666666666657</v>
      </c>
      <c r="H30" s="167">
        <f t="shared" si="1"/>
        <v>35</v>
      </c>
      <c r="I30" s="164"/>
      <c r="J30" s="160"/>
      <c r="K30" s="160"/>
    </row>
    <row r="31" spans="1:11" ht="20.25" x14ac:dyDescent="0.25">
      <c r="A31" s="173">
        <v>28</v>
      </c>
      <c r="B31" s="170"/>
      <c r="C31" s="171"/>
      <c r="D31" s="171"/>
      <c r="E31" s="163">
        <v>85.833333333333329</v>
      </c>
      <c r="F31" s="163">
        <v>90.428571428571431</v>
      </c>
      <c r="G31" s="163">
        <f t="shared" si="0"/>
        <v>88.13095238095238</v>
      </c>
      <c r="H31" s="167">
        <f t="shared" si="1"/>
        <v>9</v>
      </c>
      <c r="I31" s="164"/>
      <c r="J31" s="160"/>
      <c r="K31" s="160"/>
    </row>
    <row r="32" spans="1:11" ht="21" thickBot="1" x14ac:dyDescent="0.3">
      <c r="A32" s="173">
        <v>29</v>
      </c>
      <c r="B32" s="170"/>
      <c r="C32" s="171"/>
      <c r="D32" s="171"/>
      <c r="E32" s="163">
        <v>65</v>
      </c>
      <c r="F32" s="163">
        <v>73.428571428571431</v>
      </c>
      <c r="G32" s="163">
        <f t="shared" si="0"/>
        <v>69.214285714285722</v>
      </c>
      <c r="H32" s="167">
        <f t="shared" si="1"/>
        <v>39</v>
      </c>
      <c r="I32" s="164"/>
      <c r="J32" s="160"/>
      <c r="K32" s="160"/>
    </row>
    <row r="33" spans="1:9" ht="21" thickBot="1" x14ac:dyDescent="0.3">
      <c r="A33" s="174">
        <v>30</v>
      </c>
      <c r="B33" s="304"/>
      <c r="C33" s="171"/>
      <c r="D33" s="171"/>
      <c r="E33" s="163">
        <v>73.333333333333329</v>
      </c>
      <c r="F33" s="163">
        <v>72.571428571428569</v>
      </c>
      <c r="G33" s="163">
        <f t="shared" si="0"/>
        <v>72.952380952380949</v>
      </c>
      <c r="H33" s="167">
        <f t="shared" si="1"/>
        <v>33</v>
      </c>
      <c r="I33" s="164"/>
    </row>
    <row r="34" spans="1:9" ht="21" thickBot="1" x14ac:dyDescent="0.3">
      <c r="A34" s="173">
        <v>31</v>
      </c>
      <c r="B34" s="298"/>
      <c r="C34" s="169"/>
      <c r="D34" s="169"/>
      <c r="E34" s="163">
        <v>88</v>
      </c>
      <c r="F34" s="163">
        <v>91.142857142857139</v>
      </c>
      <c r="G34" s="163">
        <f t="shared" si="0"/>
        <v>89.571428571428569</v>
      </c>
      <c r="H34" s="167">
        <f t="shared" si="1"/>
        <v>3</v>
      </c>
      <c r="I34" s="164"/>
    </row>
    <row r="35" spans="1:9" ht="21" thickBot="1" x14ac:dyDescent="0.3">
      <c r="A35" s="174">
        <v>32</v>
      </c>
      <c r="B35" s="298"/>
      <c r="C35" s="169"/>
      <c r="D35" s="169"/>
      <c r="E35" s="163">
        <v>83.666666666666671</v>
      </c>
      <c r="F35" s="163">
        <v>76.285714285714292</v>
      </c>
      <c r="G35" s="163">
        <f t="shared" si="0"/>
        <v>79.976190476190482</v>
      </c>
      <c r="H35" s="167">
        <f t="shared" si="1"/>
        <v>19</v>
      </c>
      <c r="I35" s="164"/>
    </row>
    <row r="36" spans="1:9" ht="21" thickBot="1" x14ac:dyDescent="0.3">
      <c r="A36" s="173">
        <v>33</v>
      </c>
      <c r="B36" s="298"/>
      <c r="C36" s="169"/>
      <c r="D36" s="169"/>
      <c r="E36" s="163">
        <v>88</v>
      </c>
      <c r="F36" s="163">
        <v>85.142857142857139</v>
      </c>
      <c r="G36" s="163">
        <f t="shared" si="0"/>
        <v>86.571428571428569</v>
      </c>
      <c r="H36" s="167">
        <f t="shared" si="1"/>
        <v>10</v>
      </c>
      <c r="I36" s="164"/>
    </row>
    <row r="37" spans="1:9" ht="21" thickBot="1" x14ac:dyDescent="0.3">
      <c r="A37" s="174">
        <v>34</v>
      </c>
      <c r="B37" s="298"/>
      <c r="C37" s="169"/>
      <c r="D37" s="169"/>
      <c r="E37" s="163">
        <v>66.333333333333329</v>
      </c>
      <c r="F37" s="163">
        <v>66.142857142857139</v>
      </c>
      <c r="G37" s="163">
        <f t="shared" si="0"/>
        <v>66.238095238095241</v>
      </c>
      <c r="H37" s="167">
        <f t="shared" si="1"/>
        <v>42</v>
      </c>
      <c r="I37" s="164"/>
    </row>
    <row r="38" spans="1:9" ht="21" thickBot="1" x14ac:dyDescent="0.3">
      <c r="A38" s="173">
        <v>35</v>
      </c>
      <c r="B38" s="298"/>
      <c r="C38" s="169"/>
      <c r="D38" s="169"/>
      <c r="E38" s="163">
        <v>82.833333333333329</v>
      </c>
      <c r="F38" s="163">
        <v>84.428571428571431</v>
      </c>
      <c r="G38" s="163">
        <f t="shared" si="0"/>
        <v>83.63095238095238</v>
      </c>
      <c r="H38" s="167">
        <f t="shared" si="1"/>
        <v>15</v>
      </c>
      <c r="I38" s="164"/>
    </row>
    <row r="39" spans="1:9" ht="21" thickBot="1" x14ac:dyDescent="0.3">
      <c r="A39" s="174">
        <v>36</v>
      </c>
      <c r="B39" s="298"/>
      <c r="C39" s="169"/>
      <c r="D39" s="169"/>
      <c r="E39" s="163">
        <v>73.333333333333329</v>
      </c>
      <c r="F39" s="163">
        <v>75.285714285714292</v>
      </c>
      <c r="G39" s="163">
        <f t="shared" si="0"/>
        <v>74.30952380952381</v>
      </c>
      <c r="H39" s="167">
        <f t="shared" si="1"/>
        <v>32</v>
      </c>
      <c r="I39" s="164"/>
    </row>
    <row r="40" spans="1:9" ht="21" thickBot="1" x14ac:dyDescent="0.3">
      <c r="A40" s="173">
        <v>37</v>
      </c>
      <c r="B40" s="298"/>
      <c r="C40" s="169"/>
      <c r="D40" s="169"/>
      <c r="E40" s="163">
        <v>61.5</v>
      </c>
      <c r="F40" s="163">
        <v>62.571428571428569</v>
      </c>
      <c r="G40" s="163">
        <f t="shared" si="0"/>
        <v>62.035714285714285</v>
      </c>
      <c r="H40" s="167">
        <f t="shared" si="1"/>
        <v>46</v>
      </c>
      <c r="I40" s="164"/>
    </row>
    <row r="41" spans="1:9" ht="21" thickBot="1" x14ac:dyDescent="0.3">
      <c r="A41" s="174">
        <v>38</v>
      </c>
      <c r="B41" s="298"/>
      <c r="C41" s="169"/>
      <c r="D41" s="169"/>
      <c r="E41" s="163">
        <v>63</v>
      </c>
      <c r="F41" s="163">
        <v>67.714285714285708</v>
      </c>
      <c r="G41" s="163">
        <f t="shared" si="0"/>
        <v>65.357142857142861</v>
      </c>
      <c r="H41" s="167">
        <f t="shared" si="1"/>
        <v>44</v>
      </c>
      <c r="I41" s="164"/>
    </row>
    <row r="42" spans="1:9" ht="21" thickBot="1" x14ac:dyDescent="0.3">
      <c r="A42" s="173">
        <v>39</v>
      </c>
      <c r="B42" s="298"/>
      <c r="C42" s="169"/>
      <c r="D42" s="169"/>
      <c r="E42" s="163">
        <v>59.666666666666664</v>
      </c>
      <c r="F42" s="163">
        <v>66.428571428571431</v>
      </c>
      <c r="G42" s="163">
        <f t="shared" si="0"/>
        <v>63.047619047619051</v>
      </c>
      <c r="H42" s="167">
        <f t="shared" si="1"/>
        <v>45</v>
      </c>
      <c r="I42" s="164"/>
    </row>
    <row r="43" spans="1:9" ht="21" thickBot="1" x14ac:dyDescent="0.3">
      <c r="A43" s="174">
        <v>40</v>
      </c>
      <c r="B43" s="298"/>
      <c r="C43" s="169"/>
      <c r="D43" s="169"/>
      <c r="E43" s="163">
        <v>79.166666666666671</v>
      </c>
      <c r="F43" s="163">
        <v>79.857142857142861</v>
      </c>
      <c r="G43" s="163">
        <f t="shared" si="0"/>
        <v>79.511904761904759</v>
      </c>
      <c r="H43" s="167">
        <f t="shared" si="1"/>
        <v>21</v>
      </c>
      <c r="I43" s="164"/>
    </row>
    <row r="44" spans="1:9" ht="21" thickBot="1" x14ac:dyDescent="0.3">
      <c r="A44" s="173">
        <v>41</v>
      </c>
      <c r="B44" s="298"/>
      <c r="C44" s="169"/>
      <c r="D44" s="169"/>
      <c r="E44" s="163">
        <v>73.5</v>
      </c>
      <c r="F44" s="163">
        <v>78.285714285714292</v>
      </c>
      <c r="G44" s="163">
        <f t="shared" si="0"/>
        <v>75.892857142857139</v>
      </c>
      <c r="H44" s="167">
        <f t="shared" si="1"/>
        <v>29</v>
      </c>
      <c r="I44" s="164"/>
    </row>
    <row r="45" spans="1:9" ht="21" thickBot="1" x14ac:dyDescent="0.3">
      <c r="A45" s="174">
        <v>42</v>
      </c>
      <c r="B45" s="298"/>
      <c r="C45" s="169"/>
      <c r="D45" s="169"/>
      <c r="E45" s="163">
        <v>81.166666666666671</v>
      </c>
      <c r="F45" s="163">
        <v>87</v>
      </c>
      <c r="G45" s="163">
        <f t="shared" si="0"/>
        <v>84.083333333333343</v>
      </c>
      <c r="H45" s="167">
        <f t="shared" si="1"/>
        <v>13</v>
      </c>
      <c r="I45" s="164"/>
    </row>
    <row r="46" spans="1:9" ht="21" thickBot="1" x14ac:dyDescent="0.3">
      <c r="A46" s="173">
        <v>43</v>
      </c>
      <c r="B46" s="298"/>
      <c r="C46" s="169"/>
      <c r="D46" s="169"/>
      <c r="E46" s="163">
        <v>58.333333333333336</v>
      </c>
      <c r="F46" s="163">
        <v>64.428571428571431</v>
      </c>
      <c r="G46" s="163">
        <f t="shared" si="0"/>
        <v>61.38095238095238</v>
      </c>
      <c r="H46" s="167">
        <f t="shared" si="1"/>
        <v>47</v>
      </c>
      <c r="I46" s="164"/>
    </row>
    <row r="47" spans="1:9" ht="21" thickBot="1" x14ac:dyDescent="0.3">
      <c r="A47" s="174">
        <v>44</v>
      </c>
      <c r="B47" s="298"/>
      <c r="C47" s="169"/>
      <c r="D47" s="169"/>
      <c r="E47" s="163">
        <v>77.5</v>
      </c>
      <c r="F47" s="163">
        <v>79</v>
      </c>
      <c r="G47" s="163">
        <f t="shared" si="0"/>
        <v>78.25</v>
      </c>
      <c r="H47" s="167">
        <f t="shared" si="1"/>
        <v>24</v>
      </c>
      <c r="I47" s="164"/>
    </row>
    <row r="48" spans="1:9" ht="21" thickBot="1" x14ac:dyDescent="0.3">
      <c r="A48" s="173">
        <v>45</v>
      </c>
      <c r="B48" s="298"/>
      <c r="C48" s="169"/>
      <c r="D48" s="169"/>
      <c r="E48" s="163">
        <v>71</v>
      </c>
      <c r="F48" s="163">
        <v>68</v>
      </c>
      <c r="G48" s="163">
        <f t="shared" si="0"/>
        <v>69.5</v>
      </c>
      <c r="H48" s="167">
        <f t="shared" si="1"/>
        <v>38</v>
      </c>
      <c r="I48" s="164"/>
    </row>
    <row r="49" spans="1:9" ht="21" thickBot="1" x14ac:dyDescent="0.3">
      <c r="A49" s="174">
        <v>46</v>
      </c>
      <c r="B49" s="298"/>
      <c r="C49" s="169"/>
      <c r="D49" s="169"/>
      <c r="E49" s="163">
        <v>78.5</v>
      </c>
      <c r="F49" s="163">
        <v>82.142857142857139</v>
      </c>
      <c r="G49" s="163">
        <f t="shared" si="0"/>
        <v>80.321428571428569</v>
      </c>
      <c r="H49" s="167">
        <f t="shared" si="1"/>
        <v>18</v>
      </c>
      <c r="I49" s="164"/>
    </row>
    <row r="50" spans="1:9" ht="21" thickBot="1" x14ac:dyDescent="0.3">
      <c r="A50" s="173">
        <v>47</v>
      </c>
      <c r="B50" s="298"/>
      <c r="C50" s="169"/>
      <c r="D50" s="169"/>
      <c r="E50" s="163">
        <v>76</v>
      </c>
      <c r="F50" s="163">
        <v>79.142857142857139</v>
      </c>
      <c r="G50" s="163">
        <f t="shared" si="0"/>
        <v>77.571428571428569</v>
      </c>
      <c r="H50" s="167">
        <f t="shared" si="1"/>
        <v>25</v>
      </c>
      <c r="I50" s="164"/>
    </row>
    <row r="51" spans="1:9" ht="21" thickBot="1" x14ac:dyDescent="0.3">
      <c r="A51" s="174">
        <v>48</v>
      </c>
      <c r="B51" s="298"/>
      <c r="C51" s="169"/>
      <c r="D51" s="169"/>
      <c r="E51" s="163">
        <v>85.833333333333329</v>
      </c>
      <c r="F51" s="163">
        <v>85.428571428571431</v>
      </c>
      <c r="G51" s="163">
        <f t="shared" si="0"/>
        <v>85.63095238095238</v>
      </c>
      <c r="H51" s="167">
        <f t="shared" si="1"/>
        <v>11</v>
      </c>
      <c r="I51" s="164"/>
    </row>
  </sheetData>
  <mergeCells count="2">
    <mergeCell ref="A1:K1"/>
    <mergeCell ref="A2:K2"/>
  </mergeCells>
  <pageMargins left="0.7" right="0.7" top="0.75" bottom="0.75" header="0.3" footer="0.3"/>
  <pageSetup paperSize="9" scale="6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4"/>
  <sheetViews>
    <sheetView workbookViewId="0">
      <selection activeCell="B6" sqref="B6:B152"/>
    </sheetView>
  </sheetViews>
  <sheetFormatPr defaultRowHeight="15" x14ac:dyDescent="0.25"/>
  <cols>
    <col min="1" max="1" width="6.140625" customWidth="1"/>
    <col min="2" max="2" width="28.5703125" customWidth="1"/>
    <col min="3" max="3" width="5.28515625" customWidth="1"/>
    <col min="4" max="4" width="5.140625" customWidth="1"/>
    <col min="5" max="5" width="13.28515625" customWidth="1"/>
  </cols>
  <sheetData>
    <row r="1" spans="1:18" ht="20.25" x14ac:dyDescent="0.25">
      <c r="A1" s="861" t="s">
        <v>52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3"/>
    </row>
    <row r="2" spans="1:18" ht="20.25" x14ac:dyDescent="0.25">
      <c r="A2" s="176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202"/>
      <c r="O2" s="177"/>
      <c r="P2" s="177"/>
      <c r="Q2" s="185"/>
      <c r="R2" s="186"/>
    </row>
    <row r="3" spans="1:18" x14ac:dyDescent="0.25">
      <c r="A3" s="864" t="s">
        <v>51</v>
      </c>
      <c r="B3" s="864"/>
      <c r="C3" s="864"/>
      <c r="D3" s="864"/>
      <c r="E3" s="864"/>
      <c r="F3" s="864"/>
      <c r="G3" s="864"/>
      <c r="H3" s="864"/>
      <c r="I3" s="864"/>
      <c r="J3" s="864"/>
      <c r="K3" s="864"/>
      <c r="L3" s="864"/>
      <c r="M3" s="864"/>
      <c r="N3" s="864"/>
      <c r="O3" s="864"/>
      <c r="P3" s="864"/>
      <c r="Q3" s="864"/>
      <c r="R3" s="864"/>
    </row>
    <row r="4" spans="1:18" ht="15.75" thickBot="1" x14ac:dyDescent="0.3">
      <c r="A4" s="178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203"/>
      <c r="O4" s="178"/>
      <c r="P4" s="178"/>
      <c r="Q4" s="178"/>
      <c r="R4" s="178"/>
    </row>
    <row r="5" spans="1:18" ht="51.75" thickBot="1" x14ac:dyDescent="0.3">
      <c r="A5" s="194" t="s">
        <v>0</v>
      </c>
      <c r="B5" s="194" t="s">
        <v>1</v>
      </c>
      <c r="C5" s="195" t="s">
        <v>2</v>
      </c>
      <c r="D5" s="195" t="s">
        <v>3</v>
      </c>
      <c r="E5" s="181" t="s">
        <v>4</v>
      </c>
      <c r="F5" s="181" t="s">
        <v>5</v>
      </c>
      <c r="G5" s="181" t="s">
        <v>6</v>
      </c>
      <c r="H5" s="181" t="s">
        <v>7</v>
      </c>
      <c r="I5" s="181" t="s">
        <v>8</v>
      </c>
      <c r="J5" s="181" t="s">
        <v>9</v>
      </c>
      <c r="K5" s="805" t="s">
        <v>11</v>
      </c>
      <c r="L5" s="807" t="s">
        <v>10</v>
      </c>
      <c r="M5" s="806" t="s">
        <v>12</v>
      </c>
      <c r="N5" s="204" t="s">
        <v>13</v>
      </c>
      <c r="O5" s="181" t="s">
        <v>14</v>
      </c>
      <c r="P5" s="181" t="s">
        <v>15</v>
      </c>
      <c r="Q5" s="196" t="s">
        <v>16</v>
      </c>
      <c r="R5" s="175"/>
    </row>
    <row r="6" spans="1:18" ht="15.75" thickBot="1" x14ac:dyDescent="0.3">
      <c r="A6" s="1016">
        <v>1</v>
      </c>
      <c r="B6" s="1012"/>
      <c r="C6" s="971"/>
      <c r="D6" s="974"/>
      <c r="E6" s="263" t="s">
        <v>18</v>
      </c>
      <c r="F6" s="291">
        <v>95</v>
      </c>
      <c r="G6" s="291">
        <v>98</v>
      </c>
      <c r="H6" s="291">
        <v>98</v>
      </c>
      <c r="I6" s="291">
        <v>100</v>
      </c>
      <c r="J6" s="291">
        <v>99</v>
      </c>
      <c r="K6" s="291">
        <v>100</v>
      </c>
      <c r="L6" s="291">
        <v>95</v>
      </c>
      <c r="M6" s="291">
        <v>685</v>
      </c>
      <c r="N6" s="210">
        <f>AVERAGE(F6:L6)</f>
        <v>97.857142857142861</v>
      </c>
      <c r="O6" s="291">
        <v>1</v>
      </c>
      <c r="P6" s="189"/>
      <c r="Q6" s="190"/>
      <c r="R6" s="211"/>
    </row>
    <row r="7" spans="1:18" ht="15.75" thickBot="1" x14ac:dyDescent="0.3">
      <c r="A7" s="1016"/>
      <c r="B7" s="1013"/>
      <c r="C7" s="972"/>
      <c r="D7" s="975"/>
      <c r="E7" s="263" t="s">
        <v>19</v>
      </c>
      <c r="F7" s="267">
        <v>98</v>
      </c>
      <c r="G7" s="267">
        <v>94</v>
      </c>
      <c r="H7" s="267">
        <v>100</v>
      </c>
      <c r="I7" s="267">
        <v>100</v>
      </c>
      <c r="J7" s="267">
        <v>99</v>
      </c>
      <c r="K7" s="267">
        <v>100</v>
      </c>
      <c r="L7" s="808">
        <v>100</v>
      </c>
      <c r="M7" s="291">
        <f>SUM(F7:L7)</f>
        <v>691</v>
      </c>
      <c r="N7" s="210">
        <f t="shared" ref="N7:N70" si="0">AVERAGE(F7:L7)</f>
        <v>98.714285714285708</v>
      </c>
      <c r="O7" s="291"/>
      <c r="P7" s="188"/>
      <c r="Q7" s="191"/>
      <c r="R7" s="211"/>
    </row>
    <row r="8" spans="1:18" ht="15.75" thickBot="1" x14ac:dyDescent="0.3">
      <c r="A8" s="1016"/>
      <c r="B8" s="1014"/>
      <c r="C8" s="973"/>
      <c r="D8" s="976"/>
      <c r="E8" s="263" t="s">
        <v>13</v>
      </c>
      <c r="F8" s="291">
        <f>AVERAGE(F6:F7)</f>
        <v>96.5</v>
      </c>
      <c r="G8" s="291">
        <f t="shared" ref="G8:N8" si="1">AVERAGE(G6:G7)</f>
        <v>96</v>
      </c>
      <c r="H8" s="291">
        <f t="shared" si="1"/>
        <v>99</v>
      </c>
      <c r="I8" s="291">
        <f t="shared" si="1"/>
        <v>100</v>
      </c>
      <c r="J8" s="291">
        <f t="shared" si="1"/>
        <v>99</v>
      </c>
      <c r="K8" s="291">
        <f t="shared" si="1"/>
        <v>100</v>
      </c>
      <c r="L8" s="291">
        <f t="shared" si="1"/>
        <v>97.5</v>
      </c>
      <c r="M8" s="291">
        <f t="shared" si="1"/>
        <v>688</v>
      </c>
      <c r="N8" s="291">
        <f t="shared" si="1"/>
        <v>98.285714285714278</v>
      </c>
      <c r="O8" s="291"/>
      <c r="P8" s="291"/>
      <c r="Q8" s="291"/>
      <c r="R8" s="211"/>
    </row>
    <row r="9" spans="1:18" ht="15.75" thickBot="1" x14ac:dyDescent="0.3">
      <c r="A9" s="899">
        <v>2</v>
      </c>
      <c r="B9" s="1012"/>
      <c r="C9" s="875"/>
      <c r="D9" s="1015"/>
      <c r="E9" s="182" t="s">
        <v>18</v>
      </c>
      <c r="F9" s="183">
        <v>84</v>
      </c>
      <c r="G9" s="183">
        <v>56</v>
      </c>
      <c r="H9" s="183">
        <v>71</v>
      </c>
      <c r="I9" s="183">
        <v>71</v>
      </c>
      <c r="J9" s="183">
        <v>74</v>
      </c>
      <c r="K9" s="183">
        <v>88</v>
      </c>
      <c r="L9" s="183">
        <v>95</v>
      </c>
      <c r="M9" s="183">
        <v>539</v>
      </c>
      <c r="N9" s="210">
        <f t="shared" si="0"/>
        <v>77</v>
      </c>
      <c r="O9" s="183">
        <v>27</v>
      </c>
      <c r="P9" s="192"/>
      <c r="Q9" s="192"/>
      <c r="R9" s="175"/>
    </row>
    <row r="10" spans="1:18" ht="15.75" thickBot="1" x14ac:dyDescent="0.3">
      <c r="A10" s="899"/>
      <c r="B10" s="1013"/>
      <c r="C10" s="875"/>
      <c r="D10" s="1015"/>
      <c r="E10" s="182" t="s">
        <v>19</v>
      </c>
      <c r="F10" s="183">
        <v>90</v>
      </c>
      <c r="G10" s="183">
        <v>56</v>
      </c>
      <c r="H10" s="183">
        <v>86</v>
      </c>
      <c r="I10" s="183">
        <v>79</v>
      </c>
      <c r="J10" s="183">
        <v>84</v>
      </c>
      <c r="K10" s="183">
        <v>90</v>
      </c>
      <c r="L10" s="809">
        <v>97</v>
      </c>
      <c r="M10" s="183">
        <f>SUM(F10:L10)</f>
        <v>582</v>
      </c>
      <c r="N10" s="210">
        <f t="shared" si="0"/>
        <v>83.142857142857139</v>
      </c>
      <c r="O10" s="183"/>
      <c r="P10" s="192"/>
      <c r="Q10" s="192"/>
      <c r="R10" s="175"/>
    </row>
    <row r="11" spans="1:18" ht="15.75" thickBot="1" x14ac:dyDescent="0.3">
      <c r="A11" s="899"/>
      <c r="B11" s="1014"/>
      <c r="C11" s="875"/>
      <c r="D11" s="1015"/>
      <c r="E11" s="182" t="s">
        <v>13</v>
      </c>
      <c r="F11" s="183">
        <f>AVERAGE(F9:F10)</f>
        <v>87</v>
      </c>
      <c r="G11" s="291">
        <f t="shared" ref="G11:N11" si="2">AVERAGE(G9:G10)</f>
        <v>56</v>
      </c>
      <c r="H11" s="291">
        <f t="shared" si="2"/>
        <v>78.5</v>
      </c>
      <c r="I11" s="291">
        <f t="shared" si="2"/>
        <v>75</v>
      </c>
      <c r="J11" s="291">
        <f t="shared" si="2"/>
        <v>79</v>
      </c>
      <c r="K11" s="291">
        <f t="shared" si="2"/>
        <v>89</v>
      </c>
      <c r="L11" s="291">
        <f t="shared" si="2"/>
        <v>96</v>
      </c>
      <c r="M11" s="291">
        <f t="shared" si="2"/>
        <v>560.5</v>
      </c>
      <c r="N11" s="291">
        <f t="shared" si="2"/>
        <v>80.071428571428569</v>
      </c>
      <c r="O11" s="183"/>
      <c r="P11" s="183"/>
      <c r="Q11" s="183"/>
      <c r="R11" s="175"/>
    </row>
    <row r="12" spans="1:18" ht="15.75" customHeight="1" thickBot="1" x14ac:dyDescent="0.3">
      <c r="A12" s="870">
        <v>3</v>
      </c>
      <c r="B12" s="1012"/>
      <c r="C12" s="875"/>
      <c r="D12" s="1015"/>
      <c r="E12" s="182" t="s">
        <v>18</v>
      </c>
      <c r="F12" s="183">
        <v>71</v>
      </c>
      <c r="G12" s="183">
        <v>50</v>
      </c>
      <c r="H12" s="183">
        <v>62</v>
      </c>
      <c r="I12" s="183">
        <v>60</v>
      </c>
      <c r="J12" s="183">
        <v>64</v>
      </c>
      <c r="K12" s="183">
        <v>87</v>
      </c>
      <c r="L12" s="183">
        <v>95</v>
      </c>
      <c r="M12" s="183">
        <v>489</v>
      </c>
      <c r="N12" s="210">
        <f t="shared" si="0"/>
        <v>69.857142857142861</v>
      </c>
      <c r="O12" s="183">
        <v>42</v>
      </c>
      <c r="P12" s="192"/>
      <c r="Q12" s="192"/>
      <c r="R12" s="175"/>
    </row>
    <row r="13" spans="1:18" ht="15.75" customHeight="1" thickBot="1" x14ac:dyDescent="0.3">
      <c r="A13" s="870"/>
      <c r="B13" s="1013"/>
      <c r="C13" s="875"/>
      <c r="D13" s="1015"/>
      <c r="E13" s="182" t="s">
        <v>19</v>
      </c>
      <c r="F13" s="183">
        <v>80</v>
      </c>
      <c r="G13" s="183">
        <v>50</v>
      </c>
      <c r="H13" s="183">
        <v>78</v>
      </c>
      <c r="I13" s="183">
        <v>70</v>
      </c>
      <c r="J13" s="183">
        <v>74</v>
      </c>
      <c r="K13" s="183">
        <v>88</v>
      </c>
      <c r="L13" s="809">
        <v>96</v>
      </c>
      <c r="M13" s="183">
        <f>SUM(F13:L13)</f>
        <v>536</v>
      </c>
      <c r="N13" s="210">
        <f t="shared" si="0"/>
        <v>76.571428571428569</v>
      </c>
      <c r="O13" s="183"/>
      <c r="P13" s="192"/>
      <c r="Q13" s="192"/>
      <c r="R13" s="175"/>
    </row>
    <row r="14" spans="1:18" ht="15.75" customHeight="1" thickBot="1" x14ac:dyDescent="0.3">
      <c r="A14" s="870"/>
      <c r="B14" s="1014"/>
      <c r="C14" s="875"/>
      <c r="D14" s="1015"/>
      <c r="E14" s="182" t="s">
        <v>13</v>
      </c>
      <c r="F14" s="183">
        <f>AVERAGE(F12:F13)</f>
        <v>75.5</v>
      </c>
      <c r="G14" s="291">
        <f t="shared" ref="G14:N14" si="3">AVERAGE(G12:G13)</f>
        <v>50</v>
      </c>
      <c r="H14" s="291">
        <f t="shared" si="3"/>
        <v>70</v>
      </c>
      <c r="I14" s="291">
        <f t="shared" si="3"/>
        <v>65</v>
      </c>
      <c r="J14" s="291">
        <f t="shared" si="3"/>
        <v>69</v>
      </c>
      <c r="K14" s="291">
        <f t="shared" si="3"/>
        <v>87.5</v>
      </c>
      <c r="L14" s="291">
        <f t="shared" si="3"/>
        <v>95.5</v>
      </c>
      <c r="M14" s="291">
        <f t="shared" si="3"/>
        <v>512.5</v>
      </c>
      <c r="N14" s="291">
        <f t="shared" si="3"/>
        <v>73.214285714285722</v>
      </c>
      <c r="O14" s="183"/>
      <c r="P14" s="183"/>
      <c r="Q14" s="183"/>
      <c r="R14" s="175"/>
    </row>
    <row r="15" spans="1:18" ht="15.75" thickBot="1" x14ac:dyDescent="0.3">
      <c r="A15" s="1016">
        <v>4</v>
      </c>
      <c r="B15" s="1012"/>
      <c r="C15" s="1027"/>
      <c r="D15" s="1028"/>
      <c r="E15" s="182" t="s">
        <v>18</v>
      </c>
      <c r="F15" s="183">
        <v>91</v>
      </c>
      <c r="G15" s="183">
        <v>85</v>
      </c>
      <c r="H15" s="183">
        <v>94</v>
      </c>
      <c r="I15" s="183">
        <v>82</v>
      </c>
      <c r="J15" s="183">
        <v>85</v>
      </c>
      <c r="K15" s="183">
        <v>100</v>
      </c>
      <c r="L15" s="183">
        <v>95</v>
      </c>
      <c r="M15" s="183">
        <v>632</v>
      </c>
      <c r="N15" s="210">
        <f t="shared" si="0"/>
        <v>90.285714285714292</v>
      </c>
      <c r="O15" s="183">
        <v>8</v>
      </c>
      <c r="P15" s="192"/>
      <c r="Q15" s="192"/>
      <c r="R15" s="175"/>
    </row>
    <row r="16" spans="1:18" ht="15.75" thickBot="1" x14ac:dyDescent="0.3">
      <c r="A16" s="1016"/>
      <c r="B16" s="1013"/>
      <c r="C16" s="1027"/>
      <c r="D16" s="1028"/>
      <c r="E16" s="182" t="s">
        <v>19</v>
      </c>
      <c r="F16" s="183">
        <v>84</v>
      </c>
      <c r="G16" s="183">
        <v>80</v>
      </c>
      <c r="H16" s="183">
        <v>98</v>
      </c>
      <c r="I16" s="183">
        <v>92</v>
      </c>
      <c r="J16" s="183">
        <v>95</v>
      </c>
      <c r="K16" s="183">
        <v>97</v>
      </c>
      <c r="L16" s="809">
        <v>100</v>
      </c>
      <c r="M16" s="183">
        <f>SUM(F16:L16)</f>
        <v>646</v>
      </c>
      <c r="N16" s="210">
        <f t="shared" si="0"/>
        <v>92.285714285714292</v>
      </c>
      <c r="O16" s="183"/>
      <c r="P16" s="192"/>
      <c r="Q16" s="192"/>
      <c r="R16" s="175"/>
    </row>
    <row r="17" spans="1:18" ht="15.75" thickBot="1" x14ac:dyDescent="0.3">
      <c r="A17" s="1016"/>
      <c r="B17" s="1014"/>
      <c r="C17" s="1027"/>
      <c r="D17" s="1028"/>
      <c r="E17" s="182" t="s">
        <v>13</v>
      </c>
      <c r="F17" s="183">
        <f>AVERAGE(F15:F16)</f>
        <v>87.5</v>
      </c>
      <c r="G17" s="291">
        <f t="shared" ref="G17:N17" si="4">AVERAGE(G15:G16)</f>
        <v>82.5</v>
      </c>
      <c r="H17" s="291">
        <f t="shared" si="4"/>
        <v>96</v>
      </c>
      <c r="I17" s="291">
        <f t="shared" si="4"/>
        <v>87</v>
      </c>
      <c r="J17" s="291">
        <f t="shared" si="4"/>
        <v>90</v>
      </c>
      <c r="K17" s="291">
        <f t="shared" si="4"/>
        <v>98.5</v>
      </c>
      <c r="L17" s="291">
        <f t="shared" si="4"/>
        <v>97.5</v>
      </c>
      <c r="M17" s="291">
        <f t="shared" si="4"/>
        <v>639</v>
      </c>
      <c r="N17" s="291">
        <f t="shared" si="4"/>
        <v>91.285714285714292</v>
      </c>
      <c r="O17" s="183"/>
      <c r="P17" s="183"/>
      <c r="Q17" s="183"/>
      <c r="R17" s="175"/>
    </row>
    <row r="18" spans="1:18" ht="15.75" thickBot="1" x14ac:dyDescent="0.3">
      <c r="A18" s="899">
        <v>5</v>
      </c>
      <c r="B18" s="1012"/>
      <c r="C18" s="875"/>
      <c r="D18" s="1015"/>
      <c r="E18" s="182" t="s">
        <v>18</v>
      </c>
      <c r="F18" s="183">
        <v>78</v>
      </c>
      <c r="G18" s="183">
        <v>58</v>
      </c>
      <c r="H18" s="183">
        <v>66</v>
      </c>
      <c r="I18" s="183">
        <v>71</v>
      </c>
      <c r="J18" s="183">
        <v>63</v>
      </c>
      <c r="K18" s="183">
        <v>89</v>
      </c>
      <c r="L18" s="183">
        <v>95</v>
      </c>
      <c r="M18" s="183">
        <v>520</v>
      </c>
      <c r="N18" s="210">
        <f t="shared" si="0"/>
        <v>74.285714285714292</v>
      </c>
      <c r="O18" s="183">
        <v>33</v>
      </c>
      <c r="P18" s="192"/>
      <c r="Q18" s="192"/>
      <c r="R18" s="175"/>
    </row>
    <row r="19" spans="1:18" ht="15.75" thickBot="1" x14ac:dyDescent="0.3">
      <c r="A19" s="899"/>
      <c r="B19" s="1013"/>
      <c r="C19" s="875"/>
      <c r="D19" s="1015"/>
      <c r="E19" s="182" t="s">
        <v>19</v>
      </c>
      <c r="F19" s="183">
        <v>81</v>
      </c>
      <c r="G19" s="183">
        <v>70</v>
      </c>
      <c r="H19" s="183">
        <v>80</v>
      </c>
      <c r="I19" s="183">
        <v>79</v>
      </c>
      <c r="J19" s="183">
        <v>79</v>
      </c>
      <c r="K19" s="183">
        <v>90</v>
      </c>
      <c r="L19" s="809">
        <v>97</v>
      </c>
      <c r="M19" s="183">
        <f>SUM(F19:L19)</f>
        <v>576</v>
      </c>
      <c r="N19" s="210">
        <f t="shared" si="0"/>
        <v>82.285714285714292</v>
      </c>
      <c r="O19" s="183"/>
      <c r="P19" s="192"/>
      <c r="Q19" s="192"/>
      <c r="R19" s="175"/>
    </row>
    <row r="20" spans="1:18" ht="15.75" thickBot="1" x14ac:dyDescent="0.3">
      <c r="A20" s="899"/>
      <c r="B20" s="1014"/>
      <c r="C20" s="875"/>
      <c r="D20" s="1015"/>
      <c r="E20" s="182" t="s">
        <v>13</v>
      </c>
      <c r="F20" s="183">
        <f>AVERAGE(F18:F19)</f>
        <v>79.5</v>
      </c>
      <c r="G20" s="291">
        <f t="shared" ref="G20:N20" si="5">AVERAGE(G18:G19)</f>
        <v>64</v>
      </c>
      <c r="H20" s="291">
        <f t="shared" si="5"/>
        <v>73</v>
      </c>
      <c r="I20" s="291">
        <f t="shared" si="5"/>
        <v>75</v>
      </c>
      <c r="J20" s="291">
        <f t="shared" si="5"/>
        <v>71</v>
      </c>
      <c r="K20" s="291">
        <f t="shared" si="5"/>
        <v>89.5</v>
      </c>
      <c r="L20" s="291">
        <f t="shared" si="5"/>
        <v>96</v>
      </c>
      <c r="M20" s="291">
        <f t="shared" si="5"/>
        <v>548</v>
      </c>
      <c r="N20" s="291">
        <f t="shared" si="5"/>
        <v>78.285714285714292</v>
      </c>
      <c r="O20" s="183"/>
      <c r="P20" s="183"/>
      <c r="Q20" s="183"/>
      <c r="R20" s="175"/>
    </row>
    <row r="21" spans="1:18" ht="15.75" customHeight="1" thickBot="1" x14ac:dyDescent="0.3">
      <c r="A21" s="870">
        <v>6</v>
      </c>
      <c r="B21" s="1012"/>
      <c r="C21" s="875"/>
      <c r="D21" s="1015"/>
      <c r="E21" s="182" t="s">
        <v>18</v>
      </c>
      <c r="F21" s="183">
        <v>82</v>
      </c>
      <c r="G21" s="183">
        <v>65</v>
      </c>
      <c r="H21" s="183">
        <v>82</v>
      </c>
      <c r="I21" s="183">
        <v>69</v>
      </c>
      <c r="J21" s="183">
        <v>77</v>
      </c>
      <c r="K21" s="183">
        <v>96</v>
      </c>
      <c r="L21" s="183">
        <v>95</v>
      </c>
      <c r="M21" s="183">
        <v>566</v>
      </c>
      <c r="N21" s="210">
        <f t="shared" si="0"/>
        <v>80.857142857142861</v>
      </c>
      <c r="O21" s="183">
        <v>20</v>
      </c>
      <c r="P21" s="192"/>
      <c r="Q21" s="192"/>
      <c r="R21" s="175"/>
    </row>
    <row r="22" spans="1:18" ht="15.75" customHeight="1" thickBot="1" x14ac:dyDescent="0.3">
      <c r="A22" s="870"/>
      <c r="B22" s="1013"/>
      <c r="C22" s="875"/>
      <c r="D22" s="1015"/>
      <c r="E22" s="182" t="s">
        <v>19</v>
      </c>
      <c r="F22" s="183">
        <v>84</v>
      </c>
      <c r="G22" s="183">
        <v>84</v>
      </c>
      <c r="H22" s="183">
        <v>91</v>
      </c>
      <c r="I22" s="183">
        <v>79</v>
      </c>
      <c r="J22" s="183">
        <v>90</v>
      </c>
      <c r="K22" s="183">
        <v>96</v>
      </c>
      <c r="L22" s="809">
        <v>98</v>
      </c>
      <c r="M22" s="183">
        <f>SUM(F22:L22)</f>
        <v>622</v>
      </c>
      <c r="N22" s="210">
        <f t="shared" si="0"/>
        <v>88.857142857142861</v>
      </c>
      <c r="O22" s="183"/>
      <c r="P22" s="192"/>
      <c r="Q22" s="192"/>
      <c r="R22" s="175"/>
    </row>
    <row r="23" spans="1:18" ht="15.75" customHeight="1" thickBot="1" x14ac:dyDescent="0.3">
      <c r="A23" s="870"/>
      <c r="B23" s="1014"/>
      <c r="C23" s="875"/>
      <c r="D23" s="1015"/>
      <c r="E23" s="182" t="s">
        <v>13</v>
      </c>
      <c r="F23" s="183">
        <f>AVERAGE(F21:F22)</f>
        <v>83</v>
      </c>
      <c r="G23" s="291">
        <f t="shared" ref="G23:N23" si="6">AVERAGE(G21:G22)</f>
        <v>74.5</v>
      </c>
      <c r="H23" s="291">
        <f t="shared" si="6"/>
        <v>86.5</v>
      </c>
      <c r="I23" s="291">
        <f t="shared" si="6"/>
        <v>74</v>
      </c>
      <c r="J23" s="291">
        <f t="shared" si="6"/>
        <v>83.5</v>
      </c>
      <c r="K23" s="291">
        <f t="shared" si="6"/>
        <v>96</v>
      </c>
      <c r="L23" s="291">
        <f t="shared" si="6"/>
        <v>96.5</v>
      </c>
      <c r="M23" s="291">
        <f t="shared" si="6"/>
        <v>594</v>
      </c>
      <c r="N23" s="291">
        <f t="shared" si="6"/>
        <v>84.857142857142861</v>
      </c>
      <c r="O23" s="183"/>
      <c r="P23" s="183"/>
      <c r="Q23" s="183"/>
      <c r="R23" s="175"/>
    </row>
    <row r="24" spans="1:18" ht="15.75" thickBot="1" x14ac:dyDescent="0.3">
      <c r="A24" s="1016">
        <v>7</v>
      </c>
      <c r="B24" s="1012"/>
      <c r="C24" s="875"/>
      <c r="D24" s="1015"/>
      <c r="E24" s="182" t="s">
        <v>18</v>
      </c>
      <c r="F24" s="183">
        <v>79</v>
      </c>
      <c r="G24" s="183">
        <v>89</v>
      </c>
      <c r="H24" s="183">
        <v>83</v>
      </c>
      <c r="I24" s="183">
        <v>94</v>
      </c>
      <c r="J24" s="183">
        <v>90</v>
      </c>
      <c r="K24" s="183">
        <v>95</v>
      </c>
      <c r="L24" s="183">
        <v>95</v>
      </c>
      <c r="M24" s="183">
        <v>625</v>
      </c>
      <c r="N24" s="210">
        <f t="shared" si="0"/>
        <v>89.285714285714292</v>
      </c>
      <c r="O24" s="183">
        <v>13</v>
      </c>
      <c r="P24" s="192"/>
      <c r="Q24" s="192"/>
      <c r="R24" s="175"/>
    </row>
    <row r="25" spans="1:18" ht="15.75" thickBot="1" x14ac:dyDescent="0.3">
      <c r="A25" s="1016"/>
      <c r="B25" s="1013"/>
      <c r="C25" s="875"/>
      <c r="D25" s="1015"/>
      <c r="E25" s="182" t="s">
        <v>19</v>
      </c>
      <c r="F25" s="183">
        <v>81</v>
      </c>
      <c r="G25" s="183">
        <v>82</v>
      </c>
      <c r="H25" s="183">
        <v>89</v>
      </c>
      <c r="I25" s="183">
        <v>97</v>
      </c>
      <c r="J25" s="183">
        <v>95</v>
      </c>
      <c r="K25" s="183">
        <v>95</v>
      </c>
      <c r="L25" s="809">
        <v>98</v>
      </c>
      <c r="M25" s="183">
        <f>SUM(F25:L25)</f>
        <v>637</v>
      </c>
      <c r="N25" s="210">
        <f t="shared" si="0"/>
        <v>91</v>
      </c>
      <c r="O25" s="183"/>
      <c r="P25" s="192"/>
      <c r="Q25" s="192"/>
      <c r="R25" s="175"/>
    </row>
    <row r="26" spans="1:18" ht="15.75" thickBot="1" x14ac:dyDescent="0.3">
      <c r="A26" s="1016"/>
      <c r="B26" s="1014"/>
      <c r="C26" s="875"/>
      <c r="D26" s="1015"/>
      <c r="E26" s="182" t="s">
        <v>13</v>
      </c>
      <c r="F26" s="183">
        <f>AVERAGE(F24:F25)</f>
        <v>80</v>
      </c>
      <c r="G26" s="291">
        <f t="shared" ref="G26:N26" si="7">AVERAGE(G24:G25)</f>
        <v>85.5</v>
      </c>
      <c r="H26" s="291">
        <f t="shared" si="7"/>
        <v>86</v>
      </c>
      <c r="I26" s="291">
        <f t="shared" si="7"/>
        <v>95.5</v>
      </c>
      <c r="J26" s="291">
        <f t="shared" si="7"/>
        <v>92.5</v>
      </c>
      <c r="K26" s="291">
        <f t="shared" si="7"/>
        <v>95</v>
      </c>
      <c r="L26" s="291">
        <f t="shared" si="7"/>
        <v>96.5</v>
      </c>
      <c r="M26" s="291">
        <f t="shared" si="7"/>
        <v>631</v>
      </c>
      <c r="N26" s="291">
        <f t="shared" si="7"/>
        <v>90.142857142857139</v>
      </c>
      <c r="O26" s="183"/>
      <c r="P26" s="183"/>
      <c r="Q26" s="183"/>
      <c r="R26" s="175"/>
    </row>
    <row r="27" spans="1:18" ht="15.75" thickBot="1" x14ac:dyDescent="0.3">
      <c r="A27" s="899">
        <v>8</v>
      </c>
      <c r="B27" s="1012"/>
      <c r="C27" s="875"/>
      <c r="D27" s="1015"/>
      <c r="E27" s="182" t="s">
        <v>18</v>
      </c>
      <c r="F27" s="183">
        <v>70</v>
      </c>
      <c r="G27" s="183">
        <v>55</v>
      </c>
      <c r="H27" s="183">
        <v>68</v>
      </c>
      <c r="I27" s="183">
        <v>63</v>
      </c>
      <c r="J27" s="183">
        <v>62</v>
      </c>
      <c r="K27" s="183">
        <v>90</v>
      </c>
      <c r="L27" s="183">
        <v>95</v>
      </c>
      <c r="M27" s="183">
        <v>503</v>
      </c>
      <c r="N27" s="210">
        <f t="shared" si="0"/>
        <v>71.857142857142861</v>
      </c>
      <c r="O27" s="183">
        <v>39</v>
      </c>
      <c r="P27" s="192"/>
      <c r="Q27" s="192"/>
      <c r="R27" s="175"/>
    </row>
    <row r="28" spans="1:18" ht="15.75" thickBot="1" x14ac:dyDescent="0.3">
      <c r="A28" s="899"/>
      <c r="B28" s="1013"/>
      <c r="C28" s="875"/>
      <c r="D28" s="1015"/>
      <c r="E28" s="182" t="s">
        <v>19</v>
      </c>
      <c r="F28" s="183">
        <v>73</v>
      </c>
      <c r="G28" s="183">
        <v>51</v>
      </c>
      <c r="H28" s="183">
        <v>81</v>
      </c>
      <c r="I28" s="183">
        <v>71</v>
      </c>
      <c r="J28" s="183">
        <v>73</v>
      </c>
      <c r="K28" s="183">
        <v>91</v>
      </c>
      <c r="L28" s="809">
        <v>97</v>
      </c>
      <c r="M28" s="183">
        <f>SUM(F28:L28)</f>
        <v>537</v>
      </c>
      <c r="N28" s="210">
        <f t="shared" si="0"/>
        <v>76.714285714285708</v>
      </c>
      <c r="O28" s="183"/>
      <c r="P28" s="192"/>
      <c r="Q28" s="192"/>
      <c r="R28" s="175"/>
    </row>
    <row r="29" spans="1:18" ht="15.75" thickBot="1" x14ac:dyDescent="0.3">
      <c r="A29" s="899"/>
      <c r="B29" s="1014"/>
      <c r="C29" s="875"/>
      <c r="D29" s="1015"/>
      <c r="E29" s="182" t="s">
        <v>13</v>
      </c>
      <c r="F29" s="183">
        <f>AVERAGE(F27:F28)</f>
        <v>71.5</v>
      </c>
      <c r="G29" s="291">
        <f t="shared" ref="G29:N29" si="8">AVERAGE(G27:G28)</f>
        <v>53</v>
      </c>
      <c r="H29" s="291">
        <f t="shared" si="8"/>
        <v>74.5</v>
      </c>
      <c r="I29" s="291">
        <f t="shared" si="8"/>
        <v>67</v>
      </c>
      <c r="J29" s="291">
        <f t="shared" si="8"/>
        <v>67.5</v>
      </c>
      <c r="K29" s="291">
        <f t="shared" si="8"/>
        <v>90.5</v>
      </c>
      <c r="L29" s="291">
        <f t="shared" si="8"/>
        <v>96</v>
      </c>
      <c r="M29" s="291">
        <f t="shared" si="8"/>
        <v>520</v>
      </c>
      <c r="N29" s="291">
        <f t="shared" si="8"/>
        <v>74.285714285714278</v>
      </c>
      <c r="O29" s="183"/>
      <c r="P29" s="183"/>
      <c r="Q29" s="183"/>
      <c r="R29" s="175"/>
    </row>
    <row r="30" spans="1:18" ht="15.75" customHeight="1" thickBot="1" x14ac:dyDescent="0.3">
      <c r="A30" s="870">
        <v>9</v>
      </c>
      <c r="B30" s="1012"/>
      <c r="C30" s="875"/>
      <c r="D30" s="1015"/>
      <c r="E30" s="182" t="s">
        <v>18</v>
      </c>
      <c r="F30" s="183">
        <v>75</v>
      </c>
      <c r="G30" s="183">
        <v>70</v>
      </c>
      <c r="H30" s="183">
        <v>80</v>
      </c>
      <c r="I30" s="183">
        <v>70</v>
      </c>
      <c r="J30" s="183">
        <v>74</v>
      </c>
      <c r="K30" s="183">
        <v>99</v>
      </c>
      <c r="L30" s="183">
        <v>95</v>
      </c>
      <c r="M30" s="183">
        <v>563</v>
      </c>
      <c r="N30" s="210">
        <f t="shared" si="0"/>
        <v>80.428571428571431</v>
      </c>
      <c r="O30" s="183">
        <v>22</v>
      </c>
      <c r="P30" s="192"/>
      <c r="Q30" s="192"/>
      <c r="R30" s="175"/>
    </row>
    <row r="31" spans="1:18" ht="15.75" customHeight="1" thickBot="1" x14ac:dyDescent="0.3">
      <c r="A31" s="870"/>
      <c r="B31" s="1013"/>
      <c r="C31" s="875"/>
      <c r="D31" s="1015"/>
      <c r="E31" s="182" t="s">
        <v>19</v>
      </c>
      <c r="F31" s="183">
        <v>80</v>
      </c>
      <c r="G31" s="183">
        <v>54</v>
      </c>
      <c r="H31" s="183">
        <v>84</v>
      </c>
      <c r="I31" s="183">
        <v>79</v>
      </c>
      <c r="J31" s="183">
        <v>90</v>
      </c>
      <c r="K31" s="183">
        <v>97</v>
      </c>
      <c r="L31" s="809">
        <v>97</v>
      </c>
      <c r="M31" s="183">
        <f>SUM(F31:L31)</f>
        <v>581</v>
      </c>
      <c r="N31" s="210">
        <f t="shared" si="0"/>
        <v>83</v>
      </c>
      <c r="O31" s="183"/>
      <c r="P31" s="192"/>
      <c r="Q31" s="192"/>
      <c r="R31" s="175"/>
    </row>
    <row r="32" spans="1:18" ht="15.75" customHeight="1" thickBot="1" x14ac:dyDescent="0.3">
      <c r="A32" s="870"/>
      <c r="B32" s="1014"/>
      <c r="C32" s="875"/>
      <c r="D32" s="1015"/>
      <c r="E32" s="182" t="s">
        <v>13</v>
      </c>
      <c r="F32" s="183">
        <f>AVERAGE(F30:F31)</f>
        <v>77.5</v>
      </c>
      <c r="G32" s="291">
        <f t="shared" ref="G32:N32" si="9">AVERAGE(G30:G31)</f>
        <v>62</v>
      </c>
      <c r="H32" s="291">
        <f t="shared" si="9"/>
        <v>82</v>
      </c>
      <c r="I32" s="291">
        <f t="shared" si="9"/>
        <v>74.5</v>
      </c>
      <c r="J32" s="291">
        <f t="shared" si="9"/>
        <v>82</v>
      </c>
      <c r="K32" s="291">
        <f t="shared" si="9"/>
        <v>98</v>
      </c>
      <c r="L32" s="291">
        <f t="shared" si="9"/>
        <v>96</v>
      </c>
      <c r="M32" s="291">
        <f t="shared" si="9"/>
        <v>572</v>
      </c>
      <c r="N32" s="291">
        <f t="shared" si="9"/>
        <v>81.714285714285722</v>
      </c>
      <c r="O32" s="183"/>
      <c r="P32" s="183"/>
      <c r="Q32" s="183"/>
      <c r="R32" s="175"/>
    </row>
    <row r="33" spans="1:18" ht="15.75" thickBot="1" x14ac:dyDescent="0.3">
      <c r="A33" s="1016">
        <v>10</v>
      </c>
      <c r="B33" s="1012"/>
      <c r="C33" s="875"/>
      <c r="D33" s="1015"/>
      <c r="E33" s="182" t="s">
        <v>18</v>
      </c>
      <c r="F33" s="183">
        <v>87</v>
      </c>
      <c r="G33" s="183">
        <v>85</v>
      </c>
      <c r="H33" s="183">
        <v>96</v>
      </c>
      <c r="I33" s="183">
        <v>84</v>
      </c>
      <c r="J33" s="183">
        <v>85</v>
      </c>
      <c r="K33" s="183">
        <v>99</v>
      </c>
      <c r="L33" s="183">
        <v>95</v>
      </c>
      <c r="M33" s="183">
        <v>631</v>
      </c>
      <c r="N33" s="210">
        <f t="shared" si="0"/>
        <v>90.142857142857139</v>
      </c>
      <c r="O33" s="183">
        <v>9</v>
      </c>
      <c r="P33" s="192"/>
      <c r="Q33" s="192"/>
      <c r="R33" s="175"/>
    </row>
    <row r="34" spans="1:18" ht="15.75" thickBot="1" x14ac:dyDescent="0.3">
      <c r="A34" s="1016"/>
      <c r="B34" s="1013"/>
      <c r="C34" s="875"/>
      <c r="D34" s="1015"/>
      <c r="E34" s="182" t="s">
        <v>19</v>
      </c>
      <c r="F34" s="183">
        <v>90</v>
      </c>
      <c r="G34" s="183">
        <v>84</v>
      </c>
      <c r="H34" s="183">
        <v>96</v>
      </c>
      <c r="I34" s="183">
        <v>92</v>
      </c>
      <c r="J34" s="183">
        <v>95</v>
      </c>
      <c r="K34" s="183">
        <v>98</v>
      </c>
      <c r="L34" s="809">
        <v>99</v>
      </c>
      <c r="M34" s="183">
        <f>SUM(F34:L34)</f>
        <v>654</v>
      </c>
      <c r="N34" s="210">
        <f t="shared" si="0"/>
        <v>93.428571428571431</v>
      </c>
      <c r="O34" s="183"/>
      <c r="P34" s="192"/>
      <c r="Q34" s="192"/>
      <c r="R34" s="175"/>
    </row>
    <row r="35" spans="1:18" ht="15.75" thickBot="1" x14ac:dyDescent="0.3">
      <c r="A35" s="1016"/>
      <c r="B35" s="1014"/>
      <c r="C35" s="875"/>
      <c r="D35" s="1015"/>
      <c r="E35" s="182" t="s">
        <v>13</v>
      </c>
      <c r="F35" s="183">
        <f>AVERAGE(F33:F34)</f>
        <v>88.5</v>
      </c>
      <c r="G35" s="291">
        <f t="shared" ref="G35:N35" si="10">AVERAGE(G33:G34)</f>
        <v>84.5</v>
      </c>
      <c r="H35" s="291">
        <f t="shared" si="10"/>
        <v>96</v>
      </c>
      <c r="I35" s="291">
        <f t="shared" si="10"/>
        <v>88</v>
      </c>
      <c r="J35" s="291">
        <f t="shared" si="10"/>
        <v>90</v>
      </c>
      <c r="K35" s="291">
        <f t="shared" si="10"/>
        <v>98.5</v>
      </c>
      <c r="L35" s="291">
        <f t="shared" si="10"/>
        <v>97</v>
      </c>
      <c r="M35" s="291">
        <f t="shared" si="10"/>
        <v>642.5</v>
      </c>
      <c r="N35" s="291">
        <f t="shared" si="10"/>
        <v>91.785714285714278</v>
      </c>
      <c r="O35" s="183"/>
      <c r="P35" s="183"/>
      <c r="Q35" s="183"/>
      <c r="R35" s="175"/>
    </row>
    <row r="36" spans="1:18" ht="15.75" customHeight="1" thickBot="1" x14ac:dyDescent="0.3">
      <c r="A36" s="899">
        <v>11</v>
      </c>
      <c r="B36" s="1012"/>
      <c r="C36" s="875"/>
      <c r="D36" s="1015"/>
      <c r="E36" s="182" t="s">
        <v>18</v>
      </c>
      <c r="F36" s="183">
        <v>80</v>
      </c>
      <c r="G36" s="183">
        <v>68</v>
      </c>
      <c r="H36" s="183">
        <v>78</v>
      </c>
      <c r="I36" s="183">
        <v>76</v>
      </c>
      <c r="J36" s="183">
        <v>75</v>
      </c>
      <c r="K36" s="183">
        <v>93</v>
      </c>
      <c r="L36" s="183">
        <v>95</v>
      </c>
      <c r="M36" s="183">
        <v>565</v>
      </c>
      <c r="N36" s="210">
        <f t="shared" si="0"/>
        <v>80.714285714285708</v>
      </c>
      <c r="O36" s="183">
        <v>21</v>
      </c>
      <c r="P36" s="192"/>
      <c r="Q36" s="192"/>
      <c r="R36" s="175"/>
    </row>
    <row r="37" spans="1:18" ht="15.75" customHeight="1" thickBot="1" x14ac:dyDescent="0.3">
      <c r="A37" s="899"/>
      <c r="B37" s="1013"/>
      <c r="C37" s="875"/>
      <c r="D37" s="1015"/>
      <c r="E37" s="182" t="s">
        <v>19</v>
      </c>
      <c r="F37" s="183">
        <v>87</v>
      </c>
      <c r="G37" s="183">
        <v>67</v>
      </c>
      <c r="H37" s="183">
        <v>86</v>
      </c>
      <c r="I37" s="183">
        <v>84</v>
      </c>
      <c r="J37" s="183">
        <v>85</v>
      </c>
      <c r="K37" s="183">
        <v>91</v>
      </c>
      <c r="L37" s="809">
        <v>98</v>
      </c>
      <c r="M37" s="183">
        <f>SUM(F37:L37)</f>
        <v>598</v>
      </c>
      <c r="N37" s="210">
        <f t="shared" si="0"/>
        <v>85.428571428571431</v>
      </c>
      <c r="O37" s="183"/>
      <c r="P37" s="192"/>
      <c r="Q37" s="192"/>
      <c r="R37" s="175"/>
    </row>
    <row r="38" spans="1:18" ht="15.75" customHeight="1" thickBot="1" x14ac:dyDescent="0.3">
      <c r="A38" s="899"/>
      <c r="B38" s="1014"/>
      <c r="C38" s="875"/>
      <c r="D38" s="1015"/>
      <c r="E38" s="182" t="s">
        <v>13</v>
      </c>
      <c r="F38" s="183">
        <f>AVERAGE(F36:F37)</f>
        <v>83.5</v>
      </c>
      <c r="G38" s="291">
        <f t="shared" ref="G38:L38" si="11">AVERAGE(G36:G37)</f>
        <v>67.5</v>
      </c>
      <c r="H38" s="291">
        <f t="shared" si="11"/>
        <v>82</v>
      </c>
      <c r="I38" s="291">
        <f t="shared" si="11"/>
        <v>80</v>
      </c>
      <c r="J38" s="291">
        <f t="shared" si="11"/>
        <v>80</v>
      </c>
      <c r="K38" s="291">
        <f t="shared" si="11"/>
        <v>92</v>
      </c>
      <c r="L38" s="291">
        <f t="shared" si="11"/>
        <v>96.5</v>
      </c>
      <c r="M38" s="291">
        <f>AVERAGE(M36:M37)</f>
        <v>581.5</v>
      </c>
      <c r="N38" s="291">
        <f t="shared" ref="N38" si="12">AVERAGE(N36:N37)</f>
        <v>83.071428571428569</v>
      </c>
      <c r="O38" s="183"/>
      <c r="P38" s="183"/>
      <c r="Q38" s="183"/>
      <c r="R38" s="175"/>
    </row>
    <row r="39" spans="1:18" ht="15.75" customHeight="1" thickBot="1" x14ac:dyDescent="0.3">
      <c r="A39" s="870">
        <v>12</v>
      </c>
      <c r="B39" s="1012"/>
      <c r="C39" s="875"/>
      <c r="D39" s="1015"/>
      <c r="E39" s="182" t="s">
        <v>18</v>
      </c>
      <c r="F39" s="183">
        <v>85</v>
      </c>
      <c r="G39" s="183">
        <v>78</v>
      </c>
      <c r="H39" s="183">
        <v>76</v>
      </c>
      <c r="I39" s="183">
        <v>75</v>
      </c>
      <c r="J39" s="183">
        <v>60</v>
      </c>
      <c r="K39" s="183">
        <v>91</v>
      </c>
      <c r="L39" s="183">
        <v>95</v>
      </c>
      <c r="M39" s="183">
        <v>560</v>
      </c>
      <c r="N39" s="210">
        <f t="shared" si="0"/>
        <v>80</v>
      </c>
      <c r="O39" s="183">
        <v>23</v>
      </c>
      <c r="P39" s="192"/>
      <c r="Q39" s="192"/>
      <c r="R39" s="175"/>
    </row>
    <row r="40" spans="1:18" ht="15.75" customHeight="1" thickBot="1" x14ac:dyDescent="0.3">
      <c r="A40" s="870"/>
      <c r="B40" s="1013"/>
      <c r="C40" s="875"/>
      <c r="D40" s="1015"/>
      <c r="E40" s="182" t="s">
        <v>19</v>
      </c>
      <c r="F40" s="183">
        <v>90</v>
      </c>
      <c r="G40" s="183">
        <v>74</v>
      </c>
      <c r="H40" s="183">
        <v>83</v>
      </c>
      <c r="I40" s="183">
        <v>83</v>
      </c>
      <c r="J40" s="183">
        <v>74</v>
      </c>
      <c r="K40" s="183">
        <v>90</v>
      </c>
      <c r="L40" s="809">
        <v>98</v>
      </c>
      <c r="M40" s="183">
        <f>SUM(F40:L40)</f>
        <v>592</v>
      </c>
      <c r="N40" s="210">
        <f t="shared" si="0"/>
        <v>84.571428571428569</v>
      </c>
      <c r="O40" s="183"/>
      <c r="P40" s="192"/>
      <c r="Q40" s="192"/>
      <c r="R40" s="175"/>
    </row>
    <row r="41" spans="1:18" ht="15.75" customHeight="1" thickBot="1" x14ac:dyDescent="0.3">
      <c r="A41" s="870"/>
      <c r="B41" s="1014"/>
      <c r="C41" s="875"/>
      <c r="D41" s="1015"/>
      <c r="E41" s="182" t="s">
        <v>13</v>
      </c>
      <c r="F41" s="183">
        <f>AVERAGE(F39:F40)</f>
        <v>87.5</v>
      </c>
      <c r="G41" s="291">
        <f t="shared" ref="G41:N41" si="13">AVERAGE(G39:G40)</f>
        <v>76</v>
      </c>
      <c r="H41" s="291">
        <f t="shared" si="13"/>
        <v>79.5</v>
      </c>
      <c r="I41" s="291">
        <f t="shared" si="13"/>
        <v>79</v>
      </c>
      <c r="J41" s="291">
        <f t="shared" si="13"/>
        <v>67</v>
      </c>
      <c r="K41" s="291">
        <f t="shared" si="13"/>
        <v>90.5</v>
      </c>
      <c r="L41" s="291">
        <f t="shared" si="13"/>
        <v>96.5</v>
      </c>
      <c r="M41" s="291">
        <f t="shared" si="13"/>
        <v>576</v>
      </c>
      <c r="N41" s="291">
        <f t="shared" si="13"/>
        <v>82.285714285714278</v>
      </c>
      <c r="O41" s="183"/>
      <c r="P41" s="183"/>
      <c r="Q41" s="183"/>
      <c r="R41" s="175"/>
    </row>
    <row r="42" spans="1:18" ht="15.75" customHeight="1" thickBot="1" x14ac:dyDescent="0.3">
      <c r="A42" s="1016">
        <v>13</v>
      </c>
      <c r="B42" s="1012"/>
      <c r="C42" s="875"/>
      <c r="D42" s="1015"/>
      <c r="E42" s="182" t="s">
        <v>18</v>
      </c>
      <c r="F42" s="183">
        <v>86</v>
      </c>
      <c r="G42" s="183">
        <v>88</v>
      </c>
      <c r="H42" s="183">
        <v>87</v>
      </c>
      <c r="I42" s="183">
        <v>84</v>
      </c>
      <c r="J42" s="183">
        <v>84</v>
      </c>
      <c r="K42" s="183">
        <v>95</v>
      </c>
      <c r="L42" s="183">
        <v>95</v>
      </c>
      <c r="M42" s="183">
        <v>619</v>
      </c>
      <c r="N42" s="210">
        <f t="shared" si="0"/>
        <v>88.428571428571431</v>
      </c>
      <c r="O42" s="183">
        <v>15</v>
      </c>
      <c r="P42" s="192"/>
      <c r="Q42" s="192"/>
      <c r="R42" s="175"/>
    </row>
    <row r="43" spans="1:18" ht="15.75" customHeight="1" thickBot="1" x14ac:dyDescent="0.3">
      <c r="A43" s="1016"/>
      <c r="B43" s="1013"/>
      <c r="C43" s="875"/>
      <c r="D43" s="1015"/>
      <c r="E43" s="182" t="s">
        <v>19</v>
      </c>
      <c r="F43" s="183">
        <v>91</v>
      </c>
      <c r="G43" s="183">
        <v>82</v>
      </c>
      <c r="H43" s="183">
        <v>94</v>
      </c>
      <c r="I43" s="183">
        <v>92</v>
      </c>
      <c r="J43" s="183">
        <v>87</v>
      </c>
      <c r="K43" s="183">
        <v>94</v>
      </c>
      <c r="L43" s="809">
        <v>99</v>
      </c>
      <c r="M43" s="183">
        <f>SUM(F43:L43)</f>
        <v>639</v>
      </c>
      <c r="N43" s="210">
        <f t="shared" si="0"/>
        <v>91.285714285714292</v>
      </c>
      <c r="O43" s="183"/>
      <c r="P43" s="192"/>
      <c r="Q43" s="192"/>
      <c r="R43" s="175"/>
    </row>
    <row r="44" spans="1:18" ht="15.75" customHeight="1" thickBot="1" x14ac:dyDescent="0.3">
      <c r="A44" s="1016"/>
      <c r="B44" s="1014"/>
      <c r="C44" s="875"/>
      <c r="D44" s="1015"/>
      <c r="E44" s="182" t="s">
        <v>13</v>
      </c>
      <c r="F44" s="183">
        <f>AVERAGE(F42:F43)</f>
        <v>88.5</v>
      </c>
      <c r="G44" s="291">
        <f t="shared" ref="G44:N44" si="14">AVERAGE(G42:G43)</f>
        <v>85</v>
      </c>
      <c r="H44" s="291">
        <f t="shared" si="14"/>
        <v>90.5</v>
      </c>
      <c r="I44" s="291">
        <f t="shared" si="14"/>
        <v>88</v>
      </c>
      <c r="J44" s="291">
        <f t="shared" si="14"/>
        <v>85.5</v>
      </c>
      <c r="K44" s="291">
        <f t="shared" si="14"/>
        <v>94.5</v>
      </c>
      <c r="L44" s="291">
        <f t="shared" si="14"/>
        <v>97</v>
      </c>
      <c r="M44" s="291">
        <f t="shared" si="14"/>
        <v>629</v>
      </c>
      <c r="N44" s="291">
        <f t="shared" si="14"/>
        <v>89.857142857142861</v>
      </c>
      <c r="O44" s="183"/>
      <c r="P44" s="183"/>
      <c r="Q44" s="183"/>
      <c r="R44" s="175"/>
    </row>
    <row r="45" spans="1:18" ht="15.75" thickBot="1" x14ac:dyDescent="0.3">
      <c r="A45" s="899">
        <v>14</v>
      </c>
      <c r="B45" s="1012"/>
      <c r="C45" s="875"/>
      <c r="D45" s="1015"/>
      <c r="E45" s="182" t="s">
        <v>18</v>
      </c>
      <c r="F45" s="183">
        <v>63</v>
      </c>
      <c r="G45" s="183">
        <v>73</v>
      </c>
      <c r="H45" s="183">
        <v>62</v>
      </c>
      <c r="I45" s="183">
        <v>72</v>
      </c>
      <c r="J45" s="183">
        <v>58</v>
      </c>
      <c r="K45" s="183">
        <v>90</v>
      </c>
      <c r="L45" s="183">
        <v>95</v>
      </c>
      <c r="M45" s="183">
        <v>513</v>
      </c>
      <c r="N45" s="210">
        <f t="shared" si="0"/>
        <v>73.285714285714292</v>
      </c>
      <c r="O45" s="183">
        <v>36</v>
      </c>
      <c r="P45" s="192"/>
      <c r="Q45" s="192"/>
      <c r="R45" s="175"/>
    </row>
    <row r="46" spans="1:18" ht="15.75" thickBot="1" x14ac:dyDescent="0.3">
      <c r="A46" s="899"/>
      <c r="B46" s="1013"/>
      <c r="C46" s="875"/>
      <c r="D46" s="1015"/>
      <c r="E46" s="182" t="s">
        <v>19</v>
      </c>
      <c r="F46" s="183">
        <v>71</v>
      </c>
      <c r="G46" s="183">
        <v>65</v>
      </c>
      <c r="H46" s="183">
        <v>80</v>
      </c>
      <c r="I46" s="183">
        <v>80</v>
      </c>
      <c r="J46" s="183">
        <v>75</v>
      </c>
      <c r="K46" s="183">
        <v>89</v>
      </c>
      <c r="L46" s="809">
        <v>97</v>
      </c>
      <c r="M46" s="183">
        <f>SUM(F46:L46)</f>
        <v>557</v>
      </c>
      <c r="N46" s="210">
        <f t="shared" si="0"/>
        <v>79.571428571428569</v>
      </c>
      <c r="O46" s="183"/>
      <c r="P46" s="192"/>
      <c r="Q46" s="192"/>
      <c r="R46" s="175"/>
    </row>
    <row r="47" spans="1:18" ht="15.75" thickBot="1" x14ac:dyDescent="0.3">
      <c r="A47" s="899"/>
      <c r="B47" s="1014"/>
      <c r="C47" s="875"/>
      <c r="D47" s="1015"/>
      <c r="E47" s="182" t="s">
        <v>13</v>
      </c>
      <c r="F47" s="183">
        <f>AVERAGE(F45:F46)</f>
        <v>67</v>
      </c>
      <c r="G47" s="291">
        <f t="shared" ref="G47:N47" si="15">AVERAGE(G45:G46)</f>
        <v>69</v>
      </c>
      <c r="H47" s="291">
        <f t="shared" si="15"/>
        <v>71</v>
      </c>
      <c r="I47" s="291">
        <f t="shared" si="15"/>
        <v>76</v>
      </c>
      <c r="J47" s="291">
        <f t="shared" si="15"/>
        <v>66.5</v>
      </c>
      <c r="K47" s="291">
        <f t="shared" si="15"/>
        <v>89.5</v>
      </c>
      <c r="L47" s="291">
        <f t="shared" si="15"/>
        <v>96</v>
      </c>
      <c r="M47" s="291">
        <f t="shared" si="15"/>
        <v>535</v>
      </c>
      <c r="N47" s="291">
        <f t="shared" si="15"/>
        <v>76.428571428571431</v>
      </c>
      <c r="O47" s="183"/>
      <c r="P47" s="183"/>
      <c r="Q47" s="183"/>
      <c r="R47" s="175"/>
    </row>
    <row r="48" spans="1:18" ht="15.75" customHeight="1" thickBot="1" x14ac:dyDescent="0.3">
      <c r="A48" s="870">
        <v>15</v>
      </c>
      <c r="B48" s="1012"/>
      <c r="C48" s="875"/>
      <c r="D48" s="1015"/>
      <c r="E48" s="182" t="s">
        <v>18</v>
      </c>
      <c r="F48" s="183">
        <v>75</v>
      </c>
      <c r="G48" s="183">
        <v>65</v>
      </c>
      <c r="H48" s="184">
        <v>70</v>
      </c>
      <c r="I48" s="183">
        <v>68</v>
      </c>
      <c r="J48" s="183">
        <v>58</v>
      </c>
      <c r="K48" s="183">
        <v>94</v>
      </c>
      <c r="L48" s="183">
        <v>95</v>
      </c>
      <c r="M48" s="183">
        <v>525</v>
      </c>
      <c r="N48" s="210">
        <f t="shared" si="0"/>
        <v>75</v>
      </c>
      <c r="O48" s="183">
        <v>31</v>
      </c>
      <c r="P48" s="192"/>
      <c r="Q48" s="192"/>
      <c r="R48" s="175"/>
    </row>
    <row r="49" spans="1:18" ht="16.5" thickBot="1" x14ac:dyDescent="0.3">
      <c r="A49" s="870"/>
      <c r="B49" s="1013"/>
      <c r="C49" s="875"/>
      <c r="D49" s="1015"/>
      <c r="E49" s="182" t="s">
        <v>19</v>
      </c>
      <c r="F49" s="183">
        <v>77</v>
      </c>
      <c r="G49" s="183">
        <v>61</v>
      </c>
      <c r="H49" s="184">
        <v>80</v>
      </c>
      <c r="I49" s="183">
        <v>76</v>
      </c>
      <c r="J49" s="183">
        <v>70</v>
      </c>
      <c r="K49" s="183">
        <v>92</v>
      </c>
      <c r="L49" s="809">
        <v>97</v>
      </c>
      <c r="M49" s="183">
        <f>SUM(F49:L49)</f>
        <v>553</v>
      </c>
      <c r="N49" s="210">
        <f t="shared" si="0"/>
        <v>79</v>
      </c>
      <c r="O49" s="183"/>
      <c r="P49" s="192"/>
      <c r="Q49" s="192"/>
      <c r="R49" s="179"/>
    </row>
    <row r="50" spans="1:18" ht="16.5" thickBot="1" x14ac:dyDescent="0.3">
      <c r="A50" s="870"/>
      <c r="B50" s="1014"/>
      <c r="C50" s="875"/>
      <c r="D50" s="1015"/>
      <c r="E50" s="182" t="s">
        <v>13</v>
      </c>
      <c r="F50" s="183">
        <f>AVERAGE(F48:F49)</f>
        <v>76</v>
      </c>
      <c r="G50" s="291">
        <f t="shared" ref="G50:N50" si="16">AVERAGE(G48:G49)</f>
        <v>63</v>
      </c>
      <c r="H50" s="291">
        <f t="shared" si="16"/>
        <v>75</v>
      </c>
      <c r="I50" s="291">
        <f t="shared" si="16"/>
        <v>72</v>
      </c>
      <c r="J50" s="291">
        <f t="shared" si="16"/>
        <v>64</v>
      </c>
      <c r="K50" s="291">
        <f t="shared" si="16"/>
        <v>93</v>
      </c>
      <c r="L50" s="291">
        <f t="shared" si="16"/>
        <v>96</v>
      </c>
      <c r="M50" s="291">
        <f t="shared" si="16"/>
        <v>539</v>
      </c>
      <c r="N50" s="291">
        <f t="shared" si="16"/>
        <v>77</v>
      </c>
      <c r="O50" s="183"/>
      <c r="P50" s="183"/>
      <c r="Q50" s="183"/>
      <c r="R50" s="179"/>
    </row>
    <row r="51" spans="1:18" ht="16.5" thickBot="1" x14ac:dyDescent="0.3">
      <c r="A51" s="1016">
        <v>16</v>
      </c>
      <c r="B51" s="874"/>
      <c r="C51" s="875"/>
      <c r="D51" s="1015"/>
      <c r="E51" s="182" t="s">
        <v>18</v>
      </c>
      <c r="F51" s="183">
        <v>75</v>
      </c>
      <c r="G51" s="183">
        <v>70</v>
      </c>
      <c r="H51" s="183">
        <v>68</v>
      </c>
      <c r="I51" s="183">
        <v>64</v>
      </c>
      <c r="J51" s="183">
        <v>66</v>
      </c>
      <c r="K51" s="183">
        <v>96</v>
      </c>
      <c r="L51" s="183">
        <v>95</v>
      </c>
      <c r="M51" s="183">
        <v>534</v>
      </c>
      <c r="N51" s="210">
        <f t="shared" si="0"/>
        <v>76.285714285714292</v>
      </c>
      <c r="O51" s="183">
        <v>28</v>
      </c>
      <c r="P51" s="192"/>
      <c r="Q51" s="192"/>
      <c r="R51" s="179"/>
    </row>
    <row r="52" spans="1:18" ht="16.5" thickBot="1" x14ac:dyDescent="0.3">
      <c r="A52" s="1016"/>
      <c r="B52" s="874"/>
      <c r="C52" s="875"/>
      <c r="D52" s="1015"/>
      <c r="E52" s="182" t="s">
        <v>19</v>
      </c>
      <c r="F52" s="183">
        <v>80</v>
      </c>
      <c r="G52" s="183">
        <v>70</v>
      </c>
      <c r="H52" s="183">
        <v>86</v>
      </c>
      <c r="I52" s="183">
        <v>72</v>
      </c>
      <c r="J52" s="183">
        <v>79</v>
      </c>
      <c r="K52" s="183">
        <v>89</v>
      </c>
      <c r="L52" s="809">
        <v>98</v>
      </c>
      <c r="M52" s="183">
        <f>SUM(F52:L52)</f>
        <v>574</v>
      </c>
      <c r="N52" s="210">
        <f t="shared" si="0"/>
        <v>82</v>
      </c>
      <c r="O52" s="183"/>
      <c r="P52" s="192"/>
      <c r="Q52" s="192"/>
      <c r="R52" s="179"/>
    </row>
    <row r="53" spans="1:18" ht="16.5" thickBot="1" x14ac:dyDescent="0.3">
      <c r="A53" s="1016"/>
      <c r="B53" s="1012"/>
      <c r="C53" s="875"/>
      <c r="D53" s="1015"/>
      <c r="E53" s="182" t="s">
        <v>13</v>
      </c>
      <c r="F53" s="183">
        <f>AVERAGE(F51:F52)</f>
        <v>77.5</v>
      </c>
      <c r="G53" s="291">
        <f t="shared" ref="G53:N53" si="17">AVERAGE(G51:G52)</f>
        <v>70</v>
      </c>
      <c r="H53" s="291">
        <f t="shared" si="17"/>
        <v>77</v>
      </c>
      <c r="I53" s="291">
        <f t="shared" si="17"/>
        <v>68</v>
      </c>
      <c r="J53" s="291">
        <f t="shared" si="17"/>
        <v>72.5</v>
      </c>
      <c r="K53" s="291">
        <f t="shared" si="17"/>
        <v>92.5</v>
      </c>
      <c r="L53" s="291">
        <f t="shared" si="17"/>
        <v>96.5</v>
      </c>
      <c r="M53" s="291">
        <f t="shared" si="17"/>
        <v>554</v>
      </c>
      <c r="N53" s="291">
        <f t="shared" si="17"/>
        <v>79.142857142857139</v>
      </c>
      <c r="O53" s="183"/>
      <c r="P53" s="183"/>
      <c r="Q53" s="183"/>
      <c r="R53" s="179"/>
    </row>
    <row r="54" spans="1:18" ht="16.5" thickBot="1" x14ac:dyDescent="0.3">
      <c r="A54" s="899">
        <v>17</v>
      </c>
      <c r="B54" s="1014"/>
      <c r="C54" s="1021"/>
      <c r="D54" s="1015"/>
      <c r="E54" s="182" t="s">
        <v>18</v>
      </c>
      <c r="F54" s="183">
        <v>82</v>
      </c>
      <c r="G54" s="183">
        <v>64</v>
      </c>
      <c r="H54" s="183">
        <v>71</v>
      </c>
      <c r="I54" s="183">
        <v>69</v>
      </c>
      <c r="J54" s="183">
        <v>65</v>
      </c>
      <c r="K54" s="183">
        <v>85</v>
      </c>
      <c r="L54" s="183">
        <v>95</v>
      </c>
      <c r="M54" s="183">
        <v>531</v>
      </c>
      <c r="N54" s="210">
        <f t="shared" si="0"/>
        <v>75.857142857142861</v>
      </c>
      <c r="O54" s="183">
        <v>29</v>
      </c>
      <c r="P54" s="192"/>
      <c r="Q54" s="192"/>
      <c r="R54" s="179"/>
    </row>
    <row r="55" spans="1:18" ht="16.5" thickBot="1" x14ac:dyDescent="0.3">
      <c r="A55" s="899"/>
      <c r="B55" s="874"/>
      <c r="C55" s="1021"/>
      <c r="D55" s="1015"/>
      <c r="E55" s="182" t="s">
        <v>19</v>
      </c>
      <c r="F55" s="183">
        <v>87</v>
      </c>
      <c r="G55" s="183">
        <v>72</v>
      </c>
      <c r="H55" s="183">
        <v>84</v>
      </c>
      <c r="I55" s="183">
        <v>77</v>
      </c>
      <c r="J55" s="183">
        <v>76</v>
      </c>
      <c r="K55" s="183">
        <v>90</v>
      </c>
      <c r="L55" s="809">
        <v>97</v>
      </c>
      <c r="M55" s="183">
        <f>SUM(F55:L55)</f>
        <v>583</v>
      </c>
      <c r="N55" s="210">
        <f t="shared" si="0"/>
        <v>83.285714285714292</v>
      </c>
      <c r="O55" s="183"/>
      <c r="P55" s="192"/>
      <c r="Q55" s="192"/>
      <c r="R55" s="179"/>
    </row>
    <row r="56" spans="1:18" ht="16.5" thickBot="1" x14ac:dyDescent="0.3">
      <c r="A56" s="899"/>
      <c r="B56" s="874"/>
      <c r="C56" s="1021"/>
      <c r="D56" s="1015"/>
      <c r="E56" s="182" t="s">
        <v>13</v>
      </c>
      <c r="F56" s="183">
        <f>AVERAGE(F54:F55)</f>
        <v>84.5</v>
      </c>
      <c r="G56" s="291">
        <f t="shared" ref="G56:N56" si="18">AVERAGE(G54:G55)</f>
        <v>68</v>
      </c>
      <c r="H56" s="291">
        <f t="shared" si="18"/>
        <v>77.5</v>
      </c>
      <c r="I56" s="291">
        <f t="shared" si="18"/>
        <v>73</v>
      </c>
      <c r="J56" s="291">
        <f t="shared" si="18"/>
        <v>70.5</v>
      </c>
      <c r="K56" s="291">
        <f t="shared" si="18"/>
        <v>87.5</v>
      </c>
      <c r="L56" s="291">
        <f t="shared" si="18"/>
        <v>96</v>
      </c>
      <c r="M56" s="291">
        <f t="shared" si="18"/>
        <v>557</v>
      </c>
      <c r="N56" s="291">
        <f t="shared" si="18"/>
        <v>79.571428571428584</v>
      </c>
      <c r="O56" s="183"/>
      <c r="P56" s="183"/>
      <c r="Q56" s="183"/>
      <c r="R56" s="179"/>
    </row>
    <row r="57" spans="1:18" ht="16.5" thickBot="1" x14ac:dyDescent="0.3">
      <c r="A57" s="870">
        <v>18</v>
      </c>
      <c r="B57" s="1025"/>
      <c r="C57" s="1021"/>
      <c r="D57" s="974"/>
      <c r="E57" s="182" t="s">
        <v>18</v>
      </c>
      <c r="F57" s="183">
        <v>71</v>
      </c>
      <c r="G57" s="183">
        <v>60</v>
      </c>
      <c r="H57" s="184">
        <v>83</v>
      </c>
      <c r="I57" s="183">
        <v>75</v>
      </c>
      <c r="J57" s="183">
        <v>78</v>
      </c>
      <c r="K57" s="183">
        <v>98</v>
      </c>
      <c r="L57" s="183">
        <v>95</v>
      </c>
      <c r="M57" s="183">
        <v>560</v>
      </c>
      <c r="N57" s="210">
        <f t="shared" si="0"/>
        <v>80</v>
      </c>
      <c r="O57" s="183">
        <v>23</v>
      </c>
      <c r="P57" s="192"/>
      <c r="Q57" s="192"/>
      <c r="R57" s="179"/>
    </row>
    <row r="58" spans="1:18" ht="16.5" thickBot="1" x14ac:dyDescent="0.3">
      <c r="A58" s="870"/>
      <c r="B58" s="1019"/>
      <c r="C58" s="1021"/>
      <c r="D58" s="975"/>
      <c r="E58" s="182" t="s">
        <v>19</v>
      </c>
      <c r="F58" s="183">
        <v>75</v>
      </c>
      <c r="G58" s="183">
        <v>53</v>
      </c>
      <c r="H58" s="184">
        <v>91</v>
      </c>
      <c r="I58" s="183">
        <v>83</v>
      </c>
      <c r="J58" s="183">
        <v>88</v>
      </c>
      <c r="K58" s="183">
        <v>91</v>
      </c>
      <c r="L58" s="809">
        <v>98</v>
      </c>
      <c r="M58" s="183">
        <f>SUM(F58:L58)</f>
        <v>579</v>
      </c>
      <c r="N58" s="210">
        <f t="shared" si="0"/>
        <v>82.714285714285708</v>
      </c>
      <c r="O58" s="183"/>
      <c r="P58" s="192"/>
      <c r="Q58" s="192"/>
      <c r="R58" s="179"/>
    </row>
    <row r="59" spans="1:18" ht="16.5" thickBot="1" x14ac:dyDescent="0.3">
      <c r="A59" s="870"/>
      <c r="B59" s="1026"/>
      <c r="C59" s="1021"/>
      <c r="D59" s="976"/>
      <c r="E59" s="182" t="s">
        <v>13</v>
      </c>
      <c r="F59" s="183">
        <f>AVERAGE(F57:F58)</f>
        <v>73</v>
      </c>
      <c r="G59" s="291">
        <f t="shared" ref="G59:N59" si="19">AVERAGE(G57:G58)</f>
        <v>56.5</v>
      </c>
      <c r="H59" s="291">
        <f t="shared" si="19"/>
        <v>87</v>
      </c>
      <c r="I59" s="291">
        <f t="shared" si="19"/>
        <v>79</v>
      </c>
      <c r="J59" s="291">
        <f t="shared" si="19"/>
        <v>83</v>
      </c>
      <c r="K59" s="291">
        <f t="shared" si="19"/>
        <v>94.5</v>
      </c>
      <c r="L59" s="291">
        <f t="shared" si="19"/>
        <v>96.5</v>
      </c>
      <c r="M59" s="291">
        <f t="shared" si="19"/>
        <v>569.5</v>
      </c>
      <c r="N59" s="291">
        <f t="shared" si="19"/>
        <v>81.357142857142861</v>
      </c>
      <c r="O59" s="183"/>
      <c r="P59" s="183"/>
      <c r="Q59" s="183"/>
      <c r="R59" s="179"/>
    </row>
    <row r="60" spans="1:18" ht="16.5" thickBot="1" x14ac:dyDescent="0.3">
      <c r="A60" s="1016">
        <v>19</v>
      </c>
      <c r="B60" s="874"/>
      <c r="C60" s="1021"/>
      <c r="D60" s="1015"/>
      <c r="E60" s="182" t="s">
        <v>18</v>
      </c>
      <c r="F60" s="183">
        <v>94</v>
      </c>
      <c r="G60" s="183">
        <v>94</v>
      </c>
      <c r="H60" s="183">
        <v>96</v>
      </c>
      <c r="I60" s="183">
        <v>95</v>
      </c>
      <c r="J60" s="183">
        <v>96</v>
      </c>
      <c r="K60" s="183">
        <v>100</v>
      </c>
      <c r="L60" s="183">
        <v>95</v>
      </c>
      <c r="M60" s="183">
        <v>670</v>
      </c>
      <c r="N60" s="210">
        <f t="shared" si="0"/>
        <v>95.714285714285708</v>
      </c>
      <c r="O60" s="183">
        <v>2</v>
      </c>
      <c r="P60" s="192"/>
      <c r="Q60" s="192"/>
      <c r="R60" s="179"/>
    </row>
    <row r="61" spans="1:18" ht="16.5" thickBot="1" x14ac:dyDescent="0.3">
      <c r="A61" s="1016"/>
      <c r="B61" s="874"/>
      <c r="C61" s="1021"/>
      <c r="D61" s="1015"/>
      <c r="E61" s="182" t="s">
        <v>19</v>
      </c>
      <c r="F61" s="183">
        <v>99</v>
      </c>
      <c r="G61" s="183">
        <v>94</v>
      </c>
      <c r="H61" s="183">
        <v>99</v>
      </c>
      <c r="I61" s="183">
        <v>100</v>
      </c>
      <c r="J61" s="183">
        <v>99</v>
      </c>
      <c r="K61" s="183">
        <v>100</v>
      </c>
      <c r="L61" s="809">
        <v>100</v>
      </c>
      <c r="M61" s="183">
        <f>SUM(F61:L61)</f>
        <v>691</v>
      </c>
      <c r="N61" s="210">
        <f t="shared" si="0"/>
        <v>98.714285714285708</v>
      </c>
      <c r="O61" s="183"/>
      <c r="P61" s="192"/>
      <c r="Q61" s="192"/>
      <c r="R61" s="179"/>
    </row>
    <row r="62" spans="1:18" ht="16.5" thickBot="1" x14ac:dyDescent="0.3">
      <c r="A62" s="1016"/>
      <c r="B62" s="874"/>
      <c r="C62" s="1021"/>
      <c r="D62" s="1015"/>
      <c r="E62" s="182" t="s">
        <v>13</v>
      </c>
      <c r="F62" s="183">
        <f>AVERAGE(F60:F61)</f>
        <v>96.5</v>
      </c>
      <c r="G62" s="291">
        <f t="shared" ref="G62:N62" si="20">AVERAGE(G60:G61)</f>
        <v>94</v>
      </c>
      <c r="H62" s="291">
        <f t="shared" si="20"/>
        <v>97.5</v>
      </c>
      <c r="I62" s="291">
        <f t="shared" si="20"/>
        <v>97.5</v>
      </c>
      <c r="J62" s="291">
        <f t="shared" si="20"/>
        <v>97.5</v>
      </c>
      <c r="K62" s="291">
        <f t="shared" si="20"/>
        <v>100</v>
      </c>
      <c r="L62" s="291">
        <f t="shared" si="20"/>
        <v>97.5</v>
      </c>
      <c r="M62" s="291">
        <f t="shared" si="20"/>
        <v>680.5</v>
      </c>
      <c r="N62" s="291">
        <f t="shared" si="20"/>
        <v>97.214285714285708</v>
      </c>
      <c r="O62" s="183"/>
      <c r="P62" s="183"/>
      <c r="Q62" s="183"/>
      <c r="R62" s="179"/>
    </row>
    <row r="63" spans="1:18" ht="16.5" thickBot="1" x14ac:dyDescent="0.3">
      <c r="A63" s="899">
        <v>20</v>
      </c>
      <c r="B63" s="874"/>
      <c r="C63" s="875"/>
      <c r="D63" s="1015"/>
      <c r="E63" s="182" t="s">
        <v>18</v>
      </c>
      <c r="F63" s="183">
        <v>88</v>
      </c>
      <c r="G63" s="183">
        <v>65</v>
      </c>
      <c r="H63" s="183">
        <v>71</v>
      </c>
      <c r="I63" s="183">
        <v>71</v>
      </c>
      <c r="J63" s="183">
        <v>71</v>
      </c>
      <c r="K63" s="183">
        <v>93</v>
      </c>
      <c r="L63" s="183">
        <v>95</v>
      </c>
      <c r="M63" s="183">
        <v>554</v>
      </c>
      <c r="N63" s="210">
        <f t="shared" si="0"/>
        <v>79.142857142857139</v>
      </c>
      <c r="O63" s="183">
        <v>25</v>
      </c>
      <c r="P63" s="192"/>
      <c r="Q63" s="192"/>
      <c r="R63" s="179"/>
    </row>
    <row r="64" spans="1:18" ht="16.5" thickBot="1" x14ac:dyDescent="0.3">
      <c r="A64" s="899"/>
      <c r="B64" s="874"/>
      <c r="C64" s="875"/>
      <c r="D64" s="1015"/>
      <c r="E64" s="182" t="s">
        <v>19</v>
      </c>
      <c r="F64" s="183">
        <v>90</v>
      </c>
      <c r="G64" s="183">
        <v>62</v>
      </c>
      <c r="H64" s="183">
        <v>88</v>
      </c>
      <c r="I64" s="183">
        <v>79</v>
      </c>
      <c r="J64" s="183">
        <v>77</v>
      </c>
      <c r="K64" s="183">
        <v>93</v>
      </c>
      <c r="L64" s="809">
        <v>98</v>
      </c>
      <c r="M64" s="183">
        <f>SUM(F64:L64)</f>
        <v>587</v>
      </c>
      <c r="N64" s="210">
        <f t="shared" si="0"/>
        <v>83.857142857142861</v>
      </c>
      <c r="O64" s="183"/>
      <c r="P64" s="192"/>
      <c r="Q64" s="192"/>
      <c r="R64" s="179"/>
    </row>
    <row r="65" spans="1:18" ht="16.5" thickBot="1" x14ac:dyDescent="0.3">
      <c r="A65" s="899"/>
      <c r="B65" s="874"/>
      <c r="C65" s="875"/>
      <c r="D65" s="1015"/>
      <c r="E65" s="182" t="s">
        <v>13</v>
      </c>
      <c r="F65" s="183">
        <f>AVERAGE(F63:F64)</f>
        <v>89</v>
      </c>
      <c r="G65" s="291">
        <f t="shared" ref="G65:N65" si="21">AVERAGE(G63:G64)</f>
        <v>63.5</v>
      </c>
      <c r="H65" s="291">
        <f t="shared" si="21"/>
        <v>79.5</v>
      </c>
      <c r="I65" s="291">
        <f t="shared" si="21"/>
        <v>75</v>
      </c>
      <c r="J65" s="291">
        <f t="shared" si="21"/>
        <v>74</v>
      </c>
      <c r="K65" s="291">
        <f t="shared" si="21"/>
        <v>93</v>
      </c>
      <c r="L65" s="291">
        <f t="shared" si="21"/>
        <v>96.5</v>
      </c>
      <c r="M65" s="291">
        <f t="shared" si="21"/>
        <v>570.5</v>
      </c>
      <c r="N65" s="291">
        <f t="shared" si="21"/>
        <v>81.5</v>
      </c>
      <c r="O65" s="183"/>
      <c r="P65" s="183"/>
      <c r="Q65" s="183"/>
      <c r="R65" s="179"/>
    </row>
    <row r="66" spans="1:18" ht="16.5" thickBot="1" x14ac:dyDescent="0.3">
      <c r="A66" s="870">
        <v>21</v>
      </c>
      <c r="B66" s="1022"/>
      <c r="C66" s="875"/>
      <c r="D66" s="1015"/>
      <c r="E66" s="182" t="s">
        <v>18</v>
      </c>
      <c r="F66" s="183">
        <v>90</v>
      </c>
      <c r="G66" s="183">
        <v>88</v>
      </c>
      <c r="H66" s="183">
        <v>90</v>
      </c>
      <c r="I66" s="183">
        <v>77</v>
      </c>
      <c r="J66" s="183">
        <v>87</v>
      </c>
      <c r="K66" s="183">
        <v>96</v>
      </c>
      <c r="L66" s="183">
        <v>95</v>
      </c>
      <c r="M66" s="183">
        <v>623</v>
      </c>
      <c r="N66" s="210">
        <f t="shared" si="0"/>
        <v>89</v>
      </c>
      <c r="O66" s="183">
        <v>14</v>
      </c>
      <c r="P66" s="192"/>
      <c r="Q66" s="192"/>
      <c r="R66" s="179"/>
    </row>
    <row r="67" spans="1:18" ht="16.5" thickBot="1" x14ac:dyDescent="0.3">
      <c r="A67" s="870"/>
      <c r="B67" s="1023"/>
      <c r="C67" s="1021"/>
      <c r="D67" s="1015"/>
      <c r="E67" s="182" t="s">
        <v>19</v>
      </c>
      <c r="F67" s="183">
        <v>92</v>
      </c>
      <c r="G67" s="183">
        <v>92</v>
      </c>
      <c r="H67" s="183">
        <v>95</v>
      </c>
      <c r="I67" s="183">
        <v>85</v>
      </c>
      <c r="J67" s="183">
        <v>83</v>
      </c>
      <c r="K67" s="183">
        <v>96</v>
      </c>
      <c r="L67" s="809">
        <v>99</v>
      </c>
      <c r="M67" s="183">
        <f>SUM(F67:L67)</f>
        <v>642</v>
      </c>
      <c r="N67" s="210">
        <f t="shared" si="0"/>
        <v>91.714285714285708</v>
      </c>
      <c r="O67" s="183"/>
      <c r="P67" s="192"/>
      <c r="Q67" s="192"/>
      <c r="R67" s="179"/>
    </row>
    <row r="68" spans="1:18" ht="16.5" thickBot="1" x14ac:dyDescent="0.3">
      <c r="A68" s="870"/>
      <c r="B68" s="1024"/>
      <c r="C68" s="1021"/>
      <c r="D68" s="1015"/>
      <c r="E68" s="182" t="s">
        <v>13</v>
      </c>
      <c r="F68" s="183">
        <f>AVERAGE(F66:F67)</f>
        <v>91</v>
      </c>
      <c r="G68" s="291">
        <f t="shared" ref="G68:N68" si="22">AVERAGE(G66:G67)</f>
        <v>90</v>
      </c>
      <c r="H68" s="291">
        <f t="shared" si="22"/>
        <v>92.5</v>
      </c>
      <c r="I68" s="291">
        <f t="shared" si="22"/>
        <v>81</v>
      </c>
      <c r="J68" s="291">
        <f t="shared" si="22"/>
        <v>85</v>
      </c>
      <c r="K68" s="291">
        <f t="shared" si="22"/>
        <v>96</v>
      </c>
      <c r="L68" s="291">
        <f t="shared" si="22"/>
        <v>97</v>
      </c>
      <c r="M68" s="291">
        <f t="shared" si="22"/>
        <v>632.5</v>
      </c>
      <c r="N68" s="291">
        <f t="shared" si="22"/>
        <v>90.357142857142861</v>
      </c>
      <c r="O68" s="183"/>
      <c r="P68" s="183"/>
      <c r="Q68" s="183"/>
      <c r="R68" s="179"/>
    </row>
    <row r="69" spans="1:18" ht="16.5" thickBot="1" x14ac:dyDescent="0.3">
      <c r="A69" s="1016">
        <v>22</v>
      </c>
      <c r="B69" s="1018"/>
      <c r="C69" s="1021"/>
      <c r="D69" s="1015"/>
      <c r="E69" s="182" t="s">
        <v>18</v>
      </c>
      <c r="F69" s="183">
        <v>85</v>
      </c>
      <c r="G69" s="183">
        <v>94</v>
      </c>
      <c r="H69" s="183">
        <v>89</v>
      </c>
      <c r="I69" s="183">
        <v>84</v>
      </c>
      <c r="J69" s="183">
        <v>84</v>
      </c>
      <c r="K69" s="183">
        <v>98</v>
      </c>
      <c r="L69" s="183">
        <v>95</v>
      </c>
      <c r="M69" s="183">
        <v>629</v>
      </c>
      <c r="N69" s="210">
        <f t="shared" si="0"/>
        <v>89.857142857142861</v>
      </c>
      <c r="O69" s="183">
        <v>10</v>
      </c>
      <c r="P69" s="192"/>
      <c r="Q69" s="192"/>
      <c r="R69" s="179"/>
    </row>
    <row r="70" spans="1:18" ht="16.5" thickBot="1" x14ac:dyDescent="0.3">
      <c r="A70" s="1016"/>
      <c r="B70" s="1019"/>
      <c r="C70" s="1021"/>
      <c r="D70" s="1015"/>
      <c r="E70" s="182" t="s">
        <v>19</v>
      </c>
      <c r="F70" s="183">
        <v>91</v>
      </c>
      <c r="G70" s="183">
        <v>91</v>
      </c>
      <c r="H70" s="183">
        <v>98</v>
      </c>
      <c r="I70" s="183">
        <v>92</v>
      </c>
      <c r="J70" s="183">
        <v>93</v>
      </c>
      <c r="K70" s="183">
        <v>98</v>
      </c>
      <c r="L70" s="809">
        <v>99</v>
      </c>
      <c r="M70" s="183">
        <f>SUM(F70:L70)</f>
        <v>662</v>
      </c>
      <c r="N70" s="210">
        <f t="shared" si="0"/>
        <v>94.571428571428569</v>
      </c>
      <c r="O70" s="183"/>
      <c r="P70" s="192"/>
      <c r="Q70" s="192"/>
      <c r="R70" s="179"/>
    </row>
    <row r="71" spans="1:18" ht="16.5" thickBot="1" x14ac:dyDescent="0.3">
      <c r="A71" s="1016"/>
      <c r="B71" s="1020"/>
      <c r="C71" s="1021"/>
      <c r="D71" s="1015"/>
      <c r="E71" s="182" t="s">
        <v>13</v>
      </c>
      <c r="F71" s="183">
        <f>AVERAGE(F69:F70)</f>
        <v>88</v>
      </c>
      <c r="G71" s="291">
        <f t="shared" ref="G71:N71" si="23">AVERAGE(G69:G70)</f>
        <v>92.5</v>
      </c>
      <c r="H71" s="291">
        <f t="shared" si="23"/>
        <v>93.5</v>
      </c>
      <c r="I71" s="291">
        <f t="shared" si="23"/>
        <v>88</v>
      </c>
      <c r="J71" s="291">
        <f t="shared" si="23"/>
        <v>88.5</v>
      </c>
      <c r="K71" s="291">
        <f t="shared" si="23"/>
        <v>98</v>
      </c>
      <c r="L71" s="291">
        <f t="shared" si="23"/>
        <v>97</v>
      </c>
      <c r="M71" s="291">
        <f t="shared" si="23"/>
        <v>645.5</v>
      </c>
      <c r="N71" s="291">
        <f t="shared" si="23"/>
        <v>92.214285714285722</v>
      </c>
      <c r="O71" s="183"/>
      <c r="P71" s="183"/>
      <c r="Q71" s="183"/>
      <c r="R71" s="179"/>
    </row>
    <row r="72" spans="1:18" ht="16.5" thickBot="1" x14ac:dyDescent="0.3">
      <c r="A72" s="899">
        <v>23</v>
      </c>
      <c r="B72" s="1012"/>
      <c r="C72" s="875"/>
      <c r="D72" s="1015"/>
      <c r="E72" s="182" t="s">
        <v>18</v>
      </c>
      <c r="F72" s="183">
        <v>66</v>
      </c>
      <c r="G72" s="183">
        <v>52</v>
      </c>
      <c r="H72" s="184">
        <v>66</v>
      </c>
      <c r="I72" s="184">
        <v>70</v>
      </c>
      <c r="J72" s="183">
        <v>65</v>
      </c>
      <c r="K72" s="184">
        <v>86</v>
      </c>
      <c r="L72" s="183">
        <v>95</v>
      </c>
      <c r="M72" s="183">
        <v>500</v>
      </c>
      <c r="N72" s="210">
        <f t="shared" ref="N72:N133" si="24">AVERAGE(F72:L72)</f>
        <v>71.428571428571431</v>
      </c>
      <c r="O72" s="183">
        <v>40</v>
      </c>
      <c r="P72" s="192"/>
      <c r="Q72" s="192"/>
      <c r="R72" s="179"/>
    </row>
    <row r="73" spans="1:18" ht="16.5" thickBot="1" x14ac:dyDescent="0.3">
      <c r="A73" s="899"/>
      <c r="B73" s="1013"/>
      <c r="C73" s="875"/>
      <c r="D73" s="1015"/>
      <c r="E73" s="182" t="s">
        <v>19</v>
      </c>
      <c r="F73" s="183">
        <v>74</v>
      </c>
      <c r="G73" s="183">
        <v>50</v>
      </c>
      <c r="H73" s="184">
        <v>82</v>
      </c>
      <c r="I73" s="184">
        <v>78</v>
      </c>
      <c r="J73" s="183">
        <v>86</v>
      </c>
      <c r="K73" s="183">
        <v>90</v>
      </c>
      <c r="L73" s="809">
        <v>96</v>
      </c>
      <c r="M73" s="183">
        <f>SUM(F73:L73)</f>
        <v>556</v>
      </c>
      <c r="N73" s="210">
        <f t="shared" si="24"/>
        <v>79.428571428571431</v>
      </c>
      <c r="O73" s="183"/>
      <c r="P73" s="192"/>
      <c r="Q73" s="192"/>
      <c r="R73" s="179"/>
    </row>
    <row r="74" spans="1:18" ht="16.5" thickBot="1" x14ac:dyDescent="0.3">
      <c r="A74" s="899"/>
      <c r="B74" s="1014"/>
      <c r="C74" s="875"/>
      <c r="D74" s="1015"/>
      <c r="E74" s="182" t="s">
        <v>13</v>
      </c>
      <c r="F74" s="183">
        <f>AVERAGE(F72:F73)</f>
        <v>70</v>
      </c>
      <c r="G74" s="291">
        <f t="shared" ref="G74:N74" si="25">AVERAGE(G72:G73)</f>
        <v>51</v>
      </c>
      <c r="H74" s="291">
        <f t="shared" si="25"/>
        <v>74</v>
      </c>
      <c r="I74" s="291">
        <f t="shared" si="25"/>
        <v>74</v>
      </c>
      <c r="J74" s="291">
        <f t="shared" si="25"/>
        <v>75.5</v>
      </c>
      <c r="K74" s="291">
        <f t="shared" si="25"/>
        <v>88</v>
      </c>
      <c r="L74" s="291">
        <f t="shared" si="25"/>
        <v>95.5</v>
      </c>
      <c r="M74" s="291">
        <f t="shared" si="25"/>
        <v>528</v>
      </c>
      <c r="N74" s="291">
        <f t="shared" si="25"/>
        <v>75.428571428571431</v>
      </c>
      <c r="O74" s="183"/>
      <c r="P74" s="183"/>
      <c r="Q74" s="183"/>
      <c r="R74" s="179"/>
    </row>
    <row r="75" spans="1:18" ht="16.5" thickBot="1" x14ac:dyDescent="0.3">
      <c r="A75" s="870">
        <v>24</v>
      </c>
      <c r="B75" s="1012"/>
      <c r="C75" s="875"/>
      <c r="D75" s="1015"/>
      <c r="E75" s="182" t="s">
        <v>18</v>
      </c>
      <c r="F75" s="183">
        <v>67</v>
      </c>
      <c r="G75" s="184">
        <v>40</v>
      </c>
      <c r="H75" s="184">
        <v>53</v>
      </c>
      <c r="I75" s="183">
        <v>61</v>
      </c>
      <c r="J75" s="184">
        <v>60</v>
      </c>
      <c r="K75" s="183">
        <v>72</v>
      </c>
      <c r="L75" s="183">
        <v>95</v>
      </c>
      <c r="M75" s="183">
        <v>448</v>
      </c>
      <c r="N75" s="210">
        <f t="shared" si="24"/>
        <v>64</v>
      </c>
      <c r="O75" s="183">
        <v>44</v>
      </c>
      <c r="P75" s="192"/>
      <c r="Q75" s="192"/>
      <c r="R75" s="179"/>
    </row>
    <row r="76" spans="1:18" ht="16.5" thickBot="1" x14ac:dyDescent="0.3">
      <c r="A76" s="870"/>
      <c r="B76" s="1013"/>
      <c r="C76" s="875"/>
      <c r="D76" s="1015"/>
      <c r="E76" s="182" t="s">
        <v>19</v>
      </c>
      <c r="F76" s="183">
        <v>73</v>
      </c>
      <c r="G76" s="184">
        <v>50</v>
      </c>
      <c r="H76" s="184">
        <v>74</v>
      </c>
      <c r="I76" s="183">
        <v>70</v>
      </c>
      <c r="J76" s="184">
        <v>76</v>
      </c>
      <c r="K76" s="183">
        <v>82</v>
      </c>
      <c r="L76" s="809">
        <v>96</v>
      </c>
      <c r="M76" s="183">
        <f>SUM(F76:L76)</f>
        <v>521</v>
      </c>
      <c r="N76" s="210">
        <f t="shared" si="24"/>
        <v>74.428571428571431</v>
      </c>
      <c r="O76" s="183"/>
      <c r="P76" s="192"/>
      <c r="Q76" s="192"/>
      <c r="R76" s="179"/>
    </row>
    <row r="77" spans="1:18" ht="16.5" thickBot="1" x14ac:dyDescent="0.3">
      <c r="A77" s="870"/>
      <c r="B77" s="1014"/>
      <c r="C77" s="875"/>
      <c r="D77" s="1015"/>
      <c r="E77" s="182" t="s">
        <v>13</v>
      </c>
      <c r="F77" s="183">
        <f>AVERAGE(F75:F76)</f>
        <v>70</v>
      </c>
      <c r="G77" s="291">
        <f t="shared" ref="G77:N77" si="26">AVERAGE(G75:G76)</f>
        <v>45</v>
      </c>
      <c r="H77" s="291">
        <f t="shared" si="26"/>
        <v>63.5</v>
      </c>
      <c r="I77" s="291">
        <f t="shared" si="26"/>
        <v>65.5</v>
      </c>
      <c r="J77" s="291">
        <f t="shared" si="26"/>
        <v>68</v>
      </c>
      <c r="K77" s="291">
        <f t="shared" si="26"/>
        <v>77</v>
      </c>
      <c r="L77" s="291">
        <f t="shared" si="26"/>
        <v>95.5</v>
      </c>
      <c r="M77" s="291">
        <f t="shared" si="26"/>
        <v>484.5</v>
      </c>
      <c r="N77" s="291">
        <f t="shared" si="26"/>
        <v>69.214285714285722</v>
      </c>
      <c r="O77" s="183"/>
      <c r="P77" s="183"/>
      <c r="Q77" s="183"/>
      <c r="R77" s="179"/>
    </row>
    <row r="78" spans="1:18" ht="16.5" thickBot="1" x14ac:dyDescent="0.3">
      <c r="A78" s="1016">
        <v>25</v>
      </c>
      <c r="B78" s="1012"/>
      <c r="C78" s="875"/>
      <c r="D78" s="1015"/>
      <c r="E78" s="182" t="s">
        <v>18</v>
      </c>
      <c r="F78" s="183">
        <v>78</v>
      </c>
      <c r="G78" s="183">
        <v>68</v>
      </c>
      <c r="H78" s="183">
        <v>60</v>
      </c>
      <c r="I78" s="183">
        <v>70</v>
      </c>
      <c r="J78" s="183">
        <v>54</v>
      </c>
      <c r="K78" s="183">
        <v>89</v>
      </c>
      <c r="L78" s="183">
        <v>95</v>
      </c>
      <c r="M78" s="183">
        <v>514</v>
      </c>
      <c r="N78" s="210">
        <f t="shared" si="24"/>
        <v>73.428571428571431</v>
      </c>
      <c r="O78" s="183">
        <v>35</v>
      </c>
      <c r="P78" s="192"/>
      <c r="Q78" s="192"/>
      <c r="R78" s="179"/>
    </row>
    <row r="79" spans="1:18" ht="16.5" thickBot="1" x14ac:dyDescent="0.3">
      <c r="A79" s="1016"/>
      <c r="B79" s="1013"/>
      <c r="C79" s="875"/>
      <c r="D79" s="1015"/>
      <c r="E79" s="182" t="s">
        <v>19</v>
      </c>
      <c r="F79" s="183">
        <v>82</v>
      </c>
      <c r="G79" s="183">
        <v>50</v>
      </c>
      <c r="H79" s="183">
        <v>83</v>
      </c>
      <c r="I79" s="183">
        <v>78</v>
      </c>
      <c r="J79" s="183">
        <v>71</v>
      </c>
      <c r="K79" s="183">
        <v>90</v>
      </c>
      <c r="L79" s="809">
        <v>97</v>
      </c>
      <c r="M79" s="183">
        <f>SUM(F79:L79)</f>
        <v>551</v>
      </c>
      <c r="N79" s="210">
        <f t="shared" si="24"/>
        <v>78.714285714285708</v>
      </c>
      <c r="O79" s="183"/>
      <c r="P79" s="192"/>
      <c r="Q79" s="192"/>
      <c r="R79" s="179"/>
    </row>
    <row r="80" spans="1:18" ht="16.5" thickBot="1" x14ac:dyDescent="0.3">
      <c r="A80" s="1016"/>
      <c r="B80" s="1014"/>
      <c r="C80" s="875"/>
      <c r="D80" s="1015"/>
      <c r="E80" s="182" t="s">
        <v>13</v>
      </c>
      <c r="F80" s="183">
        <f>AVERAGE(F78:F79)</f>
        <v>80</v>
      </c>
      <c r="G80" s="291">
        <f t="shared" ref="G80:N80" si="27">AVERAGE(G78:G79)</f>
        <v>59</v>
      </c>
      <c r="H80" s="291">
        <f t="shared" si="27"/>
        <v>71.5</v>
      </c>
      <c r="I80" s="291">
        <f t="shared" si="27"/>
        <v>74</v>
      </c>
      <c r="J80" s="291">
        <f t="shared" si="27"/>
        <v>62.5</v>
      </c>
      <c r="K80" s="291">
        <f t="shared" si="27"/>
        <v>89.5</v>
      </c>
      <c r="L80" s="291">
        <f t="shared" si="27"/>
        <v>96</v>
      </c>
      <c r="M80" s="291">
        <f t="shared" si="27"/>
        <v>532.5</v>
      </c>
      <c r="N80" s="291">
        <f t="shared" si="27"/>
        <v>76.071428571428569</v>
      </c>
      <c r="O80" s="183"/>
      <c r="P80" s="183"/>
      <c r="Q80" s="183"/>
      <c r="R80" s="179"/>
    </row>
    <row r="81" spans="1:18" ht="16.5" thickBot="1" x14ac:dyDescent="0.3">
      <c r="A81" s="899">
        <v>26</v>
      </c>
      <c r="B81" s="1012"/>
      <c r="C81" s="875"/>
      <c r="D81" s="1015"/>
      <c r="E81" s="182" t="s">
        <v>18</v>
      </c>
      <c r="F81" s="183">
        <v>69</v>
      </c>
      <c r="G81" s="183">
        <v>60</v>
      </c>
      <c r="H81" s="184">
        <v>71</v>
      </c>
      <c r="I81" s="183">
        <v>68</v>
      </c>
      <c r="J81" s="183">
        <v>60</v>
      </c>
      <c r="K81" s="183">
        <v>74</v>
      </c>
      <c r="L81" s="183">
        <v>95</v>
      </c>
      <c r="M81" s="183">
        <v>497</v>
      </c>
      <c r="N81" s="210">
        <f t="shared" si="24"/>
        <v>71</v>
      </c>
      <c r="O81" s="183">
        <v>41</v>
      </c>
      <c r="P81" s="192"/>
      <c r="Q81" s="192"/>
      <c r="R81" s="179"/>
    </row>
    <row r="82" spans="1:18" ht="16.5" thickBot="1" x14ac:dyDescent="0.3">
      <c r="A82" s="899"/>
      <c r="B82" s="1013"/>
      <c r="C82" s="875"/>
      <c r="D82" s="1015"/>
      <c r="E82" s="182" t="s">
        <v>19</v>
      </c>
      <c r="F82" s="183">
        <v>72</v>
      </c>
      <c r="G82" s="183">
        <v>50</v>
      </c>
      <c r="H82" s="184">
        <v>81</v>
      </c>
      <c r="I82" s="183">
        <v>76</v>
      </c>
      <c r="J82" s="183">
        <v>74</v>
      </c>
      <c r="K82" s="183">
        <v>80</v>
      </c>
      <c r="L82" s="809">
        <v>97</v>
      </c>
      <c r="M82" s="183">
        <f>SUM(F82:L82)</f>
        <v>530</v>
      </c>
      <c r="N82" s="210">
        <f t="shared" si="24"/>
        <v>75.714285714285708</v>
      </c>
      <c r="O82" s="183"/>
      <c r="P82" s="192"/>
      <c r="Q82" s="192"/>
      <c r="R82" s="179"/>
    </row>
    <row r="83" spans="1:18" ht="16.5" thickBot="1" x14ac:dyDescent="0.3">
      <c r="A83" s="899"/>
      <c r="B83" s="1014"/>
      <c r="C83" s="875"/>
      <c r="D83" s="1015"/>
      <c r="E83" s="182" t="s">
        <v>13</v>
      </c>
      <c r="F83" s="183">
        <f>AVERAGE(F81:F82)</f>
        <v>70.5</v>
      </c>
      <c r="G83" s="291">
        <f t="shared" ref="G83:N83" si="28">AVERAGE(G81:G82)</f>
        <v>55</v>
      </c>
      <c r="H83" s="291">
        <f t="shared" si="28"/>
        <v>76</v>
      </c>
      <c r="I83" s="291">
        <f t="shared" si="28"/>
        <v>72</v>
      </c>
      <c r="J83" s="291">
        <f t="shared" si="28"/>
        <v>67</v>
      </c>
      <c r="K83" s="291">
        <f t="shared" si="28"/>
        <v>77</v>
      </c>
      <c r="L83" s="291">
        <f t="shared" si="28"/>
        <v>96</v>
      </c>
      <c r="M83" s="291">
        <f t="shared" si="28"/>
        <v>513.5</v>
      </c>
      <c r="N83" s="291">
        <f t="shared" si="28"/>
        <v>73.357142857142861</v>
      </c>
      <c r="O83" s="183"/>
      <c r="P83" s="183"/>
      <c r="Q83" s="183"/>
      <c r="R83" s="179"/>
    </row>
    <row r="84" spans="1:18" ht="16.5" thickBot="1" x14ac:dyDescent="0.3">
      <c r="A84" s="870">
        <v>27</v>
      </c>
      <c r="B84" s="1012"/>
      <c r="C84" s="875"/>
      <c r="D84" s="1015"/>
      <c r="E84" s="182" t="s">
        <v>18</v>
      </c>
      <c r="F84" s="183">
        <v>73</v>
      </c>
      <c r="G84" s="183">
        <v>65</v>
      </c>
      <c r="H84" s="183">
        <v>66</v>
      </c>
      <c r="I84" s="183">
        <v>66</v>
      </c>
      <c r="J84" s="183">
        <v>61</v>
      </c>
      <c r="K84" s="183">
        <v>93</v>
      </c>
      <c r="L84" s="183">
        <v>95</v>
      </c>
      <c r="M84" s="183">
        <v>519</v>
      </c>
      <c r="N84" s="210">
        <f t="shared" si="24"/>
        <v>74.142857142857139</v>
      </c>
      <c r="O84" s="183">
        <v>34</v>
      </c>
      <c r="P84" s="192"/>
      <c r="Q84" s="192"/>
      <c r="R84" s="179"/>
    </row>
    <row r="85" spans="1:18" ht="16.5" thickBot="1" x14ac:dyDescent="0.3">
      <c r="A85" s="870"/>
      <c r="B85" s="1013"/>
      <c r="C85" s="875"/>
      <c r="D85" s="1015"/>
      <c r="E85" s="182" t="s">
        <v>19</v>
      </c>
      <c r="F85" s="183">
        <v>78</v>
      </c>
      <c r="G85" s="183">
        <v>57</v>
      </c>
      <c r="H85" s="183">
        <v>82</v>
      </c>
      <c r="I85" s="183">
        <v>75</v>
      </c>
      <c r="J85" s="183">
        <v>75</v>
      </c>
      <c r="K85" s="183">
        <v>93</v>
      </c>
      <c r="L85" s="809">
        <v>98</v>
      </c>
      <c r="M85" s="183">
        <f>SUM(F85:L85)</f>
        <v>558</v>
      </c>
      <c r="N85" s="210">
        <f t="shared" si="24"/>
        <v>79.714285714285708</v>
      </c>
      <c r="O85" s="183"/>
      <c r="P85" s="192"/>
      <c r="Q85" s="192"/>
      <c r="R85" s="179"/>
    </row>
    <row r="86" spans="1:18" ht="16.5" thickBot="1" x14ac:dyDescent="0.3">
      <c r="A86" s="870"/>
      <c r="B86" s="1014"/>
      <c r="C86" s="875"/>
      <c r="D86" s="1015"/>
      <c r="E86" s="182" t="s">
        <v>13</v>
      </c>
      <c r="F86" s="183">
        <f>AVERAGE(F84:F85)</f>
        <v>75.5</v>
      </c>
      <c r="G86" s="291">
        <f t="shared" ref="G86:N86" si="29">AVERAGE(G84:G85)</f>
        <v>61</v>
      </c>
      <c r="H86" s="291">
        <f t="shared" si="29"/>
        <v>74</v>
      </c>
      <c r="I86" s="291">
        <f t="shared" si="29"/>
        <v>70.5</v>
      </c>
      <c r="J86" s="291">
        <f t="shared" si="29"/>
        <v>68</v>
      </c>
      <c r="K86" s="291">
        <f t="shared" si="29"/>
        <v>93</v>
      </c>
      <c r="L86" s="291">
        <f t="shared" si="29"/>
        <v>96.5</v>
      </c>
      <c r="M86" s="291">
        <f t="shared" si="29"/>
        <v>538.5</v>
      </c>
      <c r="N86" s="291">
        <f t="shared" si="29"/>
        <v>76.928571428571416</v>
      </c>
      <c r="O86" s="183"/>
      <c r="P86" s="183"/>
      <c r="Q86" s="183"/>
      <c r="R86" s="179"/>
    </row>
    <row r="87" spans="1:18" ht="16.5" thickBot="1" x14ac:dyDescent="0.3">
      <c r="A87" s="1016">
        <v>28</v>
      </c>
      <c r="B87" s="1012"/>
      <c r="C87" s="875"/>
      <c r="D87" s="1015"/>
      <c r="E87" s="182" t="s">
        <v>18</v>
      </c>
      <c r="F87" s="183">
        <v>88</v>
      </c>
      <c r="G87" s="183">
        <v>74</v>
      </c>
      <c r="H87" s="183">
        <v>92</v>
      </c>
      <c r="I87" s="183">
        <v>74</v>
      </c>
      <c r="J87" s="183">
        <v>76</v>
      </c>
      <c r="K87" s="183">
        <v>99</v>
      </c>
      <c r="L87" s="183">
        <v>95</v>
      </c>
      <c r="M87" s="183">
        <v>598</v>
      </c>
      <c r="N87" s="210">
        <f t="shared" si="24"/>
        <v>85.428571428571431</v>
      </c>
      <c r="O87" s="183">
        <v>17</v>
      </c>
      <c r="P87" s="192"/>
      <c r="Q87" s="192"/>
      <c r="R87" s="179"/>
    </row>
    <row r="88" spans="1:18" ht="16.5" thickBot="1" x14ac:dyDescent="0.3">
      <c r="A88" s="1016"/>
      <c r="B88" s="1013"/>
      <c r="C88" s="875"/>
      <c r="D88" s="1015"/>
      <c r="E88" s="182" t="s">
        <v>19</v>
      </c>
      <c r="F88" s="183">
        <v>91</v>
      </c>
      <c r="G88" s="183">
        <v>74</v>
      </c>
      <c r="H88" s="183">
        <v>94</v>
      </c>
      <c r="I88" s="183">
        <v>82</v>
      </c>
      <c r="J88" s="183">
        <v>90</v>
      </c>
      <c r="K88" s="183">
        <v>99</v>
      </c>
      <c r="L88" s="809">
        <v>99</v>
      </c>
      <c r="M88" s="183">
        <f>SUM(F88:L88)</f>
        <v>629</v>
      </c>
      <c r="N88" s="210">
        <f t="shared" si="24"/>
        <v>89.857142857142861</v>
      </c>
      <c r="O88" s="183"/>
      <c r="P88" s="192"/>
      <c r="Q88" s="192"/>
      <c r="R88" s="179"/>
    </row>
    <row r="89" spans="1:18" ht="16.5" thickBot="1" x14ac:dyDescent="0.3">
      <c r="A89" s="1016"/>
      <c r="B89" s="1014"/>
      <c r="C89" s="875"/>
      <c r="D89" s="1015"/>
      <c r="E89" s="182" t="s">
        <v>13</v>
      </c>
      <c r="F89" s="183">
        <f>AVERAGE(F87:F88)</f>
        <v>89.5</v>
      </c>
      <c r="G89" s="291">
        <f t="shared" ref="G89:N89" si="30">AVERAGE(G87:G88)</f>
        <v>74</v>
      </c>
      <c r="H89" s="291">
        <f t="shared" si="30"/>
        <v>93</v>
      </c>
      <c r="I89" s="291">
        <f t="shared" si="30"/>
        <v>78</v>
      </c>
      <c r="J89" s="291">
        <f t="shared" si="30"/>
        <v>83</v>
      </c>
      <c r="K89" s="291">
        <f t="shared" si="30"/>
        <v>99</v>
      </c>
      <c r="L89" s="291">
        <f t="shared" si="30"/>
        <v>97</v>
      </c>
      <c r="M89" s="291">
        <f t="shared" si="30"/>
        <v>613.5</v>
      </c>
      <c r="N89" s="291">
        <f t="shared" si="30"/>
        <v>87.642857142857139</v>
      </c>
      <c r="O89" s="183"/>
      <c r="P89" s="183"/>
      <c r="Q89" s="183"/>
      <c r="R89" s="179"/>
    </row>
    <row r="90" spans="1:18" ht="16.5" thickBot="1" x14ac:dyDescent="0.3">
      <c r="A90" s="899">
        <v>29</v>
      </c>
      <c r="B90" s="1012"/>
      <c r="C90" s="875"/>
      <c r="D90" s="1015"/>
      <c r="E90" s="182" t="s">
        <v>18</v>
      </c>
      <c r="F90" s="183">
        <v>92</v>
      </c>
      <c r="G90" s="184">
        <v>94</v>
      </c>
      <c r="H90" s="184">
        <v>94</v>
      </c>
      <c r="I90" s="184">
        <v>94</v>
      </c>
      <c r="J90" s="183">
        <v>96</v>
      </c>
      <c r="K90" s="183">
        <v>100</v>
      </c>
      <c r="L90" s="183">
        <v>95</v>
      </c>
      <c r="M90" s="183">
        <v>665</v>
      </c>
      <c r="N90" s="210">
        <f t="shared" si="24"/>
        <v>95</v>
      </c>
      <c r="O90" s="183">
        <v>3</v>
      </c>
      <c r="P90" s="192"/>
      <c r="Q90" s="192"/>
      <c r="R90" s="179"/>
    </row>
    <row r="91" spans="1:18" ht="16.5" thickBot="1" x14ac:dyDescent="0.3">
      <c r="A91" s="899"/>
      <c r="B91" s="1013"/>
      <c r="C91" s="875"/>
      <c r="D91" s="1015"/>
      <c r="E91" s="182" t="s">
        <v>19</v>
      </c>
      <c r="F91" s="183">
        <v>96</v>
      </c>
      <c r="G91" s="184">
        <v>90</v>
      </c>
      <c r="H91" s="184">
        <v>100</v>
      </c>
      <c r="I91" s="184">
        <v>100</v>
      </c>
      <c r="J91" s="183">
        <v>97</v>
      </c>
      <c r="K91" s="183">
        <v>100</v>
      </c>
      <c r="L91" s="809">
        <v>100</v>
      </c>
      <c r="M91" s="183">
        <f>SUM(F91:L91)</f>
        <v>683</v>
      </c>
      <c r="N91" s="210">
        <f t="shared" si="24"/>
        <v>97.571428571428569</v>
      </c>
      <c r="O91" s="183"/>
      <c r="P91" s="192"/>
      <c r="Q91" s="192"/>
      <c r="R91" s="179"/>
    </row>
    <row r="92" spans="1:18" ht="16.5" thickBot="1" x14ac:dyDescent="0.3">
      <c r="A92" s="899"/>
      <c r="B92" s="1014"/>
      <c r="C92" s="971"/>
      <c r="D92" s="1017"/>
      <c r="E92" s="199" t="s">
        <v>13</v>
      </c>
      <c r="F92" s="200">
        <f>AVERAGE(F90:F91)</f>
        <v>94</v>
      </c>
      <c r="G92" s="273">
        <f t="shared" ref="G92:N92" si="31">AVERAGE(G90:G91)</f>
        <v>92</v>
      </c>
      <c r="H92" s="273">
        <f t="shared" si="31"/>
        <v>97</v>
      </c>
      <c r="I92" s="273">
        <f t="shared" si="31"/>
        <v>97</v>
      </c>
      <c r="J92" s="273">
        <f t="shared" si="31"/>
        <v>96.5</v>
      </c>
      <c r="K92" s="273">
        <f t="shared" si="31"/>
        <v>100</v>
      </c>
      <c r="L92" s="273">
        <f t="shared" si="31"/>
        <v>97.5</v>
      </c>
      <c r="M92" s="273">
        <f t="shared" si="31"/>
        <v>674</v>
      </c>
      <c r="N92" s="273">
        <f t="shared" si="31"/>
        <v>96.285714285714278</v>
      </c>
      <c r="O92" s="200"/>
      <c r="P92" s="200"/>
      <c r="Q92" s="200"/>
      <c r="R92" s="179"/>
    </row>
    <row r="93" spans="1:18" ht="15.75" thickBot="1" x14ac:dyDescent="0.3">
      <c r="A93" s="870">
        <v>30</v>
      </c>
      <c r="B93" s="1012"/>
      <c r="C93" s="875"/>
      <c r="D93" s="1015"/>
      <c r="E93" s="182" t="s">
        <v>18</v>
      </c>
      <c r="F93" s="180">
        <v>93</v>
      </c>
      <c r="G93" s="180">
        <v>90</v>
      </c>
      <c r="H93" s="180">
        <v>96</v>
      </c>
      <c r="I93" s="180">
        <v>91</v>
      </c>
      <c r="J93" s="180">
        <v>95</v>
      </c>
      <c r="K93" s="180">
        <v>100</v>
      </c>
      <c r="L93" s="180">
        <v>95</v>
      </c>
      <c r="M93" s="180">
        <v>660</v>
      </c>
      <c r="N93" s="210">
        <f t="shared" si="24"/>
        <v>94.285714285714292</v>
      </c>
      <c r="O93" s="180">
        <v>4</v>
      </c>
      <c r="P93" s="180"/>
      <c r="Q93" s="187"/>
      <c r="R93" s="175"/>
    </row>
    <row r="94" spans="1:18" ht="15.75" thickBot="1" x14ac:dyDescent="0.3">
      <c r="A94" s="870"/>
      <c r="B94" s="1013"/>
      <c r="C94" s="875"/>
      <c r="D94" s="1015"/>
      <c r="E94" s="182" t="s">
        <v>19</v>
      </c>
      <c r="F94" s="180">
        <v>96</v>
      </c>
      <c r="G94" s="180">
        <v>92</v>
      </c>
      <c r="H94" s="180">
        <v>100</v>
      </c>
      <c r="I94" s="180">
        <v>100</v>
      </c>
      <c r="J94" s="180">
        <v>98</v>
      </c>
      <c r="K94" s="180">
        <v>100</v>
      </c>
      <c r="L94" s="809">
        <v>100</v>
      </c>
      <c r="M94" s="180">
        <f>SUM(F94:L94)</f>
        <v>686</v>
      </c>
      <c r="N94" s="210">
        <f t="shared" si="24"/>
        <v>98</v>
      </c>
      <c r="O94" s="180"/>
      <c r="P94" s="180"/>
      <c r="Q94" s="187"/>
      <c r="R94" s="175"/>
    </row>
    <row r="95" spans="1:18" ht="15.75" thickBot="1" x14ac:dyDescent="0.3">
      <c r="A95" s="870"/>
      <c r="B95" s="1014"/>
      <c r="C95" s="875"/>
      <c r="D95" s="1015"/>
      <c r="E95" s="199" t="s">
        <v>13</v>
      </c>
      <c r="F95" s="180">
        <f>AVERAGE(F93:F94)</f>
        <v>94.5</v>
      </c>
      <c r="G95" s="288">
        <f t="shared" ref="G95:N95" si="32">AVERAGE(G93:G94)</f>
        <v>91</v>
      </c>
      <c r="H95" s="288">
        <f t="shared" si="32"/>
        <v>98</v>
      </c>
      <c r="I95" s="288">
        <f t="shared" si="32"/>
        <v>95.5</v>
      </c>
      <c r="J95" s="288">
        <f t="shared" si="32"/>
        <v>96.5</v>
      </c>
      <c r="K95" s="288">
        <f t="shared" si="32"/>
        <v>100</v>
      </c>
      <c r="L95" s="288">
        <f t="shared" si="32"/>
        <v>97.5</v>
      </c>
      <c r="M95" s="288">
        <f t="shared" si="32"/>
        <v>673</v>
      </c>
      <c r="N95" s="288">
        <f t="shared" si="32"/>
        <v>96.142857142857139</v>
      </c>
      <c r="O95" s="180"/>
      <c r="P95" s="180"/>
      <c r="Q95" s="180"/>
      <c r="R95" s="175"/>
    </row>
    <row r="96" spans="1:18" ht="15.75" customHeight="1" thickBot="1" x14ac:dyDescent="0.3">
      <c r="A96" s="1016">
        <v>31</v>
      </c>
      <c r="B96" s="1012"/>
      <c r="C96" s="875"/>
      <c r="D96" s="1015"/>
      <c r="E96" s="182" t="s">
        <v>18</v>
      </c>
      <c r="F96" s="180">
        <v>65</v>
      </c>
      <c r="G96" s="180">
        <v>61</v>
      </c>
      <c r="H96" s="180">
        <v>68</v>
      </c>
      <c r="I96" s="180">
        <v>73</v>
      </c>
      <c r="J96" s="180">
        <v>62</v>
      </c>
      <c r="K96" s="180">
        <v>85</v>
      </c>
      <c r="L96" s="180">
        <v>95</v>
      </c>
      <c r="M96" s="180">
        <v>509</v>
      </c>
      <c r="N96" s="210">
        <f t="shared" si="24"/>
        <v>72.714285714285708</v>
      </c>
      <c r="O96" s="180">
        <v>37</v>
      </c>
      <c r="P96" s="180"/>
      <c r="Q96" s="187"/>
      <c r="R96" s="175"/>
    </row>
    <row r="97" spans="1:18" ht="15.75" customHeight="1" thickBot="1" x14ac:dyDescent="0.3">
      <c r="A97" s="1016"/>
      <c r="B97" s="1013"/>
      <c r="C97" s="875"/>
      <c r="D97" s="1015"/>
      <c r="E97" s="182" t="s">
        <v>19</v>
      </c>
      <c r="F97" s="180">
        <v>76</v>
      </c>
      <c r="G97" s="180">
        <v>58</v>
      </c>
      <c r="H97" s="180">
        <v>82</v>
      </c>
      <c r="I97" s="180">
        <v>81</v>
      </c>
      <c r="J97" s="180">
        <v>76</v>
      </c>
      <c r="K97" s="180">
        <v>90</v>
      </c>
      <c r="L97" s="810">
        <v>98</v>
      </c>
      <c r="M97" s="180">
        <f>SUM(F97:L97)</f>
        <v>561</v>
      </c>
      <c r="N97" s="210">
        <f t="shared" si="24"/>
        <v>80.142857142857139</v>
      </c>
      <c r="O97" s="180"/>
      <c r="P97" s="180"/>
      <c r="Q97" s="187"/>
      <c r="R97" s="175"/>
    </row>
    <row r="98" spans="1:18" ht="15.75" customHeight="1" thickBot="1" x14ac:dyDescent="0.3">
      <c r="A98" s="1016"/>
      <c r="B98" s="1014"/>
      <c r="C98" s="875"/>
      <c r="D98" s="1015"/>
      <c r="E98" s="199" t="s">
        <v>13</v>
      </c>
      <c r="F98" s="180">
        <f>AVERAGE(F96:F97)</f>
        <v>70.5</v>
      </c>
      <c r="G98" s="288">
        <f t="shared" ref="G98:N98" si="33">AVERAGE(G96:G97)</f>
        <v>59.5</v>
      </c>
      <c r="H98" s="288">
        <f t="shared" si="33"/>
        <v>75</v>
      </c>
      <c r="I98" s="288">
        <f t="shared" si="33"/>
        <v>77</v>
      </c>
      <c r="J98" s="288">
        <f t="shared" si="33"/>
        <v>69</v>
      </c>
      <c r="K98" s="288">
        <f t="shared" si="33"/>
        <v>87.5</v>
      </c>
      <c r="L98" s="288">
        <f t="shared" si="33"/>
        <v>96.5</v>
      </c>
      <c r="M98" s="288">
        <f t="shared" si="33"/>
        <v>535</v>
      </c>
      <c r="N98" s="288">
        <f t="shared" si="33"/>
        <v>76.428571428571416</v>
      </c>
      <c r="O98" s="180"/>
      <c r="P98" s="180"/>
      <c r="Q98" s="180"/>
      <c r="R98" s="175"/>
    </row>
    <row r="99" spans="1:18" ht="15.75" customHeight="1" thickBot="1" x14ac:dyDescent="0.3">
      <c r="A99" s="899">
        <v>32</v>
      </c>
      <c r="B99" s="1012"/>
      <c r="C99" s="875"/>
      <c r="D99" s="1015"/>
      <c r="E99" s="182" t="s">
        <v>18</v>
      </c>
      <c r="F99" s="180">
        <v>93</v>
      </c>
      <c r="G99" s="180">
        <v>90</v>
      </c>
      <c r="H99" s="180">
        <v>96</v>
      </c>
      <c r="I99" s="180">
        <v>92</v>
      </c>
      <c r="J99" s="180">
        <v>86</v>
      </c>
      <c r="K99" s="180">
        <v>91</v>
      </c>
      <c r="L99" s="180">
        <v>95</v>
      </c>
      <c r="M99" s="180">
        <v>643</v>
      </c>
      <c r="N99" s="210">
        <f t="shared" si="24"/>
        <v>91.857142857142861</v>
      </c>
      <c r="O99" s="180">
        <v>6</v>
      </c>
      <c r="P99" s="180"/>
      <c r="Q99" s="187"/>
      <c r="R99" s="175"/>
    </row>
    <row r="100" spans="1:18" ht="15.75" customHeight="1" thickBot="1" x14ac:dyDescent="0.3">
      <c r="A100" s="899"/>
      <c r="B100" s="1013"/>
      <c r="C100" s="875"/>
      <c r="D100" s="1015"/>
      <c r="E100" s="182" t="s">
        <v>19</v>
      </c>
      <c r="F100" s="180">
        <v>94</v>
      </c>
      <c r="G100" s="180">
        <v>87</v>
      </c>
      <c r="H100" s="180">
        <v>100</v>
      </c>
      <c r="I100" s="180">
        <v>99</v>
      </c>
      <c r="J100" s="180">
        <v>92</v>
      </c>
      <c r="K100" s="180">
        <v>91</v>
      </c>
      <c r="L100" s="810">
        <v>100</v>
      </c>
      <c r="M100" s="180">
        <f>SUM(F100:L100)</f>
        <v>663</v>
      </c>
      <c r="N100" s="210">
        <f t="shared" si="24"/>
        <v>94.714285714285708</v>
      </c>
      <c r="O100" s="180"/>
      <c r="P100" s="180"/>
      <c r="Q100" s="187"/>
      <c r="R100" s="175"/>
    </row>
    <row r="101" spans="1:18" ht="15.75" customHeight="1" thickBot="1" x14ac:dyDescent="0.3">
      <c r="A101" s="899"/>
      <c r="B101" s="1014"/>
      <c r="C101" s="875"/>
      <c r="D101" s="1015"/>
      <c r="E101" s="199" t="s">
        <v>13</v>
      </c>
      <c r="F101" s="180">
        <f>AVERAGE(F99:F100)</f>
        <v>93.5</v>
      </c>
      <c r="G101" s="288">
        <f t="shared" ref="G101:N101" si="34">AVERAGE(G99:G100)</f>
        <v>88.5</v>
      </c>
      <c r="H101" s="288">
        <f t="shared" si="34"/>
        <v>98</v>
      </c>
      <c r="I101" s="288">
        <f t="shared" si="34"/>
        <v>95.5</v>
      </c>
      <c r="J101" s="288">
        <f t="shared" si="34"/>
        <v>89</v>
      </c>
      <c r="K101" s="288">
        <f t="shared" si="34"/>
        <v>91</v>
      </c>
      <c r="L101" s="288">
        <f t="shared" si="34"/>
        <v>97.5</v>
      </c>
      <c r="M101" s="288">
        <f t="shared" si="34"/>
        <v>653</v>
      </c>
      <c r="N101" s="288">
        <f t="shared" si="34"/>
        <v>93.285714285714278</v>
      </c>
      <c r="O101" s="180"/>
      <c r="P101" s="180"/>
      <c r="Q101" s="180"/>
      <c r="R101" s="175"/>
    </row>
    <row r="102" spans="1:18" ht="15.75" customHeight="1" thickBot="1" x14ac:dyDescent="0.3">
      <c r="A102" s="870">
        <v>33</v>
      </c>
      <c r="B102" s="1012"/>
      <c r="C102" s="875"/>
      <c r="D102" s="1015"/>
      <c r="E102" s="182" t="s">
        <v>18</v>
      </c>
      <c r="F102" s="180">
        <v>84</v>
      </c>
      <c r="G102" s="180">
        <v>87</v>
      </c>
      <c r="H102" s="180">
        <v>87</v>
      </c>
      <c r="I102" s="180">
        <v>92</v>
      </c>
      <c r="J102" s="180">
        <v>85</v>
      </c>
      <c r="K102" s="180">
        <v>97</v>
      </c>
      <c r="L102" s="180">
        <v>95</v>
      </c>
      <c r="M102" s="180">
        <v>627</v>
      </c>
      <c r="N102" s="210">
        <f t="shared" si="24"/>
        <v>89.571428571428569</v>
      </c>
      <c r="O102" s="180">
        <v>11</v>
      </c>
      <c r="P102" s="180"/>
      <c r="Q102" s="187"/>
      <c r="R102" s="175"/>
    </row>
    <row r="103" spans="1:18" ht="15.75" customHeight="1" thickBot="1" x14ac:dyDescent="0.3">
      <c r="A103" s="870"/>
      <c r="B103" s="1013"/>
      <c r="C103" s="875"/>
      <c r="D103" s="1015"/>
      <c r="E103" s="182" t="s">
        <v>19</v>
      </c>
      <c r="F103" s="180">
        <v>90</v>
      </c>
      <c r="G103" s="180">
        <v>82</v>
      </c>
      <c r="H103" s="180">
        <v>97</v>
      </c>
      <c r="I103" s="180">
        <v>99</v>
      </c>
      <c r="J103" s="180">
        <v>92</v>
      </c>
      <c r="K103" s="180">
        <v>96</v>
      </c>
      <c r="L103" s="810">
        <v>99</v>
      </c>
      <c r="M103" s="180">
        <f>SUM(F103:L103)</f>
        <v>655</v>
      </c>
      <c r="N103" s="210">
        <f t="shared" si="24"/>
        <v>93.571428571428569</v>
      </c>
      <c r="O103" s="180"/>
      <c r="P103" s="180"/>
      <c r="Q103" s="187"/>
      <c r="R103" s="175"/>
    </row>
    <row r="104" spans="1:18" ht="15.75" customHeight="1" thickBot="1" x14ac:dyDescent="0.3">
      <c r="A104" s="870"/>
      <c r="B104" s="1014"/>
      <c r="C104" s="875"/>
      <c r="D104" s="1015"/>
      <c r="E104" s="199" t="s">
        <v>13</v>
      </c>
      <c r="F104" s="180">
        <f>AVERAGE(F102:F103)</f>
        <v>87</v>
      </c>
      <c r="G104" s="288">
        <f t="shared" ref="G104:N104" si="35">AVERAGE(G102:G103)</f>
        <v>84.5</v>
      </c>
      <c r="H104" s="288">
        <f t="shared" si="35"/>
        <v>92</v>
      </c>
      <c r="I104" s="288">
        <f t="shared" si="35"/>
        <v>95.5</v>
      </c>
      <c r="J104" s="288">
        <f t="shared" si="35"/>
        <v>88.5</v>
      </c>
      <c r="K104" s="288">
        <f t="shared" si="35"/>
        <v>96.5</v>
      </c>
      <c r="L104" s="288">
        <f t="shared" si="35"/>
        <v>97</v>
      </c>
      <c r="M104" s="288">
        <f t="shared" si="35"/>
        <v>641</v>
      </c>
      <c r="N104" s="288">
        <f t="shared" si="35"/>
        <v>91.571428571428569</v>
      </c>
      <c r="O104" s="180"/>
      <c r="P104" s="180"/>
      <c r="Q104" s="180"/>
      <c r="R104" s="175"/>
    </row>
    <row r="105" spans="1:18" ht="15.75" thickBot="1" x14ac:dyDescent="0.3">
      <c r="A105" s="1016">
        <v>34</v>
      </c>
      <c r="B105" s="1012"/>
      <c r="C105" s="875"/>
      <c r="D105" s="1015"/>
      <c r="E105" s="182" t="s">
        <v>18</v>
      </c>
      <c r="F105" s="180">
        <v>73</v>
      </c>
      <c r="G105" s="180">
        <v>76</v>
      </c>
      <c r="H105" s="180">
        <v>88</v>
      </c>
      <c r="I105" s="180">
        <v>74</v>
      </c>
      <c r="J105" s="180">
        <v>73</v>
      </c>
      <c r="K105" s="180">
        <v>89</v>
      </c>
      <c r="L105" s="180">
        <v>95</v>
      </c>
      <c r="M105" s="180">
        <v>568</v>
      </c>
      <c r="N105" s="210">
        <f t="shared" si="24"/>
        <v>81.142857142857139</v>
      </c>
      <c r="O105" s="180">
        <v>19</v>
      </c>
      <c r="P105" s="180"/>
      <c r="Q105" s="187"/>
      <c r="R105" s="175"/>
    </row>
    <row r="106" spans="1:18" ht="15.75" thickBot="1" x14ac:dyDescent="0.3">
      <c r="A106" s="1016"/>
      <c r="B106" s="1013"/>
      <c r="C106" s="875"/>
      <c r="D106" s="1015"/>
      <c r="E106" s="182" t="s">
        <v>19</v>
      </c>
      <c r="F106" s="180">
        <v>80</v>
      </c>
      <c r="G106" s="180">
        <v>65</v>
      </c>
      <c r="H106" s="180">
        <v>86</v>
      </c>
      <c r="I106" s="180">
        <v>82</v>
      </c>
      <c r="J106" s="180">
        <v>77</v>
      </c>
      <c r="K106" s="180">
        <v>90</v>
      </c>
      <c r="L106" s="810">
        <v>98</v>
      </c>
      <c r="M106" s="180">
        <f>SUM(F106:L106)</f>
        <v>578</v>
      </c>
      <c r="N106" s="210">
        <f t="shared" si="24"/>
        <v>82.571428571428569</v>
      </c>
      <c r="O106" s="180"/>
      <c r="P106" s="180"/>
      <c r="Q106" s="187"/>
      <c r="R106" s="175"/>
    </row>
    <row r="107" spans="1:18" ht="15.75" thickBot="1" x14ac:dyDescent="0.3">
      <c r="A107" s="1016"/>
      <c r="B107" s="1014"/>
      <c r="C107" s="875"/>
      <c r="D107" s="1015"/>
      <c r="E107" s="199" t="s">
        <v>13</v>
      </c>
      <c r="F107" s="180">
        <f>AVERAGE(F105:F106)</f>
        <v>76.5</v>
      </c>
      <c r="G107" s="288">
        <f t="shared" ref="G107:N107" si="36">AVERAGE(G105:G106)</f>
        <v>70.5</v>
      </c>
      <c r="H107" s="288">
        <f t="shared" si="36"/>
        <v>87</v>
      </c>
      <c r="I107" s="288">
        <f t="shared" si="36"/>
        <v>78</v>
      </c>
      <c r="J107" s="288">
        <f t="shared" si="36"/>
        <v>75</v>
      </c>
      <c r="K107" s="288">
        <f t="shared" si="36"/>
        <v>89.5</v>
      </c>
      <c r="L107" s="288">
        <f t="shared" si="36"/>
        <v>96.5</v>
      </c>
      <c r="M107" s="288">
        <f t="shared" si="36"/>
        <v>573</v>
      </c>
      <c r="N107" s="288">
        <f t="shared" si="36"/>
        <v>81.857142857142861</v>
      </c>
      <c r="O107" s="180"/>
      <c r="P107" s="180"/>
      <c r="Q107" s="180"/>
      <c r="R107" s="175"/>
    </row>
    <row r="108" spans="1:18" ht="15.75" customHeight="1" thickBot="1" x14ac:dyDescent="0.3">
      <c r="A108" s="899">
        <v>35</v>
      </c>
      <c r="B108" s="1012"/>
      <c r="C108" s="875"/>
      <c r="D108" s="1015"/>
      <c r="E108" s="182" t="s">
        <v>18</v>
      </c>
      <c r="F108" s="180">
        <v>80</v>
      </c>
      <c r="G108" s="180">
        <v>60</v>
      </c>
      <c r="H108" s="180">
        <v>61</v>
      </c>
      <c r="I108" s="180">
        <v>69</v>
      </c>
      <c r="J108" s="180">
        <v>69</v>
      </c>
      <c r="K108" s="180">
        <v>89</v>
      </c>
      <c r="L108" s="180">
        <v>95</v>
      </c>
      <c r="M108" s="180">
        <v>523</v>
      </c>
      <c r="N108" s="210">
        <f t="shared" si="24"/>
        <v>74.714285714285708</v>
      </c>
      <c r="O108" s="180">
        <v>32</v>
      </c>
      <c r="P108" s="180"/>
      <c r="Q108" s="187"/>
      <c r="R108" s="175"/>
    </row>
    <row r="109" spans="1:18" ht="15.75" customHeight="1" thickBot="1" x14ac:dyDescent="0.3">
      <c r="A109" s="899"/>
      <c r="B109" s="1013"/>
      <c r="C109" s="875"/>
      <c r="D109" s="1015"/>
      <c r="E109" s="182" t="s">
        <v>19</v>
      </c>
      <c r="F109" s="180">
        <v>82</v>
      </c>
      <c r="G109" s="180">
        <v>53</v>
      </c>
      <c r="H109" s="180">
        <v>78</v>
      </c>
      <c r="I109" s="180">
        <v>77</v>
      </c>
      <c r="J109" s="180">
        <v>79</v>
      </c>
      <c r="K109" s="180">
        <v>90</v>
      </c>
      <c r="L109" s="810">
        <v>97</v>
      </c>
      <c r="M109" s="180">
        <f>SUM(F109:L109)</f>
        <v>556</v>
      </c>
      <c r="N109" s="210">
        <f t="shared" si="24"/>
        <v>79.428571428571431</v>
      </c>
      <c r="O109" s="180"/>
      <c r="P109" s="180"/>
      <c r="Q109" s="187"/>
      <c r="R109" s="175"/>
    </row>
    <row r="110" spans="1:18" ht="15.75" customHeight="1" thickBot="1" x14ac:dyDescent="0.3">
      <c r="A110" s="899"/>
      <c r="B110" s="1014"/>
      <c r="C110" s="875"/>
      <c r="D110" s="1015"/>
      <c r="E110" s="199" t="s">
        <v>13</v>
      </c>
      <c r="F110" s="180">
        <f>AVERAGE(F108:F109)</f>
        <v>81</v>
      </c>
      <c r="G110" s="288">
        <f t="shared" ref="G110:N110" si="37">AVERAGE(G108:G109)</f>
        <v>56.5</v>
      </c>
      <c r="H110" s="288">
        <f t="shared" si="37"/>
        <v>69.5</v>
      </c>
      <c r="I110" s="288">
        <f t="shared" si="37"/>
        <v>73</v>
      </c>
      <c r="J110" s="288">
        <f t="shared" si="37"/>
        <v>74</v>
      </c>
      <c r="K110" s="288">
        <f t="shared" si="37"/>
        <v>89.5</v>
      </c>
      <c r="L110" s="288">
        <f t="shared" si="37"/>
        <v>96</v>
      </c>
      <c r="M110" s="288">
        <f t="shared" si="37"/>
        <v>539.5</v>
      </c>
      <c r="N110" s="288">
        <f t="shared" si="37"/>
        <v>77.071428571428569</v>
      </c>
      <c r="O110" s="180"/>
      <c r="P110" s="180"/>
      <c r="Q110" s="180"/>
      <c r="R110" s="175"/>
    </row>
    <row r="111" spans="1:18" ht="15.75" thickBot="1" x14ac:dyDescent="0.3">
      <c r="A111" s="870">
        <v>36</v>
      </c>
      <c r="B111" s="1012"/>
      <c r="C111" s="875"/>
      <c r="D111" s="1015"/>
      <c r="E111" s="182" t="s">
        <v>18</v>
      </c>
      <c r="F111" s="180">
        <v>87</v>
      </c>
      <c r="G111" s="180">
        <v>74</v>
      </c>
      <c r="H111" s="180">
        <v>82</v>
      </c>
      <c r="I111" s="180">
        <v>88</v>
      </c>
      <c r="J111" s="180">
        <v>84</v>
      </c>
      <c r="K111" s="180">
        <v>94</v>
      </c>
      <c r="L111" s="180">
        <v>95</v>
      </c>
      <c r="M111" s="180">
        <v>604</v>
      </c>
      <c r="N111" s="210">
        <f t="shared" si="24"/>
        <v>86.285714285714292</v>
      </c>
      <c r="O111" s="180">
        <v>16</v>
      </c>
      <c r="P111" s="180"/>
      <c r="Q111" s="187"/>
      <c r="R111" s="175"/>
    </row>
    <row r="112" spans="1:18" ht="15.75" thickBot="1" x14ac:dyDescent="0.3">
      <c r="A112" s="870"/>
      <c r="B112" s="1013"/>
      <c r="C112" s="875"/>
      <c r="D112" s="1015"/>
      <c r="E112" s="182" t="s">
        <v>19</v>
      </c>
      <c r="F112" s="180">
        <v>91</v>
      </c>
      <c r="G112" s="180">
        <v>86</v>
      </c>
      <c r="H112" s="180">
        <v>92</v>
      </c>
      <c r="I112" s="180">
        <v>96</v>
      </c>
      <c r="J112" s="180">
        <v>94</v>
      </c>
      <c r="K112" s="180">
        <v>93</v>
      </c>
      <c r="L112" s="810">
        <v>99</v>
      </c>
      <c r="M112" s="180">
        <f>SUM(F112:L112)</f>
        <v>651</v>
      </c>
      <c r="N112" s="210">
        <f t="shared" si="24"/>
        <v>93</v>
      </c>
      <c r="O112" s="180"/>
      <c r="P112" s="180"/>
      <c r="Q112" s="187"/>
      <c r="R112" s="175"/>
    </row>
    <row r="113" spans="1:18" ht="15.75" thickBot="1" x14ac:dyDescent="0.3">
      <c r="A113" s="870"/>
      <c r="B113" s="1014"/>
      <c r="C113" s="875"/>
      <c r="D113" s="1015"/>
      <c r="E113" s="199" t="s">
        <v>13</v>
      </c>
      <c r="F113" s="180">
        <f>AVERAGE(F111:F112)</f>
        <v>89</v>
      </c>
      <c r="G113" s="288">
        <f t="shared" ref="G113:N113" si="38">AVERAGE(G111:G112)</f>
        <v>80</v>
      </c>
      <c r="H113" s="288">
        <f t="shared" si="38"/>
        <v>87</v>
      </c>
      <c r="I113" s="288">
        <f t="shared" si="38"/>
        <v>92</v>
      </c>
      <c r="J113" s="288">
        <f t="shared" si="38"/>
        <v>89</v>
      </c>
      <c r="K113" s="288">
        <f t="shared" si="38"/>
        <v>93.5</v>
      </c>
      <c r="L113" s="288">
        <f t="shared" si="38"/>
        <v>97</v>
      </c>
      <c r="M113" s="288">
        <f t="shared" si="38"/>
        <v>627.5</v>
      </c>
      <c r="N113" s="288">
        <f t="shared" si="38"/>
        <v>89.642857142857139</v>
      </c>
      <c r="O113" s="180"/>
      <c r="P113" s="180"/>
      <c r="Q113" s="180"/>
      <c r="R113" s="175"/>
    </row>
    <row r="114" spans="1:18" ht="15.75" customHeight="1" thickBot="1" x14ac:dyDescent="0.3">
      <c r="A114" s="1016">
        <v>37</v>
      </c>
      <c r="B114" s="1012"/>
      <c r="C114" s="875"/>
      <c r="D114" s="1015"/>
      <c r="E114" s="182" t="s">
        <v>18</v>
      </c>
      <c r="F114" s="180">
        <v>84</v>
      </c>
      <c r="G114" s="180">
        <v>71</v>
      </c>
      <c r="H114" s="180">
        <v>81</v>
      </c>
      <c r="I114" s="180">
        <v>80</v>
      </c>
      <c r="J114" s="180">
        <v>70</v>
      </c>
      <c r="K114" s="180">
        <v>96</v>
      </c>
      <c r="L114" s="180">
        <v>95</v>
      </c>
      <c r="M114" s="180">
        <v>577</v>
      </c>
      <c r="N114" s="210">
        <f t="shared" si="24"/>
        <v>82.428571428571431</v>
      </c>
      <c r="O114" s="180">
        <v>18</v>
      </c>
      <c r="P114" s="180"/>
      <c r="Q114" s="187"/>
      <c r="R114" s="175"/>
    </row>
    <row r="115" spans="1:18" ht="15.75" customHeight="1" thickBot="1" x14ac:dyDescent="0.3">
      <c r="A115" s="1016"/>
      <c r="B115" s="1013"/>
      <c r="C115" s="875"/>
      <c r="D115" s="1015"/>
      <c r="E115" s="182" t="s">
        <v>19</v>
      </c>
      <c r="F115" s="180">
        <v>91</v>
      </c>
      <c r="G115" s="180">
        <v>74</v>
      </c>
      <c r="H115" s="180">
        <v>91</v>
      </c>
      <c r="I115" s="180">
        <v>88</v>
      </c>
      <c r="J115" s="180">
        <v>92</v>
      </c>
      <c r="K115" s="180">
        <v>95</v>
      </c>
      <c r="L115" s="810">
        <v>98</v>
      </c>
      <c r="M115" s="180">
        <f>SUM(F115:L115)</f>
        <v>629</v>
      </c>
      <c r="N115" s="210">
        <f t="shared" si="24"/>
        <v>89.857142857142861</v>
      </c>
      <c r="O115" s="180"/>
      <c r="P115" s="180"/>
      <c r="Q115" s="187"/>
      <c r="R115" s="175"/>
    </row>
    <row r="116" spans="1:18" ht="15.75" customHeight="1" thickBot="1" x14ac:dyDescent="0.3">
      <c r="A116" s="1016"/>
      <c r="B116" s="1014"/>
      <c r="C116" s="875"/>
      <c r="D116" s="1015"/>
      <c r="E116" s="199" t="s">
        <v>13</v>
      </c>
      <c r="F116" s="180">
        <f>AVERAGE(F114:F115)</f>
        <v>87.5</v>
      </c>
      <c r="G116" s="288">
        <f t="shared" ref="G116:N116" si="39">AVERAGE(G114:G115)</f>
        <v>72.5</v>
      </c>
      <c r="H116" s="288">
        <f t="shared" si="39"/>
        <v>86</v>
      </c>
      <c r="I116" s="288">
        <f t="shared" si="39"/>
        <v>84</v>
      </c>
      <c r="J116" s="288">
        <f t="shared" si="39"/>
        <v>81</v>
      </c>
      <c r="K116" s="288">
        <f t="shared" si="39"/>
        <v>95.5</v>
      </c>
      <c r="L116" s="288">
        <f t="shared" si="39"/>
        <v>96.5</v>
      </c>
      <c r="M116" s="288">
        <f t="shared" si="39"/>
        <v>603</v>
      </c>
      <c r="N116" s="288">
        <f t="shared" si="39"/>
        <v>86.142857142857139</v>
      </c>
      <c r="O116" s="180"/>
      <c r="P116" s="180"/>
      <c r="Q116" s="180"/>
      <c r="R116" s="175"/>
    </row>
    <row r="117" spans="1:18" ht="15.75" customHeight="1" thickBot="1" x14ac:dyDescent="0.3">
      <c r="A117" s="899">
        <v>38</v>
      </c>
      <c r="B117" s="1012"/>
      <c r="C117" s="875"/>
      <c r="D117" s="1015"/>
      <c r="E117" s="182" t="s">
        <v>18</v>
      </c>
      <c r="F117" s="180">
        <v>94</v>
      </c>
      <c r="G117" s="180">
        <v>78</v>
      </c>
      <c r="H117" s="180">
        <v>91</v>
      </c>
      <c r="I117" s="180">
        <v>89</v>
      </c>
      <c r="J117" s="180">
        <v>92</v>
      </c>
      <c r="K117" s="180">
        <v>94</v>
      </c>
      <c r="L117" s="180">
        <v>95</v>
      </c>
      <c r="M117" s="180">
        <v>633</v>
      </c>
      <c r="N117" s="210">
        <f t="shared" si="24"/>
        <v>90.428571428571431</v>
      </c>
      <c r="O117" s="180">
        <v>7</v>
      </c>
      <c r="P117" s="180"/>
      <c r="Q117" s="187"/>
      <c r="R117" s="175"/>
    </row>
    <row r="118" spans="1:18" ht="15.75" customHeight="1" thickBot="1" x14ac:dyDescent="0.3">
      <c r="A118" s="899"/>
      <c r="B118" s="1013"/>
      <c r="C118" s="875"/>
      <c r="D118" s="1015"/>
      <c r="E118" s="182" t="s">
        <v>19</v>
      </c>
      <c r="F118" s="180"/>
      <c r="G118" s="180"/>
      <c r="H118" s="180"/>
      <c r="I118" s="180"/>
      <c r="J118" s="180"/>
      <c r="K118" s="180"/>
      <c r="L118" s="180"/>
      <c r="M118" s="180"/>
      <c r="N118" s="210"/>
      <c r="O118" s="180"/>
      <c r="P118" s="180"/>
      <c r="Q118" s="187"/>
      <c r="R118" s="175"/>
    </row>
    <row r="119" spans="1:18" ht="15.75" customHeight="1" thickBot="1" x14ac:dyDescent="0.3">
      <c r="A119" s="899"/>
      <c r="B119" s="1014"/>
      <c r="C119" s="875"/>
      <c r="D119" s="1015"/>
      <c r="E119" s="199" t="s">
        <v>13</v>
      </c>
      <c r="F119" s="180">
        <f>AVERAGE(F117:F118)</f>
        <v>94</v>
      </c>
      <c r="G119" s="288">
        <f t="shared" ref="G119:N119" si="40">AVERAGE(G117:G118)</f>
        <v>78</v>
      </c>
      <c r="H119" s="288">
        <f t="shared" si="40"/>
        <v>91</v>
      </c>
      <c r="I119" s="288">
        <f t="shared" si="40"/>
        <v>89</v>
      </c>
      <c r="J119" s="288">
        <f t="shared" si="40"/>
        <v>92</v>
      </c>
      <c r="K119" s="288">
        <f t="shared" si="40"/>
        <v>94</v>
      </c>
      <c r="L119" s="288">
        <f t="shared" si="40"/>
        <v>95</v>
      </c>
      <c r="M119" s="288">
        <f t="shared" si="40"/>
        <v>633</v>
      </c>
      <c r="N119" s="288">
        <f t="shared" si="40"/>
        <v>90.428571428571431</v>
      </c>
      <c r="O119" s="180"/>
      <c r="P119" s="180"/>
      <c r="Q119" s="180"/>
      <c r="R119" s="175"/>
    </row>
    <row r="120" spans="1:18" ht="15.75" customHeight="1" thickBot="1" x14ac:dyDescent="0.3">
      <c r="A120" s="870">
        <v>39</v>
      </c>
      <c r="B120" s="1012"/>
      <c r="C120" s="875"/>
      <c r="D120" s="1015"/>
      <c r="E120" s="182" t="s">
        <v>18</v>
      </c>
      <c r="F120" s="180">
        <v>93</v>
      </c>
      <c r="G120" s="180">
        <v>79</v>
      </c>
      <c r="H120" s="180">
        <v>90</v>
      </c>
      <c r="I120" s="180">
        <v>86</v>
      </c>
      <c r="J120" s="180">
        <v>88</v>
      </c>
      <c r="K120" s="180">
        <v>96</v>
      </c>
      <c r="L120" s="180">
        <v>95</v>
      </c>
      <c r="M120" s="180">
        <v>627</v>
      </c>
      <c r="N120" s="210">
        <f t="shared" si="24"/>
        <v>89.571428571428569</v>
      </c>
      <c r="O120" s="180">
        <v>11</v>
      </c>
      <c r="P120" s="180"/>
      <c r="Q120" s="187"/>
      <c r="R120" s="175"/>
    </row>
    <row r="121" spans="1:18" ht="15.75" customHeight="1" thickBot="1" x14ac:dyDescent="0.3">
      <c r="A121" s="870"/>
      <c r="B121" s="1013"/>
      <c r="C121" s="875"/>
      <c r="D121" s="1015"/>
      <c r="E121" s="182" t="s">
        <v>19</v>
      </c>
      <c r="F121" s="180">
        <v>95</v>
      </c>
      <c r="G121" s="180">
        <v>69</v>
      </c>
      <c r="H121" s="180">
        <v>94</v>
      </c>
      <c r="I121" s="180">
        <v>94</v>
      </c>
      <c r="J121" s="180">
        <v>84</v>
      </c>
      <c r="K121" s="180">
        <v>95</v>
      </c>
      <c r="L121" s="810">
        <v>100</v>
      </c>
      <c r="M121" s="180">
        <f>SUM(F121:L121)</f>
        <v>631</v>
      </c>
      <c r="N121" s="210">
        <f t="shared" si="24"/>
        <v>90.142857142857139</v>
      </c>
      <c r="O121" s="180"/>
      <c r="P121" s="180"/>
      <c r="Q121" s="187"/>
      <c r="R121" s="175"/>
    </row>
    <row r="122" spans="1:18" ht="15.75" customHeight="1" thickBot="1" x14ac:dyDescent="0.3">
      <c r="A122" s="870"/>
      <c r="B122" s="1014"/>
      <c r="C122" s="875"/>
      <c r="D122" s="1015"/>
      <c r="E122" s="199" t="s">
        <v>13</v>
      </c>
      <c r="F122" s="180">
        <f>AVERAGE(F120:F121)</f>
        <v>94</v>
      </c>
      <c r="G122" s="288">
        <f t="shared" ref="G122:N122" si="41">AVERAGE(G120:G121)</f>
        <v>74</v>
      </c>
      <c r="H122" s="288">
        <f t="shared" si="41"/>
        <v>92</v>
      </c>
      <c r="I122" s="288">
        <f t="shared" si="41"/>
        <v>90</v>
      </c>
      <c r="J122" s="288">
        <f t="shared" si="41"/>
        <v>86</v>
      </c>
      <c r="K122" s="288">
        <f t="shared" si="41"/>
        <v>95.5</v>
      </c>
      <c r="L122" s="288">
        <f t="shared" si="41"/>
        <v>97.5</v>
      </c>
      <c r="M122" s="288">
        <f t="shared" si="41"/>
        <v>629</v>
      </c>
      <c r="N122" s="288">
        <f t="shared" si="41"/>
        <v>89.857142857142861</v>
      </c>
      <c r="O122" s="180"/>
      <c r="P122" s="180"/>
      <c r="Q122" s="180"/>
      <c r="R122" s="175"/>
    </row>
    <row r="123" spans="1:18" ht="15.75" thickBot="1" x14ac:dyDescent="0.3">
      <c r="A123" s="1016">
        <v>40</v>
      </c>
      <c r="B123" s="1012"/>
      <c r="C123" s="875"/>
      <c r="D123" s="1015"/>
      <c r="E123" s="182" t="s">
        <v>18</v>
      </c>
      <c r="F123" s="180">
        <v>70</v>
      </c>
      <c r="G123" s="180">
        <v>53</v>
      </c>
      <c r="H123" s="180">
        <v>55</v>
      </c>
      <c r="I123" s="180">
        <v>62</v>
      </c>
      <c r="J123" s="180">
        <v>59</v>
      </c>
      <c r="K123" s="180">
        <v>68</v>
      </c>
      <c r="L123" s="180">
        <v>95</v>
      </c>
      <c r="M123" s="180">
        <v>462</v>
      </c>
      <c r="N123" s="210">
        <f t="shared" si="24"/>
        <v>66</v>
      </c>
      <c r="O123" s="180">
        <v>43</v>
      </c>
      <c r="P123" s="180"/>
      <c r="Q123" s="187"/>
      <c r="R123" s="175"/>
    </row>
    <row r="124" spans="1:18" ht="15.75" thickBot="1" x14ac:dyDescent="0.3">
      <c r="A124" s="1016"/>
      <c r="B124" s="1013"/>
      <c r="C124" s="875"/>
      <c r="D124" s="1015"/>
      <c r="E124" s="182" t="s">
        <v>19</v>
      </c>
      <c r="F124" s="180">
        <v>75</v>
      </c>
      <c r="G124" s="180">
        <v>55</v>
      </c>
      <c r="H124" s="180">
        <v>74</v>
      </c>
      <c r="I124" s="180">
        <v>70</v>
      </c>
      <c r="J124" s="180">
        <v>76</v>
      </c>
      <c r="K124" s="180">
        <v>74</v>
      </c>
      <c r="L124" s="810">
        <v>96</v>
      </c>
      <c r="M124" s="180">
        <f>SUM(F124:L124)</f>
        <v>520</v>
      </c>
      <c r="N124" s="210">
        <f t="shared" si="24"/>
        <v>74.285714285714292</v>
      </c>
      <c r="O124" s="180"/>
      <c r="P124" s="180"/>
      <c r="Q124" s="187"/>
      <c r="R124" s="175"/>
    </row>
    <row r="125" spans="1:18" ht="15.75" thickBot="1" x14ac:dyDescent="0.3">
      <c r="A125" s="1016"/>
      <c r="B125" s="1014"/>
      <c r="C125" s="875"/>
      <c r="D125" s="1015"/>
      <c r="E125" s="199" t="s">
        <v>13</v>
      </c>
      <c r="F125" s="180">
        <f>AVERAGE(F123:F124)</f>
        <v>72.5</v>
      </c>
      <c r="G125" s="288">
        <f t="shared" ref="G125:N125" si="42">AVERAGE(G123:G124)</f>
        <v>54</v>
      </c>
      <c r="H125" s="288">
        <f t="shared" si="42"/>
        <v>64.5</v>
      </c>
      <c r="I125" s="288">
        <f t="shared" si="42"/>
        <v>66</v>
      </c>
      <c r="J125" s="288">
        <f t="shared" si="42"/>
        <v>67.5</v>
      </c>
      <c r="K125" s="288">
        <f t="shared" si="42"/>
        <v>71</v>
      </c>
      <c r="L125" s="288">
        <f t="shared" si="42"/>
        <v>95.5</v>
      </c>
      <c r="M125" s="288">
        <f t="shared" si="42"/>
        <v>491</v>
      </c>
      <c r="N125" s="288">
        <f t="shared" si="42"/>
        <v>70.142857142857139</v>
      </c>
      <c r="O125" s="180"/>
      <c r="P125" s="180"/>
      <c r="Q125" s="180"/>
      <c r="R125" s="175"/>
    </row>
    <row r="126" spans="1:18" ht="15.75" customHeight="1" thickBot="1" x14ac:dyDescent="0.3">
      <c r="A126" s="899">
        <v>41</v>
      </c>
      <c r="B126" s="1012"/>
      <c r="C126" s="875"/>
      <c r="D126" s="1015"/>
      <c r="E126" s="182" t="s">
        <v>18</v>
      </c>
      <c r="F126" s="180">
        <v>80</v>
      </c>
      <c r="G126" s="180">
        <v>56</v>
      </c>
      <c r="H126" s="180">
        <v>54</v>
      </c>
      <c r="I126" s="180">
        <v>70</v>
      </c>
      <c r="J126" s="180">
        <v>64</v>
      </c>
      <c r="K126" s="180">
        <v>90</v>
      </c>
      <c r="L126" s="180">
        <v>95</v>
      </c>
      <c r="M126" s="180">
        <v>509</v>
      </c>
      <c r="N126" s="210">
        <f t="shared" si="24"/>
        <v>72.714285714285708</v>
      </c>
      <c r="O126" s="180">
        <v>37</v>
      </c>
      <c r="P126" s="180"/>
      <c r="Q126" s="187"/>
      <c r="R126" s="175"/>
    </row>
    <row r="127" spans="1:18" ht="15.75" customHeight="1" thickBot="1" x14ac:dyDescent="0.3">
      <c r="A127" s="899"/>
      <c r="B127" s="1013"/>
      <c r="C127" s="875"/>
      <c r="D127" s="1015"/>
      <c r="E127" s="182" t="s">
        <v>19</v>
      </c>
      <c r="F127" s="180">
        <v>88</v>
      </c>
      <c r="G127" s="180">
        <v>54</v>
      </c>
      <c r="H127" s="180">
        <v>77</v>
      </c>
      <c r="I127" s="180">
        <v>78</v>
      </c>
      <c r="J127" s="180">
        <v>75</v>
      </c>
      <c r="K127" s="180">
        <v>90</v>
      </c>
      <c r="L127" s="810">
        <v>96</v>
      </c>
      <c r="M127" s="180">
        <f>SUM(F127:L127)</f>
        <v>558</v>
      </c>
      <c r="N127" s="210">
        <f t="shared" si="24"/>
        <v>79.714285714285708</v>
      </c>
      <c r="O127" s="180"/>
      <c r="P127" s="180"/>
      <c r="Q127" s="187"/>
      <c r="R127" s="175"/>
    </row>
    <row r="128" spans="1:18" ht="15.75" customHeight="1" thickBot="1" x14ac:dyDescent="0.3">
      <c r="A128" s="899"/>
      <c r="B128" s="1014"/>
      <c r="C128" s="875"/>
      <c r="D128" s="1015"/>
      <c r="E128" s="199" t="s">
        <v>13</v>
      </c>
      <c r="F128" s="180">
        <f>AVERAGE(F126:F127)</f>
        <v>84</v>
      </c>
      <c r="G128" s="288">
        <f t="shared" ref="G128:N128" si="43">AVERAGE(G126:G127)</f>
        <v>55</v>
      </c>
      <c r="H128" s="288">
        <f t="shared" si="43"/>
        <v>65.5</v>
      </c>
      <c r="I128" s="288">
        <f t="shared" si="43"/>
        <v>74</v>
      </c>
      <c r="J128" s="288">
        <f t="shared" si="43"/>
        <v>69.5</v>
      </c>
      <c r="K128" s="288">
        <f t="shared" si="43"/>
        <v>90</v>
      </c>
      <c r="L128" s="288">
        <f t="shared" si="43"/>
        <v>95.5</v>
      </c>
      <c r="M128" s="288">
        <f t="shared" si="43"/>
        <v>533.5</v>
      </c>
      <c r="N128" s="288">
        <f t="shared" si="43"/>
        <v>76.214285714285708</v>
      </c>
      <c r="O128" s="180"/>
      <c r="P128" s="180"/>
      <c r="Q128" s="180"/>
      <c r="R128" s="175"/>
    </row>
    <row r="129" spans="1:18" ht="15.75" thickBot="1" x14ac:dyDescent="0.3">
      <c r="A129" s="870">
        <v>42</v>
      </c>
      <c r="B129" s="1012"/>
      <c r="C129" s="875"/>
      <c r="D129" s="1015"/>
      <c r="E129" s="182" t="s">
        <v>18</v>
      </c>
      <c r="F129" s="180">
        <v>81</v>
      </c>
      <c r="G129" s="180">
        <v>59</v>
      </c>
      <c r="H129" s="180">
        <v>68</v>
      </c>
      <c r="I129" s="180">
        <v>68</v>
      </c>
      <c r="J129" s="180">
        <v>65</v>
      </c>
      <c r="K129" s="180">
        <v>90</v>
      </c>
      <c r="L129" s="180">
        <v>95</v>
      </c>
      <c r="M129" s="180">
        <v>526</v>
      </c>
      <c r="N129" s="210">
        <f t="shared" si="24"/>
        <v>75.142857142857139</v>
      </c>
      <c r="O129" s="180">
        <v>30</v>
      </c>
      <c r="P129" s="180"/>
      <c r="Q129" s="187"/>
      <c r="R129" s="175"/>
    </row>
    <row r="130" spans="1:18" ht="15.75" thickBot="1" x14ac:dyDescent="0.3">
      <c r="A130" s="870"/>
      <c r="B130" s="1013"/>
      <c r="C130" s="875"/>
      <c r="D130" s="1015"/>
      <c r="E130" s="182" t="s">
        <v>19</v>
      </c>
      <c r="F130" s="180">
        <v>85</v>
      </c>
      <c r="G130" s="180">
        <v>51</v>
      </c>
      <c r="H130" s="180">
        <v>83</v>
      </c>
      <c r="I130" s="180">
        <v>76</v>
      </c>
      <c r="J130" s="180">
        <v>78</v>
      </c>
      <c r="K130" s="180">
        <v>92</v>
      </c>
      <c r="L130" s="810">
        <v>98</v>
      </c>
      <c r="M130" s="180">
        <f>SUM(F130:L130)</f>
        <v>563</v>
      </c>
      <c r="N130" s="210">
        <f t="shared" si="24"/>
        <v>80.428571428571431</v>
      </c>
      <c r="O130" s="180"/>
      <c r="P130" s="180"/>
      <c r="Q130" s="187"/>
      <c r="R130" s="175"/>
    </row>
    <row r="131" spans="1:18" ht="15.75" thickBot="1" x14ac:dyDescent="0.3">
      <c r="A131" s="870"/>
      <c r="B131" s="1014"/>
      <c r="C131" s="875"/>
      <c r="D131" s="1015"/>
      <c r="E131" s="199" t="s">
        <v>13</v>
      </c>
      <c r="F131" s="180">
        <f>AVERAGE(F129:F130)</f>
        <v>83</v>
      </c>
      <c r="G131" s="288">
        <f t="shared" ref="G131:N131" si="44">AVERAGE(G129:G130)</f>
        <v>55</v>
      </c>
      <c r="H131" s="288">
        <f t="shared" si="44"/>
        <v>75.5</v>
      </c>
      <c r="I131" s="288">
        <f t="shared" si="44"/>
        <v>72</v>
      </c>
      <c r="J131" s="288">
        <f t="shared" si="44"/>
        <v>71.5</v>
      </c>
      <c r="K131" s="288">
        <f t="shared" si="44"/>
        <v>91</v>
      </c>
      <c r="L131" s="288">
        <f t="shared" si="44"/>
        <v>96.5</v>
      </c>
      <c r="M131" s="288">
        <f t="shared" si="44"/>
        <v>544.5</v>
      </c>
      <c r="N131" s="288">
        <f t="shared" si="44"/>
        <v>77.785714285714278</v>
      </c>
      <c r="O131" s="180"/>
      <c r="P131" s="180"/>
      <c r="Q131" s="180"/>
      <c r="R131" s="175"/>
    </row>
    <row r="132" spans="1:18" ht="15.75" customHeight="1" thickBot="1" x14ac:dyDescent="0.3">
      <c r="A132" s="1016">
        <v>43</v>
      </c>
      <c r="B132" s="1012"/>
      <c r="C132" s="875"/>
      <c r="D132" s="1015"/>
      <c r="E132" s="182" t="s">
        <v>18</v>
      </c>
      <c r="F132" s="180">
        <v>72</v>
      </c>
      <c r="G132" s="180">
        <v>73</v>
      </c>
      <c r="H132" s="180">
        <v>77</v>
      </c>
      <c r="I132" s="180">
        <v>75</v>
      </c>
      <c r="J132" s="180">
        <v>69</v>
      </c>
      <c r="K132" s="180">
        <v>87</v>
      </c>
      <c r="L132" s="180">
        <v>95</v>
      </c>
      <c r="M132" s="180">
        <v>548</v>
      </c>
      <c r="N132" s="210">
        <f t="shared" si="24"/>
        <v>78.285714285714292</v>
      </c>
      <c r="O132" s="180">
        <v>26</v>
      </c>
      <c r="P132" s="180"/>
      <c r="Q132" s="187"/>
      <c r="R132" s="175"/>
    </row>
    <row r="133" spans="1:18" ht="15.75" customHeight="1" thickBot="1" x14ac:dyDescent="0.3">
      <c r="A133" s="1016"/>
      <c r="B133" s="1013"/>
      <c r="C133" s="875"/>
      <c r="D133" s="1015"/>
      <c r="E133" s="182" t="s">
        <v>19</v>
      </c>
      <c r="F133" s="180">
        <v>88</v>
      </c>
      <c r="G133" s="180">
        <v>64</v>
      </c>
      <c r="H133" s="180">
        <v>83</v>
      </c>
      <c r="I133" s="180">
        <v>83</v>
      </c>
      <c r="J133" s="180">
        <v>84</v>
      </c>
      <c r="K133" s="180">
        <v>90</v>
      </c>
      <c r="L133" s="810">
        <v>97</v>
      </c>
      <c r="M133" s="180">
        <f>SUM(F133:L133)</f>
        <v>589</v>
      </c>
      <c r="N133" s="210">
        <f t="shared" si="24"/>
        <v>84.142857142857139</v>
      </c>
      <c r="O133" s="180"/>
      <c r="P133" s="180"/>
      <c r="Q133" s="187"/>
      <c r="R133" s="175"/>
    </row>
    <row r="134" spans="1:18" ht="15.75" customHeight="1" thickBot="1" x14ac:dyDescent="0.3">
      <c r="A134" s="1016"/>
      <c r="B134" s="1014"/>
      <c r="C134" s="875"/>
      <c r="D134" s="1015"/>
      <c r="E134" s="199" t="s">
        <v>13</v>
      </c>
      <c r="F134" s="180">
        <f>AVERAGE(F132:F133)</f>
        <v>80</v>
      </c>
      <c r="G134" s="288">
        <f t="shared" ref="G134:N134" si="45">AVERAGE(G132:G133)</f>
        <v>68.5</v>
      </c>
      <c r="H134" s="288">
        <f t="shared" si="45"/>
        <v>80</v>
      </c>
      <c r="I134" s="288">
        <f t="shared" si="45"/>
        <v>79</v>
      </c>
      <c r="J134" s="288">
        <f t="shared" si="45"/>
        <v>76.5</v>
      </c>
      <c r="K134" s="288">
        <f t="shared" si="45"/>
        <v>88.5</v>
      </c>
      <c r="L134" s="288">
        <f t="shared" si="45"/>
        <v>96</v>
      </c>
      <c r="M134" s="288">
        <f t="shared" si="45"/>
        <v>568.5</v>
      </c>
      <c r="N134" s="288">
        <f t="shared" si="45"/>
        <v>81.214285714285722</v>
      </c>
      <c r="O134" s="180"/>
      <c r="P134" s="180"/>
      <c r="Q134" s="180"/>
      <c r="R134" s="175"/>
    </row>
    <row r="135" spans="1:18" ht="15.75" thickBot="1" x14ac:dyDescent="0.3">
      <c r="A135" s="899">
        <v>44</v>
      </c>
      <c r="B135" s="1012"/>
      <c r="C135" s="875"/>
      <c r="D135" s="1015"/>
      <c r="E135" s="182" t="s">
        <v>18</v>
      </c>
      <c r="F135" s="180">
        <v>90</v>
      </c>
      <c r="G135" s="180">
        <v>86</v>
      </c>
      <c r="H135" s="180">
        <v>98</v>
      </c>
      <c r="I135" s="180">
        <v>90</v>
      </c>
      <c r="J135" s="61">
        <v>90</v>
      </c>
      <c r="K135" s="180">
        <v>98</v>
      </c>
      <c r="L135" s="180">
        <v>95</v>
      </c>
      <c r="M135" s="180">
        <v>647</v>
      </c>
      <c r="N135" s="210">
        <f t="shared" ref="N135:N136" si="46">AVERAGE(F135:L135)</f>
        <v>92.428571428571431</v>
      </c>
      <c r="O135" s="180">
        <v>5</v>
      </c>
      <c r="P135" s="180"/>
      <c r="Q135" s="187"/>
      <c r="R135" s="175"/>
    </row>
    <row r="136" spans="1:18" ht="15.75" thickBot="1" x14ac:dyDescent="0.3">
      <c r="A136" s="899"/>
      <c r="B136" s="1013"/>
      <c r="C136" s="875"/>
      <c r="D136" s="1015"/>
      <c r="E136" s="182" t="s">
        <v>19</v>
      </c>
      <c r="F136" s="180">
        <v>90</v>
      </c>
      <c r="G136" s="180">
        <v>84</v>
      </c>
      <c r="H136" s="180">
        <v>99</v>
      </c>
      <c r="I136" s="180">
        <v>99</v>
      </c>
      <c r="J136" s="81">
        <v>96</v>
      </c>
      <c r="K136" s="180">
        <v>98</v>
      </c>
      <c r="L136" s="810">
        <v>100</v>
      </c>
      <c r="M136" s="180">
        <f>SUM(F136:L136)</f>
        <v>666</v>
      </c>
      <c r="N136" s="210">
        <f t="shared" si="46"/>
        <v>95.142857142857139</v>
      </c>
      <c r="O136" s="180"/>
      <c r="P136" s="180"/>
      <c r="Q136" s="187"/>
      <c r="R136" s="175"/>
    </row>
    <row r="137" spans="1:18" ht="15.75" thickBot="1" x14ac:dyDescent="0.3">
      <c r="A137" s="899"/>
      <c r="B137" s="1014"/>
      <c r="C137" s="875"/>
      <c r="D137" s="1015"/>
      <c r="E137" s="199" t="s">
        <v>13</v>
      </c>
      <c r="F137" s="180">
        <f>AVERAGE(F135:F136)</f>
        <v>90</v>
      </c>
      <c r="G137" s="288">
        <f t="shared" ref="G137:N137" si="47">AVERAGE(G135:G136)</f>
        <v>85</v>
      </c>
      <c r="H137" s="288">
        <f t="shared" si="47"/>
        <v>98.5</v>
      </c>
      <c r="I137" s="288">
        <f t="shared" si="47"/>
        <v>94.5</v>
      </c>
      <c r="J137" s="288">
        <f t="shared" si="47"/>
        <v>93</v>
      </c>
      <c r="K137" s="288">
        <f t="shared" si="47"/>
        <v>98</v>
      </c>
      <c r="L137" s="288">
        <f t="shared" si="47"/>
        <v>97.5</v>
      </c>
      <c r="M137" s="288">
        <f t="shared" si="47"/>
        <v>656.5</v>
      </c>
      <c r="N137" s="288">
        <f t="shared" si="47"/>
        <v>93.785714285714278</v>
      </c>
      <c r="O137" s="180"/>
      <c r="P137" s="180"/>
      <c r="Q137" s="180"/>
      <c r="R137" s="175"/>
    </row>
    <row r="138" spans="1:18" ht="15.75" customHeight="1" x14ac:dyDescent="0.25">
      <c r="A138" s="175"/>
    </row>
    <row r="139" spans="1:18" ht="15.75" customHeight="1" x14ac:dyDescent="0.25">
      <c r="A139" s="175"/>
    </row>
    <row r="140" spans="1:18" ht="15.75" customHeight="1" x14ac:dyDescent="0.25">
      <c r="A140" s="175"/>
    </row>
    <row r="141" spans="1:18" x14ac:dyDescent="0.25">
      <c r="A141" s="175"/>
    </row>
    <row r="144" spans="1:18" ht="15.75" customHeight="1" x14ac:dyDescent="0.25"/>
    <row r="145" ht="15.75" customHeight="1" x14ac:dyDescent="0.25"/>
    <row r="146" ht="15.75" customHeight="1" x14ac:dyDescent="0.25"/>
    <row r="150" ht="15.75" customHeight="1" x14ac:dyDescent="0.25"/>
    <row r="151" ht="15.75" customHeight="1" x14ac:dyDescent="0.25"/>
    <row r="152" ht="15.75" customHeight="1" x14ac:dyDescent="0.25"/>
    <row r="156" ht="15.75" customHeight="1" x14ac:dyDescent="0.25"/>
    <row r="157" ht="15.75" customHeight="1" x14ac:dyDescent="0.25"/>
    <row r="158" ht="15.75" customHeight="1" x14ac:dyDescent="0.25"/>
    <row r="162" ht="15.75" customHeight="1" x14ac:dyDescent="0.25"/>
    <row r="163" ht="15.75" customHeight="1" x14ac:dyDescent="0.25"/>
    <row r="164" ht="15.75" customHeight="1" x14ac:dyDescent="0.25"/>
  </sheetData>
  <mergeCells count="178">
    <mergeCell ref="D57:D59"/>
    <mergeCell ref="A1:R1"/>
    <mergeCell ref="A3:R3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27:A29"/>
    <mergeCell ref="B27:B29"/>
    <mergeCell ref="C27:C29"/>
    <mergeCell ref="D27:D29"/>
    <mergeCell ref="A30:A32"/>
    <mergeCell ref="B30:B32"/>
    <mergeCell ref="C30:C32"/>
    <mergeCell ref="D30:D32"/>
    <mergeCell ref="A21:A23"/>
    <mergeCell ref="B21:B23"/>
    <mergeCell ref="C21:C23"/>
    <mergeCell ref="D21:D23"/>
    <mergeCell ref="A24:A26"/>
    <mergeCell ref="B24:B26"/>
    <mergeCell ref="C24:C26"/>
    <mergeCell ref="D24:D26"/>
    <mergeCell ref="A39:A41"/>
    <mergeCell ref="B39:B41"/>
    <mergeCell ref="C39:C41"/>
    <mergeCell ref="D39:D41"/>
    <mergeCell ref="A42:A44"/>
    <mergeCell ref="B42:B44"/>
    <mergeCell ref="C42:C44"/>
    <mergeCell ref="D42:D44"/>
    <mergeCell ref="A33:A35"/>
    <mergeCell ref="B33:B35"/>
    <mergeCell ref="C33:C35"/>
    <mergeCell ref="D33:D35"/>
    <mergeCell ref="A36:A38"/>
    <mergeCell ref="B36:B38"/>
    <mergeCell ref="C36:C38"/>
    <mergeCell ref="D36:D38"/>
    <mergeCell ref="D51:D53"/>
    <mergeCell ref="A54:A56"/>
    <mergeCell ref="B54:B56"/>
    <mergeCell ref="C54:C56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57:A59"/>
    <mergeCell ref="B60:B62"/>
    <mergeCell ref="C57:C59"/>
    <mergeCell ref="A60:A62"/>
    <mergeCell ref="B63:B65"/>
    <mergeCell ref="C60:C62"/>
    <mergeCell ref="A51:A53"/>
    <mergeCell ref="B51:B53"/>
    <mergeCell ref="C51:C53"/>
    <mergeCell ref="B57:B59"/>
    <mergeCell ref="A69:A71"/>
    <mergeCell ref="B69:B71"/>
    <mergeCell ref="C69:C71"/>
    <mergeCell ref="D69:D71"/>
    <mergeCell ref="D60:D62"/>
    <mergeCell ref="A63:A65"/>
    <mergeCell ref="C63:C65"/>
    <mergeCell ref="D63:D65"/>
    <mergeCell ref="A66:A68"/>
    <mergeCell ref="B66:B68"/>
    <mergeCell ref="C66:C68"/>
    <mergeCell ref="D66:D68"/>
    <mergeCell ref="A78:A80"/>
    <mergeCell ref="B78:B80"/>
    <mergeCell ref="C78:C80"/>
    <mergeCell ref="D78:D80"/>
    <mergeCell ref="A81:A83"/>
    <mergeCell ref="B81:B83"/>
    <mergeCell ref="C81:C83"/>
    <mergeCell ref="D81:D83"/>
    <mergeCell ref="A72:A74"/>
    <mergeCell ref="B72:B74"/>
    <mergeCell ref="C72:C74"/>
    <mergeCell ref="D72:D74"/>
    <mergeCell ref="A75:A77"/>
    <mergeCell ref="B75:B77"/>
    <mergeCell ref="C75:C77"/>
    <mergeCell ref="D75:D77"/>
    <mergeCell ref="A90:A92"/>
    <mergeCell ref="B90:B92"/>
    <mergeCell ref="C90:C92"/>
    <mergeCell ref="D90:D92"/>
    <mergeCell ref="A84:A86"/>
    <mergeCell ref="B84:B86"/>
    <mergeCell ref="C84:C86"/>
    <mergeCell ref="D84:D86"/>
    <mergeCell ref="A87:A89"/>
    <mergeCell ref="B87:B89"/>
    <mergeCell ref="C87:C89"/>
    <mergeCell ref="D87:D89"/>
    <mergeCell ref="A93:A95"/>
    <mergeCell ref="B93:B95"/>
    <mergeCell ref="C93:C95"/>
    <mergeCell ref="D93:D95"/>
    <mergeCell ref="A96:A98"/>
    <mergeCell ref="B96:B98"/>
    <mergeCell ref="C96:C98"/>
    <mergeCell ref="D96:D98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35:A137"/>
    <mergeCell ref="B135:B137"/>
    <mergeCell ref="C135:C137"/>
    <mergeCell ref="D135:D137"/>
  </mergeCells>
  <pageMargins left="0.7" right="0.7" top="0.75" bottom="0.75" header="0.3" footer="0.3"/>
  <pageSetup paperSize="9" scale="7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zoomScaleNormal="100" workbookViewId="0">
      <selection activeCell="B4" sqref="B4:B47"/>
    </sheetView>
  </sheetViews>
  <sheetFormatPr defaultRowHeight="15" x14ac:dyDescent="0.25"/>
  <cols>
    <col min="1" max="1" width="4.7109375" customWidth="1"/>
    <col min="2" max="2" width="34" customWidth="1"/>
    <col min="3" max="3" width="5.5703125" customWidth="1"/>
    <col min="4" max="4" width="6" customWidth="1"/>
  </cols>
  <sheetData>
    <row r="1" spans="1:16" ht="21" thickBot="1" x14ac:dyDescent="0.3">
      <c r="A1" s="991" t="s">
        <v>53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3"/>
    </row>
    <row r="2" spans="1:16" ht="18.75" thickBot="1" x14ac:dyDescent="0.3">
      <c r="A2" s="994" t="s">
        <v>54</v>
      </c>
      <c r="B2" s="994"/>
      <c r="C2" s="994"/>
      <c r="D2" s="994"/>
      <c r="E2" s="994"/>
      <c r="F2" s="994"/>
      <c r="G2" s="994"/>
      <c r="H2" s="994"/>
      <c r="I2" s="994"/>
      <c r="J2" s="994"/>
      <c r="K2" s="994"/>
      <c r="L2" s="994"/>
      <c r="M2" s="994"/>
      <c r="N2" s="994"/>
      <c r="O2" s="995"/>
    </row>
    <row r="3" spans="1:16" ht="62.25" thickBot="1" x14ac:dyDescent="0.3">
      <c r="A3" s="327" t="s">
        <v>69</v>
      </c>
      <c r="B3" s="328" t="s">
        <v>1</v>
      </c>
      <c r="C3" s="328" t="s">
        <v>2</v>
      </c>
      <c r="D3" s="328" t="s">
        <v>3</v>
      </c>
      <c r="E3" s="325" t="s">
        <v>5</v>
      </c>
      <c r="F3" s="325" t="s">
        <v>6</v>
      </c>
      <c r="G3" s="325" t="s">
        <v>7</v>
      </c>
      <c r="H3" s="325" t="s">
        <v>8</v>
      </c>
      <c r="I3" s="325" t="s">
        <v>9</v>
      </c>
      <c r="J3" s="325" t="s">
        <v>11</v>
      </c>
      <c r="K3" s="325" t="s">
        <v>26</v>
      </c>
      <c r="L3" s="325" t="s">
        <v>12</v>
      </c>
      <c r="M3" s="325" t="s">
        <v>13</v>
      </c>
      <c r="N3" s="325" t="s">
        <v>14</v>
      </c>
      <c r="O3" s="325" t="s">
        <v>15</v>
      </c>
      <c r="P3" s="326" t="s">
        <v>16</v>
      </c>
    </row>
    <row r="4" spans="1:16" ht="27.75" customHeight="1" thickBot="1" x14ac:dyDescent="0.3">
      <c r="A4" s="208">
        <v>1</v>
      </c>
      <c r="B4" s="315"/>
      <c r="C4" s="206"/>
      <c r="D4" s="206"/>
      <c r="E4" s="201">
        <v>95</v>
      </c>
      <c r="F4" s="193">
        <v>98</v>
      </c>
      <c r="G4" s="193">
        <v>98</v>
      </c>
      <c r="H4" s="193">
        <v>100</v>
      </c>
      <c r="I4" s="193">
        <v>99</v>
      </c>
      <c r="J4" s="193">
        <v>100</v>
      </c>
      <c r="K4" s="193">
        <v>95</v>
      </c>
      <c r="L4" s="197">
        <v>685</v>
      </c>
      <c r="M4" s="197">
        <v>97.857142857142861</v>
      </c>
      <c r="N4" s="193">
        <v>1</v>
      </c>
      <c r="O4" s="209"/>
    </row>
    <row r="5" spans="1:16" ht="30.75" customHeight="1" thickBot="1" x14ac:dyDescent="0.3">
      <c r="A5" s="208">
        <v>2</v>
      </c>
      <c r="B5" s="298"/>
      <c r="C5" s="206"/>
      <c r="D5" s="206"/>
      <c r="E5" s="201">
        <v>84</v>
      </c>
      <c r="F5" s="193">
        <v>56</v>
      </c>
      <c r="G5" s="193">
        <v>71</v>
      </c>
      <c r="H5" s="193">
        <v>71</v>
      </c>
      <c r="I5" s="193">
        <v>74</v>
      </c>
      <c r="J5" s="193">
        <v>88</v>
      </c>
      <c r="K5" s="193">
        <v>95</v>
      </c>
      <c r="L5" s="197">
        <v>539</v>
      </c>
      <c r="M5" s="197">
        <v>77</v>
      </c>
      <c r="N5" s="193">
        <v>27</v>
      </c>
      <c r="O5" s="209"/>
    </row>
    <row r="6" spans="1:16" ht="31.5" customHeight="1" thickBot="1" x14ac:dyDescent="0.3">
      <c r="A6" s="208">
        <v>3</v>
      </c>
      <c r="B6" s="298"/>
      <c r="C6" s="206"/>
      <c r="D6" s="206"/>
      <c r="E6" s="201">
        <v>71</v>
      </c>
      <c r="F6" s="193">
        <v>50</v>
      </c>
      <c r="G6" s="193">
        <v>62</v>
      </c>
      <c r="H6" s="193">
        <v>60</v>
      </c>
      <c r="I6" s="193">
        <v>64</v>
      </c>
      <c r="J6" s="193">
        <v>87</v>
      </c>
      <c r="K6" s="193">
        <v>95</v>
      </c>
      <c r="L6" s="197">
        <v>489</v>
      </c>
      <c r="M6" s="197">
        <v>69.857142857142861</v>
      </c>
      <c r="N6" s="193">
        <v>42</v>
      </c>
      <c r="O6" s="209"/>
    </row>
    <row r="7" spans="1:16" ht="29.25" customHeight="1" thickBot="1" x14ac:dyDescent="0.3">
      <c r="A7" s="208">
        <v>4</v>
      </c>
      <c r="B7" s="298"/>
      <c r="C7" s="206"/>
      <c r="D7" s="206"/>
      <c r="E7" s="201">
        <v>91</v>
      </c>
      <c r="F7" s="193">
        <v>85</v>
      </c>
      <c r="G7" s="193">
        <v>94</v>
      </c>
      <c r="H7" s="193">
        <v>82</v>
      </c>
      <c r="I7" s="193">
        <v>85</v>
      </c>
      <c r="J7" s="193">
        <v>100</v>
      </c>
      <c r="K7" s="193">
        <v>95</v>
      </c>
      <c r="L7" s="197">
        <v>632</v>
      </c>
      <c r="M7" s="197">
        <v>90.285714285714292</v>
      </c>
      <c r="N7" s="193">
        <v>8</v>
      </c>
      <c r="O7" s="209"/>
    </row>
    <row r="8" spans="1:16" ht="24.75" customHeight="1" thickBot="1" x14ac:dyDescent="0.3">
      <c r="A8" s="208">
        <v>5</v>
      </c>
      <c r="B8" s="298"/>
      <c r="C8" s="206"/>
      <c r="D8" s="206"/>
      <c r="E8" s="201">
        <v>78</v>
      </c>
      <c r="F8" s="193">
        <v>58</v>
      </c>
      <c r="G8" s="193">
        <v>66</v>
      </c>
      <c r="H8" s="193">
        <v>71</v>
      </c>
      <c r="I8" s="193">
        <v>63</v>
      </c>
      <c r="J8" s="193">
        <v>89</v>
      </c>
      <c r="K8" s="193">
        <v>95</v>
      </c>
      <c r="L8" s="197">
        <v>520</v>
      </c>
      <c r="M8" s="197">
        <v>74.285714285714292</v>
      </c>
      <c r="N8" s="193">
        <v>33</v>
      </c>
      <c r="O8" s="209"/>
    </row>
    <row r="9" spans="1:16" ht="28.5" customHeight="1" thickBot="1" x14ac:dyDescent="0.3">
      <c r="A9" s="208">
        <v>6</v>
      </c>
      <c r="B9" s="298"/>
      <c r="C9" s="206"/>
      <c r="D9" s="206"/>
      <c r="E9" s="201">
        <v>82</v>
      </c>
      <c r="F9" s="193">
        <v>65</v>
      </c>
      <c r="G9" s="193">
        <v>82</v>
      </c>
      <c r="H9" s="193">
        <v>69</v>
      </c>
      <c r="I9" s="193">
        <v>77</v>
      </c>
      <c r="J9" s="193">
        <v>96</v>
      </c>
      <c r="K9" s="193">
        <v>95</v>
      </c>
      <c r="L9" s="197">
        <v>566</v>
      </c>
      <c r="M9" s="197">
        <v>80.857142857142861</v>
      </c>
      <c r="N9" s="193">
        <v>20</v>
      </c>
      <c r="O9" s="209"/>
    </row>
    <row r="10" spans="1:16" ht="30.75" customHeight="1" thickBot="1" x14ac:dyDescent="0.3">
      <c r="A10" s="208">
        <v>7</v>
      </c>
      <c r="B10" s="298"/>
      <c r="C10" s="206"/>
      <c r="D10" s="206"/>
      <c r="E10" s="201">
        <v>79</v>
      </c>
      <c r="F10" s="193">
        <v>89</v>
      </c>
      <c r="G10" s="193">
        <v>83</v>
      </c>
      <c r="H10" s="193">
        <v>94</v>
      </c>
      <c r="I10" s="193">
        <v>90</v>
      </c>
      <c r="J10" s="193">
        <v>95</v>
      </c>
      <c r="K10" s="193">
        <v>95</v>
      </c>
      <c r="L10" s="197">
        <v>625</v>
      </c>
      <c r="M10" s="197">
        <v>89.285714285714292</v>
      </c>
      <c r="N10" s="193">
        <v>13</v>
      </c>
      <c r="O10" s="209"/>
    </row>
    <row r="11" spans="1:16" ht="30.75" customHeight="1" thickBot="1" x14ac:dyDescent="0.3">
      <c r="A11" s="208">
        <v>8</v>
      </c>
      <c r="B11" s="298"/>
      <c r="C11" s="206"/>
      <c r="D11" s="206"/>
      <c r="E11" s="201">
        <v>70</v>
      </c>
      <c r="F11" s="193">
        <v>55</v>
      </c>
      <c r="G11" s="193">
        <v>68</v>
      </c>
      <c r="H11" s="193">
        <v>63</v>
      </c>
      <c r="I11" s="193">
        <v>62</v>
      </c>
      <c r="J11" s="193">
        <v>90</v>
      </c>
      <c r="K11" s="193">
        <v>95</v>
      </c>
      <c r="L11" s="197">
        <v>503</v>
      </c>
      <c r="M11" s="197">
        <v>71.857142857142861</v>
      </c>
      <c r="N11" s="193">
        <v>39</v>
      </c>
      <c r="O11" s="209"/>
    </row>
    <row r="12" spans="1:16" ht="29.25" customHeight="1" thickBot="1" x14ac:dyDescent="0.3">
      <c r="A12" s="208">
        <v>9</v>
      </c>
      <c r="B12" s="298"/>
      <c r="C12" s="206"/>
      <c r="D12" s="206"/>
      <c r="E12" s="201">
        <v>75</v>
      </c>
      <c r="F12" s="193">
        <v>70</v>
      </c>
      <c r="G12" s="193">
        <v>80</v>
      </c>
      <c r="H12" s="193">
        <v>70</v>
      </c>
      <c r="I12" s="193">
        <v>74</v>
      </c>
      <c r="J12" s="193">
        <v>99</v>
      </c>
      <c r="K12" s="193">
        <v>95</v>
      </c>
      <c r="L12" s="197">
        <v>563</v>
      </c>
      <c r="M12" s="197">
        <v>80.428571428571431</v>
      </c>
      <c r="N12" s="193">
        <v>22</v>
      </c>
      <c r="O12" s="209"/>
    </row>
    <row r="13" spans="1:16" ht="32.25" customHeight="1" thickBot="1" x14ac:dyDescent="0.3">
      <c r="A13" s="208">
        <v>10</v>
      </c>
      <c r="B13" s="298"/>
      <c r="C13" s="206"/>
      <c r="D13" s="206"/>
      <c r="E13" s="201">
        <v>87</v>
      </c>
      <c r="F13" s="193">
        <v>85</v>
      </c>
      <c r="G13" s="193">
        <v>96</v>
      </c>
      <c r="H13" s="193">
        <v>84</v>
      </c>
      <c r="I13" s="193">
        <v>85</v>
      </c>
      <c r="J13" s="193">
        <v>99</v>
      </c>
      <c r="K13" s="193">
        <v>95</v>
      </c>
      <c r="L13" s="197">
        <v>631</v>
      </c>
      <c r="M13" s="197">
        <v>90.142857142857139</v>
      </c>
      <c r="N13" s="193">
        <v>9</v>
      </c>
      <c r="O13" s="209"/>
    </row>
    <row r="14" spans="1:16" ht="30.75" customHeight="1" thickBot="1" x14ac:dyDescent="0.3">
      <c r="A14" s="208">
        <v>11</v>
      </c>
      <c r="B14" s="298"/>
      <c r="C14" s="206"/>
      <c r="D14" s="206"/>
      <c r="E14" s="201">
        <v>80</v>
      </c>
      <c r="F14" s="193">
        <v>68</v>
      </c>
      <c r="G14" s="193">
        <v>78</v>
      </c>
      <c r="H14" s="193">
        <v>76</v>
      </c>
      <c r="I14" s="193">
        <v>75</v>
      </c>
      <c r="J14" s="193">
        <v>93</v>
      </c>
      <c r="K14" s="193">
        <v>95</v>
      </c>
      <c r="L14" s="197">
        <v>565</v>
      </c>
      <c r="M14" s="197">
        <v>80.714285714285708</v>
      </c>
      <c r="N14" s="193">
        <v>21</v>
      </c>
      <c r="O14" s="209"/>
    </row>
    <row r="15" spans="1:16" ht="30" customHeight="1" thickBot="1" x14ac:dyDescent="0.3">
      <c r="A15" s="208">
        <v>12</v>
      </c>
      <c r="B15" s="298"/>
      <c r="C15" s="206"/>
      <c r="D15" s="206"/>
      <c r="E15" s="201">
        <v>85</v>
      </c>
      <c r="F15" s="193">
        <v>78</v>
      </c>
      <c r="G15" s="193">
        <v>76</v>
      </c>
      <c r="H15" s="193">
        <v>75</v>
      </c>
      <c r="I15" s="193">
        <v>60</v>
      </c>
      <c r="J15" s="193">
        <v>91</v>
      </c>
      <c r="K15" s="193">
        <v>95</v>
      </c>
      <c r="L15" s="197">
        <v>560</v>
      </c>
      <c r="M15" s="197">
        <v>80</v>
      </c>
      <c r="N15" s="193">
        <v>23</v>
      </c>
      <c r="O15" s="209"/>
    </row>
    <row r="16" spans="1:16" ht="32.25" customHeight="1" thickBot="1" x14ac:dyDescent="0.3">
      <c r="A16" s="208">
        <v>13</v>
      </c>
      <c r="B16" s="298"/>
      <c r="C16" s="206"/>
      <c r="D16" s="206"/>
      <c r="E16" s="201">
        <v>86</v>
      </c>
      <c r="F16" s="193">
        <v>88</v>
      </c>
      <c r="G16" s="193">
        <v>87</v>
      </c>
      <c r="H16" s="193">
        <v>84</v>
      </c>
      <c r="I16" s="193">
        <v>84</v>
      </c>
      <c r="J16" s="193">
        <v>95</v>
      </c>
      <c r="K16" s="193">
        <v>95</v>
      </c>
      <c r="L16" s="197">
        <v>619</v>
      </c>
      <c r="M16" s="197">
        <v>88.428571428571431</v>
      </c>
      <c r="N16" s="193">
        <v>15</v>
      </c>
      <c r="O16" s="209"/>
    </row>
    <row r="17" spans="1:15" ht="29.25" customHeight="1" thickBot="1" x14ac:dyDescent="0.3">
      <c r="A17" s="208">
        <v>14</v>
      </c>
      <c r="B17" s="298"/>
      <c r="C17" s="206"/>
      <c r="D17" s="206"/>
      <c r="E17" s="201">
        <v>63</v>
      </c>
      <c r="F17" s="193">
        <v>73</v>
      </c>
      <c r="G17" s="193">
        <v>62</v>
      </c>
      <c r="H17" s="193">
        <v>72</v>
      </c>
      <c r="I17" s="193">
        <v>58</v>
      </c>
      <c r="J17" s="193">
        <v>90</v>
      </c>
      <c r="K17" s="193">
        <v>95</v>
      </c>
      <c r="L17" s="197">
        <v>513</v>
      </c>
      <c r="M17" s="197">
        <v>73.285714285714292</v>
      </c>
      <c r="N17" s="193">
        <v>36</v>
      </c>
      <c r="O17" s="209"/>
    </row>
    <row r="18" spans="1:15" ht="29.25" customHeight="1" thickBot="1" x14ac:dyDescent="0.3">
      <c r="A18" s="208">
        <v>15</v>
      </c>
      <c r="B18" s="298"/>
      <c r="C18" s="206"/>
      <c r="D18" s="206"/>
      <c r="E18" s="201">
        <v>75</v>
      </c>
      <c r="F18" s="193">
        <v>65</v>
      </c>
      <c r="G18" s="193">
        <v>70</v>
      </c>
      <c r="H18" s="193">
        <v>68</v>
      </c>
      <c r="I18" s="193">
        <v>58</v>
      </c>
      <c r="J18" s="193">
        <v>94</v>
      </c>
      <c r="K18" s="193">
        <v>95</v>
      </c>
      <c r="L18" s="197">
        <v>525</v>
      </c>
      <c r="M18" s="197">
        <v>75</v>
      </c>
      <c r="N18" s="193">
        <v>31</v>
      </c>
      <c r="O18" s="209"/>
    </row>
    <row r="19" spans="1:15" ht="30" customHeight="1" thickBot="1" x14ac:dyDescent="0.3">
      <c r="A19" s="208">
        <v>16</v>
      </c>
      <c r="B19" s="298"/>
      <c r="C19" s="206"/>
      <c r="D19" s="206"/>
      <c r="E19" s="201">
        <v>75</v>
      </c>
      <c r="F19" s="193">
        <v>70</v>
      </c>
      <c r="G19" s="193">
        <v>68</v>
      </c>
      <c r="H19" s="193">
        <v>64</v>
      </c>
      <c r="I19" s="193">
        <v>66</v>
      </c>
      <c r="J19" s="193">
        <v>96</v>
      </c>
      <c r="K19" s="193">
        <v>95</v>
      </c>
      <c r="L19" s="197">
        <v>534</v>
      </c>
      <c r="M19" s="197">
        <v>76.285714285714292</v>
      </c>
      <c r="N19" s="193">
        <v>28</v>
      </c>
      <c r="O19" s="209"/>
    </row>
    <row r="20" spans="1:15" ht="31.5" customHeight="1" thickBot="1" x14ac:dyDescent="0.3">
      <c r="A20" s="208">
        <v>17</v>
      </c>
      <c r="B20" s="298"/>
      <c r="C20" s="206"/>
      <c r="D20" s="206"/>
      <c r="E20" s="201">
        <v>82</v>
      </c>
      <c r="F20" s="193">
        <v>64</v>
      </c>
      <c r="G20" s="193">
        <v>71</v>
      </c>
      <c r="H20" s="193">
        <v>69</v>
      </c>
      <c r="I20" s="193">
        <v>65</v>
      </c>
      <c r="J20" s="193">
        <v>85</v>
      </c>
      <c r="K20" s="193">
        <v>95</v>
      </c>
      <c r="L20" s="197">
        <v>531</v>
      </c>
      <c r="M20" s="197">
        <v>75.857142857142861</v>
      </c>
      <c r="N20" s="193">
        <v>29</v>
      </c>
      <c r="O20" s="209"/>
    </row>
    <row r="21" spans="1:15" ht="26.25" customHeight="1" thickBot="1" x14ac:dyDescent="0.3">
      <c r="A21" s="208">
        <v>18</v>
      </c>
      <c r="B21" s="298"/>
      <c r="C21" s="206"/>
      <c r="D21" s="206"/>
      <c r="E21" s="201">
        <v>71</v>
      </c>
      <c r="F21" s="193">
        <v>60</v>
      </c>
      <c r="G21" s="193">
        <v>83</v>
      </c>
      <c r="H21" s="193">
        <v>75</v>
      </c>
      <c r="I21" s="193">
        <v>78</v>
      </c>
      <c r="J21" s="193">
        <v>98</v>
      </c>
      <c r="K21" s="193">
        <v>95</v>
      </c>
      <c r="L21" s="197">
        <v>560</v>
      </c>
      <c r="M21" s="197">
        <v>80</v>
      </c>
      <c r="N21" s="193">
        <v>23</v>
      </c>
      <c r="O21" s="209"/>
    </row>
    <row r="22" spans="1:15" ht="28.5" customHeight="1" thickBot="1" x14ac:dyDescent="0.3">
      <c r="A22" s="208">
        <v>19</v>
      </c>
      <c r="B22" s="298"/>
      <c r="C22" s="207"/>
      <c r="D22" s="207"/>
      <c r="E22" s="201">
        <v>94</v>
      </c>
      <c r="F22" s="193">
        <v>94</v>
      </c>
      <c r="G22" s="193">
        <v>96</v>
      </c>
      <c r="H22" s="193">
        <v>95</v>
      </c>
      <c r="I22" s="193">
        <v>96</v>
      </c>
      <c r="J22" s="193">
        <v>100</v>
      </c>
      <c r="K22" s="193">
        <v>95</v>
      </c>
      <c r="L22" s="197">
        <v>670</v>
      </c>
      <c r="M22" s="197">
        <v>95.714285714285708</v>
      </c>
      <c r="N22" s="193">
        <v>2</v>
      </c>
      <c r="O22" s="209"/>
    </row>
    <row r="23" spans="1:15" ht="27.75" customHeight="1" thickBot="1" x14ac:dyDescent="0.3">
      <c r="A23" s="208">
        <v>20</v>
      </c>
      <c r="B23" s="298"/>
      <c r="C23" s="206"/>
      <c r="D23" s="206"/>
      <c r="E23" s="201">
        <v>88</v>
      </c>
      <c r="F23" s="193">
        <v>65</v>
      </c>
      <c r="G23" s="193">
        <v>71</v>
      </c>
      <c r="H23" s="193">
        <v>71</v>
      </c>
      <c r="I23" s="193">
        <v>71</v>
      </c>
      <c r="J23" s="193">
        <v>93</v>
      </c>
      <c r="K23" s="193">
        <v>95</v>
      </c>
      <c r="L23" s="197">
        <v>554</v>
      </c>
      <c r="M23" s="197">
        <v>79.142857142857139</v>
      </c>
      <c r="N23" s="193">
        <v>25</v>
      </c>
      <c r="O23" s="209"/>
    </row>
    <row r="24" spans="1:15" ht="30.75" customHeight="1" thickBot="1" x14ac:dyDescent="0.3">
      <c r="A24" s="208">
        <v>21</v>
      </c>
      <c r="B24" s="298"/>
      <c r="C24" s="206"/>
      <c r="D24" s="206"/>
      <c r="E24" s="201">
        <v>90</v>
      </c>
      <c r="F24" s="193">
        <v>88</v>
      </c>
      <c r="G24" s="193">
        <v>90</v>
      </c>
      <c r="H24" s="193">
        <v>77</v>
      </c>
      <c r="I24" s="193">
        <v>87</v>
      </c>
      <c r="J24" s="193">
        <v>96</v>
      </c>
      <c r="K24" s="193">
        <v>95</v>
      </c>
      <c r="L24" s="197">
        <v>623</v>
      </c>
      <c r="M24" s="197">
        <v>89</v>
      </c>
      <c r="N24" s="193">
        <v>14</v>
      </c>
      <c r="O24" s="209"/>
    </row>
    <row r="25" spans="1:15" ht="27" customHeight="1" thickBot="1" x14ac:dyDescent="0.3">
      <c r="A25" s="208">
        <v>23</v>
      </c>
      <c r="B25" s="298"/>
      <c r="C25" s="206"/>
      <c r="D25" s="206"/>
      <c r="E25" s="201">
        <v>85</v>
      </c>
      <c r="F25" s="193">
        <v>94</v>
      </c>
      <c r="G25" s="193">
        <v>89</v>
      </c>
      <c r="H25" s="193">
        <v>84</v>
      </c>
      <c r="I25" s="193">
        <v>84</v>
      </c>
      <c r="J25" s="193">
        <v>98</v>
      </c>
      <c r="K25" s="193">
        <v>95</v>
      </c>
      <c r="L25" s="197">
        <v>629</v>
      </c>
      <c r="M25" s="197">
        <v>89.857142857142861</v>
      </c>
      <c r="N25" s="193">
        <v>10</v>
      </c>
      <c r="O25" s="209"/>
    </row>
    <row r="26" spans="1:15" ht="27" customHeight="1" thickBot="1" x14ac:dyDescent="0.3">
      <c r="A26" s="208">
        <v>24</v>
      </c>
      <c r="B26" s="298"/>
      <c r="C26" s="206"/>
      <c r="D26" s="206"/>
      <c r="E26" s="201">
        <v>66</v>
      </c>
      <c r="F26" s="193">
        <v>52</v>
      </c>
      <c r="G26" s="193">
        <v>66</v>
      </c>
      <c r="H26" s="193">
        <v>70</v>
      </c>
      <c r="I26" s="193">
        <v>65</v>
      </c>
      <c r="J26" s="193">
        <v>86</v>
      </c>
      <c r="K26" s="193">
        <v>95</v>
      </c>
      <c r="L26" s="197">
        <v>500</v>
      </c>
      <c r="M26" s="197">
        <v>71.428571428571431</v>
      </c>
      <c r="N26" s="193">
        <v>40</v>
      </c>
      <c r="O26" s="209"/>
    </row>
    <row r="27" spans="1:15" ht="26.25" customHeight="1" thickBot="1" x14ac:dyDescent="0.3">
      <c r="A27" s="208">
        <v>25</v>
      </c>
      <c r="B27" s="298"/>
      <c r="C27" s="206"/>
      <c r="D27" s="206"/>
      <c r="E27" s="201">
        <v>67</v>
      </c>
      <c r="F27" s="193">
        <v>40</v>
      </c>
      <c r="G27" s="193">
        <v>53</v>
      </c>
      <c r="H27" s="193">
        <v>61</v>
      </c>
      <c r="I27" s="193">
        <v>60</v>
      </c>
      <c r="J27" s="193">
        <v>72</v>
      </c>
      <c r="K27" s="193">
        <v>95</v>
      </c>
      <c r="L27" s="197">
        <v>448</v>
      </c>
      <c r="M27" s="197">
        <v>64</v>
      </c>
      <c r="N27" s="193">
        <v>44</v>
      </c>
      <c r="O27" s="209"/>
    </row>
    <row r="28" spans="1:15" ht="29.25" customHeight="1" thickBot="1" x14ac:dyDescent="0.3">
      <c r="A28" s="208">
        <v>26</v>
      </c>
      <c r="B28" s="298"/>
      <c r="C28" s="206"/>
      <c r="D28" s="206"/>
      <c r="E28" s="201">
        <v>78</v>
      </c>
      <c r="F28" s="193">
        <v>68</v>
      </c>
      <c r="G28" s="193">
        <v>60</v>
      </c>
      <c r="H28" s="193">
        <v>70</v>
      </c>
      <c r="I28" s="193">
        <v>54</v>
      </c>
      <c r="J28" s="193">
        <v>89</v>
      </c>
      <c r="K28" s="193">
        <v>95</v>
      </c>
      <c r="L28" s="197">
        <v>514</v>
      </c>
      <c r="M28" s="197">
        <v>73.428571428571431</v>
      </c>
      <c r="N28" s="193">
        <v>35</v>
      </c>
      <c r="O28" s="209"/>
    </row>
    <row r="29" spans="1:15" ht="30.75" customHeight="1" thickBot="1" x14ac:dyDescent="0.3">
      <c r="A29" s="208">
        <v>27</v>
      </c>
      <c r="B29" s="298"/>
      <c r="C29" s="206"/>
      <c r="D29" s="206"/>
      <c r="E29" s="201">
        <v>69</v>
      </c>
      <c r="F29" s="193">
        <v>60</v>
      </c>
      <c r="G29" s="193">
        <v>71</v>
      </c>
      <c r="H29" s="193">
        <v>68</v>
      </c>
      <c r="I29" s="193">
        <v>60</v>
      </c>
      <c r="J29" s="193">
        <v>74</v>
      </c>
      <c r="K29" s="193">
        <v>95</v>
      </c>
      <c r="L29" s="197">
        <v>497</v>
      </c>
      <c r="M29" s="197">
        <v>71</v>
      </c>
      <c r="N29" s="193">
        <v>41</v>
      </c>
      <c r="O29" s="209"/>
    </row>
    <row r="30" spans="1:15" ht="30.75" customHeight="1" thickBot="1" x14ac:dyDescent="0.3">
      <c r="A30" s="208">
        <v>28</v>
      </c>
      <c r="B30" s="298"/>
      <c r="C30" s="206"/>
      <c r="D30" s="206"/>
      <c r="E30" s="201">
        <v>73</v>
      </c>
      <c r="F30" s="193">
        <v>65</v>
      </c>
      <c r="G30" s="193">
        <v>66</v>
      </c>
      <c r="H30" s="193">
        <v>66</v>
      </c>
      <c r="I30" s="193">
        <v>61</v>
      </c>
      <c r="J30" s="193">
        <v>93</v>
      </c>
      <c r="K30" s="193">
        <v>95</v>
      </c>
      <c r="L30" s="197">
        <v>519</v>
      </c>
      <c r="M30" s="197">
        <v>74.142857142857139</v>
      </c>
      <c r="N30" s="193">
        <v>34</v>
      </c>
      <c r="O30" s="198"/>
    </row>
    <row r="31" spans="1:15" ht="33" customHeight="1" thickBot="1" x14ac:dyDescent="0.3">
      <c r="A31" s="208">
        <v>29</v>
      </c>
      <c r="B31" s="298"/>
      <c r="C31" s="206"/>
      <c r="D31" s="206"/>
      <c r="E31" s="193">
        <v>88</v>
      </c>
      <c r="F31" s="193">
        <v>74</v>
      </c>
      <c r="G31" s="193">
        <v>92</v>
      </c>
      <c r="H31" s="193">
        <v>74</v>
      </c>
      <c r="I31" s="193">
        <v>76</v>
      </c>
      <c r="J31" s="193">
        <v>99</v>
      </c>
      <c r="K31" s="193">
        <v>95</v>
      </c>
      <c r="L31" s="197">
        <v>598</v>
      </c>
      <c r="M31" s="197">
        <v>85.428571428571431</v>
      </c>
      <c r="N31" s="193">
        <v>17</v>
      </c>
      <c r="O31" s="198"/>
    </row>
    <row r="32" spans="1:15" ht="30.75" customHeight="1" thickBot="1" x14ac:dyDescent="0.3">
      <c r="A32" s="208">
        <v>30</v>
      </c>
      <c r="B32" s="298"/>
      <c r="C32" s="206"/>
      <c r="D32" s="206"/>
      <c r="E32" s="193">
        <v>92</v>
      </c>
      <c r="F32" s="193">
        <v>94</v>
      </c>
      <c r="G32" s="193">
        <v>94</v>
      </c>
      <c r="H32" s="193">
        <v>94</v>
      </c>
      <c r="I32" s="193">
        <v>96</v>
      </c>
      <c r="J32" s="193">
        <v>100</v>
      </c>
      <c r="K32" s="193">
        <v>95</v>
      </c>
      <c r="L32" s="197">
        <v>665</v>
      </c>
      <c r="M32" s="197">
        <v>95</v>
      </c>
      <c r="N32" s="193">
        <v>3</v>
      </c>
      <c r="O32" s="198"/>
    </row>
    <row r="33" spans="1:15" ht="34.5" customHeight="1" thickBot="1" x14ac:dyDescent="0.3">
      <c r="A33" s="208">
        <v>31</v>
      </c>
      <c r="B33" s="298"/>
      <c r="C33" s="205"/>
      <c r="D33" s="205"/>
      <c r="E33" s="193">
        <v>93</v>
      </c>
      <c r="F33" s="193">
        <v>90</v>
      </c>
      <c r="G33" s="193">
        <v>96</v>
      </c>
      <c r="H33" s="193">
        <v>91</v>
      </c>
      <c r="I33" s="193">
        <v>95</v>
      </c>
      <c r="J33" s="193">
        <v>100</v>
      </c>
      <c r="K33" s="193">
        <v>95</v>
      </c>
      <c r="L33" s="197">
        <v>660</v>
      </c>
      <c r="M33" s="197">
        <v>94.285714285714292</v>
      </c>
      <c r="N33" s="193">
        <v>4</v>
      </c>
      <c r="O33" s="198"/>
    </row>
    <row r="34" spans="1:15" ht="33.75" customHeight="1" thickBot="1" x14ac:dyDescent="0.3">
      <c r="A34" s="208">
        <v>32</v>
      </c>
      <c r="B34" s="304"/>
      <c r="C34" s="205"/>
      <c r="D34" s="205"/>
      <c r="E34" s="193">
        <v>65</v>
      </c>
      <c r="F34" s="193">
        <v>61</v>
      </c>
      <c r="G34" s="193">
        <v>68</v>
      </c>
      <c r="H34" s="193">
        <v>73</v>
      </c>
      <c r="I34" s="193">
        <v>62</v>
      </c>
      <c r="J34" s="193">
        <v>85</v>
      </c>
      <c r="K34" s="193">
        <v>95</v>
      </c>
      <c r="L34" s="197">
        <v>509</v>
      </c>
      <c r="M34" s="197">
        <v>72.714285714285708</v>
      </c>
      <c r="N34" s="193">
        <v>37</v>
      </c>
      <c r="O34" s="198"/>
    </row>
    <row r="35" spans="1:15" ht="27.75" customHeight="1" thickBot="1" x14ac:dyDescent="0.3">
      <c r="A35" s="208">
        <v>33</v>
      </c>
      <c r="B35" s="321"/>
      <c r="C35" s="205"/>
      <c r="D35" s="205"/>
      <c r="E35" s="193">
        <v>93</v>
      </c>
      <c r="F35" s="193">
        <v>90</v>
      </c>
      <c r="G35" s="193">
        <v>96</v>
      </c>
      <c r="H35" s="193">
        <v>92</v>
      </c>
      <c r="I35" s="193">
        <v>86</v>
      </c>
      <c r="J35" s="193">
        <v>91</v>
      </c>
      <c r="K35" s="193">
        <v>95</v>
      </c>
      <c r="L35" s="197">
        <v>643</v>
      </c>
      <c r="M35" s="197">
        <v>91.857142857142861</v>
      </c>
      <c r="N35" s="193">
        <v>6</v>
      </c>
      <c r="O35" s="198"/>
    </row>
    <row r="36" spans="1:15" ht="33" customHeight="1" thickBot="1" x14ac:dyDescent="0.3">
      <c r="A36" s="208">
        <v>34</v>
      </c>
      <c r="B36" s="298"/>
      <c r="C36" s="205"/>
      <c r="D36" s="205"/>
      <c r="E36" s="193">
        <v>84</v>
      </c>
      <c r="F36" s="193">
        <v>87</v>
      </c>
      <c r="G36" s="193">
        <v>87</v>
      </c>
      <c r="H36" s="193">
        <v>92</v>
      </c>
      <c r="I36" s="193">
        <v>85</v>
      </c>
      <c r="J36" s="193">
        <v>97</v>
      </c>
      <c r="K36" s="193">
        <v>95</v>
      </c>
      <c r="L36" s="197">
        <v>627</v>
      </c>
      <c r="M36" s="197">
        <v>89.571428571428569</v>
      </c>
      <c r="N36" s="193">
        <v>11</v>
      </c>
      <c r="O36" s="198"/>
    </row>
    <row r="37" spans="1:15" ht="25.5" customHeight="1" thickBot="1" x14ac:dyDescent="0.3">
      <c r="A37" s="208">
        <v>35</v>
      </c>
      <c r="B37" s="298"/>
      <c r="C37" s="205"/>
      <c r="D37" s="205"/>
      <c r="E37" s="193">
        <v>73</v>
      </c>
      <c r="F37" s="193">
        <v>76</v>
      </c>
      <c r="G37" s="193">
        <v>88</v>
      </c>
      <c r="H37" s="193">
        <v>74</v>
      </c>
      <c r="I37" s="193">
        <v>73</v>
      </c>
      <c r="J37" s="193">
        <v>89</v>
      </c>
      <c r="K37" s="193">
        <v>95</v>
      </c>
      <c r="L37" s="197">
        <v>568</v>
      </c>
      <c r="M37" s="197">
        <v>81.142857142857139</v>
      </c>
      <c r="N37" s="193">
        <v>19</v>
      </c>
      <c r="O37" s="198"/>
    </row>
    <row r="38" spans="1:15" ht="31.5" customHeight="1" thickBot="1" x14ac:dyDescent="0.3">
      <c r="A38" s="208">
        <v>36</v>
      </c>
      <c r="B38" s="298"/>
      <c r="C38" s="205"/>
      <c r="D38" s="205"/>
      <c r="E38" s="193">
        <v>80</v>
      </c>
      <c r="F38" s="193">
        <v>60</v>
      </c>
      <c r="G38" s="193">
        <v>61</v>
      </c>
      <c r="H38" s="193">
        <v>69</v>
      </c>
      <c r="I38" s="193">
        <v>69</v>
      </c>
      <c r="J38" s="193">
        <v>89</v>
      </c>
      <c r="K38" s="193">
        <v>95</v>
      </c>
      <c r="L38" s="197">
        <v>523</v>
      </c>
      <c r="M38" s="197">
        <v>74.714285714285708</v>
      </c>
      <c r="N38" s="193">
        <v>32</v>
      </c>
      <c r="O38" s="198"/>
    </row>
    <row r="39" spans="1:15" ht="31.5" customHeight="1" thickBot="1" x14ac:dyDescent="0.3">
      <c r="A39" s="208">
        <v>37</v>
      </c>
      <c r="B39" s="298"/>
      <c r="C39" s="205"/>
      <c r="D39" s="205"/>
      <c r="E39" s="193">
        <v>89</v>
      </c>
      <c r="F39" s="193">
        <v>74</v>
      </c>
      <c r="G39" s="193">
        <v>82</v>
      </c>
      <c r="H39" s="193">
        <v>90</v>
      </c>
      <c r="I39" s="193">
        <v>84</v>
      </c>
      <c r="J39" s="193">
        <v>94</v>
      </c>
      <c r="K39" s="193">
        <v>95</v>
      </c>
      <c r="L39" s="197">
        <f>SUM(E39:K39)</f>
        <v>608</v>
      </c>
      <c r="M39" s="197">
        <f>AVERAGE(E39:K39)</f>
        <v>86.857142857142861</v>
      </c>
      <c r="N39" s="193">
        <v>16</v>
      </c>
      <c r="O39" s="198"/>
    </row>
    <row r="40" spans="1:15" ht="25.5" customHeight="1" thickBot="1" x14ac:dyDescent="0.3">
      <c r="A40" s="208">
        <v>38</v>
      </c>
      <c r="B40" s="298"/>
      <c r="C40" s="205"/>
      <c r="D40" s="205"/>
      <c r="E40" s="193">
        <v>84</v>
      </c>
      <c r="F40" s="193">
        <v>71</v>
      </c>
      <c r="G40" s="193">
        <v>81</v>
      </c>
      <c r="H40" s="193">
        <v>80</v>
      </c>
      <c r="I40" s="193">
        <v>70</v>
      </c>
      <c r="J40" s="193">
        <v>96</v>
      </c>
      <c r="K40" s="193">
        <v>95</v>
      </c>
      <c r="L40" s="197">
        <v>577</v>
      </c>
      <c r="M40" s="197">
        <v>82.428571428571431</v>
      </c>
      <c r="N40" s="193">
        <v>18</v>
      </c>
      <c r="O40" s="198"/>
    </row>
    <row r="41" spans="1:15" ht="24.75" customHeight="1" thickBot="1" x14ac:dyDescent="0.3">
      <c r="A41" s="208">
        <v>39</v>
      </c>
      <c r="B41" s="298"/>
      <c r="C41" s="205"/>
      <c r="D41" s="205"/>
      <c r="E41" s="193">
        <v>94</v>
      </c>
      <c r="F41" s="193">
        <v>78</v>
      </c>
      <c r="G41" s="193">
        <v>91</v>
      </c>
      <c r="H41" s="193">
        <v>89</v>
      </c>
      <c r="I41" s="193">
        <v>92</v>
      </c>
      <c r="J41" s="193">
        <v>94</v>
      </c>
      <c r="K41" s="193">
        <v>95</v>
      </c>
      <c r="L41" s="197">
        <v>633</v>
      </c>
      <c r="M41" s="197">
        <v>90.428571428571431</v>
      </c>
      <c r="N41" s="193">
        <v>7</v>
      </c>
      <c r="O41" s="198"/>
    </row>
    <row r="42" spans="1:15" ht="31.5" customHeight="1" thickBot="1" x14ac:dyDescent="0.3">
      <c r="A42" s="208">
        <v>40</v>
      </c>
      <c r="B42" s="298"/>
      <c r="C42" s="205"/>
      <c r="D42" s="205"/>
      <c r="E42" s="193">
        <v>95</v>
      </c>
      <c r="F42" s="193">
        <v>79</v>
      </c>
      <c r="G42" s="193">
        <v>90</v>
      </c>
      <c r="H42" s="193">
        <v>86</v>
      </c>
      <c r="I42" s="193">
        <v>88</v>
      </c>
      <c r="J42" s="193">
        <v>96</v>
      </c>
      <c r="K42" s="193">
        <v>95</v>
      </c>
      <c r="L42" s="197">
        <v>629</v>
      </c>
      <c r="M42" s="197">
        <f>AVERAGE(E42:K42)</f>
        <v>89.857142857142861</v>
      </c>
      <c r="N42" s="193">
        <v>11</v>
      </c>
      <c r="O42" s="198"/>
    </row>
    <row r="43" spans="1:15" ht="29.25" customHeight="1" thickBot="1" x14ac:dyDescent="0.3">
      <c r="A43" s="208">
        <v>41</v>
      </c>
      <c r="B43" s="298"/>
      <c r="C43" s="205"/>
      <c r="D43" s="205"/>
      <c r="E43" s="193">
        <v>70</v>
      </c>
      <c r="F43" s="193">
        <v>53</v>
      </c>
      <c r="G43" s="193">
        <v>55</v>
      </c>
      <c r="H43" s="193">
        <v>62</v>
      </c>
      <c r="I43" s="193">
        <v>59</v>
      </c>
      <c r="J43" s="193">
        <v>68</v>
      </c>
      <c r="K43" s="193">
        <v>95</v>
      </c>
      <c r="L43" s="197">
        <v>462</v>
      </c>
      <c r="M43" s="197">
        <v>66</v>
      </c>
      <c r="N43" s="193">
        <v>43</v>
      </c>
      <c r="O43" s="198"/>
    </row>
    <row r="44" spans="1:15" ht="30.75" customHeight="1" thickBot="1" x14ac:dyDescent="0.3">
      <c r="A44" s="208">
        <v>42</v>
      </c>
      <c r="B44" s="298"/>
      <c r="C44" s="205"/>
      <c r="D44" s="205"/>
      <c r="E44" s="193">
        <v>80</v>
      </c>
      <c r="F44" s="193">
        <v>56</v>
      </c>
      <c r="G44" s="193">
        <v>54</v>
      </c>
      <c r="H44" s="193">
        <v>70</v>
      </c>
      <c r="I44" s="193">
        <v>64</v>
      </c>
      <c r="J44" s="193">
        <v>90</v>
      </c>
      <c r="K44" s="193">
        <v>95</v>
      </c>
      <c r="L44" s="197">
        <v>509</v>
      </c>
      <c r="M44" s="197">
        <v>72.714285714285708</v>
      </c>
      <c r="N44" s="193">
        <v>37</v>
      </c>
      <c r="O44" s="198"/>
    </row>
    <row r="45" spans="1:15" ht="28.5" customHeight="1" thickBot="1" x14ac:dyDescent="0.3">
      <c r="A45" s="208">
        <v>43</v>
      </c>
      <c r="B45" s="298"/>
      <c r="C45" s="205"/>
      <c r="D45" s="205"/>
      <c r="E45" s="193">
        <v>81</v>
      </c>
      <c r="F45" s="193">
        <v>59</v>
      </c>
      <c r="G45" s="193">
        <v>68</v>
      </c>
      <c r="H45" s="193">
        <v>68</v>
      </c>
      <c r="I45" s="193">
        <v>65</v>
      </c>
      <c r="J45" s="193">
        <v>90</v>
      </c>
      <c r="K45" s="193">
        <v>95</v>
      </c>
      <c r="L45" s="197">
        <v>526</v>
      </c>
      <c r="M45" s="197">
        <v>75.142857142857139</v>
      </c>
      <c r="N45" s="193">
        <v>30</v>
      </c>
      <c r="O45" s="198"/>
    </row>
    <row r="46" spans="1:15" ht="23.25" customHeight="1" thickBot="1" x14ac:dyDescent="0.3">
      <c r="A46" s="208">
        <v>44</v>
      </c>
      <c r="B46" s="298"/>
      <c r="C46" s="205"/>
      <c r="D46" s="205"/>
      <c r="E46" s="193">
        <v>72</v>
      </c>
      <c r="F46" s="193">
        <v>73</v>
      </c>
      <c r="G46" s="193">
        <v>77</v>
      </c>
      <c r="H46" s="193">
        <v>75</v>
      </c>
      <c r="I46" s="193">
        <v>69</v>
      </c>
      <c r="J46" s="193">
        <v>87</v>
      </c>
      <c r="K46" s="193">
        <v>95</v>
      </c>
      <c r="L46" s="197">
        <v>548</v>
      </c>
      <c r="M46" s="197">
        <v>78.285714285714292</v>
      </c>
      <c r="N46" s="193">
        <v>26</v>
      </c>
      <c r="O46" s="198"/>
    </row>
    <row r="47" spans="1:15" ht="21.75" customHeight="1" thickBot="1" x14ac:dyDescent="0.3">
      <c r="A47" s="208">
        <v>45</v>
      </c>
      <c r="B47" s="298"/>
      <c r="C47" s="205"/>
      <c r="D47" s="205"/>
      <c r="E47" s="193">
        <v>90</v>
      </c>
      <c r="F47" s="193">
        <v>86</v>
      </c>
      <c r="G47" s="193">
        <v>98</v>
      </c>
      <c r="H47" s="193">
        <v>90</v>
      </c>
      <c r="I47" s="193">
        <v>90</v>
      </c>
      <c r="J47" s="193">
        <v>98</v>
      </c>
      <c r="K47" s="193">
        <v>95</v>
      </c>
      <c r="L47" s="197">
        <v>647</v>
      </c>
      <c r="M47" s="197">
        <v>92.428571428571431</v>
      </c>
      <c r="N47" s="193">
        <v>5</v>
      </c>
      <c r="O47" s="198"/>
    </row>
  </sheetData>
  <mergeCells count="2">
    <mergeCell ref="A1:O1"/>
    <mergeCell ref="A2:O2"/>
  </mergeCells>
  <pageMargins left="0.7" right="0.7" top="0.75" bottom="0.75" header="0.3" footer="0.3"/>
  <pageSetup paperSize="9" scale="71" fitToWidth="0" fitToHeight="0" orientation="landscape" r:id="rId1"/>
  <rowBreaks count="1" manualBreakCount="1">
    <brk id="23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opLeftCell="A36" workbookViewId="0">
      <selection activeCell="B47" sqref="B4:B47"/>
    </sheetView>
  </sheetViews>
  <sheetFormatPr defaultRowHeight="15" x14ac:dyDescent="0.25"/>
  <cols>
    <col min="1" max="1" width="6" customWidth="1"/>
    <col min="2" max="2" width="29.28515625" customWidth="1"/>
    <col min="3" max="3" width="6" customWidth="1"/>
    <col min="4" max="4" width="5.5703125" customWidth="1"/>
  </cols>
  <sheetData>
    <row r="1" spans="1:17" ht="20.25" x14ac:dyDescent="0.25">
      <c r="A1" s="861" t="s">
        <v>52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3"/>
    </row>
    <row r="2" spans="1:17" ht="15.75" thickBot="1" x14ac:dyDescent="0.3">
      <c r="A2" s="864" t="s">
        <v>55</v>
      </c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</row>
    <row r="3" spans="1:17" ht="51.75" thickBot="1" x14ac:dyDescent="0.3">
      <c r="A3" s="213" t="s">
        <v>32</v>
      </c>
      <c r="B3" s="214" t="s">
        <v>1</v>
      </c>
      <c r="C3" s="215" t="s">
        <v>2</v>
      </c>
      <c r="D3" s="214" t="s">
        <v>3</v>
      </c>
      <c r="E3" s="216" t="s">
        <v>5</v>
      </c>
      <c r="F3" s="216" t="s">
        <v>6</v>
      </c>
      <c r="G3" s="216" t="s">
        <v>7</v>
      </c>
      <c r="H3" s="216" t="s">
        <v>8</v>
      </c>
      <c r="I3" s="216" t="s">
        <v>9</v>
      </c>
      <c r="J3" s="216" t="s">
        <v>26</v>
      </c>
      <c r="K3" s="217" t="s">
        <v>11</v>
      </c>
      <c r="L3" s="217" t="s">
        <v>12</v>
      </c>
      <c r="M3" s="216" t="s">
        <v>13</v>
      </c>
      <c r="N3" s="216" t="s">
        <v>14</v>
      </c>
      <c r="O3" s="216" t="s">
        <v>15</v>
      </c>
      <c r="P3" s="222" t="s">
        <v>16</v>
      </c>
      <c r="Q3" s="211"/>
    </row>
    <row r="4" spans="1:17" x14ac:dyDescent="0.25">
      <c r="A4" s="227">
        <v>1</v>
      </c>
      <c r="B4" s="223"/>
      <c r="C4" s="224"/>
      <c r="D4" s="224"/>
      <c r="E4" s="218">
        <v>98</v>
      </c>
      <c r="F4" s="218">
        <v>94</v>
      </c>
      <c r="G4" s="218">
        <v>100</v>
      </c>
      <c r="H4" s="218">
        <v>100</v>
      </c>
      <c r="I4" s="218">
        <v>99</v>
      </c>
      <c r="J4" s="218">
        <v>100</v>
      </c>
      <c r="K4" s="218">
        <v>100</v>
      </c>
      <c r="L4" s="212">
        <v>691</v>
      </c>
      <c r="M4" s="220">
        <v>98.714285714285694</v>
      </c>
      <c r="N4" s="212">
        <f>RANK(M4,$M$4:$M$47)</f>
        <v>2</v>
      </c>
      <c r="O4" s="212"/>
      <c r="P4" s="212"/>
      <c r="Q4" s="211"/>
    </row>
    <row r="5" spans="1:17" x14ac:dyDescent="0.25">
      <c r="A5" s="228">
        <v>2</v>
      </c>
      <c r="B5" s="223"/>
      <c r="C5" s="224"/>
      <c r="D5" s="224"/>
      <c r="E5" s="218">
        <v>90</v>
      </c>
      <c r="F5" s="218">
        <v>56</v>
      </c>
      <c r="G5" s="218">
        <v>86</v>
      </c>
      <c r="H5" s="218">
        <v>79</v>
      </c>
      <c r="I5" s="218">
        <v>84</v>
      </c>
      <c r="J5" s="218">
        <v>97</v>
      </c>
      <c r="K5" s="218">
        <v>90</v>
      </c>
      <c r="L5" s="212">
        <v>578</v>
      </c>
      <c r="M5" s="220">
        <v>82.571428571428569</v>
      </c>
      <c r="N5" s="288">
        <f t="shared" ref="N5:N47" si="0">RANK(M5,$M$4:$M$47)</f>
        <v>26</v>
      </c>
      <c r="O5" s="212"/>
      <c r="P5" s="212"/>
      <c r="Q5" s="211"/>
    </row>
    <row r="6" spans="1:17" ht="15.75" x14ac:dyDescent="0.25">
      <c r="A6" s="229">
        <v>3</v>
      </c>
      <c r="B6" s="223"/>
      <c r="C6" s="224"/>
      <c r="D6" s="224"/>
      <c r="E6" s="218">
        <v>80</v>
      </c>
      <c r="F6" s="218">
        <v>50</v>
      </c>
      <c r="G6" s="218">
        <v>78</v>
      </c>
      <c r="H6" s="218">
        <v>70</v>
      </c>
      <c r="I6" s="218">
        <v>74</v>
      </c>
      <c r="J6" s="218">
        <v>96</v>
      </c>
      <c r="K6" s="218">
        <v>88</v>
      </c>
      <c r="L6" s="212">
        <v>532</v>
      </c>
      <c r="M6" s="220">
        <v>76</v>
      </c>
      <c r="N6" s="288">
        <f t="shared" si="0"/>
        <v>40</v>
      </c>
      <c r="O6" s="212"/>
      <c r="P6" s="212"/>
      <c r="Q6" s="211"/>
    </row>
    <row r="7" spans="1:17" x14ac:dyDescent="0.25">
      <c r="A7" s="228">
        <v>4</v>
      </c>
      <c r="B7" s="223"/>
      <c r="C7" s="224"/>
      <c r="D7" s="224"/>
      <c r="E7" s="218">
        <v>84</v>
      </c>
      <c r="F7" s="218">
        <v>80</v>
      </c>
      <c r="G7" s="218">
        <v>98</v>
      </c>
      <c r="H7" s="218">
        <v>92</v>
      </c>
      <c r="I7" s="218">
        <v>95</v>
      </c>
      <c r="J7" s="218">
        <v>100</v>
      </c>
      <c r="K7" s="218">
        <v>97</v>
      </c>
      <c r="L7" s="212">
        <v>646</v>
      </c>
      <c r="M7" s="220">
        <v>92.285714285714292</v>
      </c>
      <c r="N7" s="288">
        <f t="shared" si="0"/>
        <v>11</v>
      </c>
      <c r="O7" s="212"/>
      <c r="P7" s="212"/>
      <c r="Q7" s="211"/>
    </row>
    <row r="8" spans="1:17" x14ac:dyDescent="0.25">
      <c r="A8" s="228">
        <v>5</v>
      </c>
      <c r="B8" s="223"/>
      <c r="C8" s="224"/>
      <c r="D8" s="224"/>
      <c r="E8" s="218">
        <v>81</v>
      </c>
      <c r="F8" s="218">
        <v>70</v>
      </c>
      <c r="G8" s="218">
        <v>80</v>
      </c>
      <c r="H8" s="218">
        <v>79</v>
      </c>
      <c r="I8" s="218">
        <v>79</v>
      </c>
      <c r="J8" s="218">
        <v>97</v>
      </c>
      <c r="K8" s="218">
        <v>90</v>
      </c>
      <c r="L8" s="212">
        <v>572</v>
      </c>
      <c r="M8" s="220">
        <v>81.714285714285708</v>
      </c>
      <c r="N8" s="288">
        <f t="shared" si="0"/>
        <v>28</v>
      </c>
      <c r="O8" s="212"/>
      <c r="P8" s="212"/>
      <c r="Q8" s="211"/>
    </row>
    <row r="9" spans="1:17" ht="15.75" x14ac:dyDescent="0.25">
      <c r="A9" s="229">
        <v>6</v>
      </c>
      <c r="B9" s="223"/>
      <c r="C9" s="224"/>
      <c r="D9" s="224"/>
      <c r="E9" s="218">
        <v>84</v>
      </c>
      <c r="F9" s="218">
        <v>84</v>
      </c>
      <c r="G9" s="218">
        <v>91</v>
      </c>
      <c r="H9" s="218">
        <v>79</v>
      </c>
      <c r="I9" s="218">
        <v>90</v>
      </c>
      <c r="J9" s="218">
        <v>98</v>
      </c>
      <c r="K9" s="218">
        <v>96</v>
      </c>
      <c r="L9" s="212">
        <v>622</v>
      </c>
      <c r="M9" s="220">
        <v>88.857142857142861</v>
      </c>
      <c r="N9" s="288">
        <f t="shared" si="0"/>
        <v>18</v>
      </c>
      <c r="O9" s="212"/>
      <c r="P9" s="212"/>
      <c r="Q9" s="211"/>
    </row>
    <row r="10" spans="1:17" x14ac:dyDescent="0.25">
      <c r="A10" s="228">
        <v>7</v>
      </c>
      <c r="B10" s="223"/>
      <c r="C10" s="224"/>
      <c r="D10" s="224"/>
      <c r="E10" s="218">
        <v>81</v>
      </c>
      <c r="F10" s="218">
        <v>82</v>
      </c>
      <c r="G10" s="218">
        <v>89</v>
      </c>
      <c r="H10" s="218">
        <v>97</v>
      </c>
      <c r="I10" s="218">
        <v>95</v>
      </c>
      <c r="J10" s="218">
        <v>98</v>
      </c>
      <c r="K10" s="218">
        <v>95</v>
      </c>
      <c r="L10" s="212">
        <v>637</v>
      </c>
      <c r="M10" s="220">
        <v>91</v>
      </c>
      <c r="N10" s="288">
        <f t="shared" si="0"/>
        <v>13</v>
      </c>
      <c r="O10" s="212"/>
      <c r="P10" s="212"/>
      <c r="Q10" s="211"/>
    </row>
    <row r="11" spans="1:17" x14ac:dyDescent="0.25">
      <c r="A11" s="228">
        <v>8</v>
      </c>
      <c r="B11" s="223"/>
      <c r="C11" s="224"/>
      <c r="D11" s="224"/>
      <c r="E11" s="218">
        <v>73</v>
      </c>
      <c r="F11" s="218">
        <v>51</v>
      </c>
      <c r="G11" s="218">
        <v>81</v>
      </c>
      <c r="H11" s="218">
        <v>71</v>
      </c>
      <c r="I11" s="218">
        <v>73</v>
      </c>
      <c r="J11" s="218">
        <v>97</v>
      </c>
      <c r="K11" s="218">
        <v>91</v>
      </c>
      <c r="L11" s="212">
        <v>537</v>
      </c>
      <c r="M11" s="220">
        <v>76.714285714285708</v>
      </c>
      <c r="N11" s="288">
        <f t="shared" si="0"/>
        <v>39</v>
      </c>
      <c r="O11" s="212"/>
      <c r="P11" s="212"/>
      <c r="Q11" s="211"/>
    </row>
    <row r="12" spans="1:17" ht="15.75" x14ac:dyDescent="0.25">
      <c r="A12" s="229">
        <v>9</v>
      </c>
      <c r="B12" s="223"/>
      <c r="C12" s="224"/>
      <c r="D12" s="224"/>
      <c r="E12" s="218">
        <v>80</v>
      </c>
      <c r="F12" s="218">
        <v>54</v>
      </c>
      <c r="G12" s="218">
        <v>84</v>
      </c>
      <c r="H12" s="218">
        <v>79</v>
      </c>
      <c r="I12" s="218">
        <v>90</v>
      </c>
      <c r="J12" s="218">
        <v>97</v>
      </c>
      <c r="K12" s="218">
        <v>97</v>
      </c>
      <c r="L12" s="212">
        <v>581</v>
      </c>
      <c r="M12" s="220">
        <v>83</v>
      </c>
      <c r="N12" s="288">
        <f t="shared" si="0"/>
        <v>23</v>
      </c>
      <c r="O12" s="212"/>
      <c r="P12" s="212"/>
      <c r="Q12" s="211"/>
    </row>
    <row r="13" spans="1:17" x14ac:dyDescent="0.25">
      <c r="A13" s="228">
        <v>10</v>
      </c>
      <c r="B13" s="223"/>
      <c r="C13" s="224"/>
      <c r="D13" s="224"/>
      <c r="E13" s="218">
        <v>90</v>
      </c>
      <c r="F13" s="218">
        <v>84</v>
      </c>
      <c r="G13" s="218">
        <v>96</v>
      </c>
      <c r="H13" s="218">
        <v>92</v>
      </c>
      <c r="I13" s="218">
        <v>95</v>
      </c>
      <c r="J13" s="218">
        <v>99</v>
      </c>
      <c r="K13" s="218">
        <v>98</v>
      </c>
      <c r="L13" s="212">
        <v>654</v>
      </c>
      <c r="M13" s="220">
        <v>93.428571428571431</v>
      </c>
      <c r="N13" s="288">
        <f t="shared" si="0"/>
        <v>9</v>
      </c>
      <c r="O13" s="212"/>
      <c r="P13" s="212"/>
      <c r="Q13" s="211"/>
    </row>
    <row r="14" spans="1:17" ht="15.75" x14ac:dyDescent="0.25">
      <c r="A14" s="229">
        <v>11</v>
      </c>
      <c r="B14" s="223"/>
      <c r="C14" s="224"/>
      <c r="D14" s="224"/>
      <c r="E14" s="218">
        <v>87</v>
      </c>
      <c r="F14" s="218">
        <v>67</v>
      </c>
      <c r="G14" s="218">
        <v>86</v>
      </c>
      <c r="H14" s="218">
        <v>84</v>
      </c>
      <c r="I14" s="218">
        <v>85</v>
      </c>
      <c r="J14" s="218">
        <v>98</v>
      </c>
      <c r="K14" s="218">
        <v>91</v>
      </c>
      <c r="L14" s="212">
        <v>598</v>
      </c>
      <c r="M14" s="220">
        <v>85.428571428571431</v>
      </c>
      <c r="N14" s="288">
        <f t="shared" si="0"/>
        <v>19</v>
      </c>
      <c r="O14" s="212"/>
      <c r="P14" s="212"/>
      <c r="Q14" s="211"/>
    </row>
    <row r="15" spans="1:17" ht="15.75" x14ac:dyDescent="0.25">
      <c r="A15" s="229">
        <v>12</v>
      </c>
      <c r="B15" s="223"/>
      <c r="C15" s="224"/>
      <c r="D15" s="224"/>
      <c r="E15" s="218">
        <v>90</v>
      </c>
      <c r="F15" s="218">
        <v>74</v>
      </c>
      <c r="G15" s="218">
        <v>83</v>
      </c>
      <c r="H15" s="218">
        <v>83</v>
      </c>
      <c r="I15" s="218">
        <v>74</v>
      </c>
      <c r="J15" s="218">
        <v>98</v>
      </c>
      <c r="K15" s="218">
        <v>90</v>
      </c>
      <c r="L15" s="212">
        <v>592</v>
      </c>
      <c r="M15" s="220">
        <v>84.571428571428569</v>
      </c>
      <c r="N15" s="288">
        <f t="shared" si="0"/>
        <v>20</v>
      </c>
      <c r="O15" s="212"/>
      <c r="P15" s="212"/>
      <c r="Q15" s="211"/>
    </row>
    <row r="16" spans="1:17" ht="15.75" x14ac:dyDescent="0.25">
      <c r="A16" s="229">
        <v>13</v>
      </c>
      <c r="B16" s="223"/>
      <c r="C16" s="224"/>
      <c r="D16" s="224"/>
      <c r="E16" s="218">
        <v>91</v>
      </c>
      <c r="F16" s="218">
        <v>82</v>
      </c>
      <c r="G16" s="218">
        <v>94</v>
      </c>
      <c r="H16" s="218">
        <v>92</v>
      </c>
      <c r="I16" s="218">
        <v>87</v>
      </c>
      <c r="J16" s="218">
        <v>99</v>
      </c>
      <c r="K16" s="218">
        <v>94</v>
      </c>
      <c r="L16" s="212">
        <v>634</v>
      </c>
      <c r="M16" s="220">
        <v>90.571428571428569</v>
      </c>
      <c r="N16" s="288">
        <f t="shared" si="0"/>
        <v>14</v>
      </c>
      <c r="O16" s="212"/>
      <c r="P16" s="212"/>
      <c r="Q16" s="211"/>
    </row>
    <row r="17" spans="1:17" x14ac:dyDescent="0.25">
      <c r="A17" s="228">
        <v>14</v>
      </c>
      <c r="B17" s="223"/>
      <c r="C17" s="224"/>
      <c r="D17" s="224"/>
      <c r="E17" s="218">
        <v>71</v>
      </c>
      <c r="F17" s="218">
        <v>65</v>
      </c>
      <c r="G17" s="218">
        <v>80</v>
      </c>
      <c r="H17" s="218">
        <v>80</v>
      </c>
      <c r="I17" s="218">
        <v>75</v>
      </c>
      <c r="J17" s="218">
        <v>97</v>
      </c>
      <c r="K17" s="218">
        <v>89</v>
      </c>
      <c r="L17" s="212">
        <v>555</v>
      </c>
      <c r="M17" s="220">
        <v>79.285714285714292</v>
      </c>
      <c r="N17" s="288">
        <f t="shared" si="0"/>
        <v>34</v>
      </c>
      <c r="O17" s="212"/>
      <c r="P17" s="212"/>
      <c r="Q17" s="211"/>
    </row>
    <row r="18" spans="1:17" ht="15.75" x14ac:dyDescent="0.25">
      <c r="A18" s="229">
        <v>15</v>
      </c>
      <c r="B18" s="223"/>
      <c r="C18" s="224"/>
      <c r="D18" s="224"/>
      <c r="E18" s="218">
        <v>77</v>
      </c>
      <c r="F18" s="218">
        <v>61</v>
      </c>
      <c r="G18" s="219">
        <v>80</v>
      </c>
      <c r="H18" s="218">
        <v>76</v>
      </c>
      <c r="I18" s="218">
        <v>70</v>
      </c>
      <c r="J18" s="218">
        <v>97</v>
      </c>
      <c r="K18" s="218">
        <v>92</v>
      </c>
      <c r="L18" s="212">
        <v>553</v>
      </c>
      <c r="M18" s="220">
        <v>79</v>
      </c>
      <c r="N18" s="288">
        <f t="shared" si="0"/>
        <v>36</v>
      </c>
      <c r="O18" s="212"/>
      <c r="P18" s="212"/>
      <c r="Q18" s="211"/>
    </row>
    <row r="19" spans="1:17" x14ac:dyDescent="0.25">
      <c r="A19" s="228">
        <v>16</v>
      </c>
      <c r="B19" s="223"/>
      <c r="C19" s="224"/>
      <c r="D19" s="224"/>
      <c r="E19" s="218">
        <v>80</v>
      </c>
      <c r="F19" s="218">
        <v>70</v>
      </c>
      <c r="G19" s="218">
        <v>86</v>
      </c>
      <c r="H19" s="218">
        <v>72</v>
      </c>
      <c r="I19" s="218">
        <v>79</v>
      </c>
      <c r="J19" s="218">
        <v>98</v>
      </c>
      <c r="K19" s="218">
        <v>89</v>
      </c>
      <c r="L19" s="212">
        <v>572</v>
      </c>
      <c r="M19" s="220">
        <v>81.714285714285708</v>
      </c>
      <c r="N19" s="288">
        <f t="shared" si="0"/>
        <v>28</v>
      </c>
      <c r="O19" s="212"/>
      <c r="P19" s="212"/>
      <c r="Q19" s="211"/>
    </row>
    <row r="20" spans="1:17" x14ac:dyDescent="0.25">
      <c r="A20" s="228">
        <v>17</v>
      </c>
      <c r="B20" s="223"/>
      <c r="C20" s="224"/>
      <c r="D20" s="224"/>
      <c r="E20" s="218">
        <v>87</v>
      </c>
      <c r="F20" s="218">
        <v>72</v>
      </c>
      <c r="G20" s="218">
        <v>84</v>
      </c>
      <c r="H20" s="218">
        <v>77</v>
      </c>
      <c r="I20" s="218">
        <v>76</v>
      </c>
      <c r="J20" s="218">
        <v>97</v>
      </c>
      <c r="K20" s="218">
        <v>90</v>
      </c>
      <c r="L20" s="212">
        <v>581</v>
      </c>
      <c r="M20" s="220">
        <v>83</v>
      </c>
      <c r="N20" s="288">
        <f t="shared" si="0"/>
        <v>23</v>
      </c>
      <c r="O20" s="212"/>
      <c r="P20" s="212"/>
      <c r="Q20" s="211"/>
    </row>
    <row r="21" spans="1:17" x14ac:dyDescent="0.25">
      <c r="A21" s="228">
        <v>18</v>
      </c>
      <c r="B21" s="223"/>
      <c r="C21" s="224"/>
      <c r="D21" s="224"/>
      <c r="E21" s="218">
        <v>75</v>
      </c>
      <c r="F21" s="218">
        <v>53</v>
      </c>
      <c r="G21" s="219">
        <v>91</v>
      </c>
      <c r="H21" s="218">
        <v>83</v>
      </c>
      <c r="I21" s="218">
        <v>88</v>
      </c>
      <c r="J21" s="218">
        <v>98</v>
      </c>
      <c r="K21" s="218">
        <v>91</v>
      </c>
      <c r="L21" s="212">
        <v>579</v>
      </c>
      <c r="M21" s="220">
        <v>82.714285714285708</v>
      </c>
      <c r="N21" s="288">
        <f t="shared" si="0"/>
        <v>25</v>
      </c>
      <c r="O21" s="212"/>
      <c r="P21" s="212"/>
      <c r="Q21" s="211"/>
    </row>
    <row r="22" spans="1:17" ht="15.75" x14ac:dyDescent="0.25">
      <c r="A22" s="229">
        <v>19</v>
      </c>
      <c r="B22" s="223"/>
      <c r="C22" s="224"/>
      <c r="D22" s="224"/>
      <c r="E22" s="218">
        <v>99</v>
      </c>
      <c r="F22" s="218">
        <v>94</v>
      </c>
      <c r="G22" s="218">
        <v>99</v>
      </c>
      <c r="H22" s="218">
        <v>100</v>
      </c>
      <c r="I22" s="218">
        <v>99</v>
      </c>
      <c r="J22" s="218">
        <v>100</v>
      </c>
      <c r="K22" s="218">
        <v>100</v>
      </c>
      <c r="L22" s="212">
        <v>691</v>
      </c>
      <c r="M22" s="220">
        <v>98.714285714285708</v>
      </c>
      <c r="N22" s="288">
        <f t="shared" si="0"/>
        <v>1</v>
      </c>
      <c r="O22" s="212"/>
      <c r="P22" s="212"/>
      <c r="Q22" s="211"/>
    </row>
    <row r="23" spans="1:17" ht="15.75" x14ac:dyDescent="0.25">
      <c r="A23" s="229">
        <v>20</v>
      </c>
      <c r="B23" s="223"/>
      <c r="C23" s="224"/>
      <c r="D23" s="224"/>
      <c r="E23" s="218">
        <v>90</v>
      </c>
      <c r="F23" s="218">
        <v>62</v>
      </c>
      <c r="G23" s="218">
        <v>88</v>
      </c>
      <c r="H23" s="218">
        <v>79</v>
      </c>
      <c r="I23" s="218">
        <v>77</v>
      </c>
      <c r="J23" s="218">
        <v>98</v>
      </c>
      <c r="K23" s="218">
        <v>93</v>
      </c>
      <c r="L23" s="212">
        <v>587</v>
      </c>
      <c r="M23" s="220">
        <v>83.857142857142861</v>
      </c>
      <c r="N23" s="288">
        <f t="shared" si="0"/>
        <v>21</v>
      </c>
      <c r="O23" s="212"/>
      <c r="P23" s="212"/>
      <c r="Q23" s="211"/>
    </row>
    <row r="24" spans="1:17" ht="15.75" x14ac:dyDescent="0.25">
      <c r="A24" s="229">
        <v>21</v>
      </c>
      <c r="B24" s="223"/>
      <c r="C24" s="224"/>
      <c r="D24" s="224"/>
      <c r="E24" s="218">
        <v>92</v>
      </c>
      <c r="F24" s="218">
        <v>92</v>
      </c>
      <c r="G24" s="218">
        <v>95</v>
      </c>
      <c r="H24" s="218">
        <v>85</v>
      </c>
      <c r="I24" s="218">
        <v>83</v>
      </c>
      <c r="J24" s="218">
        <v>99</v>
      </c>
      <c r="K24" s="218">
        <v>96</v>
      </c>
      <c r="L24" s="212">
        <v>642</v>
      </c>
      <c r="M24" s="220">
        <v>91.714285714285708</v>
      </c>
      <c r="N24" s="288">
        <f t="shared" si="0"/>
        <v>12</v>
      </c>
      <c r="O24" s="212"/>
      <c r="P24" s="212"/>
      <c r="Q24" s="211"/>
    </row>
    <row r="25" spans="1:17" ht="20.25" customHeight="1" x14ac:dyDescent="0.25">
      <c r="A25" s="228">
        <v>22</v>
      </c>
      <c r="B25" s="223"/>
      <c r="C25" s="224"/>
      <c r="D25" s="224"/>
      <c r="E25" s="218">
        <v>91</v>
      </c>
      <c r="F25" s="218">
        <v>91</v>
      </c>
      <c r="G25" s="218">
        <v>98</v>
      </c>
      <c r="H25" s="218">
        <v>92</v>
      </c>
      <c r="I25" s="218">
        <v>93</v>
      </c>
      <c r="J25" s="218">
        <v>99</v>
      </c>
      <c r="K25" s="218">
        <v>98</v>
      </c>
      <c r="L25" s="212">
        <v>662</v>
      </c>
      <c r="M25" s="220">
        <v>94.571428571428569</v>
      </c>
      <c r="N25" s="288">
        <f t="shared" si="0"/>
        <v>7</v>
      </c>
      <c r="O25" s="212"/>
      <c r="P25" s="212"/>
      <c r="Q25" s="211"/>
    </row>
    <row r="26" spans="1:17" x14ac:dyDescent="0.25">
      <c r="A26" s="228">
        <v>23</v>
      </c>
      <c r="B26" s="223"/>
      <c r="C26" s="224"/>
      <c r="D26" s="224"/>
      <c r="E26" s="218">
        <v>74</v>
      </c>
      <c r="F26" s="218">
        <v>50</v>
      </c>
      <c r="G26" s="218">
        <v>82</v>
      </c>
      <c r="H26" s="218">
        <v>78</v>
      </c>
      <c r="I26" s="218">
        <v>86</v>
      </c>
      <c r="J26" s="218">
        <v>96</v>
      </c>
      <c r="K26" s="218">
        <v>90</v>
      </c>
      <c r="L26" s="212">
        <v>552</v>
      </c>
      <c r="M26" s="220">
        <v>78.857142857142861</v>
      </c>
      <c r="N26" s="288">
        <f t="shared" si="0"/>
        <v>37</v>
      </c>
      <c r="O26" s="212"/>
      <c r="P26" s="212"/>
      <c r="Q26" s="211"/>
    </row>
    <row r="27" spans="1:17" ht="15.75" x14ac:dyDescent="0.25">
      <c r="A27" s="229">
        <v>24</v>
      </c>
      <c r="B27" s="223"/>
      <c r="C27" s="224"/>
      <c r="D27" s="224"/>
      <c r="E27" s="218">
        <v>73</v>
      </c>
      <c r="F27" s="218">
        <v>50</v>
      </c>
      <c r="G27" s="219">
        <v>74</v>
      </c>
      <c r="H27" s="219">
        <v>70</v>
      </c>
      <c r="I27" s="218">
        <v>76</v>
      </c>
      <c r="J27" s="219">
        <v>96</v>
      </c>
      <c r="K27" s="218">
        <v>82</v>
      </c>
      <c r="L27" s="212">
        <v>512</v>
      </c>
      <c r="M27" s="220">
        <v>73.142857142857139</v>
      </c>
      <c r="N27" s="288">
        <f t="shared" si="0"/>
        <v>43</v>
      </c>
      <c r="O27" s="212"/>
      <c r="P27" s="212"/>
      <c r="Q27" s="211"/>
    </row>
    <row r="28" spans="1:17" x14ac:dyDescent="0.25">
      <c r="A28" s="228">
        <v>25</v>
      </c>
      <c r="B28" s="231"/>
      <c r="C28" s="225"/>
      <c r="D28" s="225"/>
      <c r="E28" s="218">
        <v>82</v>
      </c>
      <c r="F28" s="219">
        <v>50</v>
      </c>
      <c r="G28" s="219">
        <v>83</v>
      </c>
      <c r="H28" s="218">
        <v>78</v>
      </c>
      <c r="I28" s="219">
        <v>71</v>
      </c>
      <c r="J28" s="218">
        <v>97</v>
      </c>
      <c r="K28" s="218">
        <v>90</v>
      </c>
      <c r="L28" s="212">
        <v>551</v>
      </c>
      <c r="M28" s="220">
        <v>78.714285714285708</v>
      </c>
      <c r="N28" s="288">
        <f t="shared" si="0"/>
        <v>38</v>
      </c>
      <c r="O28" s="212"/>
      <c r="P28" s="212"/>
      <c r="Q28" s="211"/>
    </row>
    <row r="29" spans="1:17" ht="15.75" x14ac:dyDescent="0.25">
      <c r="A29" s="229">
        <v>26</v>
      </c>
      <c r="B29" s="223"/>
      <c r="C29" s="224"/>
      <c r="D29" s="224"/>
      <c r="E29" s="218">
        <v>72</v>
      </c>
      <c r="F29" s="218">
        <v>50</v>
      </c>
      <c r="G29" s="218">
        <v>81</v>
      </c>
      <c r="H29" s="218">
        <v>76</v>
      </c>
      <c r="I29" s="218">
        <v>74</v>
      </c>
      <c r="J29" s="218">
        <v>97</v>
      </c>
      <c r="K29" s="218">
        <v>80</v>
      </c>
      <c r="L29" s="212"/>
      <c r="M29" s="220">
        <v>74.857142857142861</v>
      </c>
      <c r="N29" s="288">
        <f t="shared" si="0"/>
        <v>41</v>
      </c>
      <c r="O29" s="212"/>
      <c r="P29" s="212"/>
      <c r="Q29" s="211"/>
    </row>
    <row r="30" spans="1:17" ht="15.75" x14ac:dyDescent="0.25">
      <c r="A30" s="229">
        <v>27</v>
      </c>
      <c r="B30" s="223"/>
      <c r="C30" s="224"/>
      <c r="D30" s="224"/>
      <c r="E30" s="218">
        <v>78</v>
      </c>
      <c r="F30" s="218">
        <v>57</v>
      </c>
      <c r="G30" s="219">
        <v>82</v>
      </c>
      <c r="H30" s="218">
        <v>75</v>
      </c>
      <c r="I30" s="218">
        <v>75</v>
      </c>
      <c r="J30" s="218">
        <v>98</v>
      </c>
      <c r="K30" s="218">
        <v>93</v>
      </c>
      <c r="L30" s="212">
        <v>558</v>
      </c>
      <c r="M30" s="220">
        <v>79.714285714285708</v>
      </c>
      <c r="N30" s="288">
        <f t="shared" si="0"/>
        <v>31</v>
      </c>
      <c r="O30" s="212"/>
      <c r="P30" s="212"/>
      <c r="Q30" s="211"/>
    </row>
    <row r="31" spans="1:17" ht="15.75" x14ac:dyDescent="0.25">
      <c r="A31" s="229">
        <v>28</v>
      </c>
      <c r="B31" s="223"/>
      <c r="C31" s="224"/>
      <c r="D31" s="224"/>
      <c r="E31" s="218">
        <v>91</v>
      </c>
      <c r="F31" s="218">
        <v>74</v>
      </c>
      <c r="G31" s="218">
        <v>94</v>
      </c>
      <c r="H31" s="218">
        <v>82</v>
      </c>
      <c r="I31" s="218">
        <v>90</v>
      </c>
      <c r="J31" s="218">
        <v>99</v>
      </c>
      <c r="K31" s="218">
        <v>99</v>
      </c>
      <c r="L31" s="212">
        <v>629</v>
      </c>
      <c r="M31" s="220">
        <v>89.857142857142861</v>
      </c>
      <c r="N31" s="288">
        <f t="shared" si="0"/>
        <v>16</v>
      </c>
      <c r="O31" s="212"/>
      <c r="P31" s="212"/>
      <c r="Q31" s="211"/>
    </row>
    <row r="32" spans="1:17" x14ac:dyDescent="0.25">
      <c r="A32" s="228">
        <v>29</v>
      </c>
      <c r="B32" s="223"/>
      <c r="C32" s="224"/>
      <c r="D32" s="224"/>
      <c r="E32" s="218">
        <v>96</v>
      </c>
      <c r="F32" s="218">
        <v>90</v>
      </c>
      <c r="G32" s="218">
        <v>100</v>
      </c>
      <c r="H32" s="218">
        <v>100</v>
      </c>
      <c r="I32" s="218">
        <v>97</v>
      </c>
      <c r="J32" s="218">
        <v>100</v>
      </c>
      <c r="K32" s="218">
        <v>100</v>
      </c>
      <c r="L32" s="212">
        <v>683</v>
      </c>
      <c r="M32" s="220">
        <v>97.571428571428569</v>
      </c>
      <c r="N32" s="288">
        <f t="shared" si="0"/>
        <v>4</v>
      </c>
      <c r="O32" s="212"/>
      <c r="P32" s="212"/>
      <c r="Q32" s="211"/>
    </row>
    <row r="33" spans="1:17" ht="15.75" x14ac:dyDescent="0.25">
      <c r="A33" s="229">
        <v>30</v>
      </c>
      <c r="B33" s="234"/>
      <c r="C33" s="230"/>
      <c r="D33" s="230"/>
      <c r="E33" s="218">
        <v>96</v>
      </c>
      <c r="F33" s="219">
        <v>92</v>
      </c>
      <c r="G33" s="219">
        <v>100</v>
      </c>
      <c r="H33" s="219">
        <v>100</v>
      </c>
      <c r="I33" s="218">
        <v>98</v>
      </c>
      <c r="J33" s="218">
        <v>100</v>
      </c>
      <c r="K33" s="218">
        <v>100</v>
      </c>
      <c r="L33" s="212">
        <v>686</v>
      </c>
      <c r="M33" s="220">
        <v>98</v>
      </c>
      <c r="N33" s="288">
        <f t="shared" si="0"/>
        <v>3</v>
      </c>
      <c r="O33" s="212"/>
      <c r="P33" s="212"/>
      <c r="Q33" s="211"/>
    </row>
    <row r="34" spans="1:17" ht="15.75" x14ac:dyDescent="0.25">
      <c r="A34" s="228">
        <v>31</v>
      </c>
      <c r="B34" s="235"/>
      <c r="C34" s="232"/>
      <c r="D34" s="232"/>
      <c r="E34" s="218">
        <v>76</v>
      </c>
      <c r="F34" s="218">
        <v>58</v>
      </c>
      <c r="G34" s="219">
        <v>82</v>
      </c>
      <c r="H34" s="218">
        <v>81</v>
      </c>
      <c r="I34" s="218">
        <v>76</v>
      </c>
      <c r="J34" s="218">
        <v>98</v>
      </c>
      <c r="K34" s="218">
        <v>90</v>
      </c>
      <c r="L34" s="212">
        <v>556</v>
      </c>
      <c r="M34" s="220">
        <v>79.428571428571431</v>
      </c>
      <c r="N34" s="288">
        <f t="shared" si="0"/>
        <v>33</v>
      </c>
      <c r="O34" s="212"/>
      <c r="P34" s="212"/>
      <c r="Q34" s="211"/>
    </row>
    <row r="35" spans="1:17" ht="15.75" x14ac:dyDescent="0.25">
      <c r="A35" s="228">
        <v>32</v>
      </c>
      <c r="B35" s="234"/>
      <c r="C35" s="230"/>
      <c r="D35" s="230"/>
      <c r="E35" s="218">
        <v>94</v>
      </c>
      <c r="F35" s="218">
        <v>87</v>
      </c>
      <c r="G35" s="218">
        <v>100</v>
      </c>
      <c r="H35" s="218">
        <v>99</v>
      </c>
      <c r="I35" s="218">
        <v>92</v>
      </c>
      <c r="J35" s="218">
        <v>100</v>
      </c>
      <c r="K35" s="218">
        <v>91</v>
      </c>
      <c r="L35" s="212">
        <v>663</v>
      </c>
      <c r="M35" s="220">
        <v>94.714285714285708</v>
      </c>
      <c r="N35" s="288">
        <f t="shared" si="0"/>
        <v>6</v>
      </c>
      <c r="O35" s="212"/>
      <c r="P35" s="212"/>
      <c r="Q35" s="211"/>
    </row>
    <row r="36" spans="1:17" ht="15.75" x14ac:dyDescent="0.25">
      <c r="A36" s="228">
        <v>33</v>
      </c>
      <c r="B36" s="234"/>
      <c r="C36" s="230"/>
      <c r="D36" s="230"/>
      <c r="E36" s="212">
        <v>90</v>
      </c>
      <c r="F36" s="212">
        <v>82</v>
      </c>
      <c r="G36" s="212">
        <v>97</v>
      </c>
      <c r="H36" s="212">
        <v>99</v>
      </c>
      <c r="I36" s="212">
        <v>92</v>
      </c>
      <c r="J36" s="212">
        <v>99</v>
      </c>
      <c r="K36" s="212">
        <v>96</v>
      </c>
      <c r="L36" s="212">
        <v>655</v>
      </c>
      <c r="M36" s="212">
        <v>93.571428571428569</v>
      </c>
      <c r="N36" s="288">
        <f t="shared" si="0"/>
        <v>8</v>
      </c>
      <c r="O36" s="212"/>
      <c r="P36" s="212"/>
      <c r="Q36" s="211"/>
    </row>
    <row r="37" spans="1:17" ht="15.75" x14ac:dyDescent="0.25">
      <c r="A37" s="228">
        <v>34</v>
      </c>
      <c r="B37" s="236"/>
      <c r="C37" s="233"/>
      <c r="D37" s="233"/>
      <c r="E37" s="212">
        <v>80</v>
      </c>
      <c r="F37" s="212">
        <v>65</v>
      </c>
      <c r="G37" s="212">
        <v>86</v>
      </c>
      <c r="H37" s="212">
        <v>82</v>
      </c>
      <c r="I37" s="212">
        <v>77</v>
      </c>
      <c r="J37" s="212">
        <v>98</v>
      </c>
      <c r="K37" s="212">
        <v>90</v>
      </c>
      <c r="L37" s="212">
        <v>577</v>
      </c>
      <c r="M37" s="212">
        <v>82.428571428571431</v>
      </c>
      <c r="N37" s="288">
        <f t="shared" si="0"/>
        <v>27</v>
      </c>
      <c r="O37" s="212"/>
      <c r="P37" s="212"/>
      <c r="Q37" s="211"/>
    </row>
    <row r="38" spans="1:17" ht="15.75" x14ac:dyDescent="0.25">
      <c r="A38" s="228">
        <v>35</v>
      </c>
      <c r="B38" s="234"/>
      <c r="C38" s="230"/>
      <c r="D38" s="230"/>
      <c r="E38" s="212">
        <v>82</v>
      </c>
      <c r="F38" s="212">
        <v>53</v>
      </c>
      <c r="G38" s="212">
        <v>78</v>
      </c>
      <c r="H38" s="212">
        <v>77</v>
      </c>
      <c r="I38" s="212">
        <v>79</v>
      </c>
      <c r="J38" s="212">
        <v>97</v>
      </c>
      <c r="K38" s="212">
        <v>90</v>
      </c>
      <c r="L38" s="212">
        <v>555</v>
      </c>
      <c r="M38" s="212">
        <v>79.285714285714292</v>
      </c>
      <c r="N38" s="288">
        <f t="shared" si="0"/>
        <v>34</v>
      </c>
      <c r="O38" s="212"/>
      <c r="P38" s="212"/>
      <c r="Q38" s="211"/>
    </row>
    <row r="39" spans="1:17" ht="15.75" x14ac:dyDescent="0.25">
      <c r="A39" s="228">
        <v>36</v>
      </c>
      <c r="B39" s="234"/>
      <c r="C39" s="230"/>
      <c r="D39" s="230"/>
      <c r="E39" s="212">
        <v>91</v>
      </c>
      <c r="F39" s="212">
        <v>86</v>
      </c>
      <c r="G39" s="212">
        <v>92</v>
      </c>
      <c r="H39" s="212">
        <v>96</v>
      </c>
      <c r="I39" s="212">
        <v>94</v>
      </c>
      <c r="J39" s="212">
        <v>99</v>
      </c>
      <c r="K39" s="212">
        <v>95</v>
      </c>
      <c r="L39" s="212">
        <f>SUM(E39:K39)</f>
        <v>653</v>
      </c>
      <c r="M39" s="212">
        <f>AVERAGE(E39:K39)</f>
        <v>93.285714285714292</v>
      </c>
      <c r="N39" s="288">
        <f t="shared" si="0"/>
        <v>10</v>
      </c>
      <c r="O39" s="212"/>
      <c r="P39" s="212"/>
      <c r="Q39" s="211"/>
    </row>
    <row r="40" spans="1:17" ht="15.75" x14ac:dyDescent="0.25">
      <c r="A40" s="228">
        <v>37</v>
      </c>
      <c r="B40" s="234"/>
      <c r="C40" s="230"/>
      <c r="D40" s="230"/>
      <c r="E40" s="212">
        <v>91</v>
      </c>
      <c r="F40" s="212">
        <v>74</v>
      </c>
      <c r="G40" s="212">
        <v>91</v>
      </c>
      <c r="H40" s="212">
        <v>88</v>
      </c>
      <c r="I40" s="212">
        <v>92</v>
      </c>
      <c r="J40" s="212">
        <v>98</v>
      </c>
      <c r="K40" s="212">
        <v>95</v>
      </c>
      <c r="L40" s="212">
        <v>629</v>
      </c>
      <c r="M40" s="212">
        <v>89.857142857142861</v>
      </c>
      <c r="N40" s="288">
        <f t="shared" si="0"/>
        <v>16</v>
      </c>
      <c r="O40" s="212"/>
      <c r="P40" s="212"/>
      <c r="Q40" s="211"/>
    </row>
    <row r="41" spans="1:17" ht="15.75" x14ac:dyDescent="0.25">
      <c r="A41" s="228">
        <v>38</v>
      </c>
      <c r="B41" s="234"/>
      <c r="C41" s="230"/>
      <c r="D41" s="230"/>
      <c r="E41" s="212"/>
      <c r="F41" s="212"/>
      <c r="G41" s="212"/>
      <c r="H41" s="212"/>
      <c r="I41" s="212"/>
      <c r="J41" s="212"/>
      <c r="K41" s="212"/>
      <c r="L41" s="212"/>
      <c r="M41" s="212"/>
      <c r="N41" s="288" t="e">
        <f t="shared" si="0"/>
        <v>#N/A</v>
      </c>
      <c r="O41" s="212"/>
      <c r="P41" s="212"/>
      <c r="Q41" s="211"/>
    </row>
    <row r="42" spans="1:17" ht="15.75" x14ac:dyDescent="0.25">
      <c r="A42" s="228">
        <v>39</v>
      </c>
      <c r="B42" s="234"/>
      <c r="C42" s="230"/>
      <c r="D42" s="230"/>
      <c r="E42" s="212">
        <v>95</v>
      </c>
      <c r="F42" s="212">
        <v>69</v>
      </c>
      <c r="G42" s="212">
        <v>94</v>
      </c>
      <c r="H42" s="212">
        <v>94</v>
      </c>
      <c r="I42" s="212">
        <v>84</v>
      </c>
      <c r="J42" s="212">
        <v>100</v>
      </c>
      <c r="K42" s="212">
        <v>95</v>
      </c>
      <c r="L42" s="212">
        <v>631</v>
      </c>
      <c r="M42" s="212">
        <v>90.142857142857139</v>
      </c>
      <c r="N42" s="288">
        <f t="shared" si="0"/>
        <v>15</v>
      </c>
      <c r="O42" s="212"/>
      <c r="P42" s="212"/>
      <c r="Q42" s="211"/>
    </row>
    <row r="43" spans="1:17" ht="15.75" x14ac:dyDescent="0.25">
      <c r="A43" s="228">
        <v>40</v>
      </c>
      <c r="B43" s="234"/>
      <c r="C43" s="230"/>
      <c r="D43" s="230"/>
      <c r="E43" s="212">
        <v>75</v>
      </c>
      <c r="F43" s="212">
        <v>55</v>
      </c>
      <c r="G43" s="212">
        <v>74</v>
      </c>
      <c r="H43" s="212">
        <v>70</v>
      </c>
      <c r="I43" s="212">
        <v>76</v>
      </c>
      <c r="J43" s="212">
        <v>96</v>
      </c>
      <c r="K43" s="212">
        <v>74</v>
      </c>
      <c r="L43" s="212">
        <v>515</v>
      </c>
      <c r="M43" s="212">
        <v>73.571428571428569</v>
      </c>
      <c r="N43" s="288">
        <f t="shared" si="0"/>
        <v>42</v>
      </c>
      <c r="O43" s="212"/>
      <c r="P43" s="212"/>
      <c r="Q43" s="211"/>
    </row>
    <row r="44" spans="1:17" ht="15.75" x14ac:dyDescent="0.25">
      <c r="A44" s="228">
        <v>41</v>
      </c>
      <c r="B44" s="234"/>
      <c r="C44" s="230"/>
      <c r="D44" s="230"/>
      <c r="E44" s="212">
        <v>88</v>
      </c>
      <c r="F44" s="212">
        <v>54</v>
      </c>
      <c r="G44" s="212">
        <v>77</v>
      </c>
      <c r="H44" s="212">
        <v>78</v>
      </c>
      <c r="I44" s="212">
        <v>75</v>
      </c>
      <c r="J44" s="212">
        <v>96</v>
      </c>
      <c r="K44" s="212">
        <v>90</v>
      </c>
      <c r="L44" s="212">
        <v>558</v>
      </c>
      <c r="M44" s="212">
        <v>79.714285714285708</v>
      </c>
      <c r="N44" s="288">
        <f t="shared" si="0"/>
        <v>31</v>
      </c>
      <c r="O44" s="212"/>
      <c r="P44" s="212"/>
      <c r="Q44" s="211"/>
    </row>
    <row r="45" spans="1:17" ht="15.75" x14ac:dyDescent="0.25">
      <c r="A45" s="228">
        <v>42</v>
      </c>
      <c r="B45" s="234"/>
      <c r="C45" s="230"/>
      <c r="D45" s="230"/>
      <c r="E45" s="212">
        <v>85</v>
      </c>
      <c r="F45" s="212">
        <v>51</v>
      </c>
      <c r="G45" s="212">
        <v>83</v>
      </c>
      <c r="H45" s="212">
        <v>76</v>
      </c>
      <c r="I45" s="212">
        <v>78</v>
      </c>
      <c r="J45" s="212">
        <v>98</v>
      </c>
      <c r="K45" s="212">
        <v>92</v>
      </c>
      <c r="L45" s="212">
        <v>563</v>
      </c>
      <c r="M45" s="212">
        <v>80.428571428571431</v>
      </c>
      <c r="N45" s="288">
        <f t="shared" si="0"/>
        <v>30</v>
      </c>
      <c r="O45" s="212"/>
      <c r="P45" s="212"/>
      <c r="Q45" s="211"/>
    </row>
    <row r="46" spans="1:17" ht="15.75" x14ac:dyDescent="0.25">
      <c r="A46" s="228">
        <v>43</v>
      </c>
      <c r="B46" s="234"/>
      <c r="C46" s="230"/>
      <c r="D46" s="230"/>
      <c r="E46" s="212">
        <v>88</v>
      </c>
      <c r="F46" s="212">
        <v>64</v>
      </c>
      <c r="G46" s="212">
        <v>83</v>
      </c>
      <c r="H46" s="212">
        <v>83</v>
      </c>
      <c r="I46" s="212">
        <v>84</v>
      </c>
      <c r="J46" s="212">
        <v>97</v>
      </c>
      <c r="K46" s="212">
        <v>90</v>
      </c>
      <c r="L46" s="212">
        <v>585</v>
      </c>
      <c r="M46" s="212">
        <v>83.571428571428569</v>
      </c>
      <c r="N46" s="288">
        <f t="shared" si="0"/>
        <v>22</v>
      </c>
      <c r="O46" s="212"/>
      <c r="P46" s="212"/>
      <c r="Q46" s="211"/>
    </row>
    <row r="47" spans="1:17" ht="15.75" x14ac:dyDescent="0.25">
      <c r="A47" s="228">
        <v>44</v>
      </c>
      <c r="B47" s="234"/>
      <c r="C47" s="230"/>
      <c r="D47" s="230"/>
      <c r="E47" s="212">
        <v>90</v>
      </c>
      <c r="F47" s="212">
        <v>84</v>
      </c>
      <c r="G47" s="212">
        <v>99</v>
      </c>
      <c r="H47" s="212">
        <v>99</v>
      </c>
      <c r="I47" s="212">
        <v>96</v>
      </c>
      <c r="J47" s="212">
        <v>100</v>
      </c>
      <c r="K47" s="212">
        <v>98</v>
      </c>
      <c r="L47" s="212">
        <v>666</v>
      </c>
      <c r="M47" s="212">
        <v>95.142857142857139</v>
      </c>
      <c r="N47" s="288">
        <f t="shared" si="0"/>
        <v>5</v>
      </c>
      <c r="O47" s="212"/>
      <c r="P47" s="212"/>
      <c r="Q47" s="211"/>
    </row>
    <row r="48" spans="1:17" ht="15.75" x14ac:dyDescent="0.25">
      <c r="A48" s="228">
        <v>45</v>
      </c>
      <c r="B48" s="234"/>
      <c r="C48" s="230"/>
      <c r="D48" s="230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1"/>
    </row>
    <row r="49" spans="1:17" x14ac:dyDescent="0.25">
      <c r="A49" s="228">
        <v>46</v>
      </c>
      <c r="B49" s="226"/>
      <c r="C49" s="221"/>
      <c r="D49" s="221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1"/>
    </row>
    <row r="50" spans="1:17" x14ac:dyDescent="0.25">
      <c r="A50" s="228">
        <v>47</v>
      </c>
      <c r="B50" s="226"/>
      <c r="C50" s="221"/>
      <c r="D50" s="221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1"/>
    </row>
    <row r="51" spans="1:17" x14ac:dyDescent="0.25">
      <c r="A51" s="228">
        <v>48</v>
      </c>
      <c r="B51" s="226"/>
      <c r="C51" s="221"/>
      <c r="D51" s="221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1"/>
    </row>
    <row r="52" spans="1:17" x14ac:dyDescent="0.25">
      <c r="A52" s="228">
        <v>49</v>
      </c>
      <c r="B52" s="226"/>
      <c r="C52" s="221"/>
      <c r="D52" s="221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1"/>
    </row>
    <row r="53" spans="1:17" x14ac:dyDescent="0.25">
      <c r="A53" s="228">
        <v>50</v>
      </c>
      <c r="B53" s="226"/>
      <c r="C53" s="221"/>
      <c r="D53" s="221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1"/>
    </row>
    <row r="54" spans="1:17" x14ac:dyDescent="0.25">
      <c r="A54" s="228">
        <v>51</v>
      </c>
      <c r="B54" s="226"/>
      <c r="C54" s="221"/>
      <c r="D54" s="221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1"/>
    </row>
    <row r="55" spans="1:17" x14ac:dyDescent="0.25">
      <c r="A55" s="228">
        <v>52</v>
      </c>
      <c r="B55" s="226"/>
      <c r="C55" s="221"/>
      <c r="D55" s="221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1"/>
    </row>
    <row r="56" spans="1:17" x14ac:dyDescent="0.25">
      <c r="A56" s="228">
        <v>53</v>
      </c>
      <c r="B56" s="226"/>
      <c r="C56" s="221"/>
      <c r="D56" s="221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1"/>
    </row>
    <row r="57" spans="1:17" x14ac:dyDescent="0.25">
      <c r="A57" s="228">
        <v>54</v>
      </c>
      <c r="B57" s="226"/>
      <c r="C57" s="221"/>
      <c r="D57" s="221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1"/>
    </row>
    <row r="58" spans="1:17" x14ac:dyDescent="0.25">
      <c r="A58" s="228">
        <v>55</v>
      </c>
      <c r="B58" s="226"/>
      <c r="C58" s="221"/>
      <c r="D58" s="221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1"/>
    </row>
  </sheetData>
  <mergeCells count="2">
    <mergeCell ref="A1:Q1"/>
    <mergeCell ref="A2:Q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opLeftCell="A36" workbookViewId="0">
      <selection activeCell="B47" sqref="B4:B47"/>
    </sheetView>
  </sheetViews>
  <sheetFormatPr defaultRowHeight="15" x14ac:dyDescent="0.25"/>
  <cols>
    <col min="1" max="1" width="10.140625" customWidth="1"/>
    <col min="2" max="2" width="30.5703125" customWidth="1"/>
    <col min="3" max="3" width="7.5703125" customWidth="1"/>
  </cols>
  <sheetData>
    <row r="1" spans="1:8" ht="20.25" x14ac:dyDescent="0.25">
      <c r="A1" s="865" t="s">
        <v>52</v>
      </c>
      <c r="B1" s="866"/>
      <c r="C1" s="866"/>
      <c r="D1" s="866"/>
      <c r="E1" s="866"/>
      <c r="F1" s="866"/>
      <c r="G1" s="866"/>
      <c r="H1" s="866"/>
    </row>
    <row r="2" spans="1:8" x14ac:dyDescent="0.25">
      <c r="A2" s="897" t="s">
        <v>56</v>
      </c>
      <c r="B2" s="898"/>
      <c r="C2" s="898"/>
      <c r="D2" s="898"/>
      <c r="E2" s="898"/>
      <c r="F2" s="898"/>
      <c r="G2" s="898"/>
      <c r="H2" s="898"/>
    </row>
    <row r="3" spans="1:8" ht="45.75" thickBot="1" x14ac:dyDescent="0.3">
      <c r="A3" s="238" t="s">
        <v>32</v>
      </c>
      <c r="B3" s="239" t="s">
        <v>1</v>
      </c>
      <c r="C3" s="240" t="s">
        <v>2</v>
      </c>
      <c r="D3" s="239" t="s">
        <v>3</v>
      </c>
      <c r="E3" s="243" t="s">
        <v>35</v>
      </c>
      <c r="F3" s="243" t="s">
        <v>36</v>
      </c>
      <c r="G3" s="243" t="s">
        <v>13</v>
      </c>
      <c r="H3" s="244" t="s">
        <v>14</v>
      </c>
    </row>
    <row r="4" spans="1:8" x14ac:dyDescent="0.25">
      <c r="A4" s="794">
        <v>1</v>
      </c>
      <c r="B4" s="245"/>
      <c r="C4" s="246"/>
      <c r="D4" s="246"/>
      <c r="E4" s="241">
        <v>97.857142857142861</v>
      </c>
      <c r="F4" s="241">
        <v>98.714285714285708</v>
      </c>
      <c r="G4" s="241">
        <f>AVERAGE(E4:F4)</f>
        <v>98.285714285714278</v>
      </c>
      <c r="H4" s="237">
        <f>RANK(G4,$G$4:$G$47)</f>
        <v>1</v>
      </c>
    </row>
    <row r="5" spans="1:8" x14ac:dyDescent="0.25">
      <c r="A5" s="795">
        <v>2</v>
      </c>
      <c r="B5" s="245"/>
      <c r="C5" s="246"/>
      <c r="D5" s="246"/>
      <c r="E5" s="241">
        <v>77</v>
      </c>
      <c r="F5" s="241">
        <v>82.571428571428569</v>
      </c>
      <c r="G5" s="293">
        <f t="shared" ref="G5:G47" si="0">AVERAGE(E5:F5)</f>
        <v>79.785714285714278</v>
      </c>
      <c r="H5" s="288">
        <f t="shared" ref="H5:H47" si="1">RANK(G5,$G$4:$G$47)</f>
        <v>27</v>
      </c>
    </row>
    <row r="6" spans="1:8" ht="15.75" x14ac:dyDescent="0.25">
      <c r="A6" s="796">
        <v>3</v>
      </c>
      <c r="B6" s="245"/>
      <c r="C6" s="246"/>
      <c r="D6" s="246"/>
      <c r="E6" s="241">
        <v>69.857142857142861</v>
      </c>
      <c r="F6" s="241">
        <v>76</v>
      </c>
      <c r="G6" s="293">
        <f t="shared" si="0"/>
        <v>72.928571428571431</v>
      </c>
      <c r="H6" s="288">
        <f t="shared" si="1"/>
        <v>41</v>
      </c>
    </row>
    <row r="7" spans="1:8" x14ac:dyDescent="0.25">
      <c r="A7" s="795">
        <v>4</v>
      </c>
      <c r="B7" s="245"/>
      <c r="C7" s="246"/>
      <c r="D7" s="246"/>
      <c r="E7" s="241">
        <v>90.285714285714292</v>
      </c>
      <c r="F7" s="241">
        <v>92.285714285714292</v>
      </c>
      <c r="G7" s="293">
        <f t="shared" si="0"/>
        <v>91.285714285714292</v>
      </c>
      <c r="H7" s="288">
        <f t="shared" si="1"/>
        <v>10</v>
      </c>
    </row>
    <row r="8" spans="1:8" x14ac:dyDescent="0.25">
      <c r="A8" s="795">
        <v>5</v>
      </c>
      <c r="B8" s="245"/>
      <c r="C8" s="246"/>
      <c r="D8" s="246"/>
      <c r="E8" s="241">
        <v>74.285714285714292</v>
      </c>
      <c r="F8" s="241">
        <v>81.714285714285708</v>
      </c>
      <c r="G8" s="293">
        <f t="shared" si="0"/>
        <v>78</v>
      </c>
      <c r="H8" s="288">
        <f t="shared" si="1"/>
        <v>30</v>
      </c>
    </row>
    <row r="9" spans="1:8" ht="15.75" x14ac:dyDescent="0.25">
      <c r="A9" s="796">
        <v>6</v>
      </c>
      <c r="B9" s="245"/>
      <c r="C9" s="246"/>
      <c r="D9" s="246"/>
      <c r="E9" s="241">
        <v>80.857142857142861</v>
      </c>
      <c r="F9" s="241">
        <v>88.857142857142861</v>
      </c>
      <c r="G9" s="293">
        <f t="shared" si="0"/>
        <v>84.857142857142861</v>
      </c>
      <c r="H9" s="288">
        <f t="shared" si="1"/>
        <v>19</v>
      </c>
    </row>
    <row r="10" spans="1:8" x14ac:dyDescent="0.25">
      <c r="A10" s="795">
        <v>7</v>
      </c>
      <c r="B10" s="245"/>
      <c r="C10" s="246"/>
      <c r="D10" s="246"/>
      <c r="E10" s="241">
        <v>89.285714285714292</v>
      </c>
      <c r="F10" s="241">
        <v>91</v>
      </c>
      <c r="G10" s="293">
        <f t="shared" si="0"/>
        <v>90.142857142857139</v>
      </c>
      <c r="H10" s="288">
        <f t="shared" si="1"/>
        <v>13</v>
      </c>
    </row>
    <row r="11" spans="1:8" x14ac:dyDescent="0.25">
      <c r="A11" s="795">
        <v>8</v>
      </c>
      <c r="B11" s="245"/>
      <c r="C11" s="246"/>
      <c r="D11" s="246"/>
      <c r="E11" s="241">
        <v>71.857142857142861</v>
      </c>
      <c r="F11" s="241">
        <v>76.714285714285708</v>
      </c>
      <c r="G11" s="293">
        <f t="shared" si="0"/>
        <v>74.285714285714278</v>
      </c>
      <c r="H11" s="288">
        <f t="shared" si="1"/>
        <v>40</v>
      </c>
    </row>
    <row r="12" spans="1:8" ht="15.75" x14ac:dyDescent="0.25">
      <c r="A12" s="796">
        <v>9</v>
      </c>
      <c r="B12" s="245"/>
      <c r="C12" s="246"/>
      <c r="D12" s="246"/>
      <c r="E12" s="241">
        <v>80.428571428571431</v>
      </c>
      <c r="F12" s="241">
        <v>83</v>
      </c>
      <c r="G12" s="293">
        <f t="shared" si="0"/>
        <v>81.714285714285722</v>
      </c>
      <c r="H12" s="288">
        <f t="shared" si="1"/>
        <v>23</v>
      </c>
    </row>
    <row r="13" spans="1:8" x14ac:dyDescent="0.25">
      <c r="A13" s="795">
        <v>10</v>
      </c>
      <c r="B13" s="245"/>
      <c r="C13" s="246"/>
      <c r="D13" s="246"/>
      <c r="E13" s="241">
        <v>90.142857142857139</v>
      </c>
      <c r="F13" s="241">
        <v>93.428571428571431</v>
      </c>
      <c r="G13" s="293">
        <f t="shared" si="0"/>
        <v>91.785714285714278</v>
      </c>
      <c r="H13" s="288">
        <f t="shared" si="1"/>
        <v>8</v>
      </c>
    </row>
    <row r="14" spans="1:8" ht="15.75" x14ac:dyDescent="0.25">
      <c r="A14" s="796">
        <v>11</v>
      </c>
      <c r="B14" s="245"/>
      <c r="C14" s="246"/>
      <c r="D14" s="246"/>
      <c r="E14" s="241">
        <v>80.714285714285708</v>
      </c>
      <c r="F14" s="241">
        <v>85.428571428571431</v>
      </c>
      <c r="G14" s="293">
        <f t="shared" si="0"/>
        <v>83.071428571428569</v>
      </c>
      <c r="H14" s="288">
        <f t="shared" si="1"/>
        <v>20</v>
      </c>
    </row>
    <row r="15" spans="1:8" ht="15.75" x14ac:dyDescent="0.25">
      <c r="A15" s="796">
        <v>12</v>
      </c>
      <c r="B15" s="245"/>
      <c r="C15" s="246"/>
      <c r="D15" s="246"/>
      <c r="E15" s="241">
        <v>80</v>
      </c>
      <c r="F15" s="241">
        <v>84.571428571428569</v>
      </c>
      <c r="G15" s="293">
        <f t="shared" si="0"/>
        <v>82.285714285714278</v>
      </c>
      <c r="H15" s="288">
        <f t="shared" si="1"/>
        <v>21</v>
      </c>
    </row>
    <row r="16" spans="1:8" ht="15.75" x14ac:dyDescent="0.25">
      <c r="A16" s="796">
        <v>13</v>
      </c>
      <c r="B16" s="245"/>
      <c r="C16" s="246"/>
      <c r="D16" s="246"/>
      <c r="E16" s="241">
        <v>88.428571428571431</v>
      </c>
      <c r="F16" s="241">
        <v>90.571428571428569</v>
      </c>
      <c r="G16" s="293">
        <f t="shared" si="0"/>
        <v>89.5</v>
      </c>
      <c r="H16" s="288">
        <f t="shared" si="1"/>
        <v>16</v>
      </c>
    </row>
    <row r="17" spans="1:8" x14ac:dyDescent="0.25">
      <c r="A17" s="795">
        <v>14</v>
      </c>
      <c r="B17" s="245"/>
      <c r="C17" s="246"/>
      <c r="D17" s="246"/>
      <c r="E17" s="241">
        <v>73.285714285714292</v>
      </c>
      <c r="F17" s="241">
        <v>79.285714285714292</v>
      </c>
      <c r="G17" s="293">
        <f t="shared" si="0"/>
        <v>76.285714285714292</v>
      </c>
      <c r="H17" s="288">
        <f t="shared" si="1"/>
        <v>35</v>
      </c>
    </row>
    <row r="18" spans="1:8" ht="15.75" x14ac:dyDescent="0.25">
      <c r="A18" s="796">
        <v>15</v>
      </c>
      <c r="B18" s="245"/>
      <c r="C18" s="246"/>
      <c r="D18" s="246"/>
      <c r="E18" s="241">
        <v>75</v>
      </c>
      <c r="F18" s="241">
        <v>79</v>
      </c>
      <c r="G18" s="293">
        <f t="shared" si="0"/>
        <v>77</v>
      </c>
      <c r="H18" s="288">
        <f t="shared" si="1"/>
        <v>32</v>
      </c>
    </row>
    <row r="19" spans="1:8" x14ac:dyDescent="0.25">
      <c r="A19" s="795">
        <v>16</v>
      </c>
      <c r="B19" s="245"/>
      <c r="C19" s="246"/>
      <c r="D19" s="246"/>
      <c r="E19" s="241">
        <v>76.285714285714292</v>
      </c>
      <c r="F19" s="241">
        <v>81.714285714285708</v>
      </c>
      <c r="G19" s="293">
        <f t="shared" si="0"/>
        <v>79</v>
      </c>
      <c r="H19" s="288">
        <f t="shared" si="1"/>
        <v>29</v>
      </c>
    </row>
    <row r="20" spans="1:8" x14ac:dyDescent="0.25">
      <c r="A20" s="795">
        <v>17</v>
      </c>
      <c r="B20" s="245"/>
      <c r="C20" s="246"/>
      <c r="D20" s="246"/>
      <c r="E20" s="241">
        <v>75.857142857142861</v>
      </c>
      <c r="F20" s="241">
        <v>83</v>
      </c>
      <c r="G20" s="293">
        <f t="shared" si="0"/>
        <v>79.428571428571431</v>
      </c>
      <c r="H20" s="288">
        <f t="shared" si="1"/>
        <v>28</v>
      </c>
    </row>
    <row r="21" spans="1:8" x14ac:dyDescent="0.25">
      <c r="A21" s="795">
        <v>18</v>
      </c>
      <c r="B21" s="245"/>
      <c r="C21" s="246"/>
      <c r="D21" s="246"/>
      <c r="E21" s="241">
        <v>80</v>
      </c>
      <c r="F21" s="241">
        <v>82.714285714285708</v>
      </c>
      <c r="G21" s="293">
        <f t="shared" si="0"/>
        <v>81.357142857142861</v>
      </c>
      <c r="H21" s="288">
        <f t="shared" si="1"/>
        <v>25</v>
      </c>
    </row>
    <row r="22" spans="1:8" ht="15.75" x14ac:dyDescent="0.25">
      <c r="A22" s="796">
        <v>19</v>
      </c>
      <c r="B22" s="245"/>
      <c r="C22" s="246"/>
      <c r="D22" s="246"/>
      <c r="E22" s="241">
        <v>95.714285714285708</v>
      </c>
      <c r="F22" s="241">
        <v>98.714285714285708</v>
      </c>
      <c r="G22" s="293">
        <f t="shared" si="0"/>
        <v>97.214285714285708</v>
      </c>
      <c r="H22" s="288">
        <f t="shared" si="1"/>
        <v>2</v>
      </c>
    </row>
    <row r="23" spans="1:8" ht="15.75" x14ac:dyDescent="0.25">
      <c r="A23" s="796">
        <v>20</v>
      </c>
      <c r="B23" s="245"/>
      <c r="C23" s="246"/>
      <c r="D23" s="246"/>
      <c r="E23" s="241">
        <v>79.142857142857139</v>
      </c>
      <c r="F23" s="241">
        <v>83.857142857142861</v>
      </c>
      <c r="G23" s="293">
        <f t="shared" si="0"/>
        <v>81.5</v>
      </c>
      <c r="H23" s="288">
        <f t="shared" si="1"/>
        <v>24</v>
      </c>
    </row>
    <row r="24" spans="1:8" ht="15.75" x14ac:dyDescent="0.25">
      <c r="A24" s="796">
        <v>21</v>
      </c>
      <c r="B24" s="245"/>
      <c r="C24" s="246"/>
      <c r="D24" s="246"/>
      <c r="E24" s="241">
        <v>89</v>
      </c>
      <c r="F24" s="241">
        <v>91.714285714285708</v>
      </c>
      <c r="G24" s="293">
        <f t="shared" si="0"/>
        <v>90.357142857142861</v>
      </c>
      <c r="H24" s="288">
        <f t="shared" si="1"/>
        <v>12</v>
      </c>
    </row>
    <row r="25" spans="1:8" x14ac:dyDescent="0.25">
      <c r="A25" s="795">
        <v>22</v>
      </c>
      <c r="B25" s="245"/>
      <c r="C25" s="246"/>
      <c r="D25" s="246"/>
      <c r="E25" s="241">
        <v>89.857142857142861</v>
      </c>
      <c r="F25" s="241">
        <v>94.571428571428569</v>
      </c>
      <c r="G25" s="293">
        <f t="shared" si="0"/>
        <v>92.214285714285722</v>
      </c>
      <c r="H25" s="288">
        <f t="shared" si="1"/>
        <v>7</v>
      </c>
    </row>
    <row r="26" spans="1:8" x14ac:dyDescent="0.25">
      <c r="A26" s="795">
        <v>23</v>
      </c>
      <c r="B26" s="245"/>
      <c r="C26" s="246"/>
      <c r="D26" s="246"/>
      <c r="E26" s="241">
        <v>71.428571428571431</v>
      </c>
      <c r="F26" s="241">
        <v>78.857142857142861</v>
      </c>
      <c r="G26" s="293">
        <f t="shared" si="0"/>
        <v>75.142857142857139</v>
      </c>
      <c r="H26" s="288">
        <f t="shared" si="1"/>
        <v>39</v>
      </c>
    </row>
    <row r="27" spans="1:8" ht="15.75" x14ac:dyDescent="0.25">
      <c r="A27" s="796">
        <v>24</v>
      </c>
      <c r="B27" s="245"/>
      <c r="C27" s="246"/>
      <c r="D27" s="246"/>
      <c r="E27" s="241">
        <v>64</v>
      </c>
      <c r="F27" s="241">
        <v>73.142857142857139</v>
      </c>
      <c r="G27" s="293">
        <f t="shared" si="0"/>
        <v>68.571428571428569</v>
      </c>
      <c r="H27" s="288">
        <f t="shared" si="1"/>
        <v>44</v>
      </c>
    </row>
    <row r="28" spans="1:8" x14ac:dyDescent="0.25">
      <c r="A28" s="795">
        <v>25</v>
      </c>
      <c r="B28" s="252"/>
      <c r="C28" s="247"/>
      <c r="D28" s="247"/>
      <c r="E28" s="241">
        <v>73.428571428571431</v>
      </c>
      <c r="F28" s="241">
        <v>78.714285714285708</v>
      </c>
      <c r="G28" s="293">
        <f t="shared" si="0"/>
        <v>76.071428571428569</v>
      </c>
      <c r="H28" s="288">
        <f t="shared" si="1"/>
        <v>37</v>
      </c>
    </row>
    <row r="29" spans="1:8" ht="15.75" x14ac:dyDescent="0.25">
      <c r="A29" s="796">
        <v>26</v>
      </c>
      <c r="B29" s="245"/>
      <c r="C29" s="246"/>
      <c r="D29" s="246"/>
      <c r="E29" s="241">
        <v>71</v>
      </c>
      <c r="F29" s="241">
        <v>74.857142857142861</v>
      </c>
      <c r="G29" s="293">
        <f t="shared" si="0"/>
        <v>72.928571428571431</v>
      </c>
      <c r="H29" s="288">
        <f t="shared" si="1"/>
        <v>41</v>
      </c>
    </row>
    <row r="30" spans="1:8" ht="15.75" x14ac:dyDescent="0.25">
      <c r="A30" s="796">
        <v>27</v>
      </c>
      <c r="B30" s="245"/>
      <c r="C30" s="246"/>
      <c r="D30" s="246"/>
      <c r="E30" s="241">
        <v>74.142857142857139</v>
      </c>
      <c r="F30" s="241">
        <v>79.714285714285708</v>
      </c>
      <c r="G30" s="293">
        <f t="shared" si="0"/>
        <v>76.928571428571416</v>
      </c>
      <c r="H30" s="288">
        <f t="shared" si="1"/>
        <v>34</v>
      </c>
    </row>
    <row r="31" spans="1:8" ht="15.75" x14ac:dyDescent="0.25">
      <c r="A31" s="796">
        <v>28</v>
      </c>
      <c r="B31" s="245"/>
      <c r="C31" s="246"/>
      <c r="D31" s="246"/>
      <c r="E31" s="241">
        <v>85.428571428571431</v>
      </c>
      <c r="F31" s="241">
        <v>89.857142857142861</v>
      </c>
      <c r="G31" s="293">
        <f t="shared" si="0"/>
        <v>87.642857142857139</v>
      </c>
      <c r="H31" s="288">
        <f t="shared" si="1"/>
        <v>17</v>
      </c>
    </row>
    <row r="32" spans="1:8" x14ac:dyDescent="0.25">
      <c r="A32" s="795">
        <v>29</v>
      </c>
      <c r="B32" s="245"/>
      <c r="C32" s="246"/>
      <c r="D32" s="246"/>
      <c r="E32" s="241">
        <v>95</v>
      </c>
      <c r="F32" s="241">
        <v>97.571428571428569</v>
      </c>
      <c r="G32" s="293">
        <f t="shared" si="0"/>
        <v>96.285714285714278</v>
      </c>
      <c r="H32" s="288">
        <f t="shared" si="1"/>
        <v>3</v>
      </c>
    </row>
    <row r="33" spans="1:8" ht="15.75" x14ac:dyDescent="0.25">
      <c r="A33" s="796">
        <v>30</v>
      </c>
      <c r="B33" s="255"/>
      <c r="C33" s="251"/>
      <c r="D33" s="251"/>
      <c r="E33" s="241">
        <v>94.285714285714292</v>
      </c>
      <c r="F33" s="241">
        <v>98</v>
      </c>
      <c r="G33" s="293">
        <f t="shared" si="0"/>
        <v>96.142857142857139</v>
      </c>
      <c r="H33" s="288">
        <f t="shared" si="1"/>
        <v>4</v>
      </c>
    </row>
    <row r="34" spans="1:8" ht="15.75" x14ac:dyDescent="0.25">
      <c r="A34" s="795">
        <v>31</v>
      </c>
      <c r="B34" s="256"/>
      <c r="C34" s="253"/>
      <c r="D34" s="253"/>
      <c r="E34" s="241">
        <v>72.714285714285708</v>
      </c>
      <c r="F34" s="241">
        <v>79.428571428571431</v>
      </c>
      <c r="G34" s="293">
        <f t="shared" si="0"/>
        <v>76.071428571428569</v>
      </c>
      <c r="H34" s="288">
        <f t="shared" si="1"/>
        <v>37</v>
      </c>
    </row>
    <row r="35" spans="1:8" ht="15.75" x14ac:dyDescent="0.25">
      <c r="A35" s="796">
        <v>32</v>
      </c>
      <c r="B35" s="255"/>
      <c r="C35" s="251"/>
      <c r="D35" s="251"/>
      <c r="E35" s="241">
        <v>91.857142857142861</v>
      </c>
      <c r="F35" s="241">
        <v>94.714285714285708</v>
      </c>
      <c r="G35" s="293">
        <f t="shared" si="0"/>
        <v>93.285714285714278</v>
      </c>
      <c r="H35" s="288">
        <f t="shared" si="1"/>
        <v>6</v>
      </c>
    </row>
    <row r="36" spans="1:8" ht="15.75" x14ac:dyDescent="0.25">
      <c r="A36" s="795">
        <v>33</v>
      </c>
      <c r="B36" s="255"/>
      <c r="C36" s="251"/>
      <c r="D36" s="251"/>
      <c r="E36" s="241">
        <v>89.571428571428569</v>
      </c>
      <c r="F36" s="241">
        <v>93.571428571428569</v>
      </c>
      <c r="G36" s="293">
        <f t="shared" si="0"/>
        <v>91.571428571428569</v>
      </c>
      <c r="H36" s="288">
        <f t="shared" si="1"/>
        <v>9</v>
      </c>
    </row>
    <row r="37" spans="1:8" ht="15.75" x14ac:dyDescent="0.25">
      <c r="A37" s="796">
        <v>34</v>
      </c>
      <c r="B37" s="257"/>
      <c r="C37" s="254"/>
      <c r="D37" s="254"/>
      <c r="E37" s="241">
        <v>81.142857142857139</v>
      </c>
      <c r="F37" s="241">
        <v>82.428571428571431</v>
      </c>
      <c r="G37" s="293">
        <f t="shared" si="0"/>
        <v>81.785714285714278</v>
      </c>
      <c r="H37" s="288">
        <f t="shared" si="1"/>
        <v>22</v>
      </c>
    </row>
    <row r="38" spans="1:8" ht="15.75" x14ac:dyDescent="0.25">
      <c r="A38" s="795">
        <v>35</v>
      </c>
      <c r="B38" s="255"/>
      <c r="C38" s="251"/>
      <c r="D38" s="251"/>
      <c r="E38" s="241">
        <v>74.714285714285708</v>
      </c>
      <c r="F38" s="241">
        <v>79.285714285714292</v>
      </c>
      <c r="G38" s="293">
        <f t="shared" si="0"/>
        <v>77</v>
      </c>
      <c r="H38" s="288">
        <f t="shared" si="1"/>
        <v>32</v>
      </c>
    </row>
    <row r="39" spans="1:8" ht="15.75" x14ac:dyDescent="0.25">
      <c r="A39" s="796">
        <v>36</v>
      </c>
      <c r="B39" s="255"/>
      <c r="C39" s="251"/>
      <c r="D39" s="251"/>
      <c r="E39" s="241">
        <v>86.856999999999999</v>
      </c>
      <c r="F39" s="241">
        <v>93.284999999999997</v>
      </c>
      <c r="G39" s="293">
        <f t="shared" si="0"/>
        <v>90.070999999999998</v>
      </c>
      <c r="H39" s="288">
        <f t="shared" si="1"/>
        <v>14</v>
      </c>
    </row>
    <row r="40" spans="1:8" ht="15.75" x14ac:dyDescent="0.25">
      <c r="A40" s="795">
        <v>37</v>
      </c>
      <c r="B40" s="255"/>
      <c r="C40" s="251"/>
      <c r="D40" s="251"/>
      <c r="E40" s="241">
        <v>82.428571428571431</v>
      </c>
      <c r="F40" s="241">
        <v>89.857142857142861</v>
      </c>
      <c r="G40" s="293">
        <f t="shared" si="0"/>
        <v>86.142857142857139</v>
      </c>
      <c r="H40" s="288">
        <f t="shared" si="1"/>
        <v>18</v>
      </c>
    </row>
    <row r="41" spans="1:8" ht="15.75" x14ac:dyDescent="0.25">
      <c r="A41" s="796">
        <v>38</v>
      </c>
      <c r="B41" s="255"/>
      <c r="C41" s="251"/>
      <c r="D41" s="251"/>
      <c r="E41" s="241">
        <v>90.428571428571431</v>
      </c>
      <c r="F41" s="241"/>
      <c r="G41" s="293">
        <f t="shared" si="0"/>
        <v>90.428571428571431</v>
      </c>
      <c r="H41" s="288">
        <f t="shared" si="1"/>
        <v>11</v>
      </c>
    </row>
    <row r="42" spans="1:8" ht="15.75" x14ac:dyDescent="0.25">
      <c r="A42" s="795">
        <v>39</v>
      </c>
      <c r="B42" s="255"/>
      <c r="C42" s="251"/>
      <c r="D42" s="251"/>
      <c r="E42" s="241">
        <v>89.571428571428569</v>
      </c>
      <c r="F42" s="241">
        <v>90.142857142857139</v>
      </c>
      <c r="G42" s="293">
        <f t="shared" si="0"/>
        <v>89.857142857142861</v>
      </c>
      <c r="H42" s="288">
        <f t="shared" si="1"/>
        <v>15</v>
      </c>
    </row>
    <row r="43" spans="1:8" ht="15.75" x14ac:dyDescent="0.25">
      <c r="A43" s="796">
        <v>40</v>
      </c>
      <c r="B43" s="255"/>
      <c r="C43" s="251"/>
      <c r="D43" s="251"/>
      <c r="E43" s="241">
        <v>66</v>
      </c>
      <c r="F43" s="241">
        <v>73.571428571428569</v>
      </c>
      <c r="G43" s="293">
        <f t="shared" si="0"/>
        <v>69.785714285714278</v>
      </c>
      <c r="H43" s="288">
        <f t="shared" si="1"/>
        <v>43</v>
      </c>
    </row>
    <row r="44" spans="1:8" ht="15.75" x14ac:dyDescent="0.25">
      <c r="A44" s="795">
        <v>41</v>
      </c>
      <c r="B44" s="255"/>
      <c r="C44" s="251"/>
      <c r="D44" s="251"/>
      <c r="E44" s="241">
        <v>72.714285714285708</v>
      </c>
      <c r="F44" s="241">
        <v>79.714285714285708</v>
      </c>
      <c r="G44" s="293">
        <f t="shared" si="0"/>
        <v>76.214285714285708</v>
      </c>
      <c r="H44" s="288">
        <f t="shared" si="1"/>
        <v>36</v>
      </c>
    </row>
    <row r="45" spans="1:8" ht="15.75" x14ac:dyDescent="0.25">
      <c r="A45" s="796">
        <v>42</v>
      </c>
      <c r="B45" s="255"/>
      <c r="C45" s="251"/>
      <c r="D45" s="251"/>
      <c r="E45" s="241">
        <v>75.142857142857139</v>
      </c>
      <c r="F45" s="241">
        <v>80.428571428571431</v>
      </c>
      <c r="G45" s="293">
        <f t="shared" si="0"/>
        <v>77.785714285714278</v>
      </c>
      <c r="H45" s="288">
        <f t="shared" si="1"/>
        <v>31</v>
      </c>
    </row>
    <row r="46" spans="1:8" ht="15.75" x14ac:dyDescent="0.25">
      <c r="A46" s="795">
        <v>43</v>
      </c>
      <c r="B46" s="255"/>
      <c r="C46" s="251"/>
      <c r="D46" s="251"/>
      <c r="E46" s="241">
        <v>78.285714285714292</v>
      </c>
      <c r="F46" s="241">
        <v>83.571428571428569</v>
      </c>
      <c r="G46" s="293">
        <f t="shared" si="0"/>
        <v>80.928571428571431</v>
      </c>
      <c r="H46" s="288">
        <f t="shared" si="1"/>
        <v>26</v>
      </c>
    </row>
    <row r="47" spans="1:8" ht="15.75" x14ac:dyDescent="0.25">
      <c r="A47" s="796">
        <v>44</v>
      </c>
      <c r="B47" s="255"/>
      <c r="C47" s="251"/>
      <c r="D47" s="251"/>
      <c r="E47" s="241">
        <v>92.428571428571431</v>
      </c>
      <c r="F47" s="241">
        <v>95.142857142857139</v>
      </c>
      <c r="G47" s="293">
        <f t="shared" si="0"/>
        <v>93.785714285714278</v>
      </c>
      <c r="H47" s="288">
        <f t="shared" si="1"/>
        <v>5</v>
      </c>
    </row>
    <row r="48" spans="1:8" ht="15.75" x14ac:dyDescent="0.25">
      <c r="A48" s="249">
        <v>45</v>
      </c>
      <c r="B48" s="255"/>
      <c r="C48" s="251"/>
      <c r="D48" s="251"/>
      <c r="E48" s="241"/>
      <c r="F48" s="241"/>
      <c r="G48" s="241"/>
      <c r="H48" s="237"/>
    </row>
    <row r="49" spans="1:8" ht="15.75" x14ac:dyDescent="0.25">
      <c r="A49" s="250">
        <v>46</v>
      </c>
      <c r="B49" s="248"/>
      <c r="C49" s="242"/>
      <c r="D49" s="242"/>
      <c r="E49" s="241"/>
      <c r="F49" s="241"/>
      <c r="G49" s="241"/>
      <c r="H49" s="237"/>
    </row>
    <row r="50" spans="1:8" x14ac:dyDescent="0.25">
      <c r="A50" s="249">
        <v>47</v>
      </c>
      <c r="B50" s="248"/>
      <c r="C50" s="242"/>
      <c r="D50" s="242"/>
      <c r="E50" s="241"/>
      <c r="F50" s="241"/>
      <c r="G50" s="241"/>
      <c r="H50" s="237"/>
    </row>
    <row r="51" spans="1:8" ht="15.75" x14ac:dyDescent="0.25">
      <c r="A51" s="250">
        <v>48</v>
      </c>
      <c r="B51" s="248"/>
      <c r="C51" s="242"/>
      <c r="D51" s="242"/>
      <c r="E51" s="241"/>
      <c r="F51" s="241"/>
      <c r="G51" s="241"/>
      <c r="H51" s="237"/>
    </row>
    <row r="52" spans="1:8" x14ac:dyDescent="0.25">
      <c r="A52" s="249">
        <v>49</v>
      </c>
      <c r="B52" s="248"/>
      <c r="C52" s="242"/>
      <c r="D52" s="242"/>
      <c r="E52" s="241"/>
      <c r="F52" s="241"/>
      <c r="G52" s="241"/>
      <c r="H52" s="237"/>
    </row>
    <row r="53" spans="1:8" ht="15.75" x14ac:dyDescent="0.25">
      <c r="A53" s="250">
        <v>50</v>
      </c>
      <c r="B53" s="248"/>
      <c r="C53" s="242"/>
      <c r="D53" s="242"/>
      <c r="E53" s="241"/>
      <c r="F53" s="241"/>
      <c r="G53" s="241"/>
      <c r="H53" s="237"/>
    </row>
    <row r="54" spans="1:8" x14ac:dyDescent="0.25">
      <c r="A54" s="249">
        <v>51</v>
      </c>
      <c r="B54" s="248"/>
      <c r="C54" s="242"/>
      <c r="D54" s="242"/>
      <c r="E54" s="241"/>
      <c r="F54" s="241"/>
      <c r="G54" s="241"/>
      <c r="H54" s="237"/>
    </row>
    <row r="55" spans="1:8" ht="15.75" x14ac:dyDescent="0.25">
      <c r="A55" s="250">
        <v>52</v>
      </c>
      <c r="B55" s="248"/>
      <c r="C55" s="242"/>
      <c r="D55" s="242"/>
      <c r="E55" s="241"/>
      <c r="F55" s="241"/>
      <c r="G55" s="241"/>
      <c r="H55" s="237"/>
    </row>
    <row r="56" spans="1:8" x14ac:dyDescent="0.25">
      <c r="A56" s="249">
        <v>53</v>
      </c>
      <c r="B56" s="248"/>
      <c r="C56" s="242"/>
      <c r="D56" s="242"/>
      <c r="E56" s="241"/>
      <c r="F56" s="241"/>
      <c r="G56" s="241"/>
      <c r="H56" s="237"/>
    </row>
    <row r="57" spans="1:8" ht="15.75" x14ac:dyDescent="0.25">
      <c r="A57" s="250">
        <v>54</v>
      </c>
      <c r="B57" s="248"/>
      <c r="C57" s="242"/>
      <c r="D57" s="242"/>
      <c r="E57" s="241"/>
      <c r="F57" s="241"/>
      <c r="G57" s="241"/>
      <c r="H57" s="237"/>
    </row>
    <row r="58" spans="1:8" x14ac:dyDescent="0.25">
      <c r="A58" s="249">
        <v>55</v>
      </c>
      <c r="B58" s="248"/>
      <c r="C58" s="242"/>
      <c r="D58" s="242"/>
      <c r="E58" s="241"/>
      <c r="F58" s="241"/>
      <c r="G58" s="241"/>
      <c r="H58" s="237"/>
    </row>
  </sheetData>
  <mergeCells count="2">
    <mergeCell ref="A1:H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workbookViewId="0">
      <selection activeCell="B6" sqref="B6:B143"/>
    </sheetView>
  </sheetViews>
  <sheetFormatPr defaultRowHeight="15" x14ac:dyDescent="0.25"/>
  <cols>
    <col min="1" max="1" width="5.42578125" customWidth="1"/>
    <col min="2" max="2" width="29.5703125" customWidth="1"/>
    <col min="3" max="3" width="4.42578125" customWidth="1"/>
    <col min="4" max="4" width="4.5703125" customWidth="1"/>
    <col min="5" max="5" width="11.7109375" customWidth="1"/>
  </cols>
  <sheetData>
    <row r="1" spans="1:16" ht="20.25" x14ac:dyDescent="0.25">
      <c r="A1" s="861" t="s">
        <v>57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</row>
    <row r="2" spans="1:16" ht="20.25" x14ac:dyDescent="0.25">
      <c r="A2" s="258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76"/>
      <c r="N2" s="259"/>
      <c r="O2" s="259"/>
      <c r="P2" s="266"/>
    </row>
    <row r="3" spans="1:16" x14ac:dyDescent="0.25">
      <c r="A3" s="864" t="s">
        <v>59</v>
      </c>
      <c r="B3" s="864"/>
      <c r="C3" s="864"/>
      <c r="D3" s="864"/>
      <c r="E3" s="864"/>
      <c r="F3" s="864"/>
      <c r="G3" s="864"/>
      <c r="H3" s="864"/>
      <c r="I3" s="864"/>
      <c r="J3" s="864"/>
      <c r="K3" s="864"/>
      <c r="L3" s="864"/>
      <c r="M3" s="864"/>
      <c r="N3" s="864"/>
      <c r="O3" s="864"/>
      <c r="P3" s="1031"/>
    </row>
    <row r="4" spans="1:16" ht="15.75" thickBot="1" x14ac:dyDescent="0.3">
      <c r="A4" s="260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77"/>
      <c r="N4" s="260"/>
      <c r="O4" s="260"/>
      <c r="P4" s="260"/>
    </row>
    <row r="5" spans="1:16" ht="57" thickBot="1" x14ac:dyDescent="0.3">
      <c r="A5" s="268" t="s">
        <v>0</v>
      </c>
      <c r="B5" s="268" t="s">
        <v>1</v>
      </c>
      <c r="C5" s="269" t="s">
        <v>2</v>
      </c>
      <c r="D5" s="269" t="s">
        <v>3</v>
      </c>
      <c r="E5" s="262" t="s">
        <v>4</v>
      </c>
      <c r="F5" s="274" t="s">
        <v>5</v>
      </c>
      <c r="G5" s="274" t="s">
        <v>6</v>
      </c>
      <c r="H5" s="274" t="s">
        <v>23</v>
      </c>
      <c r="I5" s="274" t="s">
        <v>24</v>
      </c>
      <c r="J5" s="274" t="s">
        <v>10</v>
      </c>
      <c r="K5" s="274" t="s">
        <v>27</v>
      </c>
      <c r="L5" s="274" t="s">
        <v>12</v>
      </c>
      <c r="M5" s="278" t="s">
        <v>13</v>
      </c>
      <c r="N5" s="274" t="s">
        <v>14</v>
      </c>
      <c r="O5" s="274" t="s">
        <v>15</v>
      </c>
      <c r="P5" s="270" t="s">
        <v>16</v>
      </c>
    </row>
    <row r="6" spans="1:16" ht="15.75" thickBot="1" x14ac:dyDescent="0.3">
      <c r="A6" s="1032">
        <v>1</v>
      </c>
      <c r="B6" s="1030"/>
      <c r="C6" s="875"/>
      <c r="D6" s="1015"/>
      <c r="E6" s="263" t="s">
        <v>18</v>
      </c>
      <c r="F6" s="264">
        <v>87</v>
      </c>
      <c r="G6" s="264">
        <v>66</v>
      </c>
      <c r="H6" s="264">
        <v>80</v>
      </c>
      <c r="I6" s="264">
        <v>77</v>
      </c>
      <c r="J6" s="264">
        <v>95</v>
      </c>
      <c r="K6" s="264">
        <v>82</v>
      </c>
      <c r="L6" s="264">
        <v>487</v>
      </c>
      <c r="M6" s="275">
        <f>AVERAGE(F6:K6)</f>
        <v>81.166666666666671</v>
      </c>
      <c r="N6" s="271">
        <v>9</v>
      </c>
      <c r="O6" s="264"/>
      <c r="P6" s="279"/>
    </row>
    <row r="7" spans="1:16" ht="15.75" thickBot="1" x14ac:dyDescent="0.3">
      <c r="A7" s="1032"/>
      <c r="B7" s="1030"/>
      <c r="C7" s="875"/>
      <c r="D7" s="1015"/>
      <c r="E7" s="263" t="s">
        <v>19</v>
      </c>
      <c r="F7" s="267">
        <v>91</v>
      </c>
      <c r="G7" s="267">
        <v>83</v>
      </c>
      <c r="H7" s="267">
        <v>72</v>
      </c>
      <c r="I7" s="267">
        <v>89</v>
      </c>
      <c r="J7" s="267">
        <v>97</v>
      </c>
      <c r="K7" s="267">
        <v>80</v>
      </c>
      <c r="L7" s="264">
        <f>SUM(F7:K7)</f>
        <v>512</v>
      </c>
      <c r="M7" s="275">
        <f t="shared" ref="M7:M70" si="0">AVERAGE(F7:K7)</f>
        <v>85.333333333333329</v>
      </c>
      <c r="N7" s="271"/>
      <c r="O7" s="271"/>
      <c r="P7" s="271"/>
    </row>
    <row r="8" spans="1:16" ht="15.75" thickBot="1" x14ac:dyDescent="0.3">
      <c r="A8" s="1032"/>
      <c r="B8" s="1030"/>
      <c r="C8" s="875"/>
      <c r="D8" s="1015"/>
      <c r="E8" s="263" t="s">
        <v>13</v>
      </c>
      <c r="F8" s="264">
        <f>AVERAGE(F6:F7)</f>
        <v>89</v>
      </c>
      <c r="G8" s="291">
        <f t="shared" ref="G8:M8" si="1">AVERAGE(G6:G7)</f>
        <v>74.5</v>
      </c>
      <c r="H8" s="291">
        <f t="shared" si="1"/>
        <v>76</v>
      </c>
      <c r="I8" s="291">
        <f t="shared" si="1"/>
        <v>83</v>
      </c>
      <c r="J8" s="291">
        <f t="shared" si="1"/>
        <v>96</v>
      </c>
      <c r="K8" s="291">
        <f t="shared" si="1"/>
        <v>81</v>
      </c>
      <c r="L8" s="291">
        <f t="shared" si="1"/>
        <v>499.5</v>
      </c>
      <c r="M8" s="291">
        <f t="shared" si="1"/>
        <v>83.25</v>
      </c>
      <c r="N8" s="264"/>
      <c r="O8" s="264"/>
      <c r="P8" s="264"/>
    </row>
    <row r="9" spans="1:16" ht="15.75" thickBot="1" x14ac:dyDescent="0.3">
      <c r="A9" s="1027">
        <v>2</v>
      </c>
      <c r="B9" s="1030"/>
      <c r="C9" s="875"/>
      <c r="D9" s="1015"/>
      <c r="E9" s="263" t="s">
        <v>18</v>
      </c>
      <c r="F9" s="264">
        <v>76</v>
      </c>
      <c r="G9" s="264">
        <v>53</v>
      </c>
      <c r="H9" s="264">
        <v>71</v>
      </c>
      <c r="I9" s="264">
        <v>71</v>
      </c>
      <c r="J9" s="264">
        <v>95</v>
      </c>
      <c r="K9" s="264">
        <v>74</v>
      </c>
      <c r="L9" s="264">
        <v>440</v>
      </c>
      <c r="M9" s="275">
        <f t="shared" si="0"/>
        <v>73.333333333333329</v>
      </c>
      <c r="N9" s="271">
        <v>25</v>
      </c>
      <c r="O9" s="264"/>
      <c r="P9" s="264"/>
    </row>
    <row r="10" spans="1:16" ht="15.75" thickBot="1" x14ac:dyDescent="0.3">
      <c r="A10" s="1027"/>
      <c r="B10" s="1030"/>
      <c r="C10" s="875"/>
      <c r="D10" s="1015"/>
      <c r="E10" s="263" t="s">
        <v>19</v>
      </c>
      <c r="F10" s="264">
        <v>80</v>
      </c>
      <c r="G10" s="264">
        <v>68</v>
      </c>
      <c r="H10" s="264">
        <v>66</v>
      </c>
      <c r="I10" s="264">
        <v>89</v>
      </c>
      <c r="J10" s="264">
        <v>96</v>
      </c>
      <c r="K10" s="264">
        <v>68</v>
      </c>
      <c r="L10" s="264">
        <f>SUM(F10:K10)</f>
        <v>467</v>
      </c>
      <c r="M10" s="275">
        <f t="shared" si="0"/>
        <v>77.833333333333329</v>
      </c>
      <c r="N10" s="271"/>
      <c r="O10" s="271"/>
      <c r="P10" s="271"/>
    </row>
    <row r="11" spans="1:16" ht="15.75" thickBot="1" x14ac:dyDescent="0.3">
      <c r="A11" s="1027"/>
      <c r="B11" s="1030"/>
      <c r="C11" s="875"/>
      <c r="D11" s="1015"/>
      <c r="E11" s="263" t="s">
        <v>13</v>
      </c>
      <c r="F11" s="264">
        <f>AVERAGE(F9:F10)</f>
        <v>78</v>
      </c>
      <c r="G11" s="291">
        <f t="shared" ref="G11:M11" si="2">AVERAGE(G9:G10)</f>
        <v>60.5</v>
      </c>
      <c r="H11" s="291">
        <f t="shared" si="2"/>
        <v>68.5</v>
      </c>
      <c r="I11" s="291">
        <f t="shared" si="2"/>
        <v>80</v>
      </c>
      <c r="J11" s="291">
        <f t="shared" si="2"/>
        <v>95.5</v>
      </c>
      <c r="K11" s="291">
        <f t="shared" si="2"/>
        <v>71</v>
      </c>
      <c r="L11" s="291">
        <f t="shared" si="2"/>
        <v>453.5</v>
      </c>
      <c r="M11" s="291">
        <f t="shared" si="2"/>
        <v>75.583333333333329</v>
      </c>
      <c r="N11" s="264"/>
      <c r="O11" s="264"/>
      <c r="P11" s="264"/>
    </row>
    <row r="12" spans="1:16" ht="15.75" thickBot="1" x14ac:dyDescent="0.3">
      <c r="A12" s="1029">
        <v>3</v>
      </c>
      <c r="B12" s="1030"/>
      <c r="C12" s="875"/>
      <c r="D12" s="1015"/>
      <c r="E12" s="263" t="s">
        <v>18</v>
      </c>
      <c r="F12" s="264">
        <v>97</v>
      </c>
      <c r="G12" s="264">
        <v>72</v>
      </c>
      <c r="H12" s="264">
        <v>83</v>
      </c>
      <c r="I12" s="264">
        <v>83</v>
      </c>
      <c r="J12" s="264">
        <v>95</v>
      </c>
      <c r="K12" s="264">
        <v>82</v>
      </c>
      <c r="L12" s="264">
        <v>512</v>
      </c>
      <c r="M12" s="275">
        <f t="shared" si="0"/>
        <v>85.333333333333329</v>
      </c>
      <c r="N12" s="271">
        <v>6</v>
      </c>
      <c r="O12" s="271"/>
      <c r="P12" s="271"/>
    </row>
    <row r="13" spans="1:16" ht="15.75" thickBot="1" x14ac:dyDescent="0.3">
      <c r="A13" s="1029"/>
      <c r="B13" s="1030"/>
      <c r="C13" s="875"/>
      <c r="D13" s="1015"/>
      <c r="E13" s="263" t="s">
        <v>19</v>
      </c>
      <c r="F13" s="264">
        <v>97</v>
      </c>
      <c r="G13" s="264">
        <v>73</v>
      </c>
      <c r="H13" s="264">
        <v>87</v>
      </c>
      <c r="I13" s="264">
        <v>83</v>
      </c>
      <c r="J13" s="264">
        <v>99</v>
      </c>
      <c r="K13" s="264">
        <v>83</v>
      </c>
      <c r="L13" s="264">
        <f>SUM(F13:K13)</f>
        <v>522</v>
      </c>
      <c r="M13" s="275">
        <f t="shared" si="0"/>
        <v>87</v>
      </c>
      <c r="N13" s="271"/>
      <c r="O13" s="271"/>
      <c r="P13" s="271"/>
    </row>
    <row r="14" spans="1:16" ht="15.75" thickBot="1" x14ac:dyDescent="0.3">
      <c r="A14" s="1029"/>
      <c r="B14" s="1030"/>
      <c r="C14" s="875"/>
      <c r="D14" s="1015"/>
      <c r="E14" s="263" t="s">
        <v>13</v>
      </c>
      <c r="F14" s="264">
        <f>AVERAGE(F12:F13)</f>
        <v>97</v>
      </c>
      <c r="G14" s="291">
        <f t="shared" ref="G14:M14" si="3">AVERAGE(G12:G13)</f>
        <v>72.5</v>
      </c>
      <c r="H14" s="291">
        <f t="shared" si="3"/>
        <v>85</v>
      </c>
      <c r="I14" s="291">
        <f t="shared" si="3"/>
        <v>83</v>
      </c>
      <c r="J14" s="291">
        <f t="shared" si="3"/>
        <v>97</v>
      </c>
      <c r="K14" s="291">
        <f t="shared" si="3"/>
        <v>82.5</v>
      </c>
      <c r="L14" s="291">
        <f t="shared" si="3"/>
        <v>517</v>
      </c>
      <c r="M14" s="291">
        <f t="shared" si="3"/>
        <v>86.166666666666657</v>
      </c>
      <c r="N14" s="264"/>
      <c r="O14" s="264"/>
      <c r="P14" s="264"/>
    </row>
    <row r="15" spans="1:16" ht="15.75" thickBot="1" x14ac:dyDescent="0.3">
      <c r="A15" s="1027">
        <v>4</v>
      </c>
      <c r="B15" s="1030"/>
      <c r="C15" s="1027"/>
      <c r="D15" s="1028"/>
      <c r="E15" s="263" t="s">
        <v>18</v>
      </c>
      <c r="F15" s="264">
        <v>65</v>
      </c>
      <c r="G15" s="264">
        <v>50</v>
      </c>
      <c r="H15" s="264">
        <v>63</v>
      </c>
      <c r="I15" s="264">
        <v>50</v>
      </c>
      <c r="J15" s="264">
        <v>95</v>
      </c>
      <c r="K15" s="264">
        <v>44</v>
      </c>
      <c r="L15" s="264">
        <v>367</v>
      </c>
      <c r="M15" s="275">
        <f t="shared" si="0"/>
        <v>61.166666666666664</v>
      </c>
      <c r="N15" s="271">
        <v>45</v>
      </c>
      <c r="O15" s="271"/>
      <c r="P15" s="271"/>
    </row>
    <row r="16" spans="1:16" ht="15.75" thickBot="1" x14ac:dyDescent="0.3">
      <c r="A16" s="1027"/>
      <c r="B16" s="1030"/>
      <c r="C16" s="1027"/>
      <c r="D16" s="1028"/>
      <c r="E16" s="263" t="s">
        <v>19</v>
      </c>
      <c r="F16" s="264">
        <v>73</v>
      </c>
      <c r="G16" s="264">
        <v>54</v>
      </c>
      <c r="H16" s="264">
        <v>54</v>
      </c>
      <c r="I16" s="264">
        <v>70</v>
      </c>
      <c r="J16" s="264">
        <v>97</v>
      </c>
      <c r="K16" s="264">
        <v>57</v>
      </c>
      <c r="L16" s="264">
        <f>SUM(F16:K16)</f>
        <v>405</v>
      </c>
      <c r="M16" s="275">
        <f t="shared" si="0"/>
        <v>67.5</v>
      </c>
      <c r="N16" s="271"/>
      <c r="O16" s="271"/>
      <c r="P16" s="271"/>
    </row>
    <row r="17" spans="1:16" ht="15.75" thickBot="1" x14ac:dyDescent="0.3">
      <c r="A17" s="1027"/>
      <c r="B17" s="1030"/>
      <c r="C17" s="1027"/>
      <c r="D17" s="1028"/>
      <c r="E17" s="263" t="s">
        <v>13</v>
      </c>
      <c r="F17" s="264">
        <f>AVERAGE(F15:F16)</f>
        <v>69</v>
      </c>
      <c r="G17" s="291">
        <f t="shared" ref="G17:M17" si="4">AVERAGE(G15:G16)</f>
        <v>52</v>
      </c>
      <c r="H17" s="291">
        <f t="shared" si="4"/>
        <v>58.5</v>
      </c>
      <c r="I17" s="291">
        <f t="shared" si="4"/>
        <v>60</v>
      </c>
      <c r="J17" s="291">
        <f t="shared" si="4"/>
        <v>96</v>
      </c>
      <c r="K17" s="291">
        <f t="shared" si="4"/>
        <v>50.5</v>
      </c>
      <c r="L17" s="291">
        <f t="shared" si="4"/>
        <v>386</v>
      </c>
      <c r="M17" s="291">
        <f t="shared" si="4"/>
        <v>64.333333333333329</v>
      </c>
      <c r="N17" s="264"/>
      <c r="O17" s="264"/>
      <c r="P17" s="264"/>
    </row>
    <row r="18" spans="1:16" ht="15.75" thickBot="1" x14ac:dyDescent="0.3">
      <c r="A18" s="1027">
        <v>5</v>
      </c>
      <c r="B18" s="1030"/>
      <c r="C18" s="875"/>
      <c r="D18" s="1015"/>
      <c r="E18" s="263" t="s">
        <v>18</v>
      </c>
      <c r="F18" s="264">
        <v>67</v>
      </c>
      <c r="G18" s="264">
        <v>55</v>
      </c>
      <c r="H18" s="264">
        <v>63</v>
      </c>
      <c r="I18" s="264">
        <v>58</v>
      </c>
      <c r="J18" s="264">
        <v>95</v>
      </c>
      <c r="K18" s="264">
        <v>54</v>
      </c>
      <c r="L18" s="264">
        <v>392</v>
      </c>
      <c r="M18" s="275">
        <f t="shared" si="0"/>
        <v>65.333333333333329</v>
      </c>
      <c r="N18" s="271">
        <v>37</v>
      </c>
      <c r="O18" s="271"/>
      <c r="P18" s="271"/>
    </row>
    <row r="19" spans="1:16" ht="15.75" thickBot="1" x14ac:dyDescent="0.3">
      <c r="A19" s="1027"/>
      <c r="B19" s="1030"/>
      <c r="C19" s="875"/>
      <c r="D19" s="1015"/>
      <c r="E19" s="263" t="s">
        <v>19</v>
      </c>
      <c r="F19" s="264">
        <v>75</v>
      </c>
      <c r="G19" s="264">
        <v>50</v>
      </c>
      <c r="H19" s="264">
        <v>53</v>
      </c>
      <c r="I19" s="264">
        <v>77</v>
      </c>
      <c r="J19" s="264">
        <v>96</v>
      </c>
      <c r="K19" s="264">
        <v>56</v>
      </c>
      <c r="L19" s="264">
        <f>SUM(F19:K19)</f>
        <v>407</v>
      </c>
      <c r="M19" s="275">
        <f t="shared" si="0"/>
        <v>67.833333333333329</v>
      </c>
      <c r="N19" s="271"/>
      <c r="O19" s="271"/>
      <c r="P19" s="271"/>
    </row>
    <row r="20" spans="1:16" ht="15.75" thickBot="1" x14ac:dyDescent="0.3">
      <c r="A20" s="1027"/>
      <c r="B20" s="1030"/>
      <c r="C20" s="875"/>
      <c r="D20" s="1015"/>
      <c r="E20" s="263" t="s">
        <v>13</v>
      </c>
      <c r="F20" s="264">
        <f>AVERAGE(F18:F19)</f>
        <v>71</v>
      </c>
      <c r="G20" s="291">
        <f t="shared" ref="G20:M20" si="5">AVERAGE(G18:G19)</f>
        <v>52.5</v>
      </c>
      <c r="H20" s="291">
        <f t="shared" si="5"/>
        <v>58</v>
      </c>
      <c r="I20" s="291">
        <f t="shared" si="5"/>
        <v>67.5</v>
      </c>
      <c r="J20" s="291">
        <f t="shared" si="5"/>
        <v>95.5</v>
      </c>
      <c r="K20" s="291">
        <f t="shared" si="5"/>
        <v>55</v>
      </c>
      <c r="L20" s="291">
        <f t="shared" si="5"/>
        <v>399.5</v>
      </c>
      <c r="M20" s="291">
        <f t="shared" si="5"/>
        <v>66.583333333333329</v>
      </c>
      <c r="N20" s="264"/>
      <c r="O20" s="264"/>
      <c r="P20" s="264"/>
    </row>
    <row r="21" spans="1:16" ht="15.75" thickBot="1" x14ac:dyDescent="0.3">
      <c r="A21" s="1029">
        <v>6</v>
      </c>
      <c r="B21" s="1030"/>
      <c r="C21" s="875"/>
      <c r="D21" s="1015"/>
      <c r="E21" s="263" t="s">
        <v>18</v>
      </c>
      <c r="F21" s="264">
        <v>69</v>
      </c>
      <c r="G21" s="264">
        <v>43</v>
      </c>
      <c r="H21" s="264">
        <v>74</v>
      </c>
      <c r="I21" s="264">
        <v>72</v>
      </c>
      <c r="J21" s="264">
        <v>95</v>
      </c>
      <c r="K21" s="264">
        <v>71</v>
      </c>
      <c r="L21" s="264">
        <v>424</v>
      </c>
      <c r="M21" s="275">
        <f t="shared" si="0"/>
        <v>70.666666666666671</v>
      </c>
      <c r="N21" s="271">
        <v>31</v>
      </c>
      <c r="O21" s="271"/>
      <c r="P21" s="271"/>
    </row>
    <row r="22" spans="1:16" ht="15.75" thickBot="1" x14ac:dyDescent="0.3">
      <c r="A22" s="1029"/>
      <c r="B22" s="1030"/>
      <c r="C22" s="875"/>
      <c r="D22" s="1015"/>
      <c r="E22" s="263" t="s">
        <v>19</v>
      </c>
      <c r="F22" s="264">
        <v>81</v>
      </c>
      <c r="G22" s="264">
        <v>50</v>
      </c>
      <c r="H22" s="264">
        <v>73</v>
      </c>
      <c r="I22" s="264">
        <v>74</v>
      </c>
      <c r="J22" s="264">
        <v>96</v>
      </c>
      <c r="K22" s="264">
        <v>65</v>
      </c>
      <c r="L22" s="264">
        <f>SUM(F22:K22)</f>
        <v>439</v>
      </c>
      <c r="M22" s="275">
        <f t="shared" si="0"/>
        <v>73.166666666666671</v>
      </c>
      <c r="N22" s="271"/>
      <c r="O22" s="271"/>
      <c r="P22" s="271"/>
    </row>
    <row r="23" spans="1:16" ht="15.75" thickBot="1" x14ac:dyDescent="0.3">
      <c r="A23" s="1029"/>
      <c r="B23" s="1030"/>
      <c r="C23" s="875"/>
      <c r="D23" s="1015"/>
      <c r="E23" s="263" t="s">
        <v>13</v>
      </c>
      <c r="F23" s="264">
        <f>AVERAGE(F21:F22)</f>
        <v>75</v>
      </c>
      <c r="G23" s="291">
        <f t="shared" ref="G23:M23" si="6">AVERAGE(G21:G22)</f>
        <v>46.5</v>
      </c>
      <c r="H23" s="291">
        <f t="shared" si="6"/>
        <v>73.5</v>
      </c>
      <c r="I23" s="291">
        <f t="shared" si="6"/>
        <v>73</v>
      </c>
      <c r="J23" s="291">
        <f t="shared" si="6"/>
        <v>95.5</v>
      </c>
      <c r="K23" s="291">
        <f t="shared" si="6"/>
        <v>68</v>
      </c>
      <c r="L23" s="291">
        <f t="shared" si="6"/>
        <v>431.5</v>
      </c>
      <c r="M23" s="291">
        <f t="shared" si="6"/>
        <v>71.916666666666671</v>
      </c>
      <c r="N23" s="264"/>
      <c r="O23" s="264"/>
      <c r="P23" s="264"/>
    </row>
    <row r="24" spans="1:16" ht="15.75" thickBot="1" x14ac:dyDescent="0.3">
      <c r="A24" s="1027">
        <v>7</v>
      </c>
      <c r="B24" s="1030"/>
      <c r="C24" s="875"/>
      <c r="D24" s="1015"/>
      <c r="E24" s="263" t="s">
        <v>18</v>
      </c>
      <c r="F24" s="264">
        <v>63</v>
      </c>
      <c r="G24" s="264">
        <v>62</v>
      </c>
      <c r="H24" s="264">
        <v>61</v>
      </c>
      <c r="I24" s="264">
        <v>65</v>
      </c>
      <c r="J24" s="264">
        <v>95</v>
      </c>
      <c r="K24" s="264">
        <v>71</v>
      </c>
      <c r="L24" s="264">
        <v>417</v>
      </c>
      <c r="M24" s="275">
        <f t="shared" si="0"/>
        <v>69.5</v>
      </c>
      <c r="N24" s="271">
        <v>34</v>
      </c>
      <c r="O24" s="271"/>
      <c r="P24" s="271"/>
    </row>
    <row r="25" spans="1:16" ht="15.75" thickBot="1" x14ac:dyDescent="0.3">
      <c r="A25" s="1027"/>
      <c r="B25" s="1030"/>
      <c r="C25" s="875"/>
      <c r="D25" s="1015"/>
      <c r="E25" s="263" t="s">
        <v>19</v>
      </c>
      <c r="F25" s="264">
        <v>73</v>
      </c>
      <c r="G25" s="264">
        <v>57</v>
      </c>
      <c r="H25" s="264">
        <v>56</v>
      </c>
      <c r="I25" s="264">
        <v>78</v>
      </c>
      <c r="J25" s="264">
        <v>98</v>
      </c>
      <c r="K25" s="264">
        <v>62</v>
      </c>
      <c r="L25" s="264">
        <f>SUM(F25:K25)</f>
        <v>424</v>
      </c>
      <c r="M25" s="275">
        <f t="shared" si="0"/>
        <v>70.666666666666671</v>
      </c>
      <c r="N25" s="271"/>
      <c r="O25" s="271"/>
      <c r="P25" s="271"/>
    </row>
    <row r="26" spans="1:16" ht="15.75" thickBot="1" x14ac:dyDescent="0.3">
      <c r="A26" s="1027"/>
      <c r="B26" s="1030"/>
      <c r="C26" s="875"/>
      <c r="D26" s="1015"/>
      <c r="E26" s="263" t="s">
        <v>13</v>
      </c>
      <c r="F26" s="264">
        <f>AVERAGE(F24:F25)</f>
        <v>68</v>
      </c>
      <c r="G26" s="291">
        <f>AVERAGE(G24:G25)</f>
        <v>59.5</v>
      </c>
      <c r="H26" s="291">
        <f t="shared" ref="H26:M26" si="7">AVERAGE(H24:H25)</f>
        <v>58.5</v>
      </c>
      <c r="I26" s="291">
        <f t="shared" si="7"/>
        <v>71.5</v>
      </c>
      <c r="J26" s="291">
        <f t="shared" si="7"/>
        <v>96.5</v>
      </c>
      <c r="K26" s="291">
        <f t="shared" si="7"/>
        <v>66.5</v>
      </c>
      <c r="L26" s="291">
        <f t="shared" si="7"/>
        <v>420.5</v>
      </c>
      <c r="M26" s="291">
        <f t="shared" si="7"/>
        <v>70.083333333333343</v>
      </c>
      <c r="N26" s="264"/>
      <c r="O26" s="264"/>
      <c r="P26" s="264"/>
    </row>
    <row r="27" spans="1:16" ht="15.75" thickBot="1" x14ac:dyDescent="0.3">
      <c r="A27" s="1027">
        <v>8</v>
      </c>
      <c r="B27" s="1030"/>
      <c r="C27" s="875"/>
      <c r="D27" s="1015"/>
      <c r="E27" s="263" t="s">
        <v>18</v>
      </c>
      <c r="F27" s="264">
        <v>73</v>
      </c>
      <c r="G27" s="264">
        <v>58</v>
      </c>
      <c r="H27" s="264">
        <v>81</v>
      </c>
      <c r="I27" s="264">
        <v>67</v>
      </c>
      <c r="J27" s="264">
        <v>95</v>
      </c>
      <c r="K27" s="264">
        <v>70</v>
      </c>
      <c r="L27" s="264">
        <v>444</v>
      </c>
      <c r="M27" s="275">
        <f t="shared" si="0"/>
        <v>74</v>
      </c>
      <c r="N27" s="271">
        <v>23</v>
      </c>
      <c r="O27" s="271"/>
      <c r="P27" s="271"/>
    </row>
    <row r="28" spans="1:16" ht="15.75" thickBot="1" x14ac:dyDescent="0.3">
      <c r="A28" s="1027"/>
      <c r="B28" s="1030"/>
      <c r="C28" s="875"/>
      <c r="D28" s="1015"/>
      <c r="E28" s="263" t="s">
        <v>19</v>
      </c>
      <c r="F28" s="264">
        <v>80</v>
      </c>
      <c r="G28" s="264">
        <v>65</v>
      </c>
      <c r="H28" s="264">
        <v>68</v>
      </c>
      <c r="I28" s="264">
        <v>85</v>
      </c>
      <c r="J28" s="264">
        <v>98</v>
      </c>
      <c r="K28" s="264">
        <v>72</v>
      </c>
      <c r="L28" s="264">
        <f>SUM(F28:K28)</f>
        <v>468</v>
      </c>
      <c r="M28" s="275">
        <f t="shared" si="0"/>
        <v>78</v>
      </c>
      <c r="N28" s="271"/>
      <c r="O28" s="271"/>
      <c r="P28" s="271"/>
    </row>
    <row r="29" spans="1:16" ht="15.75" thickBot="1" x14ac:dyDescent="0.3">
      <c r="A29" s="1027"/>
      <c r="B29" s="1030"/>
      <c r="C29" s="875"/>
      <c r="D29" s="1015"/>
      <c r="E29" s="263" t="s">
        <v>13</v>
      </c>
      <c r="F29" s="264">
        <f>AVERAGE(F27:F28)</f>
        <v>76.5</v>
      </c>
      <c r="G29" s="291">
        <f t="shared" ref="G29:M29" si="8">AVERAGE(G27:G28)</f>
        <v>61.5</v>
      </c>
      <c r="H29" s="291">
        <f t="shared" si="8"/>
        <v>74.5</v>
      </c>
      <c r="I29" s="291">
        <f t="shared" si="8"/>
        <v>76</v>
      </c>
      <c r="J29" s="291">
        <f t="shared" si="8"/>
        <v>96.5</v>
      </c>
      <c r="K29" s="291">
        <f t="shared" si="8"/>
        <v>71</v>
      </c>
      <c r="L29" s="291">
        <f t="shared" si="8"/>
        <v>456</v>
      </c>
      <c r="M29" s="291">
        <f t="shared" si="8"/>
        <v>76</v>
      </c>
      <c r="N29" s="264"/>
      <c r="O29" s="264"/>
      <c r="P29" s="264"/>
    </row>
    <row r="30" spans="1:16" ht="15.75" thickBot="1" x14ac:dyDescent="0.3">
      <c r="A30" s="1029">
        <v>9</v>
      </c>
      <c r="B30" s="1030"/>
      <c r="C30" s="875"/>
      <c r="D30" s="1015"/>
      <c r="E30" s="263" t="s">
        <v>18</v>
      </c>
      <c r="F30" s="264">
        <v>90</v>
      </c>
      <c r="G30" s="264">
        <v>60</v>
      </c>
      <c r="H30" s="264">
        <v>85</v>
      </c>
      <c r="I30" s="264">
        <v>87</v>
      </c>
      <c r="J30" s="264">
        <v>95</v>
      </c>
      <c r="K30" s="264">
        <v>90</v>
      </c>
      <c r="L30" s="264">
        <v>507</v>
      </c>
      <c r="M30" s="275">
        <f t="shared" si="0"/>
        <v>84.5</v>
      </c>
      <c r="N30" s="271">
        <v>7</v>
      </c>
      <c r="O30" s="271"/>
      <c r="P30" s="271"/>
    </row>
    <row r="31" spans="1:16" ht="15.75" thickBot="1" x14ac:dyDescent="0.3">
      <c r="A31" s="1029"/>
      <c r="B31" s="1030"/>
      <c r="C31" s="875"/>
      <c r="D31" s="1015"/>
      <c r="E31" s="263" t="s">
        <v>19</v>
      </c>
      <c r="F31" s="264">
        <v>92</v>
      </c>
      <c r="G31" s="264">
        <v>68</v>
      </c>
      <c r="H31" s="264">
        <v>88</v>
      </c>
      <c r="I31" s="264">
        <v>90</v>
      </c>
      <c r="J31" s="264">
        <v>99</v>
      </c>
      <c r="K31" s="264">
        <v>89</v>
      </c>
      <c r="L31" s="264">
        <f>SUM(F31:K31)</f>
        <v>526</v>
      </c>
      <c r="M31" s="275">
        <f t="shared" si="0"/>
        <v>87.666666666666671</v>
      </c>
      <c r="N31" s="271"/>
      <c r="O31" s="271"/>
      <c r="P31" s="271"/>
    </row>
    <row r="32" spans="1:16" ht="15.75" thickBot="1" x14ac:dyDescent="0.3">
      <c r="A32" s="1029"/>
      <c r="B32" s="1030"/>
      <c r="C32" s="875"/>
      <c r="D32" s="1015"/>
      <c r="E32" s="263" t="s">
        <v>13</v>
      </c>
      <c r="F32" s="264">
        <f>AVERAGE(F30:F31)</f>
        <v>91</v>
      </c>
      <c r="G32" s="291">
        <f t="shared" ref="G32:M32" si="9">AVERAGE(G30:G31)</f>
        <v>64</v>
      </c>
      <c r="H32" s="291">
        <f t="shared" si="9"/>
        <v>86.5</v>
      </c>
      <c r="I32" s="291">
        <f t="shared" si="9"/>
        <v>88.5</v>
      </c>
      <c r="J32" s="291">
        <f t="shared" si="9"/>
        <v>97</v>
      </c>
      <c r="K32" s="291">
        <f t="shared" si="9"/>
        <v>89.5</v>
      </c>
      <c r="L32" s="291">
        <f t="shared" si="9"/>
        <v>516.5</v>
      </c>
      <c r="M32" s="291">
        <f t="shared" si="9"/>
        <v>86.083333333333343</v>
      </c>
      <c r="N32" s="264"/>
      <c r="O32" s="264"/>
      <c r="P32" s="264"/>
    </row>
    <row r="33" spans="1:16" ht="15.75" thickBot="1" x14ac:dyDescent="0.3">
      <c r="A33" s="1027">
        <v>10</v>
      </c>
      <c r="B33" s="1030"/>
      <c r="C33" s="875"/>
      <c r="D33" s="1015"/>
      <c r="E33" s="263" t="s">
        <v>18</v>
      </c>
      <c r="F33" s="264">
        <v>70</v>
      </c>
      <c r="G33" s="264">
        <v>45</v>
      </c>
      <c r="H33" s="264">
        <v>82</v>
      </c>
      <c r="I33" s="264">
        <v>83</v>
      </c>
      <c r="J33" s="264">
        <v>95</v>
      </c>
      <c r="K33" s="264">
        <v>78</v>
      </c>
      <c r="L33" s="264">
        <v>453</v>
      </c>
      <c r="M33" s="275">
        <f t="shared" si="0"/>
        <v>75.5</v>
      </c>
      <c r="N33" s="271">
        <v>18</v>
      </c>
      <c r="O33" s="271"/>
      <c r="P33" s="271"/>
    </row>
    <row r="34" spans="1:16" ht="15.75" thickBot="1" x14ac:dyDescent="0.3">
      <c r="A34" s="1027"/>
      <c r="B34" s="1030"/>
      <c r="C34" s="875"/>
      <c r="D34" s="1015"/>
      <c r="E34" s="263" t="s">
        <v>19</v>
      </c>
      <c r="F34" s="264">
        <v>73</v>
      </c>
      <c r="G34" s="264">
        <v>60</v>
      </c>
      <c r="H34" s="264">
        <v>77</v>
      </c>
      <c r="I34" s="264">
        <v>87</v>
      </c>
      <c r="J34" s="264">
        <v>97</v>
      </c>
      <c r="K34" s="264">
        <v>77</v>
      </c>
      <c r="L34" s="264">
        <f>SUM(F34:K34)</f>
        <v>471</v>
      </c>
      <c r="M34" s="275">
        <f t="shared" si="0"/>
        <v>78.5</v>
      </c>
      <c r="N34" s="271"/>
      <c r="O34" s="271"/>
      <c r="P34" s="271"/>
    </row>
    <row r="35" spans="1:16" ht="15.75" thickBot="1" x14ac:dyDescent="0.3">
      <c r="A35" s="1027"/>
      <c r="B35" s="1030"/>
      <c r="C35" s="875"/>
      <c r="D35" s="1015"/>
      <c r="E35" s="263" t="s">
        <v>13</v>
      </c>
      <c r="F35" s="264">
        <f>AVERAGE(F33:F34)</f>
        <v>71.5</v>
      </c>
      <c r="G35" s="291">
        <f t="shared" ref="G35:M35" si="10">AVERAGE(G33:G34)</f>
        <v>52.5</v>
      </c>
      <c r="H35" s="291">
        <f t="shared" si="10"/>
        <v>79.5</v>
      </c>
      <c r="I35" s="291">
        <f t="shared" si="10"/>
        <v>85</v>
      </c>
      <c r="J35" s="291">
        <f t="shared" si="10"/>
        <v>96</v>
      </c>
      <c r="K35" s="291">
        <f t="shared" si="10"/>
        <v>77.5</v>
      </c>
      <c r="L35" s="291">
        <f t="shared" si="10"/>
        <v>462</v>
      </c>
      <c r="M35" s="291">
        <f t="shared" si="10"/>
        <v>77</v>
      </c>
      <c r="N35" s="264"/>
      <c r="O35" s="264"/>
      <c r="P35" s="264"/>
    </row>
    <row r="36" spans="1:16" ht="15.75" thickBot="1" x14ac:dyDescent="0.3">
      <c r="A36" s="1029">
        <v>11</v>
      </c>
      <c r="B36" s="1030"/>
      <c r="C36" s="875"/>
      <c r="D36" s="1015"/>
      <c r="E36" s="263" t="s">
        <v>18</v>
      </c>
      <c r="F36" s="264">
        <v>60</v>
      </c>
      <c r="G36" s="264">
        <v>59</v>
      </c>
      <c r="H36" s="264">
        <v>64</v>
      </c>
      <c r="I36" s="264">
        <v>58</v>
      </c>
      <c r="J36" s="264">
        <v>95</v>
      </c>
      <c r="K36" s="264">
        <v>51</v>
      </c>
      <c r="L36" s="264">
        <v>387</v>
      </c>
      <c r="M36" s="275">
        <f t="shared" si="0"/>
        <v>64.5</v>
      </c>
      <c r="N36" s="271">
        <v>40</v>
      </c>
      <c r="O36" s="271"/>
      <c r="P36" s="271"/>
    </row>
    <row r="37" spans="1:16" ht="15.75" thickBot="1" x14ac:dyDescent="0.3">
      <c r="A37" s="1029"/>
      <c r="B37" s="1030"/>
      <c r="C37" s="875"/>
      <c r="D37" s="1015"/>
      <c r="E37" s="263" t="s">
        <v>19</v>
      </c>
      <c r="F37" s="264">
        <v>71</v>
      </c>
      <c r="G37" s="264">
        <v>50</v>
      </c>
      <c r="H37" s="264">
        <v>55</v>
      </c>
      <c r="I37" s="264">
        <v>72</v>
      </c>
      <c r="J37" s="264">
        <v>97</v>
      </c>
      <c r="K37" s="264">
        <v>50</v>
      </c>
      <c r="L37" s="264">
        <f>SUM(F37:K37)</f>
        <v>395</v>
      </c>
      <c r="M37" s="275">
        <f t="shared" si="0"/>
        <v>65.833333333333329</v>
      </c>
      <c r="N37" s="271"/>
      <c r="O37" s="271"/>
      <c r="P37" s="271"/>
    </row>
    <row r="38" spans="1:16" ht="15.75" thickBot="1" x14ac:dyDescent="0.3">
      <c r="A38" s="1029"/>
      <c r="B38" s="1030"/>
      <c r="C38" s="875"/>
      <c r="D38" s="1015"/>
      <c r="E38" s="263" t="s">
        <v>13</v>
      </c>
      <c r="F38" s="264">
        <f>AVERAGE(F36:F37)</f>
        <v>65.5</v>
      </c>
      <c r="G38" s="291">
        <f t="shared" ref="G38:M38" si="11">AVERAGE(G36:G37)</f>
        <v>54.5</v>
      </c>
      <c r="H38" s="291">
        <f t="shared" si="11"/>
        <v>59.5</v>
      </c>
      <c r="I38" s="291">
        <f t="shared" si="11"/>
        <v>65</v>
      </c>
      <c r="J38" s="291">
        <f t="shared" si="11"/>
        <v>96</v>
      </c>
      <c r="K38" s="291">
        <f t="shared" si="11"/>
        <v>50.5</v>
      </c>
      <c r="L38" s="291">
        <f t="shared" si="11"/>
        <v>391</v>
      </c>
      <c r="M38" s="291">
        <f t="shared" si="11"/>
        <v>65.166666666666657</v>
      </c>
      <c r="N38" s="264"/>
      <c r="O38" s="264"/>
      <c r="P38" s="264"/>
    </row>
    <row r="39" spans="1:16" ht="15.75" thickBot="1" x14ac:dyDescent="0.3">
      <c r="A39" s="1029">
        <v>12</v>
      </c>
      <c r="B39" s="1030"/>
      <c r="C39" s="875"/>
      <c r="D39" s="1015"/>
      <c r="E39" s="263" t="s">
        <v>18</v>
      </c>
      <c r="F39" s="264">
        <v>65</v>
      </c>
      <c r="G39" s="264">
        <v>51</v>
      </c>
      <c r="H39" s="264">
        <v>56</v>
      </c>
      <c r="I39" s="264">
        <v>68</v>
      </c>
      <c r="J39" s="264">
        <v>95</v>
      </c>
      <c r="K39" s="264">
        <v>73</v>
      </c>
      <c r="L39" s="264">
        <v>408</v>
      </c>
      <c r="M39" s="275">
        <f t="shared" si="0"/>
        <v>68</v>
      </c>
      <c r="N39" s="271">
        <v>35</v>
      </c>
      <c r="O39" s="271"/>
      <c r="P39" s="271"/>
    </row>
    <row r="40" spans="1:16" ht="15.75" thickBot="1" x14ac:dyDescent="0.3">
      <c r="A40" s="1029"/>
      <c r="B40" s="1030"/>
      <c r="C40" s="875"/>
      <c r="D40" s="1015"/>
      <c r="E40" s="263" t="s">
        <v>19</v>
      </c>
      <c r="F40" s="264">
        <v>71</v>
      </c>
      <c r="G40" s="264">
        <v>56</v>
      </c>
      <c r="H40" s="264">
        <v>56</v>
      </c>
      <c r="I40" s="264">
        <v>65</v>
      </c>
      <c r="J40" s="264">
        <v>96</v>
      </c>
      <c r="K40" s="264">
        <v>51</v>
      </c>
      <c r="L40" s="264">
        <f>SUM(F40:K40)</f>
        <v>395</v>
      </c>
      <c r="M40" s="275">
        <f t="shared" si="0"/>
        <v>65.833333333333329</v>
      </c>
      <c r="N40" s="271"/>
      <c r="O40" s="271"/>
      <c r="P40" s="271"/>
    </row>
    <row r="41" spans="1:16" ht="15.75" thickBot="1" x14ac:dyDescent="0.3">
      <c r="A41" s="1029"/>
      <c r="B41" s="1030"/>
      <c r="C41" s="875"/>
      <c r="D41" s="1015"/>
      <c r="E41" s="263" t="s">
        <v>13</v>
      </c>
      <c r="F41" s="264">
        <f>AVERAGE(F39:F40)</f>
        <v>68</v>
      </c>
      <c r="G41" s="291">
        <f t="shared" ref="G41:M41" si="12">AVERAGE(G39:G40)</f>
        <v>53.5</v>
      </c>
      <c r="H41" s="291">
        <f t="shared" si="12"/>
        <v>56</v>
      </c>
      <c r="I41" s="291">
        <f t="shared" si="12"/>
        <v>66.5</v>
      </c>
      <c r="J41" s="291">
        <f t="shared" si="12"/>
        <v>95.5</v>
      </c>
      <c r="K41" s="291">
        <f t="shared" si="12"/>
        <v>62</v>
      </c>
      <c r="L41" s="291">
        <f t="shared" si="12"/>
        <v>401.5</v>
      </c>
      <c r="M41" s="291">
        <f t="shared" si="12"/>
        <v>66.916666666666657</v>
      </c>
      <c r="N41" s="264"/>
      <c r="O41" s="264"/>
      <c r="P41" s="264"/>
    </row>
    <row r="42" spans="1:16" ht="15.75" thickBot="1" x14ac:dyDescent="0.3">
      <c r="A42" s="1029">
        <v>13</v>
      </c>
      <c r="B42" s="1030"/>
      <c r="C42" s="875"/>
      <c r="D42" s="1015"/>
      <c r="E42" s="263" t="s">
        <v>18</v>
      </c>
      <c r="F42" s="264">
        <v>64</v>
      </c>
      <c r="G42" s="264">
        <v>50</v>
      </c>
      <c r="H42" s="264">
        <v>64</v>
      </c>
      <c r="I42" s="264">
        <v>51</v>
      </c>
      <c r="J42" s="264">
        <v>95</v>
      </c>
      <c r="K42" s="264">
        <v>55</v>
      </c>
      <c r="L42" s="264">
        <v>379</v>
      </c>
      <c r="M42" s="275">
        <f t="shared" si="0"/>
        <v>63.166666666666664</v>
      </c>
      <c r="N42" s="271">
        <v>42</v>
      </c>
      <c r="O42" s="271"/>
      <c r="P42" s="271"/>
    </row>
    <row r="43" spans="1:16" ht="15.75" thickBot="1" x14ac:dyDescent="0.3">
      <c r="A43" s="1029"/>
      <c r="B43" s="1030"/>
      <c r="C43" s="875"/>
      <c r="D43" s="1015"/>
      <c r="E43" s="263" t="s">
        <v>19</v>
      </c>
      <c r="F43" s="264">
        <v>73</v>
      </c>
      <c r="G43" s="264">
        <v>50</v>
      </c>
      <c r="H43" s="264">
        <v>52</v>
      </c>
      <c r="I43" s="264">
        <v>70</v>
      </c>
      <c r="J43" s="264">
        <v>96</v>
      </c>
      <c r="K43" s="264">
        <v>58</v>
      </c>
      <c r="L43" s="264">
        <f>SUM(F43:K43)</f>
        <v>399</v>
      </c>
      <c r="M43" s="275">
        <f t="shared" si="0"/>
        <v>66.5</v>
      </c>
      <c r="N43" s="271"/>
      <c r="O43" s="271"/>
      <c r="P43" s="271"/>
    </row>
    <row r="44" spans="1:16" ht="15.75" thickBot="1" x14ac:dyDescent="0.3">
      <c r="A44" s="1029"/>
      <c r="B44" s="1030"/>
      <c r="C44" s="875"/>
      <c r="D44" s="1015"/>
      <c r="E44" s="263" t="s">
        <v>13</v>
      </c>
      <c r="F44" s="264">
        <f>AVERAGE(F42:F43)</f>
        <v>68.5</v>
      </c>
      <c r="G44" s="291">
        <f t="shared" ref="G44:M44" si="13">AVERAGE(G42:G43)</f>
        <v>50</v>
      </c>
      <c r="H44" s="291">
        <f t="shared" si="13"/>
        <v>58</v>
      </c>
      <c r="I44" s="291">
        <f t="shared" si="13"/>
        <v>60.5</v>
      </c>
      <c r="J44" s="291">
        <f t="shared" si="13"/>
        <v>95.5</v>
      </c>
      <c r="K44" s="291">
        <f t="shared" si="13"/>
        <v>56.5</v>
      </c>
      <c r="L44" s="291">
        <f t="shared" si="13"/>
        <v>389</v>
      </c>
      <c r="M44" s="291">
        <f t="shared" si="13"/>
        <v>64.833333333333329</v>
      </c>
      <c r="N44" s="264"/>
      <c r="O44" s="264"/>
      <c r="P44" s="264"/>
    </row>
    <row r="45" spans="1:16" ht="15.75" thickBot="1" x14ac:dyDescent="0.3">
      <c r="A45" s="1027">
        <v>14</v>
      </c>
      <c r="B45" s="1030"/>
      <c r="C45" s="875"/>
      <c r="D45" s="1015"/>
      <c r="E45" s="263" t="s">
        <v>18</v>
      </c>
      <c r="F45" s="264">
        <v>84</v>
      </c>
      <c r="G45" s="264">
        <v>76</v>
      </c>
      <c r="H45" s="264">
        <v>89</v>
      </c>
      <c r="I45" s="264">
        <v>91</v>
      </c>
      <c r="J45" s="264">
        <v>95</v>
      </c>
      <c r="K45" s="264">
        <v>85</v>
      </c>
      <c r="L45" s="264">
        <v>520</v>
      </c>
      <c r="M45" s="275">
        <f t="shared" si="0"/>
        <v>86.666666666666671</v>
      </c>
      <c r="N45" s="271">
        <v>3</v>
      </c>
      <c r="O45" s="271"/>
      <c r="P45" s="271"/>
    </row>
    <row r="46" spans="1:16" ht="15.75" thickBot="1" x14ac:dyDescent="0.3">
      <c r="A46" s="1027"/>
      <c r="B46" s="1030"/>
      <c r="C46" s="875"/>
      <c r="D46" s="1015"/>
      <c r="E46" s="263" t="s">
        <v>19</v>
      </c>
      <c r="F46" s="264">
        <v>92</v>
      </c>
      <c r="G46" s="264">
        <v>84</v>
      </c>
      <c r="H46" s="264">
        <v>86</v>
      </c>
      <c r="I46" s="264">
        <v>95</v>
      </c>
      <c r="J46" s="264">
        <v>100</v>
      </c>
      <c r="K46" s="264">
        <v>84</v>
      </c>
      <c r="L46" s="264">
        <f>SUM(F46:K46)</f>
        <v>541</v>
      </c>
      <c r="M46" s="275">
        <f t="shared" si="0"/>
        <v>90.166666666666671</v>
      </c>
      <c r="N46" s="271"/>
      <c r="O46" s="271"/>
      <c r="P46" s="271"/>
    </row>
    <row r="47" spans="1:16" ht="15.75" thickBot="1" x14ac:dyDescent="0.3">
      <c r="A47" s="1027"/>
      <c r="B47" s="1030"/>
      <c r="C47" s="875"/>
      <c r="D47" s="1015"/>
      <c r="E47" s="263" t="s">
        <v>13</v>
      </c>
      <c r="F47" s="264">
        <f>AVERAGE(F45:F46)</f>
        <v>88</v>
      </c>
      <c r="G47" s="291">
        <f t="shared" ref="G47:M47" si="14">AVERAGE(G45:G46)</f>
        <v>80</v>
      </c>
      <c r="H47" s="291">
        <f t="shared" si="14"/>
        <v>87.5</v>
      </c>
      <c r="I47" s="291">
        <f t="shared" si="14"/>
        <v>93</v>
      </c>
      <c r="J47" s="291">
        <f t="shared" si="14"/>
        <v>97.5</v>
      </c>
      <c r="K47" s="291">
        <f t="shared" si="14"/>
        <v>84.5</v>
      </c>
      <c r="L47" s="291">
        <f t="shared" si="14"/>
        <v>530.5</v>
      </c>
      <c r="M47" s="291">
        <f t="shared" si="14"/>
        <v>88.416666666666671</v>
      </c>
      <c r="N47" s="264"/>
      <c r="O47" s="264"/>
      <c r="P47" s="264"/>
    </row>
    <row r="48" spans="1:16" ht="15.75" thickBot="1" x14ac:dyDescent="0.3">
      <c r="A48" s="1029">
        <v>15</v>
      </c>
      <c r="B48" s="1030"/>
      <c r="C48" s="875"/>
      <c r="D48" s="1015"/>
      <c r="E48" s="263" t="s">
        <v>18</v>
      </c>
      <c r="F48" s="264">
        <v>87</v>
      </c>
      <c r="G48" s="264">
        <v>43</v>
      </c>
      <c r="H48" s="265">
        <v>74</v>
      </c>
      <c r="I48" s="264">
        <v>81</v>
      </c>
      <c r="J48" s="264">
        <v>95</v>
      </c>
      <c r="K48" s="264">
        <v>69</v>
      </c>
      <c r="L48" s="264">
        <v>449</v>
      </c>
      <c r="M48" s="275">
        <f t="shared" si="0"/>
        <v>74.833333333333329</v>
      </c>
      <c r="N48" s="271">
        <v>21</v>
      </c>
      <c r="O48" s="271"/>
      <c r="P48" s="271"/>
    </row>
    <row r="49" spans="1:16" ht="15.75" thickBot="1" x14ac:dyDescent="0.3">
      <c r="A49" s="1029"/>
      <c r="B49" s="1030"/>
      <c r="C49" s="875"/>
      <c r="D49" s="1015"/>
      <c r="E49" s="263" t="s">
        <v>19</v>
      </c>
      <c r="F49" s="264">
        <v>90</v>
      </c>
      <c r="G49" s="264">
        <v>69</v>
      </c>
      <c r="H49" s="265">
        <v>73</v>
      </c>
      <c r="I49" s="264">
        <v>79</v>
      </c>
      <c r="J49" s="264">
        <v>97</v>
      </c>
      <c r="K49" s="264">
        <v>82</v>
      </c>
      <c r="L49" s="264">
        <f>SUM(F49:K49)</f>
        <v>490</v>
      </c>
      <c r="M49" s="275">
        <f t="shared" si="0"/>
        <v>81.666666666666671</v>
      </c>
      <c r="N49" s="271"/>
      <c r="O49" s="271"/>
      <c r="P49" s="271"/>
    </row>
    <row r="50" spans="1:16" ht="15.75" thickBot="1" x14ac:dyDescent="0.3">
      <c r="A50" s="1029"/>
      <c r="B50" s="1030"/>
      <c r="C50" s="875"/>
      <c r="D50" s="1015"/>
      <c r="E50" s="263" t="s">
        <v>13</v>
      </c>
      <c r="F50" s="264">
        <f>AVERAGE(F48:F49)</f>
        <v>88.5</v>
      </c>
      <c r="G50" s="291">
        <f t="shared" ref="G50:M50" si="15">AVERAGE(G48:G49)</f>
        <v>56</v>
      </c>
      <c r="H50" s="291">
        <f t="shared" si="15"/>
        <v>73.5</v>
      </c>
      <c r="I50" s="291">
        <f t="shared" si="15"/>
        <v>80</v>
      </c>
      <c r="J50" s="291">
        <f t="shared" si="15"/>
        <v>96</v>
      </c>
      <c r="K50" s="291">
        <f t="shared" si="15"/>
        <v>75.5</v>
      </c>
      <c r="L50" s="291">
        <f t="shared" si="15"/>
        <v>469.5</v>
      </c>
      <c r="M50" s="291">
        <f t="shared" si="15"/>
        <v>78.25</v>
      </c>
      <c r="N50" s="264"/>
      <c r="O50" s="264"/>
      <c r="P50" s="264"/>
    </row>
    <row r="51" spans="1:16" ht="15.75" thickBot="1" x14ac:dyDescent="0.3">
      <c r="A51" s="1027">
        <v>16</v>
      </c>
      <c r="B51" s="1030"/>
      <c r="C51" s="875"/>
      <c r="D51" s="1015"/>
      <c r="E51" s="263" t="s">
        <v>18</v>
      </c>
      <c r="F51" s="264">
        <v>88</v>
      </c>
      <c r="G51" s="264">
        <v>58</v>
      </c>
      <c r="H51" s="264">
        <v>72</v>
      </c>
      <c r="I51" s="264">
        <v>64</v>
      </c>
      <c r="J51" s="264">
        <v>95</v>
      </c>
      <c r="K51" s="264">
        <v>65</v>
      </c>
      <c r="L51" s="264">
        <f>SUM(F51:K51)</f>
        <v>442</v>
      </c>
      <c r="M51" s="275">
        <f>AVERAGE(F51:K51)</f>
        <v>73.666666666666671</v>
      </c>
      <c r="N51" s="271">
        <v>26</v>
      </c>
      <c r="O51" s="271"/>
      <c r="P51" s="271"/>
    </row>
    <row r="52" spans="1:16" ht="15.75" thickBot="1" x14ac:dyDescent="0.3">
      <c r="A52" s="1027"/>
      <c r="B52" s="1030"/>
      <c r="C52" s="875"/>
      <c r="D52" s="1015"/>
      <c r="E52" s="263" t="s">
        <v>19</v>
      </c>
      <c r="F52" s="264">
        <v>90</v>
      </c>
      <c r="G52" s="264">
        <v>70</v>
      </c>
      <c r="H52" s="264">
        <v>64</v>
      </c>
      <c r="I52" s="264">
        <v>76</v>
      </c>
      <c r="J52" s="264">
        <v>98</v>
      </c>
      <c r="K52" s="264">
        <v>68</v>
      </c>
      <c r="L52" s="264">
        <f>SUM(F52:K52)</f>
        <v>466</v>
      </c>
      <c r="M52" s="275">
        <f t="shared" si="0"/>
        <v>77.666666666666671</v>
      </c>
      <c r="N52" s="271"/>
      <c r="O52" s="271"/>
      <c r="P52" s="271"/>
    </row>
    <row r="53" spans="1:16" ht="15.75" thickBot="1" x14ac:dyDescent="0.3">
      <c r="A53" s="1027"/>
      <c r="B53" s="1030"/>
      <c r="C53" s="875"/>
      <c r="D53" s="1015"/>
      <c r="E53" s="263" t="s">
        <v>13</v>
      </c>
      <c r="F53" s="264">
        <f>AVERAGE(F51:F52)</f>
        <v>89</v>
      </c>
      <c r="G53" s="291">
        <f t="shared" ref="G53:K53" si="16">AVERAGE(G51:G52)</f>
        <v>64</v>
      </c>
      <c r="H53" s="291">
        <f t="shared" si="16"/>
        <v>68</v>
      </c>
      <c r="I53" s="291">
        <f t="shared" si="16"/>
        <v>70</v>
      </c>
      <c r="J53" s="291">
        <f t="shared" si="16"/>
        <v>96.5</v>
      </c>
      <c r="K53" s="291">
        <f t="shared" si="16"/>
        <v>66.5</v>
      </c>
      <c r="L53" s="291">
        <f>SUM(F53:K53)</f>
        <v>454</v>
      </c>
      <c r="M53" s="291">
        <f>AVERAGE(F53:K53)</f>
        <v>75.666666666666671</v>
      </c>
      <c r="N53" s="264"/>
      <c r="O53" s="264"/>
      <c r="P53" s="264"/>
    </row>
    <row r="54" spans="1:16" ht="15.75" thickBot="1" x14ac:dyDescent="0.3">
      <c r="A54" s="1027">
        <v>17</v>
      </c>
      <c r="B54" s="1030"/>
      <c r="C54" s="875"/>
      <c r="D54" s="1015"/>
      <c r="E54" s="263" t="s">
        <v>18</v>
      </c>
      <c r="F54" s="264">
        <v>67</v>
      </c>
      <c r="G54" s="264">
        <v>36</v>
      </c>
      <c r="H54" s="264">
        <v>62</v>
      </c>
      <c r="I54" s="264">
        <v>47</v>
      </c>
      <c r="J54" s="264">
        <v>95</v>
      </c>
      <c r="K54" s="264">
        <v>55</v>
      </c>
      <c r="L54" s="264">
        <v>362</v>
      </c>
      <c r="M54" s="275">
        <f t="shared" si="0"/>
        <v>60.333333333333336</v>
      </c>
      <c r="N54" s="271">
        <v>46</v>
      </c>
      <c r="O54" s="271"/>
      <c r="P54" s="271"/>
    </row>
    <row r="55" spans="1:16" ht="15.75" thickBot="1" x14ac:dyDescent="0.3">
      <c r="A55" s="1027"/>
      <c r="B55" s="1030"/>
      <c r="C55" s="875"/>
      <c r="D55" s="1015"/>
      <c r="E55" s="263" t="s">
        <v>19</v>
      </c>
      <c r="F55" s="264">
        <v>70</v>
      </c>
      <c r="G55" s="264">
        <v>44</v>
      </c>
      <c r="H55" s="264">
        <v>53</v>
      </c>
      <c r="I55" s="264">
        <v>75</v>
      </c>
      <c r="J55" s="264">
        <v>97</v>
      </c>
      <c r="K55" s="264">
        <v>47</v>
      </c>
      <c r="L55" s="264">
        <f>SUM(F55:K55)</f>
        <v>386</v>
      </c>
      <c r="M55" s="275">
        <f t="shared" si="0"/>
        <v>64.333333333333329</v>
      </c>
      <c r="N55" s="271"/>
      <c r="O55" s="271"/>
      <c r="P55" s="271"/>
    </row>
    <row r="56" spans="1:16" ht="15.75" thickBot="1" x14ac:dyDescent="0.3">
      <c r="A56" s="1027"/>
      <c r="B56" s="1030"/>
      <c r="C56" s="875"/>
      <c r="D56" s="1015"/>
      <c r="E56" s="263" t="s">
        <v>13</v>
      </c>
      <c r="F56" s="264">
        <f>AVERAGE(F54:F55)</f>
        <v>68.5</v>
      </c>
      <c r="G56" s="291">
        <f t="shared" ref="G56:M56" si="17">AVERAGE(G54:G55)</f>
        <v>40</v>
      </c>
      <c r="H56" s="291">
        <f t="shared" si="17"/>
        <v>57.5</v>
      </c>
      <c r="I56" s="291">
        <f t="shared" si="17"/>
        <v>61</v>
      </c>
      <c r="J56" s="291">
        <f t="shared" si="17"/>
        <v>96</v>
      </c>
      <c r="K56" s="291">
        <f t="shared" si="17"/>
        <v>51</v>
      </c>
      <c r="L56" s="291">
        <f t="shared" si="17"/>
        <v>374</v>
      </c>
      <c r="M56" s="291">
        <f t="shared" si="17"/>
        <v>62.333333333333329</v>
      </c>
      <c r="N56" s="264"/>
      <c r="O56" s="264"/>
      <c r="P56" s="264"/>
    </row>
    <row r="57" spans="1:16" ht="15.75" thickBot="1" x14ac:dyDescent="0.3">
      <c r="A57" s="1027">
        <v>18</v>
      </c>
      <c r="B57" s="1030"/>
      <c r="C57" s="875"/>
      <c r="D57" s="974"/>
      <c r="E57" s="263" t="s">
        <v>18</v>
      </c>
      <c r="F57" s="264">
        <v>83</v>
      </c>
      <c r="G57" s="264">
        <v>55</v>
      </c>
      <c r="H57" s="265">
        <v>78</v>
      </c>
      <c r="I57" s="264">
        <v>68</v>
      </c>
      <c r="J57" s="264">
        <v>95</v>
      </c>
      <c r="K57" s="264">
        <v>71</v>
      </c>
      <c r="L57" s="264">
        <v>450</v>
      </c>
      <c r="M57" s="275">
        <f t="shared" si="0"/>
        <v>75</v>
      </c>
      <c r="N57" s="271">
        <v>20</v>
      </c>
      <c r="O57" s="271"/>
      <c r="P57" s="271"/>
    </row>
    <row r="58" spans="1:16" ht="15.75" thickBot="1" x14ac:dyDescent="0.3">
      <c r="A58" s="1027"/>
      <c r="B58" s="1030"/>
      <c r="C58" s="875"/>
      <c r="D58" s="975"/>
      <c r="E58" s="263" t="s">
        <v>19</v>
      </c>
      <c r="F58" s="264">
        <v>90</v>
      </c>
      <c r="G58" s="264">
        <v>64</v>
      </c>
      <c r="H58" s="265">
        <v>69</v>
      </c>
      <c r="I58" s="264">
        <v>85</v>
      </c>
      <c r="J58" s="264">
        <v>97</v>
      </c>
      <c r="K58" s="264">
        <v>63</v>
      </c>
      <c r="L58" s="264">
        <f>SUM(F58:K58)</f>
        <v>468</v>
      </c>
      <c r="M58" s="275">
        <f t="shared" si="0"/>
        <v>78</v>
      </c>
      <c r="N58" s="271"/>
      <c r="O58" s="271"/>
      <c r="P58" s="271"/>
    </row>
    <row r="59" spans="1:16" ht="15.75" thickBot="1" x14ac:dyDescent="0.3">
      <c r="A59" s="1027"/>
      <c r="B59" s="1030"/>
      <c r="C59" s="875"/>
      <c r="D59" s="976"/>
      <c r="E59" s="263" t="s">
        <v>13</v>
      </c>
      <c r="F59" s="264">
        <f>AVERAGE(F57:F58)</f>
        <v>86.5</v>
      </c>
      <c r="G59" s="291">
        <f t="shared" ref="G59:M59" si="18">AVERAGE(G57:G58)</f>
        <v>59.5</v>
      </c>
      <c r="H59" s="291">
        <f t="shared" si="18"/>
        <v>73.5</v>
      </c>
      <c r="I59" s="291">
        <f t="shared" si="18"/>
        <v>76.5</v>
      </c>
      <c r="J59" s="291">
        <f t="shared" si="18"/>
        <v>96</v>
      </c>
      <c r="K59" s="291">
        <f t="shared" si="18"/>
        <v>67</v>
      </c>
      <c r="L59" s="291">
        <f t="shared" si="18"/>
        <v>459</v>
      </c>
      <c r="M59" s="291">
        <f t="shared" si="18"/>
        <v>76.5</v>
      </c>
      <c r="N59" s="264"/>
      <c r="O59" s="264"/>
      <c r="P59" s="264"/>
    </row>
    <row r="60" spans="1:16" ht="15.75" thickBot="1" x14ac:dyDescent="0.3">
      <c r="A60" s="1029">
        <v>19</v>
      </c>
      <c r="B60" s="1030"/>
      <c r="C60" s="875"/>
      <c r="D60" s="1015"/>
      <c r="E60" s="263" t="s">
        <v>18</v>
      </c>
      <c r="F60" s="264">
        <v>65</v>
      </c>
      <c r="G60" s="264">
        <v>53</v>
      </c>
      <c r="H60" s="264">
        <v>52</v>
      </c>
      <c r="I60" s="264">
        <v>63</v>
      </c>
      <c r="J60" s="264">
        <v>95</v>
      </c>
      <c r="K60" s="264">
        <v>41</v>
      </c>
      <c r="L60" s="264">
        <v>369</v>
      </c>
      <c r="M60" s="275">
        <f t="shared" si="0"/>
        <v>61.5</v>
      </c>
      <c r="N60" s="271">
        <v>44</v>
      </c>
      <c r="O60" s="271"/>
      <c r="P60" s="271"/>
    </row>
    <row r="61" spans="1:16" ht="15.75" thickBot="1" x14ac:dyDescent="0.3">
      <c r="A61" s="1029"/>
      <c r="B61" s="1030"/>
      <c r="C61" s="875"/>
      <c r="D61" s="1015"/>
      <c r="E61" s="263" t="s">
        <v>19</v>
      </c>
      <c r="F61" s="264">
        <v>71</v>
      </c>
      <c r="G61" s="264">
        <v>52</v>
      </c>
      <c r="H61" s="264">
        <v>53</v>
      </c>
      <c r="I61" s="264">
        <v>70</v>
      </c>
      <c r="J61" s="264">
        <v>96</v>
      </c>
      <c r="K61" s="264">
        <v>58</v>
      </c>
      <c r="L61" s="264">
        <f>SUM(F61:K61)</f>
        <v>400</v>
      </c>
      <c r="M61" s="275">
        <f t="shared" si="0"/>
        <v>66.666666666666671</v>
      </c>
      <c r="N61" s="271"/>
      <c r="O61" s="271"/>
      <c r="P61" s="271"/>
    </row>
    <row r="62" spans="1:16" ht="15.75" thickBot="1" x14ac:dyDescent="0.3">
      <c r="A62" s="1029"/>
      <c r="B62" s="1030"/>
      <c r="C62" s="875"/>
      <c r="D62" s="1015"/>
      <c r="E62" s="263" t="s">
        <v>13</v>
      </c>
      <c r="F62" s="264">
        <f>AVERAGE(F60:F61)</f>
        <v>68</v>
      </c>
      <c r="G62" s="291">
        <f t="shared" ref="G62:M62" si="19">AVERAGE(G60:G61)</f>
        <v>52.5</v>
      </c>
      <c r="H62" s="291">
        <f t="shared" si="19"/>
        <v>52.5</v>
      </c>
      <c r="I62" s="291">
        <f t="shared" si="19"/>
        <v>66.5</v>
      </c>
      <c r="J62" s="291">
        <f t="shared" si="19"/>
        <v>95.5</v>
      </c>
      <c r="K62" s="291">
        <f t="shared" si="19"/>
        <v>49.5</v>
      </c>
      <c r="L62" s="291">
        <f t="shared" si="19"/>
        <v>384.5</v>
      </c>
      <c r="M62" s="291">
        <f t="shared" si="19"/>
        <v>64.083333333333343</v>
      </c>
      <c r="N62" s="264"/>
      <c r="O62" s="264"/>
      <c r="P62" s="264"/>
    </row>
    <row r="63" spans="1:16" ht="15.75" thickBot="1" x14ac:dyDescent="0.3">
      <c r="A63" s="1029">
        <v>20</v>
      </c>
      <c r="B63" s="1030"/>
      <c r="C63" s="875"/>
      <c r="D63" s="1015"/>
      <c r="E63" s="263" t="s">
        <v>18</v>
      </c>
      <c r="F63" s="264">
        <v>60</v>
      </c>
      <c r="G63" s="264">
        <v>62</v>
      </c>
      <c r="H63" s="264">
        <v>53</v>
      </c>
      <c r="I63" s="264">
        <v>56</v>
      </c>
      <c r="J63" s="264">
        <v>95</v>
      </c>
      <c r="K63" s="264">
        <v>47</v>
      </c>
      <c r="L63" s="264">
        <v>373</v>
      </c>
      <c r="M63" s="275">
        <f t="shared" si="0"/>
        <v>62.166666666666664</v>
      </c>
      <c r="N63" s="271">
        <v>43</v>
      </c>
      <c r="O63" s="271"/>
      <c r="P63" s="271"/>
    </row>
    <row r="64" spans="1:16" ht="15.75" thickBot="1" x14ac:dyDescent="0.3">
      <c r="A64" s="1029"/>
      <c r="B64" s="1030"/>
      <c r="C64" s="875"/>
      <c r="D64" s="1015"/>
      <c r="E64" s="263" t="s">
        <v>19</v>
      </c>
      <c r="F64" s="264">
        <v>72</v>
      </c>
      <c r="G64" s="264">
        <v>51</v>
      </c>
      <c r="H64" s="264">
        <v>58</v>
      </c>
      <c r="I64" s="264">
        <v>70</v>
      </c>
      <c r="J64" s="264">
        <v>96</v>
      </c>
      <c r="K64" s="264">
        <v>62</v>
      </c>
      <c r="L64" s="264">
        <f>SUM(F64:K64)</f>
        <v>409</v>
      </c>
      <c r="M64" s="275">
        <f t="shared" si="0"/>
        <v>68.166666666666671</v>
      </c>
      <c r="N64" s="271"/>
      <c r="O64" s="271"/>
      <c r="P64" s="271"/>
    </row>
    <row r="65" spans="1:16" ht="15.75" thickBot="1" x14ac:dyDescent="0.3">
      <c r="A65" s="1029"/>
      <c r="B65" s="1030"/>
      <c r="C65" s="875"/>
      <c r="D65" s="1015"/>
      <c r="E65" s="263" t="s">
        <v>13</v>
      </c>
      <c r="F65" s="264">
        <f>AVERAGE(F63:F64)</f>
        <v>66</v>
      </c>
      <c r="G65" s="291">
        <f t="shared" ref="G65:M65" si="20">AVERAGE(G63:G64)</f>
        <v>56.5</v>
      </c>
      <c r="H65" s="291">
        <f t="shared" si="20"/>
        <v>55.5</v>
      </c>
      <c r="I65" s="291">
        <f t="shared" si="20"/>
        <v>63</v>
      </c>
      <c r="J65" s="291">
        <f t="shared" si="20"/>
        <v>95.5</v>
      </c>
      <c r="K65" s="291">
        <f t="shared" si="20"/>
        <v>54.5</v>
      </c>
      <c r="L65" s="291">
        <f t="shared" si="20"/>
        <v>391</v>
      </c>
      <c r="M65" s="291">
        <f t="shared" si="20"/>
        <v>65.166666666666671</v>
      </c>
      <c r="N65" s="264"/>
      <c r="O65" s="264"/>
      <c r="P65" s="264"/>
    </row>
    <row r="66" spans="1:16" ht="15.75" thickBot="1" x14ac:dyDescent="0.3">
      <c r="A66" s="1029">
        <v>21</v>
      </c>
      <c r="B66" s="1030"/>
      <c r="C66" s="875"/>
      <c r="D66" s="1015"/>
      <c r="E66" s="263" t="s">
        <v>18</v>
      </c>
      <c r="F66" s="264">
        <v>70</v>
      </c>
      <c r="G66" s="264">
        <v>51</v>
      </c>
      <c r="H66" s="264">
        <v>69</v>
      </c>
      <c r="I66" s="264">
        <v>67</v>
      </c>
      <c r="J66" s="264">
        <v>95</v>
      </c>
      <c r="K66" s="264">
        <v>75</v>
      </c>
      <c r="L66" s="264">
        <f>SUM(F66:K66)</f>
        <v>427</v>
      </c>
      <c r="M66" s="275">
        <f>AVERAGE(F66:K66)</f>
        <v>71.166666666666671</v>
      </c>
      <c r="N66" s="271">
        <v>32</v>
      </c>
      <c r="O66" s="271"/>
      <c r="P66" s="271"/>
    </row>
    <row r="67" spans="1:16" ht="15.75" thickBot="1" x14ac:dyDescent="0.3">
      <c r="A67" s="1029"/>
      <c r="B67" s="1030"/>
      <c r="C67" s="875"/>
      <c r="D67" s="1015"/>
      <c r="E67" s="263" t="s">
        <v>19</v>
      </c>
      <c r="F67" s="264">
        <v>80</v>
      </c>
      <c r="G67" s="264">
        <v>57</v>
      </c>
      <c r="H67" s="264">
        <v>69</v>
      </c>
      <c r="I67" s="264">
        <v>82</v>
      </c>
      <c r="J67" s="264">
        <v>97</v>
      </c>
      <c r="K67" s="264">
        <v>70</v>
      </c>
      <c r="L67" s="264">
        <f>SUM(F67:K67)</f>
        <v>455</v>
      </c>
      <c r="M67" s="275">
        <f t="shared" si="0"/>
        <v>75.833333333333329</v>
      </c>
      <c r="N67" s="271"/>
      <c r="O67" s="271"/>
      <c r="P67" s="271"/>
    </row>
    <row r="68" spans="1:16" ht="15.75" thickBot="1" x14ac:dyDescent="0.3">
      <c r="A68" s="1029"/>
      <c r="B68" s="1030"/>
      <c r="C68" s="875"/>
      <c r="D68" s="1015"/>
      <c r="E68" s="263" t="s">
        <v>13</v>
      </c>
      <c r="F68" s="264">
        <f>AVERAGE(F66:F67)</f>
        <v>75</v>
      </c>
      <c r="G68" s="291">
        <f t="shared" ref="G68:M68" si="21">AVERAGE(G66:G67)</f>
        <v>54</v>
      </c>
      <c r="H68" s="291">
        <f t="shared" si="21"/>
        <v>69</v>
      </c>
      <c r="I68" s="291">
        <f t="shared" si="21"/>
        <v>74.5</v>
      </c>
      <c r="J68" s="291">
        <f t="shared" si="21"/>
        <v>96</v>
      </c>
      <c r="K68" s="291">
        <f t="shared" si="21"/>
        <v>72.5</v>
      </c>
      <c r="L68" s="291">
        <f t="shared" si="21"/>
        <v>441</v>
      </c>
      <c r="M68" s="291">
        <f t="shared" si="21"/>
        <v>73.5</v>
      </c>
      <c r="N68" s="264"/>
      <c r="O68" s="264"/>
      <c r="P68" s="264"/>
    </row>
    <row r="69" spans="1:16" ht="15.75" thickBot="1" x14ac:dyDescent="0.3">
      <c r="A69" s="1027">
        <v>22</v>
      </c>
      <c r="B69" s="1030"/>
      <c r="C69" s="875"/>
      <c r="D69" s="1015"/>
      <c r="E69" s="263" t="s">
        <v>18</v>
      </c>
      <c r="F69" s="264">
        <v>79</v>
      </c>
      <c r="G69" s="264">
        <v>52</v>
      </c>
      <c r="H69" s="264">
        <v>83</v>
      </c>
      <c r="I69" s="264">
        <v>82</v>
      </c>
      <c r="J69" s="264">
        <v>95</v>
      </c>
      <c r="K69" s="264">
        <v>72</v>
      </c>
      <c r="L69" s="264">
        <v>463</v>
      </c>
      <c r="M69" s="275">
        <f t="shared" si="0"/>
        <v>77.166666666666671</v>
      </c>
      <c r="N69" s="271">
        <v>16</v>
      </c>
      <c r="O69" s="271"/>
      <c r="P69" s="271"/>
    </row>
    <row r="70" spans="1:16" ht="15.75" thickBot="1" x14ac:dyDescent="0.3">
      <c r="A70" s="1027"/>
      <c r="B70" s="1030"/>
      <c r="C70" s="875"/>
      <c r="D70" s="1015"/>
      <c r="E70" s="263" t="s">
        <v>19</v>
      </c>
      <c r="F70" s="264">
        <v>81</v>
      </c>
      <c r="G70" s="264">
        <v>50</v>
      </c>
      <c r="H70" s="264">
        <v>81</v>
      </c>
      <c r="I70" s="264">
        <v>89</v>
      </c>
      <c r="J70" s="264">
        <v>98</v>
      </c>
      <c r="K70" s="264">
        <v>75</v>
      </c>
      <c r="L70" s="264">
        <f>SUM(F70:K70)</f>
        <v>474</v>
      </c>
      <c r="M70" s="275">
        <f t="shared" si="0"/>
        <v>79</v>
      </c>
      <c r="N70" s="271"/>
      <c r="O70" s="271"/>
      <c r="P70" s="271"/>
    </row>
    <row r="71" spans="1:16" ht="15.75" thickBot="1" x14ac:dyDescent="0.3">
      <c r="A71" s="1027"/>
      <c r="B71" s="1030"/>
      <c r="C71" s="875"/>
      <c r="D71" s="1015"/>
      <c r="E71" s="263" t="s">
        <v>13</v>
      </c>
      <c r="F71" s="264">
        <f>AVERAGE(F69:F70)</f>
        <v>80</v>
      </c>
      <c r="G71" s="291">
        <f t="shared" ref="G71:M71" si="22">AVERAGE(G69:G70)</f>
        <v>51</v>
      </c>
      <c r="H71" s="291">
        <f t="shared" si="22"/>
        <v>82</v>
      </c>
      <c r="I71" s="291">
        <f t="shared" si="22"/>
        <v>85.5</v>
      </c>
      <c r="J71" s="291">
        <f t="shared" si="22"/>
        <v>96.5</v>
      </c>
      <c r="K71" s="291">
        <f t="shared" si="22"/>
        <v>73.5</v>
      </c>
      <c r="L71" s="291">
        <f t="shared" si="22"/>
        <v>468.5</v>
      </c>
      <c r="M71" s="291">
        <f t="shared" si="22"/>
        <v>78.083333333333343</v>
      </c>
      <c r="N71" s="264"/>
      <c r="O71" s="264"/>
      <c r="P71" s="264"/>
    </row>
    <row r="72" spans="1:16" ht="15.75" thickBot="1" x14ac:dyDescent="0.3">
      <c r="A72" s="1027">
        <v>23</v>
      </c>
      <c r="B72" s="1030"/>
      <c r="C72" s="875"/>
      <c r="D72" s="1015"/>
      <c r="E72" s="263" t="s">
        <v>18</v>
      </c>
      <c r="F72" s="264">
        <v>86</v>
      </c>
      <c r="G72" s="264">
        <v>56</v>
      </c>
      <c r="H72" s="264">
        <v>82</v>
      </c>
      <c r="I72" s="264">
        <v>63</v>
      </c>
      <c r="J72" s="264">
        <v>95</v>
      </c>
      <c r="K72" s="264">
        <v>67</v>
      </c>
      <c r="L72" s="264">
        <v>449</v>
      </c>
      <c r="M72" s="275">
        <f t="shared" ref="M72:M133" si="23">AVERAGE(F72:K72)</f>
        <v>74.833333333333329</v>
      </c>
      <c r="N72" s="271">
        <v>21</v>
      </c>
      <c r="O72" s="271"/>
      <c r="P72" s="271"/>
    </row>
    <row r="73" spans="1:16" ht="15.75" thickBot="1" x14ac:dyDescent="0.3">
      <c r="A73" s="1027"/>
      <c r="B73" s="1030"/>
      <c r="C73" s="875"/>
      <c r="D73" s="1015"/>
      <c r="E73" s="263" t="s">
        <v>19</v>
      </c>
      <c r="F73" s="264">
        <v>91</v>
      </c>
      <c r="G73" s="264">
        <v>61</v>
      </c>
      <c r="H73" s="264">
        <v>71</v>
      </c>
      <c r="I73" s="264">
        <v>85</v>
      </c>
      <c r="J73" s="264">
        <v>97</v>
      </c>
      <c r="K73" s="264">
        <v>68</v>
      </c>
      <c r="L73" s="264">
        <f>SUM(F73:K73)</f>
        <v>473</v>
      </c>
      <c r="M73" s="275">
        <f t="shared" si="23"/>
        <v>78.833333333333329</v>
      </c>
      <c r="N73" s="271"/>
      <c r="O73" s="271"/>
      <c r="P73" s="271"/>
    </row>
    <row r="74" spans="1:16" ht="15.75" thickBot="1" x14ac:dyDescent="0.3">
      <c r="A74" s="1027"/>
      <c r="B74" s="1030"/>
      <c r="C74" s="875"/>
      <c r="D74" s="1015"/>
      <c r="E74" s="263" t="s">
        <v>13</v>
      </c>
      <c r="F74" s="264">
        <f>AVERAGE(F72:F73)</f>
        <v>88.5</v>
      </c>
      <c r="G74" s="291">
        <f t="shared" ref="G74:M74" si="24">AVERAGE(G72:G73)</f>
        <v>58.5</v>
      </c>
      <c r="H74" s="291">
        <f t="shared" si="24"/>
        <v>76.5</v>
      </c>
      <c r="I74" s="291">
        <f t="shared" si="24"/>
        <v>74</v>
      </c>
      <c r="J74" s="291">
        <f t="shared" si="24"/>
        <v>96</v>
      </c>
      <c r="K74" s="291">
        <f t="shared" si="24"/>
        <v>67.5</v>
      </c>
      <c r="L74" s="291">
        <f t="shared" si="24"/>
        <v>461</v>
      </c>
      <c r="M74" s="291">
        <f t="shared" si="24"/>
        <v>76.833333333333329</v>
      </c>
      <c r="N74" s="264"/>
      <c r="O74" s="264"/>
      <c r="P74" s="264"/>
    </row>
    <row r="75" spans="1:16" ht="15.75" thickBot="1" x14ac:dyDescent="0.3">
      <c r="A75" s="1029">
        <v>24</v>
      </c>
      <c r="B75" s="1030"/>
      <c r="C75" s="875"/>
      <c r="D75" s="1015"/>
      <c r="E75" s="263" t="s">
        <v>18</v>
      </c>
      <c r="F75" s="264">
        <v>67</v>
      </c>
      <c r="G75" s="264">
        <v>50</v>
      </c>
      <c r="H75" s="265">
        <v>63</v>
      </c>
      <c r="I75" s="265">
        <v>59</v>
      </c>
      <c r="J75" s="264">
        <v>95</v>
      </c>
      <c r="K75" s="265">
        <v>52</v>
      </c>
      <c r="L75" s="264">
        <v>386</v>
      </c>
      <c r="M75" s="275">
        <f t="shared" si="23"/>
        <v>64.333333333333329</v>
      </c>
      <c r="N75" s="271">
        <v>41</v>
      </c>
      <c r="O75" s="271"/>
      <c r="P75" s="271"/>
    </row>
    <row r="76" spans="1:16" ht="15.75" thickBot="1" x14ac:dyDescent="0.3">
      <c r="A76" s="1029"/>
      <c r="B76" s="1030"/>
      <c r="C76" s="875"/>
      <c r="D76" s="1015"/>
      <c r="E76" s="263" t="s">
        <v>19</v>
      </c>
      <c r="F76" s="264">
        <v>75</v>
      </c>
      <c r="G76" s="264">
        <v>55</v>
      </c>
      <c r="H76" s="265">
        <v>58</v>
      </c>
      <c r="I76" s="265">
        <v>72</v>
      </c>
      <c r="J76" s="264">
        <v>97</v>
      </c>
      <c r="K76" s="265">
        <v>62</v>
      </c>
      <c r="L76" s="264">
        <f>SUM(F76:K76)</f>
        <v>419</v>
      </c>
      <c r="M76" s="275">
        <f t="shared" si="23"/>
        <v>69.833333333333329</v>
      </c>
      <c r="N76" s="271"/>
      <c r="O76" s="271"/>
      <c r="P76" s="271"/>
    </row>
    <row r="77" spans="1:16" ht="15.75" thickBot="1" x14ac:dyDescent="0.3">
      <c r="A77" s="1029"/>
      <c r="B77" s="1030"/>
      <c r="C77" s="875"/>
      <c r="D77" s="1015"/>
      <c r="E77" s="263" t="s">
        <v>13</v>
      </c>
      <c r="F77" s="264">
        <f>AVERAGE(F75:F76)</f>
        <v>71</v>
      </c>
      <c r="G77" s="291">
        <f t="shared" ref="G77:M77" si="25">AVERAGE(G75:G76)</f>
        <v>52.5</v>
      </c>
      <c r="H77" s="291">
        <f t="shared" si="25"/>
        <v>60.5</v>
      </c>
      <c r="I77" s="291">
        <f t="shared" si="25"/>
        <v>65.5</v>
      </c>
      <c r="J77" s="291">
        <f t="shared" si="25"/>
        <v>96</v>
      </c>
      <c r="K77" s="291">
        <f t="shared" si="25"/>
        <v>57</v>
      </c>
      <c r="L77" s="291">
        <f t="shared" si="25"/>
        <v>402.5</v>
      </c>
      <c r="M77" s="291">
        <f t="shared" si="25"/>
        <v>67.083333333333329</v>
      </c>
      <c r="N77" s="264"/>
      <c r="O77" s="264"/>
      <c r="P77" s="264"/>
    </row>
    <row r="78" spans="1:16" ht="15.75" thickBot="1" x14ac:dyDescent="0.3">
      <c r="A78" s="1027">
        <v>25</v>
      </c>
      <c r="B78" s="1030"/>
      <c r="C78" s="875"/>
      <c r="D78" s="1015"/>
      <c r="E78" s="263" t="s">
        <v>18</v>
      </c>
      <c r="F78" s="264">
        <v>60</v>
      </c>
      <c r="G78" s="265">
        <v>45</v>
      </c>
      <c r="H78" s="265">
        <v>66</v>
      </c>
      <c r="I78" s="264">
        <v>63</v>
      </c>
      <c r="J78" s="265">
        <v>95</v>
      </c>
      <c r="K78" s="264">
        <v>66</v>
      </c>
      <c r="L78" s="264">
        <v>395</v>
      </c>
      <c r="M78" s="275">
        <f t="shared" si="23"/>
        <v>65.833333333333329</v>
      </c>
      <c r="N78" s="271">
        <v>36</v>
      </c>
      <c r="O78" s="271"/>
      <c r="P78" s="271"/>
    </row>
    <row r="79" spans="1:16" ht="15.75" thickBot="1" x14ac:dyDescent="0.3">
      <c r="A79" s="1027"/>
      <c r="B79" s="1030"/>
      <c r="C79" s="875"/>
      <c r="D79" s="1015"/>
      <c r="E79" s="263" t="s">
        <v>19</v>
      </c>
      <c r="F79" s="264">
        <v>74</v>
      </c>
      <c r="G79" s="265">
        <v>59</v>
      </c>
      <c r="H79" s="265">
        <v>56</v>
      </c>
      <c r="I79" s="264">
        <v>74</v>
      </c>
      <c r="J79" s="265">
        <v>96</v>
      </c>
      <c r="K79" s="264">
        <v>69</v>
      </c>
      <c r="L79" s="264">
        <f>SUM(F79:K79)</f>
        <v>428</v>
      </c>
      <c r="M79" s="275">
        <f t="shared" si="23"/>
        <v>71.333333333333329</v>
      </c>
      <c r="N79" s="271"/>
      <c r="O79" s="271"/>
      <c r="P79" s="271"/>
    </row>
    <row r="80" spans="1:16" ht="15.75" thickBot="1" x14ac:dyDescent="0.3">
      <c r="A80" s="1027"/>
      <c r="B80" s="1030"/>
      <c r="C80" s="875"/>
      <c r="D80" s="1015"/>
      <c r="E80" s="263" t="s">
        <v>13</v>
      </c>
      <c r="F80" s="264">
        <f>AVERAGE(F78:F79)</f>
        <v>67</v>
      </c>
      <c r="G80" s="291">
        <f t="shared" ref="G80:M80" si="26">AVERAGE(G78:G79)</f>
        <v>52</v>
      </c>
      <c r="H80" s="291">
        <f t="shared" si="26"/>
        <v>61</v>
      </c>
      <c r="I80" s="291">
        <f t="shared" si="26"/>
        <v>68.5</v>
      </c>
      <c r="J80" s="291">
        <f t="shared" si="26"/>
        <v>95.5</v>
      </c>
      <c r="K80" s="291">
        <f t="shared" si="26"/>
        <v>67.5</v>
      </c>
      <c r="L80" s="291">
        <f t="shared" si="26"/>
        <v>411.5</v>
      </c>
      <c r="M80" s="291">
        <f t="shared" si="26"/>
        <v>68.583333333333329</v>
      </c>
      <c r="N80" s="264"/>
      <c r="O80" s="264"/>
      <c r="P80" s="264"/>
    </row>
    <row r="81" spans="1:16" ht="15.75" thickBot="1" x14ac:dyDescent="0.3">
      <c r="A81" s="1029">
        <v>26</v>
      </c>
      <c r="B81" s="1030"/>
      <c r="C81" s="875"/>
      <c r="D81" s="1015"/>
      <c r="E81" s="263" t="s">
        <v>18</v>
      </c>
      <c r="F81" s="264">
        <v>91</v>
      </c>
      <c r="G81" s="264">
        <v>79</v>
      </c>
      <c r="H81" s="264">
        <v>91</v>
      </c>
      <c r="I81" s="264">
        <v>92</v>
      </c>
      <c r="J81" s="264">
        <v>95</v>
      </c>
      <c r="K81" s="264">
        <v>85</v>
      </c>
      <c r="L81" s="264">
        <v>533</v>
      </c>
      <c r="M81" s="275">
        <f t="shared" si="23"/>
        <v>88.833333333333329</v>
      </c>
      <c r="N81" s="271">
        <v>2</v>
      </c>
      <c r="O81" s="271"/>
      <c r="P81" s="271"/>
    </row>
    <row r="82" spans="1:16" ht="15.75" thickBot="1" x14ac:dyDescent="0.3">
      <c r="A82" s="1029"/>
      <c r="B82" s="1030"/>
      <c r="C82" s="875"/>
      <c r="D82" s="1015"/>
      <c r="E82" s="263" t="s">
        <v>19</v>
      </c>
      <c r="F82" s="264">
        <v>92</v>
      </c>
      <c r="G82" s="264">
        <v>83</v>
      </c>
      <c r="H82" s="264">
        <v>84</v>
      </c>
      <c r="I82" s="264">
        <v>96</v>
      </c>
      <c r="J82" s="264">
        <v>100</v>
      </c>
      <c r="K82" s="264">
        <v>80</v>
      </c>
      <c r="L82" s="264">
        <f>SUM(F82:K82)</f>
        <v>535</v>
      </c>
      <c r="M82" s="275">
        <f t="shared" si="23"/>
        <v>89.166666666666671</v>
      </c>
      <c r="N82" s="271"/>
      <c r="O82" s="271"/>
      <c r="P82" s="271"/>
    </row>
    <row r="83" spans="1:16" ht="15.75" thickBot="1" x14ac:dyDescent="0.3">
      <c r="A83" s="1029"/>
      <c r="B83" s="1030"/>
      <c r="C83" s="875"/>
      <c r="D83" s="1015"/>
      <c r="E83" s="263" t="s">
        <v>13</v>
      </c>
      <c r="F83" s="264">
        <f>AVERAGE(F81:F82)</f>
        <v>91.5</v>
      </c>
      <c r="G83" s="291">
        <f t="shared" ref="G83:M83" si="27">AVERAGE(G81:G82)</f>
        <v>81</v>
      </c>
      <c r="H83" s="291">
        <f t="shared" si="27"/>
        <v>87.5</v>
      </c>
      <c r="I83" s="291">
        <f t="shared" si="27"/>
        <v>94</v>
      </c>
      <c r="J83" s="291">
        <f t="shared" si="27"/>
        <v>97.5</v>
      </c>
      <c r="K83" s="291">
        <f t="shared" si="27"/>
        <v>82.5</v>
      </c>
      <c r="L83" s="291">
        <f t="shared" si="27"/>
        <v>534</v>
      </c>
      <c r="M83" s="291">
        <f t="shared" si="27"/>
        <v>89</v>
      </c>
      <c r="N83" s="264"/>
      <c r="O83" s="264"/>
      <c r="P83" s="264"/>
    </row>
    <row r="84" spans="1:16" ht="15.75" thickBot="1" x14ac:dyDescent="0.3">
      <c r="A84" s="1029">
        <v>27</v>
      </c>
      <c r="B84" s="1030"/>
      <c r="C84" s="875"/>
      <c r="D84" s="1015"/>
      <c r="E84" s="263" t="s">
        <v>18</v>
      </c>
      <c r="F84" s="264">
        <v>90</v>
      </c>
      <c r="G84" s="264">
        <v>59</v>
      </c>
      <c r="H84" s="265">
        <v>82</v>
      </c>
      <c r="I84" s="264">
        <v>73</v>
      </c>
      <c r="J84" s="264">
        <v>95</v>
      </c>
      <c r="K84" s="264">
        <v>88</v>
      </c>
      <c r="L84" s="264">
        <v>487</v>
      </c>
      <c r="M84" s="275">
        <f t="shared" si="23"/>
        <v>81.166666666666671</v>
      </c>
      <c r="N84" s="271">
        <v>9</v>
      </c>
      <c r="O84" s="271"/>
      <c r="P84" s="271"/>
    </row>
    <row r="85" spans="1:16" ht="15.75" thickBot="1" x14ac:dyDescent="0.3">
      <c r="A85" s="1029"/>
      <c r="B85" s="1030"/>
      <c r="C85" s="875"/>
      <c r="D85" s="1015"/>
      <c r="E85" s="263" t="s">
        <v>19</v>
      </c>
      <c r="F85" s="264">
        <v>92</v>
      </c>
      <c r="G85" s="264">
        <v>76</v>
      </c>
      <c r="H85" s="265">
        <v>74</v>
      </c>
      <c r="I85" s="264">
        <v>94</v>
      </c>
      <c r="J85" s="264">
        <v>97</v>
      </c>
      <c r="K85" s="264">
        <v>86</v>
      </c>
      <c r="L85" s="264">
        <f>SUM(F85:K85)</f>
        <v>519</v>
      </c>
      <c r="M85" s="275">
        <f t="shared" si="23"/>
        <v>86.5</v>
      </c>
      <c r="N85" s="271"/>
      <c r="O85" s="271"/>
      <c r="P85" s="271"/>
    </row>
    <row r="86" spans="1:16" ht="15.75" thickBot="1" x14ac:dyDescent="0.3">
      <c r="A86" s="1029"/>
      <c r="B86" s="1030"/>
      <c r="C86" s="875"/>
      <c r="D86" s="1015"/>
      <c r="E86" s="263" t="s">
        <v>13</v>
      </c>
      <c r="F86" s="264">
        <f>AVERAGE(F84:F85)</f>
        <v>91</v>
      </c>
      <c r="G86" s="291">
        <f t="shared" ref="G86:M86" si="28">AVERAGE(G84:G85)</f>
        <v>67.5</v>
      </c>
      <c r="H86" s="291">
        <f t="shared" si="28"/>
        <v>78</v>
      </c>
      <c r="I86" s="291">
        <f t="shared" si="28"/>
        <v>83.5</v>
      </c>
      <c r="J86" s="291">
        <f t="shared" si="28"/>
        <v>96</v>
      </c>
      <c r="K86" s="291">
        <f t="shared" si="28"/>
        <v>87</v>
      </c>
      <c r="L86" s="291">
        <f t="shared" si="28"/>
        <v>503</v>
      </c>
      <c r="M86" s="291">
        <f t="shared" si="28"/>
        <v>83.833333333333343</v>
      </c>
      <c r="N86" s="264"/>
      <c r="O86" s="264"/>
      <c r="P86" s="264"/>
    </row>
    <row r="87" spans="1:16" ht="15.75" thickBot="1" x14ac:dyDescent="0.3">
      <c r="A87" s="1029">
        <v>28</v>
      </c>
      <c r="B87" s="1030"/>
      <c r="C87" s="875"/>
      <c r="D87" s="1015"/>
      <c r="E87" s="263" t="s">
        <v>18</v>
      </c>
      <c r="F87" s="264">
        <v>90</v>
      </c>
      <c r="G87" s="264">
        <v>92</v>
      </c>
      <c r="H87" s="264">
        <v>78</v>
      </c>
      <c r="I87" s="264">
        <v>73</v>
      </c>
      <c r="J87" s="264">
        <v>95</v>
      </c>
      <c r="K87" s="264">
        <v>90</v>
      </c>
      <c r="L87" s="264">
        <v>518</v>
      </c>
      <c r="M87" s="275">
        <f t="shared" si="23"/>
        <v>86.333333333333329</v>
      </c>
      <c r="N87" s="271">
        <v>5</v>
      </c>
      <c r="O87" s="271"/>
      <c r="P87" s="271"/>
    </row>
    <row r="88" spans="1:16" ht="15.75" thickBot="1" x14ac:dyDescent="0.3">
      <c r="A88" s="1029"/>
      <c r="B88" s="1030"/>
      <c r="C88" s="875"/>
      <c r="D88" s="1015"/>
      <c r="E88" s="263" t="s">
        <v>19</v>
      </c>
      <c r="F88" s="264">
        <v>94</v>
      </c>
      <c r="G88" s="264">
        <v>93</v>
      </c>
      <c r="H88" s="264">
        <v>68</v>
      </c>
      <c r="I88" s="264">
        <v>91</v>
      </c>
      <c r="J88" s="264">
        <v>99</v>
      </c>
      <c r="K88" s="264">
        <v>89</v>
      </c>
      <c r="L88" s="264">
        <f>SUM(F88:K88)</f>
        <v>534</v>
      </c>
      <c r="M88" s="275">
        <f t="shared" si="23"/>
        <v>89</v>
      </c>
      <c r="N88" s="271"/>
      <c r="O88" s="271"/>
      <c r="P88" s="271"/>
    </row>
    <row r="89" spans="1:16" ht="15.75" thickBot="1" x14ac:dyDescent="0.3">
      <c r="A89" s="1029"/>
      <c r="B89" s="1030"/>
      <c r="C89" s="875"/>
      <c r="D89" s="1015"/>
      <c r="E89" s="263" t="s">
        <v>13</v>
      </c>
      <c r="F89" s="264">
        <f>AVERAGE(F87:F88)</f>
        <v>92</v>
      </c>
      <c r="G89" s="291">
        <f t="shared" ref="G89:M89" si="29">AVERAGE(G87:G88)</f>
        <v>92.5</v>
      </c>
      <c r="H89" s="291">
        <f t="shared" si="29"/>
        <v>73</v>
      </c>
      <c r="I89" s="291">
        <f t="shared" si="29"/>
        <v>82</v>
      </c>
      <c r="J89" s="291">
        <f t="shared" si="29"/>
        <v>97</v>
      </c>
      <c r="K89" s="291">
        <f t="shared" si="29"/>
        <v>89.5</v>
      </c>
      <c r="L89" s="291">
        <f t="shared" si="29"/>
        <v>526</v>
      </c>
      <c r="M89" s="291">
        <f t="shared" si="29"/>
        <v>87.666666666666657</v>
      </c>
      <c r="N89" s="264"/>
      <c r="O89" s="264"/>
      <c r="P89" s="264"/>
    </row>
    <row r="90" spans="1:16" ht="15.75" thickBot="1" x14ac:dyDescent="0.3">
      <c r="A90" s="1027">
        <v>29</v>
      </c>
      <c r="B90" s="1030"/>
      <c r="C90" s="875"/>
      <c r="D90" s="1015"/>
      <c r="E90" s="263" t="s">
        <v>18</v>
      </c>
      <c r="F90" s="264">
        <v>85</v>
      </c>
      <c r="G90" s="264">
        <v>60</v>
      </c>
      <c r="H90" s="264">
        <v>81</v>
      </c>
      <c r="I90" s="264">
        <v>79</v>
      </c>
      <c r="J90" s="264">
        <v>95</v>
      </c>
      <c r="K90" s="264">
        <v>76</v>
      </c>
      <c r="L90" s="264">
        <v>476</v>
      </c>
      <c r="M90" s="275">
        <f t="shared" si="23"/>
        <v>79.333333333333329</v>
      </c>
      <c r="N90" s="271">
        <v>11</v>
      </c>
      <c r="O90" s="271"/>
      <c r="P90" s="271"/>
    </row>
    <row r="91" spans="1:16" ht="15.75" thickBot="1" x14ac:dyDescent="0.3">
      <c r="A91" s="1027"/>
      <c r="B91" s="1030"/>
      <c r="C91" s="875"/>
      <c r="D91" s="1015"/>
      <c r="E91" s="263" t="s">
        <v>19</v>
      </c>
      <c r="F91" s="264">
        <v>90</v>
      </c>
      <c r="G91" s="264">
        <v>78</v>
      </c>
      <c r="H91" s="264">
        <v>71</v>
      </c>
      <c r="I91" s="264">
        <v>92</v>
      </c>
      <c r="J91" s="264">
        <v>99</v>
      </c>
      <c r="K91" s="264">
        <v>75</v>
      </c>
      <c r="L91" s="264">
        <f>SUM(F91:K91)</f>
        <v>505</v>
      </c>
      <c r="M91" s="275">
        <f t="shared" si="23"/>
        <v>84.166666666666671</v>
      </c>
      <c r="N91" s="271"/>
      <c r="O91" s="271"/>
      <c r="P91" s="271"/>
    </row>
    <row r="92" spans="1:16" ht="15.75" thickBot="1" x14ac:dyDescent="0.3">
      <c r="A92" s="1027"/>
      <c r="B92" s="1030"/>
      <c r="C92" s="875"/>
      <c r="D92" s="1015"/>
      <c r="E92" s="263" t="s">
        <v>13</v>
      </c>
      <c r="F92" s="264">
        <f>AVERAGE(F90:F91)</f>
        <v>87.5</v>
      </c>
      <c r="G92" s="291">
        <f t="shared" ref="G92:M92" si="30">AVERAGE(G90:G91)</f>
        <v>69</v>
      </c>
      <c r="H92" s="291">
        <f t="shared" si="30"/>
        <v>76</v>
      </c>
      <c r="I92" s="291">
        <f t="shared" si="30"/>
        <v>85.5</v>
      </c>
      <c r="J92" s="291">
        <f t="shared" si="30"/>
        <v>97</v>
      </c>
      <c r="K92" s="291">
        <f t="shared" si="30"/>
        <v>75.5</v>
      </c>
      <c r="L92" s="291">
        <f t="shared" si="30"/>
        <v>490.5</v>
      </c>
      <c r="M92" s="291">
        <f t="shared" si="30"/>
        <v>81.75</v>
      </c>
      <c r="N92" s="264"/>
      <c r="O92" s="264"/>
      <c r="P92" s="264"/>
    </row>
    <row r="93" spans="1:16" ht="15.75" thickBot="1" x14ac:dyDescent="0.3">
      <c r="A93" s="1029">
        <v>30</v>
      </c>
      <c r="B93" s="1030"/>
      <c r="C93" s="875"/>
      <c r="D93" s="1015"/>
      <c r="E93" s="263" t="s">
        <v>18</v>
      </c>
      <c r="F93" s="264">
        <v>81</v>
      </c>
      <c r="G93" s="265">
        <v>64</v>
      </c>
      <c r="H93" s="265">
        <v>78</v>
      </c>
      <c r="I93" s="265">
        <v>79</v>
      </c>
      <c r="J93" s="264">
        <v>95</v>
      </c>
      <c r="K93" s="264">
        <v>73</v>
      </c>
      <c r="L93" s="264">
        <v>470</v>
      </c>
      <c r="M93" s="275">
        <f t="shared" si="23"/>
        <v>78.333333333333329</v>
      </c>
      <c r="N93" s="271">
        <v>13</v>
      </c>
      <c r="O93" s="271"/>
      <c r="P93" s="271"/>
    </row>
    <row r="94" spans="1:16" ht="15.75" thickBot="1" x14ac:dyDescent="0.3">
      <c r="A94" s="1029"/>
      <c r="B94" s="1030"/>
      <c r="C94" s="875"/>
      <c r="D94" s="1015"/>
      <c r="E94" s="263" t="s">
        <v>19</v>
      </c>
      <c r="F94" s="264">
        <v>87</v>
      </c>
      <c r="G94" s="265">
        <v>73</v>
      </c>
      <c r="H94" s="265">
        <v>79</v>
      </c>
      <c r="I94" s="265">
        <v>89</v>
      </c>
      <c r="J94" s="264">
        <v>96</v>
      </c>
      <c r="K94" s="264">
        <v>82</v>
      </c>
      <c r="L94" s="264">
        <f>SUM(F94:K94)</f>
        <v>506</v>
      </c>
      <c r="M94" s="275">
        <f t="shared" si="23"/>
        <v>84.333333333333329</v>
      </c>
      <c r="N94" s="271"/>
      <c r="O94" s="271"/>
      <c r="P94" s="271"/>
    </row>
    <row r="95" spans="1:16" ht="15.75" thickBot="1" x14ac:dyDescent="0.3">
      <c r="A95" s="1029"/>
      <c r="B95" s="1030"/>
      <c r="C95" s="875"/>
      <c r="D95" s="1015"/>
      <c r="E95" s="263" t="s">
        <v>13</v>
      </c>
      <c r="F95" s="264">
        <f>AVERAGE(F93:F94)</f>
        <v>84</v>
      </c>
      <c r="G95" s="291">
        <f t="shared" ref="G95:M95" si="31">AVERAGE(G93:G94)</f>
        <v>68.5</v>
      </c>
      <c r="H95" s="291">
        <f t="shared" si="31"/>
        <v>78.5</v>
      </c>
      <c r="I95" s="291">
        <f t="shared" si="31"/>
        <v>84</v>
      </c>
      <c r="J95" s="291">
        <f t="shared" si="31"/>
        <v>95.5</v>
      </c>
      <c r="K95" s="291">
        <f t="shared" si="31"/>
        <v>77.5</v>
      </c>
      <c r="L95" s="291">
        <f t="shared" si="31"/>
        <v>488</v>
      </c>
      <c r="M95" s="291">
        <f t="shared" si="31"/>
        <v>81.333333333333329</v>
      </c>
      <c r="N95" s="264"/>
      <c r="O95" s="264"/>
      <c r="P95" s="264"/>
    </row>
    <row r="96" spans="1:16" ht="15.75" thickBot="1" x14ac:dyDescent="0.3">
      <c r="A96" s="1027">
        <v>31</v>
      </c>
      <c r="B96" s="1030"/>
      <c r="C96" s="875"/>
      <c r="D96" s="1015"/>
      <c r="E96" s="263" t="s">
        <v>18</v>
      </c>
      <c r="F96" s="264">
        <v>65</v>
      </c>
      <c r="G96" s="264">
        <v>54</v>
      </c>
      <c r="H96" s="265">
        <v>61</v>
      </c>
      <c r="I96" s="264">
        <v>60</v>
      </c>
      <c r="J96" s="264">
        <v>95</v>
      </c>
      <c r="K96" s="264">
        <v>53</v>
      </c>
      <c r="L96" s="264">
        <v>388</v>
      </c>
      <c r="M96" s="275">
        <f t="shared" si="23"/>
        <v>64.666666666666671</v>
      </c>
      <c r="N96" s="271">
        <v>39</v>
      </c>
      <c r="O96" s="271"/>
      <c r="P96" s="271"/>
    </row>
    <row r="97" spans="1:16" ht="15.75" thickBot="1" x14ac:dyDescent="0.3">
      <c r="A97" s="1027"/>
      <c r="B97" s="1030"/>
      <c r="C97" s="875"/>
      <c r="D97" s="1015"/>
      <c r="E97" s="263" t="s">
        <v>19</v>
      </c>
      <c r="F97" s="264">
        <v>73</v>
      </c>
      <c r="G97" s="264">
        <v>50</v>
      </c>
      <c r="H97" s="265">
        <v>56</v>
      </c>
      <c r="I97" s="264">
        <v>72</v>
      </c>
      <c r="J97" s="264">
        <v>96</v>
      </c>
      <c r="K97" s="264">
        <v>56</v>
      </c>
      <c r="L97" s="264">
        <f>SUM(F97:K97)</f>
        <v>403</v>
      </c>
      <c r="M97" s="275">
        <f t="shared" si="23"/>
        <v>67.166666666666671</v>
      </c>
      <c r="N97" s="271"/>
      <c r="O97" s="271"/>
      <c r="P97" s="271"/>
    </row>
    <row r="98" spans="1:16" ht="15.75" thickBot="1" x14ac:dyDescent="0.3">
      <c r="A98" s="1027"/>
      <c r="B98" s="1030"/>
      <c r="C98" s="875"/>
      <c r="D98" s="1015"/>
      <c r="E98" s="263" t="s">
        <v>13</v>
      </c>
      <c r="F98" s="264">
        <f>AVERAGE(F96:F97)</f>
        <v>69</v>
      </c>
      <c r="G98" s="291">
        <f t="shared" ref="G98:M98" si="32">AVERAGE(G96:G97)</f>
        <v>52</v>
      </c>
      <c r="H98" s="291">
        <f t="shared" si="32"/>
        <v>58.5</v>
      </c>
      <c r="I98" s="291">
        <f t="shared" si="32"/>
        <v>66</v>
      </c>
      <c r="J98" s="291">
        <f t="shared" si="32"/>
        <v>95.5</v>
      </c>
      <c r="K98" s="291">
        <f t="shared" si="32"/>
        <v>54.5</v>
      </c>
      <c r="L98" s="291">
        <f t="shared" si="32"/>
        <v>395.5</v>
      </c>
      <c r="M98" s="291">
        <f t="shared" si="32"/>
        <v>65.916666666666671</v>
      </c>
      <c r="N98" s="264"/>
      <c r="O98" s="264"/>
      <c r="P98" s="264"/>
    </row>
    <row r="99" spans="1:16" ht="15.75" thickBot="1" x14ac:dyDescent="0.3">
      <c r="A99" s="1027">
        <v>32</v>
      </c>
      <c r="B99" s="1030"/>
      <c r="C99" s="875"/>
      <c r="D99" s="1015"/>
      <c r="E99" s="263" t="s">
        <v>18</v>
      </c>
      <c r="F99" s="264">
        <v>80</v>
      </c>
      <c r="G99" s="264">
        <v>65</v>
      </c>
      <c r="H99" s="264">
        <v>71</v>
      </c>
      <c r="I99" s="264">
        <v>76</v>
      </c>
      <c r="J99" s="264">
        <v>95</v>
      </c>
      <c r="K99" s="264">
        <v>70</v>
      </c>
      <c r="L99" s="264">
        <v>456</v>
      </c>
      <c r="M99" s="275">
        <f t="shared" si="23"/>
        <v>76.166666666666671</v>
      </c>
      <c r="N99" s="271">
        <v>17</v>
      </c>
      <c r="O99" s="271"/>
      <c r="P99" s="271"/>
    </row>
    <row r="100" spans="1:16" ht="15.75" thickBot="1" x14ac:dyDescent="0.3">
      <c r="A100" s="1027"/>
      <c r="B100" s="1030"/>
      <c r="C100" s="875"/>
      <c r="D100" s="1015"/>
      <c r="E100" s="263" t="s">
        <v>19</v>
      </c>
      <c r="F100" s="264">
        <v>90</v>
      </c>
      <c r="G100" s="264">
        <v>71</v>
      </c>
      <c r="H100" s="264">
        <v>71</v>
      </c>
      <c r="I100" s="264">
        <v>79</v>
      </c>
      <c r="J100" s="264">
        <v>97</v>
      </c>
      <c r="K100" s="264">
        <v>70</v>
      </c>
      <c r="L100" s="264">
        <f>SUM(F100:K100)</f>
        <v>478</v>
      </c>
      <c r="M100" s="275">
        <f t="shared" si="23"/>
        <v>79.666666666666671</v>
      </c>
      <c r="N100" s="271"/>
      <c r="O100" s="271"/>
      <c r="P100" s="271"/>
    </row>
    <row r="101" spans="1:16" ht="15.75" thickBot="1" x14ac:dyDescent="0.3">
      <c r="A101" s="1027"/>
      <c r="B101" s="1030"/>
      <c r="C101" s="875"/>
      <c r="D101" s="1015"/>
      <c r="E101" s="263" t="s">
        <v>13</v>
      </c>
      <c r="F101" s="264">
        <f>AVERAGE(F99:F100)</f>
        <v>85</v>
      </c>
      <c r="G101" s="291">
        <f>AVERAGE(G99:G100)</f>
        <v>68</v>
      </c>
      <c r="H101" s="291">
        <f t="shared" ref="H101:M101" si="33">AVERAGE(H99:H100)</f>
        <v>71</v>
      </c>
      <c r="I101" s="291">
        <f>AVERAGE(I99:I100)</f>
        <v>77.5</v>
      </c>
      <c r="J101" s="291">
        <f t="shared" si="33"/>
        <v>96</v>
      </c>
      <c r="K101" s="291">
        <f t="shared" si="33"/>
        <v>70</v>
      </c>
      <c r="L101" s="291">
        <f t="shared" si="33"/>
        <v>467</v>
      </c>
      <c r="M101" s="291">
        <f t="shared" si="33"/>
        <v>77.916666666666671</v>
      </c>
      <c r="N101" s="264"/>
      <c r="O101" s="264"/>
      <c r="P101" s="264"/>
    </row>
    <row r="102" spans="1:16" ht="15.75" thickBot="1" x14ac:dyDescent="0.3">
      <c r="A102" s="1027">
        <v>33</v>
      </c>
      <c r="B102" s="1030"/>
      <c r="C102" s="875"/>
      <c r="D102" s="1015"/>
      <c r="E102" s="263" t="s">
        <v>18</v>
      </c>
      <c r="F102" s="264">
        <v>67</v>
      </c>
      <c r="G102" s="264">
        <v>53</v>
      </c>
      <c r="H102" s="265">
        <v>71</v>
      </c>
      <c r="I102" s="264">
        <v>78</v>
      </c>
      <c r="J102" s="264">
        <v>95</v>
      </c>
      <c r="K102" s="264">
        <v>66</v>
      </c>
      <c r="L102" s="264">
        <v>430</v>
      </c>
      <c r="M102" s="275">
        <f t="shared" si="23"/>
        <v>71.666666666666671</v>
      </c>
      <c r="N102" s="271">
        <v>28</v>
      </c>
      <c r="O102" s="271"/>
      <c r="P102" s="271"/>
    </row>
    <row r="103" spans="1:16" ht="15.75" thickBot="1" x14ac:dyDescent="0.3">
      <c r="A103" s="1027"/>
      <c r="B103" s="1030"/>
      <c r="C103" s="875"/>
      <c r="D103" s="1015"/>
      <c r="E103" s="263" t="s">
        <v>19</v>
      </c>
      <c r="F103" s="264">
        <v>73</v>
      </c>
      <c r="G103" s="264">
        <v>56</v>
      </c>
      <c r="H103" s="265">
        <v>62</v>
      </c>
      <c r="I103" s="264">
        <v>79</v>
      </c>
      <c r="J103" s="264">
        <v>97</v>
      </c>
      <c r="K103" s="264">
        <v>65</v>
      </c>
      <c r="L103" s="264">
        <f>SUM(F103:K103)</f>
        <v>432</v>
      </c>
      <c r="M103" s="275">
        <f t="shared" si="23"/>
        <v>72</v>
      </c>
      <c r="N103" s="271"/>
      <c r="O103" s="271"/>
      <c r="P103" s="271"/>
    </row>
    <row r="104" spans="1:16" ht="15.75" thickBot="1" x14ac:dyDescent="0.3">
      <c r="A104" s="1027"/>
      <c r="B104" s="1030"/>
      <c r="C104" s="875"/>
      <c r="D104" s="1015"/>
      <c r="E104" s="263" t="s">
        <v>13</v>
      </c>
      <c r="F104" s="264">
        <f>AVERAGE(F102:F103)</f>
        <v>70</v>
      </c>
      <c r="G104" s="291">
        <f t="shared" ref="G104:M104" si="34">AVERAGE(G102:G103)</f>
        <v>54.5</v>
      </c>
      <c r="H104" s="291">
        <f t="shared" si="34"/>
        <v>66.5</v>
      </c>
      <c r="I104" s="291">
        <f t="shared" si="34"/>
        <v>78.5</v>
      </c>
      <c r="J104" s="291">
        <f t="shared" si="34"/>
        <v>96</v>
      </c>
      <c r="K104" s="291">
        <f t="shared" si="34"/>
        <v>65.5</v>
      </c>
      <c r="L104" s="291">
        <f t="shared" si="34"/>
        <v>431</v>
      </c>
      <c r="M104" s="291">
        <f t="shared" si="34"/>
        <v>71.833333333333343</v>
      </c>
      <c r="N104" s="264"/>
      <c r="O104" s="264"/>
      <c r="P104" s="264"/>
    </row>
    <row r="105" spans="1:16" ht="15.75" thickBot="1" x14ac:dyDescent="0.3">
      <c r="A105" s="1029">
        <v>34</v>
      </c>
      <c r="B105" s="1030"/>
      <c r="C105" s="875"/>
      <c r="D105" s="1015"/>
      <c r="E105" s="263" t="s">
        <v>18</v>
      </c>
      <c r="F105" s="264">
        <v>90</v>
      </c>
      <c r="G105" s="264">
        <v>79</v>
      </c>
      <c r="H105" s="264">
        <v>89</v>
      </c>
      <c r="I105" s="264">
        <v>85</v>
      </c>
      <c r="J105" s="264">
        <v>95</v>
      </c>
      <c r="K105" s="264">
        <v>82</v>
      </c>
      <c r="L105" s="264">
        <v>520</v>
      </c>
      <c r="M105" s="275">
        <f t="shared" si="23"/>
        <v>86.666666666666671</v>
      </c>
      <c r="N105" s="271">
        <v>3</v>
      </c>
      <c r="O105" s="271"/>
      <c r="P105" s="271"/>
    </row>
    <row r="106" spans="1:16" ht="15.75" thickBot="1" x14ac:dyDescent="0.3">
      <c r="A106" s="1029"/>
      <c r="B106" s="1030"/>
      <c r="C106" s="875"/>
      <c r="D106" s="1015"/>
      <c r="E106" s="263" t="s">
        <v>19</v>
      </c>
      <c r="F106" s="264">
        <v>92</v>
      </c>
      <c r="G106" s="264">
        <v>91</v>
      </c>
      <c r="H106" s="264">
        <v>85</v>
      </c>
      <c r="I106" s="264">
        <v>94</v>
      </c>
      <c r="J106" s="264">
        <v>100</v>
      </c>
      <c r="K106" s="264">
        <v>83</v>
      </c>
      <c r="L106" s="264">
        <f>SUM(F106:K106)</f>
        <v>545</v>
      </c>
      <c r="M106" s="275">
        <f t="shared" si="23"/>
        <v>90.833333333333329</v>
      </c>
      <c r="N106" s="271"/>
      <c r="O106" s="271"/>
      <c r="P106" s="271"/>
    </row>
    <row r="107" spans="1:16" ht="15.75" thickBot="1" x14ac:dyDescent="0.3">
      <c r="A107" s="1029"/>
      <c r="B107" s="1030"/>
      <c r="C107" s="875"/>
      <c r="D107" s="1015"/>
      <c r="E107" s="263" t="s">
        <v>13</v>
      </c>
      <c r="F107" s="264">
        <f>AVERAGE(F105:F106)</f>
        <v>91</v>
      </c>
      <c r="G107" s="291">
        <f t="shared" ref="G107:M107" si="35">AVERAGE(G105:G106)</f>
        <v>85</v>
      </c>
      <c r="H107" s="291">
        <f t="shared" si="35"/>
        <v>87</v>
      </c>
      <c r="I107" s="291">
        <f t="shared" si="35"/>
        <v>89.5</v>
      </c>
      <c r="J107" s="291">
        <f t="shared" si="35"/>
        <v>97.5</v>
      </c>
      <c r="K107" s="291">
        <f t="shared" si="35"/>
        <v>82.5</v>
      </c>
      <c r="L107" s="291">
        <f t="shared" si="35"/>
        <v>532.5</v>
      </c>
      <c r="M107" s="291">
        <f t="shared" si="35"/>
        <v>88.75</v>
      </c>
      <c r="N107" s="264"/>
      <c r="O107" s="264"/>
      <c r="P107" s="264"/>
    </row>
    <row r="108" spans="1:16" ht="15.75" thickBot="1" x14ac:dyDescent="0.3">
      <c r="A108" s="1029">
        <v>35</v>
      </c>
      <c r="B108" s="1030"/>
      <c r="C108" s="875"/>
      <c r="D108" s="1015"/>
      <c r="E108" s="263" t="s">
        <v>18</v>
      </c>
      <c r="F108" s="264">
        <v>70</v>
      </c>
      <c r="G108" s="264">
        <v>59</v>
      </c>
      <c r="H108" s="264">
        <v>68</v>
      </c>
      <c r="I108" s="264">
        <v>66</v>
      </c>
      <c r="J108" s="264">
        <v>95</v>
      </c>
      <c r="K108" s="264">
        <v>64</v>
      </c>
      <c r="L108" s="264">
        <v>422</v>
      </c>
      <c r="M108" s="275">
        <f t="shared" si="23"/>
        <v>70.333333333333329</v>
      </c>
      <c r="N108" s="271">
        <v>32</v>
      </c>
      <c r="O108" s="271"/>
      <c r="P108" s="271"/>
    </row>
    <row r="109" spans="1:16" ht="15.75" thickBot="1" x14ac:dyDescent="0.3">
      <c r="A109" s="1029"/>
      <c r="B109" s="1030"/>
      <c r="C109" s="875"/>
      <c r="D109" s="1015"/>
      <c r="E109" s="263" t="s">
        <v>19</v>
      </c>
      <c r="F109" s="264">
        <v>76</v>
      </c>
      <c r="G109" s="264">
        <v>56</v>
      </c>
      <c r="H109" s="264">
        <v>57</v>
      </c>
      <c r="I109" s="264">
        <v>75</v>
      </c>
      <c r="J109" s="264">
        <v>96</v>
      </c>
      <c r="K109" s="264">
        <v>60</v>
      </c>
      <c r="L109" s="264">
        <f>SUM(F109:K109)</f>
        <v>420</v>
      </c>
      <c r="M109" s="275">
        <f t="shared" si="23"/>
        <v>70</v>
      </c>
      <c r="N109" s="271"/>
      <c r="O109" s="271"/>
      <c r="P109" s="271"/>
    </row>
    <row r="110" spans="1:16" ht="15.75" thickBot="1" x14ac:dyDescent="0.3">
      <c r="A110" s="1029"/>
      <c r="B110" s="1030"/>
      <c r="C110" s="875"/>
      <c r="D110" s="1015"/>
      <c r="E110" s="263" t="s">
        <v>13</v>
      </c>
      <c r="F110" s="264">
        <f>AVERAGE(F108:F109)</f>
        <v>73</v>
      </c>
      <c r="G110" s="291">
        <f t="shared" ref="G110:M110" si="36">AVERAGE(G108:G109)</f>
        <v>57.5</v>
      </c>
      <c r="H110" s="291">
        <f t="shared" si="36"/>
        <v>62.5</v>
      </c>
      <c r="I110" s="291">
        <f t="shared" si="36"/>
        <v>70.5</v>
      </c>
      <c r="J110" s="291">
        <f t="shared" si="36"/>
        <v>95.5</v>
      </c>
      <c r="K110" s="291">
        <f t="shared" si="36"/>
        <v>62</v>
      </c>
      <c r="L110" s="291">
        <f t="shared" si="36"/>
        <v>421</v>
      </c>
      <c r="M110" s="291">
        <f t="shared" si="36"/>
        <v>70.166666666666657</v>
      </c>
      <c r="N110" s="264"/>
      <c r="O110" s="264"/>
      <c r="P110" s="264"/>
    </row>
    <row r="111" spans="1:16" ht="15.75" thickBot="1" x14ac:dyDescent="0.3">
      <c r="A111" s="1029">
        <v>36</v>
      </c>
      <c r="B111" s="1030"/>
      <c r="C111" s="875"/>
      <c r="D111" s="1015"/>
      <c r="E111" s="263" t="s">
        <v>18</v>
      </c>
      <c r="F111" s="264">
        <v>73</v>
      </c>
      <c r="G111" s="264">
        <v>42</v>
      </c>
      <c r="H111" s="265">
        <v>77</v>
      </c>
      <c r="I111" s="264">
        <v>67</v>
      </c>
      <c r="J111" s="264">
        <v>95</v>
      </c>
      <c r="K111" s="264">
        <v>81</v>
      </c>
      <c r="L111" s="264">
        <v>435</v>
      </c>
      <c r="M111" s="275">
        <f t="shared" si="23"/>
        <v>72.5</v>
      </c>
      <c r="N111" s="271">
        <v>27</v>
      </c>
      <c r="O111" s="271"/>
      <c r="P111" s="271"/>
    </row>
    <row r="112" spans="1:16" ht="15.75" thickBot="1" x14ac:dyDescent="0.3">
      <c r="A112" s="1029"/>
      <c r="B112" s="1030"/>
      <c r="C112" s="875"/>
      <c r="D112" s="1015"/>
      <c r="E112" s="263" t="s">
        <v>19</v>
      </c>
      <c r="F112" s="264">
        <v>80</v>
      </c>
      <c r="G112" s="264">
        <v>56</v>
      </c>
      <c r="H112" s="265">
        <v>75</v>
      </c>
      <c r="I112" s="264">
        <v>89</v>
      </c>
      <c r="J112" s="264">
        <v>98</v>
      </c>
      <c r="K112" s="264">
        <v>75</v>
      </c>
      <c r="L112" s="264">
        <f>SUM(F112:K112)</f>
        <v>473</v>
      </c>
      <c r="M112" s="275">
        <f t="shared" si="23"/>
        <v>78.833333333333329</v>
      </c>
      <c r="N112" s="271"/>
      <c r="O112" s="271"/>
      <c r="P112" s="271"/>
    </row>
    <row r="113" spans="1:16" ht="15.75" thickBot="1" x14ac:dyDescent="0.3">
      <c r="A113" s="1029"/>
      <c r="B113" s="1030"/>
      <c r="C113" s="875"/>
      <c r="D113" s="1015"/>
      <c r="E113" s="263" t="s">
        <v>13</v>
      </c>
      <c r="F113" s="264">
        <f>AVERAGE(F111:F112)</f>
        <v>76.5</v>
      </c>
      <c r="G113" s="291">
        <f t="shared" ref="G113:M113" si="37">AVERAGE(G111:G112)</f>
        <v>49</v>
      </c>
      <c r="H113" s="291">
        <f t="shared" si="37"/>
        <v>76</v>
      </c>
      <c r="I113" s="291">
        <f t="shared" si="37"/>
        <v>78</v>
      </c>
      <c r="J113" s="291">
        <f t="shared" si="37"/>
        <v>96.5</v>
      </c>
      <c r="K113" s="291">
        <f t="shared" si="37"/>
        <v>78</v>
      </c>
      <c r="L113" s="291">
        <f t="shared" si="37"/>
        <v>454</v>
      </c>
      <c r="M113" s="291">
        <f t="shared" si="37"/>
        <v>75.666666666666657</v>
      </c>
      <c r="N113" s="264"/>
      <c r="O113" s="264"/>
      <c r="P113" s="264"/>
    </row>
    <row r="114" spans="1:16" ht="15.75" thickBot="1" x14ac:dyDescent="0.3">
      <c r="A114" s="1027">
        <v>37</v>
      </c>
      <c r="B114" s="1030"/>
      <c r="C114" s="875"/>
      <c r="D114" s="1015"/>
      <c r="E114" s="263" t="s">
        <v>18</v>
      </c>
      <c r="F114" s="264">
        <v>74</v>
      </c>
      <c r="G114" s="264">
        <v>51</v>
      </c>
      <c r="H114" s="264">
        <v>76</v>
      </c>
      <c r="I114" s="264">
        <v>74</v>
      </c>
      <c r="J114" s="264">
        <v>95</v>
      </c>
      <c r="K114" s="264">
        <v>83</v>
      </c>
      <c r="L114" s="264">
        <v>453</v>
      </c>
      <c r="M114" s="275">
        <f t="shared" si="23"/>
        <v>75.5</v>
      </c>
      <c r="N114" s="271">
        <v>18</v>
      </c>
      <c r="O114" s="271"/>
      <c r="P114" s="271"/>
    </row>
    <row r="115" spans="1:16" ht="15.75" thickBot="1" x14ac:dyDescent="0.3">
      <c r="A115" s="1027"/>
      <c r="B115" s="1030"/>
      <c r="C115" s="875"/>
      <c r="D115" s="1015"/>
      <c r="E115" s="263" t="s">
        <v>19</v>
      </c>
      <c r="F115" s="264">
        <v>80</v>
      </c>
      <c r="G115" s="264">
        <v>55</v>
      </c>
      <c r="H115" s="264">
        <v>79</v>
      </c>
      <c r="I115" s="264">
        <v>90</v>
      </c>
      <c r="J115" s="264">
        <v>98</v>
      </c>
      <c r="K115" s="264">
        <v>76</v>
      </c>
      <c r="L115" s="264">
        <f>SUM(F115:K115)</f>
        <v>478</v>
      </c>
      <c r="M115" s="275">
        <f t="shared" si="23"/>
        <v>79.666666666666671</v>
      </c>
      <c r="N115" s="271"/>
      <c r="O115" s="271"/>
      <c r="P115" s="271"/>
    </row>
    <row r="116" spans="1:16" ht="15.75" thickBot="1" x14ac:dyDescent="0.3">
      <c r="A116" s="1027"/>
      <c r="B116" s="1030"/>
      <c r="C116" s="875"/>
      <c r="D116" s="1015"/>
      <c r="E116" s="263" t="s">
        <v>13</v>
      </c>
      <c r="F116" s="264">
        <f>AVERAGE(F114:F115)</f>
        <v>77</v>
      </c>
      <c r="G116" s="291">
        <f t="shared" ref="G116:M116" si="38">AVERAGE(G114:G115)</f>
        <v>53</v>
      </c>
      <c r="H116" s="291">
        <f t="shared" si="38"/>
        <v>77.5</v>
      </c>
      <c r="I116" s="291">
        <f t="shared" si="38"/>
        <v>82</v>
      </c>
      <c r="J116" s="291">
        <f t="shared" si="38"/>
        <v>96.5</v>
      </c>
      <c r="K116" s="291">
        <f t="shared" si="38"/>
        <v>79.5</v>
      </c>
      <c r="L116" s="291">
        <f t="shared" si="38"/>
        <v>465.5</v>
      </c>
      <c r="M116" s="291">
        <f t="shared" si="38"/>
        <v>77.583333333333343</v>
      </c>
      <c r="N116" s="264"/>
      <c r="O116" s="264"/>
      <c r="P116" s="264"/>
    </row>
    <row r="117" spans="1:16" ht="15.75" thickBot="1" x14ac:dyDescent="0.3">
      <c r="A117" s="1027">
        <v>38</v>
      </c>
      <c r="B117" s="1030"/>
      <c r="C117" s="875"/>
      <c r="D117" s="1015"/>
      <c r="E117" s="263" t="s">
        <v>18</v>
      </c>
      <c r="F117" s="264">
        <v>91</v>
      </c>
      <c r="G117" s="264">
        <v>90</v>
      </c>
      <c r="H117" s="264">
        <v>92</v>
      </c>
      <c r="I117" s="264">
        <v>92</v>
      </c>
      <c r="J117" s="264">
        <v>95</v>
      </c>
      <c r="K117" s="264">
        <v>92</v>
      </c>
      <c r="L117" s="264">
        <v>552</v>
      </c>
      <c r="M117" s="275">
        <f t="shared" si="23"/>
        <v>92</v>
      </c>
      <c r="N117" s="271">
        <v>1</v>
      </c>
      <c r="O117" s="271"/>
      <c r="P117" s="271"/>
    </row>
    <row r="118" spans="1:16" ht="15.75" thickBot="1" x14ac:dyDescent="0.3">
      <c r="A118" s="1027"/>
      <c r="B118" s="1030"/>
      <c r="C118" s="875"/>
      <c r="D118" s="1015"/>
      <c r="E118" s="263" t="s">
        <v>19</v>
      </c>
      <c r="F118" s="264">
        <v>96</v>
      </c>
      <c r="G118" s="264">
        <v>93</v>
      </c>
      <c r="H118" s="264">
        <v>91</v>
      </c>
      <c r="I118" s="264">
        <v>96</v>
      </c>
      <c r="J118" s="264">
        <v>100</v>
      </c>
      <c r="K118" s="264">
        <v>96</v>
      </c>
      <c r="L118" s="264">
        <f>SUM(F118:K118)</f>
        <v>572</v>
      </c>
      <c r="M118" s="275">
        <f t="shared" si="23"/>
        <v>95.333333333333329</v>
      </c>
      <c r="N118" s="271"/>
      <c r="O118" s="271"/>
      <c r="P118" s="271"/>
    </row>
    <row r="119" spans="1:16" x14ac:dyDescent="0.25">
      <c r="A119" s="1037"/>
      <c r="B119" s="1038"/>
      <c r="C119" s="971"/>
      <c r="D119" s="1017"/>
      <c r="E119" s="272" t="s">
        <v>13</v>
      </c>
      <c r="F119" s="273">
        <f>AVERAGE(F117:F118)</f>
        <v>93.5</v>
      </c>
      <c r="G119" s="273">
        <f t="shared" ref="G119:M119" si="39">AVERAGE(G117:G118)</f>
        <v>91.5</v>
      </c>
      <c r="H119" s="273">
        <f t="shared" si="39"/>
        <v>91.5</v>
      </c>
      <c r="I119" s="273">
        <f t="shared" si="39"/>
        <v>94</v>
      </c>
      <c r="J119" s="273">
        <f t="shared" si="39"/>
        <v>97.5</v>
      </c>
      <c r="K119" s="273">
        <f t="shared" si="39"/>
        <v>94</v>
      </c>
      <c r="L119" s="273">
        <f t="shared" si="39"/>
        <v>562</v>
      </c>
      <c r="M119" s="273">
        <f t="shared" si="39"/>
        <v>93.666666666666657</v>
      </c>
      <c r="N119" s="273"/>
      <c r="O119" s="273"/>
      <c r="P119" s="273"/>
    </row>
    <row r="120" spans="1:16" x14ac:dyDescent="0.25">
      <c r="A120" s="1033">
        <v>39</v>
      </c>
      <c r="B120" s="1034"/>
      <c r="C120" s="1033"/>
      <c r="D120" s="1033"/>
      <c r="E120" s="263" t="s">
        <v>18</v>
      </c>
      <c r="F120" s="261">
        <v>76</v>
      </c>
      <c r="G120" s="261">
        <v>60</v>
      </c>
      <c r="H120" s="261">
        <v>72</v>
      </c>
      <c r="I120" s="261">
        <v>72</v>
      </c>
      <c r="J120" s="261">
        <v>95</v>
      </c>
      <c r="K120" s="261">
        <v>55</v>
      </c>
      <c r="L120" s="261">
        <v>430</v>
      </c>
      <c r="M120" s="275">
        <f t="shared" si="23"/>
        <v>71.666666666666671</v>
      </c>
      <c r="N120" s="261">
        <v>28</v>
      </c>
      <c r="O120" s="261"/>
      <c r="P120" s="261"/>
    </row>
    <row r="121" spans="1:16" x14ac:dyDescent="0.25">
      <c r="A121" s="1033"/>
      <c r="B121" s="1034"/>
      <c r="C121" s="1033"/>
      <c r="D121" s="1033"/>
      <c r="E121" s="263" t="s">
        <v>19</v>
      </c>
      <c r="F121" s="261">
        <v>81</v>
      </c>
      <c r="G121" s="261">
        <v>50</v>
      </c>
      <c r="H121" s="261">
        <v>70</v>
      </c>
      <c r="I121" s="261">
        <v>80</v>
      </c>
      <c r="J121" s="261">
        <v>96</v>
      </c>
      <c r="K121" s="261">
        <v>60</v>
      </c>
      <c r="L121" s="261">
        <f>SUM(F121:K121)</f>
        <v>437</v>
      </c>
      <c r="M121" s="275">
        <f t="shared" si="23"/>
        <v>72.833333333333329</v>
      </c>
      <c r="N121" s="261"/>
      <c r="O121" s="261"/>
      <c r="P121" s="261"/>
    </row>
    <row r="122" spans="1:16" x14ac:dyDescent="0.25">
      <c r="A122" s="1033"/>
      <c r="B122" s="1034"/>
      <c r="C122" s="1033"/>
      <c r="D122" s="1033"/>
      <c r="E122" s="272" t="s">
        <v>13</v>
      </c>
      <c r="F122" s="261">
        <f>AVERAGE(F120:F121)</f>
        <v>78.5</v>
      </c>
      <c r="G122" s="288">
        <f t="shared" ref="G122:M122" si="40">AVERAGE(G120:G121)</f>
        <v>55</v>
      </c>
      <c r="H122" s="288">
        <f t="shared" si="40"/>
        <v>71</v>
      </c>
      <c r="I122" s="288">
        <f t="shared" si="40"/>
        <v>76</v>
      </c>
      <c r="J122" s="288">
        <f t="shared" si="40"/>
        <v>95.5</v>
      </c>
      <c r="K122" s="288">
        <f t="shared" si="40"/>
        <v>57.5</v>
      </c>
      <c r="L122" s="288">
        <f t="shared" si="40"/>
        <v>433.5</v>
      </c>
      <c r="M122" s="288">
        <f t="shared" si="40"/>
        <v>72.25</v>
      </c>
      <c r="N122" s="261"/>
      <c r="O122" s="261"/>
      <c r="P122" s="261"/>
    </row>
    <row r="123" spans="1:16" x14ac:dyDescent="0.25">
      <c r="A123" s="1033">
        <v>40</v>
      </c>
      <c r="B123" s="1036"/>
      <c r="C123" s="1033"/>
      <c r="D123" s="1033"/>
      <c r="E123" s="263" t="s">
        <v>18</v>
      </c>
      <c r="F123" s="261">
        <v>84</v>
      </c>
      <c r="G123" s="261">
        <v>64</v>
      </c>
      <c r="H123" s="261">
        <v>80</v>
      </c>
      <c r="I123" s="261">
        <v>81</v>
      </c>
      <c r="J123" s="261">
        <v>95</v>
      </c>
      <c r="K123" s="261">
        <v>85</v>
      </c>
      <c r="L123" s="261">
        <v>489</v>
      </c>
      <c r="M123" s="275">
        <f t="shared" si="23"/>
        <v>81.5</v>
      </c>
      <c r="N123" s="261">
        <v>8</v>
      </c>
      <c r="O123" s="261"/>
      <c r="P123" s="261"/>
    </row>
    <row r="124" spans="1:16" x14ac:dyDescent="0.25">
      <c r="A124" s="1033"/>
      <c r="B124" s="1036"/>
      <c r="C124" s="1033"/>
      <c r="D124" s="1033"/>
      <c r="E124" s="263" t="s">
        <v>19</v>
      </c>
      <c r="F124" s="261">
        <v>90</v>
      </c>
      <c r="G124" s="261">
        <v>55</v>
      </c>
      <c r="H124" s="261">
        <v>85</v>
      </c>
      <c r="I124" s="261">
        <v>91</v>
      </c>
      <c r="J124" s="261">
        <v>100</v>
      </c>
      <c r="K124" s="261">
        <v>83</v>
      </c>
      <c r="L124" s="261">
        <f>SUM(F124:K124)</f>
        <v>504</v>
      </c>
      <c r="M124" s="275">
        <f t="shared" si="23"/>
        <v>84</v>
      </c>
      <c r="N124" s="261"/>
      <c r="O124" s="261"/>
      <c r="P124" s="261"/>
    </row>
    <row r="125" spans="1:16" x14ac:dyDescent="0.25">
      <c r="A125" s="1033"/>
      <c r="B125" s="1036"/>
      <c r="C125" s="1033"/>
      <c r="D125" s="1033"/>
      <c r="E125" s="272" t="s">
        <v>13</v>
      </c>
      <c r="F125" s="261">
        <f>AVERAGE(F123:F124)</f>
        <v>87</v>
      </c>
      <c r="G125" s="288">
        <f t="shared" ref="G125:M125" si="41">AVERAGE(G123:G124)</f>
        <v>59.5</v>
      </c>
      <c r="H125" s="288">
        <f t="shared" si="41"/>
        <v>82.5</v>
      </c>
      <c r="I125" s="288">
        <f t="shared" si="41"/>
        <v>86</v>
      </c>
      <c r="J125" s="288">
        <f t="shared" si="41"/>
        <v>97.5</v>
      </c>
      <c r="K125" s="288">
        <f t="shared" si="41"/>
        <v>84</v>
      </c>
      <c r="L125" s="288">
        <f t="shared" si="41"/>
        <v>496.5</v>
      </c>
      <c r="M125" s="288">
        <f t="shared" si="41"/>
        <v>82.75</v>
      </c>
      <c r="N125" s="261"/>
      <c r="O125" s="261"/>
      <c r="P125" s="261"/>
    </row>
    <row r="126" spans="1:16" x14ac:dyDescent="0.25">
      <c r="A126" s="1033">
        <v>41</v>
      </c>
      <c r="B126" s="1036"/>
      <c r="C126" s="1033"/>
      <c r="D126" s="1033"/>
      <c r="E126" s="263" t="s">
        <v>18</v>
      </c>
      <c r="F126" s="261">
        <v>80</v>
      </c>
      <c r="G126" s="261">
        <v>54</v>
      </c>
      <c r="H126" s="261">
        <v>75</v>
      </c>
      <c r="I126" s="261">
        <v>56</v>
      </c>
      <c r="J126" s="261">
        <v>95</v>
      </c>
      <c r="K126" s="261">
        <v>67</v>
      </c>
      <c r="L126" s="261">
        <v>427</v>
      </c>
      <c r="M126" s="275">
        <f t="shared" si="23"/>
        <v>71.166666666666671</v>
      </c>
      <c r="N126" s="261">
        <v>30</v>
      </c>
      <c r="O126" s="261"/>
      <c r="P126" s="261"/>
    </row>
    <row r="127" spans="1:16" x14ac:dyDescent="0.25">
      <c r="A127" s="1033"/>
      <c r="B127" s="1036"/>
      <c r="C127" s="1033"/>
      <c r="D127" s="1033"/>
      <c r="E127" s="263" t="s">
        <v>19</v>
      </c>
      <c r="F127" s="261">
        <v>86</v>
      </c>
      <c r="G127" s="261">
        <v>50</v>
      </c>
      <c r="H127" s="261">
        <v>61</v>
      </c>
      <c r="I127" s="261">
        <v>85</v>
      </c>
      <c r="J127" s="261">
        <v>96</v>
      </c>
      <c r="K127" s="261">
        <v>68</v>
      </c>
      <c r="L127" s="261">
        <f>SUM(F127:K127)</f>
        <v>446</v>
      </c>
      <c r="M127" s="275">
        <f t="shared" si="23"/>
        <v>74.333333333333329</v>
      </c>
      <c r="N127" s="261"/>
      <c r="O127" s="261"/>
      <c r="P127" s="261"/>
    </row>
    <row r="128" spans="1:16" x14ac:dyDescent="0.25">
      <c r="A128" s="1033"/>
      <c r="B128" s="1036"/>
      <c r="C128" s="1033"/>
      <c r="D128" s="1033"/>
      <c r="E128" s="272" t="s">
        <v>13</v>
      </c>
      <c r="F128" s="261">
        <f>AVERAGE(F126:F127)</f>
        <v>83</v>
      </c>
      <c r="G128" s="288">
        <f t="shared" ref="G128:M128" si="42">AVERAGE(G126:G127)</f>
        <v>52</v>
      </c>
      <c r="H128" s="288">
        <f t="shared" si="42"/>
        <v>68</v>
      </c>
      <c r="I128" s="288">
        <f t="shared" si="42"/>
        <v>70.5</v>
      </c>
      <c r="J128" s="288">
        <f t="shared" si="42"/>
        <v>95.5</v>
      </c>
      <c r="K128" s="288">
        <f t="shared" si="42"/>
        <v>67.5</v>
      </c>
      <c r="L128" s="288">
        <f t="shared" si="42"/>
        <v>436.5</v>
      </c>
      <c r="M128" s="288">
        <f t="shared" si="42"/>
        <v>72.75</v>
      </c>
      <c r="N128" s="261"/>
      <c r="O128" s="261"/>
      <c r="P128" s="261"/>
    </row>
    <row r="129" spans="1:16" x14ac:dyDescent="0.25">
      <c r="A129" s="1033">
        <v>42</v>
      </c>
      <c r="B129" s="1036"/>
      <c r="C129" s="1033"/>
      <c r="D129" s="1033"/>
      <c r="E129" s="263" t="s">
        <v>18</v>
      </c>
      <c r="F129" s="261">
        <v>83</v>
      </c>
      <c r="G129" s="261">
        <v>61</v>
      </c>
      <c r="H129" s="261">
        <v>79</v>
      </c>
      <c r="I129" s="261">
        <v>74</v>
      </c>
      <c r="J129" s="261">
        <v>95</v>
      </c>
      <c r="K129" s="261">
        <v>78</v>
      </c>
      <c r="L129" s="261">
        <v>470</v>
      </c>
      <c r="M129" s="275">
        <f t="shared" si="23"/>
        <v>78.333333333333329</v>
      </c>
      <c r="N129" s="261">
        <v>13</v>
      </c>
      <c r="O129" s="261"/>
      <c r="P129" s="261"/>
    </row>
    <row r="130" spans="1:16" x14ac:dyDescent="0.25">
      <c r="A130" s="1033"/>
      <c r="B130" s="1036"/>
      <c r="C130" s="1033"/>
      <c r="D130" s="1033"/>
      <c r="E130" s="263" t="s">
        <v>19</v>
      </c>
      <c r="F130" s="261">
        <v>86</v>
      </c>
      <c r="G130" s="261">
        <v>66</v>
      </c>
      <c r="H130" s="261">
        <v>81</v>
      </c>
      <c r="I130" s="261">
        <v>89</v>
      </c>
      <c r="J130" s="261">
        <v>99</v>
      </c>
      <c r="K130" s="261">
        <v>73</v>
      </c>
      <c r="L130" s="261">
        <f>SUM(F130:K130)</f>
        <v>494</v>
      </c>
      <c r="M130" s="275">
        <f t="shared" si="23"/>
        <v>82.333333333333329</v>
      </c>
      <c r="N130" s="261"/>
      <c r="O130" s="261"/>
      <c r="P130" s="261"/>
    </row>
    <row r="131" spans="1:16" x14ac:dyDescent="0.25">
      <c r="A131" s="1033"/>
      <c r="B131" s="1036"/>
      <c r="C131" s="1033"/>
      <c r="D131" s="1033"/>
      <c r="E131" s="272" t="s">
        <v>13</v>
      </c>
      <c r="F131" s="261">
        <f>AVERAGE(F129:F130)</f>
        <v>84.5</v>
      </c>
      <c r="G131" s="288">
        <f t="shared" ref="G131:M131" si="43">AVERAGE(G129:G130)</f>
        <v>63.5</v>
      </c>
      <c r="H131" s="288">
        <f t="shared" si="43"/>
        <v>80</v>
      </c>
      <c r="I131" s="288">
        <f t="shared" si="43"/>
        <v>81.5</v>
      </c>
      <c r="J131" s="288">
        <f t="shared" si="43"/>
        <v>97</v>
      </c>
      <c r="K131" s="288">
        <f t="shared" si="43"/>
        <v>75.5</v>
      </c>
      <c r="L131" s="288">
        <f t="shared" si="43"/>
        <v>482</v>
      </c>
      <c r="M131" s="288">
        <f t="shared" si="43"/>
        <v>80.333333333333329</v>
      </c>
      <c r="N131" s="261"/>
      <c r="O131" s="261"/>
      <c r="P131" s="261"/>
    </row>
    <row r="132" spans="1:16" x14ac:dyDescent="0.25">
      <c r="A132" s="1033">
        <v>43</v>
      </c>
      <c r="B132" s="1036"/>
      <c r="C132" s="1035"/>
      <c r="D132" s="1035"/>
      <c r="E132" s="263" t="s">
        <v>18</v>
      </c>
      <c r="F132" s="261">
        <v>83</v>
      </c>
      <c r="G132" s="261">
        <v>63</v>
      </c>
      <c r="H132" s="261">
        <v>79</v>
      </c>
      <c r="I132" s="261">
        <v>76</v>
      </c>
      <c r="J132" s="261">
        <v>95</v>
      </c>
      <c r="K132" s="261">
        <v>73</v>
      </c>
      <c r="L132" s="261">
        <v>469</v>
      </c>
      <c r="M132" s="275">
        <f t="shared" si="23"/>
        <v>78.166666666666671</v>
      </c>
      <c r="N132" s="261">
        <v>15</v>
      </c>
      <c r="O132" s="261"/>
      <c r="P132" s="261"/>
    </row>
    <row r="133" spans="1:16" x14ac:dyDescent="0.25">
      <c r="A133" s="1033"/>
      <c r="B133" s="1036"/>
      <c r="C133" s="1035"/>
      <c r="D133" s="1035"/>
      <c r="E133" s="263" t="s">
        <v>19</v>
      </c>
      <c r="F133" s="261">
        <v>90</v>
      </c>
      <c r="G133" s="261">
        <v>68</v>
      </c>
      <c r="H133" s="261">
        <v>71</v>
      </c>
      <c r="I133" s="261">
        <v>89</v>
      </c>
      <c r="J133" s="261">
        <v>97</v>
      </c>
      <c r="K133" s="261">
        <v>66</v>
      </c>
      <c r="L133" s="261">
        <f>SUM(F133:K133)</f>
        <v>481</v>
      </c>
      <c r="M133" s="275">
        <f t="shared" si="23"/>
        <v>80.166666666666671</v>
      </c>
      <c r="N133" s="261"/>
      <c r="O133" s="261"/>
      <c r="P133" s="261"/>
    </row>
    <row r="134" spans="1:16" x14ac:dyDescent="0.25">
      <c r="A134" s="1033"/>
      <c r="B134" s="1036"/>
      <c r="C134" s="1035"/>
      <c r="D134" s="1035"/>
      <c r="E134" s="272" t="s">
        <v>13</v>
      </c>
      <c r="F134" s="261">
        <f>AVERAGE(F132:F133)</f>
        <v>86.5</v>
      </c>
      <c r="G134" s="288">
        <f t="shared" ref="G134:M134" si="44">AVERAGE(G132:G133)</f>
        <v>65.5</v>
      </c>
      <c r="H134" s="288">
        <f t="shared" si="44"/>
        <v>75</v>
      </c>
      <c r="I134" s="288">
        <f t="shared" si="44"/>
        <v>82.5</v>
      </c>
      <c r="J134" s="288">
        <f t="shared" si="44"/>
        <v>96</v>
      </c>
      <c r="K134" s="288">
        <f t="shared" si="44"/>
        <v>69.5</v>
      </c>
      <c r="L134" s="288">
        <f t="shared" si="44"/>
        <v>475</v>
      </c>
      <c r="M134" s="288">
        <f t="shared" si="44"/>
        <v>79.166666666666671</v>
      </c>
      <c r="N134" s="261"/>
      <c r="O134" s="261"/>
      <c r="P134" s="261"/>
    </row>
    <row r="135" spans="1:16" x14ac:dyDescent="0.25">
      <c r="A135" s="1033">
        <v>44</v>
      </c>
      <c r="B135" s="1034"/>
      <c r="C135" s="1035"/>
      <c r="D135" s="1035"/>
      <c r="E135" s="263" t="s">
        <v>18</v>
      </c>
      <c r="F135" s="261">
        <v>73</v>
      </c>
      <c r="G135" s="261">
        <v>67</v>
      </c>
      <c r="H135" s="261">
        <v>63</v>
      </c>
      <c r="I135" s="261">
        <v>74</v>
      </c>
      <c r="J135" s="261">
        <v>95</v>
      </c>
      <c r="K135" s="261">
        <v>69</v>
      </c>
      <c r="L135" s="261">
        <v>441</v>
      </c>
      <c r="M135" s="275">
        <f t="shared" ref="M135:M142" si="45">AVERAGE(F135:K135)</f>
        <v>73.5</v>
      </c>
      <c r="N135" s="261">
        <v>24</v>
      </c>
      <c r="O135" s="261"/>
      <c r="P135" s="261"/>
    </row>
    <row r="136" spans="1:16" x14ac:dyDescent="0.25">
      <c r="A136" s="1033"/>
      <c r="B136" s="1034"/>
      <c r="C136" s="1035"/>
      <c r="D136" s="1035"/>
      <c r="E136" s="263" t="s">
        <v>19</v>
      </c>
      <c r="F136" s="261">
        <v>80</v>
      </c>
      <c r="G136" s="261">
        <v>72</v>
      </c>
      <c r="H136" s="261">
        <v>70</v>
      </c>
      <c r="I136" s="261">
        <v>72</v>
      </c>
      <c r="J136" s="261">
        <v>96</v>
      </c>
      <c r="K136" s="261">
        <v>62</v>
      </c>
      <c r="L136" s="261">
        <f>SUM(F136:K136)</f>
        <v>452</v>
      </c>
      <c r="M136" s="275">
        <f t="shared" si="45"/>
        <v>75.333333333333329</v>
      </c>
      <c r="N136" s="261"/>
      <c r="O136" s="261"/>
      <c r="P136" s="261"/>
    </row>
    <row r="137" spans="1:16" x14ac:dyDescent="0.25">
      <c r="A137" s="1033"/>
      <c r="B137" s="1034"/>
      <c r="C137" s="1035"/>
      <c r="D137" s="1035"/>
      <c r="E137" s="272" t="s">
        <v>13</v>
      </c>
      <c r="F137" s="261">
        <f>AVERAGE(F135:F136)</f>
        <v>76.5</v>
      </c>
      <c r="G137" s="288">
        <f t="shared" ref="G137:M137" si="46">AVERAGE(G135:G136)</f>
        <v>69.5</v>
      </c>
      <c r="H137" s="288">
        <f t="shared" si="46"/>
        <v>66.5</v>
      </c>
      <c r="I137" s="288">
        <f t="shared" si="46"/>
        <v>73</v>
      </c>
      <c r="J137" s="288">
        <f t="shared" si="46"/>
        <v>95.5</v>
      </c>
      <c r="K137" s="288">
        <f t="shared" si="46"/>
        <v>65.5</v>
      </c>
      <c r="L137" s="288">
        <f t="shared" si="46"/>
        <v>446.5</v>
      </c>
      <c r="M137" s="288">
        <f t="shared" si="46"/>
        <v>74.416666666666657</v>
      </c>
      <c r="N137" s="261"/>
      <c r="O137" s="261"/>
      <c r="P137" s="261"/>
    </row>
    <row r="138" spans="1:16" x14ac:dyDescent="0.25">
      <c r="A138" s="1033">
        <v>45</v>
      </c>
      <c r="B138" s="1034"/>
      <c r="C138" s="1035"/>
      <c r="D138" s="1035"/>
      <c r="E138" s="263" t="s">
        <v>18</v>
      </c>
      <c r="F138" s="261">
        <v>66</v>
      </c>
      <c r="G138" s="261">
        <v>50</v>
      </c>
      <c r="H138" s="261">
        <v>62</v>
      </c>
      <c r="I138" s="261">
        <v>65</v>
      </c>
      <c r="J138" s="261">
        <v>95</v>
      </c>
      <c r="K138" s="261">
        <v>52</v>
      </c>
      <c r="L138" s="261">
        <v>390</v>
      </c>
      <c r="M138" s="275">
        <f t="shared" si="45"/>
        <v>65</v>
      </c>
      <c r="N138" s="261">
        <v>38</v>
      </c>
      <c r="O138" s="261"/>
      <c r="P138" s="261"/>
    </row>
    <row r="139" spans="1:16" x14ac:dyDescent="0.25">
      <c r="A139" s="1033"/>
      <c r="B139" s="1034"/>
      <c r="C139" s="1035"/>
      <c r="D139" s="1035"/>
      <c r="E139" s="263" t="s">
        <v>19</v>
      </c>
      <c r="F139" s="261">
        <v>71</v>
      </c>
      <c r="G139" s="261">
        <v>54</v>
      </c>
      <c r="H139" s="261">
        <v>51</v>
      </c>
      <c r="I139" s="261">
        <v>74</v>
      </c>
      <c r="J139" s="261">
        <v>97</v>
      </c>
      <c r="K139" s="261">
        <v>65</v>
      </c>
      <c r="L139" s="261">
        <f>SUM(F139:K139)</f>
        <v>412</v>
      </c>
      <c r="M139" s="275">
        <f t="shared" si="45"/>
        <v>68.666666666666671</v>
      </c>
      <c r="N139" s="261"/>
      <c r="O139" s="261"/>
      <c r="P139" s="261"/>
    </row>
    <row r="140" spans="1:16" x14ac:dyDescent="0.25">
      <c r="A140" s="1033"/>
      <c r="B140" s="1034"/>
      <c r="C140" s="1035"/>
      <c r="D140" s="1035"/>
      <c r="E140" s="272" t="s">
        <v>13</v>
      </c>
      <c r="F140" s="261">
        <f>AVERAGE(F138:F139)</f>
        <v>68.5</v>
      </c>
      <c r="G140" s="288">
        <f t="shared" ref="G140:M140" si="47">AVERAGE(G138:G139)</f>
        <v>52</v>
      </c>
      <c r="H140" s="288">
        <f t="shared" si="47"/>
        <v>56.5</v>
      </c>
      <c r="I140" s="288">
        <f t="shared" si="47"/>
        <v>69.5</v>
      </c>
      <c r="J140" s="288">
        <f t="shared" si="47"/>
        <v>96</v>
      </c>
      <c r="K140" s="288">
        <f t="shared" si="47"/>
        <v>58.5</v>
      </c>
      <c r="L140" s="288">
        <f t="shared" si="47"/>
        <v>401</v>
      </c>
      <c r="M140" s="288">
        <f t="shared" si="47"/>
        <v>66.833333333333343</v>
      </c>
      <c r="N140" s="261"/>
      <c r="O140" s="261"/>
      <c r="P140" s="261"/>
    </row>
    <row r="141" spans="1:16" x14ac:dyDescent="0.25">
      <c r="A141" s="1033">
        <v>46</v>
      </c>
      <c r="B141" s="1034"/>
      <c r="C141" s="1035"/>
      <c r="D141" s="1035"/>
      <c r="E141" s="263" t="s">
        <v>18</v>
      </c>
      <c r="F141" s="261">
        <v>80</v>
      </c>
      <c r="G141" s="261">
        <v>61</v>
      </c>
      <c r="H141" s="61">
        <v>73</v>
      </c>
      <c r="I141" s="261">
        <v>79</v>
      </c>
      <c r="J141" s="261">
        <v>95</v>
      </c>
      <c r="K141" s="261">
        <v>83</v>
      </c>
      <c r="L141" s="261">
        <v>471</v>
      </c>
      <c r="M141" s="275">
        <f t="shared" si="45"/>
        <v>78.5</v>
      </c>
      <c r="N141" s="261">
        <v>12</v>
      </c>
      <c r="O141" s="261"/>
      <c r="P141" s="261"/>
    </row>
    <row r="142" spans="1:16" x14ac:dyDescent="0.25">
      <c r="A142" s="1033"/>
      <c r="B142" s="1034"/>
      <c r="C142" s="1035"/>
      <c r="D142" s="1035"/>
      <c r="E142" s="263" t="s">
        <v>19</v>
      </c>
      <c r="F142" s="261">
        <v>91</v>
      </c>
      <c r="G142" s="261">
        <v>74</v>
      </c>
      <c r="H142" s="61">
        <v>79</v>
      </c>
      <c r="I142" s="261">
        <v>86</v>
      </c>
      <c r="J142" s="261">
        <v>99</v>
      </c>
      <c r="K142" s="261">
        <v>85</v>
      </c>
      <c r="L142" s="261">
        <f>SUM(F142:K142)</f>
        <v>514</v>
      </c>
      <c r="M142" s="275">
        <f t="shared" si="45"/>
        <v>85.666666666666671</v>
      </c>
      <c r="N142" s="261"/>
      <c r="O142" s="261"/>
      <c r="P142" s="261"/>
    </row>
    <row r="143" spans="1:16" x14ac:dyDescent="0.25">
      <c r="A143" s="1033"/>
      <c r="B143" s="1034"/>
      <c r="C143" s="1035"/>
      <c r="D143" s="1035"/>
      <c r="E143" s="272" t="s">
        <v>13</v>
      </c>
      <c r="F143" s="261">
        <f>AVERAGE(F141:F142)</f>
        <v>85.5</v>
      </c>
      <c r="G143" s="288">
        <f t="shared" ref="G143:M143" si="48">AVERAGE(G141:G142)</f>
        <v>67.5</v>
      </c>
      <c r="H143" s="288">
        <f t="shared" si="48"/>
        <v>76</v>
      </c>
      <c r="I143" s="288">
        <f t="shared" si="48"/>
        <v>82.5</v>
      </c>
      <c r="J143" s="288">
        <f t="shared" si="48"/>
        <v>97</v>
      </c>
      <c r="K143" s="288">
        <f t="shared" si="48"/>
        <v>84</v>
      </c>
      <c r="L143" s="288">
        <f t="shared" si="48"/>
        <v>492.5</v>
      </c>
      <c r="M143" s="288">
        <f t="shared" si="48"/>
        <v>82.083333333333343</v>
      </c>
      <c r="N143" s="261"/>
      <c r="O143" s="261"/>
      <c r="P143" s="261"/>
    </row>
  </sheetData>
  <mergeCells count="186">
    <mergeCell ref="A42:A44"/>
    <mergeCell ref="B42:B44"/>
    <mergeCell ref="C42:C44"/>
    <mergeCell ref="D42:D44"/>
    <mergeCell ref="B27:B29"/>
    <mergeCell ref="C27:C29"/>
    <mergeCell ref="D27:D29"/>
    <mergeCell ref="A30:A32"/>
    <mergeCell ref="B30:B32"/>
    <mergeCell ref="C30:C32"/>
    <mergeCell ref="D30:D32"/>
    <mergeCell ref="D51:D53"/>
    <mergeCell ref="D54:D56"/>
    <mergeCell ref="A45:A47"/>
    <mergeCell ref="B45:B47"/>
    <mergeCell ref="C45:C47"/>
    <mergeCell ref="D45:D47"/>
    <mergeCell ref="A48:A50"/>
    <mergeCell ref="B48:B50"/>
    <mergeCell ref="C48:C50"/>
    <mergeCell ref="D48:D50"/>
    <mergeCell ref="A54:A56"/>
    <mergeCell ref="B54:B56"/>
    <mergeCell ref="C54:C56"/>
    <mergeCell ref="A57:A59"/>
    <mergeCell ref="B57:B59"/>
    <mergeCell ref="C57:C59"/>
    <mergeCell ref="A51:A53"/>
    <mergeCell ref="B51:B53"/>
    <mergeCell ref="C51:C53"/>
    <mergeCell ref="A81:A83"/>
    <mergeCell ref="B81:B83"/>
    <mergeCell ref="C81:C83"/>
    <mergeCell ref="A72:A74"/>
    <mergeCell ref="B72:B74"/>
    <mergeCell ref="C72:C74"/>
    <mergeCell ref="D81:D83"/>
    <mergeCell ref="A75:A77"/>
    <mergeCell ref="B75:B77"/>
    <mergeCell ref="C75:C77"/>
    <mergeCell ref="D75:D77"/>
    <mergeCell ref="A78:A80"/>
    <mergeCell ref="B78:B80"/>
    <mergeCell ref="C78:C80"/>
    <mergeCell ref="D78:D80"/>
    <mergeCell ref="A84:A86"/>
    <mergeCell ref="B84:B86"/>
    <mergeCell ref="C84:C86"/>
    <mergeCell ref="D84:D86"/>
    <mergeCell ref="A87:A89"/>
    <mergeCell ref="B87:B89"/>
    <mergeCell ref="C87:C89"/>
    <mergeCell ref="D87:D89"/>
    <mergeCell ref="A90:A92"/>
    <mergeCell ref="B90:B92"/>
    <mergeCell ref="C90:C92"/>
    <mergeCell ref="D90:D92"/>
    <mergeCell ref="A93:A95"/>
    <mergeCell ref="B93:B95"/>
    <mergeCell ref="C93:C95"/>
    <mergeCell ref="D93:D95"/>
    <mergeCell ref="A96:A98"/>
    <mergeCell ref="B96:B98"/>
    <mergeCell ref="C96:C98"/>
    <mergeCell ref="D96:D98"/>
    <mergeCell ref="A99:A101"/>
    <mergeCell ref="B99:B101"/>
    <mergeCell ref="C99:C101"/>
    <mergeCell ref="D99:D101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102:A104"/>
    <mergeCell ref="B102:B104"/>
    <mergeCell ref="C102:C104"/>
    <mergeCell ref="D102:D104"/>
    <mergeCell ref="A117:A119"/>
    <mergeCell ref="B117:B119"/>
    <mergeCell ref="C117:C119"/>
    <mergeCell ref="D117:D119"/>
    <mergeCell ref="A111:A113"/>
    <mergeCell ref="B111:B113"/>
    <mergeCell ref="C111:C113"/>
    <mergeCell ref="D111:D113"/>
    <mergeCell ref="A114:A116"/>
    <mergeCell ref="B114:B116"/>
    <mergeCell ref="C114:C116"/>
    <mergeCell ref="D114:D116"/>
    <mergeCell ref="A120:A122"/>
    <mergeCell ref="B120:B122"/>
    <mergeCell ref="C120:C122"/>
    <mergeCell ref="D120:D122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A138:A140"/>
    <mergeCell ref="B138:B140"/>
    <mergeCell ref="C138:C140"/>
    <mergeCell ref="D138:D140"/>
    <mergeCell ref="A141:A143"/>
    <mergeCell ref="B141:B143"/>
    <mergeCell ref="C141:C143"/>
    <mergeCell ref="D141:D143"/>
    <mergeCell ref="A129:A131"/>
    <mergeCell ref="B129:B131"/>
    <mergeCell ref="C129:C131"/>
    <mergeCell ref="D129:D131"/>
    <mergeCell ref="A132:A134"/>
    <mergeCell ref="B132:B134"/>
    <mergeCell ref="C132:C134"/>
    <mergeCell ref="D132:D134"/>
    <mergeCell ref="A135:A137"/>
    <mergeCell ref="B135:B137"/>
    <mergeCell ref="C135:C137"/>
    <mergeCell ref="D135:D137"/>
    <mergeCell ref="D57:D59"/>
    <mergeCell ref="A1:P1"/>
    <mergeCell ref="A3:P3"/>
    <mergeCell ref="A6:A8"/>
    <mergeCell ref="B6:B8"/>
    <mergeCell ref="C6:C8"/>
    <mergeCell ref="D6:D8"/>
    <mergeCell ref="A15:A17"/>
    <mergeCell ref="B15:B17"/>
    <mergeCell ref="C15:C17"/>
    <mergeCell ref="D15:D17"/>
    <mergeCell ref="A18:A20"/>
    <mergeCell ref="B18:B20"/>
    <mergeCell ref="C18:C20"/>
    <mergeCell ref="D18:D20"/>
    <mergeCell ref="A9:A11"/>
    <mergeCell ref="B9:B11"/>
    <mergeCell ref="C9:C11"/>
    <mergeCell ref="D9:D11"/>
    <mergeCell ref="A12:A14"/>
    <mergeCell ref="B12:B14"/>
    <mergeCell ref="C12:C14"/>
    <mergeCell ref="D12:D14"/>
    <mergeCell ref="A27:A29"/>
    <mergeCell ref="C21:C23"/>
    <mergeCell ref="D21:D23"/>
    <mergeCell ref="A24:A26"/>
    <mergeCell ref="B24:B26"/>
    <mergeCell ref="C24:C26"/>
    <mergeCell ref="D24:D26"/>
    <mergeCell ref="A39:A41"/>
    <mergeCell ref="B39:B41"/>
    <mergeCell ref="C39:C41"/>
    <mergeCell ref="D39:D41"/>
    <mergeCell ref="A33:A35"/>
    <mergeCell ref="B33:B35"/>
    <mergeCell ref="C33:C35"/>
    <mergeCell ref="D33:D35"/>
    <mergeCell ref="A36:A38"/>
    <mergeCell ref="B36:B38"/>
    <mergeCell ref="C36:C38"/>
    <mergeCell ref="D36:D38"/>
    <mergeCell ref="A21:A23"/>
    <mergeCell ref="B21:B23"/>
    <mergeCell ref="D72:D74"/>
    <mergeCell ref="D60:D62"/>
    <mergeCell ref="A63:A65"/>
    <mergeCell ref="B63:B65"/>
    <mergeCell ref="C63:C65"/>
    <mergeCell ref="D63:D65"/>
    <mergeCell ref="A66:A68"/>
    <mergeCell ref="B66:B68"/>
    <mergeCell ref="C66:C68"/>
    <mergeCell ref="D66:D68"/>
    <mergeCell ref="A60:A62"/>
    <mergeCell ref="B60:B62"/>
    <mergeCell ref="C60:C62"/>
    <mergeCell ref="A69:A71"/>
    <mergeCell ref="B69:B71"/>
    <mergeCell ref="C69:C71"/>
    <mergeCell ref="D69:D71"/>
  </mergeCells>
  <pageMargins left="0.7" right="0.7" top="0.75" bottom="0.75" header="0.3" footer="0.3"/>
  <pageSetup paperSize="9" scale="8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view="pageBreakPreview" zoomScale="60" zoomScaleNormal="100" workbookViewId="0">
      <selection activeCell="B4" sqref="B4:B49"/>
    </sheetView>
  </sheetViews>
  <sheetFormatPr defaultRowHeight="15" x14ac:dyDescent="0.25"/>
  <cols>
    <col min="1" max="1" width="6" customWidth="1"/>
    <col min="2" max="2" width="38.85546875" customWidth="1"/>
    <col min="3" max="3" width="5.5703125" customWidth="1"/>
    <col min="4" max="4" width="5.42578125" customWidth="1"/>
    <col min="8" max="8" width="9.7109375" customWidth="1"/>
  </cols>
  <sheetData>
    <row r="1" spans="1:15" ht="20.25" x14ac:dyDescent="0.25">
      <c r="A1" s="861" t="s">
        <v>58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</row>
    <row r="2" spans="1:15" ht="15.75" thickBot="1" x14ac:dyDescent="0.3">
      <c r="A2" s="864" t="s">
        <v>60</v>
      </c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  <c r="O2" s="864"/>
    </row>
    <row r="3" spans="1:15" ht="59.25" thickBot="1" x14ac:dyDescent="0.3">
      <c r="A3" s="322" t="s">
        <v>68</v>
      </c>
      <c r="B3" s="323" t="s">
        <v>1</v>
      </c>
      <c r="C3" s="324" t="s">
        <v>2</v>
      </c>
      <c r="D3" s="323" t="s">
        <v>3</v>
      </c>
      <c r="E3" s="325" t="s">
        <v>5</v>
      </c>
      <c r="F3" s="325" t="s">
        <v>6</v>
      </c>
      <c r="G3" s="325" t="s">
        <v>24</v>
      </c>
      <c r="H3" s="325" t="s">
        <v>74</v>
      </c>
      <c r="I3" s="325" t="s">
        <v>27</v>
      </c>
      <c r="J3" s="325" t="s">
        <v>26</v>
      </c>
      <c r="K3" s="325" t="s">
        <v>12</v>
      </c>
      <c r="L3" s="325" t="s">
        <v>13</v>
      </c>
      <c r="M3" s="325" t="s">
        <v>14</v>
      </c>
      <c r="N3" s="325" t="s">
        <v>15</v>
      </c>
      <c r="O3" s="326" t="s">
        <v>16</v>
      </c>
    </row>
    <row r="4" spans="1:15" ht="23.25" customHeight="1" thickBot="1" x14ac:dyDescent="0.3">
      <c r="A4" s="285">
        <v>1</v>
      </c>
      <c r="B4" s="391"/>
      <c r="C4" s="284"/>
      <c r="D4" s="284"/>
      <c r="E4" s="395">
        <v>87</v>
      </c>
      <c r="F4" s="396">
        <v>66</v>
      </c>
      <c r="G4" s="396">
        <v>80</v>
      </c>
      <c r="H4" s="396">
        <v>77</v>
      </c>
      <c r="I4" s="396">
        <v>82</v>
      </c>
      <c r="J4" s="396">
        <v>95</v>
      </c>
      <c r="K4" s="396">
        <v>487</v>
      </c>
      <c r="L4" s="397">
        <v>81.166666666666671</v>
      </c>
      <c r="M4" s="398">
        <v>9</v>
      </c>
      <c r="N4" s="280"/>
      <c r="O4" s="280"/>
    </row>
    <row r="5" spans="1:15" ht="28.5" customHeight="1" thickBot="1" x14ac:dyDescent="0.3">
      <c r="A5" s="286">
        <v>2</v>
      </c>
      <c r="B5" s="392"/>
      <c r="C5" s="284"/>
      <c r="D5" s="284"/>
      <c r="E5" s="395">
        <v>76</v>
      </c>
      <c r="F5" s="396">
        <v>53</v>
      </c>
      <c r="G5" s="396">
        <v>71</v>
      </c>
      <c r="H5" s="396">
        <v>71</v>
      </c>
      <c r="I5" s="396">
        <v>74</v>
      </c>
      <c r="J5" s="396">
        <v>95</v>
      </c>
      <c r="K5" s="396">
        <v>440</v>
      </c>
      <c r="L5" s="397">
        <v>73.333333333333329</v>
      </c>
      <c r="M5" s="398">
        <v>25</v>
      </c>
      <c r="N5" s="280"/>
      <c r="O5" s="280"/>
    </row>
    <row r="6" spans="1:15" ht="27" customHeight="1" thickBot="1" x14ac:dyDescent="0.3">
      <c r="A6" s="287">
        <v>3</v>
      </c>
      <c r="B6" s="392"/>
      <c r="C6" s="284"/>
      <c r="D6" s="284"/>
      <c r="E6" s="395">
        <v>97</v>
      </c>
      <c r="F6" s="396">
        <v>72</v>
      </c>
      <c r="G6" s="396">
        <v>83</v>
      </c>
      <c r="H6" s="396">
        <v>83</v>
      </c>
      <c r="I6" s="396">
        <v>82</v>
      </c>
      <c r="J6" s="396">
        <v>95</v>
      </c>
      <c r="K6" s="396">
        <v>512</v>
      </c>
      <c r="L6" s="397">
        <v>85.333333333333329</v>
      </c>
      <c r="M6" s="398">
        <v>6</v>
      </c>
      <c r="N6" s="280"/>
      <c r="O6" s="280"/>
    </row>
    <row r="7" spans="1:15" ht="27" customHeight="1" thickBot="1" x14ac:dyDescent="0.3">
      <c r="A7" s="286">
        <v>4</v>
      </c>
      <c r="B7" s="392"/>
      <c r="C7" s="284"/>
      <c r="D7" s="284"/>
      <c r="E7" s="395">
        <v>65</v>
      </c>
      <c r="F7" s="396">
        <v>50</v>
      </c>
      <c r="G7" s="396">
        <v>63</v>
      </c>
      <c r="H7" s="396">
        <v>50</v>
      </c>
      <c r="I7" s="396">
        <v>44</v>
      </c>
      <c r="J7" s="396">
        <v>95</v>
      </c>
      <c r="K7" s="396">
        <v>367</v>
      </c>
      <c r="L7" s="397">
        <v>61.166666666666664</v>
      </c>
      <c r="M7" s="398">
        <v>45</v>
      </c>
      <c r="N7" s="280"/>
      <c r="O7" s="280"/>
    </row>
    <row r="8" spans="1:15" ht="25.5" customHeight="1" thickBot="1" x14ac:dyDescent="0.3">
      <c r="A8" s="286">
        <v>5</v>
      </c>
      <c r="B8" s="392"/>
      <c r="C8" s="284"/>
      <c r="D8" s="284"/>
      <c r="E8" s="395">
        <v>67</v>
      </c>
      <c r="F8" s="396">
        <v>55</v>
      </c>
      <c r="G8" s="396">
        <v>63</v>
      </c>
      <c r="H8" s="396">
        <v>58</v>
      </c>
      <c r="I8" s="396">
        <v>54</v>
      </c>
      <c r="J8" s="396">
        <v>95</v>
      </c>
      <c r="K8" s="396">
        <v>392</v>
      </c>
      <c r="L8" s="397">
        <v>65.333333333333329</v>
      </c>
      <c r="M8" s="398">
        <v>37</v>
      </c>
      <c r="N8" s="280"/>
      <c r="O8" s="280"/>
    </row>
    <row r="9" spans="1:15" ht="26.25" customHeight="1" thickBot="1" x14ac:dyDescent="0.3">
      <c r="A9" s="287">
        <v>6</v>
      </c>
      <c r="B9" s="392"/>
      <c r="C9" s="284"/>
      <c r="D9" s="284"/>
      <c r="E9" s="395">
        <v>69</v>
      </c>
      <c r="F9" s="396">
        <v>43</v>
      </c>
      <c r="G9" s="396">
        <v>74</v>
      </c>
      <c r="H9" s="396">
        <v>72</v>
      </c>
      <c r="I9" s="396">
        <v>71</v>
      </c>
      <c r="J9" s="396">
        <v>95</v>
      </c>
      <c r="K9" s="396">
        <v>424</v>
      </c>
      <c r="L9" s="397">
        <v>70.666666666666671</v>
      </c>
      <c r="M9" s="398">
        <v>31</v>
      </c>
      <c r="N9" s="280"/>
      <c r="O9" s="280"/>
    </row>
    <row r="10" spans="1:15" ht="24.75" customHeight="1" thickBot="1" x14ac:dyDescent="0.3">
      <c r="A10" s="286">
        <v>7</v>
      </c>
      <c r="B10" s="392"/>
      <c r="C10" s="284"/>
      <c r="D10" s="284"/>
      <c r="E10" s="395">
        <v>63</v>
      </c>
      <c r="F10" s="396">
        <v>62</v>
      </c>
      <c r="G10" s="396">
        <v>61</v>
      </c>
      <c r="H10" s="396">
        <v>65</v>
      </c>
      <c r="I10" s="396">
        <v>71</v>
      </c>
      <c r="J10" s="396">
        <v>95</v>
      </c>
      <c r="K10" s="396">
        <v>417</v>
      </c>
      <c r="L10" s="397">
        <v>69.5</v>
      </c>
      <c r="M10" s="398">
        <v>34</v>
      </c>
      <c r="N10" s="280"/>
      <c r="O10" s="280"/>
    </row>
    <row r="11" spans="1:15" ht="28.5" customHeight="1" thickBot="1" x14ac:dyDescent="0.3">
      <c r="A11" s="286">
        <v>8</v>
      </c>
      <c r="B11" s="392"/>
      <c r="C11" s="284"/>
      <c r="D11" s="284"/>
      <c r="E11" s="395">
        <v>73</v>
      </c>
      <c r="F11" s="396">
        <v>58</v>
      </c>
      <c r="G11" s="396">
        <v>81</v>
      </c>
      <c r="H11" s="396">
        <v>67</v>
      </c>
      <c r="I11" s="396">
        <v>70</v>
      </c>
      <c r="J11" s="396">
        <v>95</v>
      </c>
      <c r="K11" s="396">
        <v>444</v>
      </c>
      <c r="L11" s="397">
        <v>74</v>
      </c>
      <c r="M11" s="398">
        <v>23</v>
      </c>
      <c r="N11" s="280"/>
      <c r="O11" s="280"/>
    </row>
    <row r="12" spans="1:15" ht="27" customHeight="1" thickBot="1" x14ac:dyDescent="0.3">
      <c r="A12" s="287">
        <v>9</v>
      </c>
      <c r="B12" s="392"/>
      <c r="C12" s="284"/>
      <c r="D12" s="284"/>
      <c r="E12" s="395">
        <v>90</v>
      </c>
      <c r="F12" s="396">
        <v>60</v>
      </c>
      <c r="G12" s="396">
        <v>85</v>
      </c>
      <c r="H12" s="396">
        <v>87</v>
      </c>
      <c r="I12" s="396">
        <v>90</v>
      </c>
      <c r="J12" s="396">
        <v>95</v>
      </c>
      <c r="K12" s="396">
        <v>507</v>
      </c>
      <c r="L12" s="397">
        <v>84.5</v>
      </c>
      <c r="M12" s="398">
        <v>7</v>
      </c>
      <c r="N12" s="280"/>
      <c r="O12" s="280"/>
    </row>
    <row r="13" spans="1:15" ht="28.5" customHeight="1" thickBot="1" x14ac:dyDescent="0.3">
      <c r="A13" s="286">
        <v>10</v>
      </c>
      <c r="B13" s="392"/>
      <c r="C13" s="284"/>
      <c r="D13" s="284"/>
      <c r="E13" s="395">
        <v>70</v>
      </c>
      <c r="F13" s="396">
        <v>45</v>
      </c>
      <c r="G13" s="396">
        <v>82</v>
      </c>
      <c r="H13" s="396">
        <v>83</v>
      </c>
      <c r="I13" s="396">
        <v>78</v>
      </c>
      <c r="J13" s="396">
        <v>95</v>
      </c>
      <c r="K13" s="396">
        <v>453</v>
      </c>
      <c r="L13" s="397">
        <v>75.5</v>
      </c>
      <c r="M13" s="398">
        <v>18</v>
      </c>
      <c r="N13" s="280"/>
      <c r="O13" s="280"/>
    </row>
    <row r="14" spans="1:15" ht="29.25" customHeight="1" thickBot="1" x14ac:dyDescent="0.3">
      <c r="A14" s="287">
        <v>11</v>
      </c>
      <c r="B14" s="392"/>
      <c r="C14" s="284"/>
      <c r="D14" s="284"/>
      <c r="E14" s="395">
        <v>60</v>
      </c>
      <c r="F14" s="396">
        <v>59</v>
      </c>
      <c r="G14" s="396">
        <v>64</v>
      </c>
      <c r="H14" s="396">
        <v>58</v>
      </c>
      <c r="I14" s="396">
        <v>51</v>
      </c>
      <c r="J14" s="396">
        <v>95</v>
      </c>
      <c r="K14" s="396">
        <v>387</v>
      </c>
      <c r="L14" s="397">
        <v>64.5</v>
      </c>
      <c r="M14" s="398">
        <v>40</v>
      </c>
      <c r="N14" s="280"/>
      <c r="O14" s="280"/>
    </row>
    <row r="15" spans="1:15" ht="25.5" customHeight="1" thickBot="1" x14ac:dyDescent="0.3">
      <c r="A15" s="287">
        <v>12</v>
      </c>
      <c r="B15" s="392"/>
      <c r="C15" s="284"/>
      <c r="D15" s="284"/>
      <c r="E15" s="395">
        <v>65</v>
      </c>
      <c r="F15" s="396">
        <v>51</v>
      </c>
      <c r="G15" s="396">
        <v>56</v>
      </c>
      <c r="H15" s="396">
        <v>68</v>
      </c>
      <c r="I15" s="396">
        <v>73</v>
      </c>
      <c r="J15" s="396">
        <v>95</v>
      </c>
      <c r="K15" s="396">
        <v>408</v>
      </c>
      <c r="L15" s="397">
        <v>68</v>
      </c>
      <c r="M15" s="398">
        <v>35</v>
      </c>
      <c r="N15" s="280"/>
      <c r="O15" s="280"/>
    </row>
    <row r="16" spans="1:15" ht="27" customHeight="1" thickBot="1" x14ac:dyDescent="0.3">
      <c r="A16" s="287">
        <v>13</v>
      </c>
      <c r="B16" s="392"/>
      <c r="C16" s="284"/>
      <c r="D16" s="284"/>
      <c r="E16" s="395">
        <v>64</v>
      </c>
      <c r="F16" s="396">
        <v>50</v>
      </c>
      <c r="G16" s="396">
        <v>64</v>
      </c>
      <c r="H16" s="396">
        <v>51</v>
      </c>
      <c r="I16" s="396">
        <v>55</v>
      </c>
      <c r="J16" s="396">
        <v>95</v>
      </c>
      <c r="K16" s="396">
        <v>379</v>
      </c>
      <c r="L16" s="397">
        <v>63.166666666666664</v>
      </c>
      <c r="M16" s="398">
        <v>42</v>
      </c>
      <c r="N16" s="280"/>
      <c r="O16" s="280"/>
    </row>
    <row r="17" spans="1:15" ht="27" customHeight="1" thickBot="1" x14ac:dyDescent="0.3">
      <c r="A17" s="286">
        <v>14</v>
      </c>
      <c r="B17" s="392"/>
      <c r="C17" s="284"/>
      <c r="D17" s="284"/>
      <c r="E17" s="395">
        <v>84</v>
      </c>
      <c r="F17" s="396">
        <v>76</v>
      </c>
      <c r="G17" s="396">
        <v>89</v>
      </c>
      <c r="H17" s="396">
        <v>91</v>
      </c>
      <c r="I17" s="396">
        <v>85</v>
      </c>
      <c r="J17" s="396">
        <v>95</v>
      </c>
      <c r="K17" s="396">
        <v>520</v>
      </c>
      <c r="L17" s="397">
        <v>86.666666666666671</v>
      </c>
      <c r="M17" s="398">
        <v>3</v>
      </c>
      <c r="N17" s="280"/>
      <c r="O17" s="280"/>
    </row>
    <row r="18" spans="1:15" ht="25.5" customHeight="1" thickBot="1" x14ac:dyDescent="0.3">
      <c r="A18" s="287">
        <v>15</v>
      </c>
      <c r="B18" s="392"/>
      <c r="C18" s="284"/>
      <c r="D18" s="284"/>
      <c r="E18" s="395">
        <v>87</v>
      </c>
      <c r="F18" s="396">
        <v>43</v>
      </c>
      <c r="G18" s="399">
        <v>74</v>
      </c>
      <c r="H18" s="396">
        <v>81</v>
      </c>
      <c r="I18" s="396">
        <v>69</v>
      </c>
      <c r="J18" s="396">
        <v>95</v>
      </c>
      <c r="K18" s="396">
        <v>449</v>
      </c>
      <c r="L18" s="397">
        <v>74.833333333333329</v>
      </c>
      <c r="M18" s="398">
        <v>21</v>
      </c>
      <c r="N18" s="280"/>
      <c r="O18" s="280"/>
    </row>
    <row r="19" spans="1:15" ht="29.25" customHeight="1" thickBot="1" x14ac:dyDescent="0.3">
      <c r="A19" s="286">
        <v>16</v>
      </c>
      <c r="B19" s="392"/>
      <c r="C19" s="284"/>
      <c r="D19" s="284"/>
      <c r="E19" s="395">
        <v>88</v>
      </c>
      <c r="F19" s="396">
        <v>53</v>
      </c>
      <c r="G19" s="396">
        <v>72</v>
      </c>
      <c r="H19" s="396">
        <v>64</v>
      </c>
      <c r="I19" s="396">
        <v>65</v>
      </c>
      <c r="J19" s="396">
        <v>95</v>
      </c>
      <c r="K19" s="396">
        <v>437</v>
      </c>
      <c r="L19" s="397">
        <v>72.833333333333329</v>
      </c>
      <c r="M19" s="398">
        <v>26</v>
      </c>
      <c r="N19" s="280"/>
      <c r="O19" s="280"/>
    </row>
    <row r="20" spans="1:15" ht="27" customHeight="1" thickBot="1" x14ac:dyDescent="0.3">
      <c r="A20" s="286">
        <v>17</v>
      </c>
      <c r="B20" s="392"/>
      <c r="C20" s="284"/>
      <c r="D20" s="284"/>
      <c r="E20" s="395">
        <v>67</v>
      </c>
      <c r="F20" s="396">
        <v>36</v>
      </c>
      <c r="G20" s="396">
        <v>62</v>
      </c>
      <c r="H20" s="396">
        <v>47</v>
      </c>
      <c r="I20" s="396">
        <v>55</v>
      </c>
      <c r="J20" s="396">
        <v>95</v>
      </c>
      <c r="K20" s="396">
        <v>362</v>
      </c>
      <c r="L20" s="397">
        <v>60.333333333333336</v>
      </c>
      <c r="M20" s="398">
        <v>46</v>
      </c>
      <c r="N20" s="280"/>
      <c r="O20" s="280"/>
    </row>
    <row r="21" spans="1:15" ht="24.75" customHeight="1" thickBot="1" x14ac:dyDescent="0.3">
      <c r="A21" s="286">
        <v>18</v>
      </c>
      <c r="B21" s="392"/>
      <c r="C21" s="284"/>
      <c r="D21" s="284"/>
      <c r="E21" s="395">
        <v>83</v>
      </c>
      <c r="F21" s="396">
        <v>55</v>
      </c>
      <c r="G21" s="399">
        <v>78</v>
      </c>
      <c r="H21" s="396">
        <v>68</v>
      </c>
      <c r="I21" s="396">
        <v>71</v>
      </c>
      <c r="J21" s="396">
        <v>95</v>
      </c>
      <c r="K21" s="396">
        <v>450</v>
      </c>
      <c r="L21" s="397">
        <v>75</v>
      </c>
      <c r="M21" s="398">
        <v>20</v>
      </c>
      <c r="N21" s="280"/>
      <c r="O21" s="280"/>
    </row>
    <row r="22" spans="1:15" ht="27" customHeight="1" thickBot="1" x14ac:dyDescent="0.3">
      <c r="A22" s="287">
        <v>19</v>
      </c>
      <c r="B22" s="392"/>
      <c r="C22" s="284"/>
      <c r="D22" s="284"/>
      <c r="E22" s="395">
        <v>65</v>
      </c>
      <c r="F22" s="396">
        <v>53</v>
      </c>
      <c r="G22" s="396">
        <v>52</v>
      </c>
      <c r="H22" s="396">
        <v>63</v>
      </c>
      <c r="I22" s="396">
        <v>41</v>
      </c>
      <c r="J22" s="396">
        <v>95</v>
      </c>
      <c r="K22" s="396">
        <v>369</v>
      </c>
      <c r="L22" s="397">
        <v>61.5</v>
      </c>
      <c r="M22" s="398">
        <v>44</v>
      </c>
      <c r="N22" s="280"/>
      <c r="O22" s="280"/>
    </row>
    <row r="23" spans="1:15" ht="26.25" customHeight="1" thickBot="1" x14ac:dyDescent="0.3">
      <c r="A23" s="287">
        <v>20</v>
      </c>
      <c r="B23" s="393"/>
      <c r="C23" s="284"/>
      <c r="D23" s="284"/>
      <c r="E23" s="395">
        <v>60</v>
      </c>
      <c r="F23" s="396">
        <v>62</v>
      </c>
      <c r="G23" s="396">
        <v>53</v>
      </c>
      <c r="H23" s="396">
        <v>56</v>
      </c>
      <c r="I23" s="396">
        <v>47</v>
      </c>
      <c r="J23" s="396">
        <v>95</v>
      </c>
      <c r="K23" s="396">
        <v>373</v>
      </c>
      <c r="L23" s="397">
        <v>62.166666666666664</v>
      </c>
      <c r="M23" s="398">
        <v>43</v>
      </c>
      <c r="N23" s="280"/>
      <c r="O23" s="280"/>
    </row>
    <row r="24" spans="1:15" ht="27" customHeight="1" thickBot="1" x14ac:dyDescent="0.3">
      <c r="A24" s="287">
        <v>21</v>
      </c>
      <c r="B24" s="394"/>
      <c r="C24" s="284"/>
      <c r="D24" s="284"/>
      <c r="E24" s="395">
        <v>70</v>
      </c>
      <c r="F24" s="396">
        <v>46</v>
      </c>
      <c r="G24" s="396">
        <v>69</v>
      </c>
      <c r="H24" s="396">
        <v>67</v>
      </c>
      <c r="I24" s="396">
        <v>75</v>
      </c>
      <c r="J24" s="396">
        <v>95</v>
      </c>
      <c r="K24" s="396">
        <v>422</v>
      </c>
      <c r="L24" s="397">
        <v>70.333333333333329</v>
      </c>
      <c r="M24" s="398">
        <v>32</v>
      </c>
      <c r="N24" s="280"/>
      <c r="O24" s="280"/>
    </row>
    <row r="25" spans="1:15" ht="28.5" customHeight="1" thickBot="1" x14ac:dyDescent="0.3">
      <c r="A25" s="286">
        <v>22</v>
      </c>
      <c r="B25" s="394"/>
      <c r="C25" s="284"/>
      <c r="D25" s="284"/>
      <c r="E25" s="395">
        <v>79</v>
      </c>
      <c r="F25" s="396">
        <v>52</v>
      </c>
      <c r="G25" s="396">
        <v>83</v>
      </c>
      <c r="H25" s="396">
        <v>82</v>
      </c>
      <c r="I25" s="396">
        <v>72</v>
      </c>
      <c r="J25" s="396">
        <v>95</v>
      </c>
      <c r="K25" s="396">
        <v>463</v>
      </c>
      <c r="L25" s="397">
        <v>77.166666666666671</v>
      </c>
      <c r="M25" s="398">
        <v>16</v>
      </c>
      <c r="N25" s="280"/>
      <c r="O25" s="280"/>
    </row>
    <row r="26" spans="1:15" ht="24" customHeight="1" thickBot="1" x14ac:dyDescent="0.3">
      <c r="A26" s="286">
        <v>23</v>
      </c>
      <c r="B26" s="394"/>
      <c r="C26" s="284"/>
      <c r="D26" s="284"/>
      <c r="E26" s="395">
        <v>86</v>
      </c>
      <c r="F26" s="396">
        <v>56</v>
      </c>
      <c r="G26" s="396">
        <v>82</v>
      </c>
      <c r="H26" s="396">
        <v>63</v>
      </c>
      <c r="I26" s="396">
        <v>67</v>
      </c>
      <c r="J26" s="396">
        <v>95</v>
      </c>
      <c r="K26" s="396">
        <v>449</v>
      </c>
      <c r="L26" s="397">
        <v>74.833333333333329</v>
      </c>
      <c r="M26" s="398">
        <v>21</v>
      </c>
      <c r="N26" s="280"/>
      <c r="O26" s="280"/>
    </row>
    <row r="27" spans="1:15" ht="23.25" customHeight="1" thickBot="1" x14ac:dyDescent="0.3">
      <c r="A27" s="287">
        <v>24</v>
      </c>
      <c r="B27" s="394"/>
      <c r="C27" s="284"/>
      <c r="D27" s="284"/>
      <c r="E27" s="395">
        <v>67</v>
      </c>
      <c r="F27" s="396">
        <v>50</v>
      </c>
      <c r="G27" s="399">
        <v>63</v>
      </c>
      <c r="H27" s="399">
        <v>59</v>
      </c>
      <c r="I27" s="396">
        <v>52</v>
      </c>
      <c r="J27" s="399">
        <v>95</v>
      </c>
      <c r="K27" s="396">
        <v>386</v>
      </c>
      <c r="L27" s="397">
        <v>64.333333333333329</v>
      </c>
      <c r="M27" s="398">
        <v>41</v>
      </c>
      <c r="N27" s="280"/>
      <c r="O27" s="280"/>
    </row>
    <row r="28" spans="1:15" ht="23.25" customHeight="1" thickBot="1" x14ac:dyDescent="0.3">
      <c r="A28" s="286">
        <v>25</v>
      </c>
      <c r="B28" s="394"/>
      <c r="C28" s="284"/>
      <c r="D28" s="284"/>
      <c r="E28" s="395">
        <v>60</v>
      </c>
      <c r="F28" s="399">
        <v>45</v>
      </c>
      <c r="G28" s="399">
        <v>66</v>
      </c>
      <c r="H28" s="396">
        <v>63</v>
      </c>
      <c r="I28" s="399">
        <v>66</v>
      </c>
      <c r="J28" s="396">
        <v>95</v>
      </c>
      <c r="K28" s="396">
        <v>395</v>
      </c>
      <c r="L28" s="397">
        <v>65.833333333333329</v>
      </c>
      <c r="M28" s="398">
        <v>36</v>
      </c>
      <c r="N28" s="280"/>
      <c r="O28" s="280"/>
    </row>
    <row r="29" spans="1:15" ht="23.25" customHeight="1" thickBot="1" x14ac:dyDescent="0.3">
      <c r="A29" s="287">
        <v>26</v>
      </c>
      <c r="B29" s="394"/>
      <c r="C29" s="284"/>
      <c r="D29" s="284"/>
      <c r="E29" s="395">
        <v>91</v>
      </c>
      <c r="F29" s="396">
        <v>79</v>
      </c>
      <c r="G29" s="396">
        <v>91</v>
      </c>
      <c r="H29" s="396">
        <v>92</v>
      </c>
      <c r="I29" s="396">
        <v>85</v>
      </c>
      <c r="J29" s="396">
        <v>95</v>
      </c>
      <c r="K29" s="396">
        <v>533</v>
      </c>
      <c r="L29" s="397">
        <v>88.833333333333329</v>
      </c>
      <c r="M29" s="398">
        <v>2</v>
      </c>
      <c r="N29" s="280"/>
      <c r="O29" s="280"/>
    </row>
    <row r="30" spans="1:15" ht="27" customHeight="1" thickBot="1" x14ac:dyDescent="0.3">
      <c r="A30" s="287">
        <v>27</v>
      </c>
      <c r="B30" s="394"/>
      <c r="C30" s="284"/>
      <c r="D30" s="284"/>
      <c r="E30" s="395">
        <v>90</v>
      </c>
      <c r="F30" s="396">
        <v>59</v>
      </c>
      <c r="G30" s="399">
        <v>82</v>
      </c>
      <c r="H30" s="396">
        <v>73</v>
      </c>
      <c r="I30" s="396">
        <v>88</v>
      </c>
      <c r="J30" s="396">
        <v>95</v>
      </c>
      <c r="K30" s="396">
        <v>487</v>
      </c>
      <c r="L30" s="397">
        <v>81.166666666666671</v>
      </c>
      <c r="M30" s="398">
        <v>9</v>
      </c>
      <c r="N30" s="280"/>
      <c r="O30" s="280"/>
    </row>
    <row r="31" spans="1:15" ht="27" customHeight="1" thickBot="1" x14ac:dyDescent="0.3">
      <c r="A31" s="287">
        <v>28</v>
      </c>
      <c r="B31" s="394"/>
      <c r="C31" s="284"/>
      <c r="D31" s="284"/>
      <c r="E31" s="395">
        <v>90</v>
      </c>
      <c r="F31" s="396">
        <v>92</v>
      </c>
      <c r="G31" s="396">
        <v>78</v>
      </c>
      <c r="H31" s="396">
        <v>73</v>
      </c>
      <c r="I31" s="396">
        <v>90</v>
      </c>
      <c r="J31" s="396">
        <v>95</v>
      </c>
      <c r="K31" s="396">
        <v>518</v>
      </c>
      <c r="L31" s="397">
        <v>86.333333333333329</v>
      </c>
      <c r="M31" s="398">
        <v>5</v>
      </c>
      <c r="N31" s="280"/>
      <c r="O31" s="280"/>
    </row>
    <row r="32" spans="1:15" ht="29.25" customHeight="1" thickBot="1" x14ac:dyDescent="0.3">
      <c r="A32" s="286">
        <v>29</v>
      </c>
      <c r="B32" s="394"/>
      <c r="C32" s="284"/>
      <c r="D32" s="284"/>
      <c r="E32" s="395">
        <v>85</v>
      </c>
      <c r="F32" s="396">
        <v>60</v>
      </c>
      <c r="G32" s="396">
        <v>81</v>
      </c>
      <c r="H32" s="396">
        <v>79</v>
      </c>
      <c r="I32" s="396">
        <v>76</v>
      </c>
      <c r="J32" s="396">
        <v>95</v>
      </c>
      <c r="K32" s="396">
        <v>476</v>
      </c>
      <c r="L32" s="397">
        <v>79.333333333333329</v>
      </c>
      <c r="M32" s="398">
        <v>11</v>
      </c>
      <c r="N32" s="280"/>
      <c r="O32" s="280"/>
    </row>
    <row r="33" spans="1:15" ht="24.75" customHeight="1" thickBot="1" x14ac:dyDescent="0.3">
      <c r="A33" s="287">
        <v>30</v>
      </c>
      <c r="B33" s="394"/>
      <c r="C33" s="284"/>
      <c r="D33" s="284"/>
      <c r="E33" s="395">
        <v>81</v>
      </c>
      <c r="F33" s="399">
        <v>64</v>
      </c>
      <c r="G33" s="399">
        <v>78</v>
      </c>
      <c r="H33" s="399">
        <v>79</v>
      </c>
      <c r="I33" s="396">
        <v>73</v>
      </c>
      <c r="J33" s="396">
        <v>95</v>
      </c>
      <c r="K33" s="396">
        <v>470</v>
      </c>
      <c r="L33" s="397">
        <v>78.333333333333329</v>
      </c>
      <c r="M33" s="398">
        <v>13</v>
      </c>
      <c r="N33" s="280"/>
      <c r="O33" s="280"/>
    </row>
    <row r="34" spans="1:15" ht="25.5" customHeight="1" thickBot="1" x14ac:dyDescent="0.3">
      <c r="A34" s="286">
        <v>31</v>
      </c>
      <c r="B34" s="394"/>
      <c r="C34" s="283"/>
      <c r="D34" s="283"/>
      <c r="E34" s="396">
        <v>65</v>
      </c>
      <c r="F34" s="396">
        <v>54</v>
      </c>
      <c r="G34" s="399">
        <v>61</v>
      </c>
      <c r="H34" s="396">
        <v>60</v>
      </c>
      <c r="I34" s="396">
        <v>53</v>
      </c>
      <c r="J34" s="396">
        <v>95</v>
      </c>
      <c r="K34" s="396">
        <v>388</v>
      </c>
      <c r="L34" s="397">
        <v>64.666666666666671</v>
      </c>
      <c r="M34" s="398">
        <v>39</v>
      </c>
      <c r="N34" s="280"/>
      <c r="O34" s="280"/>
    </row>
    <row r="35" spans="1:15" ht="25.5" customHeight="1" thickBot="1" x14ac:dyDescent="0.3">
      <c r="A35" s="286">
        <v>32</v>
      </c>
      <c r="B35" s="394"/>
      <c r="C35" s="282"/>
      <c r="D35" s="282"/>
      <c r="E35" s="396">
        <v>80</v>
      </c>
      <c r="F35" s="396">
        <v>65</v>
      </c>
      <c r="G35" s="396">
        <v>71</v>
      </c>
      <c r="H35" s="396">
        <v>76</v>
      </c>
      <c r="I35" s="396">
        <v>69</v>
      </c>
      <c r="J35" s="396">
        <v>95</v>
      </c>
      <c r="K35" s="396">
        <v>456</v>
      </c>
      <c r="L35" s="397">
        <v>76</v>
      </c>
      <c r="M35" s="398">
        <v>17</v>
      </c>
      <c r="N35" s="280"/>
      <c r="O35" s="280"/>
    </row>
    <row r="36" spans="1:15" ht="27.75" customHeight="1" thickBot="1" x14ac:dyDescent="0.3">
      <c r="A36" s="286">
        <v>33</v>
      </c>
      <c r="B36" s="394"/>
      <c r="C36" s="282"/>
      <c r="D36" s="282"/>
      <c r="E36" s="396">
        <v>67</v>
      </c>
      <c r="F36" s="396">
        <v>53</v>
      </c>
      <c r="G36" s="399">
        <v>71</v>
      </c>
      <c r="H36" s="396">
        <v>78</v>
      </c>
      <c r="I36" s="396">
        <v>66</v>
      </c>
      <c r="J36" s="396">
        <v>95</v>
      </c>
      <c r="K36" s="396">
        <v>430</v>
      </c>
      <c r="L36" s="397">
        <v>71.666666666666671</v>
      </c>
      <c r="M36" s="398">
        <v>28</v>
      </c>
      <c r="N36" s="280"/>
      <c r="O36" s="280"/>
    </row>
    <row r="37" spans="1:15" ht="29.25" customHeight="1" thickBot="1" x14ac:dyDescent="0.3">
      <c r="A37" s="287">
        <v>34</v>
      </c>
      <c r="B37" s="394"/>
      <c r="C37" s="282"/>
      <c r="D37" s="282"/>
      <c r="E37" s="396">
        <v>90</v>
      </c>
      <c r="F37" s="396">
        <v>79</v>
      </c>
      <c r="G37" s="396">
        <v>89</v>
      </c>
      <c r="H37" s="396">
        <v>85</v>
      </c>
      <c r="I37" s="396">
        <v>82</v>
      </c>
      <c r="J37" s="396">
        <v>95</v>
      </c>
      <c r="K37" s="396">
        <v>520</v>
      </c>
      <c r="L37" s="397">
        <v>86.666666666666671</v>
      </c>
      <c r="M37" s="398">
        <v>3</v>
      </c>
      <c r="N37" s="280"/>
      <c r="O37" s="280"/>
    </row>
    <row r="38" spans="1:15" ht="24.75" customHeight="1" thickBot="1" x14ac:dyDescent="0.3">
      <c r="A38" s="287">
        <v>35</v>
      </c>
      <c r="B38" s="394"/>
      <c r="C38" s="282"/>
      <c r="D38" s="282"/>
      <c r="E38" s="396">
        <v>70</v>
      </c>
      <c r="F38" s="396">
        <v>59</v>
      </c>
      <c r="G38" s="396">
        <v>68</v>
      </c>
      <c r="H38" s="396">
        <v>66</v>
      </c>
      <c r="I38" s="396">
        <v>64</v>
      </c>
      <c r="J38" s="396">
        <v>95</v>
      </c>
      <c r="K38" s="396">
        <v>422</v>
      </c>
      <c r="L38" s="397">
        <v>70.333333333333329</v>
      </c>
      <c r="M38" s="398">
        <v>32</v>
      </c>
      <c r="N38" s="280"/>
      <c r="O38" s="280"/>
    </row>
    <row r="39" spans="1:15" ht="27" customHeight="1" thickBot="1" x14ac:dyDescent="0.3">
      <c r="A39" s="287">
        <v>36</v>
      </c>
      <c r="B39" s="394"/>
      <c r="C39" s="282"/>
      <c r="D39" s="282"/>
      <c r="E39" s="396">
        <v>73</v>
      </c>
      <c r="F39" s="396">
        <v>42</v>
      </c>
      <c r="G39" s="399">
        <v>77</v>
      </c>
      <c r="H39" s="396">
        <v>67</v>
      </c>
      <c r="I39" s="396">
        <v>81</v>
      </c>
      <c r="J39" s="396">
        <v>95</v>
      </c>
      <c r="K39" s="396">
        <v>435</v>
      </c>
      <c r="L39" s="397">
        <v>72.5</v>
      </c>
      <c r="M39" s="398">
        <v>27</v>
      </c>
      <c r="N39" s="280"/>
      <c r="O39" s="280"/>
    </row>
    <row r="40" spans="1:15" ht="24.75" customHeight="1" thickBot="1" x14ac:dyDescent="0.3">
      <c r="A40" s="286">
        <v>37</v>
      </c>
      <c r="B40" s="394"/>
      <c r="C40" s="282"/>
      <c r="D40" s="282"/>
      <c r="E40" s="396">
        <v>74</v>
      </c>
      <c r="F40" s="396">
        <v>51</v>
      </c>
      <c r="G40" s="396">
        <v>76</v>
      </c>
      <c r="H40" s="396">
        <v>74</v>
      </c>
      <c r="I40" s="396">
        <v>83</v>
      </c>
      <c r="J40" s="396">
        <v>95</v>
      </c>
      <c r="K40" s="396">
        <v>453</v>
      </c>
      <c r="L40" s="397">
        <v>75.5</v>
      </c>
      <c r="M40" s="398">
        <v>18</v>
      </c>
      <c r="N40" s="280"/>
      <c r="O40" s="280"/>
    </row>
    <row r="41" spans="1:15" ht="26.25" customHeight="1" thickBot="1" x14ac:dyDescent="0.3">
      <c r="A41" s="286">
        <v>38</v>
      </c>
      <c r="B41" s="394"/>
      <c r="C41" s="282"/>
      <c r="D41" s="282"/>
      <c r="E41" s="396">
        <v>91</v>
      </c>
      <c r="F41" s="396">
        <v>90</v>
      </c>
      <c r="G41" s="396">
        <v>92</v>
      </c>
      <c r="H41" s="396">
        <v>92</v>
      </c>
      <c r="I41" s="396">
        <v>92</v>
      </c>
      <c r="J41" s="396">
        <v>95</v>
      </c>
      <c r="K41" s="396">
        <v>552</v>
      </c>
      <c r="L41" s="397">
        <v>92</v>
      </c>
      <c r="M41" s="398">
        <v>1</v>
      </c>
      <c r="N41" s="280"/>
      <c r="O41" s="280"/>
    </row>
    <row r="42" spans="1:15" ht="27" customHeight="1" thickBot="1" x14ac:dyDescent="0.3">
      <c r="A42" s="287">
        <v>39</v>
      </c>
      <c r="B42" s="394"/>
      <c r="C42" s="282"/>
      <c r="D42" s="282"/>
      <c r="E42" s="396">
        <v>76</v>
      </c>
      <c r="F42" s="396">
        <v>60</v>
      </c>
      <c r="G42" s="399">
        <v>72</v>
      </c>
      <c r="H42" s="396">
        <v>72</v>
      </c>
      <c r="I42" s="396">
        <v>55</v>
      </c>
      <c r="J42" s="396">
        <v>95</v>
      </c>
      <c r="K42" s="396">
        <v>430</v>
      </c>
      <c r="L42" s="400">
        <v>71.666666666666671</v>
      </c>
      <c r="M42" s="397">
        <v>28</v>
      </c>
      <c r="N42" s="280"/>
      <c r="O42" s="280"/>
    </row>
    <row r="43" spans="1:15" ht="25.5" customHeight="1" thickBot="1" x14ac:dyDescent="0.3">
      <c r="A43" s="286">
        <v>40</v>
      </c>
      <c r="B43" s="394"/>
      <c r="C43" s="282"/>
      <c r="D43" s="282"/>
      <c r="E43" s="396">
        <v>84</v>
      </c>
      <c r="F43" s="396">
        <v>64</v>
      </c>
      <c r="G43" s="396">
        <v>80</v>
      </c>
      <c r="H43" s="396">
        <v>81</v>
      </c>
      <c r="I43" s="396">
        <v>85</v>
      </c>
      <c r="J43" s="396">
        <v>95</v>
      </c>
      <c r="K43" s="396">
        <v>489</v>
      </c>
      <c r="L43" s="400">
        <v>81.5</v>
      </c>
      <c r="M43" s="397">
        <v>8</v>
      </c>
      <c r="N43" s="280"/>
      <c r="O43" s="280"/>
    </row>
    <row r="44" spans="1:15" ht="24.75" customHeight="1" thickBot="1" x14ac:dyDescent="0.3">
      <c r="A44" s="287">
        <v>41</v>
      </c>
      <c r="B44" s="394"/>
      <c r="C44" s="281"/>
      <c r="D44" s="281"/>
      <c r="E44" s="400">
        <v>80</v>
      </c>
      <c r="F44" s="400">
        <v>54</v>
      </c>
      <c r="G44" s="400">
        <v>75</v>
      </c>
      <c r="H44" s="400">
        <v>56</v>
      </c>
      <c r="I44" s="400">
        <v>67</v>
      </c>
      <c r="J44" s="400">
        <v>95</v>
      </c>
      <c r="K44" s="400">
        <v>427</v>
      </c>
      <c r="L44" s="400">
        <v>71.166666666666671</v>
      </c>
      <c r="M44" s="400">
        <v>30</v>
      </c>
      <c r="N44" s="280"/>
      <c r="O44" s="280"/>
    </row>
    <row r="45" spans="1:15" ht="25.5" customHeight="1" thickBot="1" x14ac:dyDescent="0.3">
      <c r="A45" s="286">
        <v>42</v>
      </c>
      <c r="B45" s="394"/>
      <c r="C45" s="281"/>
      <c r="D45" s="281"/>
      <c r="E45" s="400">
        <v>83</v>
      </c>
      <c r="F45" s="400">
        <v>61</v>
      </c>
      <c r="G45" s="400">
        <v>79</v>
      </c>
      <c r="H45" s="400">
        <v>74</v>
      </c>
      <c r="I45" s="400">
        <v>78</v>
      </c>
      <c r="J45" s="400">
        <v>95</v>
      </c>
      <c r="K45" s="400">
        <v>470</v>
      </c>
      <c r="L45" s="400">
        <v>78.333333333333329</v>
      </c>
      <c r="M45" s="400">
        <v>13</v>
      </c>
      <c r="N45" s="280"/>
      <c r="O45" s="280"/>
    </row>
    <row r="46" spans="1:15" ht="23.25" customHeight="1" thickBot="1" x14ac:dyDescent="0.3">
      <c r="A46" s="287">
        <v>43</v>
      </c>
      <c r="B46" s="394"/>
      <c r="C46" s="281"/>
      <c r="D46" s="281"/>
      <c r="E46" s="400">
        <v>83</v>
      </c>
      <c r="F46" s="400">
        <v>63</v>
      </c>
      <c r="G46" s="400">
        <v>79</v>
      </c>
      <c r="H46" s="400">
        <v>76</v>
      </c>
      <c r="I46" s="400">
        <v>73</v>
      </c>
      <c r="J46" s="400">
        <v>95</v>
      </c>
      <c r="K46" s="400">
        <v>469</v>
      </c>
      <c r="L46" s="400">
        <v>78.166666666666671</v>
      </c>
      <c r="M46" s="400">
        <v>15</v>
      </c>
      <c r="N46" s="280"/>
      <c r="O46" s="280"/>
    </row>
    <row r="47" spans="1:15" ht="25.5" customHeight="1" thickBot="1" x14ac:dyDescent="0.3">
      <c r="A47" s="286">
        <v>44</v>
      </c>
      <c r="B47" s="394"/>
      <c r="C47" s="281"/>
      <c r="D47" s="281"/>
      <c r="E47" s="400">
        <v>73</v>
      </c>
      <c r="F47" s="400">
        <v>67</v>
      </c>
      <c r="G47" s="400">
        <v>63</v>
      </c>
      <c r="H47" s="400">
        <v>74</v>
      </c>
      <c r="I47" s="400">
        <v>69</v>
      </c>
      <c r="J47" s="400">
        <v>95</v>
      </c>
      <c r="K47" s="400">
        <v>441</v>
      </c>
      <c r="L47" s="400">
        <v>73.5</v>
      </c>
      <c r="M47" s="400">
        <v>24</v>
      </c>
      <c r="N47" s="280"/>
      <c r="O47" s="280"/>
    </row>
    <row r="48" spans="1:15" ht="26.25" customHeight="1" thickBot="1" x14ac:dyDescent="0.3">
      <c r="A48" s="287">
        <v>45</v>
      </c>
      <c r="B48" s="394"/>
      <c r="C48" s="281"/>
      <c r="D48" s="281"/>
      <c r="E48" s="400">
        <v>66</v>
      </c>
      <c r="F48" s="400">
        <v>50</v>
      </c>
      <c r="G48" s="400">
        <v>62</v>
      </c>
      <c r="H48" s="400">
        <v>65</v>
      </c>
      <c r="I48" s="400">
        <v>52</v>
      </c>
      <c r="J48" s="400">
        <v>95</v>
      </c>
      <c r="K48" s="400">
        <v>390</v>
      </c>
      <c r="L48" s="400">
        <v>65</v>
      </c>
      <c r="M48" s="400">
        <v>38</v>
      </c>
      <c r="N48" s="280"/>
      <c r="O48" s="280"/>
    </row>
    <row r="49" spans="1:15" ht="23.25" customHeight="1" thickBot="1" x14ac:dyDescent="0.3">
      <c r="A49" s="286">
        <v>46</v>
      </c>
      <c r="B49" s="394"/>
      <c r="C49" s="281"/>
      <c r="D49" s="281"/>
      <c r="E49" s="400">
        <v>80</v>
      </c>
      <c r="F49" s="400">
        <v>61</v>
      </c>
      <c r="G49" s="400">
        <v>73</v>
      </c>
      <c r="H49" s="400">
        <v>79</v>
      </c>
      <c r="I49" s="400">
        <v>83</v>
      </c>
      <c r="J49" s="400">
        <v>95</v>
      </c>
      <c r="K49" s="400">
        <v>471</v>
      </c>
      <c r="L49" s="400">
        <v>78.5</v>
      </c>
      <c r="M49" s="400">
        <v>12</v>
      </c>
      <c r="N49" s="280"/>
      <c r="O49" s="280"/>
    </row>
  </sheetData>
  <mergeCells count="2">
    <mergeCell ref="A1:O1"/>
    <mergeCell ref="A2:O2"/>
  </mergeCells>
  <pageMargins left="0.7" right="0.7" top="0.75" bottom="0.75" header="0.3" footer="0.3"/>
  <pageSetup paperSize="9" scale="69" fitToWidth="0" fitToHeight="0" orientation="landscape" r:id="rId1"/>
  <rowBreaks count="1" manualBreakCount="1">
    <brk id="21" max="14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selection activeCell="B4" sqref="B4:B49"/>
    </sheetView>
  </sheetViews>
  <sheetFormatPr defaultRowHeight="15" x14ac:dyDescent="0.25"/>
  <cols>
    <col min="1" max="1" width="6.28515625" customWidth="1"/>
    <col min="2" max="2" width="31.42578125" customWidth="1"/>
    <col min="3" max="3" width="5.140625" customWidth="1"/>
    <col min="4" max="4" width="5.28515625" customWidth="1"/>
  </cols>
  <sheetData>
    <row r="1" spans="1:15" ht="20.25" x14ac:dyDescent="0.25">
      <c r="A1" s="861" t="s">
        <v>57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</row>
    <row r="2" spans="1:15" ht="15.75" thickBot="1" x14ac:dyDescent="0.3">
      <c r="A2" s="864" t="s">
        <v>61</v>
      </c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  <c r="O2" s="864"/>
    </row>
    <row r="3" spans="1:15" ht="57" thickBot="1" x14ac:dyDescent="0.3">
      <c r="A3" s="289" t="s">
        <v>32</v>
      </c>
      <c r="B3" s="289" t="s">
        <v>1</v>
      </c>
      <c r="C3" s="290" t="s">
        <v>2</v>
      </c>
      <c r="D3" s="289" t="s">
        <v>3</v>
      </c>
      <c r="E3" s="811" t="s">
        <v>5</v>
      </c>
      <c r="F3" s="811" t="s">
        <v>6</v>
      </c>
      <c r="G3" s="811" t="s">
        <v>23</v>
      </c>
      <c r="H3" s="811" t="s">
        <v>24</v>
      </c>
      <c r="I3" s="811" t="s">
        <v>10</v>
      </c>
      <c r="J3" s="811" t="s">
        <v>27</v>
      </c>
      <c r="K3" s="811" t="s">
        <v>12</v>
      </c>
      <c r="L3" s="811" t="s">
        <v>13</v>
      </c>
      <c r="M3" s="811" t="s">
        <v>14</v>
      </c>
      <c r="N3" s="811" t="s">
        <v>15</v>
      </c>
      <c r="O3" s="812" t="s">
        <v>16</v>
      </c>
    </row>
    <row r="4" spans="1:15" ht="15.75" thickBot="1" x14ac:dyDescent="0.3">
      <c r="A4" s="794">
        <v>1</v>
      </c>
      <c r="B4" s="813"/>
      <c r="C4" s="245"/>
      <c r="D4" s="245"/>
      <c r="E4" s="814">
        <v>91</v>
      </c>
      <c r="F4" s="815">
        <v>83</v>
      </c>
      <c r="G4" s="815">
        <v>72</v>
      </c>
      <c r="H4" s="815">
        <v>89</v>
      </c>
      <c r="I4" s="815">
        <v>97</v>
      </c>
      <c r="J4" s="815">
        <v>80</v>
      </c>
      <c r="K4" s="815">
        <v>512</v>
      </c>
      <c r="L4" s="816">
        <v>85.333333333333329</v>
      </c>
      <c r="M4" s="817">
        <f>RANK(L4,$L$4:$L$49)</f>
        <v>10</v>
      </c>
      <c r="N4" s="818"/>
      <c r="O4" s="819"/>
    </row>
    <row r="5" spans="1:15" ht="15.75" thickBot="1" x14ac:dyDescent="0.3">
      <c r="A5" s="795">
        <v>2</v>
      </c>
      <c r="B5" s="820"/>
      <c r="C5" s="245"/>
      <c r="D5" s="245"/>
      <c r="E5" s="814">
        <v>80</v>
      </c>
      <c r="F5" s="815">
        <v>63</v>
      </c>
      <c r="G5" s="815">
        <v>66</v>
      </c>
      <c r="H5" s="815">
        <v>89</v>
      </c>
      <c r="I5" s="815">
        <v>96</v>
      </c>
      <c r="J5" s="815">
        <v>68</v>
      </c>
      <c r="K5" s="815">
        <v>462</v>
      </c>
      <c r="L5" s="816">
        <v>77</v>
      </c>
      <c r="M5" s="817">
        <f t="shared" ref="M5:M49" si="0">RANK(L5,$L$4:$L$49)</f>
        <v>26</v>
      </c>
      <c r="N5" s="818"/>
      <c r="O5" s="818"/>
    </row>
    <row r="6" spans="1:15" ht="15.75" customHeight="1" thickBot="1" x14ac:dyDescent="0.3">
      <c r="A6" s="796">
        <v>3</v>
      </c>
      <c r="B6" s="820"/>
      <c r="C6" s="245"/>
      <c r="D6" s="245"/>
      <c r="E6" s="814">
        <v>97</v>
      </c>
      <c r="F6" s="815">
        <v>73</v>
      </c>
      <c r="G6" s="815">
        <v>87</v>
      </c>
      <c r="H6" s="815">
        <v>83</v>
      </c>
      <c r="I6" s="815">
        <v>99</v>
      </c>
      <c r="J6" s="815">
        <v>83</v>
      </c>
      <c r="K6" s="815">
        <v>522</v>
      </c>
      <c r="L6" s="816">
        <v>87</v>
      </c>
      <c r="M6" s="817">
        <f t="shared" si="0"/>
        <v>7</v>
      </c>
      <c r="N6" s="818"/>
      <c r="O6" s="818"/>
    </row>
    <row r="7" spans="1:15" ht="15.75" thickBot="1" x14ac:dyDescent="0.3">
      <c r="A7" s="795">
        <v>4</v>
      </c>
      <c r="B7" s="820"/>
      <c r="C7" s="245"/>
      <c r="D7" s="245"/>
      <c r="E7" s="814">
        <v>73</v>
      </c>
      <c r="F7" s="815">
        <v>54</v>
      </c>
      <c r="G7" s="815">
        <v>54</v>
      </c>
      <c r="H7" s="815">
        <v>70</v>
      </c>
      <c r="I7" s="815">
        <v>97</v>
      </c>
      <c r="J7" s="815">
        <v>57</v>
      </c>
      <c r="K7" s="815">
        <v>405</v>
      </c>
      <c r="L7" s="816">
        <v>67.5</v>
      </c>
      <c r="M7" s="817">
        <f t="shared" si="0"/>
        <v>40</v>
      </c>
      <c r="N7" s="818"/>
      <c r="O7" s="818"/>
    </row>
    <row r="8" spans="1:15" ht="15.75" thickBot="1" x14ac:dyDescent="0.3">
      <c r="A8" s="795">
        <v>5</v>
      </c>
      <c r="B8" s="820"/>
      <c r="C8" s="245"/>
      <c r="D8" s="245"/>
      <c r="E8" s="814">
        <v>75</v>
      </c>
      <c r="F8" s="815">
        <v>50</v>
      </c>
      <c r="G8" s="815">
        <v>53</v>
      </c>
      <c r="H8" s="815">
        <v>77</v>
      </c>
      <c r="I8" s="815">
        <v>96</v>
      </c>
      <c r="J8" s="815">
        <v>56</v>
      </c>
      <c r="K8" s="815">
        <v>407</v>
      </c>
      <c r="L8" s="816">
        <v>67.833333333333329</v>
      </c>
      <c r="M8" s="817">
        <f t="shared" si="0"/>
        <v>39</v>
      </c>
      <c r="N8" s="818"/>
      <c r="O8" s="818"/>
    </row>
    <row r="9" spans="1:15" ht="16.5" thickBot="1" x14ac:dyDescent="0.3">
      <c r="A9" s="796">
        <v>6</v>
      </c>
      <c r="B9" s="820"/>
      <c r="C9" s="245"/>
      <c r="D9" s="245"/>
      <c r="E9" s="814">
        <v>81</v>
      </c>
      <c r="F9" s="815">
        <v>50</v>
      </c>
      <c r="G9" s="815">
        <v>73</v>
      </c>
      <c r="H9" s="815">
        <v>74</v>
      </c>
      <c r="I9" s="815">
        <v>96</v>
      </c>
      <c r="J9" s="815">
        <v>65</v>
      </c>
      <c r="K9" s="815">
        <v>439</v>
      </c>
      <c r="L9" s="816">
        <v>73.166666666666671</v>
      </c>
      <c r="M9" s="817">
        <f t="shared" si="0"/>
        <v>30</v>
      </c>
      <c r="N9" s="818"/>
      <c r="O9" s="818"/>
    </row>
    <row r="10" spans="1:15" ht="15.75" thickBot="1" x14ac:dyDescent="0.3">
      <c r="A10" s="795">
        <v>7</v>
      </c>
      <c r="B10" s="820"/>
      <c r="C10" s="245"/>
      <c r="D10" s="245"/>
      <c r="E10" s="814">
        <v>73</v>
      </c>
      <c r="F10" s="815">
        <v>52</v>
      </c>
      <c r="G10" s="815">
        <v>56</v>
      </c>
      <c r="H10" s="815">
        <v>78</v>
      </c>
      <c r="I10" s="815">
        <v>98</v>
      </c>
      <c r="J10" s="815">
        <v>62</v>
      </c>
      <c r="K10" s="815">
        <v>419</v>
      </c>
      <c r="L10" s="816">
        <v>69.833333333333329</v>
      </c>
      <c r="M10" s="817">
        <f t="shared" si="0"/>
        <v>34</v>
      </c>
      <c r="N10" s="818"/>
      <c r="O10" s="818"/>
    </row>
    <row r="11" spans="1:15" ht="15.75" thickBot="1" x14ac:dyDescent="0.3">
      <c r="A11" s="795">
        <v>8</v>
      </c>
      <c r="B11" s="820"/>
      <c r="C11" s="245"/>
      <c r="D11" s="245"/>
      <c r="E11" s="814">
        <v>80</v>
      </c>
      <c r="F11" s="815">
        <v>65</v>
      </c>
      <c r="G11" s="815">
        <v>68</v>
      </c>
      <c r="H11" s="815">
        <v>85</v>
      </c>
      <c r="I11" s="815">
        <v>98</v>
      </c>
      <c r="J11" s="815">
        <v>72</v>
      </c>
      <c r="K11" s="815">
        <v>468</v>
      </c>
      <c r="L11" s="816">
        <v>78</v>
      </c>
      <c r="M11" s="817">
        <f t="shared" si="0"/>
        <v>23</v>
      </c>
      <c r="N11" s="818"/>
      <c r="O11" s="818"/>
    </row>
    <row r="12" spans="1:15" ht="16.5" thickBot="1" x14ac:dyDescent="0.3">
      <c r="A12" s="796">
        <v>9</v>
      </c>
      <c r="B12" s="820"/>
      <c r="C12" s="245"/>
      <c r="D12" s="245"/>
      <c r="E12" s="814">
        <v>92</v>
      </c>
      <c r="F12" s="815">
        <v>68</v>
      </c>
      <c r="G12" s="815">
        <v>88</v>
      </c>
      <c r="H12" s="815">
        <v>90</v>
      </c>
      <c r="I12" s="815">
        <v>99</v>
      </c>
      <c r="J12" s="815">
        <v>89</v>
      </c>
      <c r="K12" s="815">
        <v>526</v>
      </c>
      <c r="L12" s="816">
        <v>87.666666666666671</v>
      </c>
      <c r="M12" s="817">
        <f t="shared" si="0"/>
        <v>6</v>
      </c>
      <c r="N12" s="818"/>
      <c r="O12" s="818"/>
    </row>
    <row r="13" spans="1:15" ht="15.75" thickBot="1" x14ac:dyDescent="0.3">
      <c r="A13" s="795">
        <v>10</v>
      </c>
      <c r="B13" s="820"/>
      <c r="C13" s="245"/>
      <c r="D13" s="245"/>
      <c r="E13" s="291">
        <v>73</v>
      </c>
      <c r="F13" s="291">
        <v>60</v>
      </c>
      <c r="G13" s="291">
        <v>77</v>
      </c>
      <c r="H13" s="291">
        <v>87</v>
      </c>
      <c r="I13" s="291">
        <v>97</v>
      </c>
      <c r="J13" s="291">
        <v>77</v>
      </c>
      <c r="K13" s="291">
        <f t="shared" ref="K13:K49" si="1">SUM(E13:J13)</f>
        <v>471</v>
      </c>
      <c r="L13" s="824">
        <f t="shared" ref="L13:L49" si="2">AVERAGE(E13:J13)</f>
        <v>78.5</v>
      </c>
      <c r="M13" s="817">
        <f t="shared" si="0"/>
        <v>22</v>
      </c>
      <c r="N13" s="818"/>
      <c r="O13" s="818"/>
    </row>
    <row r="14" spans="1:15" ht="16.5" thickBot="1" x14ac:dyDescent="0.3">
      <c r="A14" s="796">
        <v>11</v>
      </c>
      <c r="B14" s="820"/>
      <c r="C14" s="245"/>
      <c r="D14" s="245"/>
      <c r="E14" s="291">
        <v>71</v>
      </c>
      <c r="F14" s="291">
        <v>50</v>
      </c>
      <c r="G14" s="291">
        <v>55</v>
      </c>
      <c r="H14" s="291">
        <v>72</v>
      </c>
      <c r="I14" s="291">
        <v>97</v>
      </c>
      <c r="J14" s="291">
        <v>50</v>
      </c>
      <c r="K14" s="291">
        <f t="shared" si="1"/>
        <v>395</v>
      </c>
      <c r="L14" s="275">
        <f t="shared" si="2"/>
        <v>65.833333333333329</v>
      </c>
      <c r="M14" s="817">
        <f t="shared" si="0"/>
        <v>44</v>
      </c>
      <c r="N14" s="818"/>
      <c r="O14" s="818"/>
    </row>
    <row r="15" spans="1:15" ht="16.5" thickBot="1" x14ac:dyDescent="0.3">
      <c r="A15" s="796">
        <v>12</v>
      </c>
      <c r="B15" s="820"/>
      <c r="C15" s="245"/>
      <c r="D15" s="245"/>
      <c r="E15" s="291">
        <v>71</v>
      </c>
      <c r="F15" s="291">
        <v>56</v>
      </c>
      <c r="G15" s="291">
        <v>56</v>
      </c>
      <c r="H15" s="291">
        <v>65</v>
      </c>
      <c r="I15" s="291">
        <v>96</v>
      </c>
      <c r="J15" s="291">
        <v>51</v>
      </c>
      <c r="K15" s="291">
        <f t="shared" si="1"/>
        <v>395</v>
      </c>
      <c r="L15" s="275">
        <f t="shared" si="2"/>
        <v>65.833333333333329</v>
      </c>
      <c r="M15" s="817">
        <f t="shared" si="0"/>
        <v>44</v>
      </c>
      <c r="N15" s="818"/>
      <c r="O15" s="818"/>
    </row>
    <row r="16" spans="1:15" ht="16.5" thickBot="1" x14ac:dyDescent="0.3">
      <c r="A16" s="796">
        <v>13</v>
      </c>
      <c r="B16" s="820"/>
      <c r="C16" s="245"/>
      <c r="D16" s="245"/>
      <c r="E16" s="291">
        <v>73</v>
      </c>
      <c r="F16" s="291">
        <v>50</v>
      </c>
      <c r="G16" s="291">
        <v>52</v>
      </c>
      <c r="H16" s="291">
        <v>70</v>
      </c>
      <c r="I16" s="291">
        <v>96</v>
      </c>
      <c r="J16" s="291">
        <v>58</v>
      </c>
      <c r="K16" s="291">
        <f t="shared" si="1"/>
        <v>399</v>
      </c>
      <c r="L16" s="275">
        <f t="shared" si="2"/>
        <v>66.5</v>
      </c>
      <c r="M16" s="817">
        <f t="shared" si="0"/>
        <v>43</v>
      </c>
      <c r="N16" s="818"/>
      <c r="O16" s="818"/>
    </row>
    <row r="17" spans="1:15" ht="15.75" thickBot="1" x14ac:dyDescent="0.3">
      <c r="A17" s="795">
        <v>14</v>
      </c>
      <c r="B17" s="820"/>
      <c r="C17" s="245"/>
      <c r="D17" s="245"/>
      <c r="E17" s="291">
        <v>92</v>
      </c>
      <c r="F17" s="291">
        <v>84</v>
      </c>
      <c r="G17" s="291">
        <v>86</v>
      </c>
      <c r="H17" s="291">
        <v>95</v>
      </c>
      <c r="I17" s="291">
        <v>100</v>
      </c>
      <c r="J17" s="291">
        <v>84</v>
      </c>
      <c r="K17" s="291">
        <f t="shared" si="1"/>
        <v>541</v>
      </c>
      <c r="L17" s="275">
        <f t="shared" si="2"/>
        <v>90.166666666666671</v>
      </c>
      <c r="M17" s="817">
        <f t="shared" si="0"/>
        <v>2</v>
      </c>
      <c r="N17" s="818"/>
      <c r="O17" s="818"/>
    </row>
    <row r="18" spans="1:15" ht="16.5" thickBot="1" x14ac:dyDescent="0.3">
      <c r="A18" s="796">
        <v>15</v>
      </c>
      <c r="B18" s="820"/>
      <c r="C18" s="245"/>
      <c r="D18" s="245"/>
      <c r="E18" s="291">
        <v>90</v>
      </c>
      <c r="F18" s="291">
        <v>69</v>
      </c>
      <c r="G18" s="292">
        <v>73</v>
      </c>
      <c r="H18" s="291">
        <v>79</v>
      </c>
      <c r="I18" s="291">
        <v>97</v>
      </c>
      <c r="J18" s="291">
        <v>82</v>
      </c>
      <c r="K18" s="291">
        <f t="shared" si="1"/>
        <v>490</v>
      </c>
      <c r="L18" s="275">
        <f t="shared" si="2"/>
        <v>81.666666666666671</v>
      </c>
      <c r="M18" s="817">
        <f t="shared" si="0"/>
        <v>15</v>
      </c>
      <c r="N18" s="818"/>
      <c r="O18" s="818"/>
    </row>
    <row r="19" spans="1:15" ht="15.75" thickBot="1" x14ac:dyDescent="0.3">
      <c r="A19" s="795">
        <v>16</v>
      </c>
      <c r="B19" s="820"/>
      <c r="C19" s="245"/>
      <c r="D19" s="245"/>
      <c r="E19" s="291">
        <v>90</v>
      </c>
      <c r="F19" s="291">
        <v>70</v>
      </c>
      <c r="G19" s="291">
        <v>64</v>
      </c>
      <c r="H19" s="291">
        <v>76</v>
      </c>
      <c r="I19" s="291">
        <v>98</v>
      </c>
      <c r="J19" s="291">
        <v>68</v>
      </c>
      <c r="K19" s="291">
        <f t="shared" si="1"/>
        <v>466</v>
      </c>
      <c r="L19" s="275">
        <f t="shared" si="2"/>
        <v>77.666666666666671</v>
      </c>
      <c r="M19" s="817">
        <f t="shared" si="0"/>
        <v>25</v>
      </c>
      <c r="N19" s="818"/>
      <c r="O19" s="818"/>
    </row>
    <row r="20" spans="1:15" ht="15.75" thickBot="1" x14ac:dyDescent="0.3">
      <c r="A20" s="795">
        <v>17</v>
      </c>
      <c r="B20" s="820"/>
      <c r="C20" s="245"/>
      <c r="D20" s="245"/>
      <c r="E20" s="291">
        <v>70</v>
      </c>
      <c r="F20" s="291">
        <v>44</v>
      </c>
      <c r="G20" s="291">
        <v>53</v>
      </c>
      <c r="H20" s="291">
        <v>75</v>
      </c>
      <c r="I20" s="291">
        <v>97</v>
      </c>
      <c r="J20" s="291">
        <v>47</v>
      </c>
      <c r="K20" s="291">
        <f t="shared" si="1"/>
        <v>386</v>
      </c>
      <c r="L20" s="275">
        <f t="shared" si="2"/>
        <v>64.333333333333329</v>
      </c>
      <c r="M20" s="817">
        <f t="shared" si="0"/>
        <v>46</v>
      </c>
      <c r="N20" s="818"/>
      <c r="O20" s="818"/>
    </row>
    <row r="21" spans="1:15" ht="15.75" thickBot="1" x14ac:dyDescent="0.3">
      <c r="A21" s="795">
        <v>18</v>
      </c>
      <c r="B21" s="820"/>
      <c r="C21" s="245"/>
      <c r="D21" s="245"/>
      <c r="E21" s="291">
        <v>90</v>
      </c>
      <c r="F21" s="291">
        <v>64</v>
      </c>
      <c r="G21" s="292">
        <v>69</v>
      </c>
      <c r="H21" s="291">
        <v>85</v>
      </c>
      <c r="I21" s="291">
        <v>97</v>
      </c>
      <c r="J21" s="291">
        <v>63</v>
      </c>
      <c r="K21" s="291">
        <f t="shared" si="1"/>
        <v>468</v>
      </c>
      <c r="L21" s="275">
        <f t="shared" si="2"/>
        <v>78</v>
      </c>
      <c r="M21" s="817">
        <f t="shared" si="0"/>
        <v>23</v>
      </c>
      <c r="N21" s="818"/>
      <c r="O21" s="818"/>
    </row>
    <row r="22" spans="1:15" ht="20.25" customHeight="1" thickBot="1" x14ac:dyDescent="0.3">
      <c r="A22" s="796">
        <v>19</v>
      </c>
      <c r="B22" s="820"/>
      <c r="C22" s="245"/>
      <c r="D22" s="245"/>
      <c r="E22" s="291">
        <v>71</v>
      </c>
      <c r="F22" s="291">
        <v>52</v>
      </c>
      <c r="G22" s="291">
        <v>53</v>
      </c>
      <c r="H22" s="291">
        <v>70</v>
      </c>
      <c r="I22" s="291">
        <v>96</v>
      </c>
      <c r="J22" s="291">
        <v>58</v>
      </c>
      <c r="K22" s="291">
        <f t="shared" si="1"/>
        <v>400</v>
      </c>
      <c r="L22" s="275">
        <f t="shared" si="2"/>
        <v>66.666666666666671</v>
      </c>
      <c r="M22" s="817">
        <f t="shared" si="0"/>
        <v>42</v>
      </c>
      <c r="N22" s="818"/>
      <c r="O22" s="818"/>
    </row>
    <row r="23" spans="1:15" ht="21" customHeight="1" thickBot="1" x14ac:dyDescent="0.3">
      <c r="A23" s="796">
        <v>20</v>
      </c>
      <c r="B23" s="821"/>
      <c r="C23" s="245"/>
      <c r="D23" s="245"/>
      <c r="E23" s="291">
        <v>72</v>
      </c>
      <c r="F23" s="291">
        <v>51</v>
      </c>
      <c r="G23" s="291">
        <v>58</v>
      </c>
      <c r="H23" s="291">
        <v>70</v>
      </c>
      <c r="I23" s="291">
        <v>96</v>
      </c>
      <c r="J23" s="291">
        <v>62</v>
      </c>
      <c r="K23" s="291">
        <f t="shared" si="1"/>
        <v>409</v>
      </c>
      <c r="L23" s="275">
        <f t="shared" si="2"/>
        <v>68.166666666666671</v>
      </c>
      <c r="M23" s="817">
        <f t="shared" si="0"/>
        <v>38</v>
      </c>
      <c r="N23" s="818"/>
      <c r="O23" s="818"/>
    </row>
    <row r="24" spans="1:15" ht="16.5" thickBot="1" x14ac:dyDescent="0.3">
      <c r="A24" s="796">
        <v>21</v>
      </c>
      <c r="B24" s="822"/>
      <c r="C24" s="245"/>
      <c r="D24" s="245"/>
      <c r="E24" s="291">
        <v>80</v>
      </c>
      <c r="F24" s="291">
        <v>57</v>
      </c>
      <c r="G24" s="291">
        <v>69</v>
      </c>
      <c r="H24" s="291">
        <v>82</v>
      </c>
      <c r="I24" s="291">
        <v>97</v>
      </c>
      <c r="J24" s="291">
        <v>70</v>
      </c>
      <c r="K24" s="291">
        <f t="shared" si="1"/>
        <v>455</v>
      </c>
      <c r="L24" s="275">
        <f t="shared" si="2"/>
        <v>75.833333333333329</v>
      </c>
      <c r="M24" s="817">
        <f t="shared" si="0"/>
        <v>27</v>
      </c>
      <c r="N24" s="818"/>
      <c r="O24" s="818"/>
    </row>
    <row r="25" spans="1:15" ht="15.75" thickBot="1" x14ac:dyDescent="0.3">
      <c r="A25" s="795">
        <v>22</v>
      </c>
      <c r="B25" s="822"/>
      <c r="C25" s="245"/>
      <c r="D25" s="245"/>
      <c r="E25" s="291">
        <v>81</v>
      </c>
      <c r="F25" s="291">
        <v>50</v>
      </c>
      <c r="G25" s="291">
        <v>81</v>
      </c>
      <c r="H25" s="291">
        <v>89</v>
      </c>
      <c r="I25" s="291">
        <v>98</v>
      </c>
      <c r="J25" s="291">
        <v>75</v>
      </c>
      <c r="K25" s="291">
        <f t="shared" si="1"/>
        <v>474</v>
      </c>
      <c r="L25" s="275">
        <f t="shared" si="2"/>
        <v>79</v>
      </c>
      <c r="M25" s="817">
        <f t="shared" si="0"/>
        <v>18</v>
      </c>
      <c r="N25" s="818"/>
      <c r="O25" s="818"/>
    </row>
    <row r="26" spans="1:15" ht="15.75" thickBot="1" x14ac:dyDescent="0.3">
      <c r="A26" s="795">
        <v>23</v>
      </c>
      <c r="B26" s="822"/>
      <c r="C26" s="245"/>
      <c r="D26" s="245"/>
      <c r="E26" s="291">
        <v>91</v>
      </c>
      <c r="F26" s="291">
        <v>61</v>
      </c>
      <c r="G26" s="291">
        <v>71</v>
      </c>
      <c r="H26" s="291">
        <v>85</v>
      </c>
      <c r="I26" s="291">
        <v>97</v>
      </c>
      <c r="J26" s="291">
        <v>68</v>
      </c>
      <c r="K26" s="291">
        <f t="shared" si="1"/>
        <v>473</v>
      </c>
      <c r="L26" s="275">
        <f t="shared" si="2"/>
        <v>78.833333333333329</v>
      </c>
      <c r="M26" s="817">
        <f t="shared" si="0"/>
        <v>19</v>
      </c>
      <c r="N26" s="818"/>
      <c r="O26" s="818"/>
    </row>
    <row r="27" spans="1:15" ht="16.5" thickBot="1" x14ac:dyDescent="0.3">
      <c r="A27" s="796">
        <v>24</v>
      </c>
      <c r="B27" s="822"/>
      <c r="C27" s="245"/>
      <c r="D27" s="245"/>
      <c r="E27" s="291">
        <v>75</v>
      </c>
      <c r="F27" s="291">
        <v>55</v>
      </c>
      <c r="G27" s="292">
        <v>58</v>
      </c>
      <c r="H27" s="292">
        <v>72</v>
      </c>
      <c r="I27" s="291">
        <v>97</v>
      </c>
      <c r="J27" s="292">
        <v>62</v>
      </c>
      <c r="K27" s="291">
        <f t="shared" si="1"/>
        <v>419</v>
      </c>
      <c r="L27" s="275">
        <f t="shared" si="2"/>
        <v>69.833333333333329</v>
      </c>
      <c r="M27" s="817">
        <f t="shared" si="0"/>
        <v>34</v>
      </c>
      <c r="N27" s="818"/>
      <c r="O27" s="818"/>
    </row>
    <row r="28" spans="1:15" ht="15.75" thickBot="1" x14ac:dyDescent="0.3">
      <c r="A28" s="795">
        <v>25</v>
      </c>
      <c r="B28" s="822"/>
      <c r="C28" s="245"/>
      <c r="D28" s="245"/>
      <c r="E28" s="291">
        <v>74</v>
      </c>
      <c r="F28" s="292">
        <v>59</v>
      </c>
      <c r="G28" s="292">
        <v>56</v>
      </c>
      <c r="H28" s="291">
        <v>74</v>
      </c>
      <c r="I28" s="292">
        <v>96</v>
      </c>
      <c r="J28" s="291">
        <v>69</v>
      </c>
      <c r="K28" s="291">
        <f t="shared" si="1"/>
        <v>428</v>
      </c>
      <c r="L28" s="275">
        <f t="shared" si="2"/>
        <v>71.333333333333329</v>
      </c>
      <c r="M28" s="817">
        <f t="shared" si="0"/>
        <v>33</v>
      </c>
      <c r="N28" s="818"/>
      <c r="O28" s="818"/>
    </row>
    <row r="29" spans="1:15" ht="16.5" thickBot="1" x14ac:dyDescent="0.3">
      <c r="A29" s="796">
        <v>26</v>
      </c>
      <c r="B29" s="822"/>
      <c r="C29" s="245"/>
      <c r="D29" s="245"/>
      <c r="E29" s="291">
        <v>92</v>
      </c>
      <c r="F29" s="291">
        <v>83</v>
      </c>
      <c r="G29" s="291">
        <v>84</v>
      </c>
      <c r="H29" s="291">
        <v>96</v>
      </c>
      <c r="I29" s="291">
        <v>100</v>
      </c>
      <c r="J29" s="291">
        <v>80</v>
      </c>
      <c r="K29" s="291">
        <f t="shared" si="1"/>
        <v>535</v>
      </c>
      <c r="L29" s="275">
        <f t="shared" si="2"/>
        <v>89.166666666666671</v>
      </c>
      <c r="M29" s="817">
        <f t="shared" si="0"/>
        <v>4</v>
      </c>
      <c r="N29" s="818"/>
      <c r="O29" s="818"/>
    </row>
    <row r="30" spans="1:15" ht="16.5" thickBot="1" x14ac:dyDescent="0.3">
      <c r="A30" s="796">
        <v>27</v>
      </c>
      <c r="B30" s="822"/>
      <c r="C30" s="245"/>
      <c r="D30" s="245"/>
      <c r="E30" s="291">
        <v>92</v>
      </c>
      <c r="F30" s="291">
        <v>76</v>
      </c>
      <c r="G30" s="292">
        <v>74</v>
      </c>
      <c r="H30" s="291">
        <v>94</v>
      </c>
      <c r="I30" s="291">
        <v>97</v>
      </c>
      <c r="J30" s="291">
        <v>86</v>
      </c>
      <c r="K30" s="291">
        <f t="shared" si="1"/>
        <v>519</v>
      </c>
      <c r="L30" s="275">
        <f t="shared" si="2"/>
        <v>86.5</v>
      </c>
      <c r="M30" s="817">
        <f t="shared" si="0"/>
        <v>8</v>
      </c>
      <c r="N30" s="818"/>
      <c r="O30" s="818"/>
    </row>
    <row r="31" spans="1:15" ht="16.5" thickBot="1" x14ac:dyDescent="0.3">
      <c r="A31" s="796">
        <v>28</v>
      </c>
      <c r="B31" s="822"/>
      <c r="C31" s="245"/>
      <c r="D31" s="245"/>
      <c r="E31" s="291">
        <v>94</v>
      </c>
      <c r="F31" s="291">
        <v>93</v>
      </c>
      <c r="G31" s="291">
        <v>68</v>
      </c>
      <c r="H31" s="291">
        <v>91</v>
      </c>
      <c r="I31" s="291">
        <v>99</v>
      </c>
      <c r="J31" s="291">
        <v>89</v>
      </c>
      <c r="K31" s="291">
        <f t="shared" si="1"/>
        <v>534</v>
      </c>
      <c r="L31" s="275">
        <f t="shared" si="2"/>
        <v>89</v>
      </c>
      <c r="M31" s="817">
        <f t="shared" si="0"/>
        <v>5</v>
      </c>
      <c r="N31" s="818"/>
      <c r="O31" s="818"/>
    </row>
    <row r="32" spans="1:15" ht="15.75" thickBot="1" x14ac:dyDescent="0.3">
      <c r="A32" s="795">
        <v>29</v>
      </c>
      <c r="B32" s="822"/>
      <c r="C32" s="245"/>
      <c r="D32" s="245"/>
      <c r="E32" s="291">
        <v>90</v>
      </c>
      <c r="F32" s="291">
        <v>78</v>
      </c>
      <c r="G32" s="291">
        <v>71</v>
      </c>
      <c r="H32" s="291">
        <v>92</v>
      </c>
      <c r="I32" s="291">
        <v>99</v>
      </c>
      <c r="J32" s="291">
        <v>75</v>
      </c>
      <c r="K32" s="291">
        <f t="shared" si="1"/>
        <v>505</v>
      </c>
      <c r="L32" s="275">
        <f t="shared" si="2"/>
        <v>84.166666666666671</v>
      </c>
      <c r="M32" s="817">
        <f t="shared" si="0"/>
        <v>12</v>
      </c>
      <c r="N32" s="818"/>
      <c r="O32" s="818"/>
    </row>
    <row r="33" spans="1:15" ht="16.5" thickBot="1" x14ac:dyDescent="0.3">
      <c r="A33" s="796">
        <v>30</v>
      </c>
      <c r="B33" s="822"/>
      <c r="C33" s="245"/>
      <c r="D33" s="245"/>
      <c r="E33" s="291">
        <v>87</v>
      </c>
      <c r="F33" s="292">
        <v>73</v>
      </c>
      <c r="G33" s="292">
        <v>79</v>
      </c>
      <c r="H33" s="292">
        <v>89</v>
      </c>
      <c r="I33" s="291">
        <v>96</v>
      </c>
      <c r="J33" s="291">
        <v>82</v>
      </c>
      <c r="K33" s="291">
        <f t="shared" si="1"/>
        <v>506</v>
      </c>
      <c r="L33" s="275">
        <f t="shared" si="2"/>
        <v>84.333333333333329</v>
      </c>
      <c r="M33" s="817">
        <f t="shared" si="0"/>
        <v>11</v>
      </c>
      <c r="N33" s="818"/>
      <c r="O33" s="818"/>
    </row>
    <row r="34" spans="1:15" ht="15.75" thickBot="1" x14ac:dyDescent="0.3">
      <c r="A34" s="795">
        <v>31</v>
      </c>
      <c r="B34" s="822"/>
      <c r="C34" s="135"/>
      <c r="D34" s="135"/>
      <c r="E34" s="291">
        <v>73</v>
      </c>
      <c r="F34" s="291">
        <v>50</v>
      </c>
      <c r="G34" s="292">
        <v>56</v>
      </c>
      <c r="H34" s="291">
        <v>72</v>
      </c>
      <c r="I34" s="291">
        <v>96</v>
      </c>
      <c r="J34" s="291">
        <v>56</v>
      </c>
      <c r="K34" s="291">
        <f t="shared" si="1"/>
        <v>403</v>
      </c>
      <c r="L34" s="275">
        <f t="shared" si="2"/>
        <v>67.166666666666671</v>
      </c>
      <c r="M34" s="817">
        <f t="shared" si="0"/>
        <v>41</v>
      </c>
      <c r="N34" s="818"/>
      <c r="O34" s="818"/>
    </row>
    <row r="35" spans="1:15" ht="15.75" thickBot="1" x14ac:dyDescent="0.3">
      <c r="A35" s="795">
        <v>32</v>
      </c>
      <c r="B35" s="822"/>
      <c r="C35" s="170"/>
      <c r="D35" s="170"/>
      <c r="E35" s="291">
        <v>90</v>
      </c>
      <c r="F35" s="291">
        <v>66</v>
      </c>
      <c r="G35" s="291">
        <v>71</v>
      </c>
      <c r="H35" s="291">
        <v>79</v>
      </c>
      <c r="I35" s="291">
        <v>97</v>
      </c>
      <c r="J35" s="291">
        <v>70</v>
      </c>
      <c r="K35" s="291">
        <f t="shared" si="1"/>
        <v>473</v>
      </c>
      <c r="L35" s="275">
        <f t="shared" si="2"/>
        <v>78.833333333333329</v>
      </c>
      <c r="M35" s="817">
        <f t="shared" si="0"/>
        <v>19</v>
      </c>
      <c r="N35" s="818"/>
      <c r="O35" s="818"/>
    </row>
    <row r="36" spans="1:15" ht="15.75" thickBot="1" x14ac:dyDescent="0.3">
      <c r="A36" s="795">
        <v>33</v>
      </c>
      <c r="B36" s="822"/>
      <c r="C36" s="170"/>
      <c r="D36" s="170"/>
      <c r="E36" s="291">
        <v>73</v>
      </c>
      <c r="F36" s="291">
        <v>56</v>
      </c>
      <c r="G36" s="292">
        <v>62</v>
      </c>
      <c r="H36" s="291">
        <v>79</v>
      </c>
      <c r="I36" s="291">
        <v>97</v>
      </c>
      <c r="J36" s="291">
        <v>65</v>
      </c>
      <c r="K36" s="291">
        <f t="shared" si="1"/>
        <v>432</v>
      </c>
      <c r="L36" s="275">
        <f t="shared" si="2"/>
        <v>72</v>
      </c>
      <c r="M36" s="817">
        <f t="shared" si="0"/>
        <v>32</v>
      </c>
      <c r="N36" s="818"/>
      <c r="O36" s="818"/>
    </row>
    <row r="37" spans="1:15" ht="16.5" thickBot="1" x14ac:dyDescent="0.3">
      <c r="A37" s="796">
        <v>34</v>
      </c>
      <c r="B37" s="822"/>
      <c r="C37" s="170"/>
      <c r="D37" s="170"/>
      <c r="E37" s="291">
        <v>92</v>
      </c>
      <c r="F37" s="291">
        <v>86</v>
      </c>
      <c r="G37" s="291">
        <v>85</v>
      </c>
      <c r="H37" s="291">
        <v>94</v>
      </c>
      <c r="I37" s="291">
        <v>100</v>
      </c>
      <c r="J37" s="291">
        <v>83</v>
      </c>
      <c r="K37" s="291">
        <f t="shared" si="1"/>
        <v>540</v>
      </c>
      <c r="L37" s="275">
        <f t="shared" si="2"/>
        <v>90</v>
      </c>
      <c r="M37" s="817">
        <f t="shared" si="0"/>
        <v>3</v>
      </c>
      <c r="N37" s="818"/>
      <c r="O37" s="818"/>
    </row>
    <row r="38" spans="1:15" ht="16.5" thickBot="1" x14ac:dyDescent="0.3">
      <c r="A38" s="796">
        <v>35</v>
      </c>
      <c r="B38" s="822"/>
      <c r="C38" s="170"/>
      <c r="D38" s="170"/>
      <c r="E38" s="291">
        <v>76</v>
      </c>
      <c r="F38" s="291">
        <v>51</v>
      </c>
      <c r="G38" s="291">
        <v>57</v>
      </c>
      <c r="H38" s="291">
        <v>75</v>
      </c>
      <c r="I38" s="291">
        <v>96</v>
      </c>
      <c r="J38" s="291">
        <v>60</v>
      </c>
      <c r="K38" s="291">
        <f t="shared" si="1"/>
        <v>415</v>
      </c>
      <c r="L38" s="275">
        <f t="shared" si="2"/>
        <v>69.166666666666671</v>
      </c>
      <c r="M38" s="817">
        <f t="shared" si="0"/>
        <v>36</v>
      </c>
      <c r="N38" s="818"/>
      <c r="O38" s="818"/>
    </row>
    <row r="39" spans="1:15" ht="16.5" thickBot="1" x14ac:dyDescent="0.3">
      <c r="A39" s="796">
        <v>36</v>
      </c>
      <c r="B39" s="822"/>
      <c r="C39" s="170"/>
      <c r="D39" s="170"/>
      <c r="E39" s="291">
        <v>80</v>
      </c>
      <c r="F39" s="291">
        <v>56</v>
      </c>
      <c r="G39" s="292">
        <v>75</v>
      </c>
      <c r="H39" s="291">
        <v>89</v>
      </c>
      <c r="I39" s="291">
        <v>98</v>
      </c>
      <c r="J39" s="291">
        <v>75</v>
      </c>
      <c r="K39" s="291">
        <f t="shared" si="1"/>
        <v>473</v>
      </c>
      <c r="L39" s="275">
        <f t="shared" si="2"/>
        <v>78.833333333333329</v>
      </c>
      <c r="M39" s="817">
        <f t="shared" si="0"/>
        <v>19</v>
      </c>
      <c r="N39" s="818"/>
      <c r="O39" s="818"/>
    </row>
    <row r="40" spans="1:15" ht="15.75" thickBot="1" x14ac:dyDescent="0.3">
      <c r="A40" s="795">
        <v>37</v>
      </c>
      <c r="B40" s="822"/>
      <c r="C40" s="170"/>
      <c r="D40" s="170"/>
      <c r="E40" s="291">
        <v>80</v>
      </c>
      <c r="F40" s="291">
        <v>55</v>
      </c>
      <c r="G40" s="291">
        <v>79</v>
      </c>
      <c r="H40" s="291">
        <v>90</v>
      </c>
      <c r="I40" s="291">
        <v>98</v>
      </c>
      <c r="J40" s="291">
        <v>76</v>
      </c>
      <c r="K40" s="291">
        <f t="shared" si="1"/>
        <v>478</v>
      </c>
      <c r="L40" s="275">
        <f t="shared" si="2"/>
        <v>79.666666666666671</v>
      </c>
      <c r="M40" s="817">
        <f t="shared" si="0"/>
        <v>17</v>
      </c>
      <c r="N40" s="818"/>
      <c r="O40" s="818"/>
    </row>
    <row r="41" spans="1:15" ht="15.75" thickBot="1" x14ac:dyDescent="0.3">
      <c r="A41" s="795">
        <v>38</v>
      </c>
      <c r="B41" s="822"/>
      <c r="C41" s="170"/>
      <c r="D41" s="170"/>
      <c r="E41" s="291">
        <v>96</v>
      </c>
      <c r="F41" s="291">
        <v>93</v>
      </c>
      <c r="G41" s="291">
        <v>91</v>
      </c>
      <c r="H41" s="291">
        <v>96</v>
      </c>
      <c r="I41" s="291">
        <v>100</v>
      </c>
      <c r="J41" s="291">
        <v>96</v>
      </c>
      <c r="K41" s="291">
        <f t="shared" si="1"/>
        <v>572</v>
      </c>
      <c r="L41" s="275">
        <f t="shared" si="2"/>
        <v>95.333333333333329</v>
      </c>
      <c r="M41" s="817">
        <f t="shared" si="0"/>
        <v>1</v>
      </c>
      <c r="N41" s="818"/>
      <c r="O41" s="818"/>
    </row>
    <row r="42" spans="1:15" ht="16.5" thickBot="1" x14ac:dyDescent="0.3">
      <c r="A42" s="796">
        <v>39</v>
      </c>
      <c r="B42" s="822"/>
      <c r="C42" s="170"/>
      <c r="D42" s="170"/>
      <c r="E42" s="288">
        <v>81</v>
      </c>
      <c r="F42" s="288">
        <v>50</v>
      </c>
      <c r="G42" s="288">
        <v>70</v>
      </c>
      <c r="H42" s="288">
        <v>80</v>
      </c>
      <c r="I42" s="288">
        <v>96</v>
      </c>
      <c r="J42" s="288">
        <v>60</v>
      </c>
      <c r="K42" s="288">
        <f t="shared" si="1"/>
        <v>437</v>
      </c>
      <c r="L42" s="275">
        <f t="shared" si="2"/>
        <v>72.833333333333329</v>
      </c>
      <c r="M42" s="817">
        <f t="shared" si="0"/>
        <v>31</v>
      </c>
      <c r="N42" s="818"/>
      <c r="O42" s="818"/>
    </row>
    <row r="43" spans="1:15" ht="15.75" thickBot="1" x14ac:dyDescent="0.3">
      <c r="A43" s="795">
        <v>40</v>
      </c>
      <c r="B43" s="822"/>
      <c r="C43" s="170"/>
      <c r="D43" s="170"/>
      <c r="E43" s="288">
        <v>90</v>
      </c>
      <c r="F43" s="288">
        <v>55</v>
      </c>
      <c r="G43" s="288">
        <v>85</v>
      </c>
      <c r="H43" s="288">
        <v>91</v>
      </c>
      <c r="I43" s="288">
        <v>100</v>
      </c>
      <c r="J43" s="288">
        <v>83</v>
      </c>
      <c r="K43" s="288">
        <f t="shared" si="1"/>
        <v>504</v>
      </c>
      <c r="L43" s="275">
        <f t="shared" si="2"/>
        <v>84</v>
      </c>
      <c r="M43" s="817">
        <f t="shared" si="0"/>
        <v>13</v>
      </c>
      <c r="N43" s="818"/>
      <c r="O43" s="818"/>
    </row>
    <row r="44" spans="1:15" ht="16.5" thickBot="1" x14ac:dyDescent="0.3">
      <c r="A44" s="796">
        <v>41</v>
      </c>
      <c r="B44" s="822"/>
      <c r="C44" s="296"/>
      <c r="D44" s="296"/>
      <c r="E44" s="288">
        <v>86</v>
      </c>
      <c r="F44" s="288">
        <v>50</v>
      </c>
      <c r="G44" s="288">
        <v>61</v>
      </c>
      <c r="H44" s="288">
        <v>85</v>
      </c>
      <c r="I44" s="288">
        <v>96</v>
      </c>
      <c r="J44" s="288">
        <v>68</v>
      </c>
      <c r="K44" s="288">
        <f t="shared" si="1"/>
        <v>446</v>
      </c>
      <c r="L44" s="275">
        <f t="shared" si="2"/>
        <v>74.333333333333329</v>
      </c>
      <c r="M44" s="817">
        <f t="shared" si="0"/>
        <v>29</v>
      </c>
      <c r="N44" s="818"/>
      <c r="O44" s="818"/>
    </row>
    <row r="45" spans="1:15" ht="15.75" thickBot="1" x14ac:dyDescent="0.3">
      <c r="A45" s="795">
        <v>42</v>
      </c>
      <c r="B45" s="822"/>
      <c r="C45" s="296"/>
      <c r="D45" s="296"/>
      <c r="E45" s="288">
        <v>86</v>
      </c>
      <c r="F45" s="288">
        <v>66</v>
      </c>
      <c r="G45" s="288">
        <v>81</v>
      </c>
      <c r="H45" s="288">
        <v>89</v>
      </c>
      <c r="I45" s="288">
        <v>99</v>
      </c>
      <c r="J45" s="288">
        <v>73</v>
      </c>
      <c r="K45" s="288">
        <f t="shared" si="1"/>
        <v>494</v>
      </c>
      <c r="L45" s="275">
        <f t="shared" si="2"/>
        <v>82.333333333333329</v>
      </c>
      <c r="M45" s="817">
        <f t="shared" si="0"/>
        <v>14</v>
      </c>
      <c r="N45" s="818"/>
      <c r="O45" s="818"/>
    </row>
    <row r="46" spans="1:15" ht="16.5" thickBot="1" x14ac:dyDescent="0.3">
      <c r="A46" s="255">
        <v>43</v>
      </c>
      <c r="B46" s="822"/>
      <c r="C46" s="296"/>
      <c r="D46" s="296"/>
      <c r="E46" s="288">
        <v>90</v>
      </c>
      <c r="F46" s="288">
        <v>68</v>
      </c>
      <c r="G46" s="288">
        <v>71</v>
      </c>
      <c r="H46" s="288">
        <v>89</v>
      </c>
      <c r="I46" s="288">
        <v>97</v>
      </c>
      <c r="J46" s="288">
        <v>66</v>
      </c>
      <c r="K46" s="288">
        <f t="shared" si="1"/>
        <v>481</v>
      </c>
      <c r="L46" s="275">
        <f t="shared" si="2"/>
        <v>80.166666666666671</v>
      </c>
      <c r="M46" s="817">
        <f t="shared" si="0"/>
        <v>16</v>
      </c>
      <c r="N46" s="818"/>
      <c r="O46" s="818"/>
    </row>
    <row r="47" spans="1:15" ht="15.75" thickBot="1" x14ac:dyDescent="0.3">
      <c r="A47" s="245">
        <v>44</v>
      </c>
      <c r="B47" s="822"/>
      <c r="C47" s="296"/>
      <c r="D47" s="296"/>
      <c r="E47" s="288">
        <v>80</v>
      </c>
      <c r="F47" s="288">
        <v>72</v>
      </c>
      <c r="G47" s="288">
        <v>70</v>
      </c>
      <c r="H47" s="288">
        <v>72</v>
      </c>
      <c r="I47" s="288">
        <v>96</v>
      </c>
      <c r="J47" s="288">
        <v>62</v>
      </c>
      <c r="K47" s="288">
        <f t="shared" si="1"/>
        <v>452</v>
      </c>
      <c r="L47" s="275">
        <f t="shared" si="2"/>
        <v>75.333333333333329</v>
      </c>
      <c r="M47" s="817">
        <f t="shared" si="0"/>
        <v>28</v>
      </c>
      <c r="N47" s="818"/>
      <c r="O47" s="818"/>
    </row>
    <row r="48" spans="1:15" ht="16.5" thickBot="1" x14ac:dyDescent="0.3">
      <c r="A48" s="255">
        <v>45</v>
      </c>
      <c r="B48" s="822"/>
      <c r="C48" s="296"/>
      <c r="D48" s="296"/>
      <c r="E48" s="288">
        <v>71</v>
      </c>
      <c r="F48" s="288">
        <v>54</v>
      </c>
      <c r="G48" s="288">
        <v>51</v>
      </c>
      <c r="H48" s="288">
        <v>74</v>
      </c>
      <c r="I48" s="288">
        <v>97</v>
      </c>
      <c r="J48" s="288">
        <v>65</v>
      </c>
      <c r="K48" s="288">
        <f t="shared" si="1"/>
        <v>412</v>
      </c>
      <c r="L48" s="275">
        <f t="shared" si="2"/>
        <v>68.666666666666671</v>
      </c>
      <c r="M48" s="817">
        <f t="shared" si="0"/>
        <v>37</v>
      </c>
      <c r="N48" s="818"/>
      <c r="O48" s="818"/>
    </row>
    <row r="49" spans="1:15" ht="15.75" thickBot="1" x14ac:dyDescent="0.3">
      <c r="A49" s="245">
        <v>46</v>
      </c>
      <c r="B49" s="822"/>
      <c r="C49" s="296"/>
      <c r="D49" s="296"/>
      <c r="E49" s="288">
        <v>91</v>
      </c>
      <c r="F49" s="288">
        <v>74</v>
      </c>
      <c r="G49" s="61">
        <v>79</v>
      </c>
      <c r="H49" s="288">
        <v>86</v>
      </c>
      <c r="I49" s="288">
        <v>99</v>
      </c>
      <c r="J49" s="288">
        <v>85</v>
      </c>
      <c r="K49" s="288">
        <f t="shared" si="1"/>
        <v>514</v>
      </c>
      <c r="L49" s="275">
        <f t="shared" si="2"/>
        <v>85.666666666666671</v>
      </c>
      <c r="M49" s="817">
        <f t="shared" si="0"/>
        <v>9</v>
      </c>
      <c r="N49" s="818"/>
      <c r="O49" s="818"/>
    </row>
  </sheetData>
  <mergeCells count="2">
    <mergeCell ref="A1:O1"/>
    <mergeCell ref="A2:O2"/>
  </mergeCells>
  <pageMargins left="0.7" right="0.7" top="0.75" bottom="0.75" header="0.3" footer="0.3"/>
  <pageSetup paperSize="9" scale="8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40" workbookViewId="0">
      <selection activeCell="B49" sqref="B4:B49"/>
    </sheetView>
  </sheetViews>
  <sheetFormatPr defaultRowHeight="15" x14ac:dyDescent="0.25"/>
  <cols>
    <col min="1" max="1" width="5.28515625" customWidth="1"/>
    <col min="2" max="2" width="37.5703125" customWidth="1"/>
    <col min="5" max="5" width="13.28515625" customWidth="1"/>
    <col min="6" max="6" width="14.140625" customWidth="1"/>
    <col min="7" max="7" width="10.5703125" customWidth="1"/>
  </cols>
  <sheetData>
    <row r="1" spans="1:8" ht="18.75" x14ac:dyDescent="0.25">
      <c r="A1" s="1039" t="s">
        <v>58</v>
      </c>
      <c r="B1" s="1040"/>
      <c r="C1" s="1040"/>
      <c r="D1" s="1040"/>
      <c r="E1" s="1040"/>
      <c r="F1" s="1040"/>
      <c r="G1" s="1040"/>
      <c r="H1" s="1040"/>
    </row>
    <row r="2" spans="1:8" ht="18" x14ac:dyDescent="0.25">
      <c r="A2" s="1041" t="s">
        <v>108</v>
      </c>
      <c r="B2" s="1042"/>
      <c r="C2" s="1042"/>
      <c r="D2" s="1042"/>
      <c r="E2" s="1042"/>
      <c r="F2" s="1042"/>
      <c r="G2" s="1042"/>
      <c r="H2" s="1042"/>
    </row>
    <row r="3" spans="1:8" ht="38.25" thickBot="1" x14ac:dyDescent="0.3">
      <c r="A3" s="667" t="s">
        <v>97</v>
      </c>
      <c r="B3" s="667" t="s">
        <v>1</v>
      </c>
      <c r="C3" s="668" t="s">
        <v>2</v>
      </c>
      <c r="D3" s="667" t="s">
        <v>3</v>
      </c>
      <c r="E3" s="668" t="s">
        <v>35</v>
      </c>
      <c r="F3" s="668" t="s">
        <v>36</v>
      </c>
      <c r="G3" s="668" t="s">
        <v>13</v>
      </c>
      <c r="H3" s="667" t="s">
        <v>14</v>
      </c>
    </row>
    <row r="4" spans="1:8" ht="18.75" x14ac:dyDescent="0.25">
      <c r="A4" s="797">
        <v>1</v>
      </c>
      <c r="B4" s="798"/>
      <c r="C4" s="798"/>
      <c r="D4" s="798"/>
      <c r="E4" s="802">
        <v>81.166666666666671</v>
      </c>
      <c r="F4" s="802">
        <v>85.333333333333329</v>
      </c>
      <c r="G4" s="802">
        <f>AVERAGE(E4:F4)</f>
        <v>83.25</v>
      </c>
      <c r="H4" s="803">
        <f>RANK(G4,$G$4:$G$49)</f>
        <v>9</v>
      </c>
    </row>
    <row r="5" spans="1:8" ht="18.75" x14ac:dyDescent="0.25">
      <c r="A5" s="799">
        <v>2</v>
      </c>
      <c r="B5" s="798"/>
      <c r="C5" s="798"/>
      <c r="D5" s="798"/>
      <c r="E5" s="802">
        <v>73.333333333333329</v>
      </c>
      <c r="F5" s="802">
        <v>77</v>
      </c>
      <c r="G5" s="802">
        <f t="shared" ref="G5:G49" si="0">AVERAGE(E5:F5)</f>
        <v>75.166666666666657</v>
      </c>
      <c r="H5" s="803">
        <f t="shared" ref="H5:H49" si="1">RANK(G5,$G$4:$G$49)</f>
        <v>26</v>
      </c>
    </row>
    <row r="6" spans="1:8" ht="18.75" x14ac:dyDescent="0.25">
      <c r="A6" s="799">
        <v>3</v>
      </c>
      <c r="B6" s="798"/>
      <c r="C6" s="798"/>
      <c r="D6" s="798"/>
      <c r="E6" s="802">
        <v>85.333333333333329</v>
      </c>
      <c r="F6" s="802">
        <v>87</v>
      </c>
      <c r="G6" s="802">
        <f t="shared" si="0"/>
        <v>86.166666666666657</v>
      </c>
      <c r="H6" s="803">
        <f t="shared" si="1"/>
        <v>6</v>
      </c>
    </row>
    <row r="7" spans="1:8" ht="18.75" x14ac:dyDescent="0.25">
      <c r="A7" s="799">
        <v>4</v>
      </c>
      <c r="B7" s="798"/>
      <c r="C7" s="798"/>
      <c r="D7" s="798"/>
      <c r="E7" s="802">
        <v>61.166666666666664</v>
      </c>
      <c r="F7" s="802">
        <v>67.5</v>
      </c>
      <c r="G7" s="802">
        <f t="shared" si="0"/>
        <v>64.333333333333329</v>
      </c>
      <c r="H7" s="803">
        <f t="shared" si="1"/>
        <v>44</v>
      </c>
    </row>
    <row r="8" spans="1:8" ht="23.25" customHeight="1" x14ac:dyDescent="0.25">
      <c r="A8" s="799">
        <v>5</v>
      </c>
      <c r="B8" s="798"/>
      <c r="C8" s="798"/>
      <c r="D8" s="798"/>
      <c r="E8" s="802">
        <v>65.333333333333329</v>
      </c>
      <c r="F8" s="802">
        <v>67.833333333333329</v>
      </c>
      <c r="G8" s="802">
        <f t="shared" si="0"/>
        <v>66.583333333333329</v>
      </c>
      <c r="H8" s="803">
        <f t="shared" si="1"/>
        <v>39</v>
      </c>
    </row>
    <row r="9" spans="1:8" ht="18.75" x14ac:dyDescent="0.25">
      <c r="A9" s="799">
        <v>6</v>
      </c>
      <c r="B9" s="798"/>
      <c r="C9" s="798"/>
      <c r="D9" s="798"/>
      <c r="E9" s="802">
        <v>70.666666666666671</v>
      </c>
      <c r="F9" s="802">
        <v>73.166666666666671</v>
      </c>
      <c r="G9" s="802">
        <f t="shared" si="0"/>
        <v>71.916666666666671</v>
      </c>
      <c r="H9" s="803">
        <f t="shared" si="1"/>
        <v>31</v>
      </c>
    </row>
    <row r="10" spans="1:8" ht="18.75" x14ac:dyDescent="0.25">
      <c r="A10" s="799">
        <v>7</v>
      </c>
      <c r="B10" s="798"/>
      <c r="C10" s="798"/>
      <c r="D10" s="798"/>
      <c r="E10" s="802">
        <v>69.5</v>
      </c>
      <c r="F10" s="802">
        <v>69.833333333333329</v>
      </c>
      <c r="G10" s="802">
        <f t="shared" si="0"/>
        <v>69.666666666666657</v>
      </c>
      <c r="H10" s="803">
        <f t="shared" si="1"/>
        <v>34</v>
      </c>
    </row>
    <row r="11" spans="1:8" ht="18.75" x14ac:dyDescent="0.25">
      <c r="A11" s="799">
        <v>8</v>
      </c>
      <c r="B11" s="798"/>
      <c r="C11" s="798"/>
      <c r="D11" s="798"/>
      <c r="E11" s="802">
        <v>74</v>
      </c>
      <c r="F11" s="802">
        <v>78</v>
      </c>
      <c r="G11" s="802">
        <f t="shared" si="0"/>
        <v>76</v>
      </c>
      <c r="H11" s="803">
        <f t="shared" si="1"/>
        <v>23</v>
      </c>
    </row>
    <row r="12" spans="1:8" ht="18.75" x14ac:dyDescent="0.25">
      <c r="A12" s="799">
        <v>9</v>
      </c>
      <c r="B12" s="798"/>
      <c r="C12" s="798"/>
      <c r="D12" s="798"/>
      <c r="E12" s="802">
        <v>84.5</v>
      </c>
      <c r="F12" s="802">
        <v>87.666666666666671</v>
      </c>
      <c r="G12" s="802">
        <f t="shared" si="0"/>
        <v>86.083333333333343</v>
      </c>
      <c r="H12" s="803">
        <f t="shared" si="1"/>
        <v>7</v>
      </c>
    </row>
    <row r="13" spans="1:8" ht="18.75" x14ac:dyDescent="0.25">
      <c r="A13" s="799">
        <v>10</v>
      </c>
      <c r="B13" s="798"/>
      <c r="C13" s="798"/>
      <c r="D13" s="798"/>
      <c r="E13" s="802">
        <v>75.5</v>
      </c>
      <c r="F13" s="802">
        <v>78.5</v>
      </c>
      <c r="G13" s="802">
        <f t="shared" si="0"/>
        <v>77</v>
      </c>
      <c r="H13" s="803">
        <f t="shared" si="1"/>
        <v>20</v>
      </c>
    </row>
    <row r="14" spans="1:8" ht="18.75" x14ac:dyDescent="0.25">
      <c r="A14" s="799">
        <v>11</v>
      </c>
      <c r="B14" s="798"/>
      <c r="C14" s="798"/>
      <c r="D14" s="798"/>
      <c r="E14" s="802">
        <v>64.5</v>
      </c>
      <c r="F14" s="802">
        <v>65.833333333333329</v>
      </c>
      <c r="G14" s="802">
        <f t="shared" si="0"/>
        <v>65.166666666666657</v>
      </c>
      <c r="H14" s="803">
        <f t="shared" si="1"/>
        <v>42</v>
      </c>
    </row>
    <row r="15" spans="1:8" ht="18.75" x14ac:dyDescent="0.25">
      <c r="A15" s="799">
        <v>12</v>
      </c>
      <c r="B15" s="798"/>
      <c r="C15" s="798"/>
      <c r="D15" s="798"/>
      <c r="E15" s="802">
        <v>68</v>
      </c>
      <c r="F15" s="802">
        <v>65.833333333333329</v>
      </c>
      <c r="G15" s="802">
        <f t="shared" si="0"/>
        <v>66.916666666666657</v>
      </c>
      <c r="H15" s="803">
        <f t="shared" si="1"/>
        <v>37</v>
      </c>
    </row>
    <row r="16" spans="1:8" ht="18.75" x14ac:dyDescent="0.25">
      <c r="A16" s="799">
        <v>13</v>
      </c>
      <c r="B16" s="798"/>
      <c r="C16" s="798"/>
      <c r="D16" s="798"/>
      <c r="E16" s="802">
        <v>63.166666666666664</v>
      </c>
      <c r="F16" s="802">
        <v>66.5</v>
      </c>
      <c r="G16" s="802">
        <f t="shared" si="0"/>
        <v>64.833333333333329</v>
      </c>
      <c r="H16" s="803">
        <f t="shared" si="1"/>
        <v>43</v>
      </c>
    </row>
    <row r="17" spans="1:8" ht="18.75" x14ac:dyDescent="0.25">
      <c r="A17" s="799">
        <v>14</v>
      </c>
      <c r="B17" s="798"/>
      <c r="C17" s="798"/>
      <c r="D17" s="798"/>
      <c r="E17" s="802">
        <v>86.666666666666671</v>
      </c>
      <c r="F17" s="802">
        <v>90.166666666666671</v>
      </c>
      <c r="G17" s="802">
        <f t="shared" si="0"/>
        <v>88.416666666666671</v>
      </c>
      <c r="H17" s="803">
        <f t="shared" si="1"/>
        <v>3</v>
      </c>
    </row>
    <row r="18" spans="1:8" ht="18.75" x14ac:dyDescent="0.25">
      <c r="A18" s="799">
        <v>15</v>
      </c>
      <c r="B18" s="798"/>
      <c r="C18" s="798"/>
      <c r="D18" s="798"/>
      <c r="E18" s="802">
        <v>74.833333333333329</v>
      </c>
      <c r="F18" s="802">
        <v>81.666666666666671</v>
      </c>
      <c r="G18" s="802">
        <f t="shared" si="0"/>
        <v>78.25</v>
      </c>
      <c r="H18" s="803">
        <f t="shared" si="1"/>
        <v>16</v>
      </c>
    </row>
    <row r="19" spans="1:8" ht="18.75" x14ac:dyDescent="0.25">
      <c r="A19" s="799">
        <v>16</v>
      </c>
      <c r="B19" s="798"/>
      <c r="C19" s="798"/>
      <c r="D19" s="798"/>
      <c r="E19" s="802">
        <v>72.833333333333329</v>
      </c>
      <c r="F19" s="802">
        <v>77.666666666666671</v>
      </c>
      <c r="G19" s="802">
        <f t="shared" si="0"/>
        <v>75.25</v>
      </c>
      <c r="H19" s="803">
        <f t="shared" si="1"/>
        <v>25</v>
      </c>
    </row>
    <row r="20" spans="1:8" ht="18.75" x14ac:dyDescent="0.25">
      <c r="A20" s="799">
        <v>17</v>
      </c>
      <c r="B20" s="798"/>
      <c r="C20" s="798"/>
      <c r="D20" s="798"/>
      <c r="E20" s="802">
        <v>60.333333333333336</v>
      </c>
      <c r="F20" s="802">
        <v>64.333333333333329</v>
      </c>
      <c r="G20" s="802">
        <f t="shared" si="0"/>
        <v>62.333333333333329</v>
      </c>
      <c r="H20" s="803">
        <f t="shared" si="1"/>
        <v>46</v>
      </c>
    </row>
    <row r="21" spans="1:8" ht="18.75" x14ac:dyDescent="0.25">
      <c r="A21" s="799">
        <v>18</v>
      </c>
      <c r="B21" s="798"/>
      <c r="C21" s="798"/>
      <c r="D21" s="798"/>
      <c r="E21" s="802">
        <v>75</v>
      </c>
      <c r="F21" s="802">
        <v>78</v>
      </c>
      <c r="G21" s="802">
        <f t="shared" si="0"/>
        <v>76.5</v>
      </c>
      <c r="H21" s="803">
        <f t="shared" si="1"/>
        <v>22</v>
      </c>
    </row>
    <row r="22" spans="1:8" ht="24.75" customHeight="1" x14ac:dyDescent="0.25">
      <c r="A22" s="799">
        <v>19</v>
      </c>
      <c r="B22" s="798"/>
      <c r="C22" s="798"/>
      <c r="D22" s="798"/>
      <c r="E22" s="802">
        <v>61.5</v>
      </c>
      <c r="F22" s="802">
        <v>66.666666666666671</v>
      </c>
      <c r="G22" s="802">
        <f t="shared" si="0"/>
        <v>64.083333333333343</v>
      </c>
      <c r="H22" s="803">
        <f t="shared" si="1"/>
        <v>45</v>
      </c>
    </row>
    <row r="23" spans="1:8" ht="18.75" x14ac:dyDescent="0.25">
      <c r="A23" s="799">
        <v>20</v>
      </c>
      <c r="B23" s="798"/>
      <c r="C23" s="798"/>
      <c r="D23" s="798"/>
      <c r="E23" s="802">
        <v>62.166666666666664</v>
      </c>
      <c r="F23" s="802">
        <v>68.166666666666671</v>
      </c>
      <c r="G23" s="802">
        <f t="shared" si="0"/>
        <v>65.166666666666671</v>
      </c>
      <c r="H23" s="803">
        <f t="shared" si="1"/>
        <v>41</v>
      </c>
    </row>
    <row r="24" spans="1:8" ht="18.75" x14ac:dyDescent="0.25">
      <c r="A24" s="799">
        <v>21</v>
      </c>
      <c r="B24" s="798"/>
      <c r="C24" s="798"/>
      <c r="D24" s="798"/>
      <c r="E24" s="802">
        <v>70.333333333333329</v>
      </c>
      <c r="F24" s="802">
        <v>75.833333333333329</v>
      </c>
      <c r="G24" s="802">
        <f t="shared" si="0"/>
        <v>73.083333333333329</v>
      </c>
      <c r="H24" s="803">
        <f t="shared" si="1"/>
        <v>28</v>
      </c>
    </row>
    <row r="25" spans="1:8" ht="18.75" x14ac:dyDescent="0.25">
      <c r="A25" s="799">
        <v>22</v>
      </c>
      <c r="B25" s="798"/>
      <c r="C25" s="798"/>
      <c r="D25" s="798"/>
      <c r="E25" s="802">
        <v>77.166666666666671</v>
      </c>
      <c r="F25" s="802">
        <v>79</v>
      </c>
      <c r="G25" s="802">
        <f t="shared" si="0"/>
        <v>78.083333333333343</v>
      </c>
      <c r="H25" s="803">
        <f t="shared" si="1"/>
        <v>17</v>
      </c>
    </row>
    <row r="26" spans="1:8" ht="18.75" x14ac:dyDescent="0.25">
      <c r="A26" s="799">
        <v>23</v>
      </c>
      <c r="B26" s="798"/>
      <c r="C26" s="798"/>
      <c r="D26" s="798"/>
      <c r="E26" s="802">
        <v>74.833333333333329</v>
      </c>
      <c r="F26" s="802">
        <v>78.833333333333329</v>
      </c>
      <c r="G26" s="802">
        <f t="shared" si="0"/>
        <v>76.833333333333329</v>
      </c>
      <c r="H26" s="803">
        <f t="shared" si="1"/>
        <v>21</v>
      </c>
    </row>
    <row r="27" spans="1:8" ht="18.75" x14ac:dyDescent="0.25">
      <c r="A27" s="799">
        <v>24</v>
      </c>
      <c r="B27" s="798"/>
      <c r="C27" s="798"/>
      <c r="D27" s="798"/>
      <c r="E27" s="802">
        <v>64.333333333333329</v>
      </c>
      <c r="F27" s="802">
        <v>69.833333333333329</v>
      </c>
      <c r="G27" s="802">
        <f t="shared" si="0"/>
        <v>67.083333333333329</v>
      </c>
      <c r="H27" s="803">
        <f t="shared" si="1"/>
        <v>36</v>
      </c>
    </row>
    <row r="28" spans="1:8" ht="18.75" x14ac:dyDescent="0.25">
      <c r="A28" s="799">
        <v>25</v>
      </c>
      <c r="B28" s="800"/>
      <c r="C28" s="800"/>
      <c r="D28" s="800"/>
      <c r="E28" s="802">
        <v>65.833333333333329</v>
      </c>
      <c r="F28" s="802">
        <v>71.333333333333329</v>
      </c>
      <c r="G28" s="802">
        <f t="shared" si="0"/>
        <v>68.583333333333329</v>
      </c>
      <c r="H28" s="803">
        <f t="shared" si="1"/>
        <v>35</v>
      </c>
    </row>
    <row r="29" spans="1:8" ht="18.75" x14ac:dyDescent="0.25">
      <c r="A29" s="799">
        <v>26</v>
      </c>
      <c r="B29" s="798"/>
      <c r="C29" s="798"/>
      <c r="D29" s="798"/>
      <c r="E29" s="802">
        <v>88.833333333333329</v>
      </c>
      <c r="F29" s="802">
        <v>89.166666666666671</v>
      </c>
      <c r="G29" s="802">
        <f t="shared" si="0"/>
        <v>89</v>
      </c>
      <c r="H29" s="803">
        <f t="shared" si="1"/>
        <v>2</v>
      </c>
    </row>
    <row r="30" spans="1:8" ht="18.75" x14ac:dyDescent="0.25">
      <c r="A30" s="799">
        <v>27</v>
      </c>
      <c r="B30" s="798"/>
      <c r="C30" s="798"/>
      <c r="D30" s="798"/>
      <c r="E30" s="802">
        <v>81.166666666666671</v>
      </c>
      <c r="F30" s="802">
        <v>86.5</v>
      </c>
      <c r="G30" s="802">
        <f t="shared" si="0"/>
        <v>83.833333333333343</v>
      </c>
      <c r="H30" s="803">
        <f t="shared" si="1"/>
        <v>8</v>
      </c>
    </row>
    <row r="31" spans="1:8" ht="18.75" x14ac:dyDescent="0.25">
      <c r="A31" s="799">
        <v>28</v>
      </c>
      <c r="B31" s="798"/>
      <c r="C31" s="798"/>
      <c r="D31" s="798"/>
      <c r="E31" s="802">
        <v>86.333333333333329</v>
      </c>
      <c r="F31" s="802">
        <v>89</v>
      </c>
      <c r="G31" s="802">
        <f t="shared" si="0"/>
        <v>87.666666666666657</v>
      </c>
      <c r="H31" s="803">
        <f t="shared" si="1"/>
        <v>5</v>
      </c>
    </row>
    <row r="32" spans="1:8" ht="18.75" x14ac:dyDescent="0.25">
      <c r="A32" s="799">
        <v>29</v>
      </c>
      <c r="B32" s="798"/>
      <c r="C32" s="798"/>
      <c r="D32" s="798"/>
      <c r="E32" s="802">
        <v>79.333333333333329</v>
      </c>
      <c r="F32" s="802">
        <v>84.166666666666671</v>
      </c>
      <c r="G32" s="802">
        <f t="shared" si="0"/>
        <v>81.75</v>
      </c>
      <c r="H32" s="803">
        <f t="shared" si="1"/>
        <v>12</v>
      </c>
    </row>
    <row r="33" spans="1:8" ht="18.75" x14ac:dyDescent="0.25">
      <c r="A33" s="799">
        <v>30</v>
      </c>
      <c r="B33" s="798"/>
      <c r="C33" s="798"/>
      <c r="D33" s="798"/>
      <c r="E33" s="802">
        <v>78.333333333333329</v>
      </c>
      <c r="F33" s="802">
        <v>84.333333333333329</v>
      </c>
      <c r="G33" s="802">
        <f t="shared" si="0"/>
        <v>81.333333333333329</v>
      </c>
      <c r="H33" s="803">
        <f t="shared" si="1"/>
        <v>13</v>
      </c>
    </row>
    <row r="34" spans="1:8" ht="18.75" x14ac:dyDescent="0.25">
      <c r="A34" s="799">
        <v>31</v>
      </c>
      <c r="B34" s="801"/>
      <c r="C34" s="801"/>
      <c r="D34" s="801"/>
      <c r="E34" s="802">
        <v>64.666666666666671</v>
      </c>
      <c r="F34" s="802">
        <v>67.166666666666671</v>
      </c>
      <c r="G34" s="802">
        <f t="shared" si="0"/>
        <v>65.916666666666671</v>
      </c>
      <c r="H34" s="803">
        <f t="shared" si="1"/>
        <v>40</v>
      </c>
    </row>
    <row r="35" spans="1:8" ht="18.75" x14ac:dyDescent="0.25">
      <c r="A35" s="799">
        <v>32</v>
      </c>
      <c r="B35" s="798"/>
      <c r="C35" s="798"/>
      <c r="D35" s="798"/>
      <c r="E35" s="802">
        <v>76</v>
      </c>
      <c r="F35" s="802">
        <v>78.833333333333329</v>
      </c>
      <c r="G35" s="802">
        <f t="shared" si="0"/>
        <v>77.416666666666657</v>
      </c>
      <c r="H35" s="803">
        <f t="shared" si="1"/>
        <v>19</v>
      </c>
    </row>
    <row r="36" spans="1:8" ht="18.75" x14ac:dyDescent="0.25">
      <c r="A36" s="799">
        <v>33</v>
      </c>
      <c r="B36" s="798"/>
      <c r="C36" s="798"/>
      <c r="D36" s="798"/>
      <c r="E36" s="802">
        <v>71.666666666666671</v>
      </c>
      <c r="F36" s="802">
        <v>72</v>
      </c>
      <c r="G36" s="802">
        <f t="shared" si="0"/>
        <v>71.833333333333343</v>
      </c>
      <c r="H36" s="803">
        <f t="shared" si="1"/>
        <v>32</v>
      </c>
    </row>
    <row r="37" spans="1:8" ht="18.75" x14ac:dyDescent="0.25">
      <c r="A37" s="799">
        <v>34</v>
      </c>
      <c r="B37" s="800"/>
      <c r="C37" s="800"/>
      <c r="D37" s="800"/>
      <c r="E37" s="802">
        <v>86.666666666666671</v>
      </c>
      <c r="F37" s="802">
        <v>90</v>
      </c>
      <c r="G37" s="802">
        <f t="shared" si="0"/>
        <v>88.333333333333343</v>
      </c>
      <c r="H37" s="803">
        <f t="shared" si="1"/>
        <v>4</v>
      </c>
    </row>
    <row r="38" spans="1:8" ht="18.75" x14ac:dyDescent="0.25">
      <c r="A38" s="799">
        <v>35</v>
      </c>
      <c r="B38" s="798"/>
      <c r="C38" s="798"/>
      <c r="D38" s="798"/>
      <c r="E38" s="802">
        <v>70.333333333333329</v>
      </c>
      <c r="F38" s="802">
        <v>69.166666666666671</v>
      </c>
      <c r="G38" s="802">
        <f t="shared" si="0"/>
        <v>69.75</v>
      </c>
      <c r="H38" s="803">
        <f t="shared" si="1"/>
        <v>33</v>
      </c>
    </row>
    <row r="39" spans="1:8" ht="18.75" x14ac:dyDescent="0.25">
      <c r="A39" s="799">
        <v>36</v>
      </c>
      <c r="B39" s="798"/>
      <c r="C39" s="798"/>
      <c r="D39" s="798"/>
      <c r="E39" s="802">
        <v>72.5</v>
      </c>
      <c r="F39" s="802">
        <v>78.833333333333329</v>
      </c>
      <c r="G39" s="802">
        <f t="shared" si="0"/>
        <v>75.666666666666657</v>
      </c>
      <c r="H39" s="803">
        <f t="shared" si="1"/>
        <v>24</v>
      </c>
    </row>
    <row r="40" spans="1:8" ht="18.75" x14ac:dyDescent="0.25">
      <c r="A40" s="799">
        <v>37</v>
      </c>
      <c r="B40" s="798"/>
      <c r="C40" s="798"/>
      <c r="D40" s="798"/>
      <c r="E40" s="802">
        <v>75.5</v>
      </c>
      <c r="F40" s="802">
        <v>79.666666666666671</v>
      </c>
      <c r="G40" s="802">
        <f t="shared" si="0"/>
        <v>77.583333333333343</v>
      </c>
      <c r="H40" s="803">
        <f t="shared" si="1"/>
        <v>18</v>
      </c>
    </row>
    <row r="41" spans="1:8" ht="18.75" x14ac:dyDescent="0.25">
      <c r="A41" s="799">
        <v>38</v>
      </c>
      <c r="B41" s="798"/>
      <c r="C41" s="798"/>
      <c r="D41" s="798"/>
      <c r="E41" s="802">
        <v>92</v>
      </c>
      <c r="F41" s="802">
        <v>95.333333333333329</v>
      </c>
      <c r="G41" s="802">
        <f t="shared" si="0"/>
        <v>93.666666666666657</v>
      </c>
      <c r="H41" s="803">
        <f t="shared" si="1"/>
        <v>1</v>
      </c>
    </row>
    <row r="42" spans="1:8" ht="18.75" x14ac:dyDescent="0.25">
      <c r="A42" s="799">
        <v>39</v>
      </c>
      <c r="B42" s="798"/>
      <c r="C42" s="798"/>
      <c r="D42" s="798"/>
      <c r="E42" s="802">
        <v>71.666666666666671</v>
      </c>
      <c r="F42" s="802">
        <v>72.833333333333329</v>
      </c>
      <c r="G42" s="802">
        <f t="shared" si="0"/>
        <v>72.25</v>
      </c>
      <c r="H42" s="803">
        <f t="shared" si="1"/>
        <v>30</v>
      </c>
    </row>
    <row r="43" spans="1:8" ht="18.75" x14ac:dyDescent="0.25">
      <c r="A43" s="799">
        <v>40</v>
      </c>
      <c r="B43" s="798"/>
      <c r="C43" s="798"/>
      <c r="D43" s="798"/>
      <c r="E43" s="802">
        <v>81.5</v>
      </c>
      <c r="F43" s="802">
        <v>84</v>
      </c>
      <c r="G43" s="802">
        <f t="shared" si="0"/>
        <v>82.75</v>
      </c>
      <c r="H43" s="803">
        <f t="shared" si="1"/>
        <v>10</v>
      </c>
    </row>
    <row r="44" spans="1:8" ht="18.75" x14ac:dyDescent="0.25">
      <c r="A44" s="799">
        <v>41</v>
      </c>
      <c r="B44" s="798"/>
      <c r="C44" s="798"/>
      <c r="D44" s="798"/>
      <c r="E44" s="802">
        <v>71.166666666666671</v>
      </c>
      <c r="F44" s="802">
        <v>74.333333333333329</v>
      </c>
      <c r="G44" s="802">
        <f t="shared" si="0"/>
        <v>72.75</v>
      </c>
      <c r="H44" s="803">
        <f t="shared" si="1"/>
        <v>29</v>
      </c>
    </row>
    <row r="45" spans="1:8" ht="18.75" x14ac:dyDescent="0.25">
      <c r="A45" s="799">
        <v>42</v>
      </c>
      <c r="B45" s="798"/>
      <c r="C45" s="798"/>
      <c r="D45" s="798"/>
      <c r="E45" s="802">
        <v>78.333333333333329</v>
      </c>
      <c r="F45" s="802">
        <v>82.333333333333329</v>
      </c>
      <c r="G45" s="802">
        <f t="shared" si="0"/>
        <v>80.333333333333329</v>
      </c>
      <c r="H45" s="803">
        <f t="shared" si="1"/>
        <v>14</v>
      </c>
    </row>
    <row r="46" spans="1:8" ht="18.75" x14ac:dyDescent="0.25">
      <c r="A46" s="799">
        <v>43</v>
      </c>
      <c r="B46" s="798"/>
      <c r="C46" s="798"/>
      <c r="D46" s="798"/>
      <c r="E46" s="802">
        <v>78.166666666666671</v>
      </c>
      <c r="F46" s="802">
        <v>80.166666666666671</v>
      </c>
      <c r="G46" s="802">
        <f t="shared" si="0"/>
        <v>79.166666666666671</v>
      </c>
      <c r="H46" s="803">
        <f t="shared" si="1"/>
        <v>15</v>
      </c>
    </row>
    <row r="47" spans="1:8" ht="18.75" x14ac:dyDescent="0.25">
      <c r="A47" s="798">
        <v>44</v>
      </c>
      <c r="B47" s="798"/>
      <c r="C47" s="798"/>
      <c r="D47" s="798"/>
      <c r="E47" s="802">
        <v>73.5</v>
      </c>
      <c r="F47" s="802">
        <v>75.333333333333329</v>
      </c>
      <c r="G47" s="802">
        <f t="shared" si="0"/>
        <v>74.416666666666657</v>
      </c>
      <c r="H47" s="803">
        <f t="shared" si="1"/>
        <v>27</v>
      </c>
    </row>
    <row r="48" spans="1:8" ht="18.75" x14ac:dyDescent="0.3">
      <c r="A48" s="804">
        <v>45</v>
      </c>
      <c r="B48" s="804"/>
      <c r="C48" s="61"/>
      <c r="D48" s="61"/>
      <c r="E48" s="823">
        <v>65</v>
      </c>
      <c r="F48" s="823">
        <v>68.666666666666671</v>
      </c>
      <c r="G48" s="802">
        <f t="shared" si="0"/>
        <v>66.833333333333343</v>
      </c>
      <c r="H48" s="803">
        <f t="shared" si="1"/>
        <v>38</v>
      </c>
    </row>
    <row r="49" spans="1:8" ht="18.75" x14ac:dyDescent="0.3">
      <c r="A49" s="804">
        <v>46</v>
      </c>
      <c r="B49" s="804"/>
      <c r="C49" s="61"/>
      <c r="D49" s="61"/>
      <c r="E49" s="823">
        <v>78.5</v>
      </c>
      <c r="F49" s="823">
        <v>85.666666666666671</v>
      </c>
      <c r="G49" s="802">
        <f t="shared" si="0"/>
        <v>82.083333333333343</v>
      </c>
      <c r="H49" s="803">
        <f t="shared" si="1"/>
        <v>11</v>
      </c>
    </row>
  </sheetData>
  <mergeCells count="2">
    <mergeCell ref="A1:H1"/>
    <mergeCell ref="A2:H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10</vt:i4>
      </vt:variant>
    </vt:vector>
  </HeadingPairs>
  <TitlesOfParts>
    <vt:vector size="46" baseType="lpstr">
      <vt:lpstr>Roster 9A</vt:lpstr>
      <vt:lpstr>9A Sem 1</vt:lpstr>
      <vt:lpstr>9A Sem2</vt:lpstr>
      <vt:lpstr>9A Sem Avr</vt:lpstr>
      <vt:lpstr> Roster 9B</vt:lpstr>
      <vt:lpstr>9B Sem 1</vt:lpstr>
      <vt:lpstr>9B Sem 2</vt:lpstr>
      <vt:lpstr>9B Avr</vt:lpstr>
      <vt:lpstr>Roster 9C</vt:lpstr>
      <vt:lpstr>9C Sem 1</vt:lpstr>
      <vt:lpstr>9C Sem2 </vt:lpstr>
      <vt:lpstr>9C Avr</vt:lpstr>
      <vt:lpstr>Roster 10A</vt:lpstr>
      <vt:lpstr>10A Sem 1</vt:lpstr>
      <vt:lpstr>10A Sem 2</vt:lpstr>
      <vt:lpstr>10A Avr</vt:lpstr>
      <vt:lpstr>Roster 10B</vt:lpstr>
      <vt:lpstr>10B Sem1</vt:lpstr>
      <vt:lpstr>10B Sem 2</vt:lpstr>
      <vt:lpstr>10B Avr</vt:lpstr>
      <vt:lpstr>11 A (NS) Roster</vt:lpstr>
      <vt:lpstr>11A (NS) Sem1</vt:lpstr>
      <vt:lpstr>11A (NS) Sem2 </vt:lpstr>
      <vt:lpstr>11A (NS)Avr</vt:lpstr>
      <vt:lpstr>Roster 11B (SS)</vt:lpstr>
      <vt:lpstr>11B (SS) Sem1</vt:lpstr>
      <vt:lpstr>11B (SS) Sem 2</vt:lpstr>
      <vt:lpstr>11B(SS) Avr</vt:lpstr>
      <vt:lpstr>Roster 12A (NS) </vt:lpstr>
      <vt:lpstr>12 A (NS) Sem1</vt:lpstr>
      <vt:lpstr>12A(NS)Sem 2</vt:lpstr>
      <vt:lpstr>12A (NS) Avr</vt:lpstr>
      <vt:lpstr>Roster 12B(SS)</vt:lpstr>
      <vt:lpstr>12B (SS)Sem1</vt:lpstr>
      <vt:lpstr>12B (SS) Sem 2</vt:lpstr>
      <vt:lpstr>12B Av</vt:lpstr>
      <vt:lpstr>' Roster 9B'!Print_Area</vt:lpstr>
      <vt:lpstr>'10A Sem 2'!Print_Area</vt:lpstr>
      <vt:lpstr>'10B Sem 2'!Print_Area</vt:lpstr>
      <vt:lpstr>'11A (NS) Sem1'!Print_Area</vt:lpstr>
      <vt:lpstr>'12B (SS)Sem1'!Print_Area</vt:lpstr>
      <vt:lpstr>'9A Sem Avr'!Print_Area</vt:lpstr>
      <vt:lpstr>'9B Sem 2'!Print_Area</vt:lpstr>
      <vt:lpstr>'Roster 10A'!Print_Area</vt:lpstr>
      <vt:lpstr>'Roster 10B'!Print_Area</vt:lpstr>
      <vt:lpstr>'Roster 9C'!Print_Area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 school</dc:creator>
  <cp:lastModifiedBy>High school</cp:lastModifiedBy>
  <cp:lastPrinted>2025-12-30T19:33:23Z</cp:lastPrinted>
  <dcterms:created xsi:type="dcterms:W3CDTF">2024-11-14T02:52:23Z</dcterms:created>
  <dcterms:modified xsi:type="dcterms:W3CDTF">2026-01-02T07:36:44Z</dcterms:modified>
</cp:coreProperties>
</file>